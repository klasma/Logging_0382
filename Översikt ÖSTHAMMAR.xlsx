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45930</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45930</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45930</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45930</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45930</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45930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45930</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45930</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45930</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45930</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40395-2025</t>
        </is>
      </c>
      <c r="B12" s="1" t="n">
        <v>45895.55805555556</v>
      </c>
      <c r="C12" s="1" t="n">
        <v>45930</v>
      </c>
      <c r="D12" t="inlineStr">
        <is>
          <t>UPPSALA LÄN</t>
        </is>
      </c>
      <c r="E12" t="inlineStr">
        <is>
          <t>ÖSTHAMMAR</t>
        </is>
      </c>
      <c r="G12" t="n">
        <v>1.8</v>
      </c>
      <c r="H12" t="n">
        <v>5</v>
      </c>
      <c r="I12" t="n">
        <v>2</v>
      </c>
      <c r="J12" t="n">
        <v>5</v>
      </c>
      <c r="K12" t="n">
        <v>0</v>
      </c>
      <c r="L12" t="n">
        <v>0</v>
      </c>
      <c r="M12" t="n">
        <v>0</v>
      </c>
      <c r="N12" t="n">
        <v>0</v>
      </c>
      <c r="O12" t="n">
        <v>5</v>
      </c>
      <c r="P12" t="n">
        <v>0</v>
      </c>
      <c r="Q12" t="n">
        <v>9</v>
      </c>
      <c r="R12" s="2" t="inlineStr">
        <is>
          <t>Järpe
Kortskaftad ärgspik
Spillkråka
Svart taggsvamp
Talltita
Brandticka
Stor aspticka
Gröngöling
Kungsfågel</t>
        </is>
      </c>
      <c r="S12">
        <f>HYPERLINK("https://klasma.github.io/Logging_0382/artfynd/A 40395-2025 artfynd.xlsx", "A 40395-2025")</f>
        <v/>
      </c>
      <c r="T12">
        <f>HYPERLINK("https://klasma.github.io/Logging_0382/kartor/A 40395-2025 karta.png", "A 40395-2025")</f>
        <v/>
      </c>
      <c r="V12">
        <f>HYPERLINK("https://klasma.github.io/Logging_0382/klagomål/A 40395-2025 FSC-klagomål.docx", "A 40395-2025")</f>
        <v/>
      </c>
      <c r="W12">
        <f>HYPERLINK("https://klasma.github.io/Logging_0382/klagomålsmail/A 40395-2025 FSC-klagomål mail.docx", "A 40395-2025")</f>
        <v/>
      </c>
      <c r="X12">
        <f>HYPERLINK("https://klasma.github.io/Logging_0382/tillsyn/A 40395-2025 tillsynsbegäran.docx", "A 40395-2025")</f>
        <v/>
      </c>
      <c r="Y12">
        <f>HYPERLINK("https://klasma.github.io/Logging_0382/tillsynsmail/A 40395-2025 tillsynsbegäran mail.docx", "A 40395-2025")</f>
        <v/>
      </c>
      <c r="Z12">
        <f>HYPERLINK("https://klasma.github.io/Logging_0382/fåglar/A 40395-2025 prioriterade fågelarter.docx", "A 40395-2025")</f>
        <v/>
      </c>
    </row>
    <row r="13" ht="15" customHeight="1">
      <c r="A13" t="inlineStr">
        <is>
          <t>A 40406-2025</t>
        </is>
      </c>
      <c r="B13" s="1" t="n">
        <v>45895.57082175926</v>
      </c>
      <c r="C13" s="1" t="n">
        <v>45930</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52808-2023</t>
        </is>
      </c>
      <c r="B14" s="1" t="n">
        <v>45226</v>
      </c>
      <c r="C14" s="1" t="n">
        <v>45930</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45930</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45930</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45930</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45930</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45930</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45930</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45930</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45930</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39834-2025</t>
        </is>
      </c>
      <c r="B23" s="1" t="n">
        <v>45891.56333333333</v>
      </c>
      <c r="C23" s="1" t="n">
        <v>45930</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23496-2023</t>
        </is>
      </c>
      <c r="B24" s="1" t="n">
        <v>45076</v>
      </c>
      <c r="C24" s="1" t="n">
        <v>45930</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48277-2023</t>
        </is>
      </c>
      <c r="B25" s="1" t="n">
        <v>45205</v>
      </c>
      <c r="C25" s="1" t="n">
        <v>45930</v>
      </c>
      <c r="D25" t="inlineStr">
        <is>
          <t>UPPSALA LÄN</t>
        </is>
      </c>
      <c r="E25" t="inlineStr">
        <is>
          <t>ÖSTHAMMAR</t>
        </is>
      </c>
      <c r="G25" t="n">
        <v>4.2</v>
      </c>
      <c r="H25" t="n">
        <v>1</v>
      </c>
      <c r="I25" t="n">
        <v>3</v>
      </c>
      <c r="J25" t="n">
        <v>2</v>
      </c>
      <c r="K25" t="n">
        <v>1</v>
      </c>
      <c r="L25" t="n">
        <v>0</v>
      </c>
      <c r="M25" t="n">
        <v>0</v>
      </c>
      <c r="N25" t="n">
        <v>0</v>
      </c>
      <c r="O25" t="n">
        <v>3</v>
      </c>
      <c r="P25" t="n">
        <v>1</v>
      </c>
      <c r="Q25" t="n">
        <v>6</v>
      </c>
      <c r="R25" s="2" t="inlineStr">
        <is>
          <t>Gul lammticka
Odörspindling
Svart taggsvamp
Nästrot
Sårläka
Zontaggsvamp</t>
        </is>
      </c>
      <c r="S25">
        <f>HYPERLINK("https://klasma.github.io/Logging_0382/artfynd/A 48277-2023 artfynd.xlsx", "A 48277-2023")</f>
        <v/>
      </c>
      <c r="T25">
        <f>HYPERLINK("https://klasma.github.io/Logging_0382/kartor/A 48277-2023 karta.png", "A 48277-2023")</f>
        <v/>
      </c>
      <c r="V25">
        <f>HYPERLINK("https://klasma.github.io/Logging_0382/klagomål/A 48277-2023 FSC-klagomål.docx", "A 48277-2023")</f>
        <v/>
      </c>
      <c r="W25">
        <f>HYPERLINK("https://klasma.github.io/Logging_0382/klagomålsmail/A 48277-2023 FSC-klagomål mail.docx", "A 48277-2023")</f>
        <v/>
      </c>
      <c r="X25">
        <f>HYPERLINK("https://klasma.github.io/Logging_0382/tillsyn/A 48277-2023 tillsynsbegäran.docx", "A 48277-2023")</f>
        <v/>
      </c>
      <c r="Y25">
        <f>HYPERLINK("https://klasma.github.io/Logging_0382/tillsynsmail/A 48277-2023 tillsynsbegäran mail.docx", "A 48277-2023")</f>
        <v/>
      </c>
    </row>
    <row r="26" ht="15" customHeight="1">
      <c r="A26" t="inlineStr">
        <is>
          <t>A 39763-2022</t>
        </is>
      </c>
      <c r="B26" s="1" t="n">
        <v>44819.44055555556</v>
      </c>
      <c r="C26" s="1" t="n">
        <v>45930</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45930</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45930</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15556-2022</t>
        </is>
      </c>
      <c r="B29" s="1" t="n">
        <v>44662</v>
      </c>
      <c r="C29" s="1" t="n">
        <v>45930</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23498-2023</t>
        </is>
      </c>
      <c r="B30" s="1" t="n">
        <v>45076</v>
      </c>
      <c r="C30" s="1" t="n">
        <v>45930</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43992-2022</t>
        </is>
      </c>
      <c r="B31" s="1" t="n">
        <v>44837</v>
      </c>
      <c r="C31" s="1" t="n">
        <v>45930</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26056-2025</t>
        </is>
      </c>
      <c r="B32" s="1" t="n">
        <v>45804.79280092593</v>
      </c>
      <c r="C32" s="1" t="n">
        <v>45930</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24563-2022</t>
        </is>
      </c>
      <c r="B33" s="1" t="n">
        <v>44727</v>
      </c>
      <c r="C33" s="1" t="n">
        <v>45930</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55492-2023</t>
        </is>
      </c>
      <c r="B34" s="1" t="n">
        <v>45238</v>
      </c>
      <c r="C34" s="1" t="n">
        <v>45930</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52808-2022</t>
        </is>
      </c>
      <c r="B35" s="1" t="n">
        <v>44875</v>
      </c>
      <c r="C35" s="1" t="n">
        <v>45930</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45930</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45930</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45930</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48352-2022</t>
        </is>
      </c>
      <c r="B39" s="1" t="n">
        <v>44858</v>
      </c>
      <c r="C39" s="1" t="n">
        <v>45930</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45930</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74364-2021</t>
        </is>
      </c>
      <c r="B41" s="1" t="n">
        <v>44559</v>
      </c>
      <c r="C41" s="1" t="n">
        <v>45930</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45930</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33035-2021</t>
        </is>
      </c>
      <c r="B43" s="1" t="n">
        <v>44376</v>
      </c>
      <c r="C43" s="1" t="n">
        <v>45930</v>
      </c>
      <c r="D43" t="inlineStr">
        <is>
          <t>UPPSALA LÄN</t>
        </is>
      </c>
      <c r="E43" t="inlineStr">
        <is>
          <t>ÖSTHAMMAR</t>
        </is>
      </c>
      <c r="G43" t="n">
        <v>4.3</v>
      </c>
      <c r="H43" t="n">
        <v>0</v>
      </c>
      <c r="I43" t="n">
        <v>0</v>
      </c>
      <c r="J43" t="n">
        <v>1</v>
      </c>
      <c r="K43" t="n">
        <v>2</v>
      </c>
      <c r="L43" t="n">
        <v>0</v>
      </c>
      <c r="M43" t="n">
        <v>0</v>
      </c>
      <c r="N43" t="n">
        <v>0</v>
      </c>
      <c r="O43" t="n">
        <v>3</v>
      </c>
      <c r="P43" t="n">
        <v>2</v>
      </c>
      <c r="Q43" t="n">
        <v>3</v>
      </c>
      <c r="R43" s="2" t="inlineStr">
        <is>
          <t>Granrotsspindling
Gyllenfingersvamp
Dofttaggsvamp</t>
        </is>
      </c>
      <c r="S43">
        <f>HYPERLINK("https://klasma.github.io/Logging_0382/artfynd/A 33035-2021 artfynd.xlsx", "A 33035-2021")</f>
        <v/>
      </c>
      <c r="T43">
        <f>HYPERLINK("https://klasma.github.io/Logging_0382/kartor/A 33035-2021 karta.png", "A 33035-2021")</f>
        <v/>
      </c>
      <c r="V43">
        <f>HYPERLINK("https://klasma.github.io/Logging_0382/klagomål/A 33035-2021 FSC-klagomål.docx", "A 33035-2021")</f>
        <v/>
      </c>
      <c r="W43">
        <f>HYPERLINK("https://klasma.github.io/Logging_0382/klagomålsmail/A 33035-2021 FSC-klagomål mail.docx", "A 33035-2021")</f>
        <v/>
      </c>
      <c r="X43">
        <f>HYPERLINK("https://klasma.github.io/Logging_0382/tillsyn/A 33035-2021 tillsynsbegäran.docx", "A 33035-2021")</f>
        <v/>
      </c>
      <c r="Y43">
        <f>HYPERLINK("https://klasma.github.io/Logging_0382/tillsynsmail/A 33035-2021 tillsynsbegäran mail.docx", "A 33035-2021")</f>
        <v/>
      </c>
    </row>
    <row r="44" ht="15" customHeight="1">
      <c r="A44" t="inlineStr">
        <is>
          <t>A 26557-2022</t>
        </is>
      </c>
      <c r="B44" s="1" t="n">
        <v>44739</v>
      </c>
      <c r="C44" s="1" t="n">
        <v>45930</v>
      </c>
      <c r="D44" t="inlineStr">
        <is>
          <t>UPPSALA LÄN</t>
        </is>
      </c>
      <c r="E44" t="inlineStr">
        <is>
          <t>ÖSTHAMMAR</t>
        </is>
      </c>
      <c r="F44" t="inlineStr">
        <is>
          <t>Övriga statliga verk och myndigheter</t>
        </is>
      </c>
      <c r="G44" t="n">
        <v>1.7</v>
      </c>
      <c r="H44" t="n">
        <v>3</v>
      </c>
      <c r="I44" t="n">
        <v>0</v>
      </c>
      <c r="J44" t="n">
        <v>3</v>
      </c>
      <c r="K44" t="n">
        <v>0</v>
      </c>
      <c r="L44" t="n">
        <v>0</v>
      </c>
      <c r="M44" t="n">
        <v>0</v>
      </c>
      <c r="N44" t="n">
        <v>0</v>
      </c>
      <c r="O44" t="n">
        <v>3</v>
      </c>
      <c r="P44" t="n">
        <v>0</v>
      </c>
      <c r="Q44" t="n">
        <v>3</v>
      </c>
      <c r="R44" s="2" t="inlineStr">
        <is>
          <t>Järpe
Mindre hackspett
Spillkråka</t>
        </is>
      </c>
      <c r="S44">
        <f>HYPERLINK("https://klasma.github.io/Logging_0382/artfynd/A 26557-2022 artfynd.xlsx", "A 26557-2022")</f>
        <v/>
      </c>
      <c r="T44">
        <f>HYPERLINK("https://klasma.github.io/Logging_0382/kartor/A 26557-2022 karta.png", "A 26557-2022")</f>
        <v/>
      </c>
      <c r="V44">
        <f>HYPERLINK("https://klasma.github.io/Logging_0382/klagomål/A 26557-2022 FSC-klagomål.docx", "A 26557-2022")</f>
        <v/>
      </c>
      <c r="W44">
        <f>HYPERLINK("https://klasma.github.io/Logging_0382/klagomålsmail/A 26557-2022 FSC-klagomål mail.docx", "A 26557-2022")</f>
        <v/>
      </c>
      <c r="X44">
        <f>HYPERLINK("https://klasma.github.io/Logging_0382/tillsyn/A 26557-2022 tillsynsbegäran.docx", "A 26557-2022")</f>
        <v/>
      </c>
      <c r="Y44">
        <f>HYPERLINK("https://klasma.github.io/Logging_0382/tillsynsmail/A 26557-2022 tillsynsbegäran mail.docx", "A 26557-2022")</f>
        <v/>
      </c>
      <c r="Z44">
        <f>HYPERLINK("https://klasma.github.io/Logging_0382/fåglar/A 26557-2022 prioriterade fågelarter.docx", "A 26557-2022")</f>
        <v/>
      </c>
    </row>
    <row r="45" ht="15" customHeight="1">
      <c r="A45" t="inlineStr">
        <is>
          <t>A 46204-2023</t>
        </is>
      </c>
      <c r="B45" s="1" t="n">
        <v>45190</v>
      </c>
      <c r="C45" s="1" t="n">
        <v>45930</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9683-2023</t>
        </is>
      </c>
      <c r="B46" s="1" t="n">
        <v>44984.43856481482</v>
      </c>
      <c r="C46" s="1" t="n">
        <v>45930</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9715-2024</t>
        </is>
      </c>
      <c r="B47" s="1" t="n">
        <v>45362.53928240741</v>
      </c>
      <c r="C47" s="1" t="n">
        <v>45930</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25044-2025</t>
        </is>
      </c>
      <c r="B48" s="1" t="n">
        <v>45799.66607638889</v>
      </c>
      <c r="C48" s="1" t="n">
        <v>45930</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45930</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55051-2021</t>
        </is>
      </c>
      <c r="B50" s="1" t="n">
        <v>44474</v>
      </c>
      <c r="C50" s="1" t="n">
        <v>45930</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60078-2021</t>
        </is>
      </c>
      <c r="B51" s="1" t="n">
        <v>44495</v>
      </c>
      <c r="C51" s="1" t="n">
        <v>45930</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45930</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45930</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6223-2021</t>
        </is>
      </c>
      <c r="B54" s="1" t="n">
        <v>44235</v>
      </c>
      <c r="C54" s="1" t="n">
        <v>45930</v>
      </c>
      <c r="D54" t="inlineStr">
        <is>
          <t>UPPSALA LÄN</t>
        </is>
      </c>
      <c r="E54" t="inlineStr">
        <is>
          <t>ÖSTHAMMAR</t>
        </is>
      </c>
      <c r="G54" t="n">
        <v>0.5</v>
      </c>
      <c r="H54" t="n">
        <v>2</v>
      </c>
      <c r="I54" t="n">
        <v>0</v>
      </c>
      <c r="J54" t="n">
        <v>0</v>
      </c>
      <c r="K54" t="n">
        <v>0</v>
      </c>
      <c r="L54" t="n">
        <v>0</v>
      </c>
      <c r="M54" t="n">
        <v>0</v>
      </c>
      <c r="N54" t="n">
        <v>0</v>
      </c>
      <c r="O54" t="n">
        <v>0</v>
      </c>
      <c r="P54" t="n">
        <v>0</v>
      </c>
      <c r="Q54" t="n">
        <v>2</v>
      </c>
      <c r="R54" s="2" t="inlineStr">
        <is>
          <t>Blåsippa
Gullviva</t>
        </is>
      </c>
      <c r="S54">
        <f>HYPERLINK("https://klasma.github.io/Logging_0382/artfynd/A 6223-2021 artfynd.xlsx", "A 6223-2021")</f>
        <v/>
      </c>
      <c r="T54">
        <f>HYPERLINK("https://klasma.github.io/Logging_0382/kartor/A 6223-2021 karta.png", "A 6223-2021")</f>
        <v/>
      </c>
      <c r="V54">
        <f>HYPERLINK("https://klasma.github.io/Logging_0382/klagomål/A 6223-2021 FSC-klagomål.docx", "A 6223-2021")</f>
        <v/>
      </c>
      <c r="W54">
        <f>HYPERLINK("https://klasma.github.io/Logging_0382/klagomålsmail/A 6223-2021 FSC-klagomål mail.docx", "A 6223-2021")</f>
        <v/>
      </c>
      <c r="X54">
        <f>HYPERLINK("https://klasma.github.io/Logging_0382/tillsyn/A 6223-2021 tillsynsbegäran.docx", "A 6223-2021")</f>
        <v/>
      </c>
      <c r="Y54">
        <f>HYPERLINK("https://klasma.github.io/Logging_0382/tillsynsmail/A 6223-2021 tillsynsbegäran mail.docx", "A 6223-2021")</f>
        <v/>
      </c>
    </row>
    <row r="55" ht="15" customHeight="1">
      <c r="A55" t="inlineStr">
        <is>
          <t>A 21422-2023</t>
        </is>
      </c>
      <c r="B55" s="1" t="n">
        <v>45063</v>
      </c>
      <c r="C55" s="1" t="n">
        <v>45930</v>
      </c>
      <c r="D55" t="inlineStr">
        <is>
          <t>UPPSALA LÄN</t>
        </is>
      </c>
      <c r="E55" t="inlineStr">
        <is>
          <t>ÖSTHAMMAR</t>
        </is>
      </c>
      <c r="F55" t="inlineStr">
        <is>
          <t>Sveaskog</t>
        </is>
      </c>
      <c r="G55" t="n">
        <v>2.8</v>
      </c>
      <c r="H55" t="n">
        <v>2</v>
      </c>
      <c r="I55" t="n">
        <v>0</v>
      </c>
      <c r="J55" t="n">
        <v>1</v>
      </c>
      <c r="K55" t="n">
        <v>0</v>
      </c>
      <c r="L55" t="n">
        <v>0</v>
      </c>
      <c r="M55" t="n">
        <v>0</v>
      </c>
      <c r="N55" t="n">
        <v>0</v>
      </c>
      <c r="O55" t="n">
        <v>1</v>
      </c>
      <c r="P55" t="n">
        <v>0</v>
      </c>
      <c r="Q55" t="n">
        <v>2</v>
      </c>
      <c r="R55" s="2" t="inlineStr">
        <is>
          <t>Nordfladdermus
Dvärgpipistrell</t>
        </is>
      </c>
      <c r="S55">
        <f>HYPERLINK("https://klasma.github.io/Logging_0382/artfynd/A 21422-2023 artfynd.xlsx", "A 21422-2023")</f>
        <v/>
      </c>
      <c r="T55">
        <f>HYPERLINK("https://klasma.github.io/Logging_0382/kartor/A 21422-2023 karta.png", "A 21422-2023")</f>
        <v/>
      </c>
      <c r="V55">
        <f>HYPERLINK("https://klasma.github.io/Logging_0382/klagomål/A 21422-2023 FSC-klagomål.docx", "A 21422-2023")</f>
        <v/>
      </c>
      <c r="W55">
        <f>HYPERLINK("https://klasma.github.io/Logging_0382/klagomålsmail/A 21422-2023 FSC-klagomål mail.docx", "A 21422-2023")</f>
        <v/>
      </c>
      <c r="X55">
        <f>HYPERLINK("https://klasma.github.io/Logging_0382/tillsyn/A 21422-2023 tillsynsbegäran.docx", "A 21422-2023")</f>
        <v/>
      </c>
      <c r="Y55">
        <f>HYPERLINK("https://klasma.github.io/Logging_0382/tillsynsmail/A 21422-2023 tillsynsbegäran mail.docx", "A 21422-2023")</f>
        <v/>
      </c>
    </row>
    <row r="56" ht="15" customHeight="1">
      <c r="A56" t="inlineStr">
        <is>
          <t>A 41303-2025</t>
        </is>
      </c>
      <c r="B56" s="1" t="n">
        <v>45898.69215277778</v>
      </c>
      <c r="C56" s="1" t="n">
        <v>45930</v>
      </c>
      <c r="D56" t="inlineStr">
        <is>
          <t>UPPSALA LÄN</t>
        </is>
      </c>
      <c r="E56" t="inlineStr">
        <is>
          <t>ÖSTHAMMAR</t>
        </is>
      </c>
      <c r="G56" t="n">
        <v>10.1</v>
      </c>
      <c r="H56" t="n">
        <v>1</v>
      </c>
      <c r="I56" t="n">
        <v>1</v>
      </c>
      <c r="J56" t="n">
        <v>0</v>
      </c>
      <c r="K56" t="n">
        <v>0</v>
      </c>
      <c r="L56" t="n">
        <v>0</v>
      </c>
      <c r="M56" t="n">
        <v>0</v>
      </c>
      <c r="N56" t="n">
        <v>0</v>
      </c>
      <c r="O56" t="n">
        <v>0</v>
      </c>
      <c r="P56" t="n">
        <v>0</v>
      </c>
      <c r="Q56" t="n">
        <v>2</v>
      </c>
      <c r="R56" s="2" t="inlineStr">
        <is>
          <t>Svavelriska
Revlummer</t>
        </is>
      </c>
      <c r="S56">
        <f>HYPERLINK("https://klasma.github.io/Logging_0382/artfynd/A 41303-2025 artfynd.xlsx", "A 41303-2025")</f>
        <v/>
      </c>
      <c r="T56">
        <f>HYPERLINK("https://klasma.github.io/Logging_0382/kartor/A 41303-2025 karta.png", "A 41303-2025")</f>
        <v/>
      </c>
      <c r="V56">
        <f>HYPERLINK("https://klasma.github.io/Logging_0382/klagomål/A 41303-2025 FSC-klagomål.docx", "A 41303-2025")</f>
        <v/>
      </c>
      <c r="W56">
        <f>HYPERLINK("https://klasma.github.io/Logging_0382/klagomålsmail/A 41303-2025 FSC-klagomål mail.docx", "A 41303-2025")</f>
        <v/>
      </c>
      <c r="X56">
        <f>HYPERLINK("https://klasma.github.io/Logging_0382/tillsyn/A 41303-2025 tillsynsbegäran.docx", "A 41303-2025")</f>
        <v/>
      </c>
      <c r="Y56">
        <f>HYPERLINK("https://klasma.github.io/Logging_0382/tillsynsmail/A 41303-2025 tillsynsbegäran mail.docx", "A 41303-2025")</f>
        <v/>
      </c>
    </row>
    <row r="57" ht="15" customHeight="1">
      <c r="A57" t="inlineStr">
        <is>
          <t>A 18539-2024</t>
        </is>
      </c>
      <c r="B57" s="1" t="n">
        <v>45425.63697916667</v>
      </c>
      <c r="C57" s="1" t="n">
        <v>45930</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67855-2021</t>
        </is>
      </c>
      <c r="B58" s="1" t="n">
        <v>44525</v>
      </c>
      <c r="C58" s="1" t="n">
        <v>45930</v>
      </c>
      <c r="D58" t="inlineStr">
        <is>
          <t>UPPSALA LÄN</t>
        </is>
      </c>
      <c r="E58" t="inlineStr">
        <is>
          <t>ÖSTHAMMAR</t>
        </is>
      </c>
      <c r="G58" t="n">
        <v>7.5</v>
      </c>
      <c r="H58" t="n">
        <v>0</v>
      </c>
      <c r="I58" t="n">
        <v>2</v>
      </c>
      <c r="J58" t="n">
        <v>0</v>
      </c>
      <c r="K58" t="n">
        <v>0</v>
      </c>
      <c r="L58" t="n">
        <v>0</v>
      </c>
      <c r="M58" t="n">
        <v>0</v>
      </c>
      <c r="N58" t="n">
        <v>0</v>
      </c>
      <c r="O58" t="n">
        <v>0</v>
      </c>
      <c r="P58" t="n">
        <v>0</v>
      </c>
      <c r="Q58" t="n">
        <v>2</v>
      </c>
      <c r="R58" s="2" t="inlineStr">
        <is>
          <t>Guldkremla
Kamjordstjärna</t>
        </is>
      </c>
      <c r="S58">
        <f>HYPERLINK("https://klasma.github.io/Logging_0382/artfynd/A 67855-2021 artfynd.xlsx", "A 67855-2021")</f>
        <v/>
      </c>
      <c r="T58">
        <f>HYPERLINK("https://klasma.github.io/Logging_0382/kartor/A 67855-2021 karta.png", "A 67855-2021")</f>
        <v/>
      </c>
      <c r="V58">
        <f>HYPERLINK("https://klasma.github.io/Logging_0382/klagomål/A 67855-2021 FSC-klagomål.docx", "A 67855-2021")</f>
        <v/>
      </c>
      <c r="W58">
        <f>HYPERLINK("https://klasma.github.io/Logging_0382/klagomålsmail/A 67855-2021 FSC-klagomål mail.docx", "A 67855-2021")</f>
        <v/>
      </c>
      <c r="X58">
        <f>HYPERLINK("https://klasma.github.io/Logging_0382/tillsyn/A 67855-2021 tillsynsbegäran.docx", "A 67855-2021")</f>
        <v/>
      </c>
      <c r="Y58">
        <f>HYPERLINK("https://klasma.github.io/Logging_0382/tillsynsmail/A 67855-2021 tillsynsbegäran mail.docx", "A 67855-2021")</f>
        <v/>
      </c>
    </row>
    <row r="59" ht="15" customHeight="1">
      <c r="A59" t="inlineStr">
        <is>
          <t>A 21453-2023</t>
        </is>
      </c>
      <c r="B59" s="1" t="n">
        <v>45063</v>
      </c>
      <c r="C59" s="1" t="n">
        <v>45930</v>
      </c>
      <c r="D59" t="inlineStr">
        <is>
          <t>UPPSALA LÄN</t>
        </is>
      </c>
      <c r="E59" t="inlineStr">
        <is>
          <t>ÖSTHAMMAR</t>
        </is>
      </c>
      <c r="F59" t="inlineStr">
        <is>
          <t>Bergvik skog väst AB</t>
        </is>
      </c>
      <c r="G59" t="n">
        <v>6.1</v>
      </c>
      <c r="H59" t="n">
        <v>1</v>
      </c>
      <c r="I59" t="n">
        <v>1</v>
      </c>
      <c r="J59" t="n">
        <v>0</v>
      </c>
      <c r="K59" t="n">
        <v>0</v>
      </c>
      <c r="L59" t="n">
        <v>0</v>
      </c>
      <c r="M59" t="n">
        <v>0</v>
      </c>
      <c r="N59" t="n">
        <v>0</v>
      </c>
      <c r="O59" t="n">
        <v>0</v>
      </c>
      <c r="P59" t="n">
        <v>0</v>
      </c>
      <c r="Q59" t="n">
        <v>2</v>
      </c>
      <c r="R59" s="2" t="inlineStr">
        <is>
          <t>Fransig jordstjärna
Blåsippa</t>
        </is>
      </c>
      <c r="S59">
        <f>HYPERLINK("https://klasma.github.io/Logging_0382/artfynd/A 21453-2023 artfynd.xlsx", "A 21453-2023")</f>
        <v/>
      </c>
      <c r="T59">
        <f>HYPERLINK("https://klasma.github.io/Logging_0382/kartor/A 21453-2023 karta.png", "A 21453-2023")</f>
        <v/>
      </c>
      <c r="V59">
        <f>HYPERLINK("https://klasma.github.io/Logging_0382/klagomål/A 21453-2023 FSC-klagomål.docx", "A 21453-2023")</f>
        <v/>
      </c>
      <c r="W59">
        <f>HYPERLINK("https://klasma.github.io/Logging_0382/klagomålsmail/A 21453-2023 FSC-klagomål mail.docx", "A 21453-2023")</f>
        <v/>
      </c>
      <c r="X59">
        <f>HYPERLINK("https://klasma.github.io/Logging_0382/tillsyn/A 21453-2023 tillsynsbegäran.docx", "A 21453-2023")</f>
        <v/>
      </c>
      <c r="Y59">
        <f>HYPERLINK("https://klasma.github.io/Logging_0382/tillsynsmail/A 21453-2023 tillsynsbegäran mail.docx", "A 21453-2023")</f>
        <v/>
      </c>
    </row>
    <row r="60" ht="15" customHeight="1">
      <c r="A60" t="inlineStr">
        <is>
          <t>A 37768-2025</t>
        </is>
      </c>
      <c r="B60" s="1" t="n">
        <v>45880</v>
      </c>
      <c r="C60" s="1" t="n">
        <v>45930</v>
      </c>
      <c r="D60" t="inlineStr">
        <is>
          <t>UPPSALA LÄN</t>
        </is>
      </c>
      <c r="E60" t="inlineStr">
        <is>
          <t>ÖSTHAMMAR</t>
        </is>
      </c>
      <c r="G60" t="n">
        <v>4.8</v>
      </c>
      <c r="H60" t="n">
        <v>0</v>
      </c>
      <c r="I60" t="n">
        <v>1</v>
      </c>
      <c r="J60" t="n">
        <v>1</v>
      </c>
      <c r="K60" t="n">
        <v>0</v>
      </c>
      <c r="L60" t="n">
        <v>0</v>
      </c>
      <c r="M60" t="n">
        <v>0</v>
      </c>
      <c r="N60" t="n">
        <v>0</v>
      </c>
      <c r="O60" t="n">
        <v>1</v>
      </c>
      <c r="P60" t="n">
        <v>0</v>
      </c>
      <c r="Q60" t="n">
        <v>2</v>
      </c>
      <c r="R60" s="2" t="inlineStr">
        <is>
          <t>Äggspindling
Anisspindling</t>
        </is>
      </c>
      <c r="S60">
        <f>HYPERLINK("https://klasma.github.io/Logging_0382/artfynd/A 37768-2025 artfynd.xlsx", "A 37768-2025")</f>
        <v/>
      </c>
      <c r="T60">
        <f>HYPERLINK("https://klasma.github.io/Logging_0382/kartor/A 37768-2025 karta.png", "A 37768-2025")</f>
        <v/>
      </c>
      <c r="V60">
        <f>HYPERLINK("https://klasma.github.io/Logging_0382/klagomål/A 37768-2025 FSC-klagomål.docx", "A 37768-2025")</f>
        <v/>
      </c>
      <c r="W60">
        <f>HYPERLINK("https://klasma.github.io/Logging_0382/klagomålsmail/A 37768-2025 FSC-klagomål mail.docx", "A 37768-2025")</f>
        <v/>
      </c>
      <c r="X60">
        <f>HYPERLINK("https://klasma.github.io/Logging_0382/tillsyn/A 37768-2025 tillsynsbegäran.docx", "A 37768-2025")</f>
        <v/>
      </c>
      <c r="Y60">
        <f>HYPERLINK("https://klasma.github.io/Logging_0382/tillsynsmail/A 37768-2025 tillsynsbegäran mail.docx", "A 37768-2025")</f>
        <v/>
      </c>
    </row>
    <row r="61" ht="15" customHeight="1">
      <c r="A61" t="inlineStr">
        <is>
          <t>A 20553-2025</t>
        </is>
      </c>
      <c r="B61" s="1" t="n">
        <v>45775.63983796296</v>
      </c>
      <c r="C61" s="1" t="n">
        <v>45930</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30943-2024</t>
        </is>
      </c>
      <c r="B62" s="1" t="n">
        <v>45499</v>
      </c>
      <c r="C62" s="1" t="n">
        <v>45930</v>
      </c>
      <c r="D62" t="inlineStr">
        <is>
          <t>UPPSALA LÄN</t>
        </is>
      </c>
      <c r="E62" t="inlineStr">
        <is>
          <t>ÖSTHAMMAR</t>
        </is>
      </c>
      <c r="G62" t="n">
        <v>4.5</v>
      </c>
      <c r="H62" t="n">
        <v>0</v>
      </c>
      <c r="I62" t="n">
        <v>2</v>
      </c>
      <c r="J62" t="n">
        <v>0</v>
      </c>
      <c r="K62" t="n">
        <v>0</v>
      </c>
      <c r="L62" t="n">
        <v>0</v>
      </c>
      <c r="M62" t="n">
        <v>0</v>
      </c>
      <c r="N62" t="n">
        <v>0</v>
      </c>
      <c r="O62" t="n">
        <v>0</v>
      </c>
      <c r="P62" t="n">
        <v>0</v>
      </c>
      <c r="Q62" t="n">
        <v>2</v>
      </c>
      <c r="R62" s="2" t="inlineStr">
        <is>
          <t>Tibast
Underviol</t>
        </is>
      </c>
      <c r="S62">
        <f>HYPERLINK("https://klasma.github.io/Logging_0382/artfynd/A 30943-2024 artfynd.xlsx", "A 30943-2024")</f>
        <v/>
      </c>
      <c r="T62">
        <f>HYPERLINK("https://klasma.github.io/Logging_0382/kartor/A 30943-2024 karta.png", "A 30943-2024")</f>
        <v/>
      </c>
      <c r="V62">
        <f>HYPERLINK("https://klasma.github.io/Logging_0382/klagomål/A 30943-2024 FSC-klagomål.docx", "A 30943-2024")</f>
        <v/>
      </c>
      <c r="W62">
        <f>HYPERLINK("https://klasma.github.io/Logging_0382/klagomålsmail/A 30943-2024 FSC-klagomål mail.docx", "A 30943-2024")</f>
        <v/>
      </c>
      <c r="X62">
        <f>HYPERLINK("https://klasma.github.io/Logging_0382/tillsyn/A 30943-2024 tillsynsbegäran.docx", "A 30943-2024")</f>
        <v/>
      </c>
      <c r="Y62">
        <f>HYPERLINK("https://klasma.github.io/Logging_0382/tillsynsmail/A 30943-2024 tillsynsbegäran mail.docx", "A 30943-2024")</f>
        <v/>
      </c>
    </row>
    <row r="63" ht="15" customHeight="1">
      <c r="A63" t="inlineStr">
        <is>
          <t>A 9646-2024</t>
        </is>
      </c>
      <c r="B63" s="1" t="n">
        <v>45362.37055555556</v>
      </c>
      <c r="C63" s="1" t="n">
        <v>45930</v>
      </c>
      <c r="D63" t="inlineStr">
        <is>
          <t>UPPSALA LÄN</t>
        </is>
      </c>
      <c r="E63" t="inlineStr">
        <is>
          <t>ÖSTHAMMAR</t>
        </is>
      </c>
      <c r="G63" t="n">
        <v>1.6</v>
      </c>
      <c r="H63" t="n">
        <v>0</v>
      </c>
      <c r="I63" t="n">
        <v>0</v>
      </c>
      <c r="J63" t="n">
        <v>1</v>
      </c>
      <c r="K63" t="n">
        <v>1</v>
      </c>
      <c r="L63" t="n">
        <v>0</v>
      </c>
      <c r="M63" t="n">
        <v>0</v>
      </c>
      <c r="N63" t="n">
        <v>0</v>
      </c>
      <c r="O63" t="n">
        <v>2</v>
      </c>
      <c r="P63" t="n">
        <v>1</v>
      </c>
      <c r="Q63" t="n">
        <v>2</v>
      </c>
      <c r="R63" s="2" t="inlineStr">
        <is>
          <t>Violgubbe
Gultoppig fingersvamp</t>
        </is>
      </c>
      <c r="S63">
        <f>HYPERLINK("https://klasma.github.io/Logging_0382/artfynd/A 9646-2024 artfynd.xlsx", "A 9646-2024")</f>
        <v/>
      </c>
      <c r="T63">
        <f>HYPERLINK("https://klasma.github.io/Logging_0382/kartor/A 9646-2024 karta.png", "A 9646-2024")</f>
        <v/>
      </c>
      <c r="V63">
        <f>HYPERLINK("https://klasma.github.io/Logging_0382/klagomål/A 9646-2024 FSC-klagomål.docx", "A 9646-2024")</f>
        <v/>
      </c>
      <c r="W63">
        <f>HYPERLINK("https://klasma.github.io/Logging_0382/klagomålsmail/A 9646-2024 FSC-klagomål mail.docx", "A 9646-2024")</f>
        <v/>
      </c>
      <c r="X63">
        <f>HYPERLINK("https://klasma.github.io/Logging_0382/tillsyn/A 9646-2024 tillsynsbegäran.docx", "A 9646-2024")</f>
        <v/>
      </c>
      <c r="Y63">
        <f>HYPERLINK("https://klasma.github.io/Logging_0382/tillsynsmail/A 9646-2024 tillsynsbegäran mail.docx", "A 9646-2024")</f>
        <v/>
      </c>
    </row>
    <row r="64" ht="15" customHeight="1">
      <c r="A64" t="inlineStr">
        <is>
          <t>A 2916-2025</t>
        </is>
      </c>
      <c r="B64" s="1" t="n">
        <v>45677</v>
      </c>
      <c r="C64" s="1" t="n">
        <v>45930</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73981-2021</t>
        </is>
      </c>
      <c r="B65" s="1" t="n">
        <v>44555</v>
      </c>
      <c r="C65" s="1" t="n">
        <v>45930</v>
      </c>
      <c r="D65" t="inlineStr">
        <is>
          <t>UPPSALA LÄN</t>
        </is>
      </c>
      <c r="E65" t="inlineStr">
        <is>
          <t>ÖSTHAMMAR</t>
        </is>
      </c>
      <c r="G65" t="n">
        <v>2.4</v>
      </c>
      <c r="H65" t="n">
        <v>0</v>
      </c>
      <c r="I65" t="n">
        <v>1</v>
      </c>
      <c r="J65" t="n">
        <v>1</v>
      </c>
      <c r="K65" t="n">
        <v>0</v>
      </c>
      <c r="L65" t="n">
        <v>0</v>
      </c>
      <c r="M65" t="n">
        <v>0</v>
      </c>
      <c r="N65" t="n">
        <v>0</v>
      </c>
      <c r="O65" t="n">
        <v>1</v>
      </c>
      <c r="P65" t="n">
        <v>0</v>
      </c>
      <c r="Q65" t="n">
        <v>2</v>
      </c>
      <c r="R65" s="2" t="inlineStr">
        <is>
          <t>Skogsklocka
Vårärt</t>
        </is>
      </c>
      <c r="S65">
        <f>HYPERLINK("https://klasma.github.io/Logging_0382/artfynd/A 73981-2021 artfynd.xlsx", "A 73981-2021")</f>
        <v/>
      </c>
      <c r="T65">
        <f>HYPERLINK("https://klasma.github.io/Logging_0382/kartor/A 73981-2021 karta.png", "A 73981-2021")</f>
        <v/>
      </c>
      <c r="V65">
        <f>HYPERLINK("https://klasma.github.io/Logging_0382/klagomål/A 73981-2021 FSC-klagomål.docx", "A 73981-2021")</f>
        <v/>
      </c>
      <c r="W65">
        <f>HYPERLINK("https://klasma.github.io/Logging_0382/klagomålsmail/A 73981-2021 FSC-klagomål mail.docx", "A 73981-2021")</f>
        <v/>
      </c>
      <c r="X65">
        <f>HYPERLINK("https://klasma.github.io/Logging_0382/tillsyn/A 73981-2021 tillsynsbegäran.docx", "A 73981-2021")</f>
        <v/>
      </c>
      <c r="Y65">
        <f>HYPERLINK("https://klasma.github.io/Logging_0382/tillsynsmail/A 73981-2021 tillsynsbegäran mail.docx", "A 73981-2021")</f>
        <v/>
      </c>
    </row>
    <row r="66" ht="15" customHeight="1">
      <c r="A66" t="inlineStr">
        <is>
          <t>A 13287-2022</t>
        </is>
      </c>
      <c r="B66" s="1" t="n">
        <v>44644</v>
      </c>
      <c r="C66" s="1" t="n">
        <v>45930</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33269-2025</t>
        </is>
      </c>
      <c r="B67" s="1" t="n">
        <v>45840.68208333333</v>
      </c>
      <c r="C67" s="1" t="n">
        <v>45930</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25098-2022</t>
        </is>
      </c>
      <c r="B68" s="1" t="n">
        <v>44729.44149305556</v>
      </c>
      <c r="C68" s="1" t="n">
        <v>45930</v>
      </c>
      <c r="D68" t="inlineStr">
        <is>
          <t>UPPSALA LÄN</t>
        </is>
      </c>
      <c r="E68" t="inlineStr">
        <is>
          <t>ÖSTHAMMAR</t>
        </is>
      </c>
      <c r="G68" t="n">
        <v>2.9</v>
      </c>
      <c r="H68" t="n">
        <v>2</v>
      </c>
      <c r="I68" t="n">
        <v>0</v>
      </c>
      <c r="J68" t="n">
        <v>0</v>
      </c>
      <c r="K68" t="n">
        <v>0</v>
      </c>
      <c r="L68" t="n">
        <v>0</v>
      </c>
      <c r="M68" t="n">
        <v>0</v>
      </c>
      <c r="N68" t="n">
        <v>0</v>
      </c>
      <c r="O68" t="n">
        <v>0</v>
      </c>
      <c r="P68" t="n">
        <v>0</v>
      </c>
      <c r="Q68" t="n">
        <v>2</v>
      </c>
      <c r="R68" s="2" t="inlineStr">
        <is>
          <t>Blåsippa
Gullviva</t>
        </is>
      </c>
      <c r="S68">
        <f>HYPERLINK("https://klasma.github.io/Logging_0382/artfynd/A 25098-2022 artfynd.xlsx", "A 25098-2022")</f>
        <v/>
      </c>
      <c r="T68">
        <f>HYPERLINK("https://klasma.github.io/Logging_0382/kartor/A 25098-2022 karta.png", "A 25098-2022")</f>
        <v/>
      </c>
      <c r="V68">
        <f>HYPERLINK("https://klasma.github.io/Logging_0382/klagomål/A 25098-2022 FSC-klagomål.docx", "A 25098-2022")</f>
        <v/>
      </c>
      <c r="W68">
        <f>HYPERLINK("https://klasma.github.io/Logging_0382/klagomålsmail/A 25098-2022 FSC-klagomål mail.docx", "A 25098-2022")</f>
        <v/>
      </c>
      <c r="X68">
        <f>HYPERLINK("https://klasma.github.io/Logging_0382/tillsyn/A 25098-2022 tillsynsbegäran.docx", "A 25098-2022")</f>
        <v/>
      </c>
      <c r="Y68">
        <f>HYPERLINK("https://klasma.github.io/Logging_0382/tillsynsmail/A 25098-2022 tillsynsbegäran mail.docx", "A 25098-2022")</f>
        <v/>
      </c>
    </row>
    <row r="69" ht="15" customHeight="1">
      <c r="A69" t="inlineStr">
        <is>
          <t>A 26277-2024</t>
        </is>
      </c>
      <c r="B69" s="1" t="n">
        <v>45468</v>
      </c>
      <c r="C69" s="1" t="n">
        <v>45930</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38442-2022</t>
        </is>
      </c>
      <c r="B70" s="1" t="n">
        <v>44813</v>
      </c>
      <c r="C70" s="1" t="n">
        <v>45930</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45930</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45930</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45930</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10034-2023</t>
        </is>
      </c>
      <c r="B74" s="1" t="n">
        <v>44985</v>
      </c>
      <c r="C74" s="1" t="n">
        <v>45930</v>
      </c>
      <c r="D74" t="inlineStr">
        <is>
          <t>UPPSALA LÄN</t>
        </is>
      </c>
      <c r="E74" t="inlineStr">
        <is>
          <t>ÖSTHAMMAR</t>
        </is>
      </c>
      <c r="G74" t="n">
        <v>2.1</v>
      </c>
      <c r="H74" t="n">
        <v>1</v>
      </c>
      <c r="I74" t="n">
        <v>0</v>
      </c>
      <c r="J74" t="n">
        <v>0</v>
      </c>
      <c r="K74" t="n">
        <v>0</v>
      </c>
      <c r="L74" t="n">
        <v>0</v>
      </c>
      <c r="M74" t="n">
        <v>0</v>
      </c>
      <c r="N74" t="n">
        <v>0</v>
      </c>
      <c r="O74" t="n">
        <v>0</v>
      </c>
      <c r="P74" t="n">
        <v>0</v>
      </c>
      <c r="Q74" t="n">
        <v>1</v>
      </c>
      <c r="R74" s="2" t="inlineStr">
        <is>
          <t>Blåsippa</t>
        </is>
      </c>
      <c r="S74">
        <f>HYPERLINK("https://klasma.github.io/Logging_0382/artfynd/A 10034-2023 artfynd.xlsx", "A 10034-2023")</f>
        <v/>
      </c>
      <c r="T74">
        <f>HYPERLINK("https://klasma.github.io/Logging_0382/kartor/A 10034-2023 karta.png", "A 10034-2023")</f>
        <v/>
      </c>
      <c r="V74">
        <f>HYPERLINK("https://klasma.github.io/Logging_0382/klagomål/A 10034-2023 FSC-klagomål.docx", "A 10034-2023")</f>
        <v/>
      </c>
      <c r="W74">
        <f>HYPERLINK("https://klasma.github.io/Logging_0382/klagomålsmail/A 10034-2023 FSC-klagomål mail.docx", "A 10034-2023")</f>
        <v/>
      </c>
      <c r="X74">
        <f>HYPERLINK("https://klasma.github.io/Logging_0382/tillsyn/A 10034-2023 tillsynsbegäran.docx", "A 10034-2023")</f>
        <v/>
      </c>
      <c r="Y74">
        <f>HYPERLINK("https://klasma.github.io/Logging_0382/tillsynsmail/A 10034-2023 tillsynsbegäran mail.docx", "A 10034-2023")</f>
        <v/>
      </c>
    </row>
    <row r="75" ht="15" customHeight="1">
      <c r="A75" t="inlineStr">
        <is>
          <t>A 46629-2024</t>
        </is>
      </c>
      <c r="B75" s="1" t="n">
        <v>45583.33221064815</v>
      </c>
      <c r="C75" s="1" t="n">
        <v>45930</v>
      </c>
      <c r="D75" t="inlineStr">
        <is>
          <t>UPPSALA LÄN</t>
        </is>
      </c>
      <c r="E75" t="inlineStr">
        <is>
          <t>ÖSTHAMMAR</t>
        </is>
      </c>
      <c r="F75" t="inlineStr">
        <is>
          <t>Bergvik skog öst AB</t>
        </is>
      </c>
      <c r="G75" t="n">
        <v>0.7</v>
      </c>
      <c r="H75" t="n">
        <v>0</v>
      </c>
      <c r="I75" t="n">
        <v>0</v>
      </c>
      <c r="J75" t="n">
        <v>1</v>
      </c>
      <c r="K75" t="n">
        <v>0</v>
      </c>
      <c r="L75" t="n">
        <v>0</v>
      </c>
      <c r="M75" t="n">
        <v>0</v>
      </c>
      <c r="N75" t="n">
        <v>0</v>
      </c>
      <c r="O75" t="n">
        <v>1</v>
      </c>
      <c r="P75" t="n">
        <v>0</v>
      </c>
      <c r="Q75" t="n">
        <v>1</v>
      </c>
      <c r="R75" s="2" t="inlineStr">
        <is>
          <t>Slåtterfibbla</t>
        </is>
      </c>
      <c r="S75">
        <f>HYPERLINK("https://klasma.github.io/Logging_0382/artfynd/A 46629-2024 artfynd.xlsx", "A 46629-2024")</f>
        <v/>
      </c>
      <c r="T75">
        <f>HYPERLINK("https://klasma.github.io/Logging_0382/kartor/A 46629-2024 karta.png", "A 46629-2024")</f>
        <v/>
      </c>
      <c r="V75">
        <f>HYPERLINK("https://klasma.github.io/Logging_0382/klagomål/A 46629-2024 FSC-klagomål.docx", "A 46629-2024")</f>
        <v/>
      </c>
      <c r="W75">
        <f>HYPERLINK("https://klasma.github.io/Logging_0382/klagomålsmail/A 46629-2024 FSC-klagomål mail.docx", "A 46629-2024")</f>
        <v/>
      </c>
      <c r="X75">
        <f>HYPERLINK("https://klasma.github.io/Logging_0382/tillsyn/A 46629-2024 tillsynsbegäran.docx", "A 46629-2024")</f>
        <v/>
      </c>
      <c r="Y75">
        <f>HYPERLINK("https://klasma.github.io/Logging_0382/tillsynsmail/A 46629-2024 tillsynsbegäran mail.docx", "A 46629-2024")</f>
        <v/>
      </c>
    </row>
    <row r="76" ht="15" customHeight="1">
      <c r="A76" t="inlineStr">
        <is>
          <t>A 11017-2023</t>
        </is>
      </c>
      <c r="B76" s="1" t="n">
        <v>44991</v>
      </c>
      <c r="C76" s="1" t="n">
        <v>45930</v>
      </c>
      <c r="D76" t="inlineStr">
        <is>
          <t>UPPSALA LÄN</t>
        </is>
      </c>
      <c r="E76" t="inlineStr">
        <is>
          <t>ÖSTHAMMAR</t>
        </is>
      </c>
      <c r="G76" t="n">
        <v>1.9</v>
      </c>
      <c r="H76" t="n">
        <v>1</v>
      </c>
      <c r="I76" t="n">
        <v>0</v>
      </c>
      <c r="J76" t="n">
        <v>1</v>
      </c>
      <c r="K76" t="n">
        <v>0</v>
      </c>
      <c r="L76" t="n">
        <v>0</v>
      </c>
      <c r="M76" t="n">
        <v>0</v>
      </c>
      <c r="N76" t="n">
        <v>0</v>
      </c>
      <c r="O76" t="n">
        <v>1</v>
      </c>
      <c r="P76" t="n">
        <v>0</v>
      </c>
      <c r="Q76" t="n">
        <v>1</v>
      </c>
      <c r="R76" s="2" t="inlineStr">
        <is>
          <t>Kornknarr</t>
        </is>
      </c>
      <c r="S76">
        <f>HYPERLINK("https://klasma.github.io/Logging_0382/artfynd/A 11017-2023 artfynd.xlsx", "A 11017-2023")</f>
        <v/>
      </c>
      <c r="T76">
        <f>HYPERLINK("https://klasma.github.io/Logging_0382/kartor/A 11017-2023 karta.png", "A 11017-2023")</f>
        <v/>
      </c>
      <c r="V76">
        <f>HYPERLINK("https://klasma.github.io/Logging_0382/klagomål/A 11017-2023 FSC-klagomål.docx", "A 11017-2023")</f>
        <v/>
      </c>
      <c r="W76">
        <f>HYPERLINK("https://klasma.github.io/Logging_0382/klagomålsmail/A 11017-2023 FSC-klagomål mail.docx", "A 11017-2023")</f>
        <v/>
      </c>
      <c r="X76">
        <f>HYPERLINK("https://klasma.github.io/Logging_0382/tillsyn/A 11017-2023 tillsynsbegäran.docx", "A 11017-2023")</f>
        <v/>
      </c>
      <c r="Y76">
        <f>HYPERLINK("https://klasma.github.io/Logging_0382/tillsynsmail/A 11017-2023 tillsynsbegäran mail.docx", "A 11017-2023")</f>
        <v/>
      </c>
    </row>
    <row r="77" ht="15" customHeight="1">
      <c r="A77" t="inlineStr">
        <is>
          <t>A 41220-2025</t>
        </is>
      </c>
      <c r="B77" s="1" t="n">
        <v>45898.58630787037</v>
      </c>
      <c r="C77" s="1" t="n">
        <v>45930</v>
      </c>
      <c r="D77" t="inlineStr">
        <is>
          <t>UPPSALA LÄN</t>
        </is>
      </c>
      <c r="E77" t="inlineStr">
        <is>
          <t>ÖSTHAMMAR</t>
        </is>
      </c>
      <c r="F77" t="inlineStr">
        <is>
          <t>Bergvik skog öst AB</t>
        </is>
      </c>
      <c r="G77" t="n">
        <v>2.5</v>
      </c>
      <c r="H77" t="n">
        <v>1</v>
      </c>
      <c r="I77" t="n">
        <v>0</v>
      </c>
      <c r="J77" t="n">
        <v>1</v>
      </c>
      <c r="K77" t="n">
        <v>0</v>
      </c>
      <c r="L77" t="n">
        <v>0</v>
      </c>
      <c r="M77" t="n">
        <v>0</v>
      </c>
      <c r="N77" t="n">
        <v>0</v>
      </c>
      <c r="O77" t="n">
        <v>1</v>
      </c>
      <c r="P77" t="n">
        <v>0</v>
      </c>
      <c r="Q77" t="n">
        <v>1</v>
      </c>
      <c r="R77" s="2" t="inlineStr">
        <is>
          <t>Spillkråka</t>
        </is>
      </c>
      <c r="S77">
        <f>HYPERLINK("https://klasma.github.io/Logging_0382/artfynd/A 41220-2025 artfynd.xlsx", "A 41220-2025")</f>
        <v/>
      </c>
      <c r="T77">
        <f>HYPERLINK("https://klasma.github.io/Logging_0382/kartor/A 41220-2025 karta.png", "A 41220-2025")</f>
        <v/>
      </c>
      <c r="V77">
        <f>HYPERLINK("https://klasma.github.io/Logging_0382/klagomål/A 41220-2025 FSC-klagomål.docx", "A 41220-2025")</f>
        <v/>
      </c>
      <c r="W77">
        <f>HYPERLINK("https://klasma.github.io/Logging_0382/klagomålsmail/A 41220-2025 FSC-klagomål mail.docx", "A 41220-2025")</f>
        <v/>
      </c>
      <c r="X77">
        <f>HYPERLINK("https://klasma.github.io/Logging_0382/tillsyn/A 41220-2025 tillsynsbegäran.docx", "A 41220-2025")</f>
        <v/>
      </c>
      <c r="Y77">
        <f>HYPERLINK("https://klasma.github.io/Logging_0382/tillsynsmail/A 41220-2025 tillsynsbegäran mail.docx", "A 41220-2025")</f>
        <v/>
      </c>
      <c r="Z77">
        <f>HYPERLINK("https://klasma.github.io/Logging_0382/fåglar/A 41220-2025 prioriterade fågelarter.docx", "A 41220-2025")</f>
        <v/>
      </c>
    </row>
    <row r="78" ht="15" customHeight="1">
      <c r="A78" t="inlineStr">
        <is>
          <t>A 52818-2022</t>
        </is>
      </c>
      <c r="B78" s="1" t="n">
        <v>44875</v>
      </c>
      <c r="C78" s="1" t="n">
        <v>45930</v>
      </c>
      <c r="D78" t="inlineStr">
        <is>
          <t>UPPSALA LÄN</t>
        </is>
      </c>
      <c r="E78" t="inlineStr">
        <is>
          <t>ÖSTHAMMAR</t>
        </is>
      </c>
      <c r="G78" t="n">
        <v>0.9</v>
      </c>
      <c r="H78" t="n">
        <v>1</v>
      </c>
      <c r="I78" t="n">
        <v>1</v>
      </c>
      <c r="J78" t="n">
        <v>0</v>
      </c>
      <c r="K78" t="n">
        <v>0</v>
      </c>
      <c r="L78" t="n">
        <v>0</v>
      </c>
      <c r="M78" t="n">
        <v>0</v>
      </c>
      <c r="N78" t="n">
        <v>0</v>
      </c>
      <c r="O78" t="n">
        <v>0</v>
      </c>
      <c r="P78" t="n">
        <v>0</v>
      </c>
      <c r="Q78" t="n">
        <v>1</v>
      </c>
      <c r="R78" s="2" t="inlineStr">
        <is>
          <t>Guckusko</t>
        </is>
      </c>
      <c r="S78">
        <f>HYPERLINK("https://klasma.github.io/Logging_0382/artfynd/A 52818-2022 artfynd.xlsx", "A 52818-2022")</f>
        <v/>
      </c>
      <c r="T78">
        <f>HYPERLINK("https://klasma.github.io/Logging_0382/kartor/A 52818-2022 karta.png", "A 52818-2022")</f>
        <v/>
      </c>
      <c r="V78">
        <f>HYPERLINK("https://klasma.github.io/Logging_0382/klagomål/A 52818-2022 FSC-klagomål.docx", "A 52818-2022")</f>
        <v/>
      </c>
      <c r="W78">
        <f>HYPERLINK("https://klasma.github.io/Logging_0382/klagomålsmail/A 52818-2022 FSC-klagomål mail.docx", "A 52818-2022")</f>
        <v/>
      </c>
      <c r="X78">
        <f>HYPERLINK("https://klasma.github.io/Logging_0382/tillsyn/A 52818-2022 tillsynsbegäran.docx", "A 52818-2022")</f>
        <v/>
      </c>
      <c r="Y78">
        <f>HYPERLINK("https://klasma.github.io/Logging_0382/tillsynsmail/A 52818-2022 tillsynsbegäran mail.docx", "A 52818-2022")</f>
        <v/>
      </c>
    </row>
    <row r="79" ht="15" customHeight="1">
      <c r="A79" t="inlineStr">
        <is>
          <t>A 25179-2023</t>
        </is>
      </c>
      <c r="B79" s="1" t="n">
        <v>45078</v>
      </c>
      <c r="C79" s="1" t="n">
        <v>45930</v>
      </c>
      <c r="D79" t="inlineStr">
        <is>
          <t>UPPSALA LÄN</t>
        </is>
      </c>
      <c r="E79" t="inlineStr">
        <is>
          <t>ÖSTHAMMAR</t>
        </is>
      </c>
      <c r="G79" t="n">
        <v>3.2</v>
      </c>
      <c r="H79" t="n">
        <v>0</v>
      </c>
      <c r="I79" t="n">
        <v>0</v>
      </c>
      <c r="J79" t="n">
        <v>1</v>
      </c>
      <c r="K79" t="n">
        <v>0</v>
      </c>
      <c r="L79" t="n">
        <v>0</v>
      </c>
      <c r="M79" t="n">
        <v>0</v>
      </c>
      <c r="N79" t="n">
        <v>0</v>
      </c>
      <c r="O79" t="n">
        <v>1</v>
      </c>
      <c r="P79" t="n">
        <v>0</v>
      </c>
      <c r="Q79" t="n">
        <v>1</v>
      </c>
      <c r="R79" s="2" t="inlineStr">
        <is>
          <t>Grantaggsvamp</t>
        </is>
      </c>
      <c r="S79">
        <f>HYPERLINK("https://klasma.github.io/Logging_0382/artfynd/A 25179-2023 artfynd.xlsx", "A 25179-2023")</f>
        <v/>
      </c>
      <c r="T79">
        <f>HYPERLINK("https://klasma.github.io/Logging_0382/kartor/A 25179-2023 karta.png", "A 25179-2023")</f>
        <v/>
      </c>
      <c r="V79">
        <f>HYPERLINK("https://klasma.github.io/Logging_0382/klagomål/A 25179-2023 FSC-klagomål.docx", "A 25179-2023")</f>
        <v/>
      </c>
      <c r="W79">
        <f>HYPERLINK("https://klasma.github.io/Logging_0382/klagomålsmail/A 25179-2023 FSC-klagomål mail.docx", "A 25179-2023")</f>
        <v/>
      </c>
      <c r="X79">
        <f>HYPERLINK("https://klasma.github.io/Logging_0382/tillsyn/A 25179-2023 tillsynsbegäran.docx", "A 25179-2023")</f>
        <v/>
      </c>
      <c r="Y79">
        <f>HYPERLINK("https://klasma.github.io/Logging_0382/tillsynsmail/A 25179-2023 tillsynsbegäran mail.docx", "A 25179-2023")</f>
        <v/>
      </c>
    </row>
    <row r="80" ht="15" customHeight="1">
      <c r="A80" t="inlineStr">
        <is>
          <t>A 22209-2022</t>
        </is>
      </c>
      <c r="B80" s="1" t="n">
        <v>44712</v>
      </c>
      <c r="C80" s="1" t="n">
        <v>45930</v>
      </c>
      <c r="D80" t="inlineStr">
        <is>
          <t>UPPSALA LÄN</t>
        </is>
      </c>
      <c r="E80" t="inlineStr">
        <is>
          <t>ÖSTHAMMAR</t>
        </is>
      </c>
      <c r="F80" t="inlineStr">
        <is>
          <t>Bergvik skog öst AB</t>
        </is>
      </c>
      <c r="G80" t="n">
        <v>1.5</v>
      </c>
      <c r="H80" t="n">
        <v>1</v>
      </c>
      <c r="I80" t="n">
        <v>0</v>
      </c>
      <c r="J80" t="n">
        <v>0</v>
      </c>
      <c r="K80" t="n">
        <v>0</v>
      </c>
      <c r="L80" t="n">
        <v>0</v>
      </c>
      <c r="M80" t="n">
        <v>0</v>
      </c>
      <c r="N80" t="n">
        <v>0</v>
      </c>
      <c r="O80" t="n">
        <v>0</v>
      </c>
      <c r="P80" t="n">
        <v>0</v>
      </c>
      <c r="Q80" t="n">
        <v>1</v>
      </c>
      <c r="R80" s="2" t="inlineStr">
        <is>
          <t>Blåsippa</t>
        </is>
      </c>
      <c r="S80">
        <f>HYPERLINK("https://klasma.github.io/Logging_0382/artfynd/A 22209-2022 artfynd.xlsx", "A 22209-2022")</f>
        <v/>
      </c>
      <c r="T80">
        <f>HYPERLINK("https://klasma.github.io/Logging_0382/kartor/A 22209-2022 karta.png", "A 22209-2022")</f>
        <v/>
      </c>
      <c r="V80">
        <f>HYPERLINK("https://klasma.github.io/Logging_0382/klagomål/A 22209-2022 FSC-klagomål.docx", "A 22209-2022")</f>
        <v/>
      </c>
      <c r="W80">
        <f>HYPERLINK("https://klasma.github.io/Logging_0382/klagomålsmail/A 22209-2022 FSC-klagomål mail.docx", "A 22209-2022")</f>
        <v/>
      </c>
      <c r="X80">
        <f>HYPERLINK("https://klasma.github.io/Logging_0382/tillsyn/A 22209-2022 tillsynsbegäran.docx", "A 22209-2022")</f>
        <v/>
      </c>
      <c r="Y80">
        <f>HYPERLINK("https://klasma.github.io/Logging_0382/tillsynsmail/A 22209-2022 tillsynsbegäran mail.docx", "A 22209-2022")</f>
        <v/>
      </c>
    </row>
    <row r="81" ht="15" customHeight="1">
      <c r="A81" t="inlineStr">
        <is>
          <t>A 70495-2021</t>
        </is>
      </c>
      <c r="B81" s="1" t="n">
        <v>44536</v>
      </c>
      <c r="C81" s="1" t="n">
        <v>45930</v>
      </c>
      <c r="D81" t="inlineStr">
        <is>
          <t>UPPSALA LÄN</t>
        </is>
      </c>
      <c r="E81" t="inlineStr">
        <is>
          <t>ÖSTHAMMAR</t>
        </is>
      </c>
      <c r="G81" t="n">
        <v>1</v>
      </c>
      <c r="H81" t="n">
        <v>1</v>
      </c>
      <c r="I81" t="n">
        <v>0</v>
      </c>
      <c r="J81" t="n">
        <v>1</v>
      </c>
      <c r="K81" t="n">
        <v>0</v>
      </c>
      <c r="L81" t="n">
        <v>0</v>
      </c>
      <c r="M81" t="n">
        <v>0</v>
      </c>
      <c r="N81" t="n">
        <v>0</v>
      </c>
      <c r="O81" t="n">
        <v>1</v>
      </c>
      <c r="P81" t="n">
        <v>0</v>
      </c>
      <c r="Q81" t="n">
        <v>1</v>
      </c>
      <c r="R81" s="2" t="inlineStr">
        <is>
          <t>Slaguggla</t>
        </is>
      </c>
      <c r="S81">
        <f>HYPERLINK("https://klasma.github.io/Logging_0382/artfynd/A 70495-2021 artfynd.xlsx", "A 70495-2021")</f>
        <v/>
      </c>
      <c r="T81">
        <f>HYPERLINK("https://klasma.github.io/Logging_0382/kartor/A 70495-2021 karta.png", "A 70495-2021")</f>
        <v/>
      </c>
      <c r="V81">
        <f>HYPERLINK("https://klasma.github.io/Logging_0382/klagomål/A 70495-2021 FSC-klagomål.docx", "A 70495-2021")</f>
        <v/>
      </c>
      <c r="W81">
        <f>HYPERLINK("https://klasma.github.io/Logging_0382/klagomålsmail/A 70495-2021 FSC-klagomål mail.docx", "A 70495-2021")</f>
        <v/>
      </c>
      <c r="X81">
        <f>HYPERLINK("https://klasma.github.io/Logging_0382/tillsyn/A 70495-2021 tillsynsbegäran.docx", "A 70495-2021")</f>
        <v/>
      </c>
      <c r="Y81">
        <f>HYPERLINK("https://klasma.github.io/Logging_0382/tillsynsmail/A 70495-2021 tillsynsbegäran mail.docx", "A 70495-2021")</f>
        <v/>
      </c>
      <c r="Z81">
        <f>HYPERLINK("https://klasma.github.io/Logging_0382/fåglar/A 70495-2021 prioriterade fågelarter.docx", "A 70495-2021")</f>
        <v/>
      </c>
    </row>
    <row r="82" ht="15" customHeight="1">
      <c r="A82" t="inlineStr">
        <is>
          <t>A 14706-2023</t>
        </is>
      </c>
      <c r="B82" s="1" t="n">
        <v>45013</v>
      </c>
      <c r="C82" s="1" t="n">
        <v>45930</v>
      </c>
      <c r="D82" t="inlineStr">
        <is>
          <t>UPPSALA LÄN</t>
        </is>
      </c>
      <c r="E82" t="inlineStr">
        <is>
          <t>ÖSTHAMMAR</t>
        </is>
      </c>
      <c r="G82" t="n">
        <v>0.9</v>
      </c>
      <c r="H82" t="n">
        <v>0</v>
      </c>
      <c r="I82" t="n">
        <v>1</v>
      </c>
      <c r="J82" t="n">
        <v>0</v>
      </c>
      <c r="K82" t="n">
        <v>0</v>
      </c>
      <c r="L82" t="n">
        <v>0</v>
      </c>
      <c r="M82" t="n">
        <v>0</v>
      </c>
      <c r="N82" t="n">
        <v>0</v>
      </c>
      <c r="O82" t="n">
        <v>0</v>
      </c>
      <c r="P82" t="n">
        <v>0</v>
      </c>
      <c r="Q82" t="n">
        <v>1</v>
      </c>
      <c r="R82" s="2" t="inlineStr">
        <is>
          <t>Olivspindling</t>
        </is>
      </c>
      <c r="S82">
        <f>HYPERLINK("https://klasma.github.io/Logging_0382/artfynd/A 14706-2023 artfynd.xlsx", "A 14706-2023")</f>
        <v/>
      </c>
      <c r="T82">
        <f>HYPERLINK("https://klasma.github.io/Logging_0382/kartor/A 14706-2023 karta.png", "A 14706-2023")</f>
        <v/>
      </c>
      <c r="V82">
        <f>HYPERLINK("https://klasma.github.io/Logging_0382/klagomål/A 14706-2023 FSC-klagomål.docx", "A 14706-2023")</f>
        <v/>
      </c>
      <c r="W82">
        <f>HYPERLINK("https://klasma.github.io/Logging_0382/klagomålsmail/A 14706-2023 FSC-klagomål mail.docx", "A 14706-2023")</f>
        <v/>
      </c>
      <c r="X82">
        <f>HYPERLINK("https://klasma.github.io/Logging_0382/tillsyn/A 14706-2023 tillsynsbegäran.docx", "A 14706-2023")</f>
        <v/>
      </c>
      <c r="Y82">
        <f>HYPERLINK("https://klasma.github.io/Logging_0382/tillsynsmail/A 14706-2023 tillsynsbegäran mail.docx", "A 14706-2023")</f>
        <v/>
      </c>
    </row>
    <row r="83" ht="15" customHeight="1">
      <c r="A83" t="inlineStr">
        <is>
          <t>A 22287-2023</t>
        </is>
      </c>
      <c r="B83" s="1" t="n">
        <v>45070</v>
      </c>
      <c r="C83" s="1" t="n">
        <v>45930</v>
      </c>
      <c r="D83" t="inlineStr">
        <is>
          <t>UPPSALA LÄN</t>
        </is>
      </c>
      <c r="E83" t="inlineStr">
        <is>
          <t>ÖSTHAMMAR</t>
        </is>
      </c>
      <c r="G83" t="n">
        <v>6.3</v>
      </c>
      <c r="H83" t="n">
        <v>1</v>
      </c>
      <c r="I83" t="n">
        <v>1</v>
      </c>
      <c r="J83" t="n">
        <v>0</v>
      </c>
      <c r="K83" t="n">
        <v>0</v>
      </c>
      <c r="L83" t="n">
        <v>0</v>
      </c>
      <c r="M83" t="n">
        <v>0</v>
      </c>
      <c r="N83" t="n">
        <v>0</v>
      </c>
      <c r="O83" t="n">
        <v>0</v>
      </c>
      <c r="P83" t="n">
        <v>0</v>
      </c>
      <c r="Q83" t="n">
        <v>1</v>
      </c>
      <c r="R83" s="2" t="inlineStr">
        <is>
          <t>Guckusko</t>
        </is>
      </c>
      <c r="S83">
        <f>HYPERLINK("https://klasma.github.io/Logging_0382/artfynd/A 22287-2023 artfynd.xlsx", "A 22287-2023")</f>
        <v/>
      </c>
      <c r="T83">
        <f>HYPERLINK("https://klasma.github.io/Logging_0382/kartor/A 22287-2023 karta.png", "A 22287-2023")</f>
        <v/>
      </c>
      <c r="V83">
        <f>HYPERLINK("https://klasma.github.io/Logging_0382/klagomål/A 22287-2023 FSC-klagomål.docx", "A 22287-2023")</f>
        <v/>
      </c>
      <c r="W83">
        <f>HYPERLINK("https://klasma.github.io/Logging_0382/klagomålsmail/A 22287-2023 FSC-klagomål mail.docx", "A 22287-2023")</f>
        <v/>
      </c>
      <c r="X83">
        <f>HYPERLINK("https://klasma.github.io/Logging_0382/tillsyn/A 22287-2023 tillsynsbegäran.docx", "A 22287-2023")</f>
        <v/>
      </c>
      <c r="Y83">
        <f>HYPERLINK("https://klasma.github.io/Logging_0382/tillsynsmail/A 22287-2023 tillsynsbegäran mail.docx", "A 22287-2023")</f>
        <v/>
      </c>
    </row>
    <row r="84" ht="15" customHeight="1">
      <c r="A84" t="inlineStr">
        <is>
          <t>A 7470-2022</t>
        </is>
      </c>
      <c r="B84" s="1" t="n">
        <v>44607</v>
      </c>
      <c r="C84" s="1" t="n">
        <v>45930</v>
      </c>
      <c r="D84" t="inlineStr">
        <is>
          <t>UPPSALA LÄN</t>
        </is>
      </c>
      <c r="E84" t="inlineStr">
        <is>
          <t>ÖSTHAMMAR</t>
        </is>
      </c>
      <c r="G84" t="n">
        <v>2.6</v>
      </c>
      <c r="H84" t="n">
        <v>1</v>
      </c>
      <c r="I84" t="n">
        <v>1</v>
      </c>
      <c r="J84" t="n">
        <v>0</v>
      </c>
      <c r="K84" t="n">
        <v>0</v>
      </c>
      <c r="L84" t="n">
        <v>0</v>
      </c>
      <c r="M84" t="n">
        <v>0</v>
      </c>
      <c r="N84" t="n">
        <v>0</v>
      </c>
      <c r="O84" t="n">
        <v>0</v>
      </c>
      <c r="P84" t="n">
        <v>0</v>
      </c>
      <c r="Q84" t="n">
        <v>1</v>
      </c>
      <c r="R84" s="2" t="inlineStr">
        <is>
          <t>Grön sköldmossa</t>
        </is>
      </c>
      <c r="S84">
        <f>HYPERLINK("https://klasma.github.io/Logging_0382/artfynd/A 7470-2022 artfynd.xlsx", "A 7470-2022")</f>
        <v/>
      </c>
      <c r="T84">
        <f>HYPERLINK("https://klasma.github.io/Logging_0382/kartor/A 7470-2022 karta.png", "A 7470-2022")</f>
        <v/>
      </c>
      <c r="V84">
        <f>HYPERLINK("https://klasma.github.io/Logging_0382/klagomål/A 7470-2022 FSC-klagomål.docx", "A 7470-2022")</f>
        <v/>
      </c>
      <c r="W84">
        <f>HYPERLINK("https://klasma.github.io/Logging_0382/klagomålsmail/A 7470-2022 FSC-klagomål mail.docx", "A 7470-2022")</f>
        <v/>
      </c>
      <c r="X84">
        <f>HYPERLINK("https://klasma.github.io/Logging_0382/tillsyn/A 7470-2022 tillsynsbegäran.docx", "A 7470-2022")</f>
        <v/>
      </c>
      <c r="Y84">
        <f>HYPERLINK("https://klasma.github.io/Logging_0382/tillsynsmail/A 7470-2022 tillsynsbegäran mail.docx", "A 7470-2022")</f>
        <v/>
      </c>
    </row>
    <row r="85" ht="15" customHeight="1">
      <c r="A85" t="inlineStr">
        <is>
          <t>A 33800-2024</t>
        </is>
      </c>
      <c r="B85" s="1" t="n">
        <v>45520</v>
      </c>
      <c r="C85" s="1" t="n">
        <v>45930</v>
      </c>
      <c r="D85" t="inlineStr">
        <is>
          <t>UPPSALA LÄN</t>
        </is>
      </c>
      <c r="E85" t="inlineStr">
        <is>
          <t>ÖSTHAMMAR</t>
        </is>
      </c>
      <c r="F85" t="inlineStr">
        <is>
          <t>Naturvårdsverket</t>
        </is>
      </c>
      <c r="G85" t="n">
        <v>1.5</v>
      </c>
      <c r="H85" t="n">
        <v>1</v>
      </c>
      <c r="I85" t="n">
        <v>0</v>
      </c>
      <c r="J85" t="n">
        <v>0</v>
      </c>
      <c r="K85" t="n">
        <v>0</v>
      </c>
      <c r="L85" t="n">
        <v>0</v>
      </c>
      <c r="M85" t="n">
        <v>0</v>
      </c>
      <c r="N85" t="n">
        <v>0</v>
      </c>
      <c r="O85" t="n">
        <v>0</v>
      </c>
      <c r="P85" t="n">
        <v>0</v>
      </c>
      <c r="Q85" t="n">
        <v>1</v>
      </c>
      <c r="R85" s="2" t="inlineStr">
        <is>
          <t>Fläcknycklar</t>
        </is>
      </c>
      <c r="S85">
        <f>HYPERLINK("https://klasma.github.io/Logging_0382/artfynd/A 33800-2024 artfynd.xlsx", "A 33800-2024")</f>
        <v/>
      </c>
      <c r="T85">
        <f>HYPERLINK("https://klasma.github.io/Logging_0382/kartor/A 33800-2024 karta.png", "A 33800-2024")</f>
        <v/>
      </c>
      <c r="V85">
        <f>HYPERLINK("https://klasma.github.io/Logging_0382/klagomål/A 33800-2024 FSC-klagomål.docx", "A 33800-2024")</f>
        <v/>
      </c>
      <c r="W85">
        <f>HYPERLINK("https://klasma.github.io/Logging_0382/klagomålsmail/A 33800-2024 FSC-klagomål mail.docx", "A 33800-2024")</f>
        <v/>
      </c>
      <c r="X85">
        <f>HYPERLINK("https://klasma.github.io/Logging_0382/tillsyn/A 33800-2024 tillsynsbegäran.docx", "A 33800-2024")</f>
        <v/>
      </c>
      <c r="Y85">
        <f>HYPERLINK("https://klasma.github.io/Logging_0382/tillsynsmail/A 33800-2024 tillsynsbegäran mail.docx", "A 33800-2024")</f>
        <v/>
      </c>
    </row>
    <row r="86" ht="15" customHeight="1">
      <c r="A86" t="inlineStr">
        <is>
          <t>A 12753-2024</t>
        </is>
      </c>
      <c r="B86" s="1" t="n">
        <v>45384</v>
      </c>
      <c r="C86" s="1" t="n">
        <v>45930</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49839-2021</t>
        </is>
      </c>
      <c r="B87" s="1" t="n">
        <v>44455</v>
      </c>
      <c r="C87" s="1" t="n">
        <v>45930</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14203-2024</t>
        </is>
      </c>
      <c r="B88" s="1" t="n">
        <v>45393</v>
      </c>
      <c r="C88" s="1" t="n">
        <v>45930</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45930</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22375-2024</t>
        </is>
      </c>
      <c r="B90" s="1" t="n">
        <v>45446</v>
      </c>
      <c r="C90" s="1" t="n">
        <v>45930</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37296-2023</t>
        </is>
      </c>
      <c r="B91" s="1" t="n">
        <v>45156</v>
      </c>
      <c r="C91" s="1" t="n">
        <v>45930</v>
      </c>
      <c r="D91" t="inlineStr">
        <is>
          <t>UPPSALA LÄN</t>
        </is>
      </c>
      <c r="E91" t="inlineStr">
        <is>
          <t>ÖSTHAMMAR</t>
        </is>
      </c>
      <c r="G91" t="n">
        <v>4.7</v>
      </c>
      <c r="H91" t="n">
        <v>1</v>
      </c>
      <c r="I91" t="n">
        <v>0</v>
      </c>
      <c r="J91" t="n">
        <v>0</v>
      </c>
      <c r="K91" t="n">
        <v>1</v>
      </c>
      <c r="L91" t="n">
        <v>0</v>
      </c>
      <c r="M91" t="n">
        <v>0</v>
      </c>
      <c r="N91" t="n">
        <v>0</v>
      </c>
      <c r="O91" t="n">
        <v>1</v>
      </c>
      <c r="P91" t="n">
        <v>1</v>
      </c>
      <c r="Q91" t="n">
        <v>1</v>
      </c>
      <c r="R91" s="2" t="inlineStr">
        <is>
          <t>Backsippa</t>
        </is>
      </c>
      <c r="S91">
        <f>HYPERLINK("https://klasma.github.io/Logging_0382/artfynd/A 37296-2023 artfynd.xlsx", "A 37296-2023")</f>
        <v/>
      </c>
      <c r="T91">
        <f>HYPERLINK("https://klasma.github.io/Logging_0382/kartor/A 37296-2023 karta.png", "A 37296-2023")</f>
        <v/>
      </c>
      <c r="V91">
        <f>HYPERLINK("https://klasma.github.io/Logging_0382/klagomål/A 37296-2023 FSC-klagomål.docx", "A 37296-2023")</f>
        <v/>
      </c>
      <c r="W91">
        <f>HYPERLINK("https://klasma.github.io/Logging_0382/klagomålsmail/A 37296-2023 FSC-klagomål mail.docx", "A 37296-2023")</f>
        <v/>
      </c>
      <c r="X91">
        <f>HYPERLINK("https://klasma.github.io/Logging_0382/tillsyn/A 37296-2023 tillsynsbegäran.docx", "A 37296-2023")</f>
        <v/>
      </c>
      <c r="Y91">
        <f>HYPERLINK("https://klasma.github.io/Logging_0382/tillsynsmail/A 37296-2023 tillsynsbegäran mail.docx", "A 37296-2023")</f>
        <v/>
      </c>
    </row>
    <row r="92" ht="15" customHeight="1">
      <c r="A92" t="inlineStr">
        <is>
          <t>A 65989-2021</t>
        </is>
      </c>
      <c r="B92" s="1" t="n">
        <v>44517</v>
      </c>
      <c r="C92" s="1" t="n">
        <v>45930</v>
      </c>
      <c r="D92" t="inlineStr">
        <is>
          <t>UPPSALA LÄN</t>
        </is>
      </c>
      <c r="E92" t="inlineStr">
        <is>
          <t>ÖSTHAMMAR</t>
        </is>
      </c>
      <c r="G92" t="n">
        <v>6.9</v>
      </c>
      <c r="H92" t="n">
        <v>1</v>
      </c>
      <c r="I92" t="n">
        <v>1</v>
      </c>
      <c r="J92" t="n">
        <v>0</v>
      </c>
      <c r="K92" t="n">
        <v>0</v>
      </c>
      <c r="L92" t="n">
        <v>0</v>
      </c>
      <c r="M92" t="n">
        <v>0</v>
      </c>
      <c r="N92" t="n">
        <v>0</v>
      </c>
      <c r="O92" t="n">
        <v>0</v>
      </c>
      <c r="P92" t="n">
        <v>0</v>
      </c>
      <c r="Q92" t="n">
        <v>1</v>
      </c>
      <c r="R92" s="2" t="inlineStr">
        <is>
          <t>Skogsknipprot</t>
        </is>
      </c>
      <c r="S92">
        <f>HYPERLINK("https://klasma.github.io/Logging_0382/artfynd/A 65989-2021 artfynd.xlsx", "A 65989-2021")</f>
        <v/>
      </c>
      <c r="T92">
        <f>HYPERLINK("https://klasma.github.io/Logging_0382/kartor/A 65989-2021 karta.png", "A 65989-2021")</f>
        <v/>
      </c>
      <c r="V92">
        <f>HYPERLINK("https://klasma.github.io/Logging_0382/klagomål/A 65989-2021 FSC-klagomål.docx", "A 65989-2021")</f>
        <v/>
      </c>
      <c r="W92">
        <f>HYPERLINK("https://klasma.github.io/Logging_0382/klagomålsmail/A 65989-2021 FSC-klagomål mail.docx", "A 65989-2021")</f>
        <v/>
      </c>
      <c r="X92">
        <f>HYPERLINK("https://klasma.github.io/Logging_0382/tillsyn/A 65989-2021 tillsynsbegäran.docx", "A 65989-2021")</f>
        <v/>
      </c>
      <c r="Y92">
        <f>HYPERLINK("https://klasma.github.io/Logging_0382/tillsynsmail/A 65989-2021 tillsynsbegäran mail.docx", "A 65989-2021")</f>
        <v/>
      </c>
    </row>
    <row r="93" ht="15" customHeight="1">
      <c r="A93" t="inlineStr">
        <is>
          <t>A 7446-2022</t>
        </is>
      </c>
      <c r="B93" s="1" t="n">
        <v>44606</v>
      </c>
      <c r="C93" s="1" t="n">
        <v>45930</v>
      </c>
      <c r="D93" t="inlineStr">
        <is>
          <t>UPPSALA LÄN</t>
        </is>
      </c>
      <c r="E93" t="inlineStr">
        <is>
          <t>ÖSTHAMMAR</t>
        </is>
      </c>
      <c r="G93" t="n">
        <v>5</v>
      </c>
      <c r="H93" t="n">
        <v>1</v>
      </c>
      <c r="I93" t="n">
        <v>0</v>
      </c>
      <c r="J93" t="n">
        <v>0</v>
      </c>
      <c r="K93" t="n">
        <v>0</v>
      </c>
      <c r="L93" t="n">
        <v>0</v>
      </c>
      <c r="M93" t="n">
        <v>0</v>
      </c>
      <c r="N93" t="n">
        <v>0</v>
      </c>
      <c r="O93" t="n">
        <v>0</v>
      </c>
      <c r="P93" t="n">
        <v>0</v>
      </c>
      <c r="Q93" t="n">
        <v>1</v>
      </c>
      <c r="R93" s="2" t="inlineStr">
        <is>
          <t>Mattlummer</t>
        </is>
      </c>
      <c r="S93">
        <f>HYPERLINK("https://klasma.github.io/Logging_0382/artfynd/A 7446-2022 artfynd.xlsx", "A 7446-2022")</f>
        <v/>
      </c>
      <c r="T93">
        <f>HYPERLINK("https://klasma.github.io/Logging_0382/kartor/A 7446-2022 karta.png", "A 7446-2022")</f>
        <v/>
      </c>
      <c r="V93">
        <f>HYPERLINK("https://klasma.github.io/Logging_0382/klagomål/A 7446-2022 FSC-klagomål.docx", "A 7446-2022")</f>
        <v/>
      </c>
      <c r="W93">
        <f>HYPERLINK("https://klasma.github.io/Logging_0382/klagomålsmail/A 7446-2022 FSC-klagomål mail.docx", "A 7446-2022")</f>
        <v/>
      </c>
      <c r="X93">
        <f>HYPERLINK("https://klasma.github.io/Logging_0382/tillsyn/A 7446-2022 tillsynsbegäran.docx", "A 7446-2022")</f>
        <v/>
      </c>
      <c r="Y93">
        <f>HYPERLINK("https://klasma.github.io/Logging_0382/tillsynsmail/A 7446-2022 tillsynsbegäran mail.docx", "A 7446-2022")</f>
        <v/>
      </c>
    </row>
    <row r="94" ht="15" customHeight="1">
      <c r="A94" t="inlineStr">
        <is>
          <t>A 30605-2025</t>
        </is>
      </c>
      <c r="B94" s="1" t="n">
        <v>45831.45510416666</v>
      </c>
      <c r="C94" s="1" t="n">
        <v>45930</v>
      </c>
      <c r="D94" t="inlineStr">
        <is>
          <t>UPPSALA LÄN</t>
        </is>
      </c>
      <c r="E94" t="inlineStr">
        <is>
          <t>ÖSTHAMMAR</t>
        </is>
      </c>
      <c r="G94" t="n">
        <v>1.7</v>
      </c>
      <c r="H94" t="n">
        <v>0</v>
      </c>
      <c r="I94" t="n">
        <v>0</v>
      </c>
      <c r="J94" t="n">
        <v>0</v>
      </c>
      <c r="K94" t="n">
        <v>1</v>
      </c>
      <c r="L94" t="n">
        <v>0</v>
      </c>
      <c r="M94" t="n">
        <v>0</v>
      </c>
      <c r="N94" t="n">
        <v>0</v>
      </c>
      <c r="O94" t="n">
        <v>1</v>
      </c>
      <c r="P94" t="n">
        <v>1</v>
      </c>
      <c r="Q94" t="n">
        <v>1</v>
      </c>
      <c r="R94" s="2" t="inlineStr">
        <is>
          <t>Plattsäv</t>
        </is>
      </c>
      <c r="S94">
        <f>HYPERLINK("https://klasma.github.io/Logging_0382/artfynd/A 30605-2025 artfynd.xlsx", "A 30605-2025")</f>
        <v/>
      </c>
      <c r="T94">
        <f>HYPERLINK("https://klasma.github.io/Logging_0382/kartor/A 30605-2025 karta.png", "A 30605-2025")</f>
        <v/>
      </c>
      <c r="V94">
        <f>HYPERLINK("https://klasma.github.io/Logging_0382/klagomål/A 30605-2025 FSC-klagomål.docx", "A 30605-2025")</f>
        <v/>
      </c>
      <c r="W94">
        <f>HYPERLINK("https://klasma.github.io/Logging_0382/klagomålsmail/A 30605-2025 FSC-klagomål mail.docx", "A 30605-2025")</f>
        <v/>
      </c>
      <c r="X94">
        <f>HYPERLINK("https://klasma.github.io/Logging_0382/tillsyn/A 30605-2025 tillsynsbegäran.docx", "A 30605-2025")</f>
        <v/>
      </c>
      <c r="Y94">
        <f>HYPERLINK("https://klasma.github.io/Logging_0382/tillsynsmail/A 30605-2025 tillsynsbegäran mail.docx", "A 30605-2025")</f>
        <v/>
      </c>
    </row>
    <row r="95" ht="15" customHeight="1">
      <c r="A95" t="inlineStr">
        <is>
          <t>A 1227-2022</t>
        </is>
      </c>
      <c r="B95" s="1" t="n">
        <v>44572.57641203704</v>
      </c>
      <c r="C95" s="1" t="n">
        <v>45930</v>
      </c>
      <c r="D95" t="inlineStr">
        <is>
          <t>UPPSALA LÄN</t>
        </is>
      </c>
      <c r="E95" t="inlineStr">
        <is>
          <t>ÖSTHAMMAR</t>
        </is>
      </c>
      <c r="G95" t="n">
        <v>1.7</v>
      </c>
      <c r="H95" t="n">
        <v>0</v>
      </c>
      <c r="I95" t="n">
        <v>1</v>
      </c>
      <c r="J95" t="n">
        <v>0</v>
      </c>
      <c r="K95" t="n">
        <v>0</v>
      </c>
      <c r="L95" t="n">
        <v>0</v>
      </c>
      <c r="M95" t="n">
        <v>0</v>
      </c>
      <c r="N95" t="n">
        <v>0</v>
      </c>
      <c r="O95" t="n">
        <v>0</v>
      </c>
      <c r="P95" t="n">
        <v>0</v>
      </c>
      <c r="Q95" t="n">
        <v>1</v>
      </c>
      <c r="R95" s="2" t="inlineStr">
        <is>
          <t>Guldkremla</t>
        </is>
      </c>
      <c r="S95">
        <f>HYPERLINK("https://klasma.github.io/Logging_0382/artfynd/A 1227-2022 artfynd.xlsx", "A 1227-2022")</f>
        <v/>
      </c>
      <c r="T95">
        <f>HYPERLINK("https://klasma.github.io/Logging_0382/kartor/A 1227-2022 karta.png", "A 1227-2022")</f>
        <v/>
      </c>
      <c r="V95">
        <f>HYPERLINK("https://klasma.github.io/Logging_0382/klagomål/A 1227-2022 FSC-klagomål.docx", "A 1227-2022")</f>
        <v/>
      </c>
      <c r="W95">
        <f>HYPERLINK("https://klasma.github.io/Logging_0382/klagomålsmail/A 1227-2022 FSC-klagomål mail.docx", "A 1227-2022")</f>
        <v/>
      </c>
      <c r="X95">
        <f>HYPERLINK("https://klasma.github.io/Logging_0382/tillsyn/A 1227-2022 tillsynsbegäran.docx", "A 1227-2022")</f>
        <v/>
      </c>
      <c r="Y95">
        <f>HYPERLINK("https://klasma.github.io/Logging_0382/tillsynsmail/A 1227-2022 tillsynsbegäran mail.docx", "A 1227-2022")</f>
        <v/>
      </c>
    </row>
    <row r="96" ht="15" customHeight="1">
      <c r="A96" t="inlineStr">
        <is>
          <t>A 61479-2020</t>
        </is>
      </c>
      <c r="B96" s="1" t="n">
        <v>44154</v>
      </c>
      <c r="C96" s="1" t="n">
        <v>45930</v>
      </c>
      <c r="D96" t="inlineStr">
        <is>
          <t>UPPSALA LÄN</t>
        </is>
      </c>
      <c r="E96" t="inlineStr">
        <is>
          <t>ÖSTHAMMAR</t>
        </is>
      </c>
      <c r="G96" t="n">
        <v>2.5</v>
      </c>
      <c r="H96" t="n">
        <v>0</v>
      </c>
      <c r="I96" t="n">
        <v>1</v>
      </c>
      <c r="J96" t="n">
        <v>0</v>
      </c>
      <c r="K96" t="n">
        <v>0</v>
      </c>
      <c r="L96" t="n">
        <v>0</v>
      </c>
      <c r="M96" t="n">
        <v>0</v>
      </c>
      <c r="N96" t="n">
        <v>0</v>
      </c>
      <c r="O96" t="n">
        <v>0</v>
      </c>
      <c r="P96" t="n">
        <v>0</v>
      </c>
      <c r="Q96" t="n">
        <v>1</v>
      </c>
      <c r="R96" s="2" t="inlineStr">
        <is>
          <t>Olivspindling</t>
        </is>
      </c>
      <c r="S96">
        <f>HYPERLINK("https://klasma.github.io/Logging_0382/artfynd/A 61479-2020 artfynd.xlsx", "A 61479-2020")</f>
        <v/>
      </c>
      <c r="T96">
        <f>HYPERLINK("https://klasma.github.io/Logging_0382/kartor/A 61479-2020 karta.png", "A 61479-2020")</f>
        <v/>
      </c>
      <c r="V96">
        <f>HYPERLINK("https://klasma.github.io/Logging_0382/klagomål/A 61479-2020 FSC-klagomål.docx", "A 61479-2020")</f>
        <v/>
      </c>
      <c r="W96">
        <f>HYPERLINK("https://klasma.github.io/Logging_0382/klagomålsmail/A 61479-2020 FSC-klagomål mail.docx", "A 61479-2020")</f>
        <v/>
      </c>
      <c r="X96">
        <f>HYPERLINK("https://klasma.github.io/Logging_0382/tillsyn/A 61479-2020 tillsynsbegäran.docx", "A 61479-2020")</f>
        <v/>
      </c>
      <c r="Y96">
        <f>HYPERLINK("https://klasma.github.io/Logging_0382/tillsynsmail/A 61479-2020 tillsynsbegäran mail.docx", "A 61479-2020")</f>
        <v/>
      </c>
    </row>
    <row r="97" ht="15" customHeight="1">
      <c r="A97" t="inlineStr">
        <is>
          <t>A 29564-2023</t>
        </is>
      </c>
      <c r="B97" s="1" t="n">
        <v>45106</v>
      </c>
      <c r="C97" s="1" t="n">
        <v>45930</v>
      </c>
      <c r="D97" t="inlineStr">
        <is>
          <t>UPPSALA LÄN</t>
        </is>
      </c>
      <c r="E97" t="inlineStr">
        <is>
          <t>ÖSTHAMMAR</t>
        </is>
      </c>
      <c r="F97" t="inlineStr">
        <is>
          <t>Naturvårdsverket</t>
        </is>
      </c>
      <c r="G97" t="n">
        <v>1.2</v>
      </c>
      <c r="H97" t="n">
        <v>1</v>
      </c>
      <c r="I97" t="n">
        <v>0</v>
      </c>
      <c r="J97" t="n">
        <v>0</v>
      </c>
      <c r="K97" t="n">
        <v>0</v>
      </c>
      <c r="L97" t="n">
        <v>0</v>
      </c>
      <c r="M97" t="n">
        <v>0</v>
      </c>
      <c r="N97" t="n">
        <v>0</v>
      </c>
      <c r="O97" t="n">
        <v>0</v>
      </c>
      <c r="P97" t="n">
        <v>0</v>
      </c>
      <c r="Q97" t="n">
        <v>1</v>
      </c>
      <c r="R97" s="2" t="inlineStr">
        <is>
          <t>Blåsippa</t>
        </is>
      </c>
      <c r="S97">
        <f>HYPERLINK("https://klasma.github.io/Logging_0382/artfynd/A 29564-2023 artfynd.xlsx", "A 29564-2023")</f>
        <v/>
      </c>
      <c r="T97">
        <f>HYPERLINK("https://klasma.github.io/Logging_0382/kartor/A 29564-2023 karta.png", "A 29564-2023")</f>
        <v/>
      </c>
      <c r="V97">
        <f>HYPERLINK("https://klasma.github.io/Logging_0382/klagomål/A 29564-2023 FSC-klagomål.docx", "A 29564-2023")</f>
        <v/>
      </c>
      <c r="W97">
        <f>HYPERLINK("https://klasma.github.io/Logging_0382/klagomålsmail/A 29564-2023 FSC-klagomål mail.docx", "A 29564-2023")</f>
        <v/>
      </c>
      <c r="X97">
        <f>HYPERLINK("https://klasma.github.io/Logging_0382/tillsyn/A 29564-2023 tillsynsbegäran.docx", "A 29564-2023")</f>
        <v/>
      </c>
      <c r="Y97">
        <f>HYPERLINK("https://klasma.github.io/Logging_0382/tillsynsmail/A 29564-2023 tillsynsbegäran mail.docx", "A 29564-2023")</f>
        <v/>
      </c>
    </row>
    <row r="98" ht="15" customHeight="1">
      <c r="A98" t="inlineStr">
        <is>
          <t>A 29679-2023</t>
        </is>
      </c>
      <c r="B98" s="1" t="n">
        <v>45107</v>
      </c>
      <c r="C98" s="1" t="n">
        <v>45930</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45930</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6143-2025</t>
        </is>
      </c>
      <c r="B100" s="1" t="n">
        <v>45698.38697916667</v>
      </c>
      <c r="C100" s="1" t="n">
        <v>45930</v>
      </c>
      <c r="D100" t="inlineStr">
        <is>
          <t>UPPSALA LÄN</t>
        </is>
      </c>
      <c r="E100" t="inlineStr">
        <is>
          <t>ÖSTHAMMAR</t>
        </is>
      </c>
      <c r="F100" t="inlineStr">
        <is>
          <t>Bergvik skog öst AB</t>
        </is>
      </c>
      <c r="G100" t="n">
        <v>3.6</v>
      </c>
      <c r="H100" t="n">
        <v>0</v>
      </c>
      <c r="I100" t="n">
        <v>1</v>
      </c>
      <c r="J100" t="n">
        <v>0</v>
      </c>
      <c r="K100" t="n">
        <v>0</v>
      </c>
      <c r="L100" t="n">
        <v>0</v>
      </c>
      <c r="M100" t="n">
        <v>0</v>
      </c>
      <c r="N100" t="n">
        <v>0</v>
      </c>
      <c r="O100" t="n">
        <v>0</v>
      </c>
      <c r="P100" t="n">
        <v>0</v>
      </c>
      <c r="Q100" t="n">
        <v>1</v>
      </c>
      <c r="R100" s="2" t="inlineStr">
        <is>
          <t>Svavelriska</t>
        </is>
      </c>
      <c r="S100">
        <f>HYPERLINK("https://klasma.github.io/Logging_0382/artfynd/A 6143-2025 artfynd.xlsx", "A 6143-2025")</f>
        <v/>
      </c>
      <c r="T100">
        <f>HYPERLINK("https://klasma.github.io/Logging_0382/kartor/A 6143-2025 karta.png", "A 6143-2025")</f>
        <v/>
      </c>
      <c r="V100">
        <f>HYPERLINK("https://klasma.github.io/Logging_0382/klagomål/A 6143-2025 FSC-klagomål.docx", "A 6143-2025")</f>
        <v/>
      </c>
      <c r="W100">
        <f>HYPERLINK("https://klasma.github.io/Logging_0382/klagomålsmail/A 6143-2025 FSC-klagomål mail.docx", "A 6143-2025")</f>
        <v/>
      </c>
      <c r="X100">
        <f>HYPERLINK("https://klasma.github.io/Logging_0382/tillsyn/A 6143-2025 tillsynsbegäran.docx", "A 6143-2025")</f>
        <v/>
      </c>
      <c r="Y100">
        <f>HYPERLINK("https://klasma.github.io/Logging_0382/tillsynsmail/A 6143-2025 tillsynsbegäran mail.docx", "A 6143-2025")</f>
        <v/>
      </c>
    </row>
    <row r="101" ht="15" customHeight="1">
      <c r="A101" t="inlineStr">
        <is>
          <t>A 34090-2023</t>
        </is>
      </c>
      <c r="B101" s="1" t="n">
        <v>45135</v>
      </c>
      <c r="C101" s="1" t="n">
        <v>45930</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3693-2021</t>
        </is>
      </c>
      <c r="B102" s="1" t="n">
        <v>44221</v>
      </c>
      <c r="C102" s="1" t="n">
        <v>45930</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45930</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45930</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45930</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45930</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45930</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45930</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45930</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45930</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45930</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45930</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45930</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45930</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45930</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45930</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45930</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45930</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45930</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45930</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45930</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45930</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45930</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45930</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45930</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45930</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45930</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45930</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45930</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45930</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45930</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45930</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45930</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45930</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45930</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45930</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45930</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45930</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45930</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45930</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45930</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45930</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45930</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45930</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45930</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45930</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45930</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45930</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45930</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45930</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45930</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45930</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45930</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45930</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45930</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45930</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45930</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45930</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12999-2022</t>
        </is>
      </c>
      <c r="B160" s="1" t="n">
        <v>44643.4372337963</v>
      </c>
      <c r="C160" s="1" t="n">
        <v>45930</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52432-2020</t>
        </is>
      </c>
      <c r="B161" s="1" t="n">
        <v>44118</v>
      </c>
      <c r="C161" s="1" t="n">
        <v>45930</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52434-2020</t>
        </is>
      </c>
      <c r="B162" s="1" t="n">
        <v>44118</v>
      </c>
      <c r="C162" s="1" t="n">
        <v>45930</v>
      </c>
      <c r="D162" t="inlineStr">
        <is>
          <t>UPPSALA LÄN</t>
        </is>
      </c>
      <c r="E162" t="inlineStr">
        <is>
          <t>ÖSTHAMMAR</t>
        </is>
      </c>
      <c r="G162" t="n">
        <v>2.8</v>
      </c>
      <c r="H162" t="n">
        <v>0</v>
      </c>
      <c r="I162" t="n">
        <v>0</v>
      </c>
      <c r="J162" t="n">
        <v>0</v>
      </c>
      <c r="K162" t="n">
        <v>0</v>
      </c>
      <c r="L162" t="n">
        <v>0</v>
      </c>
      <c r="M162" t="n">
        <v>0</v>
      </c>
      <c r="N162" t="n">
        <v>0</v>
      </c>
      <c r="O162" t="n">
        <v>0</v>
      </c>
      <c r="P162" t="n">
        <v>0</v>
      </c>
      <c r="Q162" t="n">
        <v>0</v>
      </c>
      <c r="R162" s="2" t="inlineStr"/>
    </row>
    <row r="163" ht="15" customHeight="1">
      <c r="A163" t="inlineStr">
        <is>
          <t>A 59432-2020</t>
        </is>
      </c>
      <c r="B163" s="1" t="n">
        <v>44148</v>
      </c>
      <c r="C163" s="1" t="n">
        <v>45930</v>
      </c>
      <c r="D163" t="inlineStr">
        <is>
          <t>UPPSALA LÄN</t>
        </is>
      </c>
      <c r="E163" t="inlineStr">
        <is>
          <t>ÖSTHAMMAR</t>
        </is>
      </c>
      <c r="F163" t="inlineStr">
        <is>
          <t>Sveaskog</t>
        </is>
      </c>
      <c r="G163" t="n">
        <v>3.4</v>
      </c>
      <c r="H163" t="n">
        <v>0</v>
      </c>
      <c r="I163" t="n">
        <v>0</v>
      </c>
      <c r="J163" t="n">
        <v>0</v>
      </c>
      <c r="K163" t="n">
        <v>0</v>
      </c>
      <c r="L163" t="n">
        <v>0</v>
      </c>
      <c r="M163" t="n">
        <v>0</v>
      </c>
      <c r="N163" t="n">
        <v>0</v>
      </c>
      <c r="O163" t="n">
        <v>0</v>
      </c>
      <c r="P163" t="n">
        <v>0</v>
      </c>
      <c r="Q163" t="n">
        <v>0</v>
      </c>
      <c r="R163" s="2" t="inlineStr"/>
    </row>
    <row r="164" ht="15" customHeight="1">
      <c r="A164" t="inlineStr">
        <is>
          <t>A 16184-2022</t>
        </is>
      </c>
      <c r="B164" s="1" t="n">
        <v>44669.36354166667</v>
      </c>
      <c r="C164" s="1" t="n">
        <v>45930</v>
      </c>
      <c r="D164" t="inlineStr">
        <is>
          <t>UPPSALA LÄN</t>
        </is>
      </c>
      <c r="E164" t="inlineStr">
        <is>
          <t>ÖSTHAMMAR</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52898-2021</t>
        </is>
      </c>
      <c r="B165" s="1" t="n">
        <v>44467</v>
      </c>
      <c r="C165" s="1" t="n">
        <v>45930</v>
      </c>
      <c r="D165" t="inlineStr">
        <is>
          <t>UPPSALA LÄN</t>
        </is>
      </c>
      <c r="E165" t="inlineStr">
        <is>
          <t>ÖSTHAMMAR</t>
        </is>
      </c>
      <c r="G165" t="n">
        <v>2.3</v>
      </c>
      <c r="H165" t="n">
        <v>0</v>
      </c>
      <c r="I165" t="n">
        <v>0</v>
      </c>
      <c r="J165" t="n">
        <v>0</v>
      </c>
      <c r="K165" t="n">
        <v>0</v>
      </c>
      <c r="L165" t="n">
        <v>0</v>
      </c>
      <c r="M165" t="n">
        <v>0</v>
      </c>
      <c r="N165" t="n">
        <v>0</v>
      </c>
      <c r="O165" t="n">
        <v>0</v>
      </c>
      <c r="P165" t="n">
        <v>0</v>
      </c>
      <c r="Q165" t="n">
        <v>0</v>
      </c>
      <c r="R165" s="2" t="inlineStr"/>
    </row>
    <row r="166" ht="15" customHeight="1">
      <c r="A166" t="inlineStr">
        <is>
          <t>A 16185-2022</t>
        </is>
      </c>
      <c r="B166" s="1" t="n">
        <v>44669</v>
      </c>
      <c r="C166" s="1" t="n">
        <v>45930</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24316-2021</t>
        </is>
      </c>
      <c r="B167" s="1" t="n">
        <v>44337</v>
      </c>
      <c r="C167" s="1" t="n">
        <v>45930</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45930</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45930</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61193-2020</t>
        </is>
      </c>
      <c r="B170" s="1" t="n">
        <v>44155</v>
      </c>
      <c r="C170" s="1" t="n">
        <v>45930</v>
      </c>
      <c r="D170" t="inlineStr">
        <is>
          <t>UPPSALA LÄN</t>
        </is>
      </c>
      <c r="E170" t="inlineStr">
        <is>
          <t>ÖSTHAMMAR</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9789-2022</t>
        </is>
      </c>
      <c r="B171" s="1" t="n">
        <v>44620.35590277778</v>
      </c>
      <c r="C171" s="1" t="n">
        <v>45930</v>
      </c>
      <c r="D171" t="inlineStr">
        <is>
          <t>UPPSALA LÄN</t>
        </is>
      </c>
      <c r="E171" t="inlineStr">
        <is>
          <t>ÖSTHAMMAR</t>
        </is>
      </c>
      <c r="G171" t="n">
        <v>1.2</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45930</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18736-2022</t>
        </is>
      </c>
      <c r="B173" s="1" t="n">
        <v>44687.87017361111</v>
      </c>
      <c r="C173" s="1" t="n">
        <v>45930</v>
      </c>
      <c r="D173" t="inlineStr">
        <is>
          <t>UPPSALA LÄN</t>
        </is>
      </c>
      <c r="E173" t="inlineStr">
        <is>
          <t>ÖSTHAMMAR</t>
        </is>
      </c>
      <c r="F173" t="inlineStr">
        <is>
          <t>Bergvik skog öst AB</t>
        </is>
      </c>
      <c r="G173" t="n">
        <v>0.4</v>
      </c>
      <c r="H173" t="n">
        <v>0</v>
      </c>
      <c r="I173" t="n">
        <v>0</v>
      </c>
      <c r="J173" t="n">
        <v>0</v>
      </c>
      <c r="K173" t="n">
        <v>0</v>
      </c>
      <c r="L173" t="n">
        <v>0</v>
      </c>
      <c r="M173" t="n">
        <v>0</v>
      </c>
      <c r="N173" t="n">
        <v>0</v>
      </c>
      <c r="O173" t="n">
        <v>0</v>
      </c>
      <c r="P173" t="n">
        <v>0</v>
      </c>
      <c r="Q173" t="n">
        <v>0</v>
      </c>
      <c r="R173" s="2" t="inlineStr"/>
    </row>
    <row r="174" ht="15" customHeight="1">
      <c r="A174" t="inlineStr">
        <is>
          <t>A 22887-2022</t>
        </is>
      </c>
      <c r="B174" s="1" t="n">
        <v>44715</v>
      </c>
      <c r="C174" s="1" t="n">
        <v>45930</v>
      </c>
      <c r="D174" t="inlineStr">
        <is>
          <t>UPPSALA LÄN</t>
        </is>
      </c>
      <c r="E174" t="inlineStr">
        <is>
          <t>ÖSTHAMMAR</t>
        </is>
      </c>
      <c r="G174" t="n">
        <v>0.2</v>
      </c>
      <c r="H174" t="n">
        <v>0</v>
      </c>
      <c r="I174" t="n">
        <v>0</v>
      </c>
      <c r="J174" t="n">
        <v>0</v>
      </c>
      <c r="K174" t="n">
        <v>0</v>
      </c>
      <c r="L174" t="n">
        <v>0</v>
      </c>
      <c r="M174" t="n">
        <v>0</v>
      </c>
      <c r="N174" t="n">
        <v>0</v>
      </c>
      <c r="O174" t="n">
        <v>0</v>
      </c>
      <c r="P174" t="n">
        <v>0</v>
      </c>
      <c r="Q174" t="n">
        <v>0</v>
      </c>
      <c r="R174" s="2" t="inlineStr"/>
    </row>
    <row r="175" ht="15" customHeight="1">
      <c r="A175" t="inlineStr">
        <is>
          <t>A 52544-2021</t>
        </is>
      </c>
      <c r="B175" s="1" t="n">
        <v>44466</v>
      </c>
      <c r="C175" s="1" t="n">
        <v>45930</v>
      </c>
      <c r="D175" t="inlineStr">
        <is>
          <t>UPPSALA LÄN</t>
        </is>
      </c>
      <c r="E175" t="inlineStr">
        <is>
          <t>ÖSTHAMMAR</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2168-2022</t>
        </is>
      </c>
      <c r="B176" s="1" t="n">
        <v>44578</v>
      </c>
      <c r="C176" s="1" t="n">
        <v>45930</v>
      </c>
      <c r="D176" t="inlineStr">
        <is>
          <t>UPPSALA LÄN</t>
        </is>
      </c>
      <c r="E176" t="inlineStr">
        <is>
          <t>ÖSTHAMMAR</t>
        </is>
      </c>
      <c r="G176" t="n">
        <v>2.9</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44661.74027777778</v>
      </c>
      <c r="C177" s="1" t="n">
        <v>45930</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45930</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44734.49601851852</v>
      </c>
      <c r="C179" s="1" t="n">
        <v>45930</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11884-2022</t>
        </is>
      </c>
      <c r="B180" s="1" t="n">
        <v>44635.39946759259</v>
      </c>
      <c r="C180" s="1" t="n">
        <v>45930</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18734-2022</t>
        </is>
      </c>
      <c r="B181" s="1" t="n">
        <v>44687.86751157408</v>
      </c>
      <c r="C181" s="1" t="n">
        <v>45930</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19040-2023</t>
        </is>
      </c>
      <c r="B182" s="1" t="n">
        <v>45047</v>
      </c>
      <c r="C182" s="1" t="n">
        <v>45930</v>
      </c>
      <c r="D182" t="inlineStr">
        <is>
          <t>UPPSALA LÄN</t>
        </is>
      </c>
      <c r="E182" t="inlineStr">
        <is>
          <t>ÖSTHAMMAR</t>
        </is>
      </c>
      <c r="F182" t="inlineStr">
        <is>
          <t>Bergvik skog öst AB</t>
        </is>
      </c>
      <c r="G182" t="n">
        <v>1.7</v>
      </c>
      <c r="H182" t="n">
        <v>0</v>
      </c>
      <c r="I182" t="n">
        <v>0</v>
      </c>
      <c r="J182" t="n">
        <v>0</v>
      </c>
      <c r="K182" t="n">
        <v>0</v>
      </c>
      <c r="L182" t="n">
        <v>0</v>
      </c>
      <c r="M182" t="n">
        <v>0</v>
      </c>
      <c r="N182" t="n">
        <v>0</v>
      </c>
      <c r="O182" t="n">
        <v>0</v>
      </c>
      <c r="P182" t="n">
        <v>0</v>
      </c>
      <c r="Q182" t="n">
        <v>0</v>
      </c>
      <c r="R182" s="2" t="inlineStr"/>
    </row>
    <row r="183" ht="15" customHeight="1">
      <c r="A183" t="inlineStr">
        <is>
          <t>A 18838-2023</t>
        </is>
      </c>
      <c r="B183" s="1" t="n">
        <v>45044</v>
      </c>
      <c r="C183" s="1" t="n">
        <v>45930</v>
      </c>
      <c r="D183" t="inlineStr">
        <is>
          <t>UPPSALA LÄN</t>
        </is>
      </c>
      <c r="E183" t="inlineStr">
        <is>
          <t>ÖSTHAMMAR</t>
        </is>
      </c>
      <c r="G183" t="n">
        <v>2.8</v>
      </c>
      <c r="H183" t="n">
        <v>0</v>
      </c>
      <c r="I183" t="n">
        <v>0</v>
      </c>
      <c r="J183" t="n">
        <v>0</v>
      </c>
      <c r="K183" t="n">
        <v>0</v>
      </c>
      <c r="L183" t="n">
        <v>0</v>
      </c>
      <c r="M183" t="n">
        <v>0</v>
      </c>
      <c r="N183" t="n">
        <v>0</v>
      </c>
      <c r="O183" t="n">
        <v>0</v>
      </c>
      <c r="P183" t="n">
        <v>0</v>
      </c>
      <c r="Q183" t="n">
        <v>0</v>
      </c>
      <c r="R183" s="2" t="inlineStr"/>
    </row>
    <row r="184" ht="15" customHeight="1">
      <c r="A184" t="inlineStr">
        <is>
          <t>A 17022-2021</t>
        </is>
      </c>
      <c r="B184" s="1" t="n">
        <v>44295.65875</v>
      </c>
      <c r="C184" s="1" t="n">
        <v>45930</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1436-2025</t>
        </is>
      </c>
      <c r="B185" s="1" t="n">
        <v>45669.67625</v>
      </c>
      <c r="C185" s="1" t="n">
        <v>45930</v>
      </c>
      <c r="D185" t="inlineStr">
        <is>
          <t>UPPSALA LÄN</t>
        </is>
      </c>
      <c r="E185" t="inlineStr">
        <is>
          <t>ÖSTHAMMAR</t>
        </is>
      </c>
      <c r="G185" t="n">
        <v>0.6</v>
      </c>
      <c r="H185" t="n">
        <v>0</v>
      </c>
      <c r="I185" t="n">
        <v>0</v>
      </c>
      <c r="J185" t="n">
        <v>0</v>
      </c>
      <c r="K185" t="n">
        <v>0</v>
      </c>
      <c r="L185" t="n">
        <v>0</v>
      </c>
      <c r="M185" t="n">
        <v>0</v>
      </c>
      <c r="N185" t="n">
        <v>0</v>
      </c>
      <c r="O185" t="n">
        <v>0</v>
      </c>
      <c r="P185" t="n">
        <v>0</v>
      </c>
      <c r="Q185" t="n">
        <v>0</v>
      </c>
      <c r="R185" s="2" t="inlineStr"/>
    </row>
    <row r="186" ht="15" customHeight="1">
      <c r="A186" t="inlineStr">
        <is>
          <t>A 38702-2022</t>
        </is>
      </c>
      <c r="B186" s="1" t="n">
        <v>44814.5991087963</v>
      </c>
      <c r="C186" s="1" t="n">
        <v>45930</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33062-2021</t>
        </is>
      </c>
      <c r="B187" s="1" t="n">
        <v>44376</v>
      </c>
      <c r="C187" s="1" t="n">
        <v>45930</v>
      </c>
      <c r="D187" t="inlineStr">
        <is>
          <t>UPPSALA LÄN</t>
        </is>
      </c>
      <c r="E187" t="inlineStr">
        <is>
          <t>ÖSTHAMMAR</t>
        </is>
      </c>
      <c r="G187" t="n">
        <v>12</v>
      </c>
      <c r="H187" t="n">
        <v>0</v>
      </c>
      <c r="I187" t="n">
        <v>0</v>
      </c>
      <c r="J187" t="n">
        <v>0</v>
      </c>
      <c r="K187" t="n">
        <v>0</v>
      </c>
      <c r="L187" t="n">
        <v>0</v>
      </c>
      <c r="M187" t="n">
        <v>0</v>
      </c>
      <c r="N187" t="n">
        <v>0</v>
      </c>
      <c r="O187" t="n">
        <v>0</v>
      </c>
      <c r="P187" t="n">
        <v>0</v>
      </c>
      <c r="Q187" t="n">
        <v>0</v>
      </c>
      <c r="R187" s="2" t="inlineStr"/>
    </row>
    <row r="188" ht="15" customHeight="1">
      <c r="A188" t="inlineStr">
        <is>
          <t>A 61560-2021</t>
        </is>
      </c>
      <c r="B188" s="1" t="n">
        <v>44501.42905092592</v>
      </c>
      <c r="C188" s="1" t="n">
        <v>45930</v>
      </c>
      <c r="D188" t="inlineStr">
        <is>
          <t>UPPSALA LÄN</t>
        </is>
      </c>
      <c r="E188" t="inlineStr">
        <is>
          <t>ÖSTHAMMAR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45930</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7871-2022</t>
        </is>
      </c>
      <c r="B190" s="1" t="n">
        <v>44608</v>
      </c>
      <c r="C190" s="1" t="n">
        <v>45930</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45930</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37545-2022</t>
        </is>
      </c>
      <c r="B192" s="1" t="n">
        <v>44809.63373842592</v>
      </c>
      <c r="C192" s="1" t="n">
        <v>45930</v>
      </c>
      <c r="D192" t="inlineStr">
        <is>
          <t>UPPSALA LÄN</t>
        </is>
      </c>
      <c r="E192" t="inlineStr">
        <is>
          <t>ÖSTHAMMAR</t>
        </is>
      </c>
      <c r="G192" t="n">
        <v>3.1</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45930</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45930</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51906-2022</t>
        </is>
      </c>
      <c r="B195" s="1" t="n">
        <v>44872.62109953703</v>
      </c>
      <c r="C195" s="1" t="n">
        <v>45930</v>
      </c>
      <c r="D195" t="inlineStr">
        <is>
          <t>UPPSALA LÄN</t>
        </is>
      </c>
      <c r="E195" t="inlineStr">
        <is>
          <t>ÖSTHAMMAR</t>
        </is>
      </c>
      <c r="G195" t="n">
        <v>0.4</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45930</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45930</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49097-2022</t>
        </is>
      </c>
      <c r="B198" s="1" t="n">
        <v>44860</v>
      </c>
      <c r="C198" s="1" t="n">
        <v>45930</v>
      </c>
      <c r="D198" t="inlineStr">
        <is>
          <t>UPPSALA LÄN</t>
        </is>
      </c>
      <c r="E198" t="inlineStr">
        <is>
          <t>ÖSTHAMMAR</t>
        </is>
      </c>
      <c r="G198" t="n">
        <v>6.9</v>
      </c>
      <c r="H198" t="n">
        <v>0</v>
      </c>
      <c r="I198" t="n">
        <v>0</v>
      </c>
      <c r="J198" t="n">
        <v>0</v>
      </c>
      <c r="K198" t="n">
        <v>0</v>
      </c>
      <c r="L198" t="n">
        <v>0</v>
      </c>
      <c r="M198" t="n">
        <v>0</v>
      </c>
      <c r="N198" t="n">
        <v>0</v>
      </c>
      <c r="O198" t="n">
        <v>0</v>
      </c>
      <c r="P198" t="n">
        <v>0</v>
      </c>
      <c r="Q198" t="n">
        <v>0</v>
      </c>
      <c r="R198" s="2" t="inlineStr"/>
    </row>
    <row r="199" ht="15" customHeight="1">
      <c r="A199" t="inlineStr">
        <is>
          <t>A 20326-2021</t>
        </is>
      </c>
      <c r="B199" s="1" t="n">
        <v>44308</v>
      </c>
      <c r="C199" s="1" t="n">
        <v>45930</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28421-2023</t>
        </is>
      </c>
      <c r="B200" s="1" t="n">
        <v>45102</v>
      </c>
      <c r="C200" s="1" t="n">
        <v>45930</v>
      </c>
      <c r="D200" t="inlineStr">
        <is>
          <t>UPPSALA LÄN</t>
        </is>
      </c>
      <c r="E200" t="inlineStr">
        <is>
          <t>ÖSTHAMMAR</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17867-2024</t>
        </is>
      </c>
      <c r="B201" s="1" t="n">
        <v>45419.44106481481</v>
      </c>
      <c r="C201" s="1" t="n">
        <v>45930</v>
      </c>
      <c r="D201" t="inlineStr">
        <is>
          <t>UPPSALA LÄN</t>
        </is>
      </c>
      <c r="E201" t="inlineStr">
        <is>
          <t>ÖSTHAMMAR</t>
        </is>
      </c>
      <c r="G201" t="n">
        <v>7.2</v>
      </c>
      <c r="H201" t="n">
        <v>0</v>
      </c>
      <c r="I201" t="n">
        <v>0</v>
      </c>
      <c r="J201" t="n">
        <v>0</v>
      </c>
      <c r="K201" t="n">
        <v>0</v>
      </c>
      <c r="L201" t="n">
        <v>0</v>
      </c>
      <c r="M201" t="n">
        <v>0</v>
      </c>
      <c r="N201" t="n">
        <v>0</v>
      </c>
      <c r="O201" t="n">
        <v>0</v>
      </c>
      <c r="P201" t="n">
        <v>0</v>
      </c>
      <c r="Q201" t="n">
        <v>0</v>
      </c>
      <c r="R201" s="2" t="inlineStr"/>
    </row>
    <row r="202" ht="15" customHeight="1">
      <c r="A202" t="inlineStr">
        <is>
          <t>A 6221-2021</t>
        </is>
      </c>
      <c r="B202" s="1" t="n">
        <v>44235</v>
      </c>
      <c r="C202" s="1" t="n">
        <v>45930</v>
      </c>
      <c r="D202" t="inlineStr">
        <is>
          <t>UPPSALA LÄN</t>
        </is>
      </c>
      <c r="E202" t="inlineStr">
        <is>
          <t>ÖSTHAMMAR</t>
        </is>
      </c>
      <c r="G202" t="n">
        <v>0.8</v>
      </c>
      <c r="H202" t="n">
        <v>0</v>
      </c>
      <c r="I202" t="n">
        <v>0</v>
      </c>
      <c r="J202" t="n">
        <v>0</v>
      </c>
      <c r="K202" t="n">
        <v>0</v>
      </c>
      <c r="L202" t="n">
        <v>0</v>
      </c>
      <c r="M202" t="n">
        <v>0</v>
      </c>
      <c r="N202" t="n">
        <v>0</v>
      </c>
      <c r="O202" t="n">
        <v>0</v>
      </c>
      <c r="P202" t="n">
        <v>0</v>
      </c>
      <c r="Q202" t="n">
        <v>0</v>
      </c>
      <c r="R202" s="2" t="inlineStr"/>
    </row>
    <row r="203" ht="15" customHeight="1">
      <c r="A203" t="inlineStr">
        <is>
          <t>A 11987-2022</t>
        </is>
      </c>
      <c r="B203" s="1" t="n">
        <v>44635.68695601852</v>
      </c>
      <c r="C203" s="1" t="n">
        <v>45930</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22207-2022</t>
        </is>
      </c>
      <c r="B204" s="1" t="n">
        <v>44712.51509259259</v>
      </c>
      <c r="C204" s="1" t="n">
        <v>45930</v>
      </c>
      <c r="D204" t="inlineStr">
        <is>
          <t>UPPSALA LÄN</t>
        </is>
      </c>
      <c r="E204" t="inlineStr">
        <is>
          <t>ÖSTHAMMAR</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47341-2023</t>
        </is>
      </c>
      <c r="B205" s="1" t="n">
        <v>45202.55721064815</v>
      </c>
      <c r="C205" s="1" t="n">
        <v>45930</v>
      </c>
      <c r="D205" t="inlineStr">
        <is>
          <t>UPPSALA LÄN</t>
        </is>
      </c>
      <c r="E205" t="inlineStr">
        <is>
          <t>ÖSTHAMMAR</t>
        </is>
      </c>
      <c r="G205" t="n">
        <v>4.9</v>
      </c>
      <c r="H205" t="n">
        <v>0</v>
      </c>
      <c r="I205" t="n">
        <v>0</v>
      </c>
      <c r="J205" t="n">
        <v>0</v>
      </c>
      <c r="K205" t="n">
        <v>0</v>
      </c>
      <c r="L205" t="n">
        <v>0</v>
      </c>
      <c r="M205" t="n">
        <v>0</v>
      </c>
      <c r="N205" t="n">
        <v>0</v>
      </c>
      <c r="O205" t="n">
        <v>0</v>
      </c>
      <c r="P205" t="n">
        <v>0</v>
      </c>
      <c r="Q205" t="n">
        <v>0</v>
      </c>
      <c r="R205" s="2" t="inlineStr"/>
    </row>
    <row r="206" ht="15" customHeight="1">
      <c r="A206" t="inlineStr">
        <is>
          <t>A 31182-2022</t>
        </is>
      </c>
      <c r="B206" s="1" t="n">
        <v>44770</v>
      </c>
      <c r="C206" s="1" t="n">
        <v>45930</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26534-2022</t>
        </is>
      </c>
      <c r="B207" s="1" t="n">
        <v>44739</v>
      </c>
      <c r="C207" s="1" t="n">
        <v>45930</v>
      </c>
      <c r="D207" t="inlineStr">
        <is>
          <t>UPPSALA LÄN</t>
        </is>
      </c>
      <c r="E207" t="inlineStr">
        <is>
          <t>ÖSTHAMMAR</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12756-2024</t>
        </is>
      </c>
      <c r="B208" s="1" t="n">
        <v>45384</v>
      </c>
      <c r="C208" s="1" t="n">
        <v>45930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17652-2025</t>
        </is>
      </c>
      <c r="B209" s="1" t="n">
        <v>45758.33583333333</v>
      </c>
      <c r="C209" s="1" t="n">
        <v>45930</v>
      </c>
      <c r="D209" t="inlineStr">
        <is>
          <t>UPPSALA LÄN</t>
        </is>
      </c>
      <c r="E209" t="inlineStr">
        <is>
          <t>ÖSTHAMMAR</t>
        </is>
      </c>
      <c r="F209" t="inlineStr">
        <is>
          <t>Bergvik skog väst AB</t>
        </is>
      </c>
      <c r="G209" t="n">
        <v>1.1</v>
      </c>
      <c r="H209" t="n">
        <v>0</v>
      </c>
      <c r="I209" t="n">
        <v>0</v>
      </c>
      <c r="J209" t="n">
        <v>0</v>
      </c>
      <c r="K209" t="n">
        <v>0</v>
      </c>
      <c r="L209" t="n">
        <v>0</v>
      </c>
      <c r="M209" t="n">
        <v>0</v>
      </c>
      <c r="N209" t="n">
        <v>0</v>
      </c>
      <c r="O209" t="n">
        <v>0</v>
      </c>
      <c r="P209" t="n">
        <v>0</v>
      </c>
      <c r="Q209" t="n">
        <v>0</v>
      </c>
      <c r="R209" s="2" t="inlineStr"/>
    </row>
    <row r="210" ht="15" customHeight="1">
      <c r="A210" t="inlineStr">
        <is>
          <t>A 48719-2023</t>
        </is>
      </c>
      <c r="B210" s="1" t="n">
        <v>45208.70452546296</v>
      </c>
      <c r="C210" s="1" t="n">
        <v>45930</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33784-2024</t>
        </is>
      </c>
      <c r="B211" s="1" t="n">
        <v>45520</v>
      </c>
      <c r="C211" s="1" t="n">
        <v>45930</v>
      </c>
      <c r="D211" t="inlineStr">
        <is>
          <t>UPPSALA LÄN</t>
        </is>
      </c>
      <c r="E211" t="inlineStr">
        <is>
          <t>ÖSTHAMMAR</t>
        </is>
      </c>
      <c r="F211" t="inlineStr">
        <is>
          <t>Naturvårdsverket</t>
        </is>
      </c>
      <c r="G211" t="n">
        <v>0.6</v>
      </c>
      <c r="H211" t="n">
        <v>0</v>
      </c>
      <c r="I211" t="n">
        <v>0</v>
      </c>
      <c r="J211" t="n">
        <v>0</v>
      </c>
      <c r="K211" t="n">
        <v>0</v>
      </c>
      <c r="L211" t="n">
        <v>0</v>
      </c>
      <c r="M211" t="n">
        <v>0</v>
      </c>
      <c r="N211" t="n">
        <v>0</v>
      </c>
      <c r="O211" t="n">
        <v>0</v>
      </c>
      <c r="P211" t="n">
        <v>0</v>
      </c>
      <c r="Q211" t="n">
        <v>0</v>
      </c>
      <c r="R211" s="2" t="inlineStr"/>
    </row>
    <row r="212" ht="15" customHeight="1">
      <c r="A212" t="inlineStr">
        <is>
          <t>A 19640-2025</t>
        </is>
      </c>
      <c r="B212" s="1" t="n">
        <v>45770.65739583333</v>
      </c>
      <c r="C212" s="1" t="n">
        <v>45930</v>
      </c>
      <c r="D212" t="inlineStr">
        <is>
          <t>UPPSALA LÄN</t>
        </is>
      </c>
      <c r="E212" t="inlineStr">
        <is>
          <t>ÖSTHAMMAR</t>
        </is>
      </c>
      <c r="F212" t="inlineStr">
        <is>
          <t>Övriga Aktiebolag</t>
        </is>
      </c>
      <c r="G212" t="n">
        <v>1.7</v>
      </c>
      <c r="H212" t="n">
        <v>0</v>
      </c>
      <c r="I212" t="n">
        <v>0</v>
      </c>
      <c r="J212" t="n">
        <v>0</v>
      </c>
      <c r="K212" t="n">
        <v>0</v>
      </c>
      <c r="L212" t="n">
        <v>0</v>
      </c>
      <c r="M212" t="n">
        <v>0</v>
      </c>
      <c r="N212" t="n">
        <v>0</v>
      </c>
      <c r="O212" t="n">
        <v>0</v>
      </c>
      <c r="P212" t="n">
        <v>0</v>
      </c>
      <c r="Q212" t="n">
        <v>0</v>
      </c>
      <c r="R212" s="2" t="inlineStr"/>
    </row>
    <row r="213" ht="15" customHeight="1">
      <c r="A213" t="inlineStr">
        <is>
          <t>A 40570-2025</t>
        </is>
      </c>
      <c r="B213" s="1" t="n">
        <v>45896.47878472223</v>
      </c>
      <c r="C213" s="1" t="n">
        <v>45930</v>
      </c>
      <c r="D213" t="inlineStr">
        <is>
          <t>UPPSALA LÄN</t>
        </is>
      </c>
      <c r="E213" t="inlineStr">
        <is>
          <t>ÖSTHAMMAR</t>
        </is>
      </c>
      <c r="F213" t="inlineStr">
        <is>
          <t>Övriga Aktiebolag</t>
        </is>
      </c>
      <c r="G213" t="n">
        <v>4.8</v>
      </c>
      <c r="H213" t="n">
        <v>0</v>
      </c>
      <c r="I213" t="n">
        <v>0</v>
      </c>
      <c r="J213" t="n">
        <v>0</v>
      </c>
      <c r="K213" t="n">
        <v>0</v>
      </c>
      <c r="L213" t="n">
        <v>0</v>
      </c>
      <c r="M213" t="n">
        <v>0</v>
      </c>
      <c r="N213" t="n">
        <v>0</v>
      </c>
      <c r="O213" t="n">
        <v>0</v>
      </c>
      <c r="P213" t="n">
        <v>0</v>
      </c>
      <c r="Q213" t="n">
        <v>0</v>
      </c>
      <c r="R213" s="2" t="inlineStr"/>
    </row>
    <row r="214" ht="15" customHeight="1">
      <c r="A214" t="inlineStr">
        <is>
          <t>A 40377-2025</t>
        </is>
      </c>
      <c r="B214" s="1" t="n">
        <v>45895.53020833333</v>
      </c>
      <c r="C214" s="1" t="n">
        <v>45930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40416-2025</t>
        </is>
      </c>
      <c r="B215" s="1" t="n">
        <v>45895.57736111111</v>
      </c>
      <c r="C215" s="1" t="n">
        <v>45930</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61216-2022</t>
        </is>
      </c>
      <c r="B216" s="1" t="n">
        <v>44915.55423611111</v>
      </c>
      <c r="C216" s="1" t="n">
        <v>45930</v>
      </c>
      <c r="D216" t="inlineStr">
        <is>
          <t>UPPSALA LÄN</t>
        </is>
      </c>
      <c r="E216" t="inlineStr">
        <is>
          <t>ÖSTHAMMAR</t>
        </is>
      </c>
      <c r="G216" t="n">
        <v>2.9</v>
      </c>
      <c r="H216" t="n">
        <v>0</v>
      </c>
      <c r="I216" t="n">
        <v>0</v>
      </c>
      <c r="J216" t="n">
        <v>0</v>
      </c>
      <c r="K216" t="n">
        <v>0</v>
      </c>
      <c r="L216" t="n">
        <v>0</v>
      </c>
      <c r="M216" t="n">
        <v>0</v>
      </c>
      <c r="N216" t="n">
        <v>0</v>
      </c>
      <c r="O216" t="n">
        <v>0</v>
      </c>
      <c r="P216" t="n">
        <v>0</v>
      </c>
      <c r="Q216" t="n">
        <v>0</v>
      </c>
      <c r="R216" s="2" t="inlineStr"/>
    </row>
    <row r="217" ht="15" customHeight="1">
      <c r="A217" t="inlineStr">
        <is>
          <t>A 33601-2024</t>
        </is>
      </c>
      <c r="B217" s="1" t="n">
        <v>45520</v>
      </c>
      <c r="C217" s="1" t="n">
        <v>45930</v>
      </c>
      <c r="D217" t="inlineStr">
        <is>
          <t>UPPSALA LÄN</t>
        </is>
      </c>
      <c r="E217" t="inlineStr">
        <is>
          <t>ÖSTHAMMAR</t>
        </is>
      </c>
      <c r="F217" t="inlineStr">
        <is>
          <t>Övriga Aktiebolag</t>
        </is>
      </c>
      <c r="G217" t="n">
        <v>2.5</v>
      </c>
      <c r="H217" t="n">
        <v>0</v>
      </c>
      <c r="I217" t="n">
        <v>0</v>
      </c>
      <c r="J217" t="n">
        <v>0</v>
      </c>
      <c r="K217" t="n">
        <v>0</v>
      </c>
      <c r="L217" t="n">
        <v>0</v>
      </c>
      <c r="M217" t="n">
        <v>0</v>
      </c>
      <c r="N217" t="n">
        <v>0</v>
      </c>
      <c r="O217" t="n">
        <v>0</v>
      </c>
      <c r="P217" t="n">
        <v>0</v>
      </c>
      <c r="Q217" t="n">
        <v>0</v>
      </c>
      <c r="R217" s="2" t="inlineStr"/>
    </row>
    <row r="218" ht="15" customHeight="1">
      <c r="A218" t="inlineStr">
        <is>
          <t>A 70008-2021</t>
        </is>
      </c>
      <c r="B218" s="1" t="n">
        <v>44533.44887731481</v>
      </c>
      <c r="C218" s="1" t="n">
        <v>45930</v>
      </c>
      <c r="D218" t="inlineStr">
        <is>
          <t>UPPSALA LÄN</t>
        </is>
      </c>
      <c r="E218" t="inlineStr">
        <is>
          <t>ÖSTHAMMAR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40460-2025</t>
        </is>
      </c>
      <c r="B219" s="1" t="n">
        <v>45895.65013888889</v>
      </c>
      <c r="C219" s="1" t="n">
        <v>45930</v>
      </c>
      <c r="D219" t="inlineStr">
        <is>
          <t>UPPSALA LÄN</t>
        </is>
      </c>
      <c r="E219" t="inlineStr">
        <is>
          <t>ÖSTHAMMAR</t>
        </is>
      </c>
      <c r="G219" t="n">
        <v>2.7</v>
      </c>
      <c r="H219" t="n">
        <v>0</v>
      </c>
      <c r="I219" t="n">
        <v>0</v>
      </c>
      <c r="J219" t="n">
        <v>0</v>
      </c>
      <c r="K219" t="n">
        <v>0</v>
      </c>
      <c r="L219" t="n">
        <v>0</v>
      </c>
      <c r="M219" t="n">
        <v>0</v>
      </c>
      <c r="N219" t="n">
        <v>0</v>
      </c>
      <c r="O219" t="n">
        <v>0</v>
      </c>
      <c r="P219" t="n">
        <v>0</v>
      </c>
      <c r="Q219" t="n">
        <v>0</v>
      </c>
      <c r="R219" s="2" t="inlineStr"/>
    </row>
    <row r="220" ht="15" customHeight="1">
      <c r="A220" t="inlineStr">
        <is>
          <t>A 19009-2023</t>
        </is>
      </c>
      <c r="B220" s="1" t="n">
        <v>45045</v>
      </c>
      <c r="C220" s="1" t="n">
        <v>45930</v>
      </c>
      <c r="D220" t="inlineStr">
        <is>
          <t>UPPSALA LÄN</t>
        </is>
      </c>
      <c r="E220" t="inlineStr">
        <is>
          <t>ÖSTHAMMAR</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57-2023</t>
        </is>
      </c>
      <c r="B221" s="1" t="n">
        <v>44928.40917824074</v>
      </c>
      <c r="C221" s="1" t="n">
        <v>45930</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59-2023</t>
        </is>
      </c>
      <c r="B222" s="1" t="n">
        <v>44928.41822916667</v>
      </c>
      <c r="C222" s="1" t="n">
        <v>45930</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40384-2025</t>
        </is>
      </c>
      <c r="B223" s="1" t="n">
        <v>45895.54085648148</v>
      </c>
      <c r="C223" s="1" t="n">
        <v>45930</v>
      </c>
      <c r="D223" t="inlineStr">
        <is>
          <t>UPPSALA LÄN</t>
        </is>
      </c>
      <c r="E223" t="inlineStr">
        <is>
          <t>ÖSTHAMMAR</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40462-2025</t>
        </is>
      </c>
      <c r="B224" s="1" t="n">
        <v>45895.65179398148</v>
      </c>
      <c r="C224" s="1" t="n">
        <v>45930</v>
      </c>
      <c r="D224" t="inlineStr">
        <is>
          <t>UPPSALA LÄN</t>
        </is>
      </c>
      <c r="E224" t="inlineStr">
        <is>
          <t>ÖSTHAMMAR</t>
        </is>
      </c>
      <c r="G224" t="n">
        <v>4.5</v>
      </c>
      <c r="H224" t="n">
        <v>0</v>
      </c>
      <c r="I224" t="n">
        <v>0</v>
      </c>
      <c r="J224" t="n">
        <v>0</v>
      </c>
      <c r="K224" t="n">
        <v>0</v>
      </c>
      <c r="L224" t="n">
        <v>0</v>
      </c>
      <c r="M224" t="n">
        <v>0</v>
      </c>
      <c r="N224" t="n">
        <v>0</v>
      </c>
      <c r="O224" t="n">
        <v>0</v>
      </c>
      <c r="P224" t="n">
        <v>0</v>
      </c>
      <c r="Q224" t="n">
        <v>0</v>
      </c>
      <c r="R224" s="2" t="inlineStr"/>
    </row>
    <row r="225" ht="15" customHeight="1">
      <c r="A225" t="inlineStr">
        <is>
          <t>A 19947-2024</t>
        </is>
      </c>
      <c r="B225" s="1" t="n">
        <v>45433</v>
      </c>
      <c r="C225" s="1" t="n">
        <v>45930</v>
      </c>
      <c r="D225" t="inlineStr">
        <is>
          <t>UPPSALA LÄN</t>
        </is>
      </c>
      <c r="E225" t="inlineStr">
        <is>
          <t>ÖSTHAMMAR</t>
        </is>
      </c>
      <c r="G225" t="n">
        <v>0.3</v>
      </c>
      <c r="H225" t="n">
        <v>0</v>
      </c>
      <c r="I225" t="n">
        <v>0</v>
      </c>
      <c r="J225" t="n">
        <v>0</v>
      </c>
      <c r="K225" t="n">
        <v>0</v>
      </c>
      <c r="L225" t="n">
        <v>0</v>
      </c>
      <c r="M225" t="n">
        <v>0</v>
      </c>
      <c r="N225" t="n">
        <v>0</v>
      </c>
      <c r="O225" t="n">
        <v>0</v>
      </c>
      <c r="P225" t="n">
        <v>0</v>
      </c>
      <c r="Q225" t="n">
        <v>0</v>
      </c>
      <c r="R225" s="2" t="inlineStr"/>
    </row>
    <row r="226" ht="15" customHeight="1">
      <c r="A226" t="inlineStr">
        <is>
          <t>A 11385-2024</t>
        </is>
      </c>
      <c r="B226" s="1" t="n">
        <v>45372</v>
      </c>
      <c r="C226" s="1" t="n">
        <v>45930</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4151-2021</t>
        </is>
      </c>
      <c r="B227" s="1" t="n">
        <v>44221</v>
      </c>
      <c r="C227" s="1" t="n">
        <v>45930</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14433-2024</t>
        </is>
      </c>
      <c r="B228" s="1" t="n">
        <v>45394.46115740741</v>
      </c>
      <c r="C228" s="1" t="n">
        <v>45930</v>
      </c>
      <c r="D228" t="inlineStr">
        <is>
          <t>UPPSALA LÄN</t>
        </is>
      </c>
      <c r="E228" t="inlineStr">
        <is>
          <t>ÖSTHAMMAR</t>
        </is>
      </c>
      <c r="G228" t="n">
        <v>1.2</v>
      </c>
      <c r="H228" t="n">
        <v>0</v>
      </c>
      <c r="I228" t="n">
        <v>0</v>
      </c>
      <c r="J228" t="n">
        <v>0</v>
      </c>
      <c r="K228" t="n">
        <v>0</v>
      </c>
      <c r="L228" t="n">
        <v>0</v>
      </c>
      <c r="M228" t="n">
        <v>0</v>
      </c>
      <c r="N228" t="n">
        <v>0</v>
      </c>
      <c r="O228" t="n">
        <v>0</v>
      </c>
      <c r="P228" t="n">
        <v>0</v>
      </c>
      <c r="Q228" t="n">
        <v>0</v>
      </c>
      <c r="R228" s="2" t="inlineStr"/>
    </row>
    <row r="229" ht="15" customHeight="1">
      <c r="A229" t="inlineStr">
        <is>
          <t>A 2733-2023</t>
        </is>
      </c>
      <c r="B229" s="1" t="n">
        <v>44943</v>
      </c>
      <c r="C229" s="1" t="n">
        <v>45930</v>
      </c>
      <c r="D229" t="inlineStr">
        <is>
          <t>UPPSALA LÄN</t>
        </is>
      </c>
      <c r="E229" t="inlineStr">
        <is>
          <t>ÖSTHAMMAR</t>
        </is>
      </c>
      <c r="G229" t="n">
        <v>2.6</v>
      </c>
      <c r="H229" t="n">
        <v>0</v>
      </c>
      <c r="I229" t="n">
        <v>0</v>
      </c>
      <c r="J229" t="n">
        <v>0</v>
      </c>
      <c r="K229" t="n">
        <v>0</v>
      </c>
      <c r="L229" t="n">
        <v>0</v>
      </c>
      <c r="M229" t="n">
        <v>0</v>
      </c>
      <c r="N229" t="n">
        <v>0</v>
      </c>
      <c r="O229" t="n">
        <v>0</v>
      </c>
      <c r="P229" t="n">
        <v>0</v>
      </c>
      <c r="Q229" t="n">
        <v>0</v>
      </c>
      <c r="R229" s="2" t="inlineStr"/>
    </row>
    <row r="230" ht="15" customHeight="1">
      <c r="A230" t="inlineStr">
        <is>
          <t>A 30755-2024</t>
        </is>
      </c>
      <c r="B230" s="1" t="n">
        <v>45496</v>
      </c>
      <c r="C230" s="1" t="n">
        <v>45930</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9052-2023</t>
        </is>
      </c>
      <c r="B231" s="1" t="n">
        <v>44979</v>
      </c>
      <c r="C231" s="1" t="n">
        <v>45930</v>
      </c>
      <c r="D231" t="inlineStr">
        <is>
          <t>UPPSALA LÄN</t>
        </is>
      </c>
      <c r="E231" t="inlineStr">
        <is>
          <t>ÖSTHAMMAR</t>
        </is>
      </c>
      <c r="F231" t="inlineStr">
        <is>
          <t>Kyrkan</t>
        </is>
      </c>
      <c r="G231" t="n">
        <v>0.2</v>
      </c>
      <c r="H231" t="n">
        <v>0</v>
      </c>
      <c r="I231" t="n">
        <v>0</v>
      </c>
      <c r="J231" t="n">
        <v>0</v>
      </c>
      <c r="K231" t="n">
        <v>0</v>
      </c>
      <c r="L231" t="n">
        <v>0</v>
      </c>
      <c r="M231" t="n">
        <v>0</v>
      </c>
      <c r="N231" t="n">
        <v>0</v>
      </c>
      <c r="O231" t="n">
        <v>0</v>
      </c>
      <c r="P231" t="n">
        <v>0</v>
      </c>
      <c r="Q231" t="n">
        <v>0</v>
      </c>
      <c r="R231" s="2" t="inlineStr"/>
    </row>
    <row r="232" ht="15" customHeight="1">
      <c r="A232" t="inlineStr">
        <is>
          <t>A 25252-2024</t>
        </is>
      </c>
      <c r="B232" s="1" t="n">
        <v>45462</v>
      </c>
      <c r="C232" s="1" t="n">
        <v>45930</v>
      </c>
      <c r="D232" t="inlineStr">
        <is>
          <t>UPPSALA LÄN</t>
        </is>
      </c>
      <c r="E232" t="inlineStr">
        <is>
          <t>ÖSTHAMMAR</t>
        </is>
      </c>
      <c r="G232" t="n">
        <v>4.3</v>
      </c>
      <c r="H232" t="n">
        <v>0</v>
      </c>
      <c r="I232" t="n">
        <v>0</v>
      </c>
      <c r="J232" t="n">
        <v>0</v>
      </c>
      <c r="K232" t="n">
        <v>0</v>
      </c>
      <c r="L232" t="n">
        <v>0</v>
      </c>
      <c r="M232" t="n">
        <v>0</v>
      </c>
      <c r="N232" t="n">
        <v>0</v>
      </c>
      <c r="O232" t="n">
        <v>0</v>
      </c>
      <c r="P232" t="n">
        <v>0</v>
      </c>
      <c r="Q232" t="n">
        <v>0</v>
      </c>
      <c r="R232" s="2" t="inlineStr"/>
    </row>
    <row r="233" ht="15" customHeight="1">
      <c r="A233" t="inlineStr">
        <is>
          <t>A 56382-2022</t>
        </is>
      </c>
      <c r="B233" s="1" t="n">
        <v>44890.75795138889</v>
      </c>
      <c r="C233" s="1" t="n">
        <v>45930</v>
      </c>
      <c r="D233" t="inlineStr">
        <is>
          <t>UPPSALA LÄN</t>
        </is>
      </c>
      <c r="E233" t="inlineStr">
        <is>
          <t>ÖSTHAMMAR</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5877-2023</t>
        </is>
      </c>
      <c r="B234" s="1" t="n">
        <v>44963.62001157407</v>
      </c>
      <c r="C234" s="1" t="n">
        <v>45930</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41519-2025</t>
        </is>
      </c>
      <c r="B235" s="1" t="n">
        <v>45901.54751157408</v>
      </c>
      <c r="C235" s="1" t="n">
        <v>45930</v>
      </c>
      <c r="D235" t="inlineStr">
        <is>
          <t>UPPSALA LÄN</t>
        </is>
      </c>
      <c r="E235" t="inlineStr">
        <is>
          <t>ÖSTHAMMAR</t>
        </is>
      </c>
      <c r="F235" t="inlineStr">
        <is>
          <t>Övriga Aktiebolag</t>
        </is>
      </c>
      <c r="G235" t="n">
        <v>17.1</v>
      </c>
      <c r="H235" t="n">
        <v>0</v>
      </c>
      <c r="I235" t="n">
        <v>0</v>
      </c>
      <c r="J235" t="n">
        <v>0</v>
      </c>
      <c r="K235" t="n">
        <v>0</v>
      </c>
      <c r="L235" t="n">
        <v>0</v>
      </c>
      <c r="M235" t="n">
        <v>0</v>
      </c>
      <c r="N235" t="n">
        <v>0</v>
      </c>
      <c r="O235" t="n">
        <v>0</v>
      </c>
      <c r="P235" t="n">
        <v>0</v>
      </c>
      <c r="Q235" t="n">
        <v>0</v>
      </c>
      <c r="R235" s="2" t="inlineStr"/>
    </row>
    <row r="236" ht="15" customHeight="1">
      <c r="A236" t="inlineStr">
        <is>
          <t>A 53137-2020</t>
        </is>
      </c>
      <c r="B236" s="1" t="n">
        <v>44120</v>
      </c>
      <c r="C236" s="1" t="n">
        <v>45930</v>
      </c>
      <c r="D236" t="inlineStr">
        <is>
          <t>UPPSALA LÄN</t>
        </is>
      </c>
      <c r="E236" t="inlineStr">
        <is>
          <t>ÖSTHAMMAR</t>
        </is>
      </c>
      <c r="G236" t="n">
        <v>1.9</v>
      </c>
      <c r="H236" t="n">
        <v>0</v>
      </c>
      <c r="I236" t="n">
        <v>0</v>
      </c>
      <c r="J236" t="n">
        <v>0</v>
      </c>
      <c r="K236" t="n">
        <v>0</v>
      </c>
      <c r="L236" t="n">
        <v>0</v>
      </c>
      <c r="M236" t="n">
        <v>0</v>
      </c>
      <c r="N236" t="n">
        <v>0</v>
      </c>
      <c r="O236" t="n">
        <v>0</v>
      </c>
      <c r="P236" t="n">
        <v>0</v>
      </c>
      <c r="Q236" t="n">
        <v>0</v>
      </c>
      <c r="R236" s="2" t="inlineStr"/>
    </row>
    <row r="237" ht="15" customHeight="1">
      <c r="A237" t="inlineStr">
        <is>
          <t>A 56089-2020</t>
        </is>
      </c>
      <c r="B237" s="1" t="n">
        <v>44133</v>
      </c>
      <c r="C237" s="1" t="n">
        <v>45930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25938-2024</t>
        </is>
      </c>
      <c r="B238" s="1" t="n">
        <v>45467.63127314814</v>
      </c>
      <c r="C238" s="1" t="n">
        <v>45930</v>
      </c>
      <c r="D238" t="inlineStr">
        <is>
          <t>UPPSALA LÄN</t>
        </is>
      </c>
      <c r="E238" t="inlineStr">
        <is>
          <t>ÖSTHAMMAR</t>
        </is>
      </c>
      <c r="F238" t="inlineStr">
        <is>
          <t>Bergvik skog öst AB</t>
        </is>
      </c>
      <c r="G238" t="n">
        <v>2.2</v>
      </c>
      <c r="H238" t="n">
        <v>0</v>
      </c>
      <c r="I238" t="n">
        <v>0</v>
      </c>
      <c r="J238" t="n">
        <v>0</v>
      </c>
      <c r="K238" t="n">
        <v>0</v>
      </c>
      <c r="L238" t="n">
        <v>0</v>
      </c>
      <c r="M238" t="n">
        <v>0</v>
      </c>
      <c r="N238" t="n">
        <v>0</v>
      </c>
      <c r="O238" t="n">
        <v>0</v>
      </c>
      <c r="P238" t="n">
        <v>0</v>
      </c>
      <c r="Q238" t="n">
        <v>0</v>
      </c>
      <c r="R238" s="2" t="inlineStr"/>
    </row>
    <row r="239" ht="15" customHeight="1">
      <c r="A239" t="inlineStr">
        <is>
          <t>A 12812-2024</t>
        </is>
      </c>
      <c r="B239" s="1" t="n">
        <v>45384.65465277778</v>
      </c>
      <c r="C239" s="1" t="n">
        <v>45930</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33760-2024</t>
        </is>
      </c>
      <c r="B240" s="1" t="n">
        <v>45520</v>
      </c>
      <c r="C240" s="1" t="n">
        <v>45930</v>
      </c>
      <c r="D240" t="inlineStr">
        <is>
          <t>UPPSALA LÄN</t>
        </is>
      </c>
      <c r="E240" t="inlineStr">
        <is>
          <t>ÖSTHAMMAR</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33552-2024</t>
        </is>
      </c>
      <c r="B241" s="1" t="n">
        <v>45519</v>
      </c>
      <c r="C241" s="1" t="n">
        <v>45930</v>
      </c>
      <c r="D241" t="inlineStr">
        <is>
          <t>UPPSALA LÄN</t>
        </is>
      </c>
      <c r="E241" t="inlineStr">
        <is>
          <t>ÖSTHAMMAR</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33553-2024</t>
        </is>
      </c>
      <c r="B242" s="1" t="n">
        <v>45519</v>
      </c>
      <c r="C242" s="1" t="n">
        <v>45930</v>
      </c>
      <c r="D242" t="inlineStr">
        <is>
          <t>UPPSALA LÄN</t>
        </is>
      </c>
      <c r="E242" t="inlineStr">
        <is>
          <t>ÖSTHAMMAR</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3725-2022</t>
        </is>
      </c>
      <c r="B243" s="1" t="n">
        <v>44586</v>
      </c>
      <c r="C243" s="1" t="n">
        <v>45930</v>
      </c>
      <c r="D243" t="inlineStr">
        <is>
          <t>UPPSALA LÄN</t>
        </is>
      </c>
      <c r="E243" t="inlineStr">
        <is>
          <t>ÖSTHAMMAR</t>
        </is>
      </c>
      <c r="G243" t="n">
        <v>2</v>
      </c>
      <c r="H243" t="n">
        <v>0</v>
      </c>
      <c r="I243" t="n">
        <v>0</v>
      </c>
      <c r="J243" t="n">
        <v>0</v>
      </c>
      <c r="K243" t="n">
        <v>0</v>
      </c>
      <c r="L243" t="n">
        <v>0</v>
      </c>
      <c r="M243" t="n">
        <v>0</v>
      </c>
      <c r="N243" t="n">
        <v>0</v>
      </c>
      <c r="O243" t="n">
        <v>0</v>
      </c>
      <c r="P243" t="n">
        <v>0</v>
      </c>
      <c r="Q243" t="n">
        <v>0</v>
      </c>
      <c r="R243" s="2" t="inlineStr"/>
    </row>
    <row r="244" ht="15" customHeight="1">
      <c r="A244" t="inlineStr">
        <is>
          <t>A 8006-2023</t>
        </is>
      </c>
      <c r="B244" s="1" t="n">
        <v>44973</v>
      </c>
      <c r="C244" s="1" t="n">
        <v>45930</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11469-2023</t>
        </is>
      </c>
      <c r="B245" s="1" t="n">
        <v>44993.60099537037</v>
      </c>
      <c r="C245" s="1" t="n">
        <v>45930</v>
      </c>
      <c r="D245" t="inlineStr">
        <is>
          <t>UPPSALA LÄN</t>
        </is>
      </c>
      <c r="E245" t="inlineStr">
        <is>
          <t>ÖSTHAMMAR</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42213-2025</t>
        </is>
      </c>
      <c r="B246" s="1" t="n">
        <v>45904.50652777778</v>
      </c>
      <c r="C246" s="1" t="n">
        <v>45930</v>
      </c>
      <c r="D246" t="inlineStr">
        <is>
          <t>UPPSALA LÄN</t>
        </is>
      </c>
      <c r="E246" t="inlineStr">
        <is>
          <t>ÖSTHAMMAR</t>
        </is>
      </c>
      <c r="G246" t="n">
        <v>0.8</v>
      </c>
      <c r="H246" t="n">
        <v>0</v>
      </c>
      <c r="I246" t="n">
        <v>0</v>
      </c>
      <c r="J246" t="n">
        <v>0</v>
      </c>
      <c r="K246" t="n">
        <v>0</v>
      </c>
      <c r="L246" t="n">
        <v>0</v>
      </c>
      <c r="M246" t="n">
        <v>0</v>
      </c>
      <c r="N246" t="n">
        <v>0</v>
      </c>
      <c r="O246" t="n">
        <v>0</v>
      </c>
      <c r="P246" t="n">
        <v>0</v>
      </c>
      <c r="Q246" t="n">
        <v>0</v>
      </c>
      <c r="R246" s="2" t="inlineStr"/>
    </row>
    <row r="247" ht="15" customHeight="1">
      <c r="A247" t="inlineStr">
        <is>
          <t>A 5429-2023</t>
        </is>
      </c>
      <c r="B247" s="1" t="n">
        <v>44959.83037037037</v>
      </c>
      <c r="C247" s="1" t="n">
        <v>45930</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20324-2021</t>
        </is>
      </c>
      <c r="B248" s="1" t="n">
        <v>44308</v>
      </c>
      <c r="C248" s="1" t="n">
        <v>45930</v>
      </c>
      <c r="D248" t="inlineStr">
        <is>
          <t>UPPSALA LÄN</t>
        </is>
      </c>
      <c r="E248" t="inlineStr">
        <is>
          <t>ÖSTHAMMAR</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25033-2021</t>
        </is>
      </c>
      <c r="B249" s="1" t="n">
        <v>44341.590625</v>
      </c>
      <c r="C249" s="1" t="n">
        <v>45930</v>
      </c>
      <c r="D249" t="inlineStr">
        <is>
          <t>UPPSALA LÄN</t>
        </is>
      </c>
      <c r="E249" t="inlineStr">
        <is>
          <t>ÖSTHAMMAR</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16212-2021</t>
        </is>
      </c>
      <c r="B250" s="1" t="n">
        <v>44287</v>
      </c>
      <c r="C250" s="1" t="n">
        <v>45930</v>
      </c>
      <c r="D250" t="inlineStr">
        <is>
          <t>UPPSALA LÄN</t>
        </is>
      </c>
      <c r="E250" t="inlineStr">
        <is>
          <t>ÖSTHAMMAR</t>
        </is>
      </c>
      <c r="G250" t="n">
        <v>1.6</v>
      </c>
      <c r="H250" t="n">
        <v>0</v>
      </c>
      <c r="I250" t="n">
        <v>0</v>
      </c>
      <c r="J250" t="n">
        <v>0</v>
      </c>
      <c r="K250" t="n">
        <v>0</v>
      </c>
      <c r="L250" t="n">
        <v>0</v>
      </c>
      <c r="M250" t="n">
        <v>0</v>
      </c>
      <c r="N250" t="n">
        <v>0</v>
      </c>
      <c r="O250" t="n">
        <v>0</v>
      </c>
      <c r="P250" t="n">
        <v>0</v>
      </c>
      <c r="Q250" t="n">
        <v>0</v>
      </c>
      <c r="R250" s="2" t="inlineStr"/>
    </row>
    <row r="251" ht="15" customHeight="1">
      <c r="A251" t="inlineStr">
        <is>
          <t>A 31574-2022</t>
        </is>
      </c>
      <c r="B251" s="1" t="n">
        <v>44775</v>
      </c>
      <c r="C251" s="1" t="n">
        <v>45930</v>
      </c>
      <c r="D251" t="inlineStr">
        <is>
          <t>UPPSALA LÄN</t>
        </is>
      </c>
      <c r="E251" t="inlineStr">
        <is>
          <t>ÖSTHAMMAR</t>
        </is>
      </c>
      <c r="G251" t="n">
        <v>29.7</v>
      </c>
      <c r="H251" t="n">
        <v>0</v>
      </c>
      <c r="I251" t="n">
        <v>0</v>
      </c>
      <c r="J251" t="n">
        <v>0</v>
      </c>
      <c r="K251" t="n">
        <v>0</v>
      </c>
      <c r="L251" t="n">
        <v>0</v>
      </c>
      <c r="M251" t="n">
        <v>0</v>
      </c>
      <c r="N251" t="n">
        <v>0</v>
      </c>
      <c r="O251" t="n">
        <v>0</v>
      </c>
      <c r="P251" t="n">
        <v>0</v>
      </c>
      <c r="Q251" t="n">
        <v>0</v>
      </c>
      <c r="R251" s="2" t="inlineStr"/>
    </row>
    <row r="252" ht="15" customHeight="1">
      <c r="A252" t="inlineStr">
        <is>
          <t>A 63577-2020</t>
        </is>
      </c>
      <c r="B252" s="1" t="n">
        <v>44165</v>
      </c>
      <c r="C252" s="1" t="n">
        <v>45930</v>
      </c>
      <c r="D252" t="inlineStr">
        <is>
          <t>UPPSALA LÄN</t>
        </is>
      </c>
      <c r="E252" t="inlineStr">
        <is>
          <t>ÖSTHAMMAR</t>
        </is>
      </c>
      <c r="G252" t="n">
        <v>0.9</v>
      </c>
      <c r="H252" t="n">
        <v>0</v>
      </c>
      <c r="I252" t="n">
        <v>0</v>
      </c>
      <c r="J252" t="n">
        <v>0</v>
      </c>
      <c r="K252" t="n">
        <v>0</v>
      </c>
      <c r="L252" t="n">
        <v>0</v>
      </c>
      <c r="M252" t="n">
        <v>0</v>
      </c>
      <c r="N252" t="n">
        <v>0</v>
      </c>
      <c r="O252" t="n">
        <v>0</v>
      </c>
      <c r="P252" t="n">
        <v>0</v>
      </c>
      <c r="Q252" t="n">
        <v>0</v>
      </c>
      <c r="R252" s="2" t="inlineStr"/>
    </row>
    <row r="253" ht="15" customHeight="1">
      <c r="A253" t="inlineStr">
        <is>
          <t>A 18113-2023</t>
        </is>
      </c>
      <c r="B253" s="1" t="n">
        <v>45040</v>
      </c>
      <c r="C253" s="1" t="n">
        <v>45930</v>
      </c>
      <c r="D253" t="inlineStr">
        <is>
          <t>UPPSALA LÄN</t>
        </is>
      </c>
      <c r="E253" t="inlineStr">
        <is>
          <t>ÖSTHAMMAR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45930</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45930</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24181-2022</t>
        </is>
      </c>
      <c r="B256" s="1" t="n">
        <v>44725</v>
      </c>
      <c r="C256" s="1" t="n">
        <v>45930</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54666-2022</t>
        </is>
      </c>
      <c r="B257" s="1" t="n">
        <v>44883</v>
      </c>
      <c r="C257" s="1" t="n">
        <v>45930</v>
      </c>
      <c r="D257" t="inlineStr">
        <is>
          <t>UPPSALA LÄN</t>
        </is>
      </c>
      <c r="E257" t="inlineStr">
        <is>
          <t>ÖSTHAMMAR</t>
        </is>
      </c>
      <c r="G257" t="n">
        <v>14.3</v>
      </c>
      <c r="H257" t="n">
        <v>0</v>
      </c>
      <c r="I257" t="n">
        <v>0</v>
      </c>
      <c r="J257" t="n">
        <v>0</v>
      </c>
      <c r="K257" t="n">
        <v>0</v>
      </c>
      <c r="L257" t="n">
        <v>0</v>
      </c>
      <c r="M257" t="n">
        <v>0</v>
      </c>
      <c r="N257" t="n">
        <v>0</v>
      </c>
      <c r="O257" t="n">
        <v>0</v>
      </c>
      <c r="P257" t="n">
        <v>0</v>
      </c>
      <c r="Q257" t="n">
        <v>0</v>
      </c>
      <c r="R257" s="2" t="inlineStr"/>
    </row>
    <row r="258" ht="15" customHeight="1">
      <c r="A258" t="inlineStr">
        <is>
          <t>A 23120-2021</t>
        </is>
      </c>
      <c r="B258" s="1" t="n">
        <v>44330</v>
      </c>
      <c r="C258" s="1" t="n">
        <v>45930</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52389-2022</t>
        </is>
      </c>
      <c r="B259" s="1" t="n">
        <v>44874.38325231482</v>
      </c>
      <c r="C259" s="1" t="n">
        <v>45930</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4096-2025</t>
        </is>
      </c>
      <c r="B260" s="1" t="n">
        <v>45684</v>
      </c>
      <c r="C260" s="1" t="n">
        <v>45930</v>
      </c>
      <c r="D260" t="inlineStr">
        <is>
          <t>UPPSALA LÄN</t>
        </is>
      </c>
      <c r="E260" t="inlineStr">
        <is>
          <t>ÖSTHAMMAR</t>
        </is>
      </c>
      <c r="G260" t="n">
        <v>2</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45930</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52659-2021</t>
        </is>
      </c>
      <c r="B262" s="1" t="n">
        <v>44466</v>
      </c>
      <c r="C262" s="1" t="n">
        <v>45930</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1238-2022</t>
        </is>
      </c>
      <c r="B263" s="1" t="n">
        <v>44572.5827662037</v>
      </c>
      <c r="C263" s="1" t="n">
        <v>45930</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17929-2025</t>
        </is>
      </c>
      <c r="B264" s="1" t="n">
        <v>45759.56462962963</v>
      </c>
      <c r="C264" s="1" t="n">
        <v>45930</v>
      </c>
      <c r="D264" t="inlineStr">
        <is>
          <t>UPPSALA LÄN</t>
        </is>
      </c>
      <c r="E264" t="inlineStr">
        <is>
          <t>ÖSTHAMMAR</t>
        </is>
      </c>
      <c r="G264" t="n">
        <v>3.4</v>
      </c>
      <c r="H264" t="n">
        <v>0</v>
      </c>
      <c r="I264" t="n">
        <v>0</v>
      </c>
      <c r="J264" t="n">
        <v>0</v>
      </c>
      <c r="K264" t="n">
        <v>0</v>
      </c>
      <c r="L264" t="n">
        <v>0</v>
      </c>
      <c r="M264" t="n">
        <v>0</v>
      </c>
      <c r="N264" t="n">
        <v>0</v>
      </c>
      <c r="O264" t="n">
        <v>0</v>
      </c>
      <c r="P264" t="n">
        <v>0</v>
      </c>
      <c r="Q264" t="n">
        <v>0</v>
      </c>
      <c r="R264" s="2" t="inlineStr"/>
    </row>
    <row r="265" ht="15" customHeight="1">
      <c r="A265" t="inlineStr">
        <is>
          <t>A 56969-2022</t>
        </is>
      </c>
      <c r="B265" s="1" t="n">
        <v>44894.68043981482</v>
      </c>
      <c r="C265" s="1" t="n">
        <v>45930</v>
      </c>
      <c r="D265" t="inlineStr">
        <is>
          <t>UPPSALA LÄN</t>
        </is>
      </c>
      <c r="E265" t="inlineStr">
        <is>
          <t>ÖSTHAMMAR</t>
        </is>
      </c>
      <c r="G265" t="n">
        <v>5.5</v>
      </c>
      <c r="H265" t="n">
        <v>0</v>
      </c>
      <c r="I265" t="n">
        <v>0</v>
      </c>
      <c r="J265" t="n">
        <v>0</v>
      </c>
      <c r="K265" t="n">
        <v>0</v>
      </c>
      <c r="L265" t="n">
        <v>0</v>
      </c>
      <c r="M265" t="n">
        <v>0</v>
      </c>
      <c r="N265" t="n">
        <v>0</v>
      </c>
      <c r="O265" t="n">
        <v>0</v>
      </c>
      <c r="P265" t="n">
        <v>0</v>
      </c>
      <c r="Q265" t="n">
        <v>0</v>
      </c>
      <c r="R265" s="2" t="inlineStr"/>
    </row>
    <row r="266" ht="15" customHeight="1">
      <c r="A266" t="inlineStr">
        <is>
          <t>A 7876-2023</t>
        </is>
      </c>
      <c r="B266" s="1" t="n">
        <v>44973.57263888889</v>
      </c>
      <c r="C266" s="1" t="n">
        <v>45930</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22884-2024</t>
        </is>
      </c>
      <c r="B267" s="1" t="n">
        <v>45448</v>
      </c>
      <c r="C267" s="1" t="n">
        <v>45930</v>
      </c>
      <c r="D267" t="inlineStr">
        <is>
          <t>UPPSALA LÄN</t>
        </is>
      </c>
      <c r="E267" t="inlineStr">
        <is>
          <t>ÖSTHAMMAR</t>
        </is>
      </c>
      <c r="G267" t="n">
        <v>3.3</v>
      </c>
      <c r="H267" t="n">
        <v>0</v>
      </c>
      <c r="I267" t="n">
        <v>0</v>
      </c>
      <c r="J267" t="n">
        <v>0</v>
      </c>
      <c r="K267" t="n">
        <v>0</v>
      </c>
      <c r="L267" t="n">
        <v>0</v>
      </c>
      <c r="M267" t="n">
        <v>0</v>
      </c>
      <c r="N267" t="n">
        <v>0</v>
      </c>
      <c r="O267" t="n">
        <v>0</v>
      </c>
      <c r="P267" t="n">
        <v>0</v>
      </c>
      <c r="Q267" t="n">
        <v>0</v>
      </c>
      <c r="R267" s="2" t="inlineStr"/>
    </row>
    <row r="268" ht="15" customHeight="1">
      <c r="A268" t="inlineStr">
        <is>
          <t>A 36904-2023</t>
        </is>
      </c>
      <c r="B268" s="1" t="n">
        <v>45154</v>
      </c>
      <c r="C268" s="1" t="n">
        <v>45930</v>
      </c>
      <c r="D268" t="inlineStr">
        <is>
          <t>UPPSALA LÄN</t>
        </is>
      </c>
      <c r="E268" t="inlineStr">
        <is>
          <t>ÖSTHAMMAR</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45930</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36092-2025</t>
        </is>
      </c>
      <c r="B270" s="1" t="n">
        <v>45866.48244212963</v>
      </c>
      <c r="C270" s="1" t="n">
        <v>45930</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3327-2023</t>
        </is>
      </c>
      <c r="B271" s="1" t="n">
        <v>44949.4377662037</v>
      </c>
      <c r="C271" s="1" t="n">
        <v>45930</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43011-2025</t>
        </is>
      </c>
      <c r="B272" s="1" t="n">
        <v>45909.48989583334</v>
      </c>
      <c r="C272" s="1" t="n">
        <v>45930</v>
      </c>
      <c r="D272" t="inlineStr">
        <is>
          <t>UPPSALA LÄN</t>
        </is>
      </c>
      <c r="E272" t="inlineStr">
        <is>
          <t>ÖSTHAMMAR</t>
        </is>
      </c>
      <c r="F272" t="inlineStr">
        <is>
          <t>Övriga Aktiebolag</t>
        </is>
      </c>
      <c r="G272" t="n">
        <v>4.7</v>
      </c>
      <c r="H272" t="n">
        <v>0</v>
      </c>
      <c r="I272" t="n">
        <v>0</v>
      </c>
      <c r="J272" t="n">
        <v>0</v>
      </c>
      <c r="K272" t="n">
        <v>0</v>
      </c>
      <c r="L272" t="n">
        <v>0</v>
      </c>
      <c r="M272" t="n">
        <v>0</v>
      </c>
      <c r="N272" t="n">
        <v>0</v>
      </c>
      <c r="O272" t="n">
        <v>0</v>
      </c>
      <c r="P272" t="n">
        <v>0</v>
      </c>
      <c r="Q272" t="n">
        <v>0</v>
      </c>
      <c r="R272" s="2" t="inlineStr"/>
    </row>
    <row r="273" ht="15" customHeight="1">
      <c r="A273" t="inlineStr">
        <is>
          <t>A 4233-2023</t>
        </is>
      </c>
      <c r="B273" s="1" t="n">
        <v>44953.48619212963</v>
      </c>
      <c r="C273" s="1" t="n">
        <v>45930</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38233-2024</t>
        </is>
      </c>
      <c r="B274" s="1" t="n">
        <v>45545</v>
      </c>
      <c r="C274" s="1" t="n">
        <v>45930</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30811-2023</t>
        </is>
      </c>
      <c r="B275" s="1" t="n">
        <v>45112.86422453704</v>
      </c>
      <c r="C275" s="1" t="n">
        <v>45930</v>
      </c>
      <c r="D275" t="inlineStr">
        <is>
          <t>UPPSALA LÄN</t>
        </is>
      </c>
      <c r="E275" t="inlineStr">
        <is>
          <t>ÖSTHAMMAR</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42940-2025</t>
        </is>
      </c>
      <c r="B276" s="1" t="n">
        <v>45909.33440972222</v>
      </c>
      <c r="C276" s="1" t="n">
        <v>45930</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56260-2022</t>
        </is>
      </c>
      <c r="B277" s="1" t="n">
        <v>44890</v>
      </c>
      <c r="C277" s="1" t="n">
        <v>45930</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43604-2025</t>
        </is>
      </c>
      <c r="B278" s="1" t="n">
        <v>45911.66671296296</v>
      </c>
      <c r="C278" s="1" t="n">
        <v>45930</v>
      </c>
      <c r="D278" t="inlineStr">
        <is>
          <t>UPPSALA LÄN</t>
        </is>
      </c>
      <c r="E278" t="inlineStr">
        <is>
          <t>ÖSTHAMMAR</t>
        </is>
      </c>
      <c r="G278" t="n">
        <v>8.5</v>
      </c>
      <c r="H278" t="n">
        <v>0</v>
      </c>
      <c r="I278" t="n">
        <v>0</v>
      </c>
      <c r="J278" t="n">
        <v>0</v>
      </c>
      <c r="K278" t="n">
        <v>0</v>
      </c>
      <c r="L278" t="n">
        <v>0</v>
      </c>
      <c r="M278" t="n">
        <v>0</v>
      </c>
      <c r="N278" t="n">
        <v>0</v>
      </c>
      <c r="O278" t="n">
        <v>0</v>
      </c>
      <c r="P278" t="n">
        <v>0</v>
      </c>
      <c r="Q278" t="n">
        <v>0</v>
      </c>
      <c r="R278" s="2" t="inlineStr"/>
    </row>
    <row r="279" ht="15" customHeight="1">
      <c r="A279" t="inlineStr">
        <is>
          <t>A 8708-2022</t>
        </is>
      </c>
      <c r="B279" s="1" t="n">
        <v>44613.77238425926</v>
      </c>
      <c r="C279" s="1" t="n">
        <v>45930</v>
      </c>
      <c r="D279" t="inlineStr">
        <is>
          <t>UPPSALA LÄN</t>
        </is>
      </c>
      <c r="E279" t="inlineStr">
        <is>
          <t>ÖSTHAMMAR</t>
        </is>
      </c>
      <c r="G279" t="n">
        <v>4.3</v>
      </c>
      <c r="H279" t="n">
        <v>0</v>
      </c>
      <c r="I279" t="n">
        <v>0</v>
      </c>
      <c r="J279" t="n">
        <v>0</v>
      </c>
      <c r="K279" t="n">
        <v>0</v>
      </c>
      <c r="L279" t="n">
        <v>0</v>
      </c>
      <c r="M279" t="n">
        <v>0</v>
      </c>
      <c r="N279" t="n">
        <v>0</v>
      </c>
      <c r="O279" t="n">
        <v>0</v>
      </c>
      <c r="P279" t="n">
        <v>0</v>
      </c>
      <c r="Q279" t="n">
        <v>0</v>
      </c>
      <c r="R279" s="2" t="inlineStr"/>
    </row>
    <row r="280" ht="15" customHeight="1">
      <c r="A280" t="inlineStr">
        <is>
          <t>A 11547-2022</t>
        </is>
      </c>
      <c r="B280" s="1" t="n">
        <v>44631.43116898148</v>
      </c>
      <c r="C280" s="1" t="n">
        <v>45930</v>
      </c>
      <c r="D280" t="inlineStr">
        <is>
          <t>UPPSALA LÄN</t>
        </is>
      </c>
      <c r="E280" t="inlineStr">
        <is>
          <t>ÖSTHAMMAR</t>
        </is>
      </c>
      <c r="G280" t="n">
        <v>4.4</v>
      </c>
      <c r="H280" t="n">
        <v>0</v>
      </c>
      <c r="I280" t="n">
        <v>0</v>
      </c>
      <c r="J280" t="n">
        <v>0</v>
      </c>
      <c r="K280" t="n">
        <v>0</v>
      </c>
      <c r="L280" t="n">
        <v>0</v>
      </c>
      <c r="M280" t="n">
        <v>0</v>
      </c>
      <c r="N280" t="n">
        <v>0</v>
      </c>
      <c r="O280" t="n">
        <v>0</v>
      </c>
      <c r="P280" t="n">
        <v>0</v>
      </c>
      <c r="Q280" t="n">
        <v>0</v>
      </c>
      <c r="R280" s="2" t="inlineStr"/>
    </row>
    <row r="281" ht="15" customHeight="1">
      <c r="A281" t="inlineStr">
        <is>
          <t>A 8874-2025</t>
        </is>
      </c>
      <c r="B281" s="1" t="n">
        <v>45713</v>
      </c>
      <c r="C281" s="1" t="n">
        <v>45930</v>
      </c>
      <c r="D281" t="inlineStr">
        <is>
          <t>UPPSALA LÄN</t>
        </is>
      </c>
      <c r="E281" t="inlineStr">
        <is>
          <t>ÖSTHAMMAR</t>
        </is>
      </c>
      <c r="G281" t="n">
        <v>6.3</v>
      </c>
      <c r="H281" t="n">
        <v>0</v>
      </c>
      <c r="I281" t="n">
        <v>0</v>
      </c>
      <c r="J281" t="n">
        <v>0</v>
      </c>
      <c r="K281" t="n">
        <v>0</v>
      </c>
      <c r="L281" t="n">
        <v>0</v>
      </c>
      <c r="M281" t="n">
        <v>0</v>
      </c>
      <c r="N281" t="n">
        <v>0</v>
      </c>
      <c r="O281" t="n">
        <v>0</v>
      </c>
      <c r="P281" t="n">
        <v>0</v>
      </c>
      <c r="Q281" t="n">
        <v>0</v>
      </c>
      <c r="R281" s="2" t="inlineStr"/>
    </row>
    <row r="282" ht="15" customHeight="1">
      <c r="A282" t="inlineStr">
        <is>
          <t>A 29231-2024</t>
        </is>
      </c>
      <c r="B282" s="1" t="n">
        <v>45482</v>
      </c>
      <c r="C282" s="1" t="n">
        <v>45930</v>
      </c>
      <c r="D282" t="inlineStr">
        <is>
          <t>UPPSALA LÄN</t>
        </is>
      </c>
      <c r="E282" t="inlineStr">
        <is>
          <t>ÖSTHAMMAR</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43622-2025</t>
        </is>
      </c>
      <c r="B283" s="1" t="n">
        <v>45911.68295138889</v>
      </c>
      <c r="C283" s="1" t="n">
        <v>45930</v>
      </c>
      <c r="D283" t="inlineStr">
        <is>
          <t>UPPSALA LÄN</t>
        </is>
      </c>
      <c r="E283" t="inlineStr">
        <is>
          <t>ÖSTHAMMAR</t>
        </is>
      </c>
      <c r="G283" t="n">
        <v>2.3</v>
      </c>
      <c r="H283" t="n">
        <v>0</v>
      </c>
      <c r="I283" t="n">
        <v>0</v>
      </c>
      <c r="J283" t="n">
        <v>0</v>
      </c>
      <c r="K283" t="n">
        <v>0</v>
      </c>
      <c r="L283" t="n">
        <v>0</v>
      </c>
      <c r="M283" t="n">
        <v>0</v>
      </c>
      <c r="N283" t="n">
        <v>0</v>
      </c>
      <c r="O283" t="n">
        <v>0</v>
      </c>
      <c r="P283" t="n">
        <v>0</v>
      </c>
      <c r="Q283" t="n">
        <v>0</v>
      </c>
      <c r="R283" s="2" t="inlineStr"/>
    </row>
    <row r="284" ht="15" customHeight="1">
      <c r="A284" t="inlineStr">
        <is>
          <t>A 25418-2022</t>
        </is>
      </c>
      <c r="B284" s="1" t="n">
        <v>44732.464375</v>
      </c>
      <c r="C284" s="1" t="n">
        <v>45930</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25269-2024</t>
        </is>
      </c>
      <c r="B285" s="1" t="n">
        <v>45462</v>
      </c>
      <c r="C285" s="1" t="n">
        <v>45930</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36451-2025</t>
        </is>
      </c>
      <c r="B286" s="1" t="n">
        <v>45869.4290625</v>
      </c>
      <c r="C286" s="1" t="n">
        <v>45930</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62391-2022</t>
        </is>
      </c>
      <c r="B287" s="1" t="n">
        <v>44923.7849537037</v>
      </c>
      <c r="C287" s="1" t="n">
        <v>45930</v>
      </c>
      <c r="D287" t="inlineStr">
        <is>
          <t>UPPSALA LÄN</t>
        </is>
      </c>
      <c r="E287" t="inlineStr">
        <is>
          <t>ÖSTHAMMAR</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59382-2022</t>
        </is>
      </c>
      <c r="B288" s="1" t="n">
        <v>44905.50363425926</v>
      </c>
      <c r="C288" s="1" t="n">
        <v>45930</v>
      </c>
      <c r="D288" t="inlineStr">
        <is>
          <t>UPPSALA LÄN</t>
        </is>
      </c>
      <c r="E288" t="inlineStr">
        <is>
          <t>ÖSTHAMMAR</t>
        </is>
      </c>
      <c r="G288" t="n">
        <v>2.9</v>
      </c>
      <c r="H288" t="n">
        <v>0</v>
      </c>
      <c r="I288" t="n">
        <v>0</v>
      </c>
      <c r="J288" t="n">
        <v>0</v>
      </c>
      <c r="K288" t="n">
        <v>0</v>
      </c>
      <c r="L288" t="n">
        <v>0</v>
      </c>
      <c r="M288" t="n">
        <v>0</v>
      </c>
      <c r="N288" t="n">
        <v>0</v>
      </c>
      <c r="O288" t="n">
        <v>0</v>
      </c>
      <c r="P288" t="n">
        <v>0</v>
      </c>
      <c r="Q288" t="n">
        <v>0</v>
      </c>
      <c r="R288" s="2" t="inlineStr"/>
    </row>
    <row r="289" ht="15" customHeight="1">
      <c r="A289" t="inlineStr">
        <is>
          <t>A 31485-2023</t>
        </is>
      </c>
      <c r="B289" s="1" t="n">
        <v>45114</v>
      </c>
      <c r="C289" s="1" t="n">
        <v>45930</v>
      </c>
      <c r="D289" t="inlineStr">
        <is>
          <t>UPPSALA LÄN</t>
        </is>
      </c>
      <c r="E289" t="inlineStr">
        <is>
          <t>ÖSTHAMMAR</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25969-2023</t>
        </is>
      </c>
      <c r="B290" s="1" t="n">
        <v>45090</v>
      </c>
      <c r="C290" s="1" t="n">
        <v>45930</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56903-2023</t>
        </is>
      </c>
      <c r="B291" s="1" t="n">
        <v>45244.56943287037</v>
      </c>
      <c r="C291" s="1" t="n">
        <v>45930</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30931-2021</t>
        </is>
      </c>
      <c r="B292" s="1" t="n">
        <v>44365</v>
      </c>
      <c r="C292" s="1" t="n">
        <v>45930</v>
      </c>
      <c r="D292" t="inlineStr">
        <is>
          <t>UPPSALA LÄN</t>
        </is>
      </c>
      <c r="E292" t="inlineStr">
        <is>
          <t>ÖSTHAMMAR</t>
        </is>
      </c>
      <c r="F292" t="inlineStr">
        <is>
          <t>Bergvik skog öst AB</t>
        </is>
      </c>
      <c r="G292" t="n">
        <v>2.3</v>
      </c>
      <c r="H292" t="n">
        <v>0</v>
      </c>
      <c r="I292" t="n">
        <v>0</v>
      </c>
      <c r="J292" t="n">
        <v>0</v>
      </c>
      <c r="K292" t="n">
        <v>0</v>
      </c>
      <c r="L292" t="n">
        <v>0</v>
      </c>
      <c r="M292" t="n">
        <v>0</v>
      </c>
      <c r="N292" t="n">
        <v>0</v>
      </c>
      <c r="O292" t="n">
        <v>0</v>
      </c>
      <c r="P292" t="n">
        <v>0</v>
      </c>
      <c r="Q292" t="n">
        <v>0</v>
      </c>
      <c r="R292" s="2" t="inlineStr"/>
    </row>
    <row r="293" ht="15" customHeight="1">
      <c r="A293" t="inlineStr">
        <is>
          <t>A 64811-2021</t>
        </is>
      </c>
      <c r="B293" s="1" t="n">
        <v>44512</v>
      </c>
      <c r="C293" s="1" t="n">
        <v>45930</v>
      </c>
      <c r="D293" t="inlineStr">
        <is>
          <t>UPPSALA LÄN</t>
        </is>
      </c>
      <c r="E293" t="inlineStr">
        <is>
          <t>ÖSTHAMMAR</t>
        </is>
      </c>
      <c r="G293" t="n">
        <v>4.2</v>
      </c>
      <c r="H293" t="n">
        <v>0</v>
      </c>
      <c r="I293" t="n">
        <v>0</v>
      </c>
      <c r="J293" t="n">
        <v>0</v>
      </c>
      <c r="K293" t="n">
        <v>0</v>
      </c>
      <c r="L293" t="n">
        <v>0</v>
      </c>
      <c r="M293" t="n">
        <v>0</v>
      </c>
      <c r="N293" t="n">
        <v>0</v>
      </c>
      <c r="O293" t="n">
        <v>0</v>
      </c>
      <c r="P293" t="n">
        <v>0</v>
      </c>
      <c r="Q293" t="n">
        <v>0</v>
      </c>
      <c r="R293" s="2" t="inlineStr"/>
    </row>
    <row r="294" ht="15" customHeight="1">
      <c r="A294" t="inlineStr">
        <is>
          <t>A 8830-2023</t>
        </is>
      </c>
      <c r="B294" s="1" t="n">
        <v>44978</v>
      </c>
      <c r="C294" s="1" t="n">
        <v>45930</v>
      </c>
      <c r="D294" t="inlineStr">
        <is>
          <t>UPPSALA LÄN</t>
        </is>
      </c>
      <c r="E294" t="inlineStr">
        <is>
          <t>ÖSTHAMMAR</t>
        </is>
      </c>
      <c r="F294" t="inlineStr">
        <is>
          <t>Bergvik skog öst AB</t>
        </is>
      </c>
      <c r="G294" t="n">
        <v>1.6</v>
      </c>
      <c r="H294" t="n">
        <v>0</v>
      </c>
      <c r="I294" t="n">
        <v>0</v>
      </c>
      <c r="J294" t="n">
        <v>0</v>
      </c>
      <c r="K294" t="n">
        <v>0</v>
      </c>
      <c r="L294" t="n">
        <v>0</v>
      </c>
      <c r="M294" t="n">
        <v>0</v>
      </c>
      <c r="N294" t="n">
        <v>0</v>
      </c>
      <c r="O294" t="n">
        <v>0</v>
      </c>
      <c r="P294" t="n">
        <v>0</v>
      </c>
      <c r="Q294" t="n">
        <v>0</v>
      </c>
      <c r="R294" s="2" t="inlineStr"/>
    </row>
    <row r="295" ht="15" customHeight="1">
      <c r="A295" t="inlineStr">
        <is>
          <t>A 6106-2024</t>
        </is>
      </c>
      <c r="B295" s="1" t="n">
        <v>45337.36831018519</v>
      </c>
      <c r="C295" s="1" t="n">
        <v>45930</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33550-2024</t>
        </is>
      </c>
      <c r="B296" s="1" t="n">
        <v>45519.81043981481</v>
      </c>
      <c r="C296" s="1" t="n">
        <v>45930</v>
      </c>
      <c r="D296" t="inlineStr">
        <is>
          <t>UPPSALA LÄN</t>
        </is>
      </c>
      <c r="E296" t="inlineStr">
        <is>
          <t>ÖSTHAMMAR</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62295-2022</t>
        </is>
      </c>
      <c r="B297" s="1" t="n">
        <v>44916</v>
      </c>
      <c r="C297" s="1" t="n">
        <v>45930</v>
      </c>
      <c r="D297" t="inlineStr">
        <is>
          <t>UPPSALA LÄN</t>
        </is>
      </c>
      <c r="E297" t="inlineStr">
        <is>
          <t>ÖSTHAMMAR</t>
        </is>
      </c>
      <c r="G297" t="n">
        <v>3.3</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45930</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67151-2021</t>
        </is>
      </c>
      <c r="B299" s="1" t="n">
        <v>44523</v>
      </c>
      <c r="C299" s="1" t="n">
        <v>45930</v>
      </c>
      <c r="D299" t="inlineStr">
        <is>
          <t>UPPSALA LÄN</t>
        </is>
      </c>
      <c r="E299" t="inlineStr">
        <is>
          <t>ÖSTHAMMAR</t>
        </is>
      </c>
      <c r="G299" t="n">
        <v>2.4</v>
      </c>
      <c r="H299" t="n">
        <v>0</v>
      </c>
      <c r="I299" t="n">
        <v>0</v>
      </c>
      <c r="J299" t="n">
        <v>0</v>
      </c>
      <c r="K299" t="n">
        <v>0</v>
      </c>
      <c r="L299" t="n">
        <v>0</v>
      </c>
      <c r="M299" t="n">
        <v>0</v>
      </c>
      <c r="N299" t="n">
        <v>0</v>
      </c>
      <c r="O299" t="n">
        <v>0</v>
      </c>
      <c r="P299" t="n">
        <v>0</v>
      </c>
      <c r="Q299" t="n">
        <v>0</v>
      </c>
      <c r="R299" s="2" t="inlineStr"/>
    </row>
    <row r="300" ht="15" customHeight="1">
      <c r="A300" t="inlineStr">
        <is>
          <t>A 29824-2023</t>
        </is>
      </c>
      <c r="B300" s="1" t="n">
        <v>45107</v>
      </c>
      <c r="C300" s="1" t="n">
        <v>45930</v>
      </c>
      <c r="D300" t="inlineStr">
        <is>
          <t>UPPSALA LÄN</t>
        </is>
      </c>
      <c r="E300" t="inlineStr">
        <is>
          <t>ÖSTHAMMAR</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56759-2024</t>
        </is>
      </c>
      <c r="B301" s="1" t="n">
        <v>45628.39877314815</v>
      </c>
      <c r="C301" s="1" t="n">
        <v>45930</v>
      </c>
      <c r="D301" t="inlineStr">
        <is>
          <t>UPPSALA LÄN</t>
        </is>
      </c>
      <c r="E301" t="inlineStr">
        <is>
          <t>ÖSTHAMMAR</t>
        </is>
      </c>
      <c r="G301" t="n">
        <v>4.7</v>
      </c>
      <c r="H301" t="n">
        <v>0</v>
      </c>
      <c r="I301" t="n">
        <v>0</v>
      </c>
      <c r="J301" t="n">
        <v>0</v>
      </c>
      <c r="K301" t="n">
        <v>0</v>
      </c>
      <c r="L301" t="n">
        <v>0</v>
      </c>
      <c r="M301" t="n">
        <v>0</v>
      </c>
      <c r="N301" t="n">
        <v>0</v>
      </c>
      <c r="O301" t="n">
        <v>0</v>
      </c>
      <c r="P301" t="n">
        <v>0</v>
      </c>
      <c r="Q301" t="n">
        <v>0</v>
      </c>
      <c r="R301" s="2" t="inlineStr"/>
    </row>
    <row r="302" ht="15" customHeight="1">
      <c r="A302" t="inlineStr">
        <is>
          <t>A 32815-2024</t>
        </is>
      </c>
      <c r="B302" s="1" t="n">
        <v>45516.57682870371</v>
      </c>
      <c r="C302" s="1" t="n">
        <v>45930</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45930</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32744-2022</t>
        </is>
      </c>
      <c r="B304" s="1" t="n">
        <v>44783.70378472222</v>
      </c>
      <c r="C304" s="1" t="n">
        <v>45930</v>
      </c>
      <c r="D304" t="inlineStr">
        <is>
          <t>UPPSALA LÄN</t>
        </is>
      </c>
      <c r="E304" t="inlineStr">
        <is>
          <t>ÖSTHAMMAR</t>
        </is>
      </c>
      <c r="F304" t="inlineStr">
        <is>
          <t>Bergvik skog öst AB</t>
        </is>
      </c>
      <c r="G304" t="n">
        <v>3</v>
      </c>
      <c r="H304" t="n">
        <v>0</v>
      </c>
      <c r="I304" t="n">
        <v>0</v>
      </c>
      <c r="J304" t="n">
        <v>0</v>
      </c>
      <c r="K304" t="n">
        <v>0</v>
      </c>
      <c r="L304" t="n">
        <v>0</v>
      </c>
      <c r="M304" t="n">
        <v>0</v>
      </c>
      <c r="N304" t="n">
        <v>0</v>
      </c>
      <c r="O304" t="n">
        <v>0</v>
      </c>
      <c r="P304" t="n">
        <v>0</v>
      </c>
      <c r="Q304" t="n">
        <v>0</v>
      </c>
      <c r="R304" s="2" t="inlineStr"/>
    </row>
    <row r="305" ht="15" customHeight="1">
      <c r="A305" t="inlineStr">
        <is>
          <t>A 64586-2021</t>
        </is>
      </c>
      <c r="B305" s="1" t="n">
        <v>44511</v>
      </c>
      <c r="C305" s="1" t="n">
        <v>45930</v>
      </c>
      <c r="D305" t="inlineStr">
        <is>
          <t>UPPSALA LÄN</t>
        </is>
      </c>
      <c r="E305" t="inlineStr">
        <is>
          <t>ÖSTHAMMAR</t>
        </is>
      </c>
      <c r="G305" t="n">
        <v>2</v>
      </c>
      <c r="H305" t="n">
        <v>0</v>
      </c>
      <c r="I305" t="n">
        <v>0</v>
      </c>
      <c r="J305" t="n">
        <v>0</v>
      </c>
      <c r="K305" t="n">
        <v>0</v>
      </c>
      <c r="L305" t="n">
        <v>0</v>
      </c>
      <c r="M305" t="n">
        <v>0</v>
      </c>
      <c r="N305" t="n">
        <v>0</v>
      </c>
      <c r="O305" t="n">
        <v>0</v>
      </c>
      <c r="P305" t="n">
        <v>0</v>
      </c>
      <c r="Q305" t="n">
        <v>0</v>
      </c>
      <c r="R305" s="2" t="inlineStr"/>
    </row>
    <row r="306" ht="15" customHeight="1">
      <c r="A306" t="inlineStr">
        <is>
          <t>A 61261-2022</t>
        </is>
      </c>
      <c r="B306" s="1" t="n">
        <v>44915.59645833333</v>
      </c>
      <c r="C306" s="1" t="n">
        <v>45930</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4984-2024</t>
        </is>
      </c>
      <c r="B307" s="1" t="n">
        <v>45329</v>
      </c>
      <c r="C307" s="1" t="n">
        <v>45930</v>
      </c>
      <c r="D307" t="inlineStr">
        <is>
          <t>UPPSALA LÄN</t>
        </is>
      </c>
      <c r="E307" t="inlineStr">
        <is>
          <t>ÖSTHAMMAR</t>
        </is>
      </c>
      <c r="G307" t="n">
        <v>2.2</v>
      </c>
      <c r="H307" t="n">
        <v>0</v>
      </c>
      <c r="I307" t="n">
        <v>0</v>
      </c>
      <c r="J307" t="n">
        <v>0</v>
      </c>
      <c r="K307" t="n">
        <v>0</v>
      </c>
      <c r="L307" t="n">
        <v>0</v>
      </c>
      <c r="M307" t="n">
        <v>0</v>
      </c>
      <c r="N307" t="n">
        <v>0</v>
      </c>
      <c r="O307" t="n">
        <v>0</v>
      </c>
      <c r="P307" t="n">
        <v>0</v>
      </c>
      <c r="Q307" t="n">
        <v>0</v>
      </c>
      <c r="R307" s="2" t="inlineStr"/>
    </row>
    <row r="308" ht="15" customHeight="1">
      <c r="A308" t="inlineStr">
        <is>
          <t>A 36646-2025</t>
        </is>
      </c>
      <c r="B308" s="1" t="n">
        <v>45872</v>
      </c>
      <c r="C308" s="1" t="n">
        <v>45930</v>
      </c>
      <c r="D308" t="inlineStr">
        <is>
          <t>UPPSALA LÄN</t>
        </is>
      </c>
      <c r="E308" t="inlineStr">
        <is>
          <t>ÖSTHAMMAR</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17009-2021</t>
        </is>
      </c>
      <c r="B309" s="1" t="n">
        <v>44295.63969907408</v>
      </c>
      <c r="C309" s="1" t="n">
        <v>45930</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74429-2021</t>
        </is>
      </c>
      <c r="B310" s="1" t="n">
        <v>44560.43136574074</v>
      </c>
      <c r="C310" s="1" t="n">
        <v>45930</v>
      </c>
      <c r="D310" t="inlineStr">
        <is>
          <t>UPPSALA LÄN</t>
        </is>
      </c>
      <c r="E310" t="inlineStr">
        <is>
          <t>ÖSTHAMMAR</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7543-2023</t>
        </is>
      </c>
      <c r="B311" s="1" t="n">
        <v>44972</v>
      </c>
      <c r="C311" s="1" t="n">
        <v>45930</v>
      </c>
      <c r="D311" t="inlineStr">
        <is>
          <t>UPPSALA LÄN</t>
        </is>
      </c>
      <c r="E311" t="inlineStr">
        <is>
          <t>ÖSTHAMMAR</t>
        </is>
      </c>
      <c r="F311" t="inlineStr">
        <is>
          <t>Bergvik skog öst AB</t>
        </is>
      </c>
      <c r="G311" t="n">
        <v>13.3</v>
      </c>
      <c r="H311" t="n">
        <v>0</v>
      </c>
      <c r="I311" t="n">
        <v>0</v>
      </c>
      <c r="J311" t="n">
        <v>0</v>
      </c>
      <c r="K311" t="n">
        <v>0</v>
      </c>
      <c r="L311" t="n">
        <v>0</v>
      </c>
      <c r="M311" t="n">
        <v>0</v>
      </c>
      <c r="N311" t="n">
        <v>0</v>
      </c>
      <c r="O311" t="n">
        <v>0</v>
      </c>
      <c r="P311" t="n">
        <v>0</v>
      </c>
      <c r="Q311" t="n">
        <v>0</v>
      </c>
      <c r="R311" s="2" t="inlineStr"/>
    </row>
    <row r="312" ht="15" customHeight="1">
      <c r="A312" t="inlineStr">
        <is>
          <t>A 13755-2023</t>
        </is>
      </c>
      <c r="B312" s="1" t="n">
        <v>45007</v>
      </c>
      <c r="C312" s="1" t="n">
        <v>45930</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36643-2025</t>
        </is>
      </c>
      <c r="B313" s="1" t="n">
        <v>45872.47782407407</v>
      </c>
      <c r="C313" s="1" t="n">
        <v>45930</v>
      </c>
      <c r="D313" t="inlineStr">
        <is>
          <t>UPPSALA LÄN</t>
        </is>
      </c>
      <c r="E313" t="inlineStr">
        <is>
          <t>ÖSTHAMMAR</t>
        </is>
      </c>
      <c r="F313" t="inlineStr">
        <is>
          <t>Bergvik skog öst AB</t>
        </is>
      </c>
      <c r="G313" t="n">
        <v>15.1</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45930</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64774-2023</t>
        </is>
      </c>
      <c r="B315" s="1" t="n">
        <v>45282</v>
      </c>
      <c r="C315" s="1" t="n">
        <v>45930</v>
      </c>
      <c r="D315" t="inlineStr">
        <is>
          <t>UPPSALA LÄN</t>
        </is>
      </c>
      <c r="E315" t="inlineStr">
        <is>
          <t>ÖSTHAMMAR</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65020-2021</t>
        </is>
      </c>
      <c r="B316" s="1" t="n">
        <v>44515</v>
      </c>
      <c r="C316" s="1" t="n">
        <v>45930</v>
      </c>
      <c r="D316" t="inlineStr">
        <is>
          <t>UPPSALA LÄN</t>
        </is>
      </c>
      <c r="E316" t="inlineStr">
        <is>
          <t>ÖSTHAMMAR</t>
        </is>
      </c>
      <c r="F316" t="inlineStr">
        <is>
          <t>Sveaskog</t>
        </is>
      </c>
      <c r="G316" t="n">
        <v>4.7</v>
      </c>
      <c r="H316" t="n">
        <v>0</v>
      </c>
      <c r="I316" t="n">
        <v>0</v>
      </c>
      <c r="J316" t="n">
        <v>0</v>
      </c>
      <c r="K316" t="n">
        <v>0</v>
      </c>
      <c r="L316" t="n">
        <v>0</v>
      </c>
      <c r="M316" t="n">
        <v>0</v>
      </c>
      <c r="N316" t="n">
        <v>0</v>
      </c>
      <c r="O316" t="n">
        <v>0</v>
      </c>
      <c r="P316" t="n">
        <v>0</v>
      </c>
      <c r="Q316" t="n">
        <v>0</v>
      </c>
      <c r="R316" s="2" t="inlineStr"/>
    </row>
    <row r="317" ht="15" customHeight="1">
      <c r="A317" t="inlineStr">
        <is>
          <t>A 36645-2025</t>
        </is>
      </c>
      <c r="B317" s="1" t="n">
        <v>45872</v>
      </c>
      <c r="C317" s="1" t="n">
        <v>45930</v>
      </c>
      <c r="D317" t="inlineStr">
        <is>
          <t>UPPSALA LÄN</t>
        </is>
      </c>
      <c r="E317" t="inlineStr">
        <is>
          <t>ÖSTHAMMAR</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36644-2025</t>
        </is>
      </c>
      <c r="B318" s="1" t="n">
        <v>45872.48738425926</v>
      </c>
      <c r="C318" s="1" t="n">
        <v>45930</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4559-2022</t>
        </is>
      </c>
      <c r="B319" s="1" t="n">
        <v>44591.51854166666</v>
      </c>
      <c r="C319" s="1" t="n">
        <v>45930</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44491-2025</t>
        </is>
      </c>
      <c r="B320" s="1" t="n">
        <v>45916.66152777777</v>
      </c>
      <c r="C320" s="1" t="n">
        <v>45930</v>
      </c>
      <c r="D320" t="inlineStr">
        <is>
          <t>UPPSALA LÄN</t>
        </is>
      </c>
      <c r="E320" t="inlineStr">
        <is>
          <t>ÖSTHAMMAR</t>
        </is>
      </c>
      <c r="F320" t="inlineStr">
        <is>
          <t>Bergvik skog öst AB</t>
        </is>
      </c>
      <c r="G320" t="n">
        <v>4.3</v>
      </c>
      <c r="H320" t="n">
        <v>0</v>
      </c>
      <c r="I320" t="n">
        <v>0</v>
      </c>
      <c r="J320" t="n">
        <v>0</v>
      </c>
      <c r="K320" t="n">
        <v>0</v>
      </c>
      <c r="L320" t="n">
        <v>0</v>
      </c>
      <c r="M320" t="n">
        <v>0</v>
      </c>
      <c r="N320" t="n">
        <v>0</v>
      </c>
      <c r="O320" t="n">
        <v>0</v>
      </c>
      <c r="P320" t="n">
        <v>0</v>
      </c>
      <c r="Q320" t="n">
        <v>0</v>
      </c>
      <c r="R320" s="2" t="inlineStr"/>
    </row>
    <row r="321" ht="15" customHeight="1">
      <c r="A321" t="inlineStr">
        <is>
          <t>A 11643-2022</t>
        </is>
      </c>
      <c r="B321" s="1" t="n">
        <v>44631.92662037037</v>
      </c>
      <c r="C321" s="1" t="n">
        <v>45930</v>
      </c>
      <c r="D321" t="inlineStr">
        <is>
          <t>UPPSALA LÄN</t>
        </is>
      </c>
      <c r="E321" t="inlineStr">
        <is>
          <t>ÖSTHAMMAR</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44917-2025</t>
        </is>
      </c>
      <c r="B322" s="1" t="n">
        <v>45918.54903935185</v>
      </c>
      <c r="C322" s="1" t="n">
        <v>45930</v>
      </c>
      <c r="D322" t="inlineStr">
        <is>
          <t>UPPSALA LÄN</t>
        </is>
      </c>
      <c r="E322" t="inlineStr">
        <is>
          <t>ÖSTHAMMAR</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2085-2022</t>
        </is>
      </c>
      <c r="B323" s="1" t="n">
        <v>44576.78626157407</v>
      </c>
      <c r="C323" s="1" t="n">
        <v>45930</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11036-2023</t>
        </is>
      </c>
      <c r="B324" s="1" t="n">
        <v>44991.9321412037</v>
      </c>
      <c r="C324" s="1" t="n">
        <v>45930</v>
      </c>
      <c r="D324" t="inlineStr">
        <is>
          <t>UPPSALA LÄN</t>
        </is>
      </c>
      <c r="E324" t="inlineStr">
        <is>
          <t>ÖSTHAMMAR</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23363-2023</t>
        </is>
      </c>
      <c r="B325" s="1" t="n">
        <v>45076</v>
      </c>
      <c r="C325" s="1" t="n">
        <v>45930</v>
      </c>
      <c r="D325" t="inlineStr">
        <is>
          <t>UPPSALA LÄN</t>
        </is>
      </c>
      <c r="E325" t="inlineStr">
        <is>
          <t>ÖSTHAMMAR</t>
        </is>
      </c>
      <c r="G325" t="n">
        <v>3</v>
      </c>
      <c r="H325" t="n">
        <v>0</v>
      </c>
      <c r="I325" t="n">
        <v>0</v>
      </c>
      <c r="J325" t="n">
        <v>0</v>
      </c>
      <c r="K325" t="n">
        <v>0</v>
      </c>
      <c r="L325" t="n">
        <v>0</v>
      </c>
      <c r="M325" t="n">
        <v>0</v>
      </c>
      <c r="N325" t="n">
        <v>0</v>
      </c>
      <c r="O325" t="n">
        <v>0</v>
      </c>
      <c r="P325" t="n">
        <v>0</v>
      </c>
      <c r="Q325" t="n">
        <v>0</v>
      </c>
      <c r="R325" s="2" t="inlineStr"/>
    </row>
    <row r="326" ht="15" customHeight="1">
      <c r="A326" t="inlineStr">
        <is>
          <t>A 14671-2022</t>
        </is>
      </c>
      <c r="B326" s="1" t="n">
        <v>44655.80475694445</v>
      </c>
      <c r="C326" s="1" t="n">
        <v>45930</v>
      </c>
      <c r="D326" t="inlineStr">
        <is>
          <t>UPPSALA LÄN</t>
        </is>
      </c>
      <c r="E326" t="inlineStr">
        <is>
          <t>ÖSTHAMMAR</t>
        </is>
      </c>
      <c r="G326" t="n">
        <v>1.9</v>
      </c>
      <c r="H326" t="n">
        <v>0</v>
      </c>
      <c r="I326" t="n">
        <v>0</v>
      </c>
      <c r="J326" t="n">
        <v>0</v>
      </c>
      <c r="K326" t="n">
        <v>0</v>
      </c>
      <c r="L326" t="n">
        <v>0</v>
      </c>
      <c r="M326" t="n">
        <v>0</v>
      </c>
      <c r="N326" t="n">
        <v>0</v>
      </c>
      <c r="O326" t="n">
        <v>0</v>
      </c>
      <c r="P326" t="n">
        <v>0</v>
      </c>
      <c r="Q326" t="n">
        <v>0</v>
      </c>
      <c r="R326" s="2" t="inlineStr"/>
    </row>
    <row r="327" ht="15" customHeight="1">
      <c r="A327" t="inlineStr">
        <is>
          <t>A 3418-2025</t>
        </is>
      </c>
      <c r="B327" s="1" t="n">
        <v>45680</v>
      </c>
      <c r="C327" s="1" t="n">
        <v>45930</v>
      </c>
      <c r="D327" t="inlineStr">
        <is>
          <t>UPPSALA LÄN</t>
        </is>
      </c>
      <c r="E327" t="inlineStr">
        <is>
          <t>ÖSTHAMMAR</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3420-2025</t>
        </is>
      </c>
      <c r="B328" s="1" t="n">
        <v>45680</v>
      </c>
      <c r="C328" s="1" t="n">
        <v>45930</v>
      </c>
      <c r="D328" t="inlineStr">
        <is>
          <t>UPPSALA LÄN</t>
        </is>
      </c>
      <c r="E328" t="inlineStr">
        <is>
          <t>ÖSTHAMMAR</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12215-2023</t>
        </is>
      </c>
      <c r="B329" s="1" t="n">
        <v>44998</v>
      </c>
      <c r="C329" s="1" t="n">
        <v>45930</v>
      </c>
      <c r="D329" t="inlineStr">
        <is>
          <t>UPPSALA LÄN</t>
        </is>
      </c>
      <c r="E329" t="inlineStr">
        <is>
          <t>ÖSTHAMMAR</t>
        </is>
      </c>
      <c r="G329" t="n">
        <v>5.1</v>
      </c>
      <c r="H329" t="n">
        <v>0</v>
      </c>
      <c r="I329" t="n">
        <v>0</v>
      </c>
      <c r="J329" t="n">
        <v>0</v>
      </c>
      <c r="K329" t="n">
        <v>0</v>
      </c>
      <c r="L329" t="n">
        <v>0</v>
      </c>
      <c r="M329" t="n">
        <v>0</v>
      </c>
      <c r="N329" t="n">
        <v>0</v>
      </c>
      <c r="O329" t="n">
        <v>0</v>
      </c>
      <c r="P329" t="n">
        <v>0</v>
      </c>
      <c r="Q329" t="n">
        <v>0</v>
      </c>
      <c r="R329" s="2" t="inlineStr"/>
    </row>
    <row r="330" ht="15" customHeight="1">
      <c r="A330" t="inlineStr">
        <is>
          <t>A 14505-2023</t>
        </is>
      </c>
      <c r="B330" s="1" t="n">
        <v>45012.7975</v>
      </c>
      <c r="C330" s="1" t="n">
        <v>45930</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41996-2024</t>
        </is>
      </c>
      <c r="B331" s="1" t="n">
        <v>45561</v>
      </c>
      <c r="C331" s="1" t="n">
        <v>45930</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15449-2022</t>
        </is>
      </c>
      <c r="B332" s="1" t="n">
        <v>44660.91659722223</v>
      </c>
      <c r="C332" s="1" t="n">
        <v>45930</v>
      </c>
      <c r="D332" t="inlineStr">
        <is>
          <t>UPPSALA LÄN</t>
        </is>
      </c>
      <c r="E332" t="inlineStr">
        <is>
          <t>ÖSTHAMMAR</t>
        </is>
      </c>
      <c r="F332" t="inlineStr">
        <is>
          <t>Bergvik skog öst AB</t>
        </is>
      </c>
      <c r="G332" t="n">
        <v>2</v>
      </c>
      <c r="H332" t="n">
        <v>0</v>
      </c>
      <c r="I332" t="n">
        <v>0</v>
      </c>
      <c r="J332" t="n">
        <v>0</v>
      </c>
      <c r="K332" t="n">
        <v>0</v>
      </c>
      <c r="L332" t="n">
        <v>0</v>
      </c>
      <c r="M332" t="n">
        <v>0</v>
      </c>
      <c r="N332" t="n">
        <v>0</v>
      </c>
      <c r="O332" t="n">
        <v>0</v>
      </c>
      <c r="P332" t="n">
        <v>0</v>
      </c>
      <c r="Q332" t="n">
        <v>0</v>
      </c>
      <c r="R332" s="2" t="inlineStr"/>
    </row>
    <row r="333" ht="15" customHeight="1">
      <c r="A333" t="inlineStr">
        <is>
          <t>A 60577-2021</t>
        </is>
      </c>
      <c r="B333" s="1" t="n">
        <v>44496.57019675926</v>
      </c>
      <c r="C333" s="1" t="n">
        <v>45930</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1439-2025</t>
        </is>
      </c>
      <c r="B334" s="1" t="n">
        <v>45669.69075231482</v>
      </c>
      <c r="C334" s="1" t="n">
        <v>45930</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45930</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62695-2023</t>
        </is>
      </c>
      <c r="B336" s="1" t="n">
        <v>45271</v>
      </c>
      <c r="C336" s="1" t="n">
        <v>45930</v>
      </c>
      <c r="D336" t="inlineStr">
        <is>
          <t>UPPSALA LÄN</t>
        </is>
      </c>
      <c r="E336" t="inlineStr">
        <is>
          <t>ÖSTHAMMAR</t>
        </is>
      </c>
      <c r="G336" t="n">
        <v>5.3</v>
      </c>
      <c r="H336" t="n">
        <v>0</v>
      </c>
      <c r="I336" t="n">
        <v>0</v>
      </c>
      <c r="J336" t="n">
        <v>0</v>
      </c>
      <c r="K336" t="n">
        <v>0</v>
      </c>
      <c r="L336" t="n">
        <v>0</v>
      </c>
      <c r="M336" t="n">
        <v>0</v>
      </c>
      <c r="N336" t="n">
        <v>0</v>
      </c>
      <c r="O336" t="n">
        <v>0</v>
      </c>
      <c r="P336" t="n">
        <v>0</v>
      </c>
      <c r="Q336" t="n">
        <v>0</v>
      </c>
      <c r="R336" s="2" t="inlineStr"/>
    </row>
    <row r="337" ht="15" customHeight="1">
      <c r="A337" t="inlineStr">
        <is>
          <t>A 5215-2025</t>
        </is>
      </c>
      <c r="B337" s="1" t="n">
        <v>45691</v>
      </c>
      <c r="C337" s="1" t="n">
        <v>45930</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52650-2022</t>
        </is>
      </c>
      <c r="B338" s="1" t="n">
        <v>44874</v>
      </c>
      <c r="C338" s="1" t="n">
        <v>45930</v>
      </c>
      <c r="D338" t="inlineStr">
        <is>
          <t>UPPSALA LÄN</t>
        </is>
      </c>
      <c r="E338" t="inlineStr">
        <is>
          <t>ÖSTHAMMAR</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52661-2022</t>
        </is>
      </c>
      <c r="B339" s="1" t="n">
        <v>44874</v>
      </c>
      <c r="C339" s="1" t="n">
        <v>45930</v>
      </c>
      <c r="D339" t="inlineStr">
        <is>
          <t>UPPSALA LÄN</t>
        </is>
      </c>
      <c r="E339" t="inlineStr">
        <is>
          <t>ÖSTHAMMAR</t>
        </is>
      </c>
      <c r="F339" t="inlineStr">
        <is>
          <t>Bergvik skog öst AB</t>
        </is>
      </c>
      <c r="G339" t="n">
        <v>0.2</v>
      </c>
      <c r="H339" t="n">
        <v>0</v>
      </c>
      <c r="I339" t="n">
        <v>0</v>
      </c>
      <c r="J339" t="n">
        <v>0</v>
      </c>
      <c r="K339" t="n">
        <v>0</v>
      </c>
      <c r="L339" t="n">
        <v>0</v>
      </c>
      <c r="M339" t="n">
        <v>0</v>
      </c>
      <c r="N339" t="n">
        <v>0</v>
      </c>
      <c r="O339" t="n">
        <v>0</v>
      </c>
      <c r="P339" t="n">
        <v>0</v>
      </c>
      <c r="Q339" t="n">
        <v>0</v>
      </c>
      <c r="R339" s="2" t="inlineStr"/>
    </row>
    <row r="340" ht="15" customHeight="1">
      <c r="A340" t="inlineStr">
        <is>
          <t>A 65028-2021</t>
        </is>
      </c>
      <c r="B340" s="1" t="n">
        <v>44515</v>
      </c>
      <c r="C340" s="1" t="n">
        <v>45930</v>
      </c>
      <c r="D340" t="inlineStr">
        <is>
          <t>UPPSALA LÄN</t>
        </is>
      </c>
      <c r="E340" t="inlineStr">
        <is>
          <t>ÖSTHAMMAR</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3732-2022</t>
        </is>
      </c>
      <c r="B341" s="1" t="n">
        <v>44586.64851851852</v>
      </c>
      <c r="C341" s="1" t="n">
        <v>45930</v>
      </c>
      <c r="D341" t="inlineStr">
        <is>
          <t>UPPSALA LÄN</t>
        </is>
      </c>
      <c r="E341" t="inlineStr">
        <is>
          <t>ÖSTHAMMAR</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1525-2025</t>
        </is>
      </c>
      <c r="B342" s="1" t="n">
        <v>45670.47300925926</v>
      </c>
      <c r="C342" s="1" t="n">
        <v>45930</v>
      </c>
      <c r="D342" t="inlineStr">
        <is>
          <t>UPPSALA LÄN</t>
        </is>
      </c>
      <c r="E342" t="inlineStr">
        <is>
          <t>ÖSTHAMMAR</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38003-2024</t>
        </is>
      </c>
      <c r="B343" s="1" t="n">
        <v>45544</v>
      </c>
      <c r="C343" s="1" t="n">
        <v>45930</v>
      </c>
      <c r="D343" t="inlineStr">
        <is>
          <t>UPPSALA LÄN</t>
        </is>
      </c>
      <c r="E343" t="inlineStr">
        <is>
          <t>ÖSTHAMMAR</t>
        </is>
      </c>
      <c r="F343" t="inlineStr">
        <is>
          <t>Naturvårdsverket</t>
        </is>
      </c>
      <c r="G343" t="n">
        <v>4.2</v>
      </c>
      <c r="H343" t="n">
        <v>0</v>
      </c>
      <c r="I343" t="n">
        <v>0</v>
      </c>
      <c r="J343" t="n">
        <v>0</v>
      </c>
      <c r="K343" t="n">
        <v>0</v>
      </c>
      <c r="L343" t="n">
        <v>0</v>
      </c>
      <c r="M343" t="n">
        <v>0</v>
      </c>
      <c r="N343" t="n">
        <v>0</v>
      </c>
      <c r="O343" t="n">
        <v>0</v>
      </c>
      <c r="P343" t="n">
        <v>0</v>
      </c>
      <c r="Q343" t="n">
        <v>0</v>
      </c>
      <c r="R343" s="2" t="inlineStr"/>
    </row>
    <row r="344" ht="15" customHeight="1">
      <c r="A344" t="inlineStr">
        <is>
          <t>A 1575-2025</t>
        </is>
      </c>
      <c r="B344" s="1" t="n">
        <v>45670</v>
      </c>
      <c r="C344" s="1" t="n">
        <v>45930</v>
      </c>
      <c r="D344" t="inlineStr">
        <is>
          <t>UPPSALA LÄN</t>
        </is>
      </c>
      <c r="E344" t="inlineStr">
        <is>
          <t>ÖSTHAMMAR</t>
        </is>
      </c>
      <c r="G344" t="n">
        <v>0.4</v>
      </c>
      <c r="H344" t="n">
        <v>0</v>
      </c>
      <c r="I344" t="n">
        <v>0</v>
      </c>
      <c r="J344" t="n">
        <v>0</v>
      </c>
      <c r="K344" t="n">
        <v>0</v>
      </c>
      <c r="L344" t="n">
        <v>0</v>
      </c>
      <c r="M344" t="n">
        <v>0</v>
      </c>
      <c r="N344" t="n">
        <v>0</v>
      </c>
      <c r="O344" t="n">
        <v>0</v>
      </c>
      <c r="P344" t="n">
        <v>0</v>
      </c>
      <c r="Q344" t="n">
        <v>0</v>
      </c>
      <c r="R344" s="2" t="inlineStr"/>
    </row>
    <row r="345" ht="15" customHeight="1">
      <c r="A345" t="inlineStr">
        <is>
          <t>A 16141-2022</t>
        </is>
      </c>
      <c r="B345" s="1" t="n">
        <v>44665</v>
      </c>
      <c r="C345" s="1" t="n">
        <v>45930</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61257-2022</t>
        </is>
      </c>
      <c r="B346" s="1" t="n">
        <v>44915.59418981482</v>
      </c>
      <c r="C346" s="1" t="n">
        <v>45930</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54437-2024</t>
        </is>
      </c>
      <c r="B347" s="1" t="n">
        <v>45617</v>
      </c>
      <c r="C347" s="1" t="n">
        <v>45930</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28152-2024</t>
        </is>
      </c>
      <c r="B348" s="1" t="n">
        <v>45476.77056712963</v>
      </c>
      <c r="C348" s="1" t="n">
        <v>45930</v>
      </c>
      <c r="D348" t="inlineStr">
        <is>
          <t>UPPSALA LÄN</t>
        </is>
      </c>
      <c r="E348" t="inlineStr">
        <is>
          <t>ÖSTHAMMAR</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36857-2023</t>
        </is>
      </c>
      <c r="B349" s="1" t="n">
        <v>45154.55175925926</v>
      </c>
      <c r="C349" s="1" t="n">
        <v>45930</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6206-2022</t>
        </is>
      </c>
      <c r="B350" s="1" t="n">
        <v>44600.35755787037</v>
      </c>
      <c r="C350" s="1" t="n">
        <v>45930</v>
      </c>
      <c r="D350" t="inlineStr">
        <is>
          <t>UPPSALA LÄN</t>
        </is>
      </c>
      <c r="E350" t="inlineStr">
        <is>
          <t>ÖSTHAMMAR</t>
        </is>
      </c>
      <c r="G350" t="n">
        <v>7.4</v>
      </c>
      <c r="H350" t="n">
        <v>0</v>
      </c>
      <c r="I350" t="n">
        <v>0</v>
      </c>
      <c r="J350" t="n">
        <v>0</v>
      </c>
      <c r="K350" t="n">
        <v>0</v>
      </c>
      <c r="L350" t="n">
        <v>0</v>
      </c>
      <c r="M350" t="n">
        <v>0</v>
      </c>
      <c r="N350" t="n">
        <v>0</v>
      </c>
      <c r="O350" t="n">
        <v>0</v>
      </c>
      <c r="P350" t="n">
        <v>0</v>
      </c>
      <c r="Q350" t="n">
        <v>0</v>
      </c>
      <c r="R350" s="2" t="inlineStr"/>
    </row>
    <row r="351" ht="15" customHeight="1">
      <c r="A351" t="inlineStr">
        <is>
          <t>A 6143-2022</t>
        </is>
      </c>
      <c r="B351" s="1" t="n">
        <v>44599.72306712963</v>
      </c>
      <c r="C351" s="1" t="n">
        <v>45930</v>
      </c>
      <c r="D351" t="inlineStr">
        <is>
          <t>UPPSALA LÄN</t>
        </is>
      </c>
      <c r="E351" t="inlineStr">
        <is>
          <t>ÖSTHAMMAR</t>
        </is>
      </c>
      <c r="G351" t="n">
        <v>3.4</v>
      </c>
      <c r="H351" t="n">
        <v>0</v>
      </c>
      <c r="I351" t="n">
        <v>0</v>
      </c>
      <c r="J351" t="n">
        <v>0</v>
      </c>
      <c r="K351" t="n">
        <v>0</v>
      </c>
      <c r="L351" t="n">
        <v>0</v>
      </c>
      <c r="M351" t="n">
        <v>0</v>
      </c>
      <c r="N351" t="n">
        <v>0</v>
      </c>
      <c r="O351" t="n">
        <v>0</v>
      </c>
      <c r="P351" t="n">
        <v>0</v>
      </c>
      <c r="Q351" t="n">
        <v>0</v>
      </c>
      <c r="R351" s="2" t="inlineStr"/>
    </row>
    <row r="352" ht="15" customHeight="1">
      <c r="A352" t="inlineStr">
        <is>
          <t>A 3514-2023</t>
        </is>
      </c>
      <c r="B352" s="1" t="n">
        <v>44950</v>
      </c>
      <c r="C352" s="1" t="n">
        <v>45930</v>
      </c>
      <c r="D352" t="inlineStr">
        <is>
          <t>UPPSALA LÄN</t>
        </is>
      </c>
      <c r="E352" t="inlineStr">
        <is>
          <t>ÖSTHAMMAR</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59807-2020</t>
        </is>
      </c>
      <c r="B353" s="1" t="n">
        <v>44151</v>
      </c>
      <c r="C353" s="1" t="n">
        <v>45930</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57453-2022</t>
        </is>
      </c>
      <c r="B354" s="1" t="n">
        <v>44896.56266203704</v>
      </c>
      <c r="C354" s="1" t="n">
        <v>45930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57462-2022</t>
        </is>
      </c>
      <c r="B355" s="1" t="n">
        <v>44896.57527777777</v>
      </c>
      <c r="C355" s="1" t="n">
        <v>45930</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45930</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45930</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45561-2023</t>
        </is>
      </c>
      <c r="B358" s="1" t="n">
        <v>45194.59335648148</v>
      </c>
      <c r="C358" s="1" t="n">
        <v>45930</v>
      </c>
      <c r="D358" t="inlineStr">
        <is>
          <t>UPPSALA LÄN</t>
        </is>
      </c>
      <c r="E358" t="inlineStr">
        <is>
          <t>ÖSTHAMMAR</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2839-2025</t>
        </is>
      </c>
      <c r="B359" s="1" t="n">
        <v>45677</v>
      </c>
      <c r="C359" s="1" t="n">
        <v>45930</v>
      </c>
      <c r="D359" t="inlineStr">
        <is>
          <t>UPPSALA LÄN</t>
        </is>
      </c>
      <c r="E359" t="inlineStr">
        <is>
          <t>ÖSTHAMMAR</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29282-2021</t>
        </is>
      </c>
      <c r="B360" s="1" t="n">
        <v>44361</v>
      </c>
      <c r="C360" s="1" t="n">
        <v>45930</v>
      </c>
      <c r="D360" t="inlineStr">
        <is>
          <t>UPPSALA LÄN</t>
        </is>
      </c>
      <c r="E360" t="inlineStr">
        <is>
          <t>ÖSTHAMMAR</t>
        </is>
      </c>
      <c r="G360" t="n">
        <v>2.4</v>
      </c>
      <c r="H360" t="n">
        <v>0</v>
      </c>
      <c r="I360" t="n">
        <v>0</v>
      </c>
      <c r="J360" t="n">
        <v>0</v>
      </c>
      <c r="K360" t="n">
        <v>0</v>
      </c>
      <c r="L360" t="n">
        <v>0</v>
      </c>
      <c r="M360" t="n">
        <v>0</v>
      </c>
      <c r="N360" t="n">
        <v>0</v>
      </c>
      <c r="O360" t="n">
        <v>0</v>
      </c>
      <c r="P360" t="n">
        <v>0</v>
      </c>
      <c r="Q360" t="n">
        <v>0</v>
      </c>
      <c r="R360" s="2" t="inlineStr"/>
    </row>
    <row r="361" ht="15" customHeight="1">
      <c r="A361" t="inlineStr">
        <is>
          <t>A 2947-2025</t>
        </is>
      </c>
      <c r="B361" s="1" t="n">
        <v>45678</v>
      </c>
      <c r="C361" s="1" t="n">
        <v>45930</v>
      </c>
      <c r="D361" t="inlineStr">
        <is>
          <t>UPPSALA LÄN</t>
        </is>
      </c>
      <c r="E361" t="inlineStr">
        <is>
          <t>ÖSTHAMMAR</t>
        </is>
      </c>
      <c r="G361" t="n">
        <v>3.6</v>
      </c>
      <c r="H361" t="n">
        <v>0</v>
      </c>
      <c r="I361" t="n">
        <v>0</v>
      </c>
      <c r="J361" t="n">
        <v>0</v>
      </c>
      <c r="K361" t="n">
        <v>0</v>
      </c>
      <c r="L361" t="n">
        <v>0</v>
      </c>
      <c r="M361" t="n">
        <v>0</v>
      </c>
      <c r="N361" t="n">
        <v>0</v>
      </c>
      <c r="O361" t="n">
        <v>0</v>
      </c>
      <c r="P361" t="n">
        <v>0</v>
      </c>
      <c r="Q361" t="n">
        <v>0</v>
      </c>
      <c r="R361" s="2" t="inlineStr"/>
    </row>
    <row r="362" ht="15" customHeight="1">
      <c r="A362" t="inlineStr">
        <is>
          <t>A 37656-2025</t>
        </is>
      </c>
      <c r="B362" s="1" t="n">
        <v>45880</v>
      </c>
      <c r="C362" s="1" t="n">
        <v>45930</v>
      </c>
      <c r="D362" t="inlineStr">
        <is>
          <t>UPPSALA LÄN</t>
        </is>
      </c>
      <c r="E362" t="inlineStr">
        <is>
          <t>ÖSTHAMMAR</t>
        </is>
      </c>
      <c r="G362" t="n">
        <v>4.3</v>
      </c>
      <c r="H362" t="n">
        <v>0</v>
      </c>
      <c r="I362" t="n">
        <v>0</v>
      </c>
      <c r="J362" t="n">
        <v>0</v>
      </c>
      <c r="K362" t="n">
        <v>0</v>
      </c>
      <c r="L362" t="n">
        <v>0</v>
      </c>
      <c r="M362" t="n">
        <v>0</v>
      </c>
      <c r="N362" t="n">
        <v>0</v>
      </c>
      <c r="O362" t="n">
        <v>0</v>
      </c>
      <c r="P362" t="n">
        <v>0</v>
      </c>
      <c r="Q362" t="n">
        <v>0</v>
      </c>
      <c r="R362" s="2" t="inlineStr"/>
    </row>
    <row r="363" ht="15" customHeight="1">
      <c r="A363" t="inlineStr">
        <is>
          <t>A 37764-2025</t>
        </is>
      </c>
      <c r="B363" s="1" t="n">
        <v>45880.70917824074</v>
      </c>
      <c r="C363" s="1" t="n">
        <v>45930</v>
      </c>
      <c r="D363" t="inlineStr">
        <is>
          <t>UPPSALA LÄN</t>
        </is>
      </c>
      <c r="E363" t="inlineStr">
        <is>
          <t>ÖSTHAMMAR</t>
        </is>
      </c>
      <c r="G363" t="n">
        <v>4.6</v>
      </c>
      <c r="H363" t="n">
        <v>0</v>
      </c>
      <c r="I363" t="n">
        <v>0</v>
      </c>
      <c r="J363" t="n">
        <v>0</v>
      </c>
      <c r="K363" t="n">
        <v>0</v>
      </c>
      <c r="L363" t="n">
        <v>0</v>
      </c>
      <c r="M363" t="n">
        <v>0</v>
      </c>
      <c r="N363" t="n">
        <v>0</v>
      </c>
      <c r="O363" t="n">
        <v>0</v>
      </c>
      <c r="P363" t="n">
        <v>0</v>
      </c>
      <c r="Q363" t="n">
        <v>0</v>
      </c>
      <c r="R363" s="2" t="inlineStr"/>
    </row>
    <row r="364" ht="15" customHeight="1">
      <c r="A364" t="inlineStr">
        <is>
          <t>A 45105-2025</t>
        </is>
      </c>
      <c r="B364" s="1" t="n">
        <v>45919.40252314815</v>
      </c>
      <c r="C364" s="1" t="n">
        <v>45930</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6039-2025</t>
        </is>
      </c>
      <c r="B365" s="1" t="n">
        <v>45695</v>
      </c>
      <c r="C365" s="1" t="n">
        <v>45930</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45715-2025</t>
        </is>
      </c>
      <c r="B366" s="1" t="n">
        <v>45923.44094907407</v>
      </c>
      <c r="C366" s="1" t="n">
        <v>45930</v>
      </c>
      <c r="D366" t="inlineStr">
        <is>
          <t>UPPSALA LÄN</t>
        </is>
      </c>
      <c r="E366" t="inlineStr">
        <is>
          <t>ÖSTHAMMAR</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8769-2025</t>
        </is>
      </c>
      <c r="B367" s="1" t="n">
        <v>45712.59412037037</v>
      </c>
      <c r="C367" s="1" t="n">
        <v>45930</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5189-2025</t>
        </is>
      </c>
      <c r="B368" s="1" t="n">
        <v>45691</v>
      </c>
      <c r="C368" s="1" t="n">
        <v>45930</v>
      </c>
      <c r="D368" t="inlineStr">
        <is>
          <t>UPPSALA LÄN</t>
        </is>
      </c>
      <c r="E368" t="inlineStr">
        <is>
          <t>ÖSTHAMMAR</t>
        </is>
      </c>
      <c r="F368" t="inlineStr">
        <is>
          <t>Bergvik skog öst AB</t>
        </is>
      </c>
      <c r="G368" t="n">
        <v>24.4</v>
      </c>
      <c r="H368" t="n">
        <v>0</v>
      </c>
      <c r="I368" t="n">
        <v>0</v>
      </c>
      <c r="J368" t="n">
        <v>0</v>
      </c>
      <c r="K368" t="n">
        <v>0</v>
      </c>
      <c r="L368" t="n">
        <v>0</v>
      </c>
      <c r="M368" t="n">
        <v>0</v>
      </c>
      <c r="N368" t="n">
        <v>0</v>
      </c>
      <c r="O368" t="n">
        <v>0</v>
      </c>
      <c r="P368" t="n">
        <v>0</v>
      </c>
      <c r="Q368" t="n">
        <v>0</v>
      </c>
      <c r="R368" s="2" t="inlineStr"/>
    </row>
    <row r="369" ht="15" customHeight="1">
      <c r="A369" t="inlineStr">
        <is>
          <t>A 45993-2025</t>
        </is>
      </c>
      <c r="B369" s="1" t="n">
        <v>45924.39706018518</v>
      </c>
      <c r="C369" s="1" t="n">
        <v>45930</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43439-2024</t>
        </is>
      </c>
      <c r="B370" s="1" t="n">
        <v>45568</v>
      </c>
      <c r="C370" s="1" t="n">
        <v>45930</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45930</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46088-2025</t>
        </is>
      </c>
      <c r="B372" s="1" t="n">
        <v>45924.52010416667</v>
      </c>
      <c r="C372" s="1" t="n">
        <v>45930</v>
      </c>
      <c r="D372" t="inlineStr">
        <is>
          <t>UPPSALA LÄN</t>
        </is>
      </c>
      <c r="E372" t="inlineStr">
        <is>
          <t>ÖSTHAMMAR</t>
        </is>
      </c>
      <c r="F372" t="inlineStr">
        <is>
          <t>Bergvik skog öst AB</t>
        </is>
      </c>
      <c r="G372" t="n">
        <v>2.7</v>
      </c>
      <c r="H372" t="n">
        <v>0</v>
      </c>
      <c r="I372" t="n">
        <v>0</v>
      </c>
      <c r="J372" t="n">
        <v>0</v>
      </c>
      <c r="K372" t="n">
        <v>0</v>
      </c>
      <c r="L372" t="n">
        <v>0</v>
      </c>
      <c r="M372" t="n">
        <v>0</v>
      </c>
      <c r="N372" t="n">
        <v>0</v>
      </c>
      <c r="O372" t="n">
        <v>0</v>
      </c>
      <c r="P372" t="n">
        <v>0</v>
      </c>
      <c r="Q372" t="n">
        <v>0</v>
      </c>
      <c r="R372" s="2" t="inlineStr"/>
    </row>
    <row r="373" ht="15" customHeight="1">
      <c r="A373" t="inlineStr">
        <is>
          <t>A 7118-2023</t>
        </is>
      </c>
      <c r="B373" s="1" t="n">
        <v>44970.39591435185</v>
      </c>
      <c r="C373" s="1" t="n">
        <v>45930</v>
      </c>
      <c r="D373" t="inlineStr">
        <is>
          <t>UPPSALA LÄN</t>
        </is>
      </c>
      <c r="E373" t="inlineStr">
        <is>
          <t>ÖSTHAMMAR</t>
        </is>
      </c>
      <c r="G373" t="n">
        <v>2.1</v>
      </c>
      <c r="H373" t="n">
        <v>0</v>
      </c>
      <c r="I373" t="n">
        <v>0</v>
      </c>
      <c r="J373" t="n">
        <v>0</v>
      </c>
      <c r="K373" t="n">
        <v>0</v>
      </c>
      <c r="L373" t="n">
        <v>0</v>
      </c>
      <c r="M373" t="n">
        <v>0</v>
      </c>
      <c r="N373" t="n">
        <v>0</v>
      </c>
      <c r="O373" t="n">
        <v>0</v>
      </c>
      <c r="P373" t="n">
        <v>0</v>
      </c>
      <c r="Q373" t="n">
        <v>0</v>
      </c>
      <c r="R373" s="2" t="inlineStr"/>
    </row>
    <row r="374" ht="15" customHeight="1">
      <c r="A374" t="inlineStr">
        <is>
          <t>A 59880-2022</t>
        </is>
      </c>
      <c r="B374" s="1" t="n">
        <v>44908.69575231482</v>
      </c>
      <c r="C374" s="1" t="n">
        <v>45930</v>
      </c>
      <c r="D374" t="inlineStr">
        <is>
          <t>UPPSALA LÄN</t>
        </is>
      </c>
      <c r="E374" t="inlineStr">
        <is>
          <t>ÖSTHAMMAR</t>
        </is>
      </c>
      <c r="G374" t="n">
        <v>1.4</v>
      </c>
      <c r="H374" t="n">
        <v>0</v>
      </c>
      <c r="I374" t="n">
        <v>0</v>
      </c>
      <c r="J374" t="n">
        <v>0</v>
      </c>
      <c r="K374" t="n">
        <v>0</v>
      </c>
      <c r="L374" t="n">
        <v>0</v>
      </c>
      <c r="M374" t="n">
        <v>0</v>
      </c>
      <c r="N374" t="n">
        <v>0</v>
      </c>
      <c r="O374" t="n">
        <v>0</v>
      </c>
      <c r="P374" t="n">
        <v>0</v>
      </c>
      <c r="Q374" t="n">
        <v>0</v>
      </c>
      <c r="R374" s="2" t="inlineStr"/>
    </row>
    <row r="375" ht="15" customHeight="1">
      <c r="A375" t="inlineStr">
        <is>
          <t>A 45721-2025</t>
        </is>
      </c>
      <c r="B375" s="1" t="n">
        <v>45923.44844907407</v>
      </c>
      <c r="C375" s="1" t="n">
        <v>45930</v>
      </c>
      <c r="D375" t="inlineStr">
        <is>
          <t>UPPSALA LÄN</t>
        </is>
      </c>
      <c r="E375" t="inlineStr">
        <is>
          <t>ÖSTHAMMAR</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45720-2025</t>
        </is>
      </c>
      <c r="B376" s="1" t="n">
        <v>45923.44583333333</v>
      </c>
      <c r="C376" s="1" t="n">
        <v>45930</v>
      </c>
      <c r="D376" t="inlineStr">
        <is>
          <t>UPPSALA LÄN</t>
        </is>
      </c>
      <c r="E376" t="inlineStr">
        <is>
          <t>ÖSTHAMMAR</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37770-2025</t>
        </is>
      </c>
      <c r="B377" s="1" t="n">
        <v>45880.7505787037</v>
      </c>
      <c r="C377" s="1" t="n">
        <v>45930</v>
      </c>
      <c r="D377" t="inlineStr">
        <is>
          <t>UPPSALA LÄN</t>
        </is>
      </c>
      <c r="E377" t="inlineStr">
        <is>
          <t>ÖSTHAMMAR</t>
        </is>
      </c>
      <c r="G377" t="n">
        <v>2.9</v>
      </c>
      <c r="H377" t="n">
        <v>0</v>
      </c>
      <c r="I377" t="n">
        <v>0</v>
      </c>
      <c r="J377" t="n">
        <v>0</v>
      </c>
      <c r="K377" t="n">
        <v>0</v>
      </c>
      <c r="L377" t="n">
        <v>0</v>
      </c>
      <c r="M377" t="n">
        <v>0</v>
      </c>
      <c r="N377" t="n">
        <v>0</v>
      </c>
      <c r="O377" t="n">
        <v>0</v>
      </c>
      <c r="P377" t="n">
        <v>0</v>
      </c>
      <c r="Q377" t="n">
        <v>0</v>
      </c>
      <c r="R377" s="2" t="inlineStr"/>
    </row>
    <row r="378" ht="15" customHeight="1">
      <c r="A378" t="inlineStr">
        <is>
          <t>A 4562-2022</t>
        </is>
      </c>
      <c r="B378" s="1" t="n">
        <v>44591</v>
      </c>
      <c r="C378" s="1" t="n">
        <v>45930</v>
      </c>
      <c r="D378" t="inlineStr">
        <is>
          <t>UPPSALA LÄN</t>
        </is>
      </c>
      <c r="E378" t="inlineStr">
        <is>
          <t>ÖSTHAMMAR</t>
        </is>
      </c>
      <c r="G378" t="n">
        <v>3.4</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45930</v>
      </c>
      <c r="D379" t="inlineStr">
        <is>
          <t>UPPSALA LÄN</t>
        </is>
      </c>
      <c r="E379" t="inlineStr">
        <is>
          <t>ÖSTHAMMAR</t>
        </is>
      </c>
      <c r="G379" t="n">
        <v>7</v>
      </c>
      <c r="H379" t="n">
        <v>0</v>
      </c>
      <c r="I379" t="n">
        <v>0</v>
      </c>
      <c r="J379" t="n">
        <v>0</v>
      </c>
      <c r="K379" t="n">
        <v>0</v>
      </c>
      <c r="L379" t="n">
        <v>0</v>
      </c>
      <c r="M379" t="n">
        <v>0</v>
      </c>
      <c r="N379" t="n">
        <v>0</v>
      </c>
      <c r="O379" t="n">
        <v>0</v>
      </c>
      <c r="P379" t="n">
        <v>0</v>
      </c>
      <c r="Q379" t="n">
        <v>0</v>
      </c>
      <c r="R379" s="2" t="inlineStr"/>
    </row>
    <row r="380" ht="15" customHeight="1">
      <c r="A380" t="inlineStr">
        <is>
          <t>A 55086-2024</t>
        </is>
      </c>
      <c r="B380" s="1" t="n">
        <v>45621.43098379629</v>
      </c>
      <c r="C380" s="1" t="n">
        <v>45930</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55090-2024</t>
        </is>
      </c>
      <c r="B381" s="1" t="n">
        <v>45621.4350462963</v>
      </c>
      <c r="C381" s="1" t="n">
        <v>45930</v>
      </c>
      <c r="D381" t="inlineStr">
        <is>
          <t>UPPSALA LÄN</t>
        </is>
      </c>
      <c r="E381" t="inlineStr">
        <is>
          <t>ÖSTHAMMAR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55093-2024</t>
        </is>
      </c>
      <c r="B382" s="1" t="n">
        <v>45621.43712962963</v>
      </c>
      <c r="C382" s="1" t="n">
        <v>45930</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44501.76855324074</v>
      </c>
      <c r="C383" s="1" t="n">
        <v>45930</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44555.80339120371</v>
      </c>
      <c r="C384" s="1" t="n">
        <v>45930</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28432-2023</t>
        </is>
      </c>
      <c r="B385" s="1" t="n">
        <v>45102.59896990741</v>
      </c>
      <c r="C385" s="1" t="n">
        <v>45930</v>
      </c>
      <c r="D385" t="inlineStr">
        <is>
          <t>UPPSALA LÄN</t>
        </is>
      </c>
      <c r="E385" t="inlineStr">
        <is>
          <t>ÖSTHAMMAR</t>
        </is>
      </c>
      <c r="F385" t="inlineStr">
        <is>
          <t>Bergvik skog öst AB</t>
        </is>
      </c>
      <c r="G385" t="n">
        <v>3.9</v>
      </c>
      <c r="H385" t="n">
        <v>0</v>
      </c>
      <c r="I385" t="n">
        <v>0</v>
      </c>
      <c r="J385" t="n">
        <v>0</v>
      </c>
      <c r="K385" t="n">
        <v>0</v>
      </c>
      <c r="L385" t="n">
        <v>0</v>
      </c>
      <c r="M385" t="n">
        <v>0</v>
      </c>
      <c r="N385" t="n">
        <v>0</v>
      </c>
      <c r="O385" t="n">
        <v>0</v>
      </c>
      <c r="P385" t="n">
        <v>0</v>
      </c>
      <c r="Q385" t="n">
        <v>0</v>
      </c>
      <c r="R385" s="2" t="inlineStr"/>
    </row>
    <row r="386" ht="15" customHeight="1">
      <c r="A386" t="inlineStr">
        <is>
          <t>A 14859-2025</t>
        </is>
      </c>
      <c r="B386" s="1" t="n">
        <v>45743.42427083333</v>
      </c>
      <c r="C386" s="1" t="n">
        <v>45930</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4099-2025</t>
        </is>
      </c>
      <c r="B387" s="1" t="n">
        <v>45684</v>
      </c>
      <c r="C387" s="1" t="n">
        <v>45930</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14272-2025</t>
        </is>
      </c>
      <c r="B388" s="1" t="n">
        <v>45740.64327546296</v>
      </c>
      <c r="C388" s="1" t="n">
        <v>45930</v>
      </c>
      <c r="D388" t="inlineStr">
        <is>
          <t>UPPSALA LÄN</t>
        </is>
      </c>
      <c r="E388" t="inlineStr">
        <is>
          <t>ÖSTHAMMAR</t>
        </is>
      </c>
      <c r="G388" t="n">
        <v>5.7</v>
      </c>
      <c r="H388" t="n">
        <v>0</v>
      </c>
      <c r="I388" t="n">
        <v>0</v>
      </c>
      <c r="J388" t="n">
        <v>0</v>
      </c>
      <c r="K388" t="n">
        <v>0</v>
      </c>
      <c r="L388" t="n">
        <v>0</v>
      </c>
      <c r="M388" t="n">
        <v>0</v>
      </c>
      <c r="N388" t="n">
        <v>0</v>
      </c>
      <c r="O388" t="n">
        <v>0</v>
      </c>
      <c r="P388" t="n">
        <v>0</v>
      </c>
      <c r="Q388" t="n">
        <v>0</v>
      </c>
      <c r="R388" s="2" t="inlineStr"/>
    </row>
    <row r="389" ht="15" customHeight="1">
      <c r="A389" t="inlineStr">
        <is>
          <t>A 43915-2023</t>
        </is>
      </c>
      <c r="B389" s="1" t="n">
        <v>45187.71274305556</v>
      </c>
      <c r="C389" s="1" t="n">
        <v>45930</v>
      </c>
      <c r="D389" t="inlineStr">
        <is>
          <t>UPPSALA LÄN</t>
        </is>
      </c>
      <c r="E389" t="inlineStr">
        <is>
          <t>ÖSTHAMMAR</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27660-2023</t>
        </is>
      </c>
      <c r="B390" s="1" t="n">
        <v>45097</v>
      </c>
      <c r="C390" s="1" t="n">
        <v>45930</v>
      </c>
      <c r="D390" t="inlineStr">
        <is>
          <t>UPPSALA LÄN</t>
        </is>
      </c>
      <c r="E390" t="inlineStr">
        <is>
          <t>ÖSTHAMMAR</t>
        </is>
      </c>
      <c r="G390" t="n">
        <v>2.8</v>
      </c>
      <c r="H390" t="n">
        <v>0</v>
      </c>
      <c r="I390" t="n">
        <v>0</v>
      </c>
      <c r="J390" t="n">
        <v>0</v>
      </c>
      <c r="K390" t="n">
        <v>0</v>
      </c>
      <c r="L390" t="n">
        <v>0</v>
      </c>
      <c r="M390" t="n">
        <v>0</v>
      </c>
      <c r="N390" t="n">
        <v>0</v>
      </c>
      <c r="O390" t="n">
        <v>0</v>
      </c>
      <c r="P390" t="n">
        <v>0</v>
      </c>
      <c r="Q390" t="n">
        <v>0</v>
      </c>
      <c r="R390" s="2" t="inlineStr"/>
    </row>
    <row r="391" ht="15" customHeight="1">
      <c r="A391" t="inlineStr">
        <is>
          <t>A 13352-2023</t>
        </is>
      </c>
      <c r="B391" s="1" t="n">
        <v>45005</v>
      </c>
      <c r="C391" s="1" t="n">
        <v>45930</v>
      </c>
      <c r="D391" t="inlineStr">
        <is>
          <t>UPPSALA LÄN</t>
        </is>
      </c>
      <c r="E391" t="inlineStr">
        <is>
          <t>ÖSTHAMMAR</t>
        </is>
      </c>
      <c r="G391" t="n">
        <v>1.8</v>
      </c>
      <c r="H391" t="n">
        <v>0</v>
      </c>
      <c r="I391" t="n">
        <v>0</v>
      </c>
      <c r="J391" t="n">
        <v>0</v>
      </c>
      <c r="K391" t="n">
        <v>0</v>
      </c>
      <c r="L391" t="n">
        <v>0</v>
      </c>
      <c r="M391" t="n">
        <v>0</v>
      </c>
      <c r="N391" t="n">
        <v>0</v>
      </c>
      <c r="O391" t="n">
        <v>0</v>
      </c>
      <c r="P391" t="n">
        <v>0</v>
      </c>
      <c r="Q391" t="n">
        <v>0</v>
      </c>
      <c r="R391" s="2" t="inlineStr"/>
    </row>
    <row r="392" ht="15" customHeight="1">
      <c r="A392" t="inlineStr">
        <is>
          <t>A 41538-2021</t>
        </is>
      </c>
      <c r="B392" s="1" t="n">
        <v>44425.35016203704</v>
      </c>
      <c r="C392" s="1" t="n">
        <v>45930</v>
      </c>
      <c r="D392" t="inlineStr">
        <is>
          <t>UPPSALA LÄN</t>
        </is>
      </c>
      <c r="E392" t="inlineStr">
        <is>
          <t>ÖSTHAMMAR</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36301-2023</t>
        </is>
      </c>
      <c r="B393" s="1" t="n">
        <v>45152.37296296296</v>
      </c>
      <c r="C393" s="1" t="n">
        <v>45930</v>
      </c>
      <c r="D393" t="inlineStr">
        <is>
          <t>UPPSALA LÄN</t>
        </is>
      </c>
      <c r="E393" t="inlineStr">
        <is>
          <t>ÖSTHAMMAR</t>
        </is>
      </c>
      <c r="G393" t="n">
        <v>0.9</v>
      </c>
      <c r="H393" t="n">
        <v>0</v>
      </c>
      <c r="I393" t="n">
        <v>0</v>
      </c>
      <c r="J393" t="n">
        <v>0</v>
      </c>
      <c r="K393" t="n">
        <v>0</v>
      </c>
      <c r="L393" t="n">
        <v>0</v>
      </c>
      <c r="M393" t="n">
        <v>0</v>
      </c>
      <c r="N393" t="n">
        <v>0</v>
      </c>
      <c r="O393" t="n">
        <v>0</v>
      </c>
      <c r="P393" t="n">
        <v>0</v>
      </c>
      <c r="Q393" t="n">
        <v>0</v>
      </c>
      <c r="R393" s="2" t="inlineStr"/>
    </row>
    <row r="394" ht="15" customHeight="1">
      <c r="A394" t="inlineStr">
        <is>
          <t>A 36343-2022</t>
        </is>
      </c>
      <c r="B394" s="1" t="n">
        <v>44803.78524305556</v>
      </c>
      <c r="C394" s="1" t="n">
        <v>45930</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357-2025</t>
        </is>
      </c>
      <c r="B395" s="1" t="n">
        <v>45659</v>
      </c>
      <c r="C395" s="1" t="n">
        <v>45930</v>
      </c>
      <c r="D395" t="inlineStr">
        <is>
          <t>UPPSALA LÄN</t>
        </is>
      </c>
      <c r="E395" t="inlineStr">
        <is>
          <t>ÖSTHAMMAR</t>
        </is>
      </c>
      <c r="G395" t="n">
        <v>15.8</v>
      </c>
      <c r="H395" t="n">
        <v>0</v>
      </c>
      <c r="I395" t="n">
        <v>0</v>
      </c>
      <c r="J395" t="n">
        <v>0</v>
      </c>
      <c r="K395" t="n">
        <v>0</v>
      </c>
      <c r="L395" t="n">
        <v>0</v>
      </c>
      <c r="M395" t="n">
        <v>0</v>
      </c>
      <c r="N395" t="n">
        <v>0</v>
      </c>
      <c r="O395" t="n">
        <v>0</v>
      </c>
      <c r="P395" t="n">
        <v>0</v>
      </c>
      <c r="Q395" t="n">
        <v>0</v>
      </c>
      <c r="R395" s="2" t="inlineStr"/>
    </row>
    <row r="396" ht="15" customHeight="1">
      <c r="A396" t="inlineStr">
        <is>
          <t>A 68828-2020</t>
        </is>
      </c>
      <c r="B396" s="1" t="n">
        <v>44186</v>
      </c>
      <c r="C396" s="1" t="n">
        <v>45930</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62394-2022</t>
        </is>
      </c>
      <c r="B397" s="1" t="n">
        <v>44923.82017361111</v>
      </c>
      <c r="C397" s="1" t="n">
        <v>45930</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18731-2022</t>
        </is>
      </c>
      <c r="B398" s="1" t="n">
        <v>44687.78673611111</v>
      </c>
      <c r="C398" s="1" t="n">
        <v>45930</v>
      </c>
      <c r="D398" t="inlineStr">
        <is>
          <t>UPPSALA LÄN</t>
        </is>
      </c>
      <c r="E398" t="inlineStr">
        <is>
          <t>ÖSTHAMMAR</t>
        </is>
      </c>
      <c r="G398" t="n">
        <v>4.9</v>
      </c>
      <c r="H398" t="n">
        <v>0</v>
      </c>
      <c r="I398" t="n">
        <v>0</v>
      </c>
      <c r="J398" t="n">
        <v>0</v>
      </c>
      <c r="K398" t="n">
        <v>0</v>
      </c>
      <c r="L398" t="n">
        <v>0</v>
      </c>
      <c r="M398" t="n">
        <v>0</v>
      </c>
      <c r="N398" t="n">
        <v>0</v>
      </c>
      <c r="O398" t="n">
        <v>0</v>
      </c>
      <c r="P398" t="n">
        <v>0</v>
      </c>
      <c r="Q398" t="n">
        <v>0</v>
      </c>
      <c r="R398" s="2" t="inlineStr"/>
    </row>
    <row r="399" ht="15" customHeight="1">
      <c r="A399" t="inlineStr">
        <is>
          <t>A 23495-2023</t>
        </is>
      </c>
      <c r="B399" s="1" t="n">
        <v>45076.71652777777</v>
      </c>
      <c r="C399" s="1" t="n">
        <v>45930</v>
      </c>
      <c r="D399" t="inlineStr">
        <is>
          <t>UPPSALA LÄN</t>
        </is>
      </c>
      <c r="E399" t="inlineStr">
        <is>
          <t>ÖSTHAMMAR</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28429-2023</t>
        </is>
      </c>
      <c r="B400" s="1" t="n">
        <v>45102.58728009259</v>
      </c>
      <c r="C400" s="1" t="n">
        <v>45930</v>
      </c>
      <c r="D400" t="inlineStr">
        <is>
          <t>UPPSALA LÄN</t>
        </is>
      </c>
      <c r="E400" t="inlineStr">
        <is>
          <t>ÖSTHAMMAR</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1063-2025</t>
        </is>
      </c>
      <c r="B401" s="1" t="n">
        <v>45666</v>
      </c>
      <c r="C401" s="1" t="n">
        <v>45930</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35309-2023</t>
        </is>
      </c>
      <c r="B402" s="1" t="n">
        <v>45146</v>
      </c>
      <c r="C402" s="1" t="n">
        <v>45930</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835-2025</t>
        </is>
      </c>
      <c r="B403" s="1" t="n">
        <v>45665.58465277778</v>
      </c>
      <c r="C403" s="1" t="n">
        <v>45930</v>
      </c>
      <c r="D403" t="inlineStr">
        <is>
          <t>UPPSALA LÄN</t>
        </is>
      </c>
      <c r="E403" t="inlineStr">
        <is>
          <t>ÖSTHAMMAR</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10495-2025</t>
        </is>
      </c>
      <c r="B404" s="1" t="n">
        <v>45721</v>
      </c>
      <c r="C404" s="1" t="n">
        <v>45930</v>
      </c>
      <c r="D404" t="inlineStr">
        <is>
          <t>UPPSALA LÄN</t>
        </is>
      </c>
      <c r="E404" t="inlineStr">
        <is>
          <t>ÖSTHAMMAR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67199-2021</t>
        </is>
      </c>
      <c r="B405" s="1" t="n">
        <v>44523.46197916667</v>
      </c>
      <c r="C405" s="1" t="n">
        <v>45930</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24259-2022</t>
        </is>
      </c>
      <c r="B406" s="1" t="n">
        <v>44725</v>
      </c>
      <c r="C406" s="1" t="n">
        <v>45930</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24367-2022</t>
        </is>
      </c>
      <c r="B407" s="1" t="n">
        <v>44726.42716435185</v>
      </c>
      <c r="C407" s="1" t="n">
        <v>45930</v>
      </c>
      <c r="D407" t="inlineStr">
        <is>
          <t>UPPSALA LÄN</t>
        </is>
      </c>
      <c r="E407" t="inlineStr">
        <is>
          <t>ÖSTHAMMAR</t>
        </is>
      </c>
      <c r="G407" t="n">
        <v>2.7</v>
      </c>
      <c r="H407" t="n">
        <v>0</v>
      </c>
      <c r="I407" t="n">
        <v>0</v>
      </c>
      <c r="J407" t="n">
        <v>0</v>
      </c>
      <c r="K407" t="n">
        <v>0</v>
      </c>
      <c r="L407" t="n">
        <v>0</v>
      </c>
      <c r="M407" t="n">
        <v>0</v>
      </c>
      <c r="N407" t="n">
        <v>0</v>
      </c>
      <c r="O407" t="n">
        <v>0</v>
      </c>
      <c r="P407" t="n">
        <v>0</v>
      </c>
      <c r="Q407" t="n">
        <v>0</v>
      </c>
      <c r="R407" s="2" t="inlineStr"/>
    </row>
    <row r="408" ht="15" customHeight="1">
      <c r="A408" t="inlineStr">
        <is>
          <t>A 4356-2025</t>
        </is>
      </c>
      <c r="B408" s="1" t="n">
        <v>45686</v>
      </c>
      <c r="C408" s="1" t="n">
        <v>45930</v>
      </c>
      <c r="D408" t="inlineStr">
        <is>
          <t>UPPSALA LÄN</t>
        </is>
      </c>
      <c r="E408" t="inlineStr">
        <is>
          <t>ÖSTHAMMAR</t>
        </is>
      </c>
      <c r="F408" t="inlineStr">
        <is>
          <t>Övriga Aktiebolag</t>
        </is>
      </c>
      <c r="G408" t="n">
        <v>24.6</v>
      </c>
      <c r="H408" t="n">
        <v>0</v>
      </c>
      <c r="I408" t="n">
        <v>0</v>
      </c>
      <c r="J408" t="n">
        <v>0</v>
      </c>
      <c r="K408" t="n">
        <v>0</v>
      </c>
      <c r="L408" t="n">
        <v>0</v>
      </c>
      <c r="M408" t="n">
        <v>0</v>
      </c>
      <c r="N408" t="n">
        <v>0</v>
      </c>
      <c r="O408" t="n">
        <v>0</v>
      </c>
      <c r="P408" t="n">
        <v>0</v>
      </c>
      <c r="Q408" t="n">
        <v>0</v>
      </c>
      <c r="R408" s="2" t="inlineStr"/>
    </row>
    <row r="409" ht="15" customHeight="1">
      <c r="A409" t="inlineStr">
        <is>
          <t>A 17085-2025</t>
        </is>
      </c>
      <c r="B409" s="1" t="n">
        <v>45755.64612268518</v>
      </c>
      <c r="C409" s="1" t="n">
        <v>45930</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49897-2023</t>
        </is>
      </c>
      <c r="B410" s="1" t="n">
        <v>45213.84846064815</v>
      </c>
      <c r="C410" s="1" t="n">
        <v>45930</v>
      </c>
      <c r="D410" t="inlineStr">
        <is>
          <t>UPPSALA LÄN</t>
        </is>
      </c>
      <c r="E410" t="inlineStr">
        <is>
          <t>ÖSTHAMMAR</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34922-2023</t>
        </is>
      </c>
      <c r="B411" s="1" t="n">
        <v>45142.48359953704</v>
      </c>
      <c r="C411" s="1" t="n">
        <v>45930</v>
      </c>
      <c r="D411" t="inlineStr">
        <is>
          <t>UPPSALA LÄN</t>
        </is>
      </c>
      <c r="E411" t="inlineStr">
        <is>
          <t>ÖSTHAMMAR</t>
        </is>
      </c>
      <c r="F411" t="inlineStr">
        <is>
          <t>Bergvik skog öst AB</t>
        </is>
      </c>
      <c r="G411" t="n">
        <v>0.5</v>
      </c>
      <c r="H411" t="n">
        <v>0</v>
      </c>
      <c r="I411" t="n">
        <v>0</v>
      </c>
      <c r="J411" t="n">
        <v>0</v>
      </c>
      <c r="K411" t="n">
        <v>0</v>
      </c>
      <c r="L411" t="n">
        <v>0</v>
      </c>
      <c r="M411" t="n">
        <v>0</v>
      </c>
      <c r="N411" t="n">
        <v>0</v>
      </c>
      <c r="O411" t="n">
        <v>0</v>
      </c>
      <c r="P411" t="n">
        <v>0</v>
      </c>
      <c r="Q411" t="n">
        <v>0</v>
      </c>
      <c r="R411" s="2" t="inlineStr"/>
    </row>
    <row r="412" ht="15" customHeight="1">
      <c r="A412" t="inlineStr">
        <is>
          <t>A 6153-2022</t>
        </is>
      </c>
      <c r="B412" s="1" t="n">
        <v>44599</v>
      </c>
      <c r="C412" s="1" t="n">
        <v>45930</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50998-2023</t>
        </is>
      </c>
      <c r="B413" s="1" t="n">
        <v>45218.5586574074</v>
      </c>
      <c r="C413" s="1" t="n">
        <v>45930</v>
      </c>
      <c r="D413" t="inlineStr">
        <is>
          <t>UPPSALA LÄN</t>
        </is>
      </c>
      <c r="E413" t="inlineStr">
        <is>
          <t>ÖSTHAMMAR</t>
        </is>
      </c>
      <c r="G413" t="n">
        <v>3.6</v>
      </c>
      <c r="H413" t="n">
        <v>0</v>
      </c>
      <c r="I413" t="n">
        <v>0</v>
      </c>
      <c r="J413" t="n">
        <v>0</v>
      </c>
      <c r="K413" t="n">
        <v>0</v>
      </c>
      <c r="L413" t="n">
        <v>0</v>
      </c>
      <c r="M413" t="n">
        <v>0</v>
      </c>
      <c r="N413" t="n">
        <v>0</v>
      </c>
      <c r="O413" t="n">
        <v>0</v>
      </c>
      <c r="P413" t="n">
        <v>0</v>
      </c>
      <c r="Q413" t="n">
        <v>0</v>
      </c>
      <c r="R413" s="2" t="inlineStr"/>
    </row>
    <row r="414" ht="15" customHeight="1">
      <c r="A414" t="inlineStr">
        <is>
          <t>A 1800-2023</t>
        </is>
      </c>
      <c r="B414" s="1" t="n">
        <v>44938</v>
      </c>
      <c r="C414" s="1" t="n">
        <v>45930</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31669-2022</t>
        </is>
      </c>
      <c r="B415" s="1" t="n">
        <v>44775</v>
      </c>
      <c r="C415" s="1" t="n">
        <v>45930</v>
      </c>
      <c r="D415" t="inlineStr">
        <is>
          <t>UPPSALA LÄN</t>
        </is>
      </c>
      <c r="E415" t="inlineStr">
        <is>
          <t>ÖSTHAMMAR</t>
        </is>
      </c>
      <c r="G415" t="n">
        <v>6</v>
      </c>
      <c r="H415" t="n">
        <v>0</v>
      </c>
      <c r="I415" t="n">
        <v>0</v>
      </c>
      <c r="J415" t="n">
        <v>0</v>
      </c>
      <c r="K415" t="n">
        <v>0</v>
      </c>
      <c r="L415" t="n">
        <v>0</v>
      </c>
      <c r="M415" t="n">
        <v>0</v>
      </c>
      <c r="N415" t="n">
        <v>0</v>
      </c>
      <c r="O415" t="n">
        <v>0</v>
      </c>
      <c r="P415" t="n">
        <v>0</v>
      </c>
      <c r="Q415" t="n">
        <v>0</v>
      </c>
      <c r="R415" s="2" t="inlineStr"/>
    </row>
    <row r="416" ht="15" customHeight="1">
      <c r="A416" t="inlineStr">
        <is>
          <t>A 48856-2024</t>
        </is>
      </c>
      <c r="B416" s="1" t="n">
        <v>45593</v>
      </c>
      <c r="C416" s="1" t="n">
        <v>45930</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32244-2021</t>
        </is>
      </c>
      <c r="B417" s="1" t="n">
        <v>44371.45335648148</v>
      </c>
      <c r="C417" s="1" t="n">
        <v>45930</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17947-2022</t>
        </is>
      </c>
      <c r="B418" s="1" t="n">
        <v>44683</v>
      </c>
      <c r="C418" s="1" t="n">
        <v>45930</v>
      </c>
      <c r="D418" t="inlineStr">
        <is>
          <t>UPPSALA LÄN</t>
        </is>
      </c>
      <c r="E418" t="inlineStr">
        <is>
          <t>ÖSTHAMMAR</t>
        </is>
      </c>
      <c r="G418" t="n">
        <v>5.5</v>
      </c>
      <c r="H418" t="n">
        <v>0</v>
      </c>
      <c r="I418" t="n">
        <v>0</v>
      </c>
      <c r="J418" t="n">
        <v>0</v>
      </c>
      <c r="K418" t="n">
        <v>0</v>
      </c>
      <c r="L418" t="n">
        <v>0</v>
      </c>
      <c r="M418" t="n">
        <v>0</v>
      </c>
      <c r="N418" t="n">
        <v>0</v>
      </c>
      <c r="O418" t="n">
        <v>0</v>
      </c>
      <c r="P418" t="n">
        <v>0</v>
      </c>
      <c r="Q418" t="n">
        <v>0</v>
      </c>
      <c r="R418" s="2" t="inlineStr"/>
    </row>
    <row r="419" ht="15" customHeight="1">
      <c r="A419" t="inlineStr">
        <is>
          <t>A 33056-2021</t>
        </is>
      </c>
      <c r="B419" s="1" t="n">
        <v>44376.52438657408</v>
      </c>
      <c r="C419" s="1" t="n">
        <v>45930</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21862-2023</t>
        </is>
      </c>
      <c r="B420" s="1" t="n">
        <v>45068</v>
      </c>
      <c r="C420" s="1" t="n">
        <v>45930</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12654-2025</t>
        </is>
      </c>
      <c r="B421" s="1" t="n">
        <v>45733.41601851852</v>
      </c>
      <c r="C421" s="1" t="n">
        <v>45930</v>
      </c>
      <c r="D421" t="inlineStr">
        <is>
          <t>UPPSALA LÄN</t>
        </is>
      </c>
      <c r="E421" t="inlineStr">
        <is>
          <t>ÖSTHAMMAR</t>
        </is>
      </c>
      <c r="G421" t="n">
        <v>9.9</v>
      </c>
      <c r="H421" t="n">
        <v>0</v>
      </c>
      <c r="I421" t="n">
        <v>0</v>
      </c>
      <c r="J421" t="n">
        <v>0</v>
      </c>
      <c r="K421" t="n">
        <v>0</v>
      </c>
      <c r="L421" t="n">
        <v>0</v>
      </c>
      <c r="M421" t="n">
        <v>0</v>
      </c>
      <c r="N421" t="n">
        <v>0</v>
      </c>
      <c r="O421" t="n">
        <v>0</v>
      </c>
      <c r="P421" t="n">
        <v>0</v>
      </c>
      <c r="Q421" t="n">
        <v>0</v>
      </c>
      <c r="R421" s="2" t="inlineStr"/>
    </row>
    <row r="422" ht="15" customHeight="1">
      <c r="A422" t="inlineStr">
        <is>
          <t>A 27308-2023</t>
        </is>
      </c>
      <c r="B422" s="1" t="n">
        <v>45096.65381944444</v>
      </c>
      <c r="C422" s="1" t="n">
        <v>45930</v>
      </c>
      <c r="D422" t="inlineStr">
        <is>
          <t>UPPSALA LÄN</t>
        </is>
      </c>
      <c r="E422" t="inlineStr">
        <is>
          <t>ÖSTHAMMAR</t>
        </is>
      </c>
      <c r="F422" t="inlineStr">
        <is>
          <t>Bergvik skog öst AB</t>
        </is>
      </c>
      <c r="G422" t="n">
        <v>2.4</v>
      </c>
      <c r="H422" t="n">
        <v>0</v>
      </c>
      <c r="I422" t="n">
        <v>0</v>
      </c>
      <c r="J422" t="n">
        <v>0</v>
      </c>
      <c r="K422" t="n">
        <v>0</v>
      </c>
      <c r="L422" t="n">
        <v>0</v>
      </c>
      <c r="M422" t="n">
        <v>0</v>
      </c>
      <c r="N422" t="n">
        <v>0</v>
      </c>
      <c r="O422" t="n">
        <v>0</v>
      </c>
      <c r="P422" t="n">
        <v>0</v>
      </c>
      <c r="Q422" t="n">
        <v>0</v>
      </c>
      <c r="R422" s="2" t="inlineStr"/>
    </row>
    <row r="423" ht="15" customHeight="1">
      <c r="A423" t="inlineStr">
        <is>
          <t>A 28420-2023</t>
        </is>
      </c>
      <c r="B423" s="1" t="n">
        <v>45102.33054398148</v>
      </c>
      <c r="C423" s="1" t="n">
        <v>45930</v>
      </c>
      <c r="D423" t="inlineStr">
        <is>
          <t>UPPSALA LÄN</t>
        </is>
      </c>
      <c r="E423" t="inlineStr">
        <is>
          <t>ÖSTHAMMAR</t>
        </is>
      </c>
      <c r="F423" t="inlineStr">
        <is>
          <t>Bergvik skog öst AB</t>
        </is>
      </c>
      <c r="G423" t="n">
        <v>3.2</v>
      </c>
      <c r="H423" t="n">
        <v>0</v>
      </c>
      <c r="I423" t="n">
        <v>0</v>
      </c>
      <c r="J423" t="n">
        <v>0</v>
      </c>
      <c r="K423" t="n">
        <v>0</v>
      </c>
      <c r="L423" t="n">
        <v>0</v>
      </c>
      <c r="M423" t="n">
        <v>0</v>
      </c>
      <c r="N423" t="n">
        <v>0</v>
      </c>
      <c r="O423" t="n">
        <v>0</v>
      </c>
      <c r="P423" t="n">
        <v>0</v>
      </c>
      <c r="Q423" t="n">
        <v>0</v>
      </c>
      <c r="R423" s="2" t="inlineStr"/>
    </row>
    <row r="424" ht="15" customHeight="1">
      <c r="A424" t="inlineStr">
        <is>
          <t>A 4292-2025</t>
        </is>
      </c>
      <c r="B424" s="1" t="n">
        <v>45685.66459490741</v>
      </c>
      <c r="C424" s="1" t="n">
        <v>45930</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45930</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5076-2025</t>
        </is>
      </c>
      <c r="B426" s="1" t="n">
        <v>45691</v>
      </c>
      <c r="C426" s="1" t="n">
        <v>45930</v>
      </c>
      <c r="D426" t="inlineStr">
        <is>
          <t>UPPSALA LÄN</t>
        </is>
      </c>
      <c r="E426" t="inlineStr">
        <is>
          <t>ÖSTHAMMAR</t>
        </is>
      </c>
      <c r="G426" t="n">
        <v>5.8</v>
      </c>
      <c r="H426" t="n">
        <v>0</v>
      </c>
      <c r="I426" t="n">
        <v>0</v>
      </c>
      <c r="J426" t="n">
        <v>0</v>
      </c>
      <c r="K426" t="n">
        <v>0</v>
      </c>
      <c r="L426" t="n">
        <v>0</v>
      </c>
      <c r="M426" t="n">
        <v>0</v>
      </c>
      <c r="N426" t="n">
        <v>0</v>
      </c>
      <c r="O426" t="n">
        <v>0</v>
      </c>
      <c r="P426" t="n">
        <v>0</v>
      </c>
      <c r="Q426" t="n">
        <v>0</v>
      </c>
      <c r="R426" s="2" t="inlineStr"/>
    </row>
    <row r="427" ht="15" customHeight="1">
      <c r="A427" t="inlineStr">
        <is>
          <t>A 46826-2025</t>
        </is>
      </c>
      <c r="B427" s="1" t="n">
        <v>45927.00606481481</v>
      </c>
      <c r="C427" s="1" t="n">
        <v>45930</v>
      </c>
      <c r="D427" t="inlineStr">
        <is>
          <t>UPPSALA LÄN</t>
        </is>
      </c>
      <c r="E427" t="inlineStr">
        <is>
          <t>ÖSTHAMMAR</t>
        </is>
      </c>
      <c r="G427" t="n">
        <v>9</v>
      </c>
      <c r="H427" t="n">
        <v>0</v>
      </c>
      <c r="I427" t="n">
        <v>0</v>
      </c>
      <c r="J427" t="n">
        <v>0</v>
      </c>
      <c r="K427" t="n">
        <v>0</v>
      </c>
      <c r="L427" t="n">
        <v>0</v>
      </c>
      <c r="M427" t="n">
        <v>0</v>
      </c>
      <c r="N427" t="n">
        <v>0</v>
      </c>
      <c r="O427" t="n">
        <v>0</v>
      </c>
      <c r="P427" t="n">
        <v>0</v>
      </c>
      <c r="Q427" t="n">
        <v>0</v>
      </c>
      <c r="R427" s="2" t="inlineStr"/>
    </row>
    <row r="428" ht="15" customHeight="1">
      <c r="A428" t="inlineStr">
        <is>
          <t>A 40547-2023</t>
        </is>
      </c>
      <c r="B428" s="1" t="n">
        <v>45170.45050925926</v>
      </c>
      <c r="C428" s="1" t="n">
        <v>45930</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10449-2023</t>
        </is>
      </c>
      <c r="B429" s="1" t="n">
        <v>44987</v>
      </c>
      <c r="C429" s="1" t="n">
        <v>45930</v>
      </c>
      <c r="D429" t="inlineStr">
        <is>
          <t>UPPSALA LÄN</t>
        </is>
      </c>
      <c r="E429" t="inlineStr">
        <is>
          <t>ÖSTHAMMAR</t>
        </is>
      </c>
      <c r="G429" t="n">
        <v>3.1</v>
      </c>
      <c r="H429" t="n">
        <v>0</v>
      </c>
      <c r="I429" t="n">
        <v>0</v>
      </c>
      <c r="J429" t="n">
        <v>0</v>
      </c>
      <c r="K429" t="n">
        <v>0</v>
      </c>
      <c r="L429" t="n">
        <v>0</v>
      </c>
      <c r="M429" t="n">
        <v>0</v>
      </c>
      <c r="N429" t="n">
        <v>0</v>
      </c>
      <c r="O429" t="n">
        <v>0</v>
      </c>
      <c r="P429" t="n">
        <v>0</v>
      </c>
      <c r="Q429" t="n">
        <v>0</v>
      </c>
      <c r="R429" s="2" t="inlineStr"/>
    </row>
    <row r="430" ht="15" customHeight="1">
      <c r="A430" t="inlineStr">
        <is>
          <t>A 8908-2025</t>
        </is>
      </c>
      <c r="B430" s="1" t="n">
        <v>45713.4196875</v>
      </c>
      <c r="C430" s="1" t="n">
        <v>45930</v>
      </c>
      <c r="D430" t="inlineStr">
        <is>
          <t>UPPSALA LÄN</t>
        </is>
      </c>
      <c r="E430" t="inlineStr">
        <is>
          <t>ÖSTHAMMAR</t>
        </is>
      </c>
      <c r="F430" t="inlineStr">
        <is>
          <t>Bergvik skog öst AB</t>
        </is>
      </c>
      <c r="G430" t="n">
        <v>3.3</v>
      </c>
      <c r="H430" t="n">
        <v>0</v>
      </c>
      <c r="I430" t="n">
        <v>0</v>
      </c>
      <c r="J430" t="n">
        <v>0</v>
      </c>
      <c r="K430" t="n">
        <v>0</v>
      </c>
      <c r="L430" t="n">
        <v>0</v>
      </c>
      <c r="M430" t="n">
        <v>0</v>
      </c>
      <c r="N430" t="n">
        <v>0</v>
      </c>
      <c r="O430" t="n">
        <v>0</v>
      </c>
      <c r="P430" t="n">
        <v>0</v>
      </c>
      <c r="Q430" t="n">
        <v>0</v>
      </c>
      <c r="R430" s="2" t="inlineStr"/>
    </row>
    <row r="431" ht="15" customHeight="1">
      <c r="A431" t="inlineStr">
        <is>
          <t>A 3119-2025</t>
        </is>
      </c>
      <c r="B431" s="1" t="n">
        <v>45678</v>
      </c>
      <c r="C431" s="1" t="n">
        <v>45930</v>
      </c>
      <c r="D431" t="inlineStr">
        <is>
          <t>UPPSALA LÄN</t>
        </is>
      </c>
      <c r="E431" t="inlineStr">
        <is>
          <t>ÖSTHAMMAR</t>
        </is>
      </c>
      <c r="G431" t="n">
        <v>1.1</v>
      </c>
      <c r="H431" t="n">
        <v>0</v>
      </c>
      <c r="I431" t="n">
        <v>0</v>
      </c>
      <c r="J431" t="n">
        <v>0</v>
      </c>
      <c r="K431" t="n">
        <v>0</v>
      </c>
      <c r="L431" t="n">
        <v>0</v>
      </c>
      <c r="M431" t="n">
        <v>0</v>
      </c>
      <c r="N431" t="n">
        <v>0</v>
      </c>
      <c r="O431" t="n">
        <v>0</v>
      </c>
      <c r="P431" t="n">
        <v>0</v>
      </c>
      <c r="Q431" t="n">
        <v>0</v>
      </c>
      <c r="R431" s="2" t="inlineStr"/>
    </row>
    <row r="432" ht="15" customHeight="1">
      <c r="A432" t="inlineStr">
        <is>
          <t>A 31035-2022</t>
        </is>
      </c>
      <c r="B432" s="1" t="n">
        <v>44768.88685185185</v>
      </c>
      <c r="C432" s="1" t="n">
        <v>45930</v>
      </c>
      <c r="D432" t="inlineStr">
        <is>
          <t>UPPSALA LÄN</t>
        </is>
      </c>
      <c r="E432" t="inlineStr">
        <is>
          <t>ÖSTHAMMAR</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17646-2025</t>
        </is>
      </c>
      <c r="B433" s="1" t="n">
        <v>45758.32872685185</v>
      </c>
      <c r="C433" s="1" t="n">
        <v>45930</v>
      </c>
      <c r="D433" t="inlineStr">
        <is>
          <t>UPPSALA LÄN</t>
        </is>
      </c>
      <c r="E433" t="inlineStr">
        <is>
          <t>ÖSTHAMMAR</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17648-2025</t>
        </is>
      </c>
      <c r="B434" s="1" t="n">
        <v>45758.33064814815</v>
      </c>
      <c r="C434" s="1" t="n">
        <v>45930</v>
      </c>
      <c r="D434" t="inlineStr">
        <is>
          <t>UPPSALA LÄN</t>
        </is>
      </c>
      <c r="E434" t="inlineStr">
        <is>
          <t>ÖSTHAMMAR</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60047-2021</t>
        </is>
      </c>
      <c r="B435" s="1" t="n">
        <v>44495</v>
      </c>
      <c r="C435" s="1" t="n">
        <v>45930</v>
      </c>
      <c r="D435" t="inlineStr">
        <is>
          <t>UPPSALA LÄN</t>
        </is>
      </c>
      <c r="E435" t="inlineStr">
        <is>
          <t>ÖSTHAMMAR</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18401-2025</t>
        </is>
      </c>
      <c r="B436" s="1" t="n">
        <v>45762.5966087963</v>
      </c>
      <c r="C436" s="1" t="n">
        <v>45930</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30086-2023</t>
        </is>
      </c>
      <c r="B437" s="1" t="n">
        <v>45110.43907407407</v>
      </c>
      <c r="C437" s="1" t="n">
        <v>45930</v>
      </c>
      <c r="D437" t="inlineStr">
        <is>
          <t>UPPSALA LÄN</t>
        </is>
      </c>
      <c r="E437" t="inlineStr">
        <is>
          <t>ÖSTHAMMAR</t>
        </is>
      </c>
      <c r="G437" t="n">
        <v>3.5</v>
      </c>
      <c r="H437" t="n">
        <v>0</v>
      </c>
      <c r="I437" t="n">
        <v>0</v>
      </c>
      <c r="J437" t="n">
        <v>0</v>
      </c>
      <c r="K437" t="n">
        <v>0</v>
      </c>
      <c r="L437" t="n">
        <v>0</v>
      </c>
      <c r="M437" t="n">
        <v>0</v>
      </c>
      <c r="N437" t="n">
        <v>0</v>
      </c>
      <c r="O437" t="n">
        <v>0</v>
      </c>
      <c r="P437" t="n">
        <v>0</v>
      </c>
      <c r="Q437" t="n">
        <v>0</v>
      </c>
      <c r="R437" s="2" t="inlineStr"/>
    </row>
    <row r="438" ht="15" customHeight="1">
      <c r="A438" t="inlineStr">
        <is>
          <t>A 49206-2020</t>
        </is>
      </c>
      <c r="B438" s="1" t="n">
        <v>44105</v>
      </c>
      <c r="C438" s="1" t="n">
        <v>45930</v>
      </c>
      <c r="D438" t="inlineStr">
        <is>
          <t>UPPSALA LÄN</t>
        </is>
      </c>
      <c r="E438" t="inlineStr">
        <is>
          <t>ÖSTHAMMAR</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22798-2023</t>
        </is>
      </c>
      <c r="B439" s="1" t="n">
        <v>45072</v>
      </c>
      <c r="C439" s="1" t="n">
        <v>45930</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11008-2023</t>
        </is>
      </c>
      <c r="B440" s="1" t="n">
        <v>44991</v>
      </c>
      <c r="C440" s="1" t="n">
        <v>45930</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10982-2023</t>
        </is>
      </c>
      <c r="B441" s="1" t="n">
        <v>44991.62203703704</v>
      </c>
      <c r="C441" s="1" t="n">
        <v>45930</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13771-2023</t>
        </is>
      </c>
      <c r="B442" s="1" t="n">
        <v>45007</v>
      </c>
      <c r="C442" s="1" t="n">
        <v>45930</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50927-2024</t>
        </is>
      </c>
      <c r="B443" s="1" t="n">
        <v>45602</v>
      </c>
      <c r="C443" s="1" t="n">
        <v>45930</v>
      </c>
      <c r="D443" t="inlineStr">
        <is>
          <t>UPPSALA LÄN</t>
        </is>
      </c>
      <c r="E443" t="inlineStr">
        <is>
          <t>ÖSTHAMMAR</t>
        </is>
      </c>
      <c r="F443" t="inlineStr">
        <is>
          <t>Bergvik skog öst AB</t>
        </is>
      </c>
      <c r="G443" t="n">
        <v>45.4</v>
      </c>
      <c r="H443" t="n">
        <v>0</v>
      </c>
      <c r="I443" t="n">
        <v>0</v>
      </c>
      <c r="J443" t="n">
        <v>0</v>
      </c>
      <c r="K443" t="n">
        <v>0</v>
      </c>
      <c r="L443" t="n">
        <v>0</v>
      </c>
      <c r="M443" t="n">
        <v>0</v>
      </c>
      <c r="N443" t="n">
        <v>0</v>
      </c>
      <c r="O443" t="n">
        <v>0</v>
      </c>
      <c r="P443" t="n">
        <v>0</v>
      </c>
      <c r="Q443" t="n">
        <v>0</v>
      </c>
      <c r="R443" s="2" t="inlineStr"/>
    </row>
    <row r="444" ht="15" customHeight="1">
      <c r="A444" t="inlineStr">
        <is>
          <t>A 40637-2022</t>
        </is>
      </c>
      <c r="B444" s="1" t="n">
        <v>44824</v>
      </c>
      <c r="C444" s="1" t="n">
        <v>45930</v>
      </c>
      <c r="D444" t="inlineStr">
        <is>
          <t>UPPSALA LÄN</t>
        </is>
      </c>
      <c r="E444" t="inlineStr">
        <is>
          <t>ÖSTHAMMAR</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6046-2025</t>
        </is>
      </c>
      <c r="B445" s="1" t="n">
        <v>45695</v>
      </c>
      <c r="C445" s="1" t="n">
        <v>45930</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c r="U445">
        <f>HYPERLINK("https://klasma.github.io/Logging_0382/knärot/A 6046-2025 karta knärot.png", "A 6046-2025")</f>
        <v/>
      </c>
      <c r="V445">
        <f>HYPERLINK("https://klasma.github.io/Logging_0382/klagomål/A 6046-2025 FSC-klagomål.docx", "A 6046-2025")</f>
        <v/>
      </c>
      <c r="W445">
        <f>HYPERLINK("https://klasma.github.io/Logging_0382/klagomålsmail/A 6046-2025 FSC-klagomål mail.docx", "A 6046-2025")</f>
        <v/>
      </c>
      <c r="X445">
        <f>HYPERLINK("https://klasma.github.io/Logging_0382/tillsyn/A 6046-2025 tillsynsbegäran.docx", "A 6046-2025")</f>
        <v/>
      </c>
      <c r="Y445">
        <f>HYPERLINK("https://klasma.github.io/Logging_0382/tillsynsmail/A 6046-2025 tillsynsbegäran mail.docx", "A 6046-2025")</f>
        <v/>
      </c>
    </row>
    <row r="446" ht="15" customHeight="1">
      <c r="A446" t="inlineStr">
        <is>
          <t>A 21624-2023</t>
        </is>
      </c>
      <c r="B446" s="1" t="n">
        <v>45063.65543981481</v>
      </c>
      <c r="C446" s="1" t="n">
        <v>45930</v>
      </c>
      <c r="D446" t="inlineStr">
        <is>
          <t>UPPSALA LÄN</t>
        </is>
      </c>
      <c r="E446" t="inlineStr">
        <is>
          <t>ÖSTHAMMAR</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6120-2024</t>
        </is>
      </c>
      <c r="B447" s="1" t="n">
        <v>45337.41784722222</v>
      </c>
      <c r="C447" s="1" t="n">
        <v>45930</v>
      </c>
      <c r="D447" t="inlineStr">
        <is>
          <t>UPPSALA LÄN</t>
        </is>
      </c>
      <c r="E447" t="inlineStr">
        <is>
          <t>ÖSTHAMMAR</t>
        </is>
      </c>
      <c r="G447" t="n">
        <v>0.7</v>
      </c>
      <c r="H447" t="n">
        <v>0</v>
      </c>
      <c r="I447" t="n">
        <v>0</v>
      </c>
      <c r="J447" t="n">
        <v>0</v>
      </c>
      <c r="K447" t="n">
        <v>0</v>
      </c>
      <c r="L447" t="n">
        <v>0</v>
      </c>
      <c r="M447" t="n">
        <v>0</v>
      </c>
      <c r="N447" t="n">
        <v>0</v>
      </c>
      <c r="O447" t="n">
        <v>0</v>
      </c>
      <c r="P447" t="n">
        <v>0</v>
      </c>
      <c r="Q447" t="n">
        <v>0</v>
      </c>
      <c r="R447" s="2" t="inlineStr"/>
    </row>
    <row r="448" ht="15" customHeight="1">
      <c r="A448" t="inlineStr">
        <is>
          <t>A 21478-2023</t>
        </is>
      </c>
      <c r="B448" s="1" t="n">
        <v>45063.47773148148</v>
      </c>
      <c r="C448" s="1" t="n">
        <v>45930</v>
      </c>
      <c r="D448" t="inlineStr">
        <is>
          <t>UPPSALA LÄN</t>
        </is>
      </c>
      <c r="E448" t="inlineStr">
        <is>
          <t>ÖSTHAMMAR</t>
        </is>
      </c>
      <c r="G448" t="n">
        <v>0.4</v>
      </c>
      <c r="H448" t="n">
        <v>0</v>
      </c>
      <c r="I448" t="n">
        <v>0</v>
      </c>
      <c r="J448" t="n">
        <v>0</v>
      </c>
      <c r="K448" t="n">
        <v>0</v>
      </c>
      <c r="L448" t="n">
        <v>0</v>
      </c>
      <c r="M448" t="n">
        <v>0</v>
      </c>
      <c r="N448" t="n">
        <v>0</v>
      </c>
      <c r="O448" t="n">
        <v>0</v>
      </c>
      <c r="P448" t="n">
        <v>0</v>
      </c>
      <c r="Q448" t="n">
        <v>0</v>
      </c>
      <c r="R448" s="2" t="inlineStr"/>
    </row>
    <row r="449" ht="15" customHeight="1">
      <c r="A449" t="inlineStr">
        <is>
          <t>A 58270-2023</t>
        </is>
      </c>
      <c r="B449" s="1" t="n">
        <v>45250.49961805555</v>
      </c>
      <c r="C449" s="1" t="n">
        <v>45930</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58324-2023</t>
        </is>
      </c>
      <c r="B450" s="1" t="n">
        <v>45250.58635416667</v>
      </c>
      <c r="C450" s="1" t="n">
        <v>45930</v>
      </c>
      <c r="D450" t="inlineStr">
        <is>
          <t>UPPSALA LÄN</t>
        </is>
      </c>
      <c r="E450" t="inlineStr">
        <is>
          <t>ÖSTHAMMAR</t>
        </is>
      </c>
      <c r="G450" t="n">
        <v>5.1</v>
      </c>
      <c r="H450" t="n">
        <v>0</v>
      </c>
      <c r="I450" t="n">
        <v>0</v>
      </c>
      <c r="J450" t="n">
        <v>0</v>
      </c>
      <c r="K450" t="n">
        <v>0</v>
      </c>
      <c r="L450" t="n">
        <v>0</v>
      </c>
      <c r="M450" t="n">
        <v>0</v>
      </c>
      <c r="N450" t="n">
        <v>0</v>
      </c>
      <c r="O450" t="n">
        <v>0</v>
      </c>
      <c r="P450" t="n">
        <v>0</v>
      </c>
      <c r="Q450" t="n">
        <v>0</v>
      </c>
      <c r="R450" s="2" t="inlineStr"/>
    </row>
    <row r="451" ht="15" customHeight="1">
      <c r="A451" t="inlineStr">
        <is>
          <t>A 22804-2022</t>
        </is>
      </c>
      <c r="B451" s="1" t="n">
        <v>44715</v>
      </c>
      <c r="C451" s="1" t="n">
        <v>45930</v>
      </c>
      <c r="D451" t="inlineStr">
        <is>
          <t>UPPSALA LÄN</t>
        </is>
      </c>
      <c r="E451" t="inlineStr">
        <is>
          <t>ÖSTHAMMAR</t>
        </is>
      </c>
      <c r="G451" t="n">
        <v>2.7</v>
      </c>
      <c r="H451" t="n">
        <v>0</v>
      </c>
      <c r="I451" t="n">
        <v>0</v>
      </c>
      <c r="J451" t="n">
        <v>0</v>
      </c>
      <c r="K451" t="n">
        <v>0</v>
      </c>
      <c r="L451" t="n">
        <v>0</v>
      </c>
      <c r="M451" t="n">
        <v>0</v>
      </c>
      <c r="N451" t="n">
        <v>0</v>
      </c>
      <c r="O451" t="n">
        <v>0</v>
      </c>
      <c r="P451" t="n">
        <v>0</v>
      </c>
      <c r="Q451" t="n">
        <v>0</v>
      </c>
      <c r="R451" s="2" t="inlineStr"/>
    </row>
    <row r="452" ht="15" customHeight="1">
      <c r="A452" t="inlineStr">
        <is>
          <t>A 57003-2021</t>
        </is>
      </c>
      <c r="B452" s="1" t="n">
        <v>44482.47577546296</v>
      </c>
      <c r="C452" s="1" t="n">
        <v>45930</v>
      </c>
      <c r="D452" t="inlineStr">
        <is>
          <t>UPPSALA LÄN</t>
        </is>
      </c>
      <c r="E452" t="inlineStr">
        <is>
          <t>ÖSTHAMMAR</t>
        </is>
      </c>
      <c r="G452" t="n">
        <v>1.9</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44531.61038194445</v>
      </c>
      <c r="C453" s="1" t="n">
        <v>45930</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73483-2021</t>
        </is>
      </c>
      <c r="B454" s="1" t="n">
        <v>44550</v>
      </c>
      <c r="C454" s="1" t="n">
        <v>45930</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24033-2023</t>
        </is>
      </c>
      <c r="B455" s="1" t="n">
        <v>45078</v>
      </c>
      <c r="C455" s="1" t="n">
        <v>45930</v>
      </c>
      <c r="D455" t="inlineStr">
        <is>
          <t>UPPSALA LÄN</t>
        </is>
      </c>
      <c r="E455" t="inlineStr">
        <is>
          <t>ÖSTHAMMAR</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57408-2020</t>
        </is>
      </c>
      <c r="B456" s="1" t="n">
        <v>44140</v>
      </c>
      <c r="C456" s="1" t="n">
        <v>45930</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49831-2023</t>
        </is>
      </c>
      <c r="B457" s="1" t="n">
        <v>45212.71241898148</v>
      </c>
      <c r="C457" s="1" t="n">
        <v>45930</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49899-2023</t>
        </is>
      </c>
      <c r="B458" s="1" t="n">
        <v>45213</v>
      </c>
      <c r="C458" s="1" t="n">
        <v>45930</v>
      </c>
      <c r="D458" t="inlineStr">
        <is>
          <t>UPPSALA LÄN</t>
        </is>
      </c>
      <c r="E458" t="inlineStr">
        <is>
          <t>ÖSTHAMMAR</t>
        </is>
      </c>
      <c r="G458" t="n">
        <v>6.2</v>
      </c>
      <c r="H458" t="n">
        <v>0</v>
      </c>
      <c r="I458" t="n">
        <v>0</v>
      </c>
      <c r="J458" t="n">
        <v>0</v>
      </c>
      <c r="K458" t="n">
        <v>0</v>
      </c>
      <c r="L458" t="n">
        <v>0</v>
      </c>
      <c r="M458" t="n">
        <v>0</v>
      </c>
      <c r="N458" t="n">
        <v>0</v>
      </c>
      <c r="O458" t="n">
        <v>0</v>
      </c>
      <c r="P458" t="n">
        <v>0</v>
      </c>
      <c r="Q458" t="n">
        <v>0</v>
      </c>
      <c r="R458" s="2" t="inlineStr"/>
    </row>
    <row r="459" ht="15" customHeight="1">
      <c r="A459" t="inlineStr">
        <is>
          <t>A 12262-2023</t>
        </is>
      </c>
      <c r="B459" s="1" t="n">
        <v>44998.66662037037</v>
      </c>
      <c r="C459" s="1" t="n">
        <v>45930</v>
      </c>
      <c r="D459" t="inlineStr">
        <is>
          <t>UPPSALA LÄN</t>
        </is>
      </c>
      <c r="E459" t="inlineStr">
        <is>
          <t>ÖSTHAMMAR</t>
        </is>
      </c>
      <c r="G459" t="n">
        <v>4.1</v>
      </c>
      <c r="H459" t="n">
        <v>0</v>
      </c>
      <c r="I459" t="n">
        <v>0</v>
      </c>
      <c r="J459" t="n">
        <v>0</v>
      </c>
      <c r="K459" t="n">
        <v>0</v>
      </c>
      <c r="L459" t="n">
        <v>0</v>
      </c>
      <c r="M459" t="n">
        <v>0</v>
      </c>
      <c r="N459" t="n">
        <v>0</v>
      </c>
      <c r="O459" t="n">
        <v>0</v>
      </c>
      <c r="P459" t="n">
        <v>0</v>
      </c>
      <c r="Q459" t="n">
        <v>0</v>
      </c>
      <c r="R459" s="2" t="inlineStr"/>
    </row>
    <row r="460" ht="15" customHeight="1">
      <c r="A460" t="inlineStr">
        <is>
          <t>A 5254-2025</t>
        </is>
      </c>
      <c r="B460" s="1" t="n">
        <v>45692</v>
      </c>
      <c r="C460" s="1" t="n">
        <v>45930</v>
      </c>
      <c r="D460" t="inlineStr">
        <is>
          <t>UPPSALA LÄN</t>
        </is>
      </c>
      <c r="E460" t="inlineStr">
        <is>
          <t>ÖSTHAMMAR</t>
        </is>
      </c>
      <c r="G460" t="n">
        <v>5</v>
      </c>
      <c r="H460" t="n">
        <v>0</v>
      </c>
      <c r="I460" t="n">
        <v>0</v>
      </c>
      <c r="J460" t="n">
        <v>0</v>
      </c>
      <c r="K460" t="n">
        <v>0</v>
      </c>
      <c r="L460" t="n">
        <v>0</v>
      </c>
      <c r="M460" t="n">
        <v>0</v>
      </c>
      <c r="N460" t="n">
        <v>0</v>
      </c>
      <c r="O460" t="n">
        <v>0</v>
      </c>
      <c r="P460" t="n">
        <v>0</v>
      </c>
      <c r="Q460" t="n">
        <v>0</v>
      </c>
      <c r="R460" s="2" t="inlineStr"/>
    </row>
    <row r="461" ht="15" customHeight="1">
      <c r="A461" t="inlineStr">
        <is>
          <t>A 17939-2025</t>
        </is>
      </c>
      <c r="B461" s="1" t="n">
        <v>45760.55671296296</v>
      </c>
      <c r="C461" s="1" t="n">
        <v>45930</v>
      </c>
      <c r="D461" t="inlineStr">
        <is>
          <t>UPPSALA LÄN</t>
        </is>
      </c>
      <c r="E461" t="inlineStr">
        <is>
          <t>ÖSTHAMMAR</t>
        </is>
      </c>
      <c r="F461" t="inlineStr">
        <is>
          <t>Bergvik skog öst AB</t>
        </is>
      </c>
      <c r="G461" t="n">
        <v>5.4</v>
      </c>
      <c r="H461" t="n">
        <v>0</v>
      </c>
      <c r="I461" t="n">
        <v>0</v>
      </c>
      <c r="J461" t="n">
        <v>0</v>
      </c>
      <c r="K461" t="n">
        <v>0</v>
      </c>
      <c r="L461" t="n">
        <v>0</v>
      </c>
      <c r="M461" t="n">
        <v>0</v>
      </c>
      <c r="N461" t="n">
        <v>0</v>
      </c>
      <c r="O461" t="n">
        <v>0</v>
      </c>
      <c r="P461" t="n">
        <v>0</v>
      </c>
      <c r="Q461" t="n">
        <v>0</v>
      </c>
      <c r="R461" s="2" t="inlineStr"/>
    </row>
    <row r="462" ht="15" customHeight="1">
      <c r="A462" t="inlineStr">
        <is>
          <t>A 17940-2025</t>
        </is>
      </c>
      <c r="B462" s="1" t="n">
        <v>45760.55842592593</v>
      </c>
      <c r="C462" s="1" t="n">
        <v>45930</v>
      </c>
      <c r="D462" t="inlineStr">
        <is>
          <t>UPPSALA LÄN</t>
        </is>
      </c>
      <c r="E462" t="inlineStr">
        <is>
          <t>ÖSTHAMMAR</t>
        </is>
      </c>
      <c r="F462" t="inlineStr">
        <is>
          <t>Bergvik skog öst AB</t>
        </is>
      </c>
      <c r="G462" t="n">
        <v>5.6</v>
      </c>
      <c r="H462" t="n">
        <v>0</v>
      </c>
      <c r="I462" t="n">
        <v>0</v>
      </c>
      <c r="J462" t="n">
        <v>0</v>
      </c>
      <c r="K462" t="n">
        <v>0</v>
      </c>
      <c r="L462" t="n">
        <v>0</v>
      </c>
      <c r="M462" t="n">
        <v>0</v>
      </c>
      <c r="N462" t="n">
        <v>0</v>
      </c>
      <c r="O462" t="n">
        <v>0</v>
      </c>
      <c r="P462" t="n">
        <v>0</v>
      </c>
      <c r="Q462" t="n">
        <v>0</v>
      </c>
      <c r="R462" s="2" t="inlineStr"/>
    </row>
    <row r="463" ht="15" customHeight="1">
      <c r="A463" t="inlineStr">
        <is>
          <t>A 44807-2024</t>
        </is>
      </c>
      <c r="B463" s="1" t="n">
        <v>45574.65427083334</v>
      </c>
      <c r="C463" s="1" t="n">
        <v>45930</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7195-2023</t>
        </is>
      </c>
      <c r="B464" s="1" t="n">
        <v>44970</v>
      </c>
      <c r="C464" s="1" t="n">
        <v>45930</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37568-2022</t>
        </is>
      </c>
      <c r="B465" s="1" t="n">
        <v>44809</v>
      </c>
      <c r="C465" s="1" t="n">
        <v>45930</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9542-2023</t>
        </is>
      </c>
      <c r="B466" s="1" t="n">
        <v>44981</v>
      </c>
      <c r="C466" s="1" t="n">
        <v>45930</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55100-2024</t>
        </is>
      </c>
      <c r="B467" s="1" t="n">
        <v>45621.4405787037</v>
      </c>
      <c r="C467" s="1" t="n">
        <v>45930</v>
      </c>
      <c r="D467" t="inlineStr">
        <is>
          <t>UPPSALA LÄN</t>
        </is>
      </c>
      <c r="E467" t="inlineStr">
        <is>
          <t>ÖSTHAMMAR</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5855-2022</t>
        </is>
      </c>
      <c r="B468" s="1" t="n">
        <v>44596.63290509259</v>
      </c>
      <c r="C468" s="1" t="n">
        <v>45930</v>
      </c>
      <c r="D468" t="inlineStr">
        <is>
          <t>UPPSALA LÄN</t>
        </is>
      </c>
      <c r="E468" t="inlineStr">
        <is>
          <t>ÖSTHAMMAR</t>
        </is>
      </c>
      <c r="G468" t="n">
        <v>0.9</v>
      </c>
      <c r="H468" t="n">
        <v>0</v>
      </c>
      <c r="I468" t="n">
        <v>0</v>
      </c>
      <c r="J468" t="n">
        <v>0</v>
      </c>
      <c r="K468" t="n">
        <v>0</v>
      </c>
      <c r="L468" t="n">
        <v>0</v>
      </c>
      <c r="M468" t="n">
        <v>0</v>
      </c>
      <c r="N468" t="n">
        <v>0</v>
      </c>
      <c r="O468" t="n">
        <v>0</v>
      </c>
      <c r="P468" t="n">
        <v>0</v>
      </c>
      <c r="Q468" t="n">
        <v>0</v>
      </c>
      <c r="R468" s="2" t="inlineStr"/>
    </row>
    <row r="469" ht="15" customHeight="1">
      <c r="A469" t="inlineStr">
        <is>
          <t>A 54366-2023</t>
        </is>
      </c>
      <c r="B469" s="1" t="n">
        <v>45233</v>
      </c>
      <c r="C469" s="1" t="n">
        <v>45930</v>
      </c>
      <c r="D469" t="inlineStr">
        <is>
          <t>UPPSALA LÄN</t>
        </is>
      </c>
      <c r="E469" t="inlineStr">
        <is>
          <t>ÖSTHAMMAR</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17643-2025</t>
        </is>
      </c>
      <c r="B470" s="1" t="n">
        <v>45758.32454861111</v>
      </c>
      <c r="C470" s="1" t="n">
        <v>45930</v>
      </c>
      <c r="D470" t="inlineStr">
        <is>
          <t>UPPSALA LÄN</t>
        </is>
      </c>
      <c r="E470" t="inlineStr">
        <is>
          <t>ÖSTHAMMAR</t>
        </is>
      </c>
      <c r="F470" t="inlineStr">
        <is>
          <t>Bergvik skog väst AB</t>
        </is>
      </c>
      <c r="G470" t="n">
        <v>2.6</v>
      </c>
      <c r="H470" t="n">
        <v>0</v>
      </c>
      <c r="I470" t="n">
        <v>0</v>
      </c>
      <c r="J470" t="n">
        <v>0</v>
      </c>
      <c r="K470" t="n">
        <v>0</v>
      </c>
      <c r="L470" t="n">
        <v>0</v>
      </c>
      <c r="M470" t="n">
        <v>0</v>
      </c>
      <c r="N470" t="n">
        <v>0</v>
      </c>
      <c r="O470" t="n">
        <v>0</v>
      </c>
      <c r="P470" t="n">
        <v>0</v>
      </c>
      <c r="Q470" t="n">
        <v>0</v>
      </c>
      <c r="R470" s="2" t="inlineStr"/>
    </row>
    <row r="471" ht="15" customHeight="1">
      <c r="A471" t="inlineStr">
        <is>
          <t>A 13248-2025</t>
        </is>
      </c>
      <c r="B471" s="1" t="n">
        <v>45735</v>
      </c>
      <c r="C471" s="1" t="n">
        <v>45930</v>
      </c>
      <c r="D471" t="inlineStr">
        <is>
          <t>UPPSALA LÄN</t>
        </is>
      </c>
      <c r="E471" t="inlineStr">
        <is>
          <t>ÖSTHAMMAR</t>
        </is>
      </c>
      <c r="F471" t="inlineStr">
        <is>
          <t>Kyrkan</t>
        </is>
      </c>
      <c r="G471" t="n">
        <v>12.2</v>
      </c>
      <c r="H471" t="n">
        <v>0</v>
      </c>
      <c r="I471" t="n">
        <v>0</v>
      </c>
      <c r="J471" t="n">
        <v>0</v>
      </c>
      <c r="K471" t="n">
        <v>0</v>
      </c>
      <c r="L471" t="n">
        <v>0</v>
      </c>
      <c r="M471" t="n">
        <v>0</v>
      </c>
      <c r="N471" t="n">
        <v>0</v>
      </c>
      <c r="O471" t="n">
        <v>0</v>
      </c>
      <c r="P471" t="n">
        <v>0</v>
      </c>
      <c r="Q471" t="n">
        <v>0</v>
      </c>
      <c r="R471" s="2" t="inlineStr"/>
    </row>
    <row r="472" ht="15" customHeight="1">
      <c r="A472" t="inlineStr">
        <is>
          <t>A 26774-2023</t>
        </is>
      </c>
      <c r="B472" s="1" t="n">
        <v>45093.47947916666</v>
      </c>
      <c r="C472" s="1" t="n">
        <v>45930</v>
      </c>
      <c r="D472" t="inlineStr">
        <is>
          <t>UPPSALA LÄN</t>
        </is>
      </c>
      <c r="E472" t="inlineStr">
        <is>
          <t>ÖSTHAMMAR</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67848-2021</t>
        </is>
      </c>
      <c r="B473" s="1" t="n">
        <v>44525</v>
      </c>
      <c r="C473" s="1" t="n">
        <v>45930</v>
      </c>
      <c r="D473" t="inlineStr">
        <is>
          <t>UPPSALA LÄN</t>
        </is>
      </c>
      <c r="E473" t="inlineStr">
        <is>
          <t>ÖSTHAMMAR</t>
        </is>
      </c>
      <c r="G473" t="n">
        <v>1</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45930</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55097-2024</t>
        </is>
      </c>
      <c r="B475" s="1" t="n">
        <v>45621.43855324074</v>
      </c>
      <c r="C475" s="1" t="n">
        <v>45930</v>
      </c>
      <c r="D475" t="inlineStr">
        <is>
          <t>UPPSALA LÄN</t>
        </is>
      </c>
      <c r="E475" t="inlineStr">
        <is>
          <t>ÖSTHAMMAR</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18230-2025</t>
        </is>
      </c>
      <c r="B476" s="1" t="n">
        <v>45761.87114583333</v>
      </c>
      <c r="C476" s="1" t="n">
        <v>45930</v>
      </c>
      <c r="D476" t="inlineStr">
        <is>
          <t>UPPSALA LÄN</t>
        </is>
      </c>
      <c r="E476" t="inlineStr">
        <is>
          <t>ÖSTHAMMAR</t>
        </is>
      </c>
      <c r="F476" t="inlineStr">
        <is>
          <t>Bergvik skog öst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37865-2023</t>
        </is>
      </c>
      <c r="B477" s="1" t="n">
        <v>45160</v>
      </c>
      <c r="C477" s="1" t="n">
        <v>45930</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61062-2023</t>
        </is>
      </c>
      <c r="B478" s="1" t="n">
        <v>45259</v>
      </c>
      <c r="C478" s="1" t="n">
        <v>45930</v>
      </c>
      <c r="D478" t="inlineStr">
        <is>
          <t>UPPSALA LÄN</t>
        </is>
      </c>
      <c r="E478" t="inlineStr">
        <is>
          <t>ÖSTHAMMAR</t>
        </is>
      </c>
      <c r="G478" t="n">
        <v>5.3</v>
      </c>
      <c r="H478" t="n">
        <v>0</v>
      </c>
      <c r="I478" t="n">
        <v>0</v>
      </c>
      <c r="J478" t="n">
        <v>0</v>
      </c>
      <c r="K478" t="n">
        <v>0</v>
      </c>
      <c r="L478" t="n">
        <v>0</v>
      </c>
      <c r="M478" t="n">
        <v>0</v>
      </c>
      <c r="N478" t="n">
        <v>0</v>
      </c>
      <c r="O478" t="n">
        <v>0</v>
      </c>
      <c r="P478" t="n">
        <v>0</v>
      </c>
      <c r="Q478" t="n">
        <v>0</v>
      </c>
      <c r="R478" s="2" t="inlineStr"/>
    </row>
    <row r="479" ht="15" customHeight="1">
      <c r="A479" t="inlineStr">
        <is>
          <t>A 61443-2024</t>
        </is>
      </c>
      <c r="B479" s="1" t="n">
        <v>45646.47936342593</v>
      </c>
      <c r="C479" s="1" t="n">
        <v>45930</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7100-2025</t>
        </is>
      </c>
      <c r="B480" s="1" t="n">
        <v>45701.83930555556</v>
      </c>
      <c r="C480" s="1" t="n">
        <v>45930</v>
      </c>
      <c r="D480" t="inlineStr">
        <is>
          <t>UPPSALA LÄN</t>
        </is>
      </c>
      <c r="E480" t="inlineStr">
        <is>
          <t>ÖSTHAMMAR</t>
        </is>
      </c>
      <c r="G480" t="n">
        <v>4.3</v>
      </c>
      <c r="H480" t="n">
        <v>0</v>
      </c>
      <c r="I480" t="n">
        <v>0</v>
      </c>
      <c r="J480" t="n">
        <v>0</v>
      </c>
      <c r="K480" t="n">
        <v>0</v>
      </c>
      <c r="L480" t="n">
        <v>0</v>
      </c>
      <c r="M480" t="n">
        <v>0</v>
      </c>
      <c r="N480" t="n">
        <v>0</v>
      </c>
      <c r="O480" t="n">
        <v>0</v>
      </c>
      <c r="P480" t="n">
        <v>0</v>
      </c>
      <c r="Q480" t="n">
        <v>0</v>
      </c>
      <c r="R480" s="2" t="inlineStr"/>
    </row>
    <row r="481" ht="15" customHeight="1">
      <c r="A481" t="inlineStr">
        <is>
          <t>A 54314-2023</t>
        </is>
      </c>
      <c r="B481" s="1" t="n">
        <v>45225</v>
      </c>
      <c r="C481" s="1" t="n">
        <v>45930</v>
      </c>
      <c r="D481" t="inlineStr">
        <is>
          <t>UPPSALA LÄN</t>
        </is>
      </c>
      <c r="E481" t="inlineStr">
        <is>
          <t>ÖSTHAMMAR</t>
        </is>
      </c>
      <c r="G481" t="n">
        <v>5.1</v>
      </c>
      <c r="H481" t="n">
        <v>0</v>
      </c>
      <c r="I481" t="n">
        <v>0</v>
      </c>
      <c r="J481" t="n">
        <v>0</v>
      </c>
      <c r="K481" t="n">
        <v>0</v>
      </c>
      <c r="L481" t="n">
        <v>0</v>
      </c>
      <c r="M481" t="n">
        <v>0</v>
      </c>
      <c r="N481" t="n">
        <v>0</v>
      </c>
      <c r="O481" t="n">
        <v>0</v>
      </c>
      <c r="P481" t="n">
        <v>0</v>
      </c>
      <c r="Q481" t="n">
        <v>0</v>
      </c>
      <c r="R481" s="2" t="inlineStr"/>
    </row>
    <row r="482" ht="15" customHeight="1">
      <c r="A482" t="inlineStr">
        <is>
          <t>A 49796-2024</t>
        </is>
      </c>
      <c r="B482" s="1" t="n">
        <v>45597</v>
      </c>
      <c r="C482" s="1" t="n">
        <v>45930</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45930</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21132-2025</t>
        </is>
      </c>
      <c r="B484" s="1" t="n">
        <v>45778.4108912037</v>
      </c>
      <c r="C484" s="1" t="n">
        <v>45930</v>
      </c>
      <c r="D484" t="inlineStr">
        <is>
          <t>UPPSALA LÄN</t>
        </is>
      </c>
      <c r="E484" t="inlineStr">
        <is>
          <t>ÖSTHAMMAR</t>
        </is>
      </c>
      <c r="G484" t="n">
        <v>10.1</v>
      </c>
      <c r="H484" t="n">
        <v>0</v>
      </c>
      <c r="I484" t="n">
        <v>0</v>
      </c>
      <c r="J484" t="n">
        <v>0</v>
      </c>
      <c r="K484" t="n">
        <v>0</v>
      </c>
      <c r="L484" t="n">
        <v>0</v>
      </c>
      <c r="M484" t="n">
        <v>0</v>
      </c>
      <c r="N484" t="n">
        <v>0</v>
      </c>
      <c r="O484" t="n">
        <v>0</v>
      </c>
      <c r="P484" t="n">
        <v>0</v>
      </c>
      <c r="Q484" t="n">
        <v>0</v>
      </c>
      <c r="R484" s="2" t="inlineStr"/>
    </row>
    <row r="485" ht="15" customHeight="1">
      <c r="A485" t="inlineStr">
        <is>
          <t>A 21133-2025</t>
        </is>
      </c>
      <c r="B485" s="1" t="n">
        <v>45778.415625</v>
      </c>
      <c r="C485" s="1" t="n">
        <v>45930</v>
      </c>
      <c r="D485" t="inlineStr">
        <is>
          <t>UPPSALA LÄN</t>
        </is>
      </c>
      <c r="E485" t="inlineStr">
        <is>
          <t>ÖSTHAMMAR</t>
        </is>
      </c>
      <c r="G485" t="n">
        <v>1.5</v>
      </c>
      <c r="H485" t="n">
        <v>0</v>
      </c>
      <c r="I485" t="n">
        <v>0</v>
      </c>
      <c r="J485" t="n">
        <v>0</v>
      </c>
      <c r="K485" t="n">
        <v>0</v>
      </c>
      <c r="L485" t="n">
        <v>0</v>
      </c>
      <c r="M485" t="n">
        <v>0</v>
      </c>
      <c r="N485" t="n">
        <v>0</v>
      </c>
      <c r="O485" t="n">
        <v>0</v>
      </c>
      <c r="P485" t="n">
        <v>0</v>
      </c>
      <c r="Q485" t="n">
        <v>0</v>
      </c>
      <c r="R485" s="2" t="inlineStr"/>
    </row>
    <row r="486" ht="15" customHeight="1">
      <c r="A486" t="inlineStr">
        <is>
          <t>A 42262-2024</t>
        </is>
      </c>
      <c r="B486" s="1" t="n">
        <v>45562</v>
      </c>
      <c r="C486" s="1" t="n">
        <v>45930</v>
      </c>
      <c r="D486" t="inlineStr">
        <is>
          <t>UPPSALA LÄN</t>
        </is>
      </c>
      <c r="E486" t="inlineStr">
        <is>
          <t>ÖSTHAMMAR</t>
        </is>
      </c>
      <c r="F486" t="inlineStr">
        <is>
          <t>Bergvik skog öst AB</t>
        </is>
      </c>
      <c r="G486" t="n">
        <v>1.7</v>
      </c>
      <c r="H486" t="n">
        <v>0</v>
      </c>
      <c r="I486" t="n">
        <v>0</v>
      </c>
      <c r="J486" t="n">
        <v>0</v>
      </c>
      <c r="K486" t="n">
        <v>0</v>
      </c>
      <c r="L486" t="n">
        <v>0</v>
      </c>
      <c r="M486" t="n">
        <v>0</v>
      </c>
      <c r="N486" t="n">
        <v>0</v>
      </c>
      <c r="O486" t="n">
        <v>0</v>
      </c>
      <c r="P486" t="n">
        <v>0</v>
      </c>
      <c r="Q486" t="n">
        <v>0</v>
      </c>
      <c r="R486" s="2" t="inlineStr"/>
    </row>
    <row r="487" ht="15" customHeight="1">
      <c r="A487" t="inlineStr">
        <is>
          <t>A 26612-2023</t>
        </is>
      </c>
      <c r="B487" s="1" t="n">
        <v>45089</v>
      </c>
      <c r="C487" s="1" t="n">
        <v>45930</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65361-2020</t>
        </is>
      </c>
      <c r="B488" s="1" t="n">
        <v>44173</v>
      </c>
      <c r="C488" s="1" t="n">
        <v>45930</v>
      </c>
      <c r="D488" t="inlineStr">
        <is>
          <t>UPPSALA LÄN</t>
        </is>
      </c>
      <c r="E488" t="inlineStr">
        <is>
          <t>ÖSTHAMMAR</t>
        </is>
      </c>
      <c r="G488" t="n">
        <v>3.6</v>
      </c>
      <c r="H488" t="n">
        <v>0</v>
      </c>
      <c r="I488" t="n">
        <v>0</v>
      </c>
      <c r="J488" t="n">
        <v>0</v>
      </c>
      <c r="K488" t="n">
        <v>0</v>
      </c>
      <c r="L488" t="n">
        <v>0</v>
      </c>
      <c r="M488" t="n">
        <v>0</v>
      </c>
      <c r="N488" t="n">
        <v>0</v>
      </c>
      <c r="O488" t="n">
        <v>0</v>
      </c>
      <c r="P488" t="n">
        <v>0</v>
      </c>
      <c r="Q488" t="n">
        <v>0</v>
      </c>
      <c r="R488" s="2" t="inlineStr"/>
    </row>
    <row r="489" ht="15" customHeight="1">
      <c r="A489" t="inlineStr">
        <is>
          <t>A 14269-2025</t>
        </is>
      </c>
      <c r="B489" s="1" t="n">
        <v>45740.64078703704</v>
      </c>
      <c r="C489" s="1" t="n">
        <v>45930</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18088-2025</t>
        </is>
      </c>
      <c r="B490" s="1" t="n">
        <v>45761.53104166667</v>
      </c>
      <c r="C490" s="1" t="n">
        <v>45930</v>
      </c>
      <c r="D490" t="inlineStr">
        <is>
          <t>UPPSALA LÄN</t>
        </is>
      </c>
      <c r="E490" t="inlineStr">
        <is>
          <t>ÖSTHAMMAR</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18095-2025</t>
        </is>
      </c>
      <c r="B491" s="1" t="n">
        <v>45761.54925925926</v>
      </c>
      <c r="C491" s="1" t="n">
        <v>45930</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16531-2025</t>
        </is>
      </c>
      <c r="B492" s="1" t="n">
        <v>45751</v>
      </c>
      <c r="C492" s="1" t="n">
        <v>45930</v>
      </c>
      <c r="D492" t="inlineStr">
        <is>
          <t>UPPSALA LÄN</t>
        </is>
      </c>
      <c r="E492" t="inlineStr">
        <is>
          <t>ÖSTHAMMAR</t>
        </is>
      </c>
      <c r="G492" t="n">
        <v>3.3</v>
      </c>
      <c r="H492" t="n">
        <v>0</v>
      </c>
      <c r="I492" t="n">
        <v>0</v>
      </c>
      <c r="J492" t="n">
        <v>0</v>
      </c>
      <c r="K492" t="n">
        <v>0</v>
      </c>
      <c r="L492" t="n">
        <v>0</v>
      </c>
      <c r="M492" t="n">
        <v>0</v>
      </c>
      <c r="N492" t="n">
        <v>0</v>
      </c>
      <c r="O492" t="n">
        <v>0</v>
      </c>
      <c r="P492" t="n">
        <v>0</v>
      </c>
      <c r="Q492" t="n">
        <v>0</v>
      </c>
      <c r="R492" s="2" t="inlineStr"/>
    </row>
    <row r="493" ht="15" customHeight="1">
      <c r="A493" t="inlineStr">
        <is>
          <t>A 44796-2024</t>
        </is>
      </c>
      <c r="B493" s="1" t="n">
        <v>45574</v>
      </c>
      <c r="C493" s="1" t="n">
        <v>45930</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25897-2023</t>
        </is>
      </c>
      <c r="B494" s="1" t="n">
        <v>45090.63300925926</v>
      </c>
      <c r="C494" s="1" t="n">
        <v>45930</v>
      </c>
      <c r="D494" t="inlineStr">
        <is>
          <t>UPPSALA LÄN</t>
        </is>
      </c>
      <c r="E494" t="inlineStr">
        <is>
          <t>ÖSTHAMMAR</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20046-2023</t>
        </is>
      </c>
      <c r="B495" s="1" t="n">
        <v>45054</v>
      </c>
      <c r="C495" s="1" t="n">
        <v>45930</v>
      </c>
      <c r="D495" t="inlineStr">
        <is>
          <t>UPPSALA LÄN</t>
        </is>
      </c>
      <c r="E495" t="inlineStr">
        <is>
          <t>ÖSTHAMMAR</t>
        </is>
      </c>
      <c r="G495" t="n">
        <v>0.4</v>
      </c>
      <c r="H495" t="n">
        <v>0</v>
      </c>
      <c r="I495" t="n">
        <v>0</v>
      </c>
      <c r="J495" t="n">
        <v>0</v>
      </c>
      <c r="K495" t="n">
        <v>0</v>
      </c>
      <c r="L495" t="n">
        <v>0</v>
      </c>
      <c r="M495" t="n">
        <v>0</v>
      </c>
      <c r="N495" t="n">
        <v>0</v>
      </c>
      <c r="O495" t="n">
        <v>0</v>
      </c>
      <c r="P495" t="n">
        <v>0</v>
      </c>
      <c r="Q495" t="n">
        <v>0</v>
      </c>
      <c r="R495" s="2" t="inlineStr"/>
    </row>
    <row r="496" ht="15" customHeight="1">
      <c r="A496" t="inlineStr">
        <is>
          <t>A 22488-2025</t>
        </is>
      </c>
      <c r="B496" s="1" t="n">
        <v>45786.64865740741</v>
      </c>
      <c r="C496" s="1" t="n">
        <v>45930</v>
      </c>
      <c r="D496" t="inlineStr">
        <is>
          <t>UPPSALA LÄN</t>
        </is>
      </c>
      <c r="E496" t="inlineStr">
        <is>
          <t>ÖSTHAMMAR</t>
        </is>
      </c>
      <c r="F496" t="inlineStr">
        <is>
          <t>Bergvik skog öst AB</t>
        </is>
      </c>
      <c r="G496" t="n">
        <v>14.9</v>
      </c>
      <c r="H496" t="n">
        <v>0</v>
      </c>
      <c r="I496" t="n">
        <v>0</v>
      </c>
      <c r="J496" t="n">
        <v>0</v>
      </c>
      <c r="K496" t="n">
        <v>0</v>
      </c>
      <c r="L496" t="n">
        <v>0</v>
      </c>
      <c r="M496" t="n">
        <v>0</v>
      </c>
      <c r="N496" t="n">
        <v>0</v>
      </c>
      <c r="O496" t="n">
        <v>0</v>
      </c>
      <c r="P496" t="n">
        <v>0</v>
      </c>
      <c r="Q496" t="n">
        <v>0</v>
      </c>
      <c r="R496" s="2" t="inlineStr"/>
    </row>
    <row r="497" ht="15" customHeight="1">
      <c r="A497" t="inlineStr">
        <is>
          <t>A 41478-2024</t>
        </is>
      </c>
      <c r="B497" s="1" t="n">
        <v>45560.44158564815</v>
      </c>
      <c r="C497" s="1" t="n">
        <v>45930</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36954-2024</t>
        </is>
      </c>
      <c r="B498" s="1" t="n">
        <v>45538.71109953704</v>
      </c>
      <c r="C498" s="1" t="n">
        <v>45930</v>
      </c>
      <c r="D498" t="inlineStr">
        <is>
          <t>UPPSALA LÄN</t>
        </is>
      </c>
      <c r="E498" t="inlineStr">
        <is>
          <t>ÖSTHAMMAR</t>
        </is>
      </c>
      <c r="F498" t="inlineStr">
        <is>
          <t>Bergvik skog öst AB</t>
        </is>
      </c>
      <c r="G498" t="n">
        <v>5.1</v>
      </c>
      <c r="H498" t="n">
        <v>0</v>
      </c>
      <c r="I498" t="n">
        <v>0</v>
      </c>
      <c r="J498" t="n">
        <v>0</v>
      </c>
      <c r="K498" t="n">
        <v>0</v>
      </c>
      <c r="L498" t="n">
        <v>0</v>
      </c>
      <c r="M498" t="n">
        <v>0</v>
      </c>
      <c r="N498" t="n">
        <v>0</v>
      </c>
      <c r="O498" t="n">
        <v>0</v>
      </c>
      <c r="P498" t="n">
        <v>0</v>
      </c>
      <c r="Q498" t="n">
        <v>0</v>
      </c>
      <c r="R498" s="2" t="inlineStr"/>
    </row>
    <row r="499" ht="15" customHeight="1">
      <c r="A499" t="inlineStr">
        <is>
          <t>A 22483-2025</t>
        </is>
      </c>
      <c r="B499" s="1" t="n">
        <v>45786.64141203704</v>
      </c>
      <c r="C499" s="1" t="n">
        <v>45930</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3638-2022</t>
        </is>
      </c>
      <c r="B500" s="1" t="n">
        <v>44578</v>
      </c>
      <c r="C500" s="1" t="n">
        <v>45930</v>
      </c>
      <c r="D500" t="inlineStr">
        <is>
          <t>UPPSALA LÄN</t>
        </is>
      </c>
      <c r="E500" t="inlineStr">
        <is>
          <t>ÖSTHAMMAR</t>
        </is>
      </c>
      <c r="G500" t="n">
        <v>1.7</v>
      </c>
      <c r="H500" t="n">
        <v>0</v>
      </c>
      <c r="I500" t="n">
        <v>0</v>
      </c>
      <c r="J500" t="n">
        <v>0</v>
      </c>
      <c r="K500" t="n">
        <v>0</v>
      </c>
      <c r="L500" t="n">
        <v>0</v>
      </c>
      <c r="M500" t="n">
        <v>0</v>
      </c>
      <c r="N500" t="n">
        <v>0</v>
      </c>
      <c r="O500" t="n">
        <v>0</v>
      </c>
      <c r="P500" t="n">
        <v>0</v>
      </c>
      <c r="Q500" t="n">
        <v>0</v>
      </c>
      <c r="R500" s="2" t="inlineStr"/>
    </row>
    <row r="501" ht="15" customHeight="1">
      <c r="A501" t="inlineStr">
        <is>
          <t>A 59291-2023</t>
        </is>
      </c>
      <c r="B501" s="1" t="n">
        <v>45253.57559027777</v>
      </c>
      <c r="C501" s="1" t="n">
        <v>45930</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43685-2024</t>
        </is>
      </c>
      <c r="B502" s="1" t="n">
        <v>45569</v>
      </c>
      <c r="C502" s="1" t="n">
        <v>45930</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38575-2024</t>
        </is>
      </c>
      <c r="B503" s="1" t="n">
        <v>45546.64221064815</v>
      </c>
      <c r="C503" s="1" t="n">
        <v>45930</v>
      </c>
      <c r="D503" t="inlineStr">
        <is>
          <t>UPPSALA LÄN</t>
        </is>
      </c>
      <c r="E503" t="inlineStr">
        <is>
          <t>ÖSTHAMMAR</t>
        </is>
      </c>
      <c r="F503" t="inlineStr">
        <is>
          <t>Bergvik skog öst AB</t>
        </is>
      </c>
      <c r="G503" t="n">
        <v>5.1</v>
      </c>
      <c r="H503" t="n">
        <v>0</v>
      </c>
      <c r="I503" t="n">
        <v>0</v>
      </c>
      <c r="J503" t="n">
        <v>0</v>
      </c>
      <c r="K503" t="n">
        <v>0</v>
      </c>
      <c r="L503" t="n">
        <v>0</v>
      </c>
      <c r="M503" t="n">
        <v>0</v>
      </c>
      <c r="N503" t="n">
        <v>0</v>
      </c>
      <c r="O503" t="n">
        <v>0</v>
      </c>
      <c r="P503" t="n">
        <v>0</v>
      </c>
      <c r="Q503" t="n">
        <v>0</v>
      </c>
      <c r="R503" s="2" t="inlineStr"/>
    </row>
    <row r="504" ht="15" customHeight="1">
      <c r="A504" t="inlineStr">
        <is>
          <t>A 43993-2024</t>
        </is>
      </c>
      <c r="B504" s="1" t="n">
        <v>45572.52690972222</v>
      </c>
      <c r="C504" s="1" t="n">
        <v>45930</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22492-2025</t>
        </is>
      </c>
      <c r="B505" s="1" t="n">
        <v>45786.65072916666</v>
      </c>
      <c r="C505" s="1" t="n">
        <v>45930</v>
      </c>
      <c r="D505" t="inlineStr">
        <is>
          <t>UPPSALA LÄN</t>
        </is>
      </c>
      <c r="E505" t="inlineStr">
        <is>
          <t>ÖSTHAMMAR</t>
        </is>
      </c>
      <c r="F505" t="inlineStr">
        <is>
          <t>Bergvik skog öst AB</t>
        </is>
      </c>
      <c r="G505" t="n">
        <v>16.6</v>
      </c>
      <c r="H505" t="n">
        <v>0</v>
      </c>
      <c r="I505" t="n">
        <v>0</v>
      </c>
      <c r="J505" t="n">
        <v>0</v>
      </c>
      <c r="K505" t="n">
        <v>0</v>
      </c>
      <c r="L505" t="n">
        <v>0</v>
      </c>
      <c r="M505" t="n">
        <v>0</v>
      </c>
      <c r="N505" t="n">
        <v>0</v>
      </c>
      <c r="O505" t="n">
        <v>0</v>
      </c>
      <c r="P505" t="n">
        <v>0</v>
      </c>
      <c r="Q505" t="n">
        <v>0</v>
      </c>
      <c r="R505" s="2" t="inlineStr"/>
    </row>
    <row r="506" ht="15" customHeight="1">
      <c r="A506" t="inlineStr">
        <is>
          <t>A 5931-2022</t>
        </is>
      </c>
      <c r="B506" s="1" t="n">
        <v>44598.82700231481</v>
      </c>
      <c r="C506" s="1" t="n">
        <v>45930</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17969-2023</t>
        </is>
      </c>
      <c r="B507" s="1" t="n">
        <v>45040.47081018519</v>
      </c>
      <c r="C507" s="1" t="n">
        <v>45930</v>
      </c>
      <c r="D507" t="inlineStr">
        <is>
          <t>UPPSALA LÄN</t>
        </is>
      </c>
      <c r="E507" t="inlineStr">
        <is>
          <t>ÖSTHAMMAR</t>
        </is>
      </c>
      <c r="G507" t="n">
        <v>5.4</v>
      </c>
      <c r="H507" t="n">
        <v>0</v>
      </c>
      <c r="I507" t="n">
        <v>0</v>
      </c>
      <c r="J507" t="n">
        <v>0</v>
      </c>
      <c r="K507" t="n">
        <v>0</v>
      </c>
      <c r="L507" t="n">
        <v>0</v>
      </c>
      <c r="M507" t="n">
        <v>0</v>
      </c>
      <c r="N507" t="n">
        <v>0</v>
      </c>
      <c r="O507" t="n">
        <v>0</v>
      </c>
      <c r="P507" t="n">
        <v>0</v>
      </c>
      <c r="Q507" t="n">
        <v>0</v>
      </c>
      <c r="R507" s="2" t="inlineStr"/>
    </row>
    <row r="508" ht="15" customHeight="1">
      <c r="A508" t="inlineStr">
        <is>
          <t>A 43655-2024</t>
        </is>
      </c>
      <c r="B508" s="1" t="n">
        <v>45569</v>
      </c>
      <c r="C508" s="1" t="n">
        <v>45930</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43683-2024</t>
        </is>
      </c>
      <c r="B509" s="1" t="n">
        <v>45569.57518518518</v>
      </c>
      <c r="C509" s="1" t="n">
        <v>45930</v>
      </c>
      <c r="D509" t="inlineStr">
        <is>
          <t>UPPSALA LÄN</t>
        </is>
      </c>
      <c r="E509" t="inlineStr">
        <is>
          <t>ÖSTHAMMAR</t>
        </is>
      </c>
      <c r="G509" t="n">
        <v>4.7</v>
      </c>
      <c r="H509" t="n">
        <v>0</v>
      </c>
      <c r="I509" t="n">
        <v>0</v>
      </c>
      <c r="J509" t="n">
        <v>0</v>
      </c>
      <c r="K509" t="n">
        <v>0</v>
      </c>
      <c r="L509" t="n">
        <v>0</v>
      </c>
      <c r="M509" t="n">
        <v>0</v>
      </c>
      <c r="N509" t="n">
        <v>0</v>
      </c>
      <c r="O509" t="n">
        <v>0</v>
      </c>
      <c r="P509" t="n">
        <v>0</v>
      </c>
      <c r="Q509" t="n">
        <v>0</v>
      </c>
      <c r="R509" s="2" t="inlineStr"/>
    </row>
    <row r="510" ht="15" customHeight="1">
      <c r="A510" t="inlineStr">
        <is>
          <t>A 58878-2022</t>
        </is>
      </c>
      <c r="B510" s="1" t="n">
        <v>44903</v>
      </c>
      <c r="C510" s="1" t="n">
        <v>45930</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32483-2024</t>
        </is>
      </c>
      <c r="B511" s="1" t="n">
        <v>45513.36644675926</v>
      </c>
      <c r="C511" s="1" t="n">
        <v>45930</v>
      </c>
      <c r="D511" t="inlineStr">
        <is>
          <t>UPPSALA LÄN</t>
        </is>
      </c>
      <c r="E511" t="inlineStr">
        <is>
          <t>ÖSTHAMMAR</t>
        </is>
      </c>
      <c r="F511" t="inlineStr">
        <is>
          <t>Kyrkan</t>
        </is>
      </c>
      <c r="G511" t="n">
        <v>4.7</v>
      </c>
      <c r="H511" t="n">
        <v>0</v>
      </c>
      <c r="I511" t="n">
        <v>0</v>
      </c>
      <c r="J511" t="n">
        <v>0</v>
      </c>
      <c r="K511" t="n">
        <v>0</v>
      </c>
      <c r="L511" t="n">
        <v>0</v>
      </c>
      <c r="M511" t="n">
        <v>0</v>
      </c>
      <c r="N511" t="n">
        <v>0</v>
      </c>
      <c r="O511" t="n">
        <v>0</v>
      </c>
      <c r="P511" t="n">
        <v>0</v>
      </c>
      <c r="Q511" t="n">
        <v>0</v>
      </c>
      <c r="R511" s="2" t="inlineStr"/>
    </row>
    <row r="512" ht="15" customHeight="1">
      <c r="A512" t="inlineStr">
        <is>
          <t>A 14595-2023</t>
        </is>
      </c>
      <c r="B512" s="1" t="n">
        <v>45013.57858796296</v>
      </c>
      <c r="C512" s="1" t="n">
        <v>45930</v>
      </c>
      <c r="D512" t="inlineStr">
        <is>
          <t>UPPSALA LÄN</t>
        </is>
      </c>
      <c r="E512" t="inlineStr">
        <is>
          <t>ÖSTHAMMAR</t>
        </is>
      </c>
      <c r="G512" t="n">
        <v>5</v>
      </c>
      <c r="H512" t="n">
        <v>0</v>
      </c>
      <c r="I512" t="n">
        <v>0</v>
      </c>
      <c r="J512" t="n">
        <v>0</v>
      </c>
      <c r="K512" t="n">
        <v>0</v>
      </c>
      <c r="L512" t="n">
        <v>0</v>
      </c>
      <c r="M512" t="n">
        <v>0</v>
      </c>
      <c r="N512" t="n">
        <v>0</v>
      </c>
      <c r="O512" t="n">
        <v>0</v>
      </c>
      <c r="P512" t="n">
        <v>0</v>
      </c>
      <c r="Q512" t="n">
        <v>0</v>
      </c>
      <c r="R512" s="2" t="inlineStr"/>
    </row>
    <row r="513" ht="15" customHeight="1">
      <c r="A513" t="inlineStr">
        <is>
          <t>A 12528-2024</t>
        </is>
      </c>
      <c r="B513" s="1" t="n">
        <v>45379.61878472222</v>
      </c>
      <c r="C513" s="1" t="n">
        <v>45930</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33685-2024</t>
        </is>
      </c>
      <c r="B514" s="1" t="n">
        <v>45520.51063657407</v>
      </c>
      <c r="C514" s="1" t="n">
        <v>45930</v>
      </c>
      <c r="D514" t="inlineStr">
        <is>
          <t>UPPSALA LÄN</t>
        </is>
      </c>
      <c r="E514" t="inlineStr">
        <is>
          <t>ÖSTHAMMAR</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44027-2024</t>
        </is>
      </c>
      <c r="B515" s="1" t="n">
        <v>45572</v>
      </c>
      <c r="C515" s="1" t="n">
        <v>45930</v>
      </c>
      <c r="D515" t="inlineStr">
        <is>
          <t>UPPSALA LÄN</t>
        </is>
      </c>
      <c r="E515" t="inlineStr">
        <is>
          <t>ÖSTHAMMAR</t>
        </is>
      </c>
      <c r="G515" t="n">
        <v>6</v>
      </c>
      <c r="H515" t="n">
        <v>0</v>
      </c>
      <c r="I515" t="n">
        <v>0</v>
      </c>
      <c r="J515" t="n">
        <v>0</v>
      </c>
      <c r="K515" t="n">
        <v>0</v>
      </c>
      <c r="L515" t="n">
        <v>0</v>
      </c>
      <c r="M515" t="n">
        <v>0</v>
      </c>
      <c r="N515" t="n">
        <v>0</v>
      </c>
      <c r="O515" t="n">
        <v>0</v>
      </c>
      <c r="P515" t="n">
        <v>0</v>
      </c>
      <c r="Q515" t="n">
        <v>0</v>
      </c>
      <c r="R515" s="2" t="inlineStr"/>
    </row>
    <row r="516" ht="15" customHeight="1">
      <c r="A516" t="inlineStr">
        <is>
          <t>A 4228-2023</t>
        </is>
      </c>
      <c r="B516" s="1" t="n">
        <v>44953.48179398148</v>
      </c>
      <c r="C516" s="1" t="n">
        <v>45930</v>
      </c>
      <c r="D516" t="inlineStr">
        <is>
          <t>UPPSALA LÄN</t>
        </is>
      </c>
      <c r="E516" t="inlineStr">
        <is>
          <t>ÖSTHAMMAR</t>
        </is>
      </c>
      <c r="G516" t="n">
        <v>1</v>
      </c>
      <c r="H516" t="n">
        <v>0</v>
      </c>
      <c r="I516" t="n">
        <v>0</v>
      </c>
      <c r="J516" t="n">
        <v>0</v>
      </c>
      <c r="K516" t="n">
        <v>0</v>
      </c>
      <c r="L516" t="n">
        <v>0</v>
      </c>
      <c r="M516" t="n">
        <v>0</v>
      </c>
      <c r="N516" t="n">
        <v>0</v>
      </c>
      <c r="O516" t="n">
        <v>0</v>
      </c>
      <c r="P516" t="n">
        <v>0</v>
      </c>
      <c r="Q516" t="n">
        <v>0</v>
      </c>
      <c r="R516" s="2" t="inlineStr"/>
    </row>
    <row r="517" ht="15" customHeight="1">
      <c r="A517" t="inlineStr">
        <is>
          <t>A 56041-2020</t>
        </is>
      </c>
      <c r="B517" s="1" t="n">
        <v>44133</v>
      </c>
      <c r="C517" s="1" t="n">
        <v>45930</v>
      </c>
      <c r="D517" t="inlineStr">
        <is>
          <t>UPPSALA LÄN</t>
        </is>
      </c>
      <c r="E517" t="inlineStr">
        <is>
          <t>ÖSTHAMMAR</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18091-2023</t>
        </is>
      </c>
      <c r="B518" s="1" t="n">
        <v>45040</v>
      </c>
      <c r="C518" s="1" t="n">
        <v>45930</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23305-2025</t>
        </is>
      </c>
      <c r="B519" s="1" t="n">
        <v>45791.60127314815</v>
      </c>
      <c r="C519" s="1" t="n">
        <v>45930</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66779-2021</t>
        </is>
      </c>
      <c r="B520" s="1" t="n">
        <v>44522.31700231481</v>
      </c>
      <c r="C520" s="1" t="n">
        <v>45930</v>
      </c>
      <c r="D520" t="inlineStr">
        <is>
          <t>UPPSALA LÄN</t>
        </is>
      </c>
      <c r="E520" t="inlineStr">
        <is>
          <t>ÖSTHAMMAR</t>
        </is>
      </c>
      <c r="G520" t="n">
        <v>2</v>
      </c>
      <c r="H520" t="n">
        <v>0</v>
      </c>
      <c r="I520" t="n">
        <v>0</v>
      </c>
      <c r="J520" t="n">
        <v>0</v>
      </c>
      <c r="K520" t="n">
        <v>0</v>
      </c>
      <c r="L520" t="n">
        <v>0</v>
      </c>
      <c r="M520" t="n">
        <v>0</v>
      </c>
      <c r="N520" t="n">
        <v>0</v>
      </c>
      <c r="O520" t="n">
        <v>0</v>
      </c>
      <c r="P520" t="n">
        <v>0</v>
      </c>
      <c r="Q520" t="n">
        <v>0</v>
      </c>
      <c r="R520" s="2" t="inlineStr"/>
    </row>
    <row r="521" ht="15" customHeight="1">
      <c r="A521" t="inlineStr">
        <is>
          <t>A 23197-2023</t>
        </is>
      </c>
      <c r="B521" s="1" t="n">
        <v>45075</v>
      </c>
      <c r="C521" s="1" t="n">
        <v>45930</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60079-2022</t>
        </is>
      </c>
      <c r="B522" s="1" t="n">
        <v>44909</v>
      </c>
      <c r="C522" s="1" t="n">
        <v>45930</v>
      </c>
      <c r="D522" t="inlineStr">
        <is>
          <t>UPPSALA LÄN</t>
        </is>
      </c>
      <c r="E522" t="inlineStr">
        <is>
          <t>ÖSTHAMMAR</t>
        </is>
      </c>
      <c r="G522" t="n">
        <v>9.6</v>
      </c>
      <c r="H522" t="n">
        <v>0</v>
      </c>
      <c r="I522" t="n">
        <v>0</v>
      </c>
      <c r="J522" t="n">
        <v>0</v>
      </c>
      <c r="K522" t="n">
        <v>0</v>
      </c>
      <c r="L522" t="n">
        <v>0</v>
      </c>
      <c r="M522" t="n">
        <v>0</v>
      </c>
      <c r="N522" t="n">
        <v>0</v>
      </c>
      <c r="O522" t="n">
        <v>0</v>
      </c>
      <c r="P522" t="n">
        <v>0</v>
      </c>
      <c r="Q522" t="n">
        <v>0</v>
      </c>
      <c r="R522" s="2" t="inlineStr"/>
    </row>
    <row r="523" ht="15" customHeight="1">
      <c r="A523" t="inlineStr">
        <is>
          <t>A 24606-2024</t>
        </is>
      </c>
      <c r="B523" s="1" t="n">
        <v>45460</v>
      </c>
      <c r="C523" s="1" t="n">
        <v>45930</v>
      </c>
      <c r="D523" t="inlineStr">
        <is>
          <t>UPPSALA LÄN</t>
        </is>
      </c>
      <c r="E523" t="inlineStr">
        <is>
          <t>ÖSTHAMMAR</t>
        </is>
      </c>
      <c r="F523" t="inlineStr">
        <is>
          <t>Bergvik skog öst AB</t>
        </is>
      </c>
      <c r="G523" t="n">
        <v>2.9</v>
      </c>
      <c r="H523" t="n">
        <v>0</v>
      </c>
      <c r="I523" t="n">
        <v>0</v>
      </c>
      <c r="J523" t="n">
        <v>0</v>
      </c>
      <c r="K523" t="n">
        <v>0</v>
      </c>
      <c r="L523" t="n">
        <v>0</v>
      </c>
      <c r="M523" t="n">
        <v>0</v>
      </c>
      <c r="N523" t="n">
        <v>0</v>
      </c>
      <c r="O523" t="n">
        <v>0</v>
      </c>
      <c r="P523" t="n">
        <v>0</v>
      </c>
      <c r="Q523" t="n">
        <v>0</v>
      </c>
      <c r="R523" s="2" t="inlineStr"/>
    </row>
    <row r="524" ht="15" customHeight="1">
      <c r="A524" t="inlineStr">
        <is>
          <t>A 9267-2024</t>
        </is>
      </c>
      <c r="B524" s="1" t="n">
        <v>45358</v>
      </c>
      <c r="C524" s="1" t="n">
        <v>45930</v>
      </c>
      <c r="D524" t="inlineStr">
        <is>
          <t>UPPSALA LÄN</t>
        </is>
      </c>
      <c r="E524" t="inlineStr">
        <is>
          <t>ÖSTHAMMAR</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33758-2024</t>
        </is>
      </c>
      <c r="B525" s="1" t="n">
        <v>45520.56896990741</v>
      </c>
      <c r="C525" s="1" t="n">
        <v>45930</v>
      </c>
      <c r="D525" t="inlineStr">
        <is>
          <t>UPPSALA LÄN</t>
        </is>
      </c>
      <c r="E525" t="inlineStr">
        <is>
          <t>ÖSTHAMMAR</t>
        </is>
      </c>
      <c r="G525" t="n">
        <v>6.5</v>
      </c>
      <c r="H525" t="n">
        <v>0</v>
      </c>
      <c r="I525" t="n">
        <v>0</v>
      </c>
      <c r="J525" t="n">
        <v>0</v>
      </c>
      <c r="K525" t="n">
        <v>0</v>
      </c>
      <c r="L525" t="n">
        <v>0</v>
      </c>
      <c r="M525" t="n">
        <v>0</v>
      </c>
      <c r="N525" t="n">
        <v>0</v>
      </c>
      <c r="O525" t="n">
        <v>0</v>
      </c>
      <c r="P525" t="n">
        <v>0</v>
      </c>
      <c r="Q525" t="n">
        <v>0</v>
      </c>
      <c r="R525" s="2" t="inlineStr"/>
    </row>
    <row r="526" ht="15" customHeight="1">
      <c r="A526" t="inlineStr">
        <is>
          <t>A 35316-2024</t>
        </is>
      </c>
      <c r="B526" s="1" t="n">
        <v>45530.68873842592</v>
      </c>
      <c r="C526" s="1" t="n">
        <v>45930</v>
      </c>
      <c r="D526" t="inlineStr">
        <is>
          <t>UPPSALA LÄN</t>
        </is>
      </c>
      <c r="E526" t="inlineStr">
        <is>
          <t>ÖSTHAMMAR</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38571-2023</t>
        </is>
      </c>
      <c r="B527" s="1" t="n">
        <v>45162.6177662037</v>
      </c>
      <c r="C527" s="1" t="n">
        <v>45930</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23968-2025</t>
        </is>
      </c>
      <c r="B528" s="1" t="n">
        <v>45796</v>
      </c>
      <c r="C528" s="1" t="n">
        <v>45930</v>
      </c>
      <c r="D528" t="inlineStr">
        <is>
          <t>UPPSALA LÄN</t>
        </is>
      </c>
      <c r="E528" t="inlineStr">
        <is>
          <t>ÖSTHAMMAR</t>
        </is>
      </c>
      <c r="F528" t="inlineStr">
        <is>
          <t>Bergvik skog öst AB</t>
        </is>
      </c>
      <c r="G528" t="n">
        <v>7.5</v>
      </c>
      <c r="H528" t="n">
        <v>0</v>
      </c>
      <c r="I528" t="n">
        <v>0</v>
      </c>
      <c r="J528" t="n">
        <v>0</v>
      </c>
      <c r="K528" t="n">
        <v>0</v>
      </c>
      <c r="L528" t="n">
        <v>0</v>
      </c>
      <c r="M528" t="n">
        <v>0</v>
      </c>
      <c r="N528" t="n">
        <v>0</v>
      </c>
      <c r="O528" t="n">
        <v>0</v>
      </c>
      <c r="P528" t="n">
        <v>0</v>
      </c>
      <c r="Q528" t="n">
        <v>0</v>
      </c>
      <c r="R528" s="2" t="inlineStr"/>
    </row>
    <row r="529" ht="15" customHeight="1">
      <c r="A529" t="inlineStr">
        <is>
          <t>A 7560-2023</t>
        </is>
      </c>
      <c r="B529" s="1" t="n">
        <v>44972.34811342593</v>
      </c>
      <c r="C529" s="1" t="n">
        <v>45930</v>
      </c>
      <c r="D529" t="inlineStr">
        <is>
          <t>UPPSALA LÄN</t>
        </is>
      </c>
      <c r="E529" t="inlineStr">
        <is>
          <t>ÖSTHAMMAR</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44184-2024</t>
        </is>
      </c>
      <c r="B530" s="1" t="n">
        <v>45572</v>
      </c>
      <c r="C530" s="1" t="n">
        <v>45930</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48083-2024</t>
        </is>
      </c>
      <c r="B531" s="1" t="n">
        <v>45589.58766203704</v>
      </c>
      <c r="C531" s="1" t="n">
        <v>45930</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24160-2024</t>
        </is>
      </c>
      <c r="B532" s="1" t="n">
        <v>45456</v>
      </c>
      <c r="C532" s="1" t="n">
        <v>45930</v>
      </c>
      <c r="D532" t="inlineStr">
        <is>
          <t>UPPSALA LÄN</t>
        </is>
      </c>
      <c r="E532" t="inlineStr">
        <is>
          <t>ÖSTHAMMAR</t>
        </is>
      </c>
      <c r="F532" t="inlineStr">
        <is>
          <t>Bergvik skog öst AB</t>
        </is>
      </c>
      <c r="G532" t="n">
        <v>0.7</v>
      </c>
      <c r="H532" t="n">
        <v>0</v>
      </c>
      <c r="I532" t="n">
        <v>0</v>
      </c>
      <c r="J532" t="n">
        <v>0</v>
      </c>
      <c r="K532" t="n">
        <v>0</v>
      </c>
      <c r="L532" t="n">
        <v>0</v>
      </c>
      <c r="M532" t="n">
        <v>0</v>
      </c>
      <c r="N532" t="n">
        <v>0</v>
      </c>
      <c r="O532" t="n">
        <v>0</v>
      </c>
      <c r="P532" t="n">
        <v>0</v>
      </c>
      <c r="Q532" t="n">
        <v>0</v>
      </c>
      <c r="R532" s="2" t="inlineStr"/>
    </row>
    <row r="533" ht="15" customHeight="1">
      <c r="A533" t="inlineStr">
        <is>
          <t>A 74436-2021</t>
        </is>
      </c>
      <c r="B533" s="1" t="n">
        <v>44560.4502199074</v>
      </c>
      <c r="C533" s="1" t="n">
        <v>45930</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1584-2025</t>
        </is>
      </c>
      <c r="B534" s="1" t="n">
        <v>45670</v>
      </c>
      <c r="C534" s="1" t="n">
        <v>45930</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24174-2025</t>
        </is>
      </c>
      <c r="B535" s="1" t="n">
        <v>45796.69207175926</v>
      </c>
      <c r="C535" s="1" t="n">
        <v>45930</v>
      </c>
      <c r="D535" t="inlineStr">
        <is>
          <t>UPPSALA LÄN</t>
        </is>
      </c>
      <c r="E535" t="inlineStr">
        <is>
          <t>ÖSTHAMMAR</t>
        </is>
      </c>
      <c r="G535" t="n">
        <v>4.9</v>
      </c>
      <c r="H535" t="n">
        <v>0</v>
      </c>
      <c r="I535" t="n">
        <v>0</v>
      </c>
      <c r="J535" t="n">
        <v>0</v>
      </c>
      <c r="K535" t="n">
        <v>0</v>
      </c>
      <c r="L535" t="n">
        <v>0</v>
      </c>
      <c r="M535" t="n">
        <v>0</v>
      </c>
      <c r="N535" t="n">
        <v>0</v>
      </c>
      <c r="O535" t="n">
        <v>0</v>
      </c>
      <c r="P535" t="n">
        <v>0</v>
      </c>
      <c r="Q535" t="n">
        <v>0</v>
      </c>
      <c r="R535" s="2" t="inlineStr"/>
    </row>
    <row r="536" ht="15" customHeight="1">
      <c r="A536" t="inlineStr">
        <is>
          <t>A 30972-2024</t>
        </is>
      </c>
      <c r="B536" s="1" t="n">
        <v>45499.47106481482</v>
      </c>
      <c r="C536" s="1" t="n">
        <v>45930</v>
      </c>
      <c r="D536" t="inlineStr">
        <is>
          <t>UPPSALA LÄN</t>
        </is>
      </c>
      <c r="E536" t="inlineStr">
        <is>
          <t>ÖSTHAMMAR</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45930</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45930</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24408-2025</t>
        </is>
      </c>
      <c r="B539" s="1" t="n">
        <v>45797.65774305556</v>
      </c>
      <c r="C539" s="1" t="n">
        <v>45930</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32778-2023</t>
        </is>
      </c>
      <c r="B540" s="1" t="n">
        <v>45123.88789351852</v>
      </c>
      <c r="C540" s="1" t="n">
        <v>45930</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33680-2024</t>
        </is>
      </c>
      <c r="B541" s="1" t="n">
        <v>45520.50712962963</v>
      </c>
      <c r="C541" s="1" t="n">
        <v>45930</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24415-2025</t>
        </is>
      </c>
      <c r="B542" s="1" t="n">
        <v>45797.67381944445</v>
      </c>
      <c r="C542" s="1" t="n">
        <v>45930</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45930</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7944-2023</t>
        </is>
      </c>
      <c r="B544" s="1" t="n">
        <v>44973.66458333333</v>
      </c>
      <c r="C544" s="1" t="n">
        <v>45930</v>
      </c>
      <c r="D544" t="inlineStr">
        <is>
          <t>UPPSALA LÄN</t>
        </is>
      </c>
      <c r="E544" t="inlineStr">
        <is>
          <t>ÖSTHAMMAR</t>
        </is>
      </c>
      <c r="G544" t="n">
        <v>4.6</v>
      </c>
      <c r="H544" t="n">
        <v>0</v>
      </c>
      <c r="I544" t="n">
        <v>0</v>
      </c>
      <c r="J544" t="n">
        <v>0</v>
      </c>
      <c r="K544" t="n">
        <v>0</v>
      </c>
      <c r="L544" t="n">
        <v>0</v>
      </c>
      <c r="M544" t="n">
        <v>0</v>
      </c>
      <c r="N544" t="n">
        <v>0</v>
      </c>
      <c r="O544" t="n">
        <v>0</v>
      </c>
      <c r="P544" t="n">
        <v>0</v>
      </c>
      <c r="Q544" t="n">
        <v>0</v>
      </c>
      <c r="R544" s="2" t="inlineStr"/>
    </row>
    <row r="545" ht="15" customHeight="1">
      <c r="A545" t="inlineStr">
        <is>
          <t>A 25049-2025</t>
        </is>
      </c>
      <c r="B545" s="1" t="n">
        <v>45799.66876157407</v>
      </c>
      <c r="C545" s="1" t="n">
        <v>45930</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24944-2025</t>
        </is>
      </c>
      <c r="B546" s="1" t="n">
        <v>45799.56347222222</v>
      </c>
      <c r="C546" s="1" t="n">
        <v>45930</v>
      </c>
      <c r="D546" t="inlineStr">
        <is>
          <t>UPPSALA LÄN</t>
        </is>
      </c>
      <c r="E546" t="inlineStr">
        <is>
          <t>ÖSTHAMMAR</t>
        </is>
      </c>
      <c r="G546" t="n">
        <v>7.3</v>
      </c>
      <c r="H546" t="n">
        <v>0</v>
      </c>
      <c r="I546" t="n">
        <v>0</v>
      </c>
      <c r="J546" t="n">
        <v>0</v>
      </c>
      <c r="K546" t="n">
        <v>0</v>
      </c>
      <c r="L546" t="n">
        <v>0</v>
      </c>
      <c r="M546" t="n">
        <v>0</v>
      </c>
      <c r="N546" t="n">
        <v>0</v>
      </c>
      <c r="O546" t="n">
        <v>0</v>
      </c>
      <c r="P546" t="n">
        <v>0</v>
      </c>
      <c r="Q546" t="n">
        <v>0</v>
      </c>
      <c r="R546" s="2" t="inlineStr"/>
    </row>
    <row r="547" ht="15" customHeight="1">
      <c r="A547" t="inlineStr">
        <is>
          <t>A 16089-2025</t>
        </is>
      </c>
      <c r="B547" s="1" t="n">
        <v>45749.84232638889</v>
      </c>
      <c r="C547" s="1" t="n">
        <v>45930</v>
      </c>
      <c r="D547" t="inlineStr">
        <is>
          <t>UPPSALA LÄN</t>
        </is>
      </c>
      <c r="E547" t="inlineStr">
        <is>
          <t>ÖSTHAMMAR</t>
        </is>
      </c>
      <c r="F547" t="inlineStr">
        <is>
          <t>Bergvik skog öst AB</t>
        </is>
      </c>
      <c r="G547" t="n">
        <v>2.6</v>
      </c>
      <c r="H547" t="n">
        <v>0</v>
      </c>
      <c r="I547" t="n">
        <v>0</v>
      </c>
      <c r="J547" t="n">
        <v>0</v>
      </c>
      <c r="K547" t="n">
        <v>0</v>
      </c>
      <c r="L547" t="n">
        <v>0</v>
      </c>
      <c r="M547" t="n">
        <v>0</v>
      </c>
      <c r="N547" t="n">
        <v>0</v>
      </c>
      <c r="O547" t="n">
        <v>0</v>
      </c>
      <c r="P547" t="n">
        <v>0</v>
      </c>
      <c r="Q547" t="n">
        <v>0</v>
      </c>
      <c r="R547" s="2" t="inlineStr"/>
    </row>
    <row r="548" ht="15" customHeight="1">
      <c r="A548" t="inlineStr">
        <is>
          <t>A 34185-2024</t>
        </is>
      </c>
      <c r="B548" s="1" t="n">
        <v>45524</v>
      </c>
      <c r="C548" s="1" t="n">
        <v>45930</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14170-2025</t>
        </is>
      </c>
      <c r="B549" s="1" t="n">
        <v>45740.51895833333</v>
      </c>
      <c r="C549" s="1" t="n">
        <v>45930</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12945-2025</t>
        </is>
      </c>
      <c r="B550" s="1" t="n">
        <v>45734.38159722222</v>
      </c>
      <c r="C550" s="1" t="n">
        <v>45930</v>
      </c>
      <c r="D550" t="inlineStr">
        <is>
          <t>UPPSALA LÄN</t>
        </is>
      </c>
      <c r="E550" t="inlineStr">
        <is>
          <t>ÖSTHAMMAR</t>
        </is>
      </c>
      <c r="G550" t="n">
        <v>2.1</v>
      </c>
      <c r="H550" t="n">
        <v>0</v>
      </c>
      <c r="I550" t="n">
        <v>0</v>
      </c>
      <c r="J550" t="n">
        <v>0</v>
      </c>
      <c r="K550" t="n">
        <v>0</v>
      </c>
      <c r="L550" t="n">
        <v>0</v>
      </c>
      <c r="M550" t="n">
        <v>0</v>
      </c>
      <c r="N550" t="n">
        <v>0</v>
      </c>
      <c r="O550" t="n">
        <v>0</v>
      </c>
      <c r="P550" t="n">
        <v>0</v>
      </c>
      <c r="Q550" t="n">
        <v>0</v>
      </c>
      <c r="R550" s="2" t="inlineStr"/>
    </row>
    <row r="551" ht="15" customHeight="1">
      <c r="A551" t="inlineStr">
        <is>
          <t>A 58297-2024</t>
        </is>
      </c>
      <c r="B551" s="1" t="n">
        <v>45632.59780092593</v>
      </c>
      <c r="C551" s="1" t="n">
        <v>45930</v>
      </c>
      <c r="D551" t="inlineStr">
        <is>
          <t>UPPSALA LÄN</t>
        </is>
      </c>
      <c r="E551" t="inlineStr">
        <is>
          <t>ÖSTHAMMAR</t>
        </is>
      </c>
      <c r="G551" t="n">
        <v>5.1</v>
      </c>
      <c r="H551" t="n">
        <v>0</v>
      </c>
      <c r="I551" t="n">
        <v>0</v>
      </c>
      <c r="J551" t="n">
        <v>0</v>
      </c>
      <c r="K551" t="n">
        <v>0</v>
      </c>
      <c r="L551" t="n">
        <v>0</v>
      </c>
      <c r="M551" t="n">
        <v>0</v>
      </c>
      <c r="N551" t="n">
        <v>0</v>
      </c>
      <c r="O551" t="n">
        <v>0</v>
      </c>
      <c r="P551" t="n">
        <v>0</v>
      </c>
      <c r="Q551" t="n">
        <v>0</v>
      </c>
      <c r="R551" s="2" t="inlineStr"/>
    </row>
    <row r="552" ht="15" customHeight="1">
      <c r="A552" t="inlineStr">
        <is>
          <t>A 26328-2025</t>
        </is>
      </c>
      <c r="B552" s="1" t="n">
        <v>45805.67305555556</v>
      </c>
      <c r="C552" s="1" t="n">
        <v>45930</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26055-2025</t>
        </is>
      </c>
      <c r="B553" s="1" t="n">
        <v>45804.77559027778</v>
      </c>
      <c r="C553" s="1" t="n">
        <v>45930</v>
      </c>
      <c r="D553" t="inlineStr">
        <is>
          <t>UPPSALA LÄN</t>
        </is>
      </c>
      <c r="E553" t="inlineStr">
        <is>
          <t>ÖSTHAMMAR</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26330-2025</t>
        </is>
      </c>
      <c r="B554" s="1" t="n">
        <v>45805.68263888889</v>
      </c>
      <c r="C554" s="1" t="n">
        <v>45930</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26319-2025</t>
        </is>
      </c>
      <c r="B555" s="1" t="n">
        <v>45805.65960648148</v>
      </c>
      <c r="C555" s="1" t="n">
        <v>45930</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8616-2023</t>
        </is>
      </c>
      <c r="B556" s="1" t="n">
        <v>44977</v>
      </c>
      <c r="C556" s="1" t="n">
        <v>45930</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1567-2025</t>
        </is>
      </c>
      <c r="B557" s="1" t="n">
        <v>45670</v>
      </c>
      <c r="C557" s="1" t="n">
        <v>45930</v>
      </c>
      <c r="D557" t="inlineStr">
        <is>
          <t>UPPSALA LÄN</t>
        </is>
      </c>
      <c r="E557" t="inlineStr">
        <is>
          <t>ÖSTHAMMAR</t>
        </is>
      </c>
      <c r="G557" t="n">
        <v>2.8</v>
      </c>
      <c r="H557" t="n">
        <v>0</v>
      </c>
      <c r="I557" t="n">
        <v>0</v>
      </c>
      <c r="J557" t="n">
        <v>0</v>
      </c>
      <c r="K557" t="n">
        <v>0</v>
      </c>
      <c r="L557" t="n">
        <v>0</v>
      </c>
      <c r="M557" t="n">
        <v>0</v>
      </c>
      <c r="N557" t="n">
        <v>0</v>
      </c>
      <c r="O557" t="n">
        <v>0</v>
      </c>
      <c r="P557" t="n">
        <v>0</v>
      </c>
      <c r="Q557" t="n">
        <v>0</v>
      </c>
      <c r="R557" s="2" t="inlineStr"/>
    </row>
    <row r="558" ht="15" customHeight="1">
      <c r="A558" t="inlineStr">
        <is>
          <t>A 46785-2023</t>
        </is>
      </c>
      <c r="B558" s="1" t="n">
        <v>45198</v>
      </c>
      <c r="C558" s="1" t="n">
        <v>45930</v>
      </c>
      <c r="D558" t="inlineStr">
        <is>
          <t>UPPSALA LÄN</t>
        </is>
      </c>
      <c r="E558" t="inlineStr">
        <is>
          <t>ÖSTHAMMAR</t>
        </is>
      </c>
      <c r="G558" t="n">
        <v>1.6</v>
      </c>
      <c r="H558" t="n">
        <v>0</v>
      </c>
      <c r="I558" t="n">
        <v>0</v>
      </c>
      <c r="J558" t="n">
        <v>0</v>
      </c>
      <c r="K558" t="n">
        <v>0</v>
      </c>
      <c r="L558" t="n">
        <v>0</v>
      </c>
      <c r="M558" t="n">
        <v>0</v>
      </c>
      <c r="N558" t="n">
        <v>0</v>
      </c>
      <c r="O558" t="n">
        <v>0</v>
      </c>
      <c r="P558" t="n">
        <v>0</v>
      </c>
      <c r="Q558" t="n">
        <v>0</v>
      </c>
      <c r="R558" s="2" t="inlineStr"/>
    </row>
    <row r="559" ht="15" customHeight="1">
      <c r="A559" t="inlineStr">
        <is>
          <t>A 26521-2025</t>
        </is>
      </c>
      <c r="B559" s="1" t="n">
        <v>45807.56275462963</v>
      </c>
      <c r="C559" s="1" t="n">
        <v>45930</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26526-2025</t>
        </is>
      </c>
      <c r="B560" s="1" t="n">
        <v>45807.56612268519</v>
      </c>
      <c r="C560" s="1" t="n">
        <v>45930</v>
      </c>
      <c r="D560" t="inlineStr">
        <is>
          <t>UPPSALA LÄN</t>
        </is>
      </c>
      <c r="E560" t="inlineStr">
        <is>
          <t>ÖSTHAMMAR</t>
        </is>
      </c>
      <c r="G560" t="n">
        <v>0.7</v>
      </c>
      <c r="H560" t="n">
        <v>0</v>
      </c>
      <c r="I560" t="n">
        <v>0</v>
      </c>
      <c r="J560" t="n">
        <v>0</v>
      </c>
      <c r="K560" t="n">
        <v>0</v>
      </c>
      <c r="L560" t="n">
        <v>0</v>
      </c>
      <c r="M560" t="n">
        <v>0</v>
      </c>
      <c r="N560" t="n">
        <v>0</v>
      </c>
      <c r="O560" t="n">
        <v>0</v>
      </c>
      <c r="P560" t="n">
        <v>0</v>
      </c>
      <c r="Q560" t="n">
        <v>0</v>
      </c>
      <c r="R560" s="2" t="inlineStr"/>
    </row>
    <row r="561" ht="15" customHeight="1">
      <c r="A561" t="inlineStr">
        <is>
          <t>A 73965-2021</t>
        </is>
      </c>
      <c r="B561" s="1" t="n">
        <v>44553.80824074074</v>
      </c>
      <c r="C561" s="1" t="n">
        <v>45930</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73592-2021</t>
        </is>
      </c>
      <c r="B562" s="1" t="n">
        <v>44552.36974537037</v>
      </c>
      <c r="C562" s="1" t="n">
        <v>45930</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27395-2025</t>
        </is>
      </c>
      <c r="B563" s="1" t="n">
        <v>45812.6850462963</v>
      </c>
      <c r="C563" s="1" t="n">
        <v>45930</v>
      </c>
      <c r="D563" t="inlineStr">
        <is>
          <t>UPPSALA LÄN</t>
        </is>
      </c>
      <c r="E563" t="inlineStr">
        <is>
          <t>ÖSTHAMMAR</t>
        </is>
      </c>
      <c r="F563" t="inlineStr">
        <is>
          <t>Bergvik skog öst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27347-2025</t>
        </is>
      </c>
      <c r="B564" s="1" t="n">
        <v>45812.62390046296</v>
      </c>
      <c r="C564" s="1" t="n">
        <v>45930</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31479-2023</t>
        </is>
      </c>
      <c r="B565" s="1" t="n">
        <v>45114.79793981482</v>
      </c>
      <c r="C565" s="1" t="n">
        <v>45930</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24128-2023</t>
        </is>
      </c>
      <c r="B566" s="1" t="n">
        <v>45079.50289351852</v>
      </c>
      <c r="C566" s="1" t="n">
        <v>45930</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27383-2025</t>
        </is>
      </c>
      <c r="B567" s="1" t="n">
        <v>45812.66628472223</v>
      </c>
      <c r="C567" s="1" t="n">
        <v>45930</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27385-2025</t>
        </is>
      </c>
      <c r="B568" s="1" t="n">
        <v>45812.66829861111</v>
      </c>
      <c r="C568" s="1" t="n">
        <v>45930</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27352-2025</t>
        </is>
      </c>
      <c r="B569" s="1" t="n">
        <v>45812.62694444445</v>
      </c>
      <c r="C569" s="1" t="n">
        <v>45930</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35918-2023</t>
        </is>
      </c>
      <c r="B570" s="1" t="n">
        <v>45148.64976851852</v>
      </c>
      <c r="C570" s="1" t="n">
        <v>45930</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27131-2025</t>
        </is>
      </c>
      <c r="B571" s="1" t="n">
        <v>45811</v>
      </c>
      <c r="C571" s="1" t="n">
        <v>45930</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27392-2025</t>
        </is>
      </c>
      <c r="B572" s="1" t="n">
        <v>45812.68268518519</v>
      </c>
      <c r="C572" s="1" t="n">
        <v>45930</v>
      </c>
      <c r="D572" t="inlineStr">
        <is>
          <t>UPPSALA LÄN</t>
        </is>
      </c>
      <c r="E572" t="inlineStr">
        <is>
          <t>ÖSTHAMMAR</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27058-2025</t>
        </is>
      </c>
      <c r="B573" s="1" t="n">
        <v>45811.63436342592</v>
      </c>
      <c r="C573" s="1" t="n">
        <v>45930</v>
      </c>
      <c r="D573" t="inlineStr">
        <is>
          <t>UPPSALA LÄN</t>
        </is>
      </c>
      <c r="E573" t="inlineStr">
        <is>
          <t>ÖSTHAMMAR</t>
        </is>
      </c>
      <c r="F573" t="inlineStr">
        <is>
          <t>Bergvik skog öst AB</t>
        </is>
      </c>
      <c r="G573" t="n">
        <v>5.7</v>
      </c>
      <c r="H573" t="n">
        <v>0</v>
      </c>
      <c r="I573" t="n">
        <v>0</v>
      </c>
      <c r="J573" t="n">
        <v>0</v>
      </c>
      <c r="K573" t="n">
        <v>0</v>
      </c>
      <c r="L573" t="n">
        <v>0</v>
      </c>
      <c r="M573" t="n">
        <v>0</v>
      </c>
      <c r="N573" t="n">
        <v>0</v>
      </c>
      <c r="O573" t="n">
        <v>0</v>
      </c>
      <c r="P573" t="n">
        <v>0</v>
      </c>
      <c r="Q573" t="n">
        <v>0</v>
      </c>
      <c r="R573" s="2" t="inlineStr"/>
    </row>
    <row r="574" ht="15" customHeight="1">
      <c r="A574" t="inlineStr">
        <is>
          <t>A 27384-2025</t>
        </is>
      </c>
      <c r="B574" s="1" t="n">
        <v>45812.6672337963</v>
      </c>
      <c r="C574" s="1" t="n">
        <v>45930</v>
      </c>
      <c r="D574" t="inlineStr">
        <is>
          <t>UPPSALA LÄN</t>
        </is>
      </c>
      <c r="E574" t="inlineStr">
        <is>
          <t>ÖSTHAMMAR</t>
        </is>
      </c>
      <c r="G574" t="n">
        <v>1.6</v>
      </c>
      <c r="H574" t="n">
        <v>0</v>
      </c>
      <c r="I574" t="n">
        <v>0</v>
      </c>
      <c r="J574" t="n">
        <v>0</v>
      </c>
      <c r="K574" t="n">
        <v>0</v>
      </c>
      <c r="L574" t="n">
        <v>0</v>
      </c>
      <c r="M574" t="n">
        <v>0</v>
      </c>
      <c r="N574" t="n">
        <v>0</v>
      </c>
      <c r="O574" t="n">
        <v>0</v>
      </c>
      <c r="P574" t="n">
        <v>0</v>
      </c>
      <c r="Q574" t="n">
        <v>0</v>
      </c>
      <c r="R574" s="2" t="inlineStr"/>
    </row>
    <row r="575" ht="15" customHeight="1">
      <c r="A575" t="inlineStr">
        <is>
          <t>A 27350-2025</t>
        </is>
      </c>
      <c r="B575" s="1" t="n">
        <v>45812.62571759259</v>
      </c>
      <c r="C575" s="1" t="n">
        <v>45930</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27132-2025</t>
        </is>
      </c>
      <c r="B576" s="1" t="n">
        <v>45811</v>
      </c>
      <c r="C576" s="1" t="n">
        <v>45930</v>
      </c>
      <c r="D576" t="inlineStr">
        <is>
          <t>UPPSALA LÄN</t>
        </is>
      </c>
      <c r="E576" t="inlineStr">
        <is>
          <t>ÖSTHAMMAR</t>
        </is>
      </c>
      <c r="G576" t="n">
        <v>2.3</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45930</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4004-2023</t>
        </is>
      </c>
      <c r="B578" s="1" t="n">
        <v>44952</v>
      </c>
      <c r="C578" s="1" t="n">
        <v>45930</v>
      </c>
      <c r="D578" t="inlineStr">
        <is>
          <t>UPPSALA LÄN</t>
        </is>
      </c>
      <c r="E578" t="inlineStr">
        <is>
          <t>ÖSTHAMMAR</t>
        </is>
      </c>
      <c r="G578" t="n">
        <v>4.1</v>
      </c>
      <c r="H578" t="n">
        <v>0</v>
      </c>
      <c r="I578" t="n">
        <v>0</v>
      </c>
      <c r="J578" t="n">
        <v>0</v>
      </c>
      <c r="K578" t="n">
        <v>0</v>
      </c>
      <c r="L578" t="n">
        <v>0</v>
      </c>
      <c r="M578" t="n">
        <v>0</v>
      </c>
      <c r="N578" t="n">
        <v>0</v>
      </c>
      <c r="O578" t="n">
        <v>0</v>
      </c>
      <c r="P578" t="n">
        <v>0</v>
      </c>
      <c r="Q578" t="n">
        <v>0</v>
      </c>
      <c r="R578" s="2" t="inlineStr"/>
    </row>
    <row r="579" ht="15" customHeight="1">
      <c r="A579" t="inlineStr">
        <is>
          <t>A 27563-2025</t>
        </is>
      </c>
      <c r="B579" s="1" t="n">
        <v>45813.48471064815</v>
      </c>
      <c r="C579" s="1" t="n">
        <v>45930</v>
      </c>
      <c r="D579" t="inlineStr">
        <is>
          <t>UPPSALA LÄN</t>
        </is>
      </c>
      <c r="E579" t="inlineStr">
        <is>
          <t>ÖSTHAMMAR</t>
        </is>
      </c>
      <c r="F579" t="inlineStr">
        <is>
          <t>Bergvik skog öst AB</t>
        </is>
      </c>
      <c r="G579" t="n">
        <v>4</v>
      </c>
      <c r="H579" t="n">
        <v>0</v>
      </c>
      <c r="I579" t="n">
        <v>0</v>
      </c>
      <c r="J579" t="n">
        <v>0</v>
      </c>
      <c r="K579" t="n">
        <v>0</v>
      </c>
      <c r="L579" t="n">
        <v>0</v>
      </c>
      <c r="M579" t="n">
        <v>0</v>
      </c>
      <c r="N579" t="n">
        <v>0</v>
      </c>
      <c r="O579" t="n">
        <v>0</v>
      </c>
      <c r="P579" t="n">
        <v>0</v>
      </c>
      <c r="Q579" t="n">
        <v>0</v>
      </c>
      <c r="R579" s="2" t="inlineStr"/>
    </row>
    <row r="580" ht="15" customHeight="1">
      <c r="A580" t="inlineStr">
        <is>
          <t>A 27920-2025</t>
        </is>
      </c>
      <c r="B580" s="1" t="n">
        <v>45817.48454861111</v>
      </c>
      <c r="C580" s="1" t="n">
        <v>45930</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1527-2025</t>
        </is>
      </c>
      <c r="B581" s="1" t="n">
        <v>45670</v>
      </c>
      <c r="C581" s="1" t="n">
        <v>45930</v>
      </c>
      <c r="D581" t="inlineStr">
        <is>
          <t>UPPSALA LÄN</t>
        </is>
      </c>
      <c r="E581" t="inlineStr">
        <is>
          <t>ÖSTHAMMAR</t>
        </is>
      </c>
      <c r="F581" t="inlineStr">
        <is>
          <t>Bergvik skog öst AB</t>
        </is>
      </c>
      <c r="G581" t="n">
        <v>7.7</v>
      </c>
      <c r="H581" t="n">
        <v>0</v>
      </c>
      <c r="I581" t="n">
        <v>0</v>
      </c>
      <c r="J581" t="n">
        <v>0</v>
      </c>
      <c r="K581" t="n">
        <v>0</v>
      </c>
      <c r="L581" t="n">
        <v>0</v>
      </c>
      <c r="M581" t="n">
        <v>0</v>
      </c>
      <c r="N581" t="n">
        <v>0</v>
      </c>
      <c r="O581" t="n">
        <v>0</v>
      </c>
      <c r="P581" t="n">
        <v>0</v>
      </c>
      <c r="Q581" t="n">
        <v>0</v>
      </c>
      <c r="R581" s="2" t="inlineStr"/>
    </row>
    <row r="582" ht="15" customHeight="1">
      <c r="A582" t="inlineStr">
        <is>
          <t>A 35474-2023</t>
        </is>
      </c>
      <c r="B582" s="1" t="n">
        <v>45146.68921296296</v>
      </c>
      <c r="C582" s="1" t="n">
        <v>45930</v>
      </c>
      <c r="D582" t="inlineStr">
        <is>
          <t>UPPSALA LÄN</t>
        </is>
      </c>
      <c r="E582" t="inlineStr">
        <is>
          <t>ÖSTHAMMAR</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26303-2024</t>
        </is>
      </c>
      <c r="B583" s="1" t="n">
        <v>45468</v>
      </c>
      <c r="C583" s="1" t="n">
        <v>45930</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28100-2025</t>
        </is>
      </c>
      <c r="B584" s="1" t="n">
        <v>45817.83487268518</v>
      </c>
      <c r="C584" s="1" t="n">
        <v>45930</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44152-2024</t>
        </is>
      </c>
      <c r="B585" s="1" t="n">
        <v>45572</v>
      </c>
      <c r="C585" s="1" t="n">
        <v>45930</v>
      </c>
      <c r="D585" t="inlineStr">
        <is>
          <t>UPPSALA LÄN</t>
        </is>
      </c>
      <c r="E585" t="inlineStr">
        <is>
          <t>ÖSTHAMMAR</t>
        </is>
      </c>
      <c r="G585" t="n">
        <v>1.6</v>
      </c>
      <c r="H585" t="n">
        <v>0</v>
      </c>
      <c r="I585" t="n">
        <v>0</v>
      </c>
      <c r="J585" t="n">
        <v>0</v>
      </c>
      <c r="K585" t="n">
        <v>0</v>
      </c>
      <c r="L585" t="n">
        <v>0</v>
      </c>
      <c r="M585" t="n">
        <v>0</v>
      </c>
      <c r="N585" t="n">
        <v>0</v>
      </c>
      <c r="O585" t="n">
        <v>0</v>
      </c>
      <c r="P585" t="n">
        <v>0</v>
      </c>
      <c r="Q585" t="n">
        <v>0</v>
      </c>
      <c r="R585" s="2" t="inlineStr"/>
    </row>
    <row r="586" ht="15" customHeight="1">
      <c r="A586" t="inlineStr">
        <is>
          <t>A 4561-2022</t>
        </is>
      </c>
      <c r="B586" s="1" t="n">
        <v>44591.59170138889</v>
      </c>
      <c r="C586" s="1" t="n">
        <v>45930</v>
      </c>
      <c r="D586" t="inlineStr">
        <is>
          <t>UPPSALA LÄN</t>
        </is>
      </c>
      <c r="E586" t="inlineStr">
        <is>
          <t>ÖSTHAMMAR</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28099-2025</t>
        </is>
      </c>
      <c r="B587" s="1" t="n">
        <v>45817.82967592592</v>
      </c>
      <c r="C587" s="1" t="n">
        <v>45930</v>
      </c>
      <c r="D587" t="inlineStr">
        <is>
          <t>UPPSALA LÄN</t>
        </is>
      </c>
      <c r="E587" t="inlineStr">
        <is>
          <t>ÖSTHAMMAR</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17651-2025</t>
        </is>
      </c>
      <c r="B588" s="1" t="n">
        <v>45758.33304398148</v>
      </c>
      <c r="C588" s="1" t="n">
        <v>45930</v>
      </c>
      <c r="D588" t="inlineStr">
        <is>
          <t>UPPSALA LÄN</t>
        </is>
      </c>
      <c r="E588" t="inlineStr">
        <is>
          <t>ÖSTHAMMAR</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27812-2025</t>
        </is>
      </c>
      <c r="B589" s="1" t="n">
        <v>45817.32150462963</v>
      </c>
      <c r="C589" s="1" t="n">
        <v>45930</v>
      </c>
      <c r="D589" t="inlineStr">
        <is>
          <t>UPPSALA LÄN</t>
        </is>
      </c>
      <c r="E589" t="inlineStr">
        <is>
          <t>ÖSTHAMMAR</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28101-2025</t>
        </is>
      </c>
      <c r="B590" s="1" t="n">
        <v>45817.83736111111</v>
      </c>
      <c r="C590" s="1" t="n">
        <v>45930</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27919-2025</t>
        </is>
      </c>
      <c r="B591" s="1" t="n">
        <v>45817.48384259259</v>
      </c>
      <c r="C591" s="1" t="n">
        <v>45930</v>
      </c>
      <c r="D591" t="inlineStr">
        <is>
          <t>UPPSALA LÄN</t>
        </is>
      </c>
      <c r="E591" t="inlineStr">
        <is>
          <t>ÖSTHAMMAR</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27853-2025</t>
        </is>
      </c>
      <c r="B592" s="1" t="n">
        <v>45817.40178240741</v>
      </c>
      <c r="C592" s="1" t="n">
        <v>45930</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27509-2025</t>
        </is>
      </c>
      <c r="B593" s="1" t="n">
        <v>45813.4278125</v>
      </c>
      <c r="C593" s="1" t="n">
        <v>45930</v>
      </c>
      <c r="D593" t="inlineStr">
        <is>
          <t>UPPSALA LÄN</t>
        </is>
      </c>
      <c r="E593" t="inlineStr">
        <is>
          <t>ÖSTHAMMAR</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28745-2025</t>
        </is>
      </c>
      <c r="B594" s="1" t="n">
        <v>45820.39076388889</v>
      </c>
      <c r="C594" s="1" t="n">
        <v>45930</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28748-2025</t>
        </is>
      </c>
      <c r="B595" s="1" t="n">
        <v>45820.39540509259</v>
      </c>
      <c r="C595" s="1" t="n">
        <v>45930</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28442-2025</t>
        </is>
      </c>
      <c r="B596" s="1" t="n">
        <v>45819</v>
      </c>
      <c r="C596" s="1" t="n">
        <v>45930</v>
      </c>
      <c r="D596" t="inlineStr">
        <is>
          <t>UPPSALA LÄN</t>
        </is>
      </c>
      <c r="E596" t="inlineStr">
        <is>
          <t>ÖSTHAMMAR</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23728-2025</t>
        </is>
      </c>
      <c r="B597" s="1" t="n">
        <v>45793.41719907407</v>
      </c>
      <c r="C597" s="1" t="n">
        <v>45930</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28739-2025</t>
        </is>
      </c>
      <c r="B598" s="1" t="n">
        <v>45820</v>
      </c>
      <c r="C598" s="1" t="n">
        <v>45930</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27486-2025</t>
        </is>
      </c>
      <c r="B599" s="1" t="n">
        <v>45813.38521990741</v>
      </c>
      <c r="C599" s="1" t="n">
        <v>45930</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45930</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29028-2025</t>
        </is>
      </c>
      <c r="B601" s="1" t="n">
        <v>45821.4384375</v>
      </c>
      <c r="C601" s="1" t="n">
        <v>45930</v>
      </c>
      <c r="D601" t="inlineStr">
        <is>
          <t>UPPSALA LÄN</t>
        </is>
      </c>
      <c r="E601" t="inlineStr">
        <is>
          <t>ÖSTHAMMAR</t>
        </is>
      </c>
      <c r="F601" t="inlineStr">
        <is>
          <t>Bergvik skog öst AB</t>
        </is>
      </c>
      <c r="G601" t="n">
        <v>1.7</v>
      </c>
      <c r="H601" t="n">
        <v>0</v>
      </c>
      <c r="I601" t="n">
        <v>0</v>
      </c>
      <c r="J601" t="n">
        <v>0</v>
      </c>
      <c r="K601" t="n">
        <v>0</v>
      </c>
      <c r="L601" t="n">
        <v>0</v>
      </c>
      <c r="M601" t="n">
        <v>0</v>
      </c>
      <c r="N601" t="n">
        <v>0</v>
      </c>
      <c r="O601" t="n">
        <v>0</v>
      </c>
      <c r="P601" t="n">
        <v>0</v>
      </c>
      <c r="Q601" t="n">
        <v>0</v>
      </c>
      <c r="R601" s="2" t="inlineStr"/>
    </row>
    <row r="602" ht="15" customHeight="1">
      <c r="A602" t="inlineStr">
        <is>
          <t>A 29031-2025</t>
        </is>
      </c>
      <c r="B602" s="1" t="n">
        <v>45821.44159722222</v>
      </c>
      <c r="C602" s="1" t="n">
        <v>45930</v>
      </c>
      <c r="D602" t="inlineStr">
        <is>
          <t>UPPSALA LÄN</t>
        </is>
      </c>
      <c r="E602" t="inlineStr">
        <is>
          <t>ÖSTHAMMAR</t>
        </is>
      </c>
      <c r="F602" t="inlineStr">
        <is>
          <t>Bergvik skog öst AB</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27490-2025</t>
        </is>
      </c>
      <c r="B603" s="1" t="n">
        <v>45813.39273148148</v>
      </c>
      <c r="C603" s="1" t="n">
        <v>45930</v>
      </c>
      <c r="D603" t="inlineStr">
        <is>
          <t>UPPSALA LÄN</t>
        </is>
      </c>
      <c r="E603" t="inlineStr">
        <is>
          <t>ÖSTHAMMAR</t>
        </is>
      </c>
      <c r="F603" t="inlineStr">
        <is>
          <t>Bergvik skog öst AB</t>
        </is>
      </c>
      <c r="G603" t="n">
        <v>6.1</v>
      </c>
      <c r="H603" t="n">
        <v>0</v>
      </c>
      <c r="I603" t="n">
        <v>0</v>
      </c>
      <c r="J603" t="n">
        <v>0</v>
      </c>
      <c r="K603" t="n">
        <v>0</v>
      </c>
      <c r="L603" t="n">
        <v>0</v>
      </c>
      <c r="M603" t="n">
        <v>0</v>
      </c>
      <c r="N603" t="n">
        <v>0</v>
      </c>
      <c r="O603" t="n">
        <v>0</v>
      </c>
      <c r="P603" t="n">
        <v>0</v>
      </c>
      <c r="Q603" t="n">
        <v>0</v>
      </c>
      <c r="R603" s="2" t="inlineStr"/>
    </row>
    <row r="604" ht="15" customHeight="1">
      <c r="A604" t="inlineStr">
        <is>
          <t>A 27494-2025</t>
        </is>
      </c>
      <c r="B604" s="1" t="n">
        <v>45813.39756944445</v>
      </c>
      <c r="C604" s="1" t="n">
        <v>45930</v>
      </c>
      <c r="D604" t="inlineStr">
        <is>
          <t>UPPSALA LÄN</t>
        </is>
      </c>
      <c r="E604" t="inlineStr">
        <is>
          <t>ÖSTHAMMAR</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29384-2025</t>
        </is>
      </c>
      <c r="B605" s="1" t="n">
        <v>45824</v>
      </c>
      <c r="C605" s="1" t="n">
        <v>45930</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29024-2025</t>
        </is>
      </c>
      <c r="B606" s="1" t="n">
        <v>45821.43233796296</v>
      </c>
      <c r="C606" s="1" t="n">
        <v>45930</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29775-2025</t>
        </is>
      </c>
      <c r="B607" s="1" t="n">
        <v>45825.63803240741</v>
      </c>
      <c r="C607" s="1" t="n">
        <v>45930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10290-2025</t>
        </is>
      </c>
      <c r="B608" s="1" t="n">
        <v>45720.41847222222</v>
      </c>
      <c r="C608" s="1" t="n">
        <v>45930</v>
      </c>
      <c r="D608" t="inlineStr">
        <is>
          <t>UPPSALA LÄN</t>
        </is>
      </c>
      <c r="E608" t="inlineStr">
        <is>
          <t>ÖSTHAMMAR</t>
        </is>
      </c>
      <c r="G608" t="n">
        <v>8.6</v>
      </c>
      <c r="H608" t="n">
        <v>0</v>
      </c>
      <c r="I608" t="n">
        <v>0</v>
      </c>
      <c r="J608" t="n">
        <v>0</v>
      </c>
      <c r="K608" t="n">
        <v>0</v>
      </c>
      <c r="L608" t="n">
        <v>0</v>
      </c>
      <c r="M608" t="n">
        <v>0</v>
      </c>
      <c r="N608" t="n">
        <v>0</v>
      </c>
      <c r="O608" t="n">
        <v>0</v>
      </c>
      <c r="P608" t="n">
        <v>0</v>
      </c>
      <c r="Q608" t="n">
        <v>0</v>
      </c>
      <c r="R608" s="2" t="inlineStr"/>
    </row>
    <row r="609" ht="15" customHeight="1">
      <c r="A609" t="inlineStr">
        <is>
          <t>A 45102-2024</t>
        </is>
      </c>
      <c r="B609" s="1" t="n">
        <v>45575.58836805556</v>
      </c>
      <c r="C609" s="1" t="n">
        <v>45930</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45307-2023</t>
        </is>
      </c>
      <c r="B610" s="1" t="n">
        <v>45191</v>
      </c>
      <c r="C610" s="1" t="n">
        <v>45930</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6661-2024</t>
        </is>
      </c>
      <c r="B611" s="1" t="n">
        <v>45341.70582175926</v>
      </c>
      <c r="C611" s="1" t="n">
        <v>45930</v>
      </c>
      <c r="D611" t="inlineStr">
        <is>
          <t>UPPSALA LÄN</t>
        </is>
      </c>
      <c r="E611" t="inlineStr">
        <is>
          <t>ÖSTHAMMAR</t>
        </is>
      </c>
      <c r="G611" t="n">
        <v>0.2</v>
      </c>
      <c r="H611" t="n">
        <v>0</v>
      </c>
      <c r="I611" t="n">
        <v>0</v>
      </c>
      <c r="J611" t="n">
        <v>0</v>
      </c>
      <c r="K611" t="n">
        <v>0</v>
      </c>
      <c r="L611" t="n">
        <v>0</v>
      </c>
      <c r="M611" t="n">
        <v>0</v>
      </c>
      <c r="N611" t="n">
        <v>0</v>
      </c>
      <c r="O611" t="n">
        <v>0</v>
      </c>
      <c r="P611" t="n">
        <v>0</v>
      </c>
      <c r="Q611" t="n">
        <v>0</v>
      </c>
      <c r="R611" s="2" t="inlineStr"/>
    </row>
    <row r="612" ht="15" customHeight="1">
      <c r="A612" t="inlineStr">
        <is>
          <t>A 30244-2025</t>
        </is>
      </c>
      <c r="B612" s="1" t="n">
        <v>45827.40902777778</v>
      </c>
      <c r="C612" s="1" t="n">
        <v>45930</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4101-2022</t>
        </is>
      </c>
      <c r="B613" s="1" t="n">
        <v>44588</v>
      </c>
      <c r="C613" s="1" t="n">
        <v>45930</v>
      </c>
      <c r="D613" t="inlineStr">
        <is>
          <t>UPPSALA LÄN</t>
        </is>
      </c>
      <c r="E613" t="inlineStr">
        <is>
          <t>ÖSTHAMMAR</t>
        </is>
      </c>
      <c r="G613" t="n">
        <v>4.4</v>
      </c>
      <c r="H613" t="n">
        <v>0</v>
      </c>
      <c r="I613" t="n">
        <v>0</v>
      </c>
      <c r="J613" t="n">
        <v>0</v>
      </c>
      <c r="K613" t="n">
        <v>0</v>
      </c>
      <c r="L613" t="n">
        <v>0</v>
      </c>
      <c r="M613" t="n">
        <v>0</v>
      </c>
      <c r="N613" t="n">
        <v>0</v>
      </c>
      <c r="O613" t="n">
        <v>0</v>
      </c>
      <c r="P613" t="n">
        <v>0</v>
      </c>
      <c r="Q613" t="n">
        <v>0</v>
      </c>
      <c r="R613" s="2" t="inlineStr"/>
    </row>
    <row r="614" ht="15" customHeight="1">
      <c r="A614" t="inlineStr">
        <is>
          <t>A 30504-2025</t>
        </is>
      </c>
      <c r="B614" s="1" t="n">
        <v>45830.8558912037</v>
      </c>
      <c r="C614" s="1" t="n">
        <v>45930</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52478-2024</t>
        </is>
      </c>
      <c r="B615" s="1" t="n">
        <v>45609.55065972222</v>
      </c>
      <c r="C615" s="1" t="n">
        <v>45930</v>
      </c>
      <c r="D615" t="inlineStr">
        <is>
          <t>UPPSALA LÄN</t>
        </is>
      </c>
      <c r="E615" t="inlineStr">
        <is>
          <t>ÖSTHAMMAR</t>
        </is>
      </c>
      <c r="G615" t="n">
        <v>0.7</v>
      </c>
      <c r="H615" t="n">
        <v>0</v>
      </c>
      <c r="I615" t="n">
        <v>0</v>
      </c>
      <c r="J615" t="n">
        <v>0</v>
      </c>
      <c r="K615" t="n">
        <v>0</v>
      </c>
      <c r="L615" t="n">
        <v>0</v>
      </c>
      <c r="M615" t="n">
        <v>0</v>
      </c>
      <c r="N615" t="n">
        <v>0</v>
      </c>
      <c r="O615" t="n">
        <v>0</v>
      </c>
      <c r="P615" t="n">
        <v>0</v>
      </c>
      <c r="Q615" t="n">
        <v>0</v>
      </c>
      <c r="R615" s="2" t="inlineStr"/>
    </row>
    <row r="616" ht="15" customHeight="1">
      <c r="A616" t="inlineStr">
        <is>
          <t>A 5933-2022</t>
        </is>
      </c>
      <c r="B616" s="1" t="n">
        <v>44598.82957175926</v>
      </c>
      <c r="C616" s="1" t="n">
        <v>45930</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30503-2025</t>
        </is>
      </c>
      <c r="B617" s="1" t="n">
        <v>45830.8500462963</v>
      </c>
      <c r="C617" s="1" t="n">
        <v>45930</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29873-2023</t>
        </is>
      </c>
      <c r="B618" s="1" t="n">
        <v>45107</v>
      </c>
      <c r="C618" s="1" t="n">
        <v>45930</v>
      </c>
      <c r="D618" t="inlineStr">
        <is>
          <t>UPPSALA LÄN</t>
        </is>
      </c>
      <c r="E618" t="inlineStr">
        <is>
          <t>ÖSTHAMMAR</t>
        </is>
      </c>
      <c r="F618" t="inlineStr">
        <is>
          <t>Naturvårdsverket</t>
        </is>
      </c>
      <c r="G618" t="n">
        <v>7.8</v>
      </c>
      <c r="H618" t="n">
        <v>0</v>
      </c>
      <c r="I618" t="n">
        <v>0</v>
      </c>
      <c r="J618" t="n">
        <v>0</v>
      </c>
      <c r="K618" t="n">
        <v>0</v>
      </c>
      <c r="L618" t="n">
        <v>0</v>
      </c>
      <c r="M618" t="n">
        <v>0</v>
      </c>
      <c r="N618" t="n">
        <v>0</v>
      </c>
      <c r="O618" t="n">
        <v>0</v>
      </c>
      <c r="P618" t="n">
        <v>0</v>
      </c>
      <c r="Q618" t="n">
        <v>0</v>
      </c>
      <c r="R618" s="2" t="inlineStr"/>
    </row>
    <row r="619" ht="15" customHeight="1">
      <c r="A619" t="inlineStr">
        <is>
          <t>A 13279-2022</t>
        </is>
      </c>
      <c r="B619" s="1" t="n">
        <v>44644</v>
      </c>
      <c r="C619" s="1" t="n">
        <v>45930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30610-2025</t>
        </is>
      </c>
      <c r="B620" s="1" t="n">
        <v>45831.45965277778</v>
      </c>
      <c r="C620" s="1" t="n">
        <v>45930</v>
      </c>
      <c r="D620" t="inlineStr">
        <is>
          <t>UPPSALA LÄN</t>
        </is>
      </c>
      <c r="E620" t="inlineStr">
        <is>
          <t>ÖSTHAMMAR</t>
        </is>
      </c>
      <c r="G620" t="n">
        <v>0.2</v>
      </c>
      <c r="H620" t="n">
        <v>0</v>
      </c>
      <c r="I620" t="n">
        <v>0</v>
      </c>
      <c r="J620" t="n">
        <v>0</v>
      </c>
      <c r="K620" t="n">
        <v>0</v>
      </c>
      <c r="L620" t="n">
        <v>0</v>
      </c>
      <c r="M620" t="n">
        <v>0</v>
      </c>
      <c r="N620" t="n">
        <v>0</v>
      </c>
      <c r="O620" t="n">
        <v>0</v>
      </c>
      <c r="P620" t="n">
        <v>0</v>
      </c>
      <c r="Q620" t="n">
        <v>0</v>
      </c>
      <c r="R620" s="2" t="inlineStr"/>
    </row>
    <row r="621" ht="15" customHeight="1">
      <c r="A621" t="inlineStr">
        <is>
          <t>A 6892-2022</t>
        </is>
      </c>
      <c r="B621" s="1" t="n">
        <v>44602</v>
      </c>
      <c r="C621" s="1" t="n">
        <v>45930</v>
      </c>
      <c r="D621" t="inlineStr">
        <is>
          <t>UPPSALA LÄN</t>
        </is>
      </c>
      <c r="E621" t="inlineStr">
        <is>
          <t>ÖSTHAMMAR</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31579-2025</t>
        </is>
      </c>
      <c r="B622" s="1" t="n">
        <v>45833.68211805556</v>
      </c>
      <c r="C622" s="1" t="n">
        <v>45930</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31360-2025</t>
        </is>
      </c>
      <c r="B623" s="1" t="n">
        <v>45833.43527777777</v>
      </c>
      <c r="C623" s="1" t="n">
        <v>45930</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55389-2020</t>
        </is>
      </c>
      <c r="B624" s="1" t="n">
        <v>44131.38030092593</v>
      </c>
      <c r="C624" s="1" t="n">
        <v>45930</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45930</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31896-2025</t>
        </is>
      </c>
      <c r="B626" s="1" t="n">
        <v>45834.67556712963</v>
      </c>
      <c r="C626" s="1" t="n">
        <v>45930</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13044-2022</t>
        </is>
      </c>
      <c r="B627" s="1" t="n">
        <v>44643</v>
      </c>
      <c r="C627" s="1" t="n">
        <v>45930</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8763-2025</t>
        </is>
      </c>
      <c r="B628" s="1" t="n">
        <v>45712.57872685185</v>
      </c>
      <c r="C628" s="1" t="n">
        <v>45930</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31977-2025</t>
        </is>
      </c>
      <c r="B629" s="1" t="n">
        <v>45835.3554050926</v>
      </c>
      <c r="C629" s="1" t="n">
        <v>45930</v>
      </c>
      <c r="D629" t="inlineStr">
        <is>
          <t>UPPSALA LÄN</t>
        </is>
      </c>
      <c r="E629" t="inlineStr">
        <is>
          <t>ÖSTHAMMAR</t>
        </is>
      </c>
      <c r="F629" t="inlineStr">
        <is>
          <t>Övriga Aktiebolag</t>
        </is>
      </c>
      <c r="G629" t="n">
        <v>35.3</v>
      </c>
      <c r="H629" t="n">
        <v>0</v>
      </c>
      <c r="I629" t="n">
        <v>0</v>
      </c>
      <c r="J629" t="n">
        <v>0</v>
      </c>
      <c r="K629" t="n">
        <v>0</v>
      </c>
      <c r="L629" t="n">
        <v>0</v>
      </c>
      <c r="M629" t="n">
        <v>0</v>
      </c>
      <c r="N629" t="n">
        <v>0</v>
      </c>
      <c r="O629" t="n">
        <v>0</v>
      </c>
      <c r="P629" t="n">
        <v>0</v>
      </c>
      <c r="Q629" t="n">
        <v>0</v>
      </c>
      <c r="R629" s="2" t="inlineStr"/>
    </row>
    <row r="630" ht="15" customHeight="1">
      <c r="A630" t="inlineStr">
        <is>
          <t>A 31956-2025</t>
        </is>
      </c>
      <c r="B630" s="1" t="n">
        <v>45835.34184027778</v>
      </c>
      <c r="C630" s="1" t="n">
        <v>45930</v>
      </c>
      <c r="D630" t="inlineStr">
        <is>
          <t>UPPSALA LÄN</t>
        </is>
      </c>
      <c r="E630" t="inlineStr">
        <is>
          <t>ÖSTHAMMAR</t>
        </is>
      </c>
      <c r="F630" t="inlineStr">
        <is>
          <t>Övriga Aktiebolag</t>
        </is>
      </c>
      <c r="G630" t="n">
        <v>4.2</v>
      </c>
      <c r="H630" t="n">
        <v>0</v>
      </c>
      <c r="I630" t="n">
        <v>0</v>
      </c>
      <c r="J630" t="n">
        <v>0</v>
      </c>
      <c r="K630" t="n">
        <v>0</v>
      </c>
      <c r="L630" t="n">
        <v>0</v>
      </c>
      <c r="M630" t="n">
        <v>0</v>
      </c>
      <c r="N630" t="n">
        <v>0</v>
      </c>
      <c r="O630" t="n">
        <v>0</v>
      </c>
      <c r="P630" t="n">
        <v>0</v>
      </c>
      <c r="Q630" t="n">
        <v>0</v>
      </c>
      <c r="R630" s="2" t="inlineStr"/>
    </row>
    <row r="631" ht="15" customHeight="1">
      <c r="A631" t="inlineStr">
        <is>
          <t>A 8623-2025</t>
        </is>
      </c>
      <c r="B631" s="1" t="n">
        <v>45711.51902777778</v>
      </c>
      <c r="C631" s="1" t="n">
        <v>45930</v>
      </c>
      <c r="D631" t="inlineStr">
        <is>
          <t>UPPSALA LÄN</t>
        </is>
      </c>
      <c r="E631" t="inlineStr">
        <is>
          <t>ÖSTHAMMAR</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8626-2025</t>
        </is>
      </c>
      <c r="B632" s="1" t="n">
        <v>45711.53565972222</v>
      </c>
      <c r="C632" s="1" t="n">
        <v>45930</v>
      </c>
      <c r="D632" t="inlineStr">
        <is>
          <t>UPPSALA LÄN</t>
        </is>
      </c>
      <c r="E632" t="inlineStr">
        <is>
          <t>ÖSTHAMMAR</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33048-2025</t>
        </is>
      </c>
      <c r="B633" s="1" t="n">
        <v>45840.41451388889</v>
      </c>
      <c r="C633" s="1" t="n">
        <v>45930</v>
      </c>
      <c r="D633" t="inlineStr">
        <is>
          <t>UPPSALA LÄN</t>
        </is>
      </c>
      <c r="E633" t="inlineStr">
        <is>
          <t>ÖSTHAMMAR</t>
        </is>
      </c>
      <c r="G633" t="n">
        <v>1.8</v>
      </c>
      <c r="H633" t="n">
        <v>0</v>
      </c>
      <c r="I633" t="n">
        <v>0</v>
      </c>
      <c r="J633" t="n">
        <v>0</v>
      </c>
      <c r="K633" t="n">
        <v>0</v>
      </c>
      <c r="L633" t="n">
        <v>0</v>
      </c>
      <c r="M633" t="n">
        <v>0</v>
      </c>
      <c r="N633" t="n">
        <v>0</v>
      </c>
      <c r="O633" t="n">
        <v>0</v>
      </c>
      <c r="P633" t="n">
        <v>0</v>
      </c>
      <c r="Q633" t="n">
        <v>0</v>
      </c>
      <c r="R633" s="2" t="inlineStr"/>
    </row>
    <row r="634" ht="15" customHeight="1">
      <c r="A634" t="inlineStr">
        <is>
          <t>A 27476-2025</t>
        </is>
      </c>
      <c r="B634" s="1" t="n">
        <v>45813.37517361111</v>
      </c>
      <c r="C634" s="1" t="n">
        <v>45930</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33271-2025</t>
        </is>
      </c>
      <c r="B635" s="1" t="n">
        <v>45840.68381944444</v>
      </c>
      <c r="C635" s="1" t="n">
        <v>45930</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32718-2025</t>
        </is>
      </c>
      <c r="B636" s="1" t="n">
        <v>45839.37740740741</v>
      </c>
      <c r="C636" s="1" t="n">
        <v>45930</v>
      </c>
      <c r="D636" t="inlineStr">
        <is>
          <t>UPPSALA LÄN</t>
        </is>
      </c>
      <c r="E636" t="inlineStr">
        <is>
          <t>ÖSTHAMMAR</t>
        </is>
      </c>
      <c r="G636" t="n">
        <v>10.4</v>
      </c>
      <c r="H636" t="n">
        <v>0</v>
      </c>
      <c r="I636" t="n">
        <v>0</v>
      </c>
      <c r="J636" t="n">
        <v>0</v>
      </c>
      <c r="K636" t="n">
        <v>0</v>
      </c>
      <c r="L636" t="n">
        <v>0</v>
      </c>
      <c r="M636" t="n">
        <v>0</v>
      </c>
      <c r="N636" t="n">
        <v>0</v>
      </c>
      <c r="O636" t="n">
        <v>0</v>
      </c>
      <c r="P636" t="n">
        <v>0</v>
      </c>
      <c r="Q636" t="n">
        <v>0</v>
      </c>
      <c r="R636" s="2" t="inlineStr"/>
    </row>
    <row r="637" ht="15" customHeight="1">
      <c r="A637" t="inlineStr">
        <is>
          <t>A 33529-2025</t>
        </is>
      </c>
      <c r="B637" s="1" t="n">
        <v>45841.55199074074</v>
      </c>
      <c r="C637" s="1" t="n">
        <v>45930</v>
      </c>
      <c r="D637" t="inlineStr">
        <is>
          <t>UPPSALA LÄN</t>
        </is>
      </c>
      <c r="E637" t="inlineStr">
        <is>
          <t>ÖSTHAMMAR</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33927-2025</t>
        </is>
      </c>
      <c r="B638" s="1" t="n">
        <v>45842.62363425926</v>
      </c>
      <c r="C638" s="1" t="n">
        <v>45930</v>
      </c>
      <c r="D638" t="inlineStr">
        <is>
          <t>UPPSALA LÄN</t>
        </is>
      </c>
      <c r="E638" t="inlineStr">
        <is>
          <t>ÖSTHAMMAR</t>
        </is>
      </c>
      <c r="G638" t="n">
        <v>3.5</v>
      </c>
      <c r="H638" t="n">
        <v>0</v>
      </c>
      <c r="I638" t="n">
        <v>0</v>
      </c>
      <c r="J638" t="n">
        <v>0</v>
      </c>
      <c r="K638" t="n">
        <v>0</v>
      </c>
      <c r="L638" t="n">
        <v>0</v>
      </c>
      <c r="M638" t="n">
        <v>0</v>
      </c>
      <c r="N638" t="n">
        <v>0</v>
      </c>
      <c r="O638" t="n">
        <v>0</v>
      </c>
      <c r="P638" t="n">
        <v>0</v>
      </c>
      <c r="Q638" t="n">
        <v>0</v>
      </c>
      <c r="R638" s="2" t="inlineStr"/>
    </row>
    <row r="639" ht="15" customHeight="1">
      <c r="A639" t="inlineStr">
        <is>
          <t>A 52694-2023</t>
        </is>
      </c>
      <c r="B639" s="1" t="n">
        <v>45225.76836805556</v>
      </c>
      <c r="C639" s="1" t="n">
        <v>45930</v>
      </c>
      <c r="D639" t="inlineStr">
        <is>
          <t>UPPSALA LÄN</t>
        </is>
      </c>
      <c r="E639" t="inlineStr">
        <is>
          <t>ÖSTHAMMAR</t>
        </is>
      </c>
      <c r="G639" t="n">
        <v>0.8</v>
      </c>
      <c r="H639" t="n">
        <v>0</v>
      </c>
      <c r="I639" t="n">
        <v>0</v>
      </c>
      <c r="J639" t="n">
        <v>0</v>
      </c>
      <c r="K639" t="n">
        <v>0</v>
      </c>
      <c r="L639" t="n">
        <v>0</v>
      </c>
      <c r="M639" t="n">
        <v>0</v>
      </c>
      <c r="N639" t="n">
        <v>0</v>
      </c>
      <c r="O639" t="n">
        <v>0</v>
      </c>
      <c r="P639" t="n">
        <v>0</v>
      </c>
      <c r="Q639" t="n">
        <v>0</v>
      </c>
      <c r="R639" s="2" t="inlineStr"/>
    </row>
    <row r="640" ht="15" customHeight="1">
      <c r="A640" t="inlineStr">
        <is>
          <t>A 33973-2025</t>
        </is>
      </c>
      <c r="B640" s="1" t="n">
        <v>45842.98429398148</v>
      </c>
      <c r="C640" s="1" t="n">
        <v>45930</v>
      </c>
      <c r="D640" t="inlineStr">
        <is>
          <t>UPPSALA LÄN</t>
        </is>
      </c>
      <c r="E640" t="inlineStr">
        <is>
          <t>ÖSTHAMMAR</t>
        </is>
      </c>
      <c r="G640" t="n">
        <v>1.9</v>
      </c>
      <c r="H640" t="n">
        <v>0</v>
      </c>
      <c r="I640" t="n">
        <v>0</v>
      </c>
      <c r="J640" t="n">
        <v>0</v>
      </c>
      <c r="K640" t="n">
        <v>0</v>
      </c>
      <c r="L640" t="n">
        <v>0</v>
      </c>
      <c r="M640" t="n">
        <v>0</v>
      </c>
      <c r="N640" t="n">
        <v>0</v>
      </c>
      <c r="O640" t="n">
        <v>0</v>
      </c>
      <c r="P640" t="n">
        <v>0</v>
      </c>
      <c r="Q640" t="n">
        <v>0</v>
      </c>
      <c r="R640" s="2" t="inlineStr"/>
    </row>
    <row r="641" ht="15" customHeight="1">
      <c r="A641" t="inlineStr">
        <is>
          <t>A 5303-2025</t>
        </is>
      </c>
      <c r="B641" s="1" t="n">
        <v>45692</v>
      </c>
      <c r="C641" s="1" t="n">
        <v>45930</v>
      </c>
      <c r="D641" t="inlineStr">
        <is>
          <t>UPPSALA LÄN</t>
        </is>
      </c>
      <c r="E641" t="inlineStr">
        <is>
          <t>ÖSTHAMMAR</t>
        </is>
      </c>
      <c r="G641" t="n">
        <v>5</v>
      </c>
      <c r="H641" t="n">
        <v>0</v>
      </c>
      <c r="I641" t="n">
        <v>0</v>
      </c>
      <c r="J641" t="n">
        <v>0</v>
      </c>
      <c r="K641" t="n">
        <v>0</v>
      </c>
      <c r="L641" t="n">
        <v>0</v>
      </c>
      <c r="M641" t="n">
        <v>0</v>
      </c>
      <c r="N641" t="n">
        <v>0</v>
      </c>
      <c r="O641" t="n">
        <v>0</v>
      </c>
      <c r="P641" t="n">
        <v>0</v>
      </c>
      <c r="Q641" t="n">
        <v>0</v>
      </c>
      <c r="R641" s="2" t="inlineStr"/>
    </row>
    <row r="642" ht="15" customHeight="1">
      <c r="A642" t="inlineStr">
        <is>
          <t>A 33972-2025</t>
        </is>
      </c>
      <c r="B642" s="1" t="n">
        <v>45842.97236111111</v>
      </c>
      <c r="C642" s="1" t="n">
        <v>45930</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row>
    <row r="643" ht="15" customHeight="1">
      <c r="A643" t="inlineStr">
        <is>
          <t>A 24493-2023</t>
        </is>
      </c>
      <c r="B643" s="1" t="n">
        <v>45082.62603009259</v>
      </c>
      <c r="C643" s="1" t="n">
        <v>45930</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26395-2025</t>
        </is>
      </c>
      <c r="B644" s="1" t="n">
        <v>45807</v>
      </c>
      <c r="C644" s="1" t="n">
        <v>45930</v>
      </c>
      <c r="D644" t="inlineStr">
        <is>
          <t>UPPSALA LÄN</t>
        </is>
      </c>
      <c r="E644" t="inlineStr">
        <is>
          <t>ÖSTHAMMAR</t>
        </is>
      </c>
      <c r="G644" t="n">
        <v>7</v>
      </c>
      <c r="H644" t="n">
        <v>0</v>
      </c>
      <c r="I644" t="n">
        <v>0</v>
      </c>
      <c r="J644" t="n">
        <v>0</v>
      </c>
      <c r="K644" t="n">
        <v>0</v>
      </c>
      <c r="L644" t="n">
        <v>0</v>
      </c>
      <c r="M644" t="n">
        <v>0</v>
      </c>
      <c r="N644" t="n">
        <v>0</v>
      </c>
      <c r="O644" t="n">
        <v>0</v>
      </c>
      <c r="P644" t="n">
        <v>0</v>
      </c>
      <c r="Q644" t="n">
        <v>0</v>
      </c>
      <c r="R644" s="2" t="inlineStr"/>
    </row>
    <row r="645" ht="15" customHeight="1">
      <c r="A645" t="inlineStr">
        <is>
          <t>A 34742-2022</t>
        </is>
      </c>
      <c r="B645" s="1" t="n">
        <v>44795.61990740741</v>
      </c>
      <c r="C645" s="1" t="n">
        <v>45930</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13622-2025</t>
        </is>
      </c>
      <c r="B646" s="1" t="n">
        <v>45736</v>
      </c>
      <c r="C646" s="1" t="n">
        <v>45930</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46399-2023</t>
        </is>
      </c>
      <c r="B647" s="1" t="n">
        <v>45197.49262731482</v>
      </c>
      <c r="C647" s="1" t="n">
        <v>45930</v>
      </c>
      <c r="D647" t="inlineStr">
        <is>
          <t>UPPSALA LÄN</t>
        </is>
      </c>
      <c r="E647" t="inlineStr">
        <is>
          <t>ÖSTHAMMAR</t>
        </is>
      </c>
      <c r="G647" t="n">
        <v>5.8</v>
      </c>
      <c r="H647" t="n">
        <v>0</v>
      </c>
      <c r="I647" t="n">
        <v>0</v>
      </c>
      <c r="J647" t="n">
        <v>0</v>
      </c>
      <c r="K647" t="n">
        <v>0</v>
      </c>
      <c r="L647" t="n">
        <v>0</v>
      </c>
      <c r="M647" t="n">
        <v>0</v>
      </c>
      <c r="N647" t="n">
        <v>0</v>
      </c>
      <c r="O647" t="n">
        <v>0</v>
      </c>
      <c r="P647" t="n">
        <v>0</v>
      </c>
      <c r="Q647" t="n">
        <v>0</v>
      </c>
      <c r="R647" s="2" t="inlineStr"/>
    </row>
    <row r="648" ht="15" customHeight="1">
      <c r="A648" t="inlineStr">
        <is>
          <t>A 13358-2024</t>
        </is>
      </c>
      <c r="B648" s="1" t="n">
        <v>45387.3503125</v>
      </c>
      <c r="C648" s="1" t="n">
        <v>45930</v>
      </c>
      <c r="D648" t="inlineStr">
        <is>
          <t>UPPSALA LÄN</t>
        </is>
      </c>
      <c r="E648" t="inlineStr">
        <is>
          <t>ÖSTHAMMAR</t>
        </is>
      </c>
      <c r="G648" t="n">
        <v>2.2</v>
      </c>
      <c r="H648" t="n">
        <v>0</v>
      </c>
      <c r="I648" t="n">
        <v>0</v>
      </c>
      <c r="J648" t="n">
        <v>0</v>
      </c>
      <c r="K648" t="n">
        <v>0</v>
      </c>
      <c r="L648" t="n">
        <v>0</v>
      </c>
      <c r="M648" t="n">
        <v>0</v>
      </c>
      <c r="N648" t="n">
        <v>0</v>
      </c>
      <c r="O648" t="n">
        <v>0</v>
      </c>
      <c r="P648" t="n">
        <v>0</v>
      </c>
      <c r="Q648" t="n">
        <v>0</v>
      </c>
      <c r="R648" s="2" t="inlineStr"/>
    </row>
    <row r="649" ht="15" customHeight="1">
      <c r="A649" t="inlineStr">
        <is>
          <t>A 55079-2024</t>
        </is>
      </c>
      <c r="B649" s="1" t="n">
        <v>45621.42747685185</v>
      </c>
      <c r="C649" s="1" t="n">
        <v>45930</v>
      </c>
      <c r="D649" t="inlineStr">
        <is>
          <t>UPPSALA LÄN</t>
        </is>
      </c>
      <c r="E649" t="inlineStr">
        <is>
          <t>ÖSTHAMMAR</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36873-2022</t>
        </is>
      </c>
      <c r="B650" s="1" t="n">
        <v>44805.63708333333</v>
      </c>
      <c r="C650" s="1" t="n">
        <v>45930</v>
      </c>
      <c r="D650" t="inlineStr">
        <is>
          <t>UPPSALA LÄN</t>
        </is>
      </c>
      <c r="E650" t="inlineStr">
        <is>
          <t>ÖSTHAMMAR</t>
        </is>
      </c>
      <c r="G650" t="n">
        <v>2.5</v>
      </c>
      <c r="H650" t="n">
        <v>0</v>
      </c>
      <c r="I650" t="n">
        <v>0</v>
      </c>
      <c r="J650" t="n">
        <v>0</v>
      </c>
      <c r="K650" t="n">
        <v>0</v>
      </c>
      <c r="L650" t="n">
        <v>0</v>
      </c>
      <c r="M650" t="n">
        <v>0</v>
      </c>
      <c r="N650" t="n">
        <v>0</v>
      </c>
      <c r="O650" t="n">
        <v>0</v>
      </c>
      <c r="P650" t="n">
        <v>0</v>
      </c>
      <c r="Q650" t="n">
        <v>0</v>
      </c>
      <c r="R650" s="2" t="inlineStr"/>
    </row>
    <row r="651" ht="15" customHeight="1">
      <c r="A651" t="inlineStr">
        <is>
          <t>A 53733-2023</t>
        </is>
      </c>
      <c r="B651" s="1" t="n">
        <v>45230.76862268519</v>
      </c>
      <c r="C651" s="1" t="n">
        <v>45930</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53735-2023</t>
        </is>
      </c>
      <c r="B652" s="1" t="n">
        <v>45230.77258101852</v>
      </c>
      <c r="C652" s="1" t="n">
        <v>45930</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21522-2022</t>
        </is>
      </c>
      <c r="B653" s="1" t="n">
        <v>44706</v>
      </c>
      <c r="C653" s="1" t="n">
        <v>45930</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14187-2022</t>
        </is>
      </c>
      <c r="B654" s="1" t="n">
        <v>44651.5625</v>
      </c>
      <c r="C654" s="1" t="n">
        <v>45930</v>
      </c>
      <c r="D654" t="inlineStr">
        <is>
          <t>UPPSALA LÄN</t>
        </is>
      </c>
      <c r="E654" t="inlineStr">
        <is>
          <t>ÖSTHAMMAR</t>
        </is>
      </c>
      <c r="F654" t="inlineStr">
        <is>
          <t>Övriga Aktiebolag</t>
        </is>
      </c>
      <c r="G654" t="n">
        <v>14.1</v>
      </c>
      <c r="H654" t="n">
        <v>0</v>
      </c>
      <c r="I654" t="n">
        <v>0</v>
      </c>
      <c r="J654" t="n">
        <v>0</v>
      </c>
      <c r="K654" t="n">
        <v>0</v>
      </c>
      <c r="L654" t="n">
        <v>0</v>
      </c>
      <c r="M654" t="n">
        <v>0</v>
      </c>
      <c r="N654" t="n">
        <v>0</v>
      </c>
      <c r="O654" t="n">
        <v>0</v>
      </c>
      <c r="P654" t="n">
        <v>0</v>
      </c>
      <c r="Q654" t="n">
        <v>0</v>
      </c>
      <c r="R654" s="2" t="inlineStr"/>
    </row>
    <row r="655" ht="15" customHeight="1">
      <c r="A655" t="inlineStr">
        <is>
          <t>A 7997-2022</t>
        </is>
      </c>
      <c r="B655" s="1" t="n">
        <v>44609</v>
      </c>
      <c r="C655" s="1" t="n">
        <v>45930</v>
      </c>
      <c r="D655" t="inlineStr">
        <is>
          <t>UPPSALA LÄN</t>
        </is>
      </c>
      <c r="E655" t="inlineStr">
        <is>
          <t>ÖSTHAMMAR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4676-2025</t>
        </is>
      </c>
      <c r="B656" s="1" t="n">
        <v>45687.8313425926</v>
      </c>
      <c r="C656" s="1" t="n">
        <v>45930</v>
      </c>
      <c r="D656" t="inlineStr">
        <is>
          <t>UPPSALA LÄN</t>
        </is>
      </c>
      <c r="E656" t="inlineStr">
        <is>
          <t>ÖSTHAMMAR</t>
        </is>
      </c>
      <c r="G656" t="n">
        <v>3.7</v>
      </c>
      <c r="H656" t="n">
        <v>0</v>
      </c>
      <c r="I656" t="n">
        <v>0</v>
      </c>
      <c r="J656" t="n">
        <v>0</v>
      </c>
      <c r="K656" t="n">
        <v>0</v>
      </c>
      <c r="L656" t="n">
        <v>0</v>
      </c>
      <c r="M656" t="n">
        <v>0</v>
      </c>
      <c r="N656" t="n">
        <v>0</v>
      </c>
      <c r="O656" t="n">
        <v>0</v>
      </c>
      <c r="P656" t="n">
        <v>0</v>
      </c>
      <c r="Q656" t="n">
        <v>0</v>
      </c>
      <c r="R656" s="2" t="inlineStr"/>
    </row>
    <row r="657" ht="15" customHeight="1">
      <c r="A657" t="inlineStr">
        <is>
          <t>A 38886-2025</t>
        </is>
      </c>
      <c r="B657" s="1" t="n">
        <v>45887.58370370371</v>
      </c>
      <c r="C657" s="1" t="n">
        <v>45930</v>
      </c>
      <c r="D657" t="inlineStr">
        <is>
          <t>UPPSALA LÄN</t>
        </is>
      </c>
      <c r="E657" t="inlineStr">
        <is>
          <t>ÖSTHAMMAR</t>
        </is>
      </c>
      <c r="F657" t="inlineStr">
        <is>
          <t>Bergvik skog öst AB</t>
        </is>
      </c>
      <c r="G657" t="n">
        <v>4.7</v>
      </c>
      <c r="H657" t="n">
        <v>0</v>
      </c>
      <c r="I657" t="n">
        <v>0</v>
      </c>
      <c r="J657" t="n">
        <v>0</v>
      </c>
      <c r="K657" t="n">
        <v>0</v>
      </c>
      <c r="L657" t="n">
        <v>0</v>
      </c>
      <c r="M657" t="n">
        <v>0</v>
      </c>
      <c r="N657" t="n">
        <v>0</v>
      </c>
      <c r="O657" t="n">
        <v>0</v>
      </c>
      <c r="P657" t="n">
        <v>0</v>
      </c>
      <c r="Q657" t="n">
        <v>0</v>
      </c>
      <c r="R657" s="2" t="inlineStr"/>
    </row>
    <row r="658" ht="15" customHeight="1">
      <c r="A658" t="inlineStr">
        <is>
          <t>A 10117-2025</t>
        </is>
      </c>
      <c r="B658" s="1" t="n">
        <v>45719.59866898148</v>
      </c>
      <c r="C658" s="1" t="n">
        <v>45930</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40044-2025</t>
        </is>
      </c>
      <c r="B659" s="1" t="n">
        <v>45894.40133101852</v>
      </c>
      <c r="C659" s="1" t="n">
        <v>45930</v>
      </c>
      <c r="D659" t="inlineStr">
        <is>
          <t>UPPSALA LÄN</t>
        </is>
      </c>
      <c r="E659" t="inlineStr">
        <is>
          <t>ÖSTHAMMAR</t>
        </is>
      </c>
      <c r="F659" t="inlineStr">
        <is>
          <t>Kyrkan</t>
        </is>
      </c>
      <c r="G659" t="n">
        <v>8.9</v>
      </c>
      <c r="H659" t="n">
        <v>0</v>
      </c>
      <c r="I659" t="n">
        <v>0</v>
      </c>
      <c r="J659" t="n">
        <v>0</v>
      </c>
      <c r="K659" t="n">
        <v>0</v>
      </c>
      <c r="L659" t="n">
        <v>0</v>
      </c>
      <c r="M659" t="n">
        <v>0</v>
      </c>
      <c r="N659" t="n">
        <v>0</v>
      </c>
      <c r="O659" t="n">
        <v>0</v>
      </c>
      <c r="P659" t="n">
        <v>0</v>
      </c>
      <c r="Q659" t="n">
        <v>0</v>
      </c>
      <c r="R659" s="2" t="inlineStr"/>
    </row>
    <row r="660" ht="15" customHeight="1">
      <c r="A660" t="inlineStr">
        <is>
          <t>A 55837-2023</t>
        </is>
      </c>
      <c r="B660" s="1" t="n">
        <v>45239</v>
      </c>
      <c r="C660" s="1" t="n">
        <v>45930</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13093-2022</t>
        </is>
      </c>
      <c r="B661" s="1" t="n">
        <v>44643.93269675926</v>
      </c>
      <c r="C661" s="1" t="n">
        <v>45930</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40016-2025</t>
        </is>
      </c>
      <c r="B662" s="1" t="n">
        <v>45894.34747685185</v>
      </c>
      <c r="C662" s="1" t="n">
        <v>45930</v>
      </c>
      <c r="D662" t="inlineStr">
        <is>
          <t>UPPSALA LÄN</t>
        </is>
      </c>
      <c r="E662" t="inlineStr">
        <is>
          <t>ÖSTHAMMAR</t>
        </is>
      </c>
      <c r="F662" t="inlineStr">
        <is>
          <t>Kyrkan</t>
        </is>
      </c>
      <c r="G662" t="n">
        <v>6.6</v>
      </c>
      <c r="H662" t="n">
        <v>0</v>
      </c>
      <c r="I662" t="n">
        <v>0</v>
      </c>
      <c r="J662" t="n">
        <v>0</v>
      </c>
      <c r="K662" t="n">
        <v>0</v>
      </c>
      <c r="L662" t="n">
        <v>0</v>
      </c>
      <c r="M662" t="n">
        <v>0</v>
      </c>
      <c r="N662" t="n">
        <v>0</v>
      </c>
      <c r="O662" t="n">
        <v>0</v>
      </c>
      <c r="P662" t="n">
        <v>0</v>
      </c>
      <c r="Q662" t="n">
        <v>0</v>
      </c>
      <c r="R662" s="2" t="inlineStr"/>
    </row>
    <row r="663" ht="15" customHeight="1">
      <c r="A663" t="inlineStr">
        <is>
          <t>A 25859-2024</t>
        </is>
      </c>
      <c r="B663" s="1" t="n">
        <v>45467</v>
      </c>
      <c r="C663" s="1" t="n">
        <v>45930</v>
      </c>
      <c r="D663" t="inlineStr">
        <is>
          <t>UPPSALA LÄN</t>
        </is>
      </c>
      <c r="E663" t="inlineStr">
        <is>
          <t>ÖSTHAMMAR</t>
        </is>
      </c>
      <c r="G663" t="n">
        <v>7.9</v>
      </c>
      <c r="H663" t="n">
        <v>0</v>
      </c>
      <c r="I663" t="n">
        <v>0</v>
      </c>
      <c r="J663" t="n">
        <v>0</v>
      </c>
      <c r="K663" t="n">
        <v>0</v>
      </c>
      <c r="L663" t="n">
        <v>0</v>
      </c>
      <c r="M663" t="n">
        <v>0</v>
      </c>
      <c r="N663" t="n">
        <v>0</v>
      </c>
      <c r="O663" t="n">
        <v>0</v>
      </c>
      <c r="P663" t="n">
        <v>0</v>
      </c>
      <c r="Q663" t="n">
        <v>0</v>
      </c>
      <c r="R663" s="2" t="inlineStr"/>
    </row>
    <row r="664" ht="15" customHeight="1">
      <c r="A664" t="inlineStr">
        <is>
          <t>A 45795-2023</t>
        </is>
      </c>
      <c r="B664" s="1" t="n">
        <v>45195</v>
      </c>
      <c r="C664" s="1" t="n">
        <v>45930</v>
      </c>
      <c r="D664" t="inlineStr">
        <is>
          <t>UPPSALA LÄN</t>
        </is>
      </c>
      <c r="E664" t="inlineStr">
        <is>
          <t>ÖSTHAMMAR</t>
        </is>
      </c>
      <c r="G664" t="n">
        <v>4</v>
      </c>
      <c r="H664" t="n">
        <v>0</v>
      </c>
      <c r="I664" t="n">
        <v>0</v>
      </c>
      <c r="J664" t="n">
        <v>0</v>
      </c>
      <c r="K664" t="n">
        <v>0</v>
      </c>
      <c r="L664" t="n">
        <v>0</v>
      </c>
      <c r="M664" t="n">
        <v>0</v>
      </c>
      <c r="N664" t="n">
        <v>0</v>
      </c>
      <c r="O664" t="n">
        <v>0</v>
      </c>
      <c r="P664" t="n">
        <v>0</v>
      </c>
      <c r="Q664" t="n">
        <v>0</v>
      </c>
      <c r="R664" s="2" t="inlineStr"/>
    </row>
    <row r="665" ht="15" customHeight="1">
      <c r="A665" t="inlineStr">
        <is>
          <t>A 63637-2020</t>
        </is>
      </c>
      <c r="B665" s="1" t="n">
        <v>44162</v>
      </c>
      <c r="C665" s="1" t="n">
        <v>45930</v>
      </c>
      <c r="D665" t="inlineStr">
        <is>
          <t>UPPSALA LÄN</t>
        </is>
      </c>
      <c r="E665" t="inlineStr">
        <is>
          <t>ÖSTHAMMAR</t>
        </is>
      </c>
      <c r="G665" t="n">
        <v>4</v>
      </c>
      <c r="H665" t="n">
        <v>0</v>
      </c>
      <c r="I665" t="n">
        <v>0</v>
      </c>
      <c r="J665" t="n">
        <v>0</v>
      </c>
      <c r="K665" t="n">
        <v>0</v>
      </c>
      <c r="L665" t="n">
        <v>0</v>
      </c>
      <c r="M665" t="n">
        <v>0</v>
      </c>
      <c r="N665" t="n">
        <v>0</v>
      </c>
      <c r="O665" t="n">
        <v>0</v>
      </c>
      <c r="P665" t="n">
        <v>0</v>
      </c>
      <c r="Q665" t="n">
        <v>0</v>
      </c>
      <c r="R665" s="2" t="inlineStr"/>
    </row>
    <row r="666" ht="15" customHeight="1">
      <c r="A666" t="inlineStr">
        <is>
          <t>A 38600-2023</t>
        </is>
      </c>
      <c r="B666" s="1" t="n">
        <v>45162</v>
      </c>
      <c r="C666" s="1" t="n">
        <v>45930</v>
      </c>
      <c r="D666" t="inlineStr">
        <is>
          <t>UPPSALA LÄN</t>
        </is>
      </c>
      <c r="E666" t="inlineStr">
        <is>
          <t>ÖSTHAMMAR</t>
        </is>
      </c>
      <c r="F666" t="inlineStr">
        <is>
          <t>Bergvik skog väst AB</t>
        </is>
      </c>
      <c r="G666" t="n">
        <v>0.1</v>
      </c>
      <c r="H666" t="n">
        <v>0</v>
      </c>
      <c r="I666" t="n">
        <v>0</v>
      </c>
      <c r="J666" t="n">
        <v>0</v>
      </c>
      <c r="K666" t="n">
        <v>0</v>
      </c>
      <c r="L666" t="n">
        <v>0</v>
      </c>
      <c r="M666" t="n">
        <v>0</v>
      </c>
      <c r="N666" t="n">
        <v>0</v>
      </c>
      <c r="O666" t="n">
        <v>0</v>
      </c>
      <c r="P666" t="n">
        <v>0</v>
      </c>
      <c r="Q666" t="n">
        <v>0</v>
      </c>
      <c r="R666" s="2" t="inlineStr"/>
    </row>
    <row r="667" ht="15" customHeight="1">
      <c r="A667" t="inlineStr">
        <is>
          <t>A 8624-2025</t>
        </is>
      </c>
      <c r="B667" s="1" t="n">
        <v>45711.52333333333</v>
      </c>
      <c r="C667" s="1" t="n">
        <v>45930</v>
      </c>
      <c r="D667" t="inlineStr">
        <is>
          <t>UPPSALA LÄN</t>
        </is>
      </c>
      <c r="E667" t="inlineStr">
        <is>
          <t>ÖSTHAMMAR</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17644-2025</t>
        </is>
      </c>
      <c r="B668" s="1" t="n">
        <v>45758.32645833334</v>
      </c>
      <c r="C668" s="1" t="n">
        <v>45930</v>
      </c>
      <c r="D668" t="inlineStr">
        <is>
          <t>UPPSALA LÄN</t>
        </is>
      </c>
      <c r="E668" t="inlineStr">
        <is>
          <t>ÖSTHAMMAR</t>
        </is>
      </c>
      <c r="F668" t="inlineStr">
        <is>
          <t>Bergvik skog väst AB</t>
        </is>
      </c>
      <c r="G668" t="n">
        <v>6.1</v>
      </c>
      <c r="H668" t="n">
        <v>0</v>
      </c>
      <c r="I668" t="n">
        <v>0</v>
      </c>
      <c r="J668" t="n">
        <v>0</v>
      </c>
      <c r="K668" t="n">
        <v>0</v>
      </c>
      <c r="L668" t="n">
        <v>0</v>
      </c>
      <c r="M668" t="n">
        <v>0</v>
      </c>
      <c r="N668" t="n">
        <v>0</v>
      </c>
      <c r="O668" t="n">
        <v>0</v>
      </c>
      <c r="P668" t="n">
        <v>0</v>
      </c>
      <c r="Q668" t="n">
        <v>0</v>
      </c>
      <c r="R668" s="2" t="inlineStr"/>
    </row>
    <row r="669" ht="15" customHeight="1">
      <c r="A669" t="inlineStr">
        <is>
          <t>A 20385-2025</t>
        </is>
      </c>
      <c r="B669" s="1" t="n">
        <v>45775.44483796296</v>
      </c>
      <c r="C669" s="1" t="n">
        <v>45930</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5344-2025</t>
        </is>
      </c>
      <c r="B670" s="1" t="n">
        <v>45692</v>
      </c>
      <c r="C670" s="1" t="n">
        <v>45930</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18183-2022</t>
        </is>
      </c>
      <c r="B671" s="1" t="n">
        <v>44684</v>
      </c>
      <c r="C671" s="1" t="n">
        <v>45930</v>
      </c>
      <c r="D671" t="inlineStr">
        <is>
          <t>UPPSALA LÄN</t>
        </is>
      </c>
      <c r="E671" t="inlineStr">
        <is>
          <t>ÖSTHAMMAR</t>
        </is>
      </c>
      <c r="G671" t="n">
        <v>0.2</v>
      </c>
      <c r="H671" t="n">
        <v>0</v>
      </c>
      <c r="I671" t="n">
        <v>0</v>
      </c>
      <c r="J671" t="n">
        <v>0</v>
      </c>
      <c r="K671" t="n">
        <v>0</v>
      </c>
      <c r="L671" t="n">
        <v>0</v>
      </c>
      <c r="M671" t="n">
        <v>0</v>
      </c>
      <c r="N671" t="n">
        <v>0</v>
      </c>
      <c r="O671" t="n">
        <v>0</v>
      </c>
      <c r="P671" t="n">
        <v>0</v>
      </c>
      <c r="Q671" t="n">
        <v>0</v>
      </c>
      <c r="R671" s="2" t="inlineStr"/>
    </row>
    <row r="672" ht="15" customHeight="1">
      <c r="A672" t="inlineStr">
        <is>
          <t>A 4304-2025</t>
        </is>
      </c>
      <c r="B672" s="1" t="n">
        <v>45685.68193287037</v>
      </c>
      <c r="C672" s="1" t="n">
        <v>45930</v>
      </c>
      <c r="D672" t="inlineStr">
        <is>
          <t>UPPSALA LÄN</t>
        </is>
      </c>
      <c r="E672" t="inlineStr">
        <is>
          <t>ÖSTHAMMAR</t>
        </is>
      </c>
      <c r="G672" t="n">
        <v>1.2</v>
      </c>
      <c r="H672" t="n">
        <v>0</v>
      </c>
      <c r="I672" t="n">
        <v>0</v>
      </c>
      <c r="J672" t="n">
        <v>0</v>
      </c>
      <c r="K672" t="n">
        <v>0</v>
      </c>
      <c r="L672" t="n">
        <v>0</v>
      </c>
      <c r="M672" t="n">
        <v>0</v>
      </c>
      <c r="N672" t="n">
        <v>0</v>
      </c>
      <c r="O672" t="n">
        <v>0</v>
      </c>
      <c r="P672" t="n">
        <v>0</v>
      </c>
      <c r="Q672" t="n">
        <v>0</v>
      </c>
      <c r="R672" s="2" t="inlineStr"/>
    </row>
    <row r="673" ht="15" customHeight="1">
      <c r="A673" t="inlineStr">
        <is>
          <t>A 28170-2023</t>
        </is>
      </c>
      <c r="B673" s="1" t="n">
        <v>45093</v>
      </c>
      <c r="C673" s="1" t="n">
        <v>45930</v>
      </c>
      <c r="D673" t="inlineStr">
        <is>
          <t>UPPSALA LÄN</t>
        </is>
      </c>
      <c r="E673" t="inlineStr">
        <is>
          <t>ÖSTHAMMAR</t>
        </is>
      </c>
      <c r="G673" t="n">
        <v>7.2</v>
      </c>
      <c r="H673" t="n">
        <v>0</v>
      </c>
      <c r="I673" t="n">
        <v>0</v>
      </c>
      <c r="J673" t="n">
        <v>0</v>
      </c>
      <c r="K673" t="n">
        <v>0</v>
      </c>
      <c r="L673" t="n">
        <v>0</v>
      </c>
      <c r="M673" t="n">
        <v>0</v>
      </c>
      <c r="N673" t="n">
        <v>0</v>
      </c>
      <c r="O673" t="n">
        <v>0</v>
      </c>
      <c r="P673" t="n">
        <v>0</v>
      </c>
      <c r="Q673" t="n">
        <v>0</v>
      </c>
      <c r="R673" s="2" t="inlineStr"/>
    </row>
    <row r="674" ht="15" customHeight="1">
      <c r="A674" t="inlineStr">
        <is>
          <t>A 16933-2022</t>
        </is>
      </c>
      <c r="B674" s="1" t="n">
        <v>44676</v>
      </c>
      <c r="C674" s="1" t="n">
        <v>45930</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23741-2024</t>
        </is>
      </c>
      <c r="B675" s="1" t="n">
        <v>45455</v>
      </c>
      <c r="C675" s="1" t="n">
        <v>45930</v>
      </c>
      <c r="D675" t="inlineStr">
        <is>
          <t>UPPSALA LÄN</t>
        </is>
      </c>
      <c r="E675" t="inlineStr">
        <is>
          <t>ÖSTHAMMAR</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9264-2024</t>
        </is>
      </c>
      <c r="B676" s="1" t="n">
        <v>45358</v>
      </c>
      <c r="C676" s="1" t="n">
        <v>45930</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57043-2022</t>
        </is>
      </c>
      <c r="B677" s="1" t="n">
        <v>44895.36748842592</v>
      </c>
      <c r="C677" s="1" t="n">
        <v>45930</v>
      </c>
      <c r="D677" t="inlineStr">
        <is>
          <t>UPPSALA LÄN</t>
        </is>
      </c>
      <c r="E677" t="inlineStr">
        <is>
          <t>ÖSTHAMMAR</t>
        </is>
      </c>
      <c r="F677" t="inlineStr">
        <is>
          <t>Bergvik skog öst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47390-2023</t>
        </is>
      </c>
      <c r="B678" s="1" t="n">
        <v>45202</v>
      </c>
      <c r="C678" s="1" t="n">
        <v>45930</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15928-2022</t>
        </is>
      </c>
      <c r="B679" s="1" t="n">
        <v>44664</v>
      </c>
      <c r="C679" s="1" t="n">
        <v>45930</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28228-2022</t>
        </is>
      </c>
      <c r="B680" s="1" t="n">
        <v>44746.65873842593</v>
      </c>
      <c r="C680" s="1" t="n">
        <v>45930</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15445-2022</t>
        </is>
      </c>
      <c r="B681" s="1" t="n">
        <v>44660.4987962963</v>
      </c>
      <c r="C681" s="1" t="n">
        <v>45930</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10275-2025</t>
        </is>
      </c>
      <c r="B682" s="1" t="n">
        <v>45720.39715277778</v>
      </c>
      <c r="C682" s="1" t="n">
        <v>45930</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14124-2022</t>
        </is>
      </c>
      <c r="B683" s="1" t="n">
        <v>44651.40924768519</v>
      </c>
      <c r="C683" s="1" t="n">
        <v>45930</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37812-2022</t>
        </is>
      </c>
      <c r="B684" s="1" t="n">
        <v>44810</v>
      </c>
      <c r="C684" s="1" t="n">
        <v>45930</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19501-2025</t>
        </is>
      </c>
      <c r="B685" s="1" t="n">
        <v>45770.4015625</v>
      </c>
      <c r="C685" s="1" t="n">
        <v>45930</v>
      </c>
      <c r="D685" t="inlineStr">
        <is>
          <t>UPPSALA LÄN</t>
        </is>
      </c>
      <c r="E685" t="inlineStr">
        <is>
          <t>ÖSTHAMMAR</t>
        </is>
      </c>
      <c r="F685" t="inlineStr">
        <is>
          <t>Övriga Aktiebolag</t>
        </is>
      </c>
      <c r="G685" t="n">
        <v>17.3</v>
      </c>
      <c r="H685" t="n">
        <v>0</v>
      </c>
      <c r="I685" t="n">
        <v>0</v>
      </c>
      <c r="J685" t="n">
        <v>0</v>
      </c>
      <c r="K685" t="n">
        <v>0</v>
      </c>
      <c r="L685" t="n">
        <v>0</v>
      </c>
      <c r="M685" t="n">
        <v>0</v>
      </c>
      <c r="N685" t="n">
        <v>0</v>
      </c>
      <c r="O685" t="n">
        <v>0</v>
      </c>
      <c r="P685" t="n">
        <v>0</v>
      </c>
      <c r="Q685" t="n">
        <v>0</v>
      </c>
      <c r="R685" s="2" t="inlineStr"/>
    </row>
    <row r="686" ht="15" customHeight="1">
      <c r="A686" t="inlineStr">
        <is>
          <t>A 41821-2023</t>
        </is>
      </c>
      <c r="B686" s="1" t="n">
        <v>45176</v>
      </c>
      <c r="C686" s="1" t="n">
        <v>45930</v>
      </c>
      <c r="D686" t="inlineStr">
        <is>
          <t>UPPSALA LÄN</t>
        </is>
      </c>
      <c r="E686" t="inlineStr">
        <is>
          <t>ÖSTHAMMAR</t>
        </is>
      </c>
      <c r="G686" t="n">
        <v>0.9</v>
      </c>
      <c r="H686" t="n">
        <v>0</v>
      </c>
      <c r="I686" t="n">
        <v>0</v>
      </c>
      <c r="J686" t="n">
        <v>0</v>
      </c>
      <c r="K686" t="n">
        <v>0</v>
      </c>
      <c r="L686" t="n">
        <v>0</v>
      </c>
      <c r="M686" t="n">
        <v>0</v>
      </c>
      <c r="N686" t="n">
        <v>0</v>
      </c>
      <c r="O686" t="n">
        <v>0</v>
      </c>
      <c r="P686" t="n">
        <v>0</v>
      </c>
      <c r="Q686" t="n">
        <v>0</v>
      </c>
      <c r="R686" s="2" t="inlineStr"/>
    </row>
    <row r="687" ht="15" customHeight="1">
      <c r="A687" t="inlineStr">
        <is>
          <t>A 32742-2022</t>
        </is>
      </c>
      <c r="B687" s="1" t="n">
        <v>44783.69886574074</v>
      </c>
      <c r="C687" s="1" t="n">
        <v>45930</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41308-2023</t>
        </is>
      </c>
      <c r="B688" s="1" t="n">
        <v>45174.62788194444</v>
      </c>
      <c r="C688" s="1" t="n">
        <v>45930</v>
      </c>
      <c r="D688" t="inlineStr">
        <is>
          <t>UPPSALA LÄN</t>
        </is>
      </c>
      <c r="E688" t="inlineStr">
        <is>
          <t>ÖSTHAMMAR</t>
        </is>
      </c>
      <c r="F688" t="inlineStr">
        <is>
          <t>Övriga Aktiebolag</t>
        </is>
      </c>
      <c r="G688" t="n">
        <v>2.8</v>
      </c>
      <c r="H688" t="n">
        <v>0</v>
      </c>
      <c r="I688" t="n">
        <v>0</v>
      </c>
      <c r="J688" t="n">
        <v>0</v>
      </c>
      <c r="K688" t="n">
        <v>0</v>
      </c>
      <c r="L688" t="n">
        <v>0</v>
      </c>
      <c r="M688" t="n">
        <v>0</v>
      </c>
      <c r="N688" t="n">
        <v>0</v>
      </c>
      <c r="O688" t="n">
        <v>0</v>
      </c>
      <c r="P688" t="n">
        <v>0</v>
      </c>
      <c r="Q688" t="n">
        <v>0</v>
      </c>
      <c r="R688" s="2" t="inlineStr"/>
    </row>
    <row r="689" ht="15" customHeight="1">
      <c r="A689" t="inlineStr">
        <is>
          <t>A 49833-2023</t>
        </is>
      </c>
      <c r="B689" s="1" t="n">
        <v>45212.71481481481</v>
      </c>
      <c r="C689" s="1" t="n">
        <v>45930</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17433-2025</t>
        </is>
      </c>
      <c r="B690" s="1" t="n">
        <v>45757.40733796296</v>
      </c>
      <c r="C690" s="1" t="n">
        <v>45930</v>
      </c>
      <c r="D690" t="inlineStr">
        <is>
          <t>UPPSALA LÄN</t>
        </is>
      </c>
      <c r="E690" t="inlineStr">
        <is>
          <t>ÖSTHAMMAR</t>
        </is>
      </c>
      <c r="F690" t="inlineStr">
        <is>
          <t>Övriga Aktiebolag</t>
        </is>
      </c>
      <c r="G690" t="n">
        <v>0.5</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45930</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54368-2023</t>
        </is>
      </c>
      <c r="B692" s="1" t="n">
        <v>45233.33221064815</v>
      </c>
      <c r="C692" s="1" t="n">
        <v>45930</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17931-2025</t>
        </is>
      </c>
      <c r="B693" s="1" t="n">
        <v>45759.56894675926</v>
      </c>
      <c r="C693" s="1" t="n">
        <v>45930</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17938-2025</t>
        </is>
      </c>
      <c r="B694" s="1" t="n">
        <v>45760.55626157407</v>
      </c>
      <c r="C694" s="1" t="n">
        <v>45930</v>
      </c>
      <c r="D694" t="inlineStr">
        <is>
          <t>UPPSALA LÄN</t>
        </is>
      </c>
      <c r="E694" t="inlineStr">
        <is>
          <t>ÖSTHAMMAR</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8791-2025</t>
        </is>
      </c>
      <c r="B695" s="1" t="n">
        <v>45712</v>
      </c>
      <c r="C695" s="1" t="n">
        <v>45930</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26552-2022</t>
        </is>
      </c>
      <c r="B696" s="1" t="n">
        <v>44739</v>
      </c>
      <c r="C696" s="1" t="n">
        <v>45930</v>
      </c>
      <c r="D696" t="inlineStr">
        <is>
          <t>UPPSALA LÄN</t>
        </is>
      </c>
      <c r="E696" t="inlineStr">
        <is>
          <t>ÖSTHAMMAR</t>
        </is>
      </c>
      <c r="G696" t="n">
        <v>2.2</v>
      </c>
      <c r="H696" t="n">
        <v>0</v>
      </c>
      <c r="I696" t="n">
        <v>0</v>
      </c>
      <c r="J696" t="n">
        <v>0</v>
      </c>
      <c r="K696" t="n">
        <v>0</v>
      </c>
      <c r="L696" t="n">
        <v>0</v>
      </c>
      <c r="M696" t="n">
        <v>0</v>
      </c>
      <c r="N696" t="n">
        <v>0</v>
      </c>
      <c r="O696" t="n">
        <v>0</v>
      </c>
      <c r="P696" t="n">
        <v>0</v>
      </c>
      <c r="Q696" t="n">
        <v>0</v>
      </c>
      <c r="R696" s="2" t="inlineStr"/>
    </row>
    <row r="697" ht="15" customHeight="1">
      <c r="A697" t="inlineStr">
        <is>
          <t>A 7216-2025</t>
        </is>
      </c>
      <c r="B697" s="1" t="n">
        <v>45702.47630787037</v>
      </c>
      <c r="C697" s="1" t="n">
        <v>45930</v>
      </c>
      <c r="D697" t="inlineStr">
        <is>
          <t>UPPSALA LÄN</t>
        </is>
      </c>
      <c r="E697" t="inlineStr">
        <is>
          <t>ÖSTHAMMAR</t>
        </is>
      </c>
      <c r="F697" t="inlineStr">
        <is>
          <t>Övriga Aktiebolag</t>
        </is>
      </c>
      <c r="G697" t="n">
        <v>12.5</v>
      </c>
      <c r="H697" t="n">
        <v>0</v>
      </c>
      <c r="I697" t="n">
        <v>0</v>
      </c>
      <c r="J697" t="n">
        <v>0</v>
      </c>
      <c r="K697" t="n">
        <v>0</v>
      </c>
      <c r="L697" t="n">
        <v>0</v>
      </c>
      <c r="M697" t="n">
        <v>0</v>
      </c>
      <c r="N697" t="n">
        <v>0</v>
      </c>
      <c r="O697" t="n">
        <v>0</v>
      </c>
      <c r="P697" t="n">
        <v>0</v>
      </c>
      <c r="Q697" t="n">
        <v>0</v>
      </c>
      <c r="R697" s="2" t="inlineStr"/>
    </row>
    <row r="698" ht="15" customHeight="1">
      <c r="A698" t="inlineStr">
        <is>
          <t>A 31137-2022</t>
        </is>
      </c>
      <c r="B698" s="1" t="n">
        <v>44770.42166666667</v>
      </c>
      <c r="C698" s="1" t="n">
        <v>45930</v>
      </c>
      <c r="D698" t="inlineStr">
        <is>
          <t>UPPSALA LÄN</t>
        </is>
      </c>
      <c r="E698" t="inlineStr">
        <is>
          <t>ÖSTHAMMAR</t>
        </is>
      </c>
      <c r="F698" t="inlineStr">
        <is>
          <t>Bergvik skog öst AB</t>
        </is>
      </c>
      <c r="G698" t="n">
        <v>1.4</v>
      </c>
      <c r="H698" t="n">
        <v>0</v>
      </c>
      <c r="I698" t="n">
        <v>0</v>
      </c>
      <c r="J698" t="n">
        <v>0</v>
      </c>
      <c r="K698" t="n">
        <v>0</v>
      </c>
      <c r="L698" t="n">
        <v>0</v>
      </c>
      <c r="M698" t="n">
        <v>0</v>
      </c>
      <c r="N698" t="n">
        <v>0</v>
      </c>
      <c r="O698" t="n">
        <v>0</v>
      </c>
      <c r="P698" t="n">
        <v>0</v>
      </c>
      <c r="Q698" t="n">
        <v>0</v>
      </c>
      <c r="R698" s="2" t="inlineStr"/>
    </row>
    <row r="699" ht="15" customHeight="1">
      <c r="A699" t="inlineStr">
        <is>
          <t>A 18094-2025</t>
        </is>
      </c>
      <c r="B699" s="1" t="n">
        <v>45761.54710648148</v>
      </c>
      <c r="C699" s="1" t="n">
        <v>45930</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8902-2025</t>
        </is>
      </c>
      <c r="B700" s="1" t="n">
        <v>45713.41503472222</v>
      </c>
      <c r="C700" s="1" t="n">
        <v>45930</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8904-2025</t>
        </is>
      </c>
      <c r="B701" s="1" t="n">
        <v>45713.41577546296</v>
      </c>
      <c r="C701" s="1" t="n">
        <v>45930</v>
      </c>
      <c r="D701" t="inlineStr">
        <is>
          <t>UPPSALA LÄN</t>
        </is>
      </c>
      <c r="E701" t="inlineStr">
        <is>
          <t>ÖSTHAMMAR</t>
        </is>
      </c>
      <c r="F701" t="inlineStr">
        <is>
          <t>Bergvik skog öst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44815-2022</t>
        </is>
      </c>
      <c r="B702" s="1" t="n">
        <v>44841.40452546296</v>
      </c>
      <c r="C702" s="1" t="n">
        <v>45930</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29753-2022</t>
        </is>
      </c>
      <c r="B703" s="1" t="n">
        <v>44755</v>
      </c>
      <c r="C703" s="1" t="n">
        <v>45930</v>
      </c>
      <c r="D703" t="inlineStr">
        <is>
          <t>UPPSALA LÄN</t>
        </is>
      </c>
      <c r="E703" t="inlineStr">
        <is>
          <t>ÖSTHAMMAR</t>
        </is>
      </c>
      <c r="G703" t="n">
        <v>9.4</v>
      </c>
      <c r="H703" t="n">
        <v>0</v>
      </c>
      <c r="I703" t="n">
        <v>0</v>
      </c>
      <c r="J703" t="n">
        <v>0</v>
      </c>
      <c r="K703" t="n">
        <v>0</v>
      </c>
      <c r="L703" t="n">
        <v>0</v>
      </c>
      <c r="M703" t="n">
        <v>0</v>
      </c>
      <c r="N703" t="n">
        <v>0</v>
      </c>
      <c r="O703" t="n">
        <v>0</v>
      </c>
      <c r="P703" t="n">
        <v>0</v>
      </c>
      <c r="Q703" t="n">
        <v>0</v>
      </c>
      <c r="R703" s="2" t="inlineStr"/>
    </row>
    <row r="704" ht="15" customHeight="1">
      <c r="A704" t="inlineStr">
        <is>
          <t>A 20072-2025</t>
        </is>
      </c>
      <c r="B704" s="1" t="n">
        <v>45772</v>
      </c>
      <c r="C704" s="1" t="n">
        <v>45930</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52629-2023</t>
        </is>
      </c>
      <c r="B705" s="1" t="n">
        <v>45225</v>
      </c>
      <c r="C705" s="1" t="n">
        <v>45930</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9642-2024</t>
        </is>
      </c>
      <c r="B706" s="1" t="n">
        <v>45362.36296296296</v>
      </c>
      <c r="C706" s="1" t="n">
        <v>45930</v>
      </c>
      <c r="D706" t="inlineStr">
        <is>
          <t>UPPSALA LÄN</t>
        </is>
      </c>
      <c r="E706" t="inlineStr">
        <is>
          <t>ÖSTHAMMAR</t>
        </is>
      </c>
      <c r="G706" t="n">
        <v>3.1</v>
      </c>
      <c r="H706" t="n">
        <v>0</v>
      </c>
      <c r="I706" t="n">
        <v>0</v>
      </c>
      <c r="J706" t="n">
        <v>0</v>
      </c>
      <c r="K706" t="n">
        <v>0</v>
      </c>
      <c r="L706" t="n">
        <v>0</v>
      </c>
      <c r="M706" t="n">
        <v>0</v>
      </c>
      <c r="N706" t="n">
        <v>0</v>
      </c>
      <c r="O706" t="n">
        <v>0</v>
      </c>
      <c r="P706" t="n">
        <v>0</v>
      </c>
      <c r="Q706" t="n">
        <v>0</v>
      </c>
      <c r="R706" s="2" t="inlineStr"/>
    </row>
    <row r="707" ht="15" customHeight="1">
      <c r="A707" t="inlineStr">
        <is>
          <t>A 31549-2022</t>
        </is>
      </c>
      <c r="B707" s="1" t="n">
        <v>44775.400625</v>
      </c>
      <c r="C707" s="1" t="n">
        <v>45930</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47522-2023</t>
        </is>
      </c>
      <c r="B708" s="1" t="n">
        <v>45203</v>
      </c>
      <c r="C708" s="1" t="n">
        <v>45930</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45007.37081018519</v>
      </c>
      <c r="C709" s="1" t="n">
        <v>45930</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34971-2022</t>
        </is>
      </c>
      <c r="B710" s="1" t="n">
        <v>44796.66613425926</v>
      </c>
      <c r="C710" s="1" t="n">
        <v>45930</v>
      </c>
      <c r="D710" t="inlineStr">
        <is>
          <t>UPPSALA LÄN</t>
        </is>
      </c>
      <c r="E710" t="inlineStr">
        <is>
          <t>ÖSTHAMMAR</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55646-2021</t>
        </is>
      </c>
      <c r="B711" s="1" t="n">
        <v>44476.3632175926</v>
      </c>
      <c r="C711" s="1" t="n">
        <v>45930</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16240-2025</t>
        </is>
      </c>
      <c r="B712" s="1" t="n">
        <v>45746</v>
      </c>
      <c r="C712" s="1" t="n">
        <v>45930</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20038-2023</t>
        </is>
      </c>
      <c r="B713" s="1" t="n">
        <v>45054.65834490741</v>
      </c>
      <c r="C713" s="1" t="n">
        <v>45930</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6121-2024</t>
        </is>
      </c>
      <c r="B714" s="1" t="n">
        <v>45337.4219212963</v>
      </c>
      <c r="C714" s="1" t="n">
        <v>45930</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8699-2025</t>
        </is>
      </c>
      <c r="B715" s="1" t="n">
        <v>45712.47983796296</v>
      </c>
      <c r="C715" s="1" t="n">
        <v>45930</v>
      </c>
      <c r="D715" t="inlineStr">
        <is>
          <t>UPPSALA LÄN</t>
        </is>
      </c>
      <c r="E715" t="inlineStr">
        <is>
          <t>ÖSTHAMMAR</t>
        </is>
      </c>
      <c r="G715" t="n">
        <v>5.6</v>
      </c>
      <c r="H715" t="n">
        <v>0</v>
      </c>
      <c r="I715" t="n">
        <v>0</v>
      </c>
      <c r="J715" t="n">
        <v>0</v>
      </c>
      <c r="K715" t="n">
        <v>0</v>
      </c>
      <c r="L715" t="n">
        <v>0</v>
      </c>
      <c r="M715" t="n">
        <v>0</v>
      </c>
      <c r="N715" t="n">
        <v>0</v>
      </c>
      <c r="O715" t="n">
        <v>0</v>
      </c>
      <c r="P715" t="n">
        <v>0</v>
      </c>
      <c r="Q715" t="n">
        <v>0</v>
      </c>
      <c r="R715" s="2" t="inlineStr"/>
    </row>
    <row r="716" ht="15" customHeight="1">
      <c r="A716" t="inlineStr">
        <is>
          <t>A 15031-2025</t>
        </is>
      </c>
      <c r="B716" s="1" t="n">
        <v>45743.67333333333</v>
      </c>
      <c r="C716" s="1" t="n">
        <v>45930</v>
      </c>
      <c r="D716" t="inlineStr">
        <is>
          <t>UPPSALA LÄN</t>
        </is>
      </c>
      <c r="E716" t="inlineStr">
        <is>
          <t>ÖSTHAMMAR</t>
        </is>
      </c>
      <c r="G716" t="n">
        <v>9.6</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45930</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c r="A718" t="inlineStr">
        <is>
          <t>A 60584-2021</t>
        </is>
      </c>
      <c r="B718" s="1" t="n">
        <v>44496</v>
      </c>
      <c r="C718" s="1" t="n">
        <v>45930</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2025-09-30T12:17:03Z</dcterms:created>
  <dcterms:modified xmlns:dcterms="http://purl.org/dc/terms/" xmlns:xsi="http://www.w3.org/2001/XMLSchema-instance" xsi:type="dcterms:W3CDTF">2025-09-30T12:17:04Z</dcterms:modified>
</cp:coreProperties>
</file>