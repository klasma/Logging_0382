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45821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45821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45821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45821</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45821</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45821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45821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45821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45821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45821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45821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45821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45821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45821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45821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45821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45821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45821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45821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45821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45821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45821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45821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45821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45821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45821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45821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45821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45821</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45821</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45821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45821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45821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45821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45821</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45821</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45821</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45821</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45821</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45821</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45821</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45821</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45821</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45821</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45821</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45821</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45821</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45821</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45821</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45821</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45821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45821</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45821</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45821</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45821</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45821</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45821</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45821</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45821</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45821</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45821</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45821</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45821</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45821</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45821</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45821</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45821</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45821</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45821</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45821</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45821</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45821</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45821</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45821</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45821</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45821</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45821</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45821</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45821</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45821</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45821</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45821</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45821</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45821</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45821</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45821</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45821</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45821</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45821</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45821</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45821</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45821</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45821</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45821</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45821</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45821</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45821</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45821</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45821</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45821</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45821</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45821</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45821</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45821</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45821</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45821</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45821</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45821</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45821</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45821</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45821</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45821</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45821</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45821</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45821</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45821</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45821</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45821</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45821</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45821</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45821</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45821</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45821</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45821</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45821</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45821</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45821</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45821</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45821</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45821</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45821</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45821</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45821</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45821</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45821</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45821</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45821</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45821</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45821</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45821</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45821</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45821</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45821</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45821</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45821</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45821</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45821</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45821</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45821</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45821</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45821</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45821</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45821</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45821</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45821</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45821</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11017-2023</t>
        </is>
      </c>
      <c r="B159" s="1" t="n">
        <v>44991</v>
      </c>
      <c r="C159" s="1" t="n">
        <v>45821</v>
      </c>
      <c r="D159" t="inlineStr">
        <is>
          <t>UPPSALA LÄN</t>
        </is>
      </c>
      <c r="E159" t="inlineStr">
        <is>
          <t>ÖSTHAMMAR</t>
        </is>
      </c>
      <c r="G159" t="n">
        <v>1.9</v>
      </c>
      <c r="H159" t="n">
        <v>1</v>
      </c>
      <c r="I159" t="n">
        <v>0</v>
      </c>
      <c r="J159" t="n">
        <v>1</v>
      </c>
      <c r="K159" t="n">
        <v>0</v>
      </c>
      <c r="L159" t="n">
        <v>0</v>
      </c>
      <c r="M159" t="n">
        <v>0</v>
      </c>
      <c r="N159" t="n">
        <v>0</v>
      </c>
      <c r="O159" t="n">
        <v>1</v>
      </c>
      <c r="P159" t="n">
        <v>0</v>
      </c>
      <c r="Q159" t="n">
        <v>1</v>
      </c>
      <c r="R159" s="2" t="inlineStr">
        <is>
          <t>Kornknarr</t>
        </is>
      </c>
      <c r="S159">
        <f>HYPERLINK("https://klasma.github.io/Logging_0382/artfynd/A 11017-2023 artfynd.xlsx", "A 11017-2023")</f>
        <v/>
      </c>
      <c r="T159">
        <f>HYPERLINK("https://klasma.github.io/Logging_0382/kartor/A 11017-2023 karta.png", "A 11017-2023")</f>
        <v/>
      </c>
      <c r="V159">
        <f>HYPERLINK("https://klasma.github.io/Logging_0382/klagomål/A 11017-2023 FSC-klagomål.docx", "A 11017-2023")</f>
        <v/>
      </c>
      <c r="W159">
        <f>HYPERLINK("https://klasma.github.io/Logging_0382/klagomålsmail/A 11017-2023 FSC-klagomål mail.docx", "A 11017-2023")</f>
        <v/>
      </c>
      <c r="X159">
        <f>HYPERLINK("https://klasma.github.io/Logging_0382/tillsyn/A 11017-2023 tillsynsbegäran.docx", "A 11017-2023")</f>
        <v/>
      </c>
      <c r="Y159">
        <f>HYPERLINK("https://klasma.github.io/Logging_0382/tillsynsmail/A 11017-2023 tillsynsbegäran mail.docx", "A 11017-2023")</f>
        <v/>
      </c>
    </row>
    <row r="160" ht="15" customHeight="1">
      <c r="A160" t="inlineStr">
        <is>
          <t>A 14706-2023</t>
        </is>
      </c>
      <c r="B160" s="1" t="n">
        <v>45013</v>
      </c>
      <c r="C160" s="1" t="n">
        <v>45821</v>
      </c>
      <c r="D160" t="inlineStr">
        <is>
          <t>UPPSALA LÄN</t>
        </is>
      </c>
      <c r="E160" t="inlineStr">
        <is>
          <t>ÖSTHAMMAR</t>
        </is>
      </c>
      <c r="G160" t="n">
        <v>0.9</v>
      </c>
      <c r="H160" t="n">
        <v>0</v>
      </c>
      <c r="I160" t="n">
        <v>1</v>
      </c>
      <c r="J160" t="n">
        <v>0</v>
      </c>
      <c r="K160" t="n">
        <v>0</v>
      </c>
      <c r="L160" t="n">
        <v>0</v>
      </c>
      <c r="M160" t="n">
        <v>0</v>
      </c>
      <c r="N160" t="n">
        <v>0</v>
      </c>
      <c r="O160" t="n">
        <v>0</v>
      </c>
      <c r="P160" t="n">
        <v>0</v>
      </c>
      <c r="Q160" t="n">
        <v>1</v>
      </c>
      <c r="R160" s="2" t="inlineStr">
        <is>
          <t>Olivspindling</t>
        </is>
      </c>
      <c r="S160">
        <f>HYPERLINK("https://klasma.github.io/Logging_0382/artfynd/A 14706-2023 artfynd.xlsx", "A 14706-2023")</f>
        <v/>
      </c>
      <c r="T160">
        <f>HYPERLINK("https://klasma.github.io/Logging_0382/kartor/A 14706-2023 karta.png", "A 14706-2023")</f>
        <v/>
      </c>
      <c r="V160">
        <f>HYPERLINK("https://klasma.github.io/Logging_0382/klagomål/A 14706-2023 FSC-klagomål.docx", "A 14706-2023")</f>
        <v/>
      </c>
      <c r="W160">
        <f>HYPERLINK("https://klasma.github.io/Logging_0382/klagomålsmail/A 14706-2023 FSC-klagomål mail.docx", "A 14706-2023")</f>
        <v/>
      </c>
      <c r="X160">
        <f>HYPERLINK("https://klasma.github.io/Logging_0382/tillsyn/A 14706-2023 tillsynsbegäran.docx", "A 14706-2023")</f>
        <v/>
      </c>
      <c r="Y160">
        <f>HYPERLINK("https://klasma.github.io/Logging_0382/tillsynsmail/A 14706-2023 tillsynsbegäran mail.docx", "A 14706-2023")</f>
        <v/>
      </c>
    </row>
    <row r="161" ht="15" customHeight="1">
      <c r="A161" t="inlineStr">
        <is>
          <t>A 15628-2023</t>
        </is>
      </c>
      <c r="B161" s="1" t="n">
        <v>45021</v>
      </c>
      <c r="C161" s="1" t="n">
        <v>45821</v>
      </c>
      <c r="D161" t="inlineStr">
        <is>
          <t>UPPSALA LÄN</t>
        </is>
      </c>
      <c r="E161" t="inlineStr">
        <is>
          <t>ÖSTHAMMAR</t>
        </is>
      </c>
      <c r="F161" t="inlineStr">
        <is>
          <t>Övriga Aktiebolag</t>
        </is>
      </c>
      <c r="G161" t="n">
        <v>14.8</v>
      </c>
      <c r="H161" t="n">
        <v>1</v>
      </c>
      <c r="I161" t="n">
        <v>0</v>
      </c>
      <c r="J161" t="n">
        <v>0</v>
      </c>
      <c r="K161" t="n">
        <v>1</v>
      </c>
      <c r="L161" t="n">
        <v>0</v>
      </c>
      <c r="M161" t="n">
        <v>0</v>
      </c>
      <c r="N161" t="n">
        <v>0</v>
      </c>
      <c r="O161" t="n">
        <v>1</v>
      </c>
      <c r="P161" t="n">
        <v>1</v>
      </c>
      <c r="Q161" t="n">
        <v>1</v>
      </c>
      <c r="R161" s="2" t="inlineStr">
        <is>
          <t>Knärot</t>
        </is>
      </c>
      <c r="S161">
        <f>HYPERLINK("https://klasma.github.io/Logging_0382/artfynd/A 15628-2023 artfynd.xlsx", "A 15628-2023")</f>
        <v/>
      </c>
      <c r="T161">
        <f>HYPERLINK("https://klasma.github.io/Logging_0382/kartor/A 15628-2023 karta.png", "A 15628-2023")</f>
        <v/>
      </c>
      <c r="U161">
        <f>HYPERLINK("https://klasma.github.io/Logging_0382/knärot/A 15628-2023 karta knärot.png", "A 15628-2023")</f>
        <v/>
      </c>
      <c r="V161">
        <f>HYPERLINK("https://klasma.github.io/Logging_0382/klagomål/A 15628-2023 FSC-klagomål.docx", "A 15628-2023")</f>
        <v/>
      </c>
      <c r="W161">
        <f>HYPERLINK("https://klasma.github.io/Logging_0382/klagomålsmail/A 15628-2023 FSC-klagomål mail.docx", "A 15628-2023")</f>
        <v/>
      </c>
      <c r="X161">
        <f>HYPERLINK("https://klasma.github.io/Logging_0382/tillsyn/A 15628-2023 tillsynsbegäran.docx", "A 15628-2023")</f>
        <v/>
      </c>
      <c r="Y161">
        <f>HYPERLINK("https://klasma.github.io/Logging_0382/tillsynsmail/A 15628-2023 tillsynsbegäran mail.docx", "A 15628-2023")</f>
        <v/>
      </c>
    </row>
    <row r="162" ht="15" customHeight="1">
      <c r="A162" t="inlineStr">
        <is>
          <t>A 19100-2023</t>
        </is>
      </c>
      <c r="B162" s="1" t="n">
        <v>45048</v>
      </c>
      <c r="C162" s="1" t="n">
        <v>45821</v>
      </c>
      <c r="D162" t="inlineStr">
        <is>
          <t>UPPSALA LÄN</t>
        </is>
      </c>
      <c r="E162" t="inlineStr">
        <is>
          <t>ÖSTHAMMAR</t>
        </is>
      </c>
      <c r="F162" t="inlineStr">
        <is>
          <t>Bergvik skog öst AB</t>
        </is>
      </c>
      <c r="G162" t="n">
        <v>2.1</v>
      </c>
      <c r="H162" t="n">
        <v>1</v>
      </c>
      <c r="I162" t="n">
        <v>0</v>
      </c>
      <c r="J162" t="n">
        <v>0</v>
      </c>
      <c r="K162" t="n">
        <v>0</v>
      </c>
      <c r="L162" t="n">
        <v>0</v>
      </c>
      <c r="M162" t="n">
        <v>0</v>
      </c>
      <c r="N162" t="n">
        <v>0</v>
      </c>
      <c r="O162" t="n">
        <v>0</v>
      </c>
      <c r="P162" t="n">
        <v>0</v>
      </c>
      <c r="Q162" t="n">
        <v>1</v>
      </c>
      <c r="R162" s="2" t="inlineStr">
        <is>
          <t>Blåsippa</t>
        </is>
      </c>
      <c r="S162">
        <f>HYPERLINK("https://klasma.github.io/Logging_0382/artfynd/A 19100-2023 artfynd.xlsx", "A 19100-2023")</f>
        <v/>
      </c>
      <c r="T162">
        <f>HYPERLINK("https://klasma.github.io/Logging_0382/kartor/A 19100-2023 karta.png", "A 19100-2023")</f>
        <v/>
      </c>
      <c r="V162">
        <f>HYPERLINK("https://klasma.github.io/Logging_0382/klagomål/A 19100-2023 FSC-klagomål.docx", "A 19100-2023")</f>
        <v/>
      </c>
      <c r="W162">
        <f>HYPERLINK("https://klasma.github.io/Logging_0382/klagomålsmail/A 19100-2023 FSC-klagomål mail.docx", "A 19100-2023")</f>
        <v/>
      </c>
      <c r="X162">
        <f>HYPERLINK("https://klasma.github.io/Logging_0382/tillsyn/A 19100-2023 tillsynsbegäran.docx", "A 19100-2023")</f>
        <v/>
      </c>
      <c r="Y162">
        <f>HYPERLINK("https://klasma.github.io/Logging_0382/tillsynsmail/A 19100-2023 tillsynsbegäran mail.docx", "A 19100-2023")</f>
        <v/>
      </c>
    </row>
    <row r="163" ht="15" customHeight="1">
      <c r="A163" t="inlineStr">
        <is>
          <t>A 21628-2023</t>
        </is>
      </c>
      <c r="B163" s="1" t="n">
        <v>45063</v>
      </c>
      <c r="C163" s="1" t="n">
        <v>45821</v>
      </c>
      <c r="D163" t="inlineStr">
        <is>
          <t>UPPSALA LÄN</t>
        </is>
      </c>
      <c r="E163" t="inlineStr">
        <is>
          <t>ÖSTHAMMAR</t>
        </is>
      </c>
      <c r="F163" t="inlineStr">
        <is>
          <t>Sveaskog</t>
        </is>
      </c>
      <c r="G163" t="n">
        <v>4.9</v>
      </c>
      <c r="H163" t="n">
        <v>1</v>
      </c>
      <c r="I163" t="n">
        <v>0</v>
      </c>
      <c r="J163" t="n">
        <v>1</v>
      </c>
      <c r="K163" t="n">
        <v>0</v>
      </c>
      <c r="L163" t="n">
        <v>0</v>
      </c>
      <c r="M163" t="n">
        <v>0</v>
      </c>
      <c r="N163" t="n">
        <v>0</v>
      </c>
      <c r="O163" t="n">
        <v>1</v>
      </c>
      <c r="P163" t="n">
        <v>0</v>
      </c>
      <c r="Q163" t="n">
        <v>1</v>
      </c>
      <c r="R163" s="2" t="inlineStr">
        <is>
          <t>Slaguggla</t>
        </is>
      </c>
      <c r="S163">
        <f>HYPERLINK("https://klasma.github.io/Logging_0382/artfynd/A 21628-2023 artfynd.xlsx", "A 21628-2023")</f>
        <v/>
      </c>
      <c r="T163">
        <f>HYPERLINK("https://klasma.github.io/Logging_0382/kartor/A 21628-2023 karta.png", "A 21628-2023")</f>
        <v/>
      </c>
      <c r="V163">
        <f>HYPERLINK("https://klasma.github.io/Logging_0382/klagomål/A 21628-2023 FSC-klagomål.docx", "A 21628-2023")</f>
        <v/>
      </c>
      <c r="W163">
        <f>HYPERLINK("https://klasma.github.io/Logging_0382/klagomålsmail/A 21628-2023 FSC-klagomål mail.docx", "A 21628-2023")</f>
        <v/>
      </c>
      <c r="X163">
        <f>HYPERLINK("https://klasma.github.io/Logging_0382/tillsyn/A 21628-2023 tillsynsbegäran.docx", "A 21628-2023")</f>
        <v/>
      </c>
      <c r="Y163">
        <f>HYPERLINK("https://klasma.github.io/Logging_0382/tillsynsmail/A 21628-2023 tillsynsbegäran mail.docx", "A 21628-2023")</f>
        <v/>
      </c>
      <c r="Z163">
        <f>HYPERLINK("https://klasma.github.io/Logging_0382/fåglar/A 21628-2023 prioriterade fågelarter.docx", "A 21628-2023")</f>
        <v/>
      </c>
    </row>
    <row r="164" ht="15" customHeight="1">
      <c r="A164" t="inlineStr">
        <is>
          <t>A 22307-2023</t>
        </is>
      </c>
      <c r="B164" s="1" t="n">
        <v>45070</v>
      </c>
      <c r="C164" s="1" t="n">
        <v>45821</v>
      </c>
      <c r="D164" t="inlineStr">
        <is>
          <t>UPPSALA LÄN</t>
        </is>
      </c>
      <c r="E164" t="inlineStr">
        <is>
          <t>ÖSTHAMMAR</t>
        </is>
      </c>
      <c r="F164" t="inlineStr">
        <is>
          <t>Bergvik skog öst AB</t>
        </is>
      </c>
      <c r="G164" t="n">
        <v>13.9</v>
      </c>
      <c r="H164" t="n">
        <v>0</v>
      </c>
      <c r="I164" t="n">
        <v>1</v>
      </c>
      <c r="J164" t="n">
        <v>0</v>
      </c>
      <c r="K164" t="n">
        <v>0</v>
      </c>
      <c r="L164" t="n">
        <v>0</v>
      </c>
      <c r="M164" t="n">
        <v>0</v>
      </c>
      <c r="N164" t="n">
        <v>0</v>
      </c>
      <c r="O164" t="n">
        <v>0</v>
      </c>
      <c r="P164" t="n">
        <v>0</v>
      </c>
      <c r="Q164" t="n">
        <v>1</v>
      </c>
      <c r="R164" s="2" t="inlineStr">
        <is>
          <t>Myskmadra</t>
        </is>
      </c>
      <c r="S164">
        <f>HYPERLINK("https://klasma.github.io/Logging_0382/artfynd/A 22307-2023 artfynd.xlsx", "A 22307-2023")</f>
        <v/>
      </c>
      <c r="T164">
        <f>HYPERLINK("https://klasma.github.io/Logging_0382/kartor/A 22307-2023 karta.png", "A 22307-2023")</f>
        <v/>
      </c>
      <c r="V164">
        <f>HYPERLINK("https://klasma.github.io/Logging_0382/klagomål/A 22307-2023 FSC-klagomål.docx", "A 22307-2023")</f>
        <v/>
      </c>
      <c r="W164">
        <f>HYPERLINK("https://klasma.github.io/Logging_0382/klagomålsmail/A 22307-2023 FSC-klagomål mail.docx", "A 22307-2023")</f>
        <v/>
      </c>
      <c r="X164">
        <f>HYPERLINK("https://klasma.github.io/Logging_0382/tillsyn/A 22307-2023 tillsynsbegäran.docx", "A 22307-2023")</f>
        <v/>
      </c>
      <c r="Y164">
        <f>HYPERLINK("https://klasma.github.io/Logging_0382/tillsynsmail/A 22307-2023 tillsynsbegäran mail.docx", "A 22307-2023")</f>
        <v/>
      </c>
    </row>
    <row r="165" ht="15" customHeight="1">
      <c r="A165" t="inlineStr">
        <is>
          <t>A 22287-2023</t>
        </is>
      </c>
      <c r="B165" s="1" t="n">
        <v>45070</v>
      </c>
      <c r="C165" s="1" t="n">
        <v>45821</v>
      </c>
      <c r="D165" t="inlineStr">
        <is>
          <t>UPPSALA LÄN</t>
        </is>
      </c>
      <c r="E165" t="inlineStr">
        <is>
          <t>ÖSTHAMMAR</t>
        </is>
      </c>
      <c r="G165" t="n">
        <v>6.3</v>
      </c>
      <c r="H165" t="n">
        <v>1</v>
      </c>
      <c r="I165" t="n">
        <v>1</v>
      </c>
      <c r="J165" t="n">
        <v>0</v>
      </c>
      <c r="K165" t="n">
        <v>0</v>
      </c>
      <c r="L165" t="n">
        <v>0</v>
      </c>
      <c r="M165" t="n">
        <v>0</v>
      </c>
      <c r="N165" t="n">
        <v>0</v>
      </c>
      <c r="O165" t="n">
        <v>0</v>
      </c>
      <c r="P165" t="n">
        <v>0</v>
      </c>
      <c r="Q165" t="n">
        <v>1</v>
      </c>
      <c r="R165" s="2" t="inlineStr">
        <is>
          <t>Guckusko</t>
        </is>
      </c>
      <c r="S165">
        <f>HYPERLINK("https://klasma.github.io/Logging_0382/artfynd/A 22287-2023 artfynd.xlsx", "A 22287-2023")</f>
        <v/>
      </c>
      <c r="T165">
        <f>HYPERLINK("https://klasma.github.io/Logging_0382/kartor/A 22287-2023 karta.png", "A 22287-2023")</f>
        <v/>
      </c>
      <c r="V165">
        <f>HYPERLINK("https://klasma.github.io/Logging_0382/klagomål/A 22287-2023 FSC-klagomål.docx", "A 22287-2023")</f>
        <v/>
      </c>
      <c r="W165">
        <f>HYPERLINK("https://klasma.github.io/Logging_0382/klagomålsmail/A 22287-2023 FSC-klagomål mail.docx", "A 22287-2023")</f>
        <v/>
      </c>
      <c r="X165">
        <f>HYPERLINK("https://klasma.github.io/Logging_0382/tillsyn/A 22287-2023 tillsynsbegäran.docx", "A 22287-2023")</f>
        <v/>
      </c>
      <c r="Y165">
        <f>HYPERLINK("https://klasma.github.io/Logging_0382/tillsynsmail/A 22287-2023 tillsynsbegäran mail.docx", "A 22287-2023")</f>
        <v/>
      </c>
    </row>
    <row r="166" ht="15" customHeight="1">
      <c r="A166" t="inlineStr">
        <is>
          <t>A 22688-2023</t>
        </is>
      </c>
      <c r="B166" s="1" t="n">
        <v>45071</v>
      </c>
      <c r="C166" s="1" t="n">
        <v>45821</v>
      </c>
      <c r="D166" t="inlineStr">
        <is>
          <t>UPPSALA LÄN</t>
        </is>
      </c>
      <c r="E166" t="inlineStr">
        <is>
          <t>ÖSTHAMMAR</t>
        </is>
      </c>
      <c r="G166" t="n">
        <v>3</v>
      </c>
      <c r="H166" t="n">
        <v>1</v>
      </c>
      <c r="I166" t="n">
        <v>1</v>
      </c>
      <c r="J166" t="n">
        <v>0</v>
      </c>
      <c r="K166" t="n">
        <v>0</v>
      </c>
      <c r="L166" t="n">
        <v>0</v>
      </c>
      <c r="M166" t="n">
        <v>0</v>
      </c>
      <c r="N166" t="n">
        <v>0</v>
      </c>
      <c r="O166" t="n">
        <v>0</v>
      </c>
      <c r="P166" t="n">
        <v>0</v>
      </c>
      <c r="Q166" t="n">
        <v>1</v>
      </c>
      <c r="R166" s="2" t="inlineStr">
        <is>
          <t>Nästrot</t>
        </is>
      </c>
      <c r="S166">
        <f>HYPERLINK("https://klasma.github.io/Logging_0382/artfynd/A 22688-2023 artfynd.xlsx", "A 22688-2023")</f>
        <v/>
      </c>
      <c r="T166">
        <f>HYPERLINK("https://klasma.github.io/Logging_0382/kartor/A 22688-2023 karta.png", "A 22688-2023")</f>
        <v/>
      </c>
      <c r="V166">
        <f>HYPERLINK("https://klasma.github.io/Logging_0382/klagomål/A 22688-2023 FSC-klagomål.docx", "A 22688-2023")</f>
        <v/>
      </c>
      <c r="W166">
        <f>HYPERLINK("https://klasma.github.io/Logging_0382/klagomålsmail/A 22688-2023 FSC-klagomål mail.docx", "A 22688-2023")</f>
        <v/>
      </c>
      <c r="X166">
        <f>HYPERLINK("https://klasma.github.io/Logging_0382/tillsyn/A 22688-2023 tillsynsbegäran.docx", "A 22688-2023")</f>
        <v/>
      </c>
      <c r="Y166">
        <f>HYPERLINK("https://klasma.github.io/Logging_0382/tillsynsmail/A 22688-2023 tillsynsbegäran mail.docx", "A 22688-2023")</f>
        <v/>
      </c>
    </row>
    <row r="167" ht="15" customHeight="1">
      <c r="A167" t="inlineStr">
        <is>
          <t>A 23128-2023</t>
        </is>
      </c>
      <c r="B167" s="1" t="n">
        <v>45075</v>
      </c>
      <c r="C167" s="1" t="n">
        <v>45821</v>
      </c>
      <c r="D167" t="inlineStr">
        <is>
          <t>UPPSALA LÄN</t>
        </is>
      </c>
      <c r="E167" t="inlineStr">
        <is>
          <t>ÖSTHAMMAR</t>
        </is>
      </c>
      <c r="G167" t="n">
        <v>6</v>
      </c>
      <c r="H167" t="n">
        <v>0</v>
      </c>
      <c r="I167" t="n">
        <v>0</v>
      </c>
      <c r="J167" t="n">
        <v>1</v>
      </c>
      <c r="K167" t="n">
        <v>0</v>
      </c>
      <c r="L167" t="n">
        <v>0</v>
      </c>
      <c r="M167" t="n">
        <v>0</v>
      </c>
      <c r="N167" t="n">
        <v>0</v>
      </c>
      <c r="O167" t="n">
        <v>1</v>
      </c>
      <c r="P167" t="n">
        <v>0</v>
      </c>
      <c r="Q167" t="n">
        <v>1</v>
      </c>
      <c r="R167" s="2" t="inlineStr">
        <is>
          <t>Grönhjon</t>
        </is>
      </c>
      <c r="S167">
        <f>HYPERLINK("https://klasma.github.io/Logging_0382/artfynd/A 23128-2023 artfynd.xlsx", "A 23128-2023")</f>
        <v/>
      </c>
      <c r="T167">
        <f>HYPERLINK("https://klasma.github.io/Logging_0382/kartor/A 23128-2023 karta.png", "A 23128-2023")</f>
        <v/>
      </c>
      <c r="V167">
        <f>HYPERLINK("https://klasma.github.io/Logging_0382/klagomål/A 23128-2023 FSC-klagomål.docx", "A 23128-2023")</f>
        <v/>
      </c>
      <c r="W167">
        <f>HYPERLINK("https://klasma.github.io/Logging_0382/klagomålsmail/A 23128-2023 FSC-klagomål mail.docx", "A 23128-2023")</f>
        <v/>
      </c>
      <c r="X167">
        <f>HYPERLINK("https://klasma.github.io/Logging_0382/tillsyn/A 23128-2023 tillsynsbegäran.docx", "A 23128-2023")</f>
        <v/>
      </c>
      <c r="Y167">
        <f>HYPERLINK("https://klasma.github.io/Logging_0382/tillsynsmail/A 23128-2023 tillsynsbegäran mail.docx", "A 23128-2023")</f>
        <v/>
      </c>
    </row>
    <row r="168" ht="15" customHeight="1">
      <c r="A168" t="inlineStr">
        <is>
          <t>A 25179-2023</t>
        </is>
      </c>
      <c r="B168" s="1" t="n">
        <v>45078</v>
      </c>
      <c r="C168" s="1" t="n">
        <v>45821</v>
      </c>
      <c r="D168" t="inlineStr">
        <is>
          <t>UPPSALA LÄN</t>
        </is>
      </c>
      <c r="E168" t="inlineStr">
        <is>
          <t>ÖSTHAMMAR</t>
        </is>
      </c>
      <c r="G168" t="n">
        <v>3.2</v>
      </c>
      <c r="H168" t="n">
        <v>0</v>
      </c>
      <c r="I168" t="n">
        <v>0</v>
      </c>
      <c r="J168" t="n">
        <v>1</v>
      </c>
      <c r="K168" t="n">
        <v>0</v>
      </c>
      <c r="L168" t="n">
        <v>0</v>
      </c>
      <c r="M168" t="n">
        <v>0</v>
      </c>
      <c r="N168" t="n">
        <v>0</v>
      </c>
      <c r="O168" t="n">
        <v>1</v>
      </c>
      <c r="P168" t="n">
        <v>0</v>
      </c>
      <c r="Q168" t="n">
        <v>1</v>
      </c>
      <c r="R168" s="2" t="inlineStr">
        <is>
          <t>Grantaggsvamp</t>
        </is>
      </c>
      <c r="S168">
        <f>HYPERLINK("https://klasma.github.io/Logging_0382/artfynd/A 25179-2023 artfynd.xlsx", "A 25179-2023")</f>
        <v/>
      </c>
      <c r="T168">
        <f>HYPERLINK("https://klasma.github.io/Logging_0382/kartor/A 25179-2023 karta.png", "A 25179-2023")</f>
        <v/>
      </c>
      <c r="V168">
        <f>HYPERLINK("https://klasma.github.io/Logging_0382/klagomål/A 25179-2023 FSC-klagomål.docx", "A 25179-2023")</f>
        <v/>
      </c>
      <c r="W168">
        <f>HYPERLINK("https://klasma.github.io/Logging_0382/klagomålsmail/A 25179-2023 FSC-klagomål mail.docx", "A 25179-2023")</f>
        <v/>
      </c>
      <c r="X168">
        <f>HYPERLINK("https://klasma.github.io/Logging_0382/tillsyn/A 25179-2023 tillsynsbegäran.docx", "A 25179-2023")</f>
        <v/>
      </c>
      <c r="Y168">
        <f>HYPERLINK("https://klasma.github.io/Logging_0382/tillsynsmail/A 25179-2023 tillsynsbegäran mail.docx", "A 25179-2023")</f>
        <v/>
      </c>
    </row>
    <row r="169" ht="15" customHeight="1">
      <c r="A169" t="inlineStr">
        <is>
          <t>A 26896-2023</t>
        </is>
      </c>
      <c r="B169" s="1" t="n">
        <v>45093</v>
      </c>
      <c r="C169" s="1" t="n">
        <v>45821</v>
      </c>
      <c r="D169" t="inlineStr">
        <is>
          <t>UPPSALA LÄN</t>
        </is>
      </c>
      <c r="E169" t="inlineStr">
        <is>
          <t>ÖSTHAMMAR</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HYPERLINK("https://klasma.github.io/Logging_0382/artfynd/A 26896-2023 artfynd.xlsx", "A 26896-2023")</f>
        <v/>
      </c>
      <c r="T169">
        <f>HYPERLINK("https://klasma.github.io/Logging_0382/kartor/A 26896-2023 karta.png", "A 26896-2023")</f>
        <v/>
      </c>
      <c r="V169">
        <f>HYPERLINK("https://klasma.github.io/Logging_0382/klagomål/A 26896-2023 FSC-klagomål.docx", "A 26896-2023")</f>
        <v/>
      </c>
      <c r="W169">
        <f>HYPERLINK("https://klasma.github.io/Logging_0382/klagomålsmail/A 26896-2023 FSC-klagomål mail.docx", "A 26896-2023")</f>
        <v/>
      </c>
      <c r="X169">
        <f>HYPERLINK("https://klasma.github.io/Logging_0382/tillsyn/A 26896-2023 tillsynsbegäran.docx", "A 26896-2023")</f>
        <v/>
      </c>
      <c r="Y169">
        <f>HYPERLINK("https://klasma.github.io/Logging_0382/tillsynsmail/A 26896-2023 tillsynsbegäran mail.docx", "A 26896-2023")</f>
        <v/>
      </c>
    </row>
    <row r="170" ht="15" customHeight="1">
      <c r="A170" t="inlineStr">
        <is>
          <t>A 29564-2023</t>
        </is>
      </c>
      <c r="B170" s="1" t="n">
        <v>45106</v>
      </c>
      <c r="C170" s="1" t="n">
        <v>45821</v>
      </c>
      <c r="D170" t="inlineStr">
        <is>
          <t>UPPSALA LÄN</t>
        </is>
      </c>
      <c r="E170" t="inlineStr">
        <is>
          <t>ÖSTHAMMAR</t>
        </is>
      </c>
      <c r="F170" t="inlineStr">
        <is>
          <t>Naturvårdsverket</t>
        </is>
      </c>
      <c r="G170" t="n">
        <v>1.2</v>
      </c>
      <c r="H170" t="n">
        <v>1</v>
      </c>
      <c r="I170" t="n">
        <v>0</v>
      </c>
      <c r="J170" t="n">
        <v>0</v>
      </c>
      <c r="K170" t="n">
        <v>0</v>
      </c>
      <c r="L170" t="n">
        <v>0</v>
      </c>
      <c r="M170" t="n">
        <v>0</v>
      </c>
      <c r="N170" t="n">
        <v>0</v>
      </c>
      <c r="O170" t="n">
        <v>0</v>
      </c>
      <c r="P170" t="n">
        <v>0</v>
      </c>
      <c r="Q170" t="n">
        <v>1</v>
      </c>
      <c r="R170" s="2" t="inlineStr">
        <is>
          <t>Blåsippa</t>
        </is>
      </c>
      <c r="S170">
        <f>HYPERLINK("https://klasma.github.io/Logging_0382/artfynd/A 29564-2023 artfynd.xlsx", "A 29564-2023")</f>
        <v/>
      </c>
      <c r="T170">
        <f>HYPERLINK("https://klasma.github.io/Logging_0382/kartor/A 29564-2023 karta.png", "A 29564-2023")</f>
        <v/>
      </c>
      <c r="V170">
        <f>HYPERLINK("https://klasma.github.io/Logging_0382/klagomål/A 29564-2023 FSC-klagomål.docx", "A 29564-2023")</f>
        <v/>
      </c>
      <c r="W170">
        <f>HYPERLINK("https://klasma.github.io/Logging_0382/klagomålsmail/A 29564-2023 FSC-klagomål mail.docx", "A 29564-2023")</f>
        <v/>
      </c>
      <c r="X170">
        <f>HYPERLINK("https://klasma.github.io/Logging_0382/tillsyn/A 29564-2023 tillsynsbegäran.docx", "A 29564-2023")</f>
        <v/>
      </c>
      <c r="Y170">
        <f>HYPERLINK("https://klasma.github.io/Logging_0382/tillsynsmail/A 29564-2023 tillsynsbegäran mail.docx", "A 29564-2023")</f>
        <v/>
      </c>
    </row>
    <row r="171" ht="15" customHeight="1">
      <c r="A171" t="inlineStr">
        <is>
          <t>A 29679-2023</t>
        </is>
      </c>
      <c r="B171" s="1" t="n">
        <v>45107</v>
      </c>
      <c r="C171" s="1" t="n">
        <v>45821</v>
      </c>
      <c r="D171" t="inlineStr">
        <is>
          <t>UPPSALA LÄN</t>
        </is>
      </c>
      <c r="E171" t="inlineStr">
        <is>
          <t>ÖSTHAMMAR</t>
        </is>
      </c>
      <c r="F171" t="inlineStr">
        <is>
          <t>Övriga Aktiebolag</t>
        </is>
      </c>
      <c r="G171" t="n">
        <v>7.3</v>
      </c>
      <c r="H171" t="n">
        <v>0</v>
      </c>
      <c r="I171" t="n">
        <v>0</v>
      </c>
      <c r="J171" t="n">
        <v>1</v>
      </c>
      <c r="K171" t="n">
        <v>0</v>
      </c>
      <c r="L171" t="n">
        <v>0</v>
      </c>
      <c r="M171" t="n">
        <v>0</v>
      </c>
      <c r="N171" t="n">
        <v>0</v>
      </c>
      <c r="O171" t="n">
        <v>1</v>
      </c>
      <c r="P171" t="n">
        <v>0</v>
      </c>
      <c r="Q171" t="n">
        <v>1</v>
      </c>
      <c r="R171" s="2" t="inlineStr">
        <is>
          <t>Vintertagging</t>
        </is>
      </c>
      <c r="S171">
        <f>HYPERLINK("https://klasma.github.io/Logging_0382/artfynd/A 29679-2023 artfynd.xlsx", "A 29679-2023")</f>
        <v/>
      </c>
      <c r="T171">
        <f>HYPERLINK("https://klasma.github.io/Logging_0382/kartor/A 29679-2023 karta.png", "A 29679-2023")</f>
        <v/>
      </c>
      <c r="V171">
        <f>HYPERLINK("https://klasma.github.io/Logging_0382/klagomål/A 29679-2023 FSC-klagomål.docx", "A 29679-2023")</f>
        <v/>
      </c>
      <c r="W171">
        <f>HYPERLINK("https://klasma.github.io/Logging_0382/klagomålsmail/A 29679-2023 FSC-klagomål mail.docx", "A 29679-2023")</f>
        <v/>
      </c>
      <c r="X171">
        <f>HYPERLINK("https://klasma.github.io/Logging_0382/tillsyn/A 29679-2023 tillsynsbegäran.docx", "A 29679-2023")</f>
        <v/>
      </c>
      <c r="Y171">
        <f>HYPERLINK("https://klasma.github.io/Logging_0382/tillsynsmail/A 29679-2023 tillsynsbegäran mail.docx", "A 29679-2023")</f>
        <v/>
      </c>
    </row>
    <row r="172" ht="15" customHeight="1">
      <c r="A172" t="inlineStr">
        <is>
          <t>A 32518-2023</t>
        </is>
      </c>
      <c r="B172" s="1" t="n">
        <v>45121</v>
      </c>
      <c r="C172" s="1" t="n">
        <v>45821</v>
      </c>
      <c r="D172" t="inlineStr">
        <is>
          <t>UPPSALA LÄN</t>
        </is>
      </c>
      <c r="E172" t="inlineStr">
        <is>
          <t>ÖSTHAMMAR</t>
        </is>
      </c>
      <c r="G172" t="n">
        <v>11.1</v>
      </c>
      <c r="H172" t="n">
        <v>0</v>
      </c>
      <c r="I172" t="n">
        <v>1</v>
      </c>
      <c r="J172" t="n">
        <v>0</v>
      </c>
      <c r="K172" t="n">
        <v>0</v>
      </c>
      <c r="L172" t="n">
        <v>0</v>
      </c>
      <c r="M172" t="n">
        <v>0</v>
      </c>
      <c r="N172" t="n">
        <v>0</v>
      </c>
      <c r="O172" t="n">
        <v>0</v>
      </c>
      <c r="P172" t="n">
        <v>0</v>
      </c>
      <c r="Q172" t="n">
        <v>1</v>
      </c>
      <c r="R172" s="2" t="inlineStr">
        <is>
          <t>Olivspindling</t>
        </is>
      </c>
      <c r="S172">
        <f>HYPERLINK("https://klasma.github.io/Logging_0382/artfynd/A 32518-2023 artfynd.xlsx", "A 32518-2023")</f>
        <v/>
      </c>
      <c r="T172">
        <f>HYPERLINK("https://klasma.github.io/Logging_0382/kartor/A 32518-2023 karta.png", "A 32518-2023")</f>
        <v/>
      </c>
      <c r="V172">
        <f>HYPERLINK("https://klasma.github.io/Logging_0382/klagomål/A 32518-2023 FSC-klagomål.docx", "A 32518-2023")</f>
        <v/>
      </c>
      <c r="W172">
        <f>HYPERLINK("https://klasma.github.io/Logging_0382/klagomålsmail/A 32518-2023 FSC-klagomål mail.docx", "A 32518-2023")</f>
        <v/>
      </c>
      <c r="X172">
        <f>HYPERLINK("https://klasma.github.io/Logging_0382/tillsyn/A 32518-2023 tillsynsbegäran.docx", "A 32518-2023")</f>
        <v/>
      </c>
      <c r="Y172">
        <f>HYPERLINK("https://klasma.github.io/Logging_0382/tillsynsmail/A 32518-2023 tillsynsbegäran mail.docx", "A 32518-2023")</f>
        <v/>
      </c>
    </row>
    <row r="173" ht="15" customHeight="1">
      <c r="A173" t="inlineStr">
        <is>
          <t>A 34090-2023</t>
        </is>
      </c>
      <c r="B173" s="1" t="n">
        <v>45135</v>
      </c>
      <c r="C173" s="1" t="n">
        <v>45821</v>
      </c>
      <c r="D173" t="inlineStr">
        <is>
          <t>UPPSALA LÄN</t>
        </is>
      </c>
      <c r="E173" t="inlineStr">
        <is>
          <t>ÖSTHAMMAR</t>
        </is>
      </c>
      <c r="F173" t="inlineStr">
        <is>
          <t>Bergvik skog öst AB</t>
        </is>
      </c>
      <c r="G173" t="n">
        <v>5.7</v>
      </c>
      <c r="H173" t="n">
        <v>1</v>
      </c>
      <c r="I173" t="n">
        <v>0</v>
      </c>
      <c r="J173" t="n">
        <v>1</v>
      </c>
      <c r="K173" t="n">
        <v>0</v>
      </c>
      <c r="L173" t="n">
        <v>0</v>
      </c>
      <c r="M173" t="n">
        <v>0</v>
      </c>
      <c r="N173" t="n">
        <v>0</v>
      </c>
      <c r="O173" t="n">
        <v>1</v>
      </c>
      <c r="P173" t="n">
        <v>0</v>
      </c>
      <c r="Q173" t="n">
        <v>1</v>
      </c>
      <c r="R173" s="2" t="inlineStr">
        <is>
          <t>Spillkråka</t>
        </is>
      </c>
      <c r="S173">
        <f>HYPERLINK("https://klasma.github.io/Logging_0382/artfynd/A 34090-2023 artfynd.xlsx", "A 34090-2023")</f>
        <v/>
      </c>
      <c r="T173">
        <f>HYPERLINK("https://klasma.github.io/Logging_0382/kartor/A 34090-2023 karta.png", "A 34090-2023")</f>
        <v/>
      </c>
      <c r="V173">
        <f>HYPERLINK("https://klasma.github.io/Logging_0382/klagomål/A 34090-2023 FSC-klagomål.docx", "A 34090-2023")</f>
        <v/>
      </c>
      <c r="W173">
        <f>HYPERLINK("https://klasma.github.io/Logging_0382/klagomålsmail/A 34090-2023 FSC-klagomål mail.docx", "A 34090-2023")</f>
        <v/>
      </c>
      <c r="X173">
        <f>HYPERLINK("https://klasma.github.io/Logging_0382/tillsyn/A 34090-2023 tillsynsbegäran.docx", "A 34090-2023")</f>
        <v/>
      </c>
      <c r="Y173">
        <f>HYPERLINK("https://klasma.github.io/Logging_0382/tillsynsmail/A 34090-2023 tillsynsbegäran mail.docx", "A 34090-2023")</f>
        <v/>
      </c>
      <c r="Z173">
        <f>HYPERLINK("https://klasma.github.io/Logging_0382/fåglar/A 34090-2023 prioriterade fågelarter.docx", "A 34090-2023")</f>
        <v/>
      </c>
    </row>
    <row r="174" ht="15" customHeight="1">
      <c r="A174" t="inlineStr">
        <is>
          <t>A 36864-2023</t>
        </is>
      </c>
      <c r="B174" s="1" t="n">
        <v>45154</v>
      </c>
      <c r="C174" s="1" t="n">
        <v>45821</v>
      </c>
      <c r="D174" t="inlineStr">
        <is>
          <t>UPPSALA LÄN</t>
        </is>
      </c>
      <c r="E174" t="inlineStr">
        <is>
          <t>ÖSTHAMMAR</t>
        </is>
      </c>
      <c r="G174" t="n">
        <v>3.1</v>
      </c>
      <c r="H174" t="n">
        <v>0</v>
      </c>
      <c r="I174" t="n">
        <v>1</v>
      </c>
      <c r="J174" t="n">
        <v>0</v>
      </c>
      <c r="K174" t="n">
        <v>0</v>
      </c>
      <c r="L174" t="n">
        <v>0</v>
      </c>
      <c r="M174" t="n">
        <v>0</v>
      </c>
      <c r="N174" t="n">
        <v>0</v>
      </c>
      <c r="O174" t="n">
        <v>0</v>
      </c>
      <c r="P174" t="n">
        <v>0</v>
      </c>
      <c r="Q174" t="n">
        <v>1</v>
      </c>
      <c r="R174" s="2" t="inlineStr">
        <is>
          <t>Bronshjon</t>
        </is>
      </c>
      <c r="S174">
        <f>HYPERLINK("https://klasma.github.io/Logging_0382/artfynd/A 36864-2023 artfynd.xlsx", "A 36864-2023")</f>
        <v/>
      </c>
      <c r="T174">
        <f>HYPERLINK("https://klasma.github.io/Logging_0382/kartor/A 36864-2023 karta.png", "A 36864-2023")</f>
        <v/>
      </c>
      <c r="V174">
        <f>HYPERLINK("https://klasma.github.io/Logging_0382/klagomål/A 36864-2023 FSC-klagomål.docx", "A 36864-2023")</f>
        <v/>
      </c>
      <c r="W174">
        <f>HYPERLINK("https://klasma.github.io/Logging_0382/klagomålsmail/A 36864-2023 FSC-klagomål mail.docx", "A 36864-2023")</f>
        <v/>
      </c>
      <c r="X174">
        <f>HYPERLINK("https://klasma.github.io/Logging_0382/tillsyn/A 36864-2023 tillsynsbegäran.docx", "A 36864-2023")</f>
        <v/>
      </c>
      <c r="Y174">
        <f>HYPERLINK("https://klasma.github.io/Logging_0382/tillsynsmail/A 36864-2023 tillsynsbegäran mail.docx", "A 36864-2023")</f>
        <v/>
      </c>
    </row>
    <row r="175" ht="15" customHeight="1">
      <c r="A175" t="inlineStr">
        <is>
          <t>A 37296-2023</t>
        </is>
      </c>
      <c r="B175" s="1" t="n">
        <v>45156</v>
      </c>
      <c r="C175" s="1" t="n">
        <v>45821</v>
      </c>
      <c r="D175" t="inlineStr">
        <is>
          <t>UPPSALA LÄN</t>
        </is>
      </c>
      <c r="E175" t="inlineStr">
        <is>
          <t>ÖSTHAMMAR</t>
        </is>
      </c>
      <c r="G175" t="n">
        <v>4.7</v>
      </c>
      <c r="H175" t="n">
        <v>1</v>
      </c>
      <c r="I175" t="n">
        <v>0</v>
      </c>
      <c r="J175" t="n">
        <v>0</v>
      </c>
      <c r="K175" t="n">
        <v>1</v>
      </c>
      <c r="L175" t="n">
        <v>0</v>
      </c>
      <c r="M175" t="n">
        <v>0</v>
      </c>
      <c r="N175" t="n">
        <v>0</v>
      </c>
      <c r="O175" t="n">
        <v>1</v>
      </c>
      <c r="P175" t="n">
        <v>1</v>
      </c>
      <c r="Q175" t="n">
        <v>1</v>
      </c>
      <c r="R175" s="2" t="inlineStr">
        <is>
          <t>Backsippa</t>
        </is>
      </c>
      <c r="S175">
        <f>HYPERLINK("https://klasma.github.io/Logging_0382/artfynd/A 37296-2023 artfynd.xlsx", "A 37296-2023")</f>
        <v/>
      </c>
      <c r="T175">
        <f>HYPERLINK("https://klasma.github.io/Logging_0382/kartor/A 37296-2023 karta.png", "A 37296-2023")</f>
        <v/>
      </c>
      <c r="V175">
        <f>HYPERLINK("https://klasma.github.io/Logging_0382/klagomål/A 37296-2023 FSC-klagomål.docx", "A 37296-2023")</f>
        <v/>
      </c>
      <c r="W175">
        <f>HYPERLINK("https://klasma.github.io/Logging_0382/klagomålsmail/A 37296-2023 FSC-klagomål mail.docx", "A 37296-2023")</f>
        <v/>
      </c>
      <c r="X175">
        <f>HYPERLINK("https://klasma.github.io/Logging_0382/tillsyn/A 37296-2023 tillsynsbegäran.docx", "A 37296-2023")</f>
        <v/>
      </c>
      <c r="Y175">
        <f>HYPERLINK("https://klasma.github.io/Logging_0382/tillsynsmail/A 37296-2023 tillsynsbegäran mail.docx", "A 37296-2023")</f>
        <v/>
      </c>
    </row>
    <row r="176" ht="15" customHeight="1">
      <c r="A176" t="inlineStr">
        <is>
          <t>A 53706-2023</t>
        </is>
      </c>
      <c r="B176" s="1" t="n">
        <v>45230</v>
      </c>
      <c r="C176" s="1" t="n">
        <v>45821</v>
      </c>
      <c r="D176" t="inlineStr">
        <is>
          <t>UPPSALA LÄN</t>
        </is>
      </c>
      <c r="E176" t="inlineStr">
        <is>
          <t>ÖSTHAMMAR</t>
        </is>
      </c>
      <c r="G176" t="n">
        <v>2.9</v>
      </c>
      <c r="H176" t="n">
        <v>0</v>
      </c>
      <c r="I176" t="n">
        <v>1</v>
      </c>
      <c r="J176" t="n">
        <v>0</v>
      </c>
      <c r="K176" t="n">
        <v>0</v>
      </c>
      <c r="L176" t="n">
        <v>0</v>
      </c>
      <c r="M176" t="n">
        <v>0</v>
      </c>
      <c r="N176" t="n">
        <v>0</v>
      </c>
      <c r="O176" t="n">
        <v>0</v>
      </c>
      <c r="P176" t="n">
        <v>0</v>
      </c>
      <c r="Q176" t="n">
        <v>1</v>
      </c>
      <c r="R176" s="2" t="inlineStr">
        <is>
          <t>Dofttråding</t>
        </is>
      </c>
      <c r="S176">
        <f>HYPERLINK("https://klasma.github.io/Logging_0382/artfynd/A 53706-2023 artfynd.xlsx", "A 53706-2023")</f>
        <v/>
      </c>
      <c r="T176">
        <f>HYPERLINK("https://klasma.github.io/Logging_0382/kartor/A 53706-2023 karta.png", "A 53706-2023")</f>
        <v/>
      </c>
      <c r="V176">
        <f>HYPERLINK("https://klasma.github.io/Logging_0382/klagomål/A 53706-2023 FSC-klagomål.docx", "A 53706-2023")</f>
        <v/>
      </c>
      <c r="W176">
        <f>HYPERLINK("https://klasma.github.io/Logging_0382/klagomålsmail/A 53706-2023 FSC-klagomål mail.docx", "A 53706-2023")</f>
        <v/>
      </c>
      <c r="X176">
        <f>HYPERLINK("https://klasma.github.io/Logging_0382/tillsyn/A 53706-2023 tillsynsbegäran.docx", "A 53706-2023")</f>
        <v/>
      </c>
      <c r="Y176">
        <f>HYPERLINK("https://klasma.github.io/Logging_0382/tillsynsmail/A 53706-2023 tillsynsbegäran mail.docx", "A 53706-2023")</f>
        <v/>
      </c>
    </row>
    <row r="177" ht="15" customHeight="1">
      <c r="A177" t="inlineStr">
        <is>
          <t>A 53729-2023</t>
        </is>
      </c>
      <c r="B177" s="1" t="n">
        <v>45230</v>
      </c>
      <c r="C177" s="1" t="n">
        <v>45821</v>
      </c>
      <c r="D177" t="inlineStr">
        <is>
          <t>UPPSALA LÄN</t>
        </is>
      </c>
      <c r="E177" t="inlineStr">
        <is>
          <t>ÖSTHAMMAR</t>
        </is>
      </c>
      <c r="G177" t="n">
        <v>2.6</v>
      </c>
      <c r="H177" t="n">
        <v>1</v>
      </c>
      <c r="I177" t="n">
        <v>0</v>
      </c>
      <c r="J177" t="n">
        <v>0</v>
      </c>
      <c r="K177" t="n">
        <v>0</v>
      </c>
      <c r="L177" t="n">
        <v>0</v>
      </c>
      <c r="M177" t="n">
        <v>0</v>
      </c>
      <c r="N177" t="n">
        <v>0</v>
      </c>
      <c r="O177" t="n">
        <v>0</v>
      </c>
      <c r="P177" t="n">
        <v>0</v>
      </c>
      <c r="Q177" t="n">
        <v>1</v>
      </c>
      <c r="R177" s="2" t="inlineStr">
        <is>
          <t>Gullviva</t>
        </is>
      </c>
      <c r="S177">
        <f>HYPERLINK("https://klasma.github.io/Logging_0382/artfynd/A 53729-2023 artfynd.xlsx", "A 53729-2023")</f>
        <v/>
      </c>
      <c r="T177">
        <f>HYPERLINK("https://klasma.github.io/Logging_0382/kartor/A 53729-2023 karta.png", "A 53729-2023")</f>
        <v/>
      </c>
      <c r="V177">
        <f>HYPERLINK("https://klasma.github.io/Logging_0382/klagomål/A 53729-2023 FSC-klagomål.docx", "A 53729-2023")</f>
        <v/>
      </c>
      <c r="W177">
        <f>HYPERLINK("https://klasma.github.io/Logging_0382/klagomålsmail/A 53729-2023 FSC-klagomål mail.docx", "A 53729-2023")</f>
        <v/>
      </c>
      <c r="X177">
        <f>HYPERLINK("https://klasma.github.io/Logging_0382/tillsyn/A 53729-2023 tillsynsbegäran.docx", "A 53729-2023")</f>
        <v/>
      </c>
      <c r="Y177">
        <f>HYPERLINK("https://klasma.github.io/Logging_0382/tillsynsmail/A 53729-2023 tillsynsbegäran mail.docx", "A 53729-2023")</f>
        <v/>
      </c>
    </row>
    <row r="178" ht="15" customHeight="1">
      <c r="A178" t="inlineStr">
        <is>
          <t>A 55492-2023</t>
        </is>
      </c>
      <c r="B178" s="1" t="n">
        <v>45238</v>
      </c>
      <c r="C178" s="1" t="n">
        <v>45821</v>
      </c>
      <c r="D178" t="inlineStr">
        <is>
          <t>UPPSALA LÄN</t>
        </is>
      </c>
      <c r="E178" t="inlineStr">
        <is>
          <t>ÖSTHAMMAR</t>
        </is>
      </c>
      <c r="G178" t="n">
        <v>3.1</v>
      </c>
      <c r="H178" t="n">
        <v>0</v>
      </c>
      <c r="I178" t="n">
        <v>0</v>
      </c>
      <c r="J178" t="n">
        <v>0</v>
      </c>
      <c r="K178" t="n">
        <v>1</v>
      </c>
      <c r="L178" t="n">
        <v>0</v>
      </c>
      <c r="M178" t="n">
        <v>0</v>
      </c>
      <c r="N178" t="n">
        <v>0</v>
      </c>
      <c r="O178" t="n">
        <v>1</v>
      </c>
      <c r="P178" t="n">
        <v>1</v>
      </c>
      <c r="Q178" t="n">
        <v>1</v>
      </c>
      <c r="R178" s="2" t="inlineStr">
        <is>
          <t>Violgubbe</t>
        </is>
      </c>
      <c r="S178">
        <f>HYPERLINK("https://klasma.github.io/Logging_0382/artfynd/A 55492-2023 artfynd.xlsx", "A 55492-2023")</f>
        <v/>
      </c>
      <c r="T178">
        <f>HYPERLINK("https://klasma.github.io/Logging_0382/kartor/A 55492-2023 karta.png", "A 55492-2023")</f>
        <v/>
      </c>
      <c r="V178">
        <f>HYPERLINK("https://klasma.github.io/Logging_0382/klagomål/A 55492-2023 FSC-klagomål.docx", "A 55492-2023")</f>
        <v/>
      </c>
      <c r="W178">
        <f>HYPERLINK("https://klasma.github.io/Logging_0382/klagomålsmail/A 55492-2023 FSC-klagomål mail.docx", "A 55492-2023")</f>
        <v/>
      </c>
      <c r="X178">
        <f>HYPERLINK("https://klasma.github.io/Logging_0382/tillsyn/A 55492-2023 tillsynsbegäran.docx", "A 55492-2023")</f>
        <v/>
      </c>
      <c r="Y178">
        <f>HYPERLINK("https://klasma.github.io/Logging_0382/tillsynsmail/A 55492-2023 tillsynsbegäran mail.docx", "A 55492-2023")</f>
        <v/>
      </c>
    </row>
    <row r="179" ht="15" customHeight="1">
      <c r="A179" t="inlineStr">
        <is>
          <t>A 57598-2023</t>
        </is>
      </c>
      <c r="B179" s="1" t="n">
        <v>45246</v>
      </c>
      <c r="C179" s="1" t="n">
        <v>45821</v>
      </c>
      <c r="D179" t="inlineStr">
        <is>
          <t>UPPSALA LÄN</t>
        </is>
      </c>
      <c r="E179" t="inlineStr">
        <is>
          <t>ÖSTHAMMAR</t>
        </is>
      </c>
      <c r="F179" t="inlineStr">
        <is>
          <t>Bergvik skog öst AB</t>
        </is>
      </c>
      <c r="G179" t="n">
        <v>1</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57598-2023 artfynd.xlsx", "A 57598-2023")</f>
        <v/>
      </c>
      <c r="T179">
        <f>HYPERLINK("https://klasma.github.io/Logging_0382/kartor/A 57598-2023 karta.png", "A 57598-2023")</f>
        <v/>
      </c>
      <c r="V179">
        <f>HYPERLINK("https://klasma.github.io/Logging_0382/klagomål/A 57598-2023 FSC-klagomål.docx", "A 57598-2023")</f>
        <v/>
      </c>
      <c r="W179">
        <f>HYPERLINK("https://klasma.github.io/Logging_0382/klagomålsmail/A 57598-2023 FSC-klagomål mail.docx", "A 57598-2023")</f>
        <v/>
      </c>
      <c r="X179">
        <f>HYPERLINK("https://klasma.github.io/Logging_0382/tillsyn/A 57598-2023 tillsynsbegäran.docx", "A 57598-2023")</f>
        <v/>
      </c>
      <c r="Y179">
        <f>HYPERLINK("https://klasma.github.io/Logging_0382/tillsynsmail/A 57598-2023 tillsynsbegäran mail.docx", "A 57598-2023")</f>
        <v/>
      </c>
    </row>
    <row r="180" ht="15" customHeight="1">
      <c r="A180" t="inlineStr">
        <is>
          <t>A 57607-2023</t>
        </is>
      </c>
      <c r="B180" s="1" t="n">
        <v>45246</v>
      </c>
      <c r="C180" s="1" t="n">
        <v>45821</v>
      </c>
      <c r="D180" t="inlineStr">
        <is>
          <t>UPPSALA LÄN</t>
        </is>
      </c>
      <c r="E180" t="inlineStr">
        <is>
          <t>ÖSTHAMMAR</t>
        </is>
      </c>
      <c r="F180" t="inlineStr">
        <is>
          <t>Bergvik skog öst AB</t>
        </is>
      </c>
      <c r="G180" t="n">
        <v>5.8</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57607-2023 artfynd.xlsx", "A 57607-2023")</f>
        <v/>
      </c>
      <c r="T180">
        <f>HYPERLINK("https://klasma.github.io/Logging_0382/kartor/A 57607-2023 karta.png", "A 57607-2023")</f>
        <v/>
      </c>
      <c r="V180">
        <f>HYPERLINK("https://klasma.github.io/Logging_0382/klagomål/A 57607-2023 FSC-klagomål.docx", "A 57607-2023")</f>
        <v/>
      </c>
      <c r="W180">
        <f>HYPERLINK("https://klasma.github.io/Logging_0382/klagomålsmail/A 57607-2023 FSC-klagomål mail.docx", "A 57607-2023")</f>
        <v/>
      </c>
      <c r="X180">
        <f>HYPERLINK("https://klasma.github.io/Logging_0382/tillsyn/A 57607-2023 tillsynsbegäran.docx", "A 57607-2023")</f>
        <v/>
      </c>
      <c r="Y180">
        <f>HYPERLINK("https://klasma.github.io/Logging_0382/tillsynsmail/A 57607-2023 tillsynsbegäran mail.docx", "A 57607-2023")</f>
        <v/>
      </c>
    </row>
    <row r="181" ht="15" customHeight="1">
      <c r="A181" t="inlineStr">
        <is>
          <t>A 57640-2023</t>
        </is>
      </c>
      <c r="B181" s="1" t="n">
        <v>45246</v>
      </c>
      <c r="C181" s="1" t="n">
        <v>45821</v>
      </c>
      <c r="D181" t="inlineStr">
        <is>
          <t>UPPSALA LÄN</t>
        </is>
      </c>
      <c r="E181" t="inlineStr">
        <is>
          <t>ÖSTHAMMAR</t>
        </is>
      </c>
      <c r="F181" t="inlineStr">
        <is>
          <t>Bergvik skog öst AB</t>
        </is>
      </c>
      <c r="G181" t="n">
        <v>2.3</v>
      </c>
      <c r="H181" t="n">
        <v>0</v>
      </c>
      <c r="I181" t="n">
        <v>1</v>
      </c>
      <c r="J181" t="n">
        <v>0</v>
      </c>
      <c r="K181" t="n">
        <v>0</v>
      </c>
      <c r="L181" t="n">
        <v>0</v>
      </c>
      <c r="M181" t="n">
        <v>0</v>
      </c>
      <c r="N181" t="n">
        <v>0</v>
      </c>
      <c r="O181" t="n">
        <v>0</v>
      </c>
      <c r="P181" t="n">
        <v>0</v>
      </c>
      <c r="Q181" t="n">
        <v>1</v>
      </c>
      <c r="R181" s="2" t="inlineStr">
        <is>
          <t>Svavelriska</t>
        </is>
      </c>
      <c r="S181">
        <f>HYPERLINK("https://klasma.github.io/Logging_0382/artfynd/A 57640-2023 artfynd.xlsx", "A 57640-2023")</f>
        <v/>
      </c>
      <c r="T181">
        <f>HYPERLINK("https://klasma.github.io/Logging_0382/kartor/A 57640-2023 karta.png", "A 57640-2023")</f>
        <v/>
      </c>
      <c r="V181">
        <f>HYPERLINK("https://klasma.github.io/Logging_0382/klagomål/A 57640-2023 FSC-klagomål.docx", "A 57640-2023")</f>
        <v/>
      </c>
      <c r="W181">
        <f>HYPERLINK("https://klasma.github.io/Logging_0382/klagomålsmail/A 57640-2023 FSC-klagomål mail.docx", "A 57640-2023")</f>
        <v/>
      </c>
      <c r="X181">
        <f>HYPERLINK("https://klasma.github.io/Logging_0382/tillsyn/A 57640-2023 tillsynsbegäran.docx", "A 57640-2023")</f>
        <v/>
      </c>
      <c r="Y181">
        <f>HYPERLINK("https://klasma.github.io/Logging_0382/tillsynsmail/A 57640-2023 tillsynsbegäran mail.docx", "A 57640-2023")</f>
        <v/>
      </c>
    </row>
    <row r="182" ht="15" customHeight="1">
      <c r="A182" t="inlineStr">
        <is>
          <t>A 4048-2024</t>
        </is>
      </c>
      <c r="B182" s="1" t="n">
        <v>45323</v>
      </c>
      <c r="C182" s="1" t="n">
        <v>45821</v>
      </c>
      <c r="D182" t="inlineStr">
        <is>
          <t>UPPSALA LÄN</t>
        </is>
      </c>
      <c r="E182" t="inlineStr">
        <is>
          <t>ÖSTHAMMAR</t>
        </is>
      </c>
      <c r="F182" t="inlineStr">
        <is>
          <t>Övriga Aktiebolag</t>
        </is>
      </c>
      <c r="G182" t="n">
        <v>21.2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4048-2024 artfynd.xlsx", "A 4048-2024")</f>
        <v/>
      </c>
      <c r="T182">
        <f>HYPERLINK("https://klasma.github.io/Logging_0382/kartor/A 4048-2024 karta.png", "A 4048-2024")</f>
        <v/>
      </c>
      <c r="V182">
        <f>HYPERLINK("https://klasma.github.io/Logging_0382/klagomål/A 4048-2024 FSC-klagomål.docx", "A 4048-2024")</f>
        <v/>
      </c>
      <c r="W182">
        <f>HYPERLINK("https://klasma.github.io/Logging_0382/klagomålsmail/A 4048-2024 FSC-klagomål mail.docx", "A 4048-2024")</f>
        <v/>
      </c>
      <c r="X182">
        <f>HYPERLINK("https://klasma.github.io/Logging_0382/tillsyn/A 4048-2024 tillsynsbegäran.docx", "A 4048-2024")</f>
        <v/>
      </c>
      <c r="Y182">
        <f>HYPERLINK("https://klasma.github.io/Logging_0382/tillsynsmail/A 4048-2024 tillsynsbegäran mail.docx", "A 4048-2024")</f>
        <v/>
      </c>
    </row>
    <row r="183" ht="15" customHeight="1">
      <c r="A183" t="inlineStr">
        <is>
          <t>A 10210-2024</t>
        </is>
      </c>
      <c r="B183" s="1" t="n">
        <v>45364</v>
      </c>
      <c r="C183" s="1" t="n">
        <v>45821</v>
      </c>
      <c r="D183" t="inlineStr">
        <is>
          <t>UPPSALA LÄN</t>
        </is>
      </c>
      <c r="E183" t="inlineStr">
        <is>
          <t>ÖSTHAMMAR</t>
        </is>
      </c>
      <c r="F183" t="inlineStr">
        <is>
          <t>Bergvik skog öst AB</t>
        </is>
      </c>
      <c r="G183" t="n">
        <v>18</v>
      </c>
      <c r="H183" t="n">
        <v>1</v>
      </c>
      <c r="I183" t="n">
        <v>0</v>
      </c>
      <c r="J183" t="n">
        <v>0</v>
      </c>
      <c r="K183" t="n">
        <v>0</v>
      </c>
      <c r="L183" t="n">
        <v>0</v>
      </c>
      <c r="M183" t="n">
        <v>0</v>
      </c>
      <c r="N183" t="n">
        <v>0</v>
      </c>
      <c r="O183" t="n">
        <v>0</v>
      </c>
      <c r="P183" t="n">
        <v>0</v>
      </c>
      <c r="Q183" t="n">
        <v>1</v>
      </c>
      <c r="R183" s="2" t="inlineStr">
        <is>
          <t>Tjäder</t>
        </is>
      </c>
      <c r="S183">
        <f>HYPERLINK("https://klasma.github.io/Logging_0382/artfynd/A 10210-2024 artfynd.xlsx", "A 10210-2024")</f>
        <v/>
      </c>
      <c r="T183">
        <f>HYPERLINK("https://klasma.github.io/Logging_0382/kartor/A 10210-2024 karta.png", "A 10210-2024")</f>
        <v/>
      </c>
      <c r="V183">
        <f>HYPERLINK("https://klasma.github.io/Logging_0382/klagomål/A 10210-2024 FSC-klagomål.docx", "A 10210-2024")</f>
        <v/>
      </c>
      <c r="W183">
        <f>HYPERLINK("https://klasma.github.io/Logging_0382/klagomålsmail/A 10210-2024 FSC-klagomål mail.docx", "A 10210-2024")</f>
        <v/>
      </c>
      <c r="X183">
        <f>HYPERLINK("https://klasma.github.io/Logging_0382/tillsyn/A 10210-2024 tillsynsbegäran.docx", "A 10210-2024")</f>
        <v/>
      </c>
      <c r="Y183">
        <f>HYPERLINK("https://klasma.github.io/Logging_0382/tillsynsmail/A 10210-2024 tillsynsbegäran mail.docx", "A 10210-2024")</f>
        <v/>
      </c>
      <c r="Z183">
        <f>HYPERLINK("https://klasma.github.io/Logging_0382/fåglar/A 10210-2024 prioriterade fågelarter.docx", "A 10210-2024")</f>
        <v/>
      </c>
    </row>
    <row r="184" ht="15" customHeight="1">
      <c r="A184" t="inlineStr">
        <is>
          <t>A 12753-2024</t>
        </is>
      </c>
      <c r="B184" s="1" t="n">
        <v>45384</v>
      </c>
      <c r="C184" s="1" t="n">
        <v>45821</v>
      </c>
      <c r="D184" t="inlineStr">
        <is>
          <t>UPPSALA LÄN</t>
        </is>
      </c>
      <c r="E184" t="inlineStr">
        <is>
          <t>ÖSTHAMMAR</t>
        </is>
      </c>
      <c r="G184" t="n">
        <v>1.7</v>
      </c>
      <c r="H184" t="n">
        <v>0</v>
      </c>
      <c r="I184" t="n">
        <v>0</v>
      </c>
      <c r="J184" t="n">
        <v>1</v>
      </c>
      <c r="K184" t="n">
        <v>0</v>
      </c>
      <c r="L184" t="n">
        <v>0</v>
      </c>
      <c r="M184" t="n">
        <v>0</v>
      </c>
      <c r="N184" t="n">
        <v>0</v>
      </c>
      <c r="O184" t="n">
        <v>1</v>
      </c>
      <c r="P184" t="n">
        <v>0</v>
      </c>
      <c r="Q184" t="n">
        <v>1</v>
      </c>
      <c r="R184" s="2" t="inlineStr">
        <is>
          <t>Flattoppad klubbsvamp</t>
        </is>
      </c>
      <c r="S184">
        <f>HYPERLINK("https://klasma.github.io/Logging_0382/artfynd/A 12753-2024 artfynd.xlsx", "A 12753-2024")</f>
        <v/>
      </c>
      <c r="T184">
        <f>HYPERLINK("https://klasma.github.io/Logging_0382/kartor/A 12753-2024 karta.png", "A 12753-2024")</f>
        <v/>
      </c>
      <c r="V184">
        <f>HYPERLINK("https://klasma.github.io/Logging_0382/klagomål/A 12753-2024 FSC-klagomål.docx", "A 12753-2024")</f>
        <v/>
      </c>
      <c r="W184">
        <f>HYPERLINK("https://klasma.github.io/Logging_0382/klagomålsmail/A 12753-2024 FSC-klagomål mail.docx", "A 12753-2024")</f>
        <v/>
      </c>
      <c r="X184">
        <f>HYPERLINK("https://klasma.github.io/Logging_0382/tillsyn/A 12753-2024 tillsynsbegäran.docx", "A 12753-2024")</f>
        <v/>
      </c>
      <c r="Y184">
        <f>HYPERLINK("https://klasma.github.io/Logging_0382/tillsynsmail/A 12753-2024 tillsynsbegäran mail.docx", "A 12753-2024")</f>
        <v/>
      </c>
    </row>
    <row r="185" ht="15" customHeight="1">
      <c r="A185" t="inlineStr">
        <is>
          <t>A 14203-2024</t>
        </is>
      </c>
      <c r="B185" s="1" t="n">
        <v>45393</v>
      </c>
      <c r="C185" s="1" t="n">
        <v>45821</v>
      </c>
      <c r="D185" t="inlineStr">
        <is>
          <t>UPPSALA LÄN</t>
        </is>
      </c>
      <c r="E185" t="inlineStr">
        <is>
          <t>ÖSTHAMMAR</t>
        </is>
      </c>
      <c r="G185" t="n">
        <v>1.4</v>
      </c>
      <c r="H185" t="n">
        <v>0</v>
      </c>
      <c r="I185" t="n">
        <v>0</v>
      </c>
      <c r="J185" t="n">
        <v>1</v>
      </c>
      <c r="K185" t="n">
        <v>0</v>
      </c>
      <c r="L185" t="n">
        <v>0</v>
      </c>
      <c r="M185" t="n">
        <v>0</v>
      </c>
      <c r="N185" t="n">
        <v>0</v>
      </c>
      <c r="O185" t="n">
        <v>1</v>
      </c>
      <c r="P185" t="n">
        <v>0</v>
      </c>
      <c r="Q185" t="n">
        <v>1</v>
      </c>
      <c r="R185" s="2" t="inlineStr">
        <is>
          <t>Scharlakansvaxing</t>
        </is>
      </c>
      <c r="S185">
        <f>HYPERLINK("https://klasma.github.io/Logging_0382/artfynd/A 14203-2024 artfynd.xlsx", "A 14203-2024")</f>
        <v/>
      </c>
      <c r="T185">
        <f>HYPERLINK("https://klasma.github.io/Logging_0382/kartor/A 14203-2024 karta.png", "A 14203-2024")</f>
        <v/>
      </c>
      <c r="V185">
        <f>HYPERLINK("https://klasma.github.io/Logging_0382/klagomål/A 14203-2024 FSC-klagomål.docx", "A 14203-2024")</f>
        <v/>
      </c>
      <c r="W185">
        <f>HYPERLINK("https://klasma.github.io/Logging_0382/klagomålsmail/A 14203-2024 FSC-klagomål mail.docx", "A 14203-2024")</f>
        <v/>
      </c>
      <c r="X185">
        <f>HYPERLINK("https://klasma.github.io/Logging_0382/tillsyn/A 14203-2024 tillsynsbegäran.docx", "A 14203-2024")</f>
        <v/>
      </c>
      <c r="Y185">
        <f>HYPERLINK("https://klasma.github.io/Logging_0382/tillsynsmail/A 14203-2024 tillsynsbegäran mail.docx", "A 14203-2024")</f>
        <v/>
      </c>
    </row>
    <row r="186" ht="15" customHeight="1">
      <c r="A186" t="inlineStr">
        <is>
          <t>A 22375-2024</t>
        </is>
      </c>
      <c r="B186" s="1" t="n">
        <v>45446</v>
      </c>
      <c r="C186" s="1" t="n">
        <v>45821</v>
      </c>
      <c r="D186" t="inlineStr">
        <is>
          <t>UPPSALA LÄN</t>
        </is>
      </c>
      <c r="E186" t="inlineStr">
        <is>
          <t>ÖSTHAMMAR</t>
        </is>
      </c>
      <c r="F186" t="inlineStr">
        <is>
          <t>Bergvik skog öst AB</t>
        </is>
      </c>
      <c r="G186" t="n">
        <v>2.2</v>
      </c>
      <c r="H186" t="n">
        <v>0</v>
      </c>
      <c r="I186" t="n">
        <v>0</v>
      </c>
      <c r="J186" t="n">
        <v>1</v>
      </c>
      <c r="K186" t="n">
        <v>0</v>
      </c>
      <c r="L186" t="n">
        <v>0</v>
      </c>
      <c r="M186" t="n">
        <v>0</v>
      </c>
      <c r="N186" t="n">
        <v>0</v>
      </c>
      <c r="O186" t="n">
        <v>1</v>
      </c>
      <c r="P186" t="n">
        <v>0</v>
      </c>
      <c r="Q186" t="n">
        <v>1</v>
      </c>
      <c r="R186" s="2" t="inlineStr">
        <is>
          <t>Slåtterfibbla</t>
        </is>
      </c>
      <c r="S186">
        <f>HYPERLINK("https://klasma.github.io/Logging_0382/artfynd/A 22375-2024 artfynd.xlsx", "A 22375-2024")</f>
        <v/>
      </c>
      <c r="T186">
        <f>HYPERLINK("https://klasma.github.io/Logging_0382/kartor/A 22375-2024 karta.png", "A 22375-2024")</f>
        <v/>
      </c>
      <c r="V186">
        <f>HYPERLINK("https://klasma.github.io/Logging_0382/klagomål/A 22375-2024 FSC-klagomål.docx", "A 22375-2024")</f>
        <v/>
      </c>
      <c r="W186">
        <f>HYPERLINK("https://klasma.github.io/Logging_0382/klagomålsmail/A 22375-2024 FSC-klagomål mail.docx", "A 22375-2024")</f>
        <v/>
      </c>
      <c r="X186">
        <f>HYPERLINK("https://klasma.github.io/Logging_0382/tillsyn/A 22375-2024 tillsynsbegäran.docx", "A 22375-2024")</f>
        <v/>
      </c>
      <c r="Y186">
        <f>HYPERLINK("https://klasma.github.io/Logging_0382/tillsynsmail/A 22375-2024 tillsynsbegäran mail.docx", "A 22375-2024")</f>
        <v/>
      </c>
    </row>
    <row r="187" ht="15" customHeight="1">
      <c r="A187" t="inlineStr">
        <is>
          <t>A 36622-2024</t>
        </is>
      </c>
      <c r="B187" s="1" t="n">
        <v>45537</v>
      </c>
      <c r="C187" s="1" t="n">
        <v>45821</v>
      </c>
      <c r="D187" t="inlineStr">
        <is>
          <t>UPPSALA LÄN</t>
        </is>
      </c>
      <c r="E187" t="inlineStr">
        <is>
          <t>ÖSTHAMMAR</t>
        </is>
      </c>
      <c r="F187" t="inlineStr">
        <is>
          <t>Bergvik skog väst AB</t>
        </is>
      </c>
      <c r="G187" t="n">
        <v>5.2</v>
      </c>
      <c r="H187" t="n">
        <v>1</v>
      </c>
      <c r="I187" t="n">
        <v>0</v>
      </c>
      <c r="J187" t="n">
        <v>0</v>
      </c>
      <c r="K187" t="n">
        <v>0</v>
      </c>
      <c r="L187" t="n">
        <v>0</v>
      </c>
      <c r="M187" t="n">
        <v>0</v>
      </c>
      <c r="N187" t="n">
        <v>0</v>
      </c>
      <c r="O187" t="n">
        <v>0</v>
      </c>
      <c r="P187" t="n">
        <v>0</v>
      </c>
      <c r="Q187" t="n">
        <v>1</v>
      </c>
      <c r="R187" s="2" t="inlineStr">
        <is>
          <t>Blåsippa</t>
        </is>
      </c>
      <c r="S187">
        <f>HYPERLINK("https://klasma.github.io/Logging_0382/artfynd/A 36622-2024 artfynd.xlsx", "A 36622-2024")</f>
        <v/>
      </c>
      <c r="T187">
        <f>HYPERLINK("https://klasma.github.io/Logging_0382/kartor/A 36622-2024 karta.png", "A 36622-2024")</f>
        <v/>
      </c>
      <c r="V187">
        <f>HYPERLINK("https://klasma.github.io/Logging_0382/klagomål/A 36622-2024 FSC-klagomål.docx", "A 36622-2024")</f>
        <v/>
      </c>
      <c r="W187">
        <f>HYPERLINK("https://klasma.github.io/Logging_0382/klagomålsmail/A 36622-2024 FSC-klagomål mail.docx", "A 36622-2024")</f>
        <v/>
      </c>
      <c r="X187">
        <f>HYPERLINK("https://klasma.github.io/Logging_0382/tillsyn/A 36622-2024 tillsynsbegäran.docx", "A 36622-2024")</f>
        <v/>
      </c>
      <c r="Y187">
        <f>HYPERLINK("https://klasma.github.io/Logging_0382/tillsynsmail/A 36622-2024 tillsynsbegäran mail.docx", "A 36622-2024")</f>
        <v/>
      </c>
    </row>
    <row r="188" ht="15" customHeight="1">
      <c r="A188" t="inlineStr">
        <is>
          <t>A 46632-2024</t>
        </is>
      </c>
      <c r="B188" s="1" t="n">
        <v>45583</v>
      </c>
      <c r="C188" s="1" t="n">
        <v>45821</v>
      </c>
      <c r="D188" t="inlineStr">
        <is>
          <t>UPPSALA LÄN</t>
        </is>
      </c>
      <c r="E188" t="inlineStr">
        <is>
          <t>ÖSTHAMMAR</t>
        </is>
      </c>
      <c r="F188" t="inlineStr">
        <is>
          <t>Bergvik skog öst AB</t>
        </is>
      </c>
      <c r="G188" t="n">
        <v>5.3</v>
      </c>
      <c r="H188" t="n">
        <v>0</v>
      </c>
      <c r="I188" t="n">
        <v>0</v>
      </c>
      <c r="J188" t="n">
        <v>1</v>
      </c>
      <c r="K188" t="n">
        <v>0</v>
      </c>
      <c r="L188" t="n">
        <v>0</v>
      </c>
      <c r="M188" t="n">
        <v>0</v>
      </c>
      <c r="N188" t="n">
        <v>0</v>
      </c>
      <c r="O188" t="n">
        <v>1</v>
      </c>
      <c r="P188" t="n">
        <v>0</v>
      </c>
      <c r="Q188" t="n">
        <v>1</v>
      </c>
      <c r="R188" s="2" t="inlineStr">
        <is>
          <t>Sexfläckig bastardsvärmare</t>
        </is>
      </c>
      <c r="S188">
        <f>HYPERLINK("https://klasma.github.io/Logging_0382/artfynd/A 46632-2024 artfynd.xlsx", "A 46632-2024")</f>
        <v/>
      </c>
      <c r="T188">
        <f>HYPERLINK("https://klasma.github.io/Logging_0382/kartor/A 46632-2024 karta.png", "A 46632-2024")</f>
        <v/>
      </c>
      <c r="V188">
        <f>HYPERLINK("https://klasma.github.io/Logging_0382/klagomål/A 46632-2024 FSC-klagomål.docx", "A 46632-2024")</f>
        <v/>
      </c>
      <c r="W188">
        <f>HYPERLINK("https://klasma.github.io/Logging_0382/klagomålsmail/A 46632-2024 FSC-klagomål mail.docx", "A 46632-2024")</f>
        <v/>
      </c>
      <c r="X188">
        <f>HYPERLINK("https://klasma.github.io/Logging_0382/tillsyn/A 46632-2024 tillsynsbegäran.docx", "A 46632-2024")</f>
        <v/>
      </c>
      <c r="Y188">
        <f>HYPERLINK("https://klasma.github.io/Logging_0382/tillsynsmail/A 46632-2024 tillsynsbegäran mail.docx", "A 46632-2024")</f>
        <v/>
      </c>
    </row>
    <row r="189" ht="15" customHeight="1">
      <c r="A189" t="inlineStr">
        <is>
          <t>A 46629-2024</t>
        </is>
      </c>
      <c r="B189" s="1" t="n">
        <v>45583</v>
      </c>
      <c r="C189" s="1" t="n">
        <v>45821</v>
      </c>
      <c r="D189" t="inlineStr">
        <is>
          <t>UPPSALA LÄN</t>
        </is>
      </c>
      <c r="E189" t="inlineStr">
        <is>
          <t>ÖSTHAMMAR</t>
        </is>
      </c>
      <c r="F189" t="inlineStr">
        <is>
          <t>Bergvik skog öst AB</t>
        </is>
      </c>
      <c r="G189" t="n">
        <v>0.7</v>
      </c>
      <c r="H189" t="n">
        <v>0</v>
      </c>
      <c r="I189" t="n">
        <v>0</v>
      </c>
      <c r="J189" t="n">
        <v>1</v>
      </c>
      <c r="K189" t="n">
        <v>0</v>
      </c>
      <c r="L189" t="n">
        <v>0</v>
      </c>
      <c r="M189" t="n">
        <v>0</v>
      </c>
      <c r="N189" t="n">
        <v>0</v>
      </c>
      <c r="O189" t="n">
        <v>1</v>
      </c>
      <c r="P189" t="n">
        <v>0</v>
      </c>
      <c r="Q189" t="n">
        <v>1</v>
      </c>
      <c r="R189" s="2" t="inlineStr">
        <is>
          <t>Slåtterfibbla</t>
        </is>
      </c>
      <c r="S189">
        <f>HYPERLINK("https://klasma.github.io/Logging_0382/artfynd/A 46629-2024 artfynd.xlsx", "A 46629-2024")</f>
        <v/>
      </c>
      <c r="T189">
        <f>HYPERLINK("https://klasma.github.io/Logging_0382/kartor/A 46629-2024 karta.png", "A 46629-2024")</f>
        <v/>
      </c>
      <c r="V189">
        <f>HYPERLINK("https://klasma.github.io/Logging_0382/klagomål/A 46629-2024 FSC-klagomål.docx", "A 46629-2024")</f>
        <v/>
      </c>
      <c r="W189">
        <f>HYPERLINK("https://klasma.github.io/Logging_0382/klagomålsmail/A 46629-2024 FSC-klagomål mail.docx", "A 46629-2024")</f>
        <v/>
      </c>
      <c r="X189">
        <f>HYPERLINK("https://klasma.github.io/Logging_0382/tillsyn/A 46629-2024 tillsynsbegäran.docx", "A 46629-2024")</f>
        <v/>
      </c>
      <c r="Y189">
        <f>HYPERLINK("https://klasma.github.io/Logging_0382/tillsynsmail/A 46629-2024 tillsynsbegäran mail.docx", "A 46629-2024")</f>
        <v/>
      </c>
    </row>
    <row r="190" ht="15" customHeight="1">
      <c r="A190" t="inlineStr">
        <is>
          <t>A 55169-2024</t>
        </is>
      </c>
      <c r="B190" s="1" t="n">
        <v>45621</v>
      </c>
      <c r="C190" s="1" t="n">
        <v>45821</v>
      </c>
      <c r="D190" t="inlineStr">
        <is>
          <t>UPPSALA LÄN</t>
        </is>
      </c>
      <c r="E190" t="inlineStr">
        <is>
          <t>ÖSTHAMMAR</t>
        </is>
      </c>
      <c r="G190" t="n">
        <v>1.1</v>
      </c>
      <c r="H190" t="n">
        <v>0</v>
      </c>
      <c r="I190" t="n">
        <v>1</v>
      </c>
      <c r="J190" t="n">
        <v>0</v>
      </c>
      <c r="K190" t="n">
        <v>0</v>
      </c>
      <c r="L190" t="n">
        <v>0</v>
      </c>
      <c r="M190" t="n">
        <v>0</v>
      </c>
      <c r="N190" t="n">
        <v>0</v>
      </c>
      <c r="O190" t="n">
        <v>0</v>
      </c>
      <c r="P190" t="n">
        <v>0</v>
      </c>
      <c r="Q190" t="n">
        <v>1</v>
      </c>
      <c r="R190" s="2" t="inlineStr">
        <is>
          <t>Svavelriska</t>
        </is>
      </c>
      <c r="S190">
        <f>HYPERLINK("https://klasma.github.io/Logging_0382/artfynd/A 55169-2024 artfynd.xlsx", "A 55169-2024")</f>
        <v/>
      </c>
      <c r="T190">
        <f>HYPERLINK("https://klasma.github.io/Logging_0382/kartor/A 55169-2024 karta.png", "A 55169-2024")</f>
        <v/>
      </c>
      <c r="V190">
        <f>HYPERLINK("https://klasma.github.io/Logging_0382/klagomål/A 55169-2024 FSC-klagomål.docx", "A 55169-2024")</f>
        <v/>
      </c>
      <c r="W190">
        <f>HYPERLINK("https://klasma.github.io/Logging_0382/klagomålsmail/A 55169-2024 FSC-klagomål mail.docx", "A 55169-2024")</f>
        <v/>
      </c>
      <c r="X190">
        <f>HYPERLINK("https://klasma.github.io/Logging_0382/tillsyn/A 55169-2024 tillsynsbegäran.docx", "A 55169-2024")</f>
        <v/>
      </c>
      <c r="Y190">
        <f>HYPERLINK("https://klasma.github.io/Logging_0382/tillsynsmail/A 55169-2024 tillsynsbegäran mail.docx", "A 55169-2024")</f>
        <v/>
      </c>
    </row>
    <row r="191" ht="15" customHeight="1">
      <c r="A191" t="inlineStr">
        <is>
          <t>A 6143-2025</t>
        </is>
      </c>
      <c r="B191" s="1" t="n">
        <v>45698</v>
      </c>
      <c r="C191" s="1" t="n">
        <v>45821</v>
      </c>
      <c r="D191" t="inlineStr">
        <is>
          <t>UPPSALA LÄN</t>
        </is>
      </c>
      <c r="E191" t="inlineStr">
        <is>
          <t>ÖSTHAMMAR</t>
        </is>
      </c>
      <c r="F191" t="inlineStr">
        <is>
          <t>Bergvik skog öst AB</t>
        </is>
      </c>
      <c r="G191" t="n">
        <v>3.6</v>
      </c>
      <c r="H191" t="n">
        <v>0</v>
      </c>
      <c r="I191" t="n">
        <v>1</v>
      </c>
      <c r="J191" t="n">
        <v>0</v>
      </c>
      <c r="K191" t="n">
        <v>0</v>
      </c>
      <c r="L191" t="n">
        <v>0</v>
      </c>
      <c r="M191" t="n">
        <v>0</v>
      </c>
      <c r="N191" t="n">
        <v>0</v>
      </c>
      <c r="O191" t="n">
        <v>0</v>
      </c>
      <c r="P191" t="n">
        <v>0</v>
      </c>
      <c r="Q191" t="n">
        <v>1</v>
      </c>
      <c r="R191" s="2" t="inlineStr">
        <is>
          <t>Svavelriska</t>
        </is>
      </c>
      <c r="S191">
        <f>HYPERLINK("https://klasma.github.io/Logging_0382/artfynd/A 6143-2025 artfynd.xlsx", "A 6143-2025")</f>
        <v/>
      </c>
      <c r="T191">
        <f>HYPERLINK("https://klasma.github.io/Logging_0382/kartor/A 6143-2025 karta.png", "A 6143-2025")</f>
        <v/>
      </c>
      <c r="V191">
        <f>HYPERLINK("https://klasma.github.io/Logging_0382/klagomål/A 6143-2025 FSC-klagomål.docx", "A 6143-2025")</f>
        <v/>
      </c>
      <c r="W191">
        <f>HYPERLINK("https://klasma.github.io/Logging_0382/klagomålsmail/A 6143-2025 FSC-klagomål mail.docx", "A 6143-2025")</f>
        <v/>
      </c>
      <c r="X191">
        <f>HYPERLINK("https://klasma.github.io/Logging_0382/tillsyn/A 6143-2025 tillsynsbegäran.docx", "A 6143-2025")</f>
        <v/>
      </c>
      <c r="Y191">
        <f>HYPERLINK("https://klasma.github.io/Logging_0382/tillsynsmail/A 6143-2025 tillsynsbegäran mail.docx", "A 6143-2025")</f>
        <v/>
      </c>
    </row>
    <row r="192" ht="15" customHeight="1">
      <c r="A192" t="inlineStr">
        <is>
          <t>A 17141-2025</t>
        </is>
      </c>
      <c r="B192" s="1" t="n">
        <v>45755</v>
      </c>
      <c r="C192" s="1" t="n">
        <v>45821</v>
      </c>
      <c r="D192" t="inlineStr">
        <is>
          <t>UPPSALA LÄN</t>
        </is>
      </c>
      <c r="E192" t="inlineStr">
        <is>
          <t>ÖSTHAMMAR</t>
        </is>
      </c>
      <c r="F192" t="inlineStr">
        <is>
          <t>Bergvik skog öst AB</t>
        </is>
      </c>
      <c r="G192" t="n">
        <v>7</v>
      </c>
      <c r="H192" t="n">
        <v>1</v>
      </c>
      <c r="I192" t="n">
        <v>1</v>
      </c>
      <c r="J192" t="n">
        <v>0</v>
      </c>
      <c r="K192" t="n">
        <v>0</v>
      </c>
      <c r="L192" t="n">
        <v>0</v>
      </c>
      <c r="M192" t="n">
        <v>0</v>
      </c>
      <c r="N192" t="n">
        <v>0</v>
      </c>
      <c r="O192" t="n">
        <v>0</v>
      </c>
      <c r="P192" t="n">
        <v>0</v>
      </c>
      <c r="Q192" t="n">
        <v>1</v>
      </c>
      <c r="R192" s="2" t="inlineStr">
        <is>
          <t>Grönkulla</t>
        </is>
      </c>
      <c r="S192">
        <f>HYPERLINK("https://klasma.github.io/Logging_030382/artfynd/A 17141-2025 artfynd.xlsx", "A 17141-2025")</f>
        <v/>
      </c>
      <c r="T192">
        <f>HYPERLINK("https://klasma.github.io/Logging_030382/kartor/A 17141-2025 karta.png", "A 17141-2025")</f>
        <v/>
      </c>
      <c r="V192">
        <f>HYPERLINK("https://klasma.github.io/Logging_030382/klagomål/A 17141-2025 FSC-klagomål.docx", "A 17141-2025")</f>
        <v/>
      </c>
      <c r="W192">
        <f>HYPERLINK("https://klasma.github.io/Logging_030382/klagomålsmail/A 17141-2025 FSC-klagomål mail.docx", "A 17141-2025")</f>
        <v/>
      </c>
      <c r="X192">
        <f>HYPERLINK("https://klasma.github.io/Logging_030382/tillsyn/A 17141-2025 tillsynsbegäran.docx", "A 17141-2025")</f>
        <v/>
      </c>
      <c r="Y192">
        <f>HYPERLINK("https://klasma.github.io/Logging_030382/tillsynsmail/A 17141-2025 tillsynsbegäran mail.docx", "A 17141-2025")</f>
        <v/>
      </c>
    </row>
    <row r="193" ht="15" customHeight="1">
      <c r="A193" t="inlineStr">
        <is>
          <t>A 18596-2019</t>
        </is>
      </c>
      <c r="B193" s="1" t="n">
        <v>43560</v>
      </c>
      <c r="C193" s="1" t="n">
        <v>45821</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18781-2019</t>
        </is>
      </c>
      <c r="B194" s="1" t="n">
        <v>43561</v>
      </c>
      <c r="C194" s="1" t="n">
        <v>45821</v>
      </c>
      <c r="D194" t="inlineStr">
        <is>
          <t>UPPSALA LÄN</t>
        </is>
      </c>
      <c r="E194" t="inlineStr">
        <is>
          <t>ÖSTHAMMAR</t>
        </is>
      </c>
      <c r="F194" t="inlineStr">
        <is>
          <t>Bergvik skog öst AB</t>
        </is>
      </c>
      <c r="G194" t="n">
        <v>0.7</v>
      </c>
      <c r="H194" t="n">
        <v>0</v>
      </c>
      <c r="I194" t="n">
        <v>0</v>
      </c>
      <c r="J194" t="n">
        <v>0</v>
      </c>
      <c r="K194" t="n">
        <v>0</v>
      </c>
      <c r="L194" t="n">
        <v>0</v>
      </c>
      <c r="M194" t="n">
        <v>0</v>
      </c>
      <c r="N194" t="n">
        <v>0</v>
      </c>
      <c r="O194" t="n">
        <v>0</v>
      </c>
      <c r="P194" t="n">
        <v>0</v>
      </c>
      <c r="Q194" t="n">
        <v>0</v>
      </c>
      <c r="R194" s="2" t="inlineStr"/>
    </row>
    <row r="195" ht="15" customHeight="1">
      <c r="A195" t="inlineStr">
        <is>
          <t>A 18792-2019</t>
        </is>
      </c>
      <c r="B195" s="1" t="n">
        <v>43562</v>
      </c>
      <c r="C195" s="1" t="n">
        <v>45821</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18800-2019</t>
        </is>
      </c>
      <c r="B196" s="1" t="n">
        <v>43562</v>
      </c>
      <c r="C196" s="1" t="n">
        <v>45821</v>
      </c>
      <c r="D196" t="inlineStr">
        <is>
          <t>UPPSALA LÄN</t>
        </is>
      </c>
      <c r="E196" t="inlineStr">
        <is>
          <t>ÖSTHAMMAR</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20683-2019</t>
        </is>
      </c>
      <c r="B197" s="1" t="n">
        <v>43573</v>
      </c>
      <c r="C197" s="1" t="n">
        <v>45821</v>
      </c>
      <c r="D197" t="inlineStr">
        <is>
          <t>UPPSALA LÄN</t>
        </is>
      </c>
      <c r="E197" t="inlineStr">
        <is>
          <t>ÖSTHAMMAR</t>
        </is>
      </c>
      <c r="G197" t="n">
        <v>2.6</v>
      </c>
      <c r="H197" t="n">
        <v>0</v>
      </c>
      <c r="I197" t="n">
        <v>0</v>
      </c>
      <c r="J197" t="n">
        <v>0</v>
      </c>
      <c r="K197" t="n">
        <v>0</v>
      </c>
      <c r="L197" t="n">
        <v>0</v>
      </c>
      <c r="M197" t="n">
        <v>0</v>
      </c>
      <c r="N197" t="n">
        <v>0</v>
      </c>
      <c r="O197" t="n">
        <v>0</v>
      </c>
      <c r="P197" t="n">
        <v>0</v>
      </c>
      <c r="Q197" t="n">
        <v>0</v>
      </c>
      <c r="R197" s="2" t="inlineStr"/>
    </row>
    <row r="198" ht="15" customHeight="1">
      <c r="A198" t="inlineStr">
        <is>
          <t>A 21471-2019</t>
        </is>
      </c>
      <c r="B198" s="1" t="n">
        <v>43580</v>
      </c>
      <c r="C198" s="1" t="n">
        <v>45821</v>
      </c>
      <c r="D198" t="inlineStr">
        <is>
          <t>UPPSALA LÄN</t>
        </is>
      </c>
      <c r="E198" t="inlineStr">
        <is>
          <t>ÖSTHAMMAR</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22800-2019</t>
        </is>
      </c>
      <c r="B199" s="1" t="n">
        <v>43590</v>
      </c>
      <c r="C199" s="1" t="n">
        <v>45821</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c r="U199">
        <f>HYPERLINK("https://klasma.github.io/Logging_0382/knärot/A 22800-2019 karta knärot.png", "A 22800-2019")</f>
        <v/>
      </c>
      <c r="V199">
        <f>HYPERLINK("https://klasma.github.io/Logging_0382/klagomål/A 22800-2019 FSC-klagomål.docx", "A 22800-2019")</f>
        <v/>
      </c>
      <c r="W199">
        <f>HYPERLINK("https://klasma.github.io/Logging_0382/klagomålsmail/A 22800-2019 FSC-klagomål mail.docx", "A 22800-2019")</f>
        <v/>
      </c>
      <c r="X199">
        <f>HYPERLINK("https://klasma.github.io/Logging_0382/tillsyn/A 22800-2019 tillsynsbegäran.docx", "A 22800-2019")</f>
        <v/>
      </c>
      <c r="Y199">
        <f>HYPERLINK("https://klasma.github.io/Logging_0382/tillsynsmail/A 22800-2019 tillsynsbegäran mail.docx", "A 22800-2019")</f>
        <v/>
      </c>
    </row>
    <row r="200" ht="15" customHeight="1">
      <c r="A200" t="inlineStr">
        <is>
          <t>A 22801-2019</t>
        </is>
      </c>
      <c r="B200" s="1" t="n">
        <v>43590</v>
      </c>
      <c r="C200" s="1" t="n">
        <v>45821</v>
      </c>
      <c r="D200" t="inlineStr">
        <is>
          <t>UPPSALA LÄN</t>
        </is>
      </c>
      <c r="E200" t="inlineStr">
        <is>
          <t>ÖSTHAMMAR</t>
        </is>
      </c>
      <c r="G200" t="n">
        <v>2.2</v>
      </c>
      <c r="H200" t="n">
        <v>0</v>
      </c>
      <c r="I200" t="n">
        <v>0</v>
      </c>
      <c r="J200" t="n">
        <v>0</v>
      </c>
      <c r="K200" t="n">
        <v>0</v>
      </c>
      <c r="L200" t="n">
        <v>0</v>
      </c>
      <c r="M200" t="n">
        <v>0</v>
      </c>
      <c r="N200" t="n">
        <v>0</v>
      </c>
      <c r="O200" t="n">
        <v>0</v>
      </c>
      <c r="P200" t="n">
        <v>0</v>
      </c>
      <c r="Q200" t="n">
        <v>0</v>
      </c>
      <c r="R200" s="2" t="inlineStr"/>
    </row>
    <row r="201" ht="15" customHeight="1">
      <c r="A201" t="inlineStr">
        <is>
          <t>A 23008-2019</t>
        </is>
      </c>
      <c r="B201" s="1" t="n">
        <v>43591</v>
      </c>
      <c r="C201" s="1" t="n">
        <v>45821</v>
      </c>
      <c r="D201" t="inlineStr">
        <is>
          <t>UPPSALA LÄN</t>
        </is>
      </c>
      <c r="E201" t="inlineStr">
        <is>
          <t>ÖSTHAMMAR</t>
        </is>
      </c>
      <c r="G201" t="n">
        <v>4.5</v>
      </c>
      <c r="H201" t="n">
        <v>0</v>
      </c>
      <c r="I201" t="n">
        <v>0</v>
      </c>
      <c r="J201" t="n">
        <v>0</v>
      </c>
      <c r="K201" t="n">
        <v>0</v>
      </c>
      <c r="L201" t="n">
        <v>0</v>
      </c>
      <c r="M201" t="n">
        <v>0</v>
      </c>
      <c r="N201" t="n">
        <v>0</v>
      </c>
      <c r="O201" t="n">
        <v>0</v>
      </c>
      <c r="P201" t="n">
        <v>0</v>
      </c>
      <c r="Q201" t="n">
        <v>0</v>
      </c>
      <c r="R201" s="2" t="inlineStr"/>
    </row>
    <row r="202" ht="15" customHeight="1">
      <c r="A202" t="inlineStr">
        <is>
          <t>A 25874-2019</t>
        </is>
      </c>
      <c r="B202" s="1" t="n">
        <v>43605</v>
      </c>
      <c r="C202" s="1" t="n">
        <v>45821</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25703-2019</t>
        </is>
      </c>
      <c r="B203" s="1" t="n">
        <v>43607</v>
      </c>
      <c r="C203" s="1" t="n">
        <v>45821</v>
      </c>
      <c r="D203" t="inlineStr">
        <is>
          <t>UPPSALA LÄN</t>
        </is>
      </c>
      <c r="E203" t="inlineStr">
        <is>
          <t>ÖSTHAMMAR</t>
        </is>
      </c>
      <c r="F203" t="inlineStr">
        <is>
          <t>Bergvik skog öst AB</t>
        </is>
      </c>
      <c r="G203" t="n">
        <v>2.2</v>
      </c>
      <c r="H203" t="n">
        <v>0</v>
      </c>
      <c r="I203" t="n">
        <v>0</v>
      </c>
      <c r="J203" t="n">
        <v>0</v>
      </c>
      <c r="K203" t="n">
        <v>0</v>
      </c>
      <c r="L203" t="n">
        <v>0</v>
      </c>
      <c r="M203" t="n">
        <v>0</v>
      </c>
      <c r="N203" t="n">
        <v>0</v>
      </c>
      <c r="O203" t="n">
        <v>0</v>
      </c>
      <c r="P203" t="n">
        <v>0</v>
      </c>
      <c r="Q203" t="n">
        <v>0</v>
      </c>
      <c r="R203" s="2" t="inlineStr"/>
    </row>
    <row r="204" ht="15" customHeight="1">
      <c r="A204" t="inlineStr">
        <is>
          <t>A 25708-2019</t>
        </is>
      </c>
      <c r="B204" s="1" t="n">
        <v>43607</v>
      </c>
      <c r="C204" s="1" t="n">
        <v>45821</v>
      </c>
      <c r="D204" t="inlineStr">
        <is>
          <t>UPPSALA LÄN</t>
        </is>
      </c>
      <c r="E204" t="inlineStr">
        <is>
          <t>ÖSTHAMMAR</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25706-2019</t>
        </is>
      </c>
      <c r="B205" s="1" t="n">
        <v>43607</v>
      </c>
      <c r="C205" s="1" t="n">
        <v>45821</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26562-2019</t>
        </is>
      </c>
      <c r="B206" s="1" t="n">
        <v>43612</v>
      </c>
      <c r="C206" s="1" t="n">
        <v>45821</v>
      </c>
      <c r="D206" t="inlineStr">
        <is>
          <t>UPPSALA LÄN</t>
        </is>
      </c>
      <c r="E206" t="inlineStr">
        <is>
          <t>ÖSTHAMMAR</t>
        </is>
      </c>
      <c r="G206" t="n">
        <v>3.2</v>
      </c>
      <c r="H206" t="n">
        <v>0</v>
      </c>
      <c r="I206" t="n">
        <v>0</v>
      </c>
      <c r="J206" t="n">
        <v>0</v>
      </c>
      <c r="K206" t="n">
        <v>0</v>
      </c>
      <c r="L206" t="n">
        <v>0</v>
      </c>
      <c r="M206" t="n">
        <v>0</v>
      </c>
      <c r="N206" t="n">
        <v>0</v>
      </c>
      <c r="O206" t="n">
        <v>0</v>
      </c>
      <c r="P206" t="n">
        <v>0</v>
      </c>
      <c r="Q206" t="n">
        <v>0</v>
      </c>
      <c r="R206" s="2" t="inlineStr"/>
    </row>
    <row r="207" ht="15" customHeight="1">
      <c r="A207" t="inlineStr">
        <is>
          <t>A 26724-2019</t>
        </is>
      </c>
      <c r="B207" s="1" t="n">
        <v>43613</v>
      </c>
      <c r="C207" s="1" t="n">
        <v>45821</v>
      </c>
      <c r="D207" t="inlineStr">
        <is>
          <t>UPPSALA LÄN</t>
        </is>
      </c>
      <c r="E207" t="inlineStr">
        <is>
          <t>ÖSTHAMMAR</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26796-2019</t>
        </is>
      </c>
      <c r="B208" s="1" t="n">
        <v>43613</v>
      </c>
      <c r="C208" s="1" t="n">
        <v>45821</v>
      </c>
      <c r="D208" t="inlineStr">
        <is>
          <t>UPPSALA LÄN</t>
        </is>
      </c>
      <c r="E208" t="inlineStr">
        <is>
          <t>ÖSTHAMMAR</t>
        </is>
      </c>
      <c r="F208" t="inlineStr">
        <is>
          <t>Bergvik skog öst AB</t>
        </is>
      </c>
      <c r="G208" t="n">
        <v>4.4</v>
      </c>
      <c r="H208" t="n">
        <v>0</v>
      </c>
      <c r="I208" t="n">
        <v>0</v>
      </c>
      <c r="J208" t="n">
        <v>0</v>
      </c>
      <c r="K208" t="n">
        <v>0</v>
      </c>
      <c r="L208" t="n">
        <v>0</v>
      </c>
      <c r="M208" t="n">
        <v>0</v>
      </c>
      <c r="N208" t="n">
        <v>0</v>
      </c>
      <c r="O208" t="n">
        <v>0</v>
      </c>
      <c r="P208" t="n">
        <v>0</v>
      </c>
      <c r="Q208" t="n">
        <v>0</v>
      </c>
      <c r="R208" s="2" t="inlineStr"/>
    </row>
    <row r="209" ht="15" customHeight="1">
      <c r="A209" t="inlineStr">
        <is>
          <t>A 27458-2019</t>
        </is>
      </c>
      <c r="B209" s="1" t="n">
        <v>43618</v>
      </c>
      <c r="C209" s="1" t="n">
        <v>45821</v>
      </c>
      <c r="D209" t="inlineStr">
        <is>
          <t>UPPSALA LÄN</t>
        </is>
      </c>
      <c r="E209" t="inlineStr">
        <is>
          <t>ÖSTHAMMAR</t>
        </is>
      </c>
      <c r="F209" t="inlineStr">
        <is>
          <t>Bergvik skog öst AB</t>
        </is>
      </c>
      <c r="G209" t="n">
        <v>1.8</v>
      </c>
      <c r="H209" t="n">
        <v>0</v>
      </c>
      <c r="I209" t="n">
        <v>0</v>
      </c>
      <c r="J209" t="n">
        <v>0</v>
      </c>
      <c r="K209" t="n">
        <v>0</v>
      </c>
      <c r="L209" t="n">
        <v>0</v>
      </c>
      <c r="M209" t="n">
        <v>0</v>
      </c>
      <c r="N209" t="n">
        <v>0</v>
      </c>
      <c r="O209" t="n">
        <v>0</v>
      </c>
      <c r="P209" t="n">
        <v>0</v>
      </c>
      <c r="Q209" t="n">
        <v>0</v>
      </c>
      <c r="R209" s="2" t="inlineStr"/>
    </row>
    <row r="210" ht="15" customHeight="1">
      <c r="A210" t="inlineStr">
        <is>
          <t>A 29204-2019</t>
        </is>
      </c>
      <c r="B210" s="1" t="n">
        <v>43623</v>
      </c>
      <c r="C210" s="1" t="n">
        <v>45821</v>
      </c>
      <c r="D210" t="inlineStr">
        <is>
          <t>UPPSALA LÄN</t>
        </is>
      </c>
      <c r="E210" t="inlineStr">
        <is>
          <t>ÖSTHAMMAR</t>
        </is>
      </c>
      <c r="G210" t="n">
        <v>8.800000000000001</v>
      </c>
      <c r="H210" t="n">
        <v>0</v>
      </c>
      <c r="I210" t="n">
        <v>0</v>
      </c>
      <c r="J210" t="n">
        <v>0</v>
      </c>
      <c r="K210" t="n">
        <v>0</v>
      </c>
      <c r="L210" t="n">
        <v>0</v>
      </c>
      <c r="M210" t="n">
        <v>0</v>
      </c>
      <c r="N210" t="n">
        <v>0</v>
      </c>
      <c r="O210" t="n">
        <v>0</v>
      </c>
      <c r="P210" t="n">
        <v>0</v>
      </c>
      <c r="Q210" t="n">
        <v>0</v>
      </c>
      <c r="R210" s="2" t="inlineStr"/>
    </row>
    <row r="211" ht="15" customHeight="1">
      <c r="A211" t="inlineStr">
        <is>
          <t>A 31106-2019</t>
        </is>
      </c>
      <c r="B211" s="1" t="n">
        <v>43635</v>
      </c>
      <c r="C211" s="1" t="n">
        <v>45821</v>
      </c>
      <c r="D211" t="inlineStr">
        <is>
          <t>UPPSALA LÄN</t>
        </is>
      </c>
      <c r="E211" t="inlineStr">
        <is>
          <t>ÖSTHAMMAR</t>
        </is>
      </c>
      <c r="F211" t="inlineStr">
        <is>
          <t>Övriga statliga verk och myndigheter</t>
        </is>
      </c>
      <c r="G211" t="n">
        <v>1.5</v>
      </c>
      <c r="H211" t="n">
        <v>0</v>
      </c>
      <c r="I211" t="n">
        <v>0</v>
      </c>
      <c r="J211" t="n">
        <v>0</v>
      </c>
      <c r="K211" t="n">
        <v>0</v>
      </c>
      <c r="L211" t="n">
        <v>0</v>
      </c>
      <c r="M211" t="n">
        <v>0</v>
      </c>
      <c r="N211" t="n">
        <v>0</v>
      </c>
      <c r="O211" t="n">
        <v>0</v>
      </c>
      <c r="P211" t="n">
        <v>0</v>
      </c>
      <c r="Q211" t="n">
        <v>0</v>
      </c>
      <c r="R211" s="2" t="inlineStr"/>
    </row>
    <row r="212" ht="15" customHeight="1">
      <c r="A212" t="inlineStr">
        <is>
          <t>A 31716-2019</t>
        </is>
      </c>
      <c r="B212" s="1" t="n">
        <v>43642</v>
      </c>
      <c r="C212" s="1" t="n">
        <v>45821</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31882-2019</t>
        </is>
      </c>
      <c r="B213" s="1" t="n">
        <v>43642</v>
      </c>
      <c r="C213" s="1" t="n">
        <v>45821</v>
      </c>
      <c r="D213" t="inlineStr">
        <is>
          <t>UPPSALA LÄN</t>
        </is>
      </c>
      <c r="E213" t="inlineStr">
        <is>
          <t>ÖSTHAMMAR</t>
        </is>
      </c>
      <c r="G213" t="n">
        <v>3.5</v>
      </c>
      <c r="H213" t="n">
        <v>0</v>
      </c>
      <c r="I213" t="n">
        <v>0</v>
      </c>
      <c r="J213" t="n">
        <v>0</v>
      </c>
      <c r="K213" t="n">
        <v>0</v>
      </c>
      <c r="L213" t="n">
        <v>0</v>
      </c>
      <c r="M213" t="n">
        <v>0</v>
      </c>
      <c r="N213" t="n">
        <v>0</v>
      </c>
      <c r="O213" t="n">
        <v>0</v>
      </c>
      <c r="P213" t="n">
        <v>0</v>
      </c>
      <c r="Q213" t="n">
        <v>0</v>
      </c>
      <c r="R213" s="2" t="inlineStr"/>
    </row>
    <row r="214" ht="15" customHeight="1">
      <c r="A214" t="inlineStr">
        <is>
          <t>A 32718-2019</t>
        </is>
      </c>
      <c r="B214" s="1" t="n">
        <v>43647</v>
      </c>
      <c r="C214" s="1" t="n">
        <v>45821</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33532-2019</t>
        </is>
      </c>
      <c r="B215" s="1" t="n">
        <v>43651</v>
      </c>
      <c r="C215" s="1" t="n">
        <v>45821</v>
      </c>
      <c r="D215" t="inlineStr">
        <is>
          <t>UPPSALA LÄN</t>
        </is>
      </c>
      <c r="E215" t="inlineStr">
        <is>
          <t>ÖSTHAMMAR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33544-2019</t>
        </is>
      </c>
      <c r="B216" s="1" t="n">
        <v>43651</v>
      </c>
      <c r="C216" s="1" t="n">
        <v>45821</v>
      </c>
      <c r="D216" t="inlineStr">
        <is>
          <t>UPPSALA LÄN</t>
        </is>
      </c>
      <c r="E216" t="inlineStr">
        <is>
          <t>ÖSTHAMMAR</t>
        </is>
      </c>
      <c r="G216" t="n">
        <v>4.3</v>
      </c>
      <c r="H216" t="n">
        <v>0</v>
      </c>
      <c r="I216" t="n">
        <v>0</v>
      </c>
      <c r="J216" t="n">
        <v>0</v>
      </c>
      <c r="K216" t="n">
        <v>0</v>
      </c>
      <c r="L216" t="n">
        <v>0</v>
      </c>
      <c r="M216" t="n">
        <v>0</v>
      </c>
      <c r="N216" t="n">
        <v>0</v>
      </c>
      <c r="O216" t="n">
        <v>0</v>
      </c>
      <c r="P216" t="n">
        <v>0</v>
      </c>
      <c r="Q216" t="n">
        <v>0</v>
      </c>
      <c r="R216" s="2" t="inlineStr"/>
    </row>
    <row r="217" ht="15" customHeight="1">
      <c r="A217" t="inlineStr">
        <is>
          <t>A 33539-2019</t>
        </is>
      </c>
      <c r="B217" s="1" t="n">
        <v>43651</v>
      </c>
      <c r="C217" s="1" t="n">
        <v>45821</v>
      </c>
      <c r="D217" t="inlineStr">
        <is>
          <t>UPPSALA LÄN</t>
        </is>
      </c>
      <c r="E217" t="inlineStr">
        <is>
          <t>ÖSTHAMMAR</t>
        </is>
      </c>
      <c r="G217" t="n">
        <v>4.6</v>
      </c>
      <c r="H217" t="n">
        <v>0</v>
      </c>
      <c r="I217" t="n">
        <v>0</v>
      </c>
      <c r="J217" t="n">
        <v>0</v>
      </c>
      <c r="K217" t="n">
        <v>0</v>
      </c>
      <c r="L217" t="n">
        <v>0</v>
      </c>
      <c r="M217" t="n">
        <v>0</v>
      </c>
      <c r="N217" t="n">
        <v>0</v>
      </c>
      <c r="O217" t="n">
        <v>0</v>
      </c>
      <c r="P217" t="n">
        <v>0</v>
      </c>
      <c r="Q217" t="n">
        <v>0</v>
      </c>
      <c r="R217" s="2" t="inlineStr"/>
    </row>
    <row r="218" ht="15" customHeight="1">
      <c r="A218" t="inlineStr">
        <is>
          <t>A 33551-2019</t>
        </is>
      </c>
      <c r="B218" s="1" t="n">
        <v>43651</v>
      </c>
      <c r="C218" s="1" t="n">
        <v>45821</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33784-2019</t>
        </is>
      </c>
      <c r="B219" s="1" t="n">
        <v>43651</v>
      </c>
      <c r="C219" s="1" t="n">
        <v>45821</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39582-2019</t>
        </is>
      </c>
      <c r="B220" s="1" t="n">
        <v>43686</v>
      </c>
      <c r="C220" s="1" t="n">
        <v>45821</v>
      </c>
      <c r="D220" t="inlineStr">
        <is>
          <t>UPPSALA LÄN</t>
        </is>
      </c>
      <c r="E220" t="inlineStr">
        <is>
          <t>ÖSTHAMMAR</t>
        </is>
      </c>
      <c r="G220" t="n">
        <v>12.2</v>
      </c>
      <c r="H220" t="n">
        <v>0</v>
      </c>
      <c r="I220" t="n">
        <v>0</v>
      </c>
      <c r="J220" t="n">
        <v>0</v>
      </c>
      <c r="K220" t="n">
        <v>0</v>
      </c>
      <c r="L220" t="n">
        <v>0</v>
      </c>
      <c r="M220" t="n">
        <v>0</v>
      </c>
      <c r="N220" t="n">
        <v>0</v>
      </c>
      <c r="O220" t="n">
        <v>0</v>
      </c>
      <c r="P220" t="n">
        <v>0</v>
      </c>
      <c r="Q220" t="n">
        <v>0</v>
      </c>
      <c r="R220" s="2" t="inlineStr"/>
    </row>
    <row r="221" ht="15" customHeight="1">
      <c r="A221" t="inlineStr">
        <is>
          <t>A 39910-2019</t>
        </is>
      </c>
      <c r="B221" s="1" t="n">
        <v>43692</v>
      </c>
      <c r="C221" s="1" t="n">
        <v>45821</v>
      </c>
      <c r="D221" t="inlineStr">
        <is>
          <t>UPPSALA LÄN</t>
        </is>
      </c>
      <c r="E221" t="inlineStr">
        <is>
          <t>ÖSTHAMMAR</t>
        </is>
      </c>
      <c r="G221" t="n">
        <v>3.9</v>
      </c>
      <c r="H221" t="n">
        <v>0</v>
      </c>
      <c r="I221" t="n">
        <v>0</v>
      </c>
      <c r="J221" t="n">
        <v>0</v>
      </c>
      <c r="K221" t="n">
        <v>0</v>
      </c>
      <c r="L221" t="n">
        <v>0</v>
      </c>
      <c r="M221" t="n">
        <v>0</v>
      </c>
      <c r="N221" t="n">
        <v>0</v>
      </c>
      <c r="O221" t="n">
        <v>0</v>
      </c>
      <c r="P221" t="n">
        <v>0</v>
      </c>
      <c r="Q221" t="n">
        <v>0</v>
      </c>
      <c r="R221" s="2" t="inlineStr"/>
    </row>
    <row r="222" ht="15" customHeight="1">
      <c r="A222" t="inlineStr">
        <is>
          <t>A 41697-2019</t>
        </is>
      </c>
      <c r="B222" s="1" t="n">
        <v>43699</v>
      </c>
      <c r="C222" s="1" t="n">
        <v>45821</v>
      </c>
      <c r="D222" t="inlineStr">
        <is>
          <t>UPPSALA LÄN</t>
        </is>
      </c>
      <c r="E222" t="inlineStr">
        <is>
          <t>ÖSTHAMMAR</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41539-2019</t>
        </is>
      </c>
      <c r="B223" s="1" t="n">
        <v>43699</v>
      </c>
      <c r="C223" s="1" t="n">
        <v>45821</v>
      </c>
      <c r="D223" t="inlineStr">
        <is>
          <t>UPPSALA LÄN</t>
        </is>
      </c>
      <c r="E223" t="inlineStr">
        <is>
          <t>ÖSTHAMMAR</t>
        </is>
      </c>
      <c r="G223" t="n">
        <v>0.5</v>
      </c>
      <c r="H223" t="n">
        <v>0</v>
      </c>
      <c r="I223" t="n">
        <v>0</v>
      </c>
      <c r="J223" t="n">
        <v>0</v>
      </c>
      <c r="K223" t="n">
        <v>0</v>
      </c>
      <c r="L223" t="n">
        <v>0</v>
      </c>
      <c r="M223" t="n">
        <v>0</v>
      </c>
      <c r="N223" t="n">
        <v>0</v>
      </c>
      <c r="O223" t="n">
        <v>0</v>
      </c>
      <c r="P223" t="n">
        <v>0</v>
      </c>
      <c r="Q223" t="n">
        <v>0</v>
      </c>
      <c r="R223" s="2" t="inlineStr"/>
    </row>
    <row r="224" ht="15" customHeight="1">
      <c r="A224" t="inlineStr">
        <is>
          <t>A 43426-2019</t>
        </is>
      </c>
      <c r="B224" s="1" t="n">
        <v>43706</v>
      </c>
      <c r="C224" s="1" t="n">
        <v>45821</v>
      </c>
      <c r="D224" t="inlineStr">
        <is>
          <t>UPPSALA LÄN</t>
        </is>
      </c>
      <c r="E224" t="inlineStr">
        <is>
          <t>ÖSTHAMMAR</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45140-2019</t>
        </is>
      </c>
      <c r="B225" s="1" t="n">
        <v>43713</v>
      </c>
      <c r="C225" s="1" t="n">
        <v>45821</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45681-2019</t>
        </is>
      </c>
      <c r="B226" s="1" t="n">
        <v>43717</v>
      </c>
      <c r="C226" s="1" t="n">
        <v>45821</v>
      </c>
      <c r="D226" t="inlineStr">
        <is>
          <t>UPPSALA LÄN</t>
        </is>
      </c>
      <c r="E226" t="inlineStr">
        <is>
          <t>ÖSTHAMMAR</t>
        </is>
      </c>
      <c r="F226" t="inlineStr">
        <is>
          <t>Bergvik skog öst AB</t>
        </is>
      </c>
      <c r="G226" t="n">
        <v>3</v>
      </c>
      <c r="H226" t="n">
        <v>0</v>
      </c>
      <c r="I226" t="n">
        <v>0</v>
      </c>
      <c r="J226" t="n">
        <v>0</v>
      </c>
      <c r="K226" t="n">
        <v>0</v>
      </c>
      <c r="L226" t="n">
        <v>0</v>
      </c>
      <c r="M226" t="n">
        <v>0</v>
      </c>
      <c r="N226" t="n">
        <v>0</v>
      </c>
      <c r="O226" t="n">
        <v>0</v>
      </c>
      <c r="P226" t="n">
        <v>0</v>
      </c>
      <c r="Q226" t="n">
        <v>0</v>
      </c>
      <c r="R226" s="2" t="inlineStr"/>
    </row>
    <row r="227" ht="15" customHeight="1">
      <c r="A227" t="inlineStr">
        <is>
          <t>A 47440-2019</t>
        </is>
      </c>
      <c r="B227" s="1" t="n">
        <v>43723</v>
      </c>
      <c r="C227" s="1" t="n">
        <v>45821</v>
      </c>
      <c r="D227" t="inlineStr">
        <is>
          <t>UPPSALA LÄN</t>
        </is>
      </c>
      <c r="E227" t="inlineStr">
        <is>
          <t>ÖSTHAMMAR</t>
        </is>
      </c>
      <c r="G227" t="n">
        <v>0.1</v>
      </c>
      <c r="H227" t="n">
        <v>0</v>
      </c>
      <c r="I227" t="n">
        <v>0</v>
      </c>
      <c r="J227" t="n">
        <v>0</v>
      </c>
      <c r="K227" t="n">
        <v>0</v>
      </c>
      <c r="L227" t="n">
        <v>0</v>
      </c>
      <c r="M227" t="n">
        <v>0</v>
      </c>
      <c r="N227" t="n">
        <v>0</v>
      </c>
      <c r="O227" t="n">
        <v>0</v>
      </c>
      <c r="P227" t="n">
        <v>0</v>
      </c>
      <c r="Q227" t="n">
        <v>0</v>
      </c>
      <c r="R227" s="2" t="inlineStr"/>
    </row>
    <row r="228" ht="15" customHeight="1">
      <c r="A228" t="inlineStr">
        <is>
          <t>A 47436-2019</t>
        </is>
      </c>
      <c r="B228" s="1" t="n">
        <v>43723</v>
      </c>
      <c r="C228" s="1" t="n">
        <v>45821</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51025-2019</t>
        </is>
      </c>
      <c r="B229" s="1" t="n">
        <v>43739</v>
      </c>
      <c r="C229" s="1" t="n">
        <v>45821</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53442-2019</t>
        </is>
      </c>
      <c r="B230" s="1" t="n">
        <v>43748</v>
      </c>
      <c r="C230" s="1" t="n">
        <v>45821</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55382-2019</t>
        </is>
      </c>
      <c r="B231" s="1" t="n">
        <v>43755</v>
      </c>
      <c r="C231" s="1" t="n">
        <v>45821</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57686-2019</t>
        </is>
      </c>
      <c r="B232" s="1" t="n">
        <v>43761</v>
      </c>
      <c r="C232" s="1" t="n">
        <v>45821</v>
      </c>
      <c r="D232" t="inlineStr">
        <is>
          <t>UPPSALA LÄN</t>
        </is>
      </c>
      <c r="E232" t="inlineStr">
        <is>
          <t>ÖSTHAMMAR</t>
        </is>
      </c>
      <c r="G232" t="n">
        <v>5.7</v>
      </c>
      <c r="H232" t="n">
        <v>0</v>
      </c>
      <c r="I232" t="n">
        <v>0</v>
      </c>
      <c r="J232" t="n">
        <v>0</v>
      </c>
      <c r="K232" t="n">
        <v>0</v>
      </c>
      <c r="L232" t="n">
        <v>0</v>
      </c>
      <c r="M232" t="n">
        <v>0</v>
      </c>
      <c r="N232" t="n">
        <v>0</v>
      </c>
      <c r="O232" t="n">
        <v>0</v>
      </c>
      <c r="P232" t="n">
        <v>0</v>
      </c>
      <c r="Q232" t="n">
        <v>0</v>
      </c>
      <c r="R232" s="2" t="inlineStr"/>
    </row>
    <row r="233" ht="15" customHeight="1">
      <c r="A233" t="inlineStr">
        <is>
          <t>A 57304-2019</t>
        </is>
      </c>
      <c r="B233" s="1" t="n">
        <v>43767</v>
      </c>
      <c r="C233" s="1" t="n">
        <v>45821</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58665-2019</t>
        </is>
      </c>
      <c r="B234" s="1" t="n">
        <v>43773</v>
      </c>
      <c r="C234" s="1" t="n">
        <v>45821</v>
      </c>
      <c r="D234" t="inlineStr">
        <is>
          <t>UPPSALA LÄN</t>
        </is>
      </c>
      <c r="E234" t="inlineStr">
        <is>
          <t>ÖSTHAMMAR</t>
        </is>
      </c>
      <c r="G234" t="n">
        <v>2</v>
      </c>
      <c r="H234" t="n">
        <v>0</v>
      </c>
      <c r="I234" t="n">
        <v>0</v>
      </c>
      <c r="J234" t="n">
        <v>0</v>
      </c>
      <c r="K234" t="n">
        <v>0</v>
      </c>
      <c r="L234" t="n">
        <v>0</v>
      </c>
      <c r="M234" t="n">
        <v>0</v>
      </c>
      <c r="N234" t="n">
        <v>0</v>
      </c>
      <c r="O234" t="n">
        <v>0</v>
      </c>
      <c r="P234" t="n">
        <v>0</v>
      </c>
      <c r="Q234" t="n">
        <v>0</v>
      </c>
      <c r="R234" s="2" t="inlineStr"/>
    </row>
    <row r="235" ht="15" customHeight="1">
      <c r="A235" t="inlineStr">
        <is>
          <t>A 60977-2019</t>
        </is>
      </c>
      <c r="B235" s="1" t="n">
        <v>43782</v>
      </c>
      <c r="C235" s="1" t="n">
        <v>45821</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61866-2019</t>
        </is>
      </c>
      <c r="B236" s="1" t="n">
        <v>43787</v>
      </c>
      <c r="C236" s="1" t="n">
        <v>45821</v>
      </c>
      <c r="D236" t="inlineStr">
        <is>
          <t>UPPSALA LÄN</t>
        </is>
      </c>
      <c r="E236" t="inlineStr">
        <is>
          <t>ÖSTHAMMAR</t>
        </is>
      </c>
      <c r="F236" t="inlineStr">
        <is>
          <t>Bergvik skog öst AB</t>
        </is>
      </c>
      <c r="G236" t="n">
        <v>6.6</v>
      </c>
      <c r="H236" t="n">
        <v>0</v>
      </c>
      <c r="I236" t="n">
        <v>0</v>
      </c>
      <c r="J236" t="n">
        <v>0</v>
      </c>
      <c r="K236" t="n">
        <v>0</v>
      </c>
      <c r="L236" t="n">
        <v>0</v>
      </c>
      <c r="M236" t="n">
        <v>0</v>
      </c>
      <c r="N236" t="n">
        <v>0</v>
      </c>
      <c r="O236" t="n">
        <v>0</v>
      </c>
      <c r="P236" t="n">
        <v>0</v>
      </c>
      <c r="Q236" t="n">
        <v>0</v>
      </c>
      <c r="R236" s="2" t="inlineStr"/>
    </row>
    <row r="237" ht="15" customHeight="1">
      <c r="A237" t="inlineStr">
        <is>
          <t>A 62808-2019</t>
        </is>
      </c>
      <c r="B237" s="1" t="n">
        <v>43790</v>
      </c>
      <c r="C237" s="1" t="n">
        <v>45821</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63564-2019</t>
        </is>
      </c>
      <c r="B238" s="1" t="n">
        <v>43795</v>
      </c>
      <c r="C238" s="1" t="n">
        <v>45821</v>
      </c>
      <c r="D238" t="inlineStr">
        <is>
          <t>UPPSALA LÄN</t>
        </is>
      </c>
      <c r="E238" t="inlineStr">
        <is>
          <t>ÖSTHAMMAR</t>
        </is>
      </c>
      <c r="F238" t="inlineStr">
        <is>
          <t>Övriga Aktiebolag</t>
        </is>
      </c>
      <c r="G238" t="n">
        <v>4.7</v>
      </c>
      <c r="H238" t="n">
        <v>0</v>
      </c>
      <c r="I238" t="n">
        <v>0</v>
      </c>
      <c r="J238" t="n">
        <v>0</v>
      </c>
      <c r="K238" t="n">
        <v>0</v>
      </c>
      <c r="L238" t="n">
        <v>0</v>
      </c>
      <c r="M238" t="n">
        <v>0</v>
      </c>
      <c r="N238" t="n">
        <v>0</v>
      </c>
      <c r="O238" t="n">
        <v>0</v>
      </c>
      <c r="P238" t="n">
        <v>0</v>
      </c>
      <c r="Q238" t="n">
        <v>0</v>
      </c>
      <c r="R238" s="2" t="inlineStr"/>
    </row>
    <row r="239" ht="15" customHeight="1">
      <c r="A239" t="inlineStr">
        <is>
          <t>A 64344-2019</t>
        </is>
      </c>
      <c r="B239" s="1" t="n">
        <v>43797</v>
      </c>
      <c r="C239" s="1" t="n">
        <v>45821</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65107-2019</t>
        </is>
      </c>
      <c r="B240" s="1" t="n">
        <v>43802</v>
      </c>
      <c r="C240" s="1" t="n">
        <v>45821</v>
      </c>
      <c r="D240" t="inlineStr">
        <is>
          <t>UPPSALA LÄN</t>
        </is>
      </c>
      <c r="E240" t="inlineStr">
        <is>
          <t>ÖSTHAMMAR</t>
        </is>
      </c>
      <c r="G240" t="n">
        <v>1.5</v>
      </c>
      <c r="H240" t="n">
        <v>0</v>
      </c>
      <c r="I240" t="n">
        <v>0</v>
      </c>
      <c r="J240" t="n">
        <v>0</v>
      </c>
      <c r="K240" t="n">
        <v>0</v>
      </c>
      <c r="L240" t="n">
        <v>0</v>
      </c>
      <c r="M240" t="n">
        <v>0</v>
      </c>
      <c r="N240" t="n">
        <v>0</v>
      </c>
      <c r="O240" t="n">
        <v>0</v>
      </c>
      <c r="P240" t="n">
        <v>0</v>
      </c>
      <c r="Q240" t="n">
        <v>0</v>
      </c>
      <c r="R240" s="2" t="inlineStr"/>
    </row>
    <row r="241" ht="15" customHeight="1">
      <c r="A241" t="inlineStr">
        <is>
          <t>A 67647-2019</t>
        </is>
      </c>
      <c r="B241" s="1" t="n">
        <v>43808</v>
      </c>
      <c r="C241" s="1" t="n">
        <v>45821</v>
      </c>
      <c r="D241" t="inlineStr">
        <is>
          <t>UPPSALA LÄN</t>
        </is>
      </c>
      <c r="E241" t="inlineStr">
        <is>
          <t>ÖSTHAMMAR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66802-2019</t>
        </is>
      </c>
      <c r="B242" s="1" t="n">
        <v>43810</v>
      </c>
      <c r="C242" s="1" t="n">
        <v>45821</v>
      </c>
      <c r="D242" t="inlineStr">
        <is>
          <t>UPPSALA LÄN</t>
        </is>
      </c>
      <c r="E242" t="inlineStr">
        <is>
          <t>ÖSTHAMMAR</t>
        </is>
      </c>
      <c r="F242" t="inlineStr">
        <is>
          <t>Bergvik skog öst AB</t>
        </is>
      </c>
      <c r="G242" t="n">
        <v>34.8</v>
      </c>
      <c r="H242" t="n">
        <v>0</v>
      </c>
      <c r="I242" t="n">
        <v>0</v>
      </c>
      <c r="J242" t="n">
        <v>0</v>
      </c>
      <c r="K242" t="n">
        <v>0</v>
      </c>
      <c r="L242" t="n">
        <v>0</v>
      </c>
      <c r="M242" t="n">
        <v>0</v>
      </c>
      <c r="N242" t="n">
        <v>0</v>
      </c>
      <c r="O242" t="n">
        <v>0</v>
      </c>
      <c r="P242" t="n">
        <v>0</v>
      </c>
      <c r="Q242" t="n">
        <v>0</v>
      </c>
      <c r="R242" s="2" t="inlineStr"/>
    </row>
    <row r="243" ht="15" customHeight="1">
      <c r="A243" t="inlineStr">
        <is>
          <t>A 67254-2019</t>
        </is>
      </c>
      <c r="B243" s="1" t="n">
        <v>43812</v>
      </c>
      <c r="C243" s="1" t="n">
        <v>45821</v>
      </c>
      <c r="D243" t="inlineStr">
        <is>
          <t>UPPSALA LÄN</t>
        </is>
      </c>
      <c r="E243" t="inlineStr">
        <is>
          <t>ÖSTHAMMAR</t>
        </is>
      </c>
      <c r="F243" t="inlineStr">
        <is>
          <t>Allmännings- och besparingsskogar</t>
        </is>
      </c>
      <c r="G243" t="n">
        <v>0.8</v>
      </c>
      <c r="H243" t="n">
        <v>0</v>
      </c>
      <c r="I243" t="n">
        <v>0</v>
      </c>
      <c r="J243" t="n">
        <v>0</v>
      </c>
      <c r="K243" t="n">
        <v>0</v>
      </c>
      <c r="L243" t="n">
        <v>0</v>
      </c>
      <c r="M243" t="n">
        <v>0</v>
      </c>
      <c r="N243" t="n">
        <v>0</v>
      </c>
      <c r="O243" t="n">
        <v>0</v>
      </c>
      <c r="P243" t="n">
        <v>0</v>
      </c>
      <c r="Q243" t="n">
        <v>0</v>
      </c>
      <c r="R243" s="2" t="inlineStr"/>
    </row>
    <row r="244" ht="15" customHeight="1">
      <c r="A244" t="inlineStr">
        <is>
          <t>A 618-2020</t>
        </is>
      </c>
      <c r="B244" s="1" t="n">
        <v>43817</v>
      </c>
      <c r="C244" s="1" t="n">
        <v>45821</v>
      </c>
      <c r="D244" t="inlineStr">
        <is>
          <t>UPPSALA LÄN</t>
        </is>
      </c>
      <c r="E244" t="inlineStr">
        <is>
          <t>ÖSTHAMMAR</t>
        </is>
      </c>
      <c r="G244" t="n">
        <v>3.2</v>
      </c>
      <c r="H244" t="n">
        <v>0</v>
      </c>
      <c r="I244" t="n">
        <v>0</v>
      </c>
      <c r="J244" t="n">
        <v>0</v>
      </c>
      <c r="K244" t="n">
        <v>0</v>
      </c>
      <c r="L244" t="n">
        <v>0</v>
      </c>
      <c r="M244" t="n">
        <v>0</v>
      </c>
      <c r="N244" t="n">
        <v>0</v>
      </c>
      <c r="O244" t="n">
        <v>0</v>
      </c>
      <c r="P244" t="n">
        <v>0</v>
      </c>
      <c r="Q244" t="n">
        <v>0</v>
      </c>
      <c r="R244" s="2" t="inlineStr"/>
    </row>
    <row r="245" ht="15" customHeight="1">
      <c r="A245" t="inlineStr">
        <is>
          <t>A 68870-2019</t>
        </is>
      </c>
      <c r="B245" s="1" t="n">
        <v>43821</v>
      </c>
      <c r="C245" s="1" t="n">
        <v>45821</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68871-2019</t>
        </is>
      </c>
      <c r="B246" s="1" t="n">
        <v>43821</v>
      </c>
      <c r="C246" s="1" t="n">
        <v>45821</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68868-2019</t>
        </is>
      </c>
      <c r="B247" s="1" t="n">
        <v>43821</v>
      </c>
      <c r="C247" s="1" t="n">
        <v>45821</v>
      </c>
      <c r="D247" t="inlineStr">
        <is>
          <t>UPPSALA LÄN</t>
        </is>
      </c>
      <c r="E247" t="inlineStr">
        <is>
          <t>ÖSTHAMMAR</t>
        </is>
      </c>
      <c r="F247" t="inlineStr">
        <is>
          <t>Bergvik skog öst AB</t>
        </is>
      </c>
      <c r="G247" t="n">
        <v>1.7</v>
      </c>
      <c r="H247" t="n">
        <v>0</v>
      </c>
      <c r="I247" t="n">
        <v>0</v>
      </c>
      <c r="J247" t="n">
        <v>0</v>
      </c>
      <c r="K247" t="n">
        <v>0</v>
      </c>
      <c r="L247" t="n">
        <v>0</v>
      </c>
      <c r="M247" t="n">
        <v>0</v>
      </c>
      <c r="N247" t="n">
        <v>0</v>
      </c>
      <c r="O247" t="n">
        <v>0</v>
      </c>
      <c r="P247" t="n">
        <v>0</v>
      </c>
      <c r="Q247" t="n">
        <v>0</v>
      </c>
      <c r="R247" s="2" t="inlineStr"/>
    </row>
    <row r="248" ht="15" customHeight="1">
      <c r="A248" t="inlineStr">
        <is>
          <t>A 685-2020</t>
        </is>
      </c>
      <c r="B248" s="1" t="n">
        <v>43838</v>
      </c>
      <c r="C248" s="1" t="n">
        <v>45821</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1685-2020</t>
        </is>
      </c>
      <c r="B249" s="1" t="n">
        <v>43844</v>
      </c>
      <c r="C249" s="1" t="n">
        <v>45821</v>
      </c>
      <c r="D249" t="inlineStr">
        <is>
          <t>UPPSALA LÄN</t>
        </is>
      </c>
      <c r="E249" t="inlineStr">
        <is>
          <t>ÖSTHAMMAR</t>
        </is>
      </c>
      <c r="F249" t="inlineStr">
        <is>
          <t>Övriga Aktiebolag</t>
        </is>
      </c>
      <c r="G249" t="n">
        <v>4.3</v>
      </c>
      <c r="H249" t="n">
        <v>0</v>
      </c>
      <c r="I249" t="n">
        <v>0</v>
      </c>
      <c r="J249" t="n">
        <v>0</v>
      </c>
      <c r="K249" t="n">
        <v>0</v>
      </c>
      <c r="L249" t="n">
        <v>0</v>
      </c>
      <c r="M249" t="n">
        <v>0</v>
      </c>
      <c r="N249" t="n">
        <v>0</v>
      </c>
      <c r="O249" t="n">
        <v>0</v>
      </c>
      <c r="P249" t="n">
        <v>0</v>
      </c>
      <c r="Q249" t="n">
        <v>0</v>
      </c>
      <c r="R249" s="2" t="inlineStr"/>
    </row>
    <row r="250" ht="15" customHeight="1">
      <c r="A250" t="inlineStr">
        <is>
          <t>A 1681-2020</t>
        </is>
      </c>
      <c r="B250" s="1" t="n">
        <v>43844</v>
      </c>
      <c r="C250" s="1" t="n">
        <v>45821</v>
      </c>
      <c r="D250" t="inlineStr">
        <is>
          <t>UPPSALA LÄN</t>
        </is>
      </c>
      <c r="E250" t="inlineStr">
        <is>
          <t>ÖSTHAMMAR</t>
        </is>
      </c>
      <c r="F250" t="inlineStr">
        <is>
          <t>Övriga Aktiebolag</t>
        </is>
      </c>
      <c r="G250" t="n">
        <v>1.6</v>
      </c>
      <c r="H250" t="n">
        <v>0</v>
      </c>
      <c r="I250" t="n">
        <v>0</v>
      </c>
      <c r="J250" t="n">
        <v>0</v>
      </c>
      <c r="K250" t="n">
        <v>0</v>
      </c>
      <c r="L250" t="n">
        <v>0</v>
      </c>
      <c r="M250" t="n">
        <v>0</v>
      </c>
      <c r="N250" t="n">
        <v>0</v>
      </c>
      <c r="O250" t="n">
        <v>0</v>
      </c>
      <c r="P250" t="n">
        <v>0</v>
      </c>
      <c r="Q250" t="n">
        <v>0</v>
      </c>
      <c r="R250" s="2" t="inlineStr"/>
    </row>
    <row r="251" ht="15" customHeight="1">
      <c r="A251" t="inlineStr">
        <is>
          <t>A 4473-2020</t>
        </is>
      </c>
      <c r="B251" s="1" t="n">
        <v>43850</v>
      </c>
      <c r="C251" s="1" t="n">
        <v>45821</v>
      </c>
      <c r="D251" t="inlineStr">
        <is>
          <t>UPPSALA LÄN</t>
        </is>
      </c>
      <c r="E251" t="inlineStr">
        <is>
          <t>ÖSTHAMMAR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3334-2020</t>
        </is>
      </c>
      <c r="B252" s="1" t="n">
        <v>43852</v>
      </c>
      <c r="C252" s="1" t="n">
        <v>45821</v>
      </c>
      <c r="D252" t="inlineStr">
        <is>
          <t>UPPSALA LÄN</t>
        </is>
      </c>
      <c r="E252" t="inlineStr">
        <is>
          <t>ÖSTHAMMAR</t>
        </is>
      </c>
      <c r="G252" t="n">
        <v>2.5</v>
      </c>
      <c r="H252" t="n">
        <v>0</v>
      </c>
      <c r="I252" t="n">
        <v>0</v>
      </c>
      <c r="J252" t="n">
        <v>0</v>
      </c>
      <c r="K252" t="n">
        <v>0</v>
      </c>
      <c r="L252" t="n">
        <v>0</v>
      </c>
      <c r="M252" t="n">
        <v>0</v>
      </c>
      <c r="N252" t="n">
        <v>0</v>
      </c>
      <c r="O252" t="n">
        <v>0</v>
      </c>
      <c r="P252" t="n">
        <v>0</v>
      </c>
      <c r="Q252" t="n">
        <v>0</v>
      </c>
      <c r="R252" s="2" t="inlineStr"/>
    </row>
    <row r="253" ht="15" customHeight="1">
      <c r="A253" t="inlineStr">
        <is>
          <t>A 3984-2020</t>
        </is>
      </c>
      <c r="B253" s="1" t="n">
        <v>43855</v>
      </c>
      <c r="C253" s="1" t="n">
        <v>45821</v>
      </c>
      <c r="D253" t="inlineStr">
        <is>
          <t>UPPSALA LÄN</t>
        </is>
      </c>
      <c r="E253" t="inlineStr">
        <is>
          <t>ÖSTHAMMAR</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6052-2020</t>
        </is>
      </c>
      <c r="B254" s="1" t="n">
        <v>43864</v>
      </c>
      <c r="C254" s="1" t="n">
        <v>45821</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6026-2020</t>
        </is>
      </c>
      <c r="B255" s="1" t="n">
        <v>43865</v>
      </c>
      <c r="C255" s="1" t="n">
        <v>45821</v>
      </c>
      <c r="D255" t="inlineStr">
        <is>
          <t>UPPSALA LÄN</t>
        </is>
      </c>
      <c r="E255" t="inlineStr">
        <is>
          <t>ÖSTHAMMAR</t>
        </is>
      </c>
      <c r="F255" t="inlineStr">
        <is>
          <t>Övriga Aktiebolag</t>
        </is>
      </c>
      <c r="G255" t="n">
        <v>0.3</v>
      </c>
      <c r="H255" t="n">
        <v>0</v>
      </c>
      <c r="I255" t="n">
        <v>0</v>
      </c>
      <c r="J255" t="n">
        <v>0</v>
      </c>
      <c r="K255" t="n">
        <v>0</v>
      </c>
      <c r="L255" t="n">
        <v>0</v>
      </c>
      <c r="M255" t="n">
        <v>0</v>
      </c>
      <c r="N255" t="n">
        <v>0</v>
      </c>
      <c r="O255" t="n">
        <v>0</v>
      </c>
      <c r="P255" t="n">
        <v>0</v>
      </c>
      <c r="Q255" t="n">
        <v>0</v>
      </c>
      <c r="R255" s="2" t="inlineStr"/>
    </row>
    <row r="256" ht="15" customHeight="1">
      <c r="A256" t="inlineStr">
        <is>
          <t>A 6791-2020</t>
        </is>
      </c>
      <c r="B256" s="1" t="n">
        <v>43867</v>
      </c>
      <c r="C256" s="1" t="n">
        <v>45821</v>
      </c>
      <c r="D256" t="inlineStr">
        <is>
          <t>UPPSALA LÄN</t>
        </is>
      </c>
      <c r="E256" t="inlineStr">
        <is>
          <t>ÖSTHAMMAR</t>
        </is>
      </c>
      <c r="G256" t="n">
        <v>3</v>
      </c>
      <c r="H256" t="n">
        <v>0</v>
      </c>
      <c r="I256" t="n">
        <v>0</v>
      </c>
      <c r="J256" t="n">
        <v>0</v>
      </c>
      <c r="K256" t="n">
        <v>0</v>
      </c>
      <c r="L256" t="n">
        <v>0</v>
      </c>
      <c r="M256" t="n">
        <v>0</v>
      </c>
      <c r="N256" t="n">
        <v>0</v>
      </c>
      <c r="O256" t="n">
        <v>0</v>
      </c>
      <c r="P256" t="n">
        <v>0</v>
      </c>
      <c r="Q256" t="n">
        <v>0</v>
      </c>
      <c r="R256" s="2" t="inlineStr"/>
    </row>
    <row r="257" ht="15" customHeight="1">
      <c r="A257" t="inlineStr">
        <is>
          <t>A 7847-2020</t>
        </is>
      </c>
      <c r="B257" s="1" t="n">
        <v>43873</v>
      </c>
      <c r="C257" s="1" t="n">
        <v>45821</v>
      </c>
      <c r="D257" t="inlineStr">
        <is>
          <t>UPPSALA LÄN</t>
        </is>
      </c>
      <c r="E257" t="inlineStr">
        <is>
          <t>ÖSTHAMMAR</t>
        </is>
      </c>
      <c r="F257" t="inlineStr">
        <is>
          <t>Övriga Aktiebolag</t>
        </is>
      </c>
      <c r="G257" t="n">
        <v>15.3</v>
      </c>
      <c r="H257" t="n">
        <v>0</v>
      </c>
      <c r="I257" t="n">
        <v>0</v>
      </c>
      <c r="J257" t="n">
        <v>0</v>
      </c>
      <c r="K257" t="n">
        <v>0</v>
      </c>
      <c r="L257" t="n">
        <v>0</v>
      </c>
      <c r="M257" t="n">
        <v>0</v>
      </c>
      <c r="N257" t="n">
        <v>0</v>
      </c>
      <c r="O257" t="n">
        <v>0</v>
      </c>
      <c r="P257" t="n">
        <v>0</v>
      </c>
      <c r="Q257" t="n">
        <v>0</v>
      </c>
      <c r="R257" s="2" t="inlineStr"/>
    </row>
    <row r="258" ht="15" customHeight="1">
      <c r="A258" t="inlineStr">
        <is>
          <t>A 10008-2020</t>
        </is>
      </c>
      <c r="B258" s="1" t="n">
        <v>43882</v>
      </c>
      <c r="C258" s="1" t="n">
        <v>45821</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10345-2020</t>
        </is>
      </c>
      <c r="B259" s="1" t="n">
        <v>43885</v>
      </c>
      <c r="C259" s="1" t="n">
        <v>45821</v>
      </c>
      <c r="D259" t="inlineStr">
        <is>
          <t>UPPSALA LÄN</t>
        </is>
      </c>
      <c r="E259" t="inlineStr">
        <is>
          <t>ÖSTHAMMAR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10347-2020</t>
        </is>
      </c>
      <c r="B260" s="1" t="n">
        <v>43885</v>
      </c>
      <c r="C260" s="1" t="n">
        <v>45821</v>
      </c>
      <c r="D260" t="inlineStr">
        <is>
          <t>UPPSALA LÄN</t>
        </is>
      </c>
      <c r="E260" t="inlineStr">
        <is>
          <t>ÖSTHAMMAR</t>
        </is>
      </c>
      <c r="F260" t="inlineStr">
        <is>
          <t>Allmännings- och besparingsskogar</t>
        </is>
      </c>
      <c r="G260" t="n">
        <v>1.2</v>
      </c>
      <c r="H260" t="n">
        <v>0</v>
      </c>
      <c r="I260" t="n">
        <v>0</v>
      </c>
      <c r="J260" t="n">
        <v>0</v>
      </c>
      <c r="K260" t="n">
        <v>0</v>
      </c>
      <c r="L260" t="n">
        <v>0</v>
      </c>
      <c r="M260" t="n">
        <v>0</v>
      </c>
      <c r="N260" t="n">
        <v>0</v>
      </c>
      <c r="O260" t="n">
        <v>0</v>
      </c>
      <c r="P260" t="n">
        <v>0</v>
      </c>
      <c r="Q260" t="n">
        <v>0</v>
      </c>
      <c r="R260" s="2" t="inlineStr"/>
    </row>
    <row r="261" ht="15" customHeight="1">
      <c r="A261" t="inlineStr">
        <is>
          <t>A 12080-2020</t>
        </is>
      </c>
      <c r="B261" s="1" t="n">
        <v>43895</v>
      </c>
      <c r="C261" s="1" t="n">
        <v>45821</v>
      </c>
      <c r="D261" t="inlineStr">
        <is>
          <t>UPPSALA LÄN</t>
        </is>
      </c>
      <c r="E261" t="inlineStr">
        <is>
          <t>ÖSTHAMMAR</t>
        </is>
      </c>
      <c r="F261" t="inlineStr">
        <is>
          <t>Övriga Aktiebolag</t>
        </is>
      </c>
      <c r="G261" t="n">
        <v>13.9</v>
      </c>
      <c r="H261" t="n">
        <v>0</v>
      </c>
      <c r="I261" t="n">
        <v>0</v>
      </c>
      <c r="J261" t="n">
        <v>0</v>
      </c>
      <c r="K261" t="n">
        <v>0</v>
      </c>
      <c r="L261" t="n">
        <v>0</v>
      </c>
      <c r="M261" t="n">
        <v>0</v>
      </c>
      <c r="N261" t="n">
        <v>0</v>
      </c>
      <c r="O261" t="n">
        <v>0</v>
      </c>
      <c r="P261" t="n">
        <v>0</v>
      </c>
      <c r="Q261" t="n">
        <v>0</v>
      </c>
      <c r="R261" s="2" t="inlineStr"/>
    </row>
    <row r="262" ht="15" customHeight="1">
      <c r="A262" t="inlineStr">
        <is>
          <t>A 13112-2020</t>
        </is>
      </c>
      <c r="B262" s="1" t="n">
        <v>43901</v>
      </c>
      <c r="C262" s="1" t="n">
        <v>45821</v>
      </c>
      <c r="D262" t="inlineStr">
        <is>
          <t>UPPSALA LÄN</t>
        </is>
      </c>
      <c r="E262" t="inlineStr">
        <is>
          <t>ÖSTHAMMAR</t>
        </is>
      </c>
      <c r="F262" t="inlineStr">
        <is>
          <t>Övriga Aktiebolag</t>
        </is>
      </c>
      <c r="G262" t="n">
        <v>6.5</v>
      </c>
      <c r="H262" t="n">
        <v>0</v>
      </c>
      <c r="I262" t="n">
        <v>0</v>
      </c>
      <c r="J262" t="n">
        <v>0</v>
      </c>
      <c r="K262" t="n">
        <v>0</v>
      </c>
      <c r="L262" t="n">
        <v>0</v>
      </c>
      <c r="M262" t="n">
        <v>0</v>
      </c>
      <c r="N262" t="n">
        <v>0</v>
      </c>
      <c r="O262" t="n">
        <v>0</v>
      </c>
      <c r="P262" t="n">
        <v>0</v>
      </c>
      <c r="Q262" t="n">
        <v>0</v>
      </c>
      <c r="R262" s="2" t="inlineStr"/>
    </row>
    <row r="263" ht="15" customHeight="1">
      <c r="A263" t="inlineStr">
        <is>
          <t>A 13310-2020</t>
        </is>
      </c>
      <c r="B263" s="1" t="n">
        <v>43902</v>
      </c>
      <c r="C263" s="1" t="n">
        <v>45821</v>
      </c>
      <c r="D263" t="inlineStr">
        <is>
          <t>UPPSALA LÄN</t>
        </is>
      </c>
      <c r="E263" t="inlineStr">
        <is>
          <t>ÖSTHAMMAR</t>
        </is>
      </c>
      <c r="F263" t="inlineStr">
        <is>
          <t>Bergvik skog öst AB</t>
        </is>
      </c>
      <c r="G263" t="n">
        <v>14.4</v>
      </c>
      <c r="H263" t="n">
        <v>0</v>
      </c>
      <c r="I263" t="n">
        <v>0</v>
      </c>
      <c r="J263" t="n">
        <v>0</v>
      </c>
      <c r="K263" t="n">
        <v>0</v>
      </c>
      <c r="L263" t="n">
        <v>0</v>
      </c>
      <c r="M263" t="n">
        <v>0</v>
      </c>
      <c r="N263" t="n">
        <v>0</v>
      </c>
      <c r="O263" t="n">
        <v>0</v>
      </c>
      <c r="P263" t="n">
        <v>0</v>
      </c>
      <c r="Q263" t="n">
        <v>0</v>
      </c>
      <c r="R263" s="2" t="inlineStr"/>
    </row>
    <row r="264" ht="15" customHeight="1">
      <c r="A264" t="inlineStr">
        <is>
          <t>A 13595-2020</t>
        </is>
      </c>
      <c r="B264" s="1" t="n">
        <v>43903</v>
      </c>
      <c r="C264" s="1" t="n">
        <v>45821</v>
      </c>
      <c r="D264" t="inlineStr">
        <is>
          <t>UPPSALA LÄN</t>
        </is>
      </c>
      <c r="E264" t="inlineStr">
        <is>
          <t>ÖSTHAMMAR</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13945-2020</t>
        </is>
      </c>
      <c r="B265" s="1" t="n">
        <v>43906</v>
      </c>
      <c r="C265" s="1" t="n">
        <v>45821</v>
      </c>
      <c r="D265" t="inlineStr">
        <is>
          <t>UPPSALA LÄN</t>
        </is>
      </c>
      <c r="E265" t="inlineStr">
        <is>
          <t>ÖSTHAMMAR</t>
        </is>
      </c>
      <c r="G265" t="n">
        <v>3.5</v>
      </c>
      <c r="H265" t="n">
        <v>0</v>
      </c>
      <c r="I265" t="n">
        <v>0</v>
      </c>
      <c r="J265" t="n">
        <v>0</v>
      </c>
      <c r="K265" t="n">
        <v>0</v>
      </c>
      <c r="L265" t="n">
        <v>0</v>
      </c>
      <c r="M265" t="n">
        <v>0</v>
      </c>
      <c r="N265" t="n">
        <v>0</v>
      </c>
      <c r="O265" t="n">
        <v>0</v>
      </c>
      <c r="P265" t="n">
        <v>0</v>
      </c>
      <c r="Q265" t="n">
        <v>0</v>
      </c>
      <c r="R265" s="2" t="inlineStr"/>
    </row>
    <row r="266" ht="15" customHeight="1">
      <c r="A266" t="inlineStr">
        <is>
          <t>A 14802-2020</t>
        </is>
      </c>
      <c r="B266" s="1" t="n">
        <v>43909</v>
      </c>
      <c r="C266" s="1" t="n">
        <v>45821</v>
      </c>
      <c r="D266" t="inlineStr">
        <is>
          <t>UPPSALA LÄN</t>
        </is>
      </c>
      <c r="E266" t="inlineStr">
        <is>
          <t>ÖSTHAMMAR</t>
        </is>
      </c>
      <c r="F266" t="inlineStr">
        <is>
          <t>Allmännings- och besparingsskogar</t>
        </is>
      </c>
      <c r="G266" t="n">
        <v>0.9</v>
      </c>
      <c r="H266" t="n">
        <v>0</v>
      </c>
      <c r="I266" t="n">
        <v>0</v>
      </c>
      <c r="J266" t="n">
        <v>0</v>
      </c>
      <c r="K266" t="n">
        <v>0</v>
      </c>
      <c r="L266" t="n">
        <v>0</v>
      </c>
      <c r="M266" t="n">
        <v>0</v>
      </c>
      <c r="N266" t="n">
        <v>0</v>
      </c>
      <c r="O266" t="n">
        <v>0</v>
      </c>
      <c r="P266" t="n">
        <v>0</v>
      </c>
      <c r="Q266" t="n">
        <v>0</v>
      </c>
      <c r="R266" s="2" t="inlineStr"/>
    </row>
    <row r="267" ht="15" customHeight="1">
      <c r="A267" t="inlineStr">
        <is>
          <t>A 14817-2020</t>
        </is>
      </c>
      <c r="B267" s="1" t="n">
        <v>43909</v>
      </c>
      <c r="C267" s="1" t="n">
        <v>45821</v>
      </c>
      <c r="D267" t="inlineStr">
        <is>
          <t>UPPSALA LÄN</t>
        </is>
      </c>
      <c r="E267" t="inlineStr">
        <is>
          <t>ÖSTHAMMAR</t>
        </is>
      </c>
      <c r="F267" t="inlineStr">
        <is>
          <t>Bergvik skog öst AB</t>
        </is>
      </c>
      <c r="G267" t="n">
        <v>3.1</v>
      </c>
      <c r="H267" t="n">
        <v>0</v>
      </c>
      <c r="I267" t="n">
        <v>0</v>
      </c>
      <c r="J267" t="n">
        <v>0</v>
      </c>
      <c r="K267" t="n">
        <v>0</v>
      </c>
      <c r="L267" t="n">
        <v>0</v>
      </c>
      <c r="M267" t="n">
        <v>0</v>
      </c>
      <c r="N267" t="n">
        <v>0</v>
      </c>
      <c r="O267" t="n">
        <v>0</v>
      </c>
      <c r="P267" t="n">
        <v>0</v>
      </c>
      <c r="Q267" t="n">
        <v>0</v>
      </c>
      <c r="R267" s="2" t="inlineStr"/>
    </row>
    <row r="268" ht="15" customHeight="1">
      <c r="A268" t="inlineStr">
        <is>
          <t>A 15067-2020</t>
        </is>
      </c>
      <c r="B268" s="1" t="n">
        <v>43910</v>
      </c>
      <c r="C268" s="1" t="n">
        <v>45821</v>
      </c>
      <c r="D268" t="inlineStr">
        <is>
          <t>UPPSALA LÄN</t>
        </is>
      </c>
      <c r="E268" t="inlineStr">
        <is>
          <t>ÖSTHAMMAR</t>
        </is>
      </c>
      <c r="F268" t="inlineStr">
        <is>
          <t>Bergvik skog öst AB</t>
        </is>
      </c>
      <c r="G268" t="n">
        <v>20.5</v>
      </c>
      <c r="H268" t="n">
        <v>0</v>
      </c>
      <c r="I268" t="n">
        <v>0</v>
      </c>
      <c r="J268" t="n">
        <v>0</v>
      </c>
      <c r="K268" t="n">
        <v>0</v>
      </c>
      <c r="L268" t="n">
        <v>0</v>
      </c>
      <c r="M268" t="n">
        <v>0</v>
      </c>
      <c r="N268" t="n">
        <v>0</v>
      </c>
      <c r="O268" t="n">
        <v>0</v>
      </c>
      <c r="P268" t="n">
        <v>0</v>
      </c>
      <c r="Q268" t="n">
        <v>0</v>
      </c>
      <c r="R268" s="2" t="inlineStr"/>
    </row>
    <row r="269" ht="15" customHeight="1">
      <c r="A269" t="inlineStr">
        <is>
          <t>A 17549-2020</t>
        </is>
      </c>
      <c r="B269" s="1" t="n">
        <v>43920</v>
      </c>
      <c r="C269" s="1" t="n">
        <v>45821</v>
      </c>
      <c r="D269" t="inlineStr">
        <is>
          <t>UPPSALA LÄN</t>
        </is>
      </c>
      <c r="E269" t="inlineStr">
        <is>
          <t>ÖSTHAMMAR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19556-2020</t>
        </is>
      </c>
      <c r="B270" s="1" t="n">
        <v>43936</v>
      </c>
      <c r="C270" s="1" t="n">
        <v>45821</v>
      </c>
      <c r="D270" t="inlineStr">
        <is>
          <t>UPPSALA LÄN</t>
        </is>
      </c>
      <c r="E270" t="inlineStr">
        <is>
          <t>ÖSTHAMMAR</t>
        </is>
      </c>
      <c r="G270" t="n">
        <v>6.3</v>
      </c>
      <c r="H270" t="n">
        <v>0</v>
      </c>
      <c r="I270" t="n">
        <v>0</v>
      </c>
      <c r="J270" t="n">
        <v>0</v>
      </c>
      <c r="K270" t="n">
        <v>0</v>
      </c>
      <c r="L270" t="n">
        <v>0</v>
      </c>
      <c r="M270" t="n">
        <v>0</v>
      </c>
      <c r="N270" t="n">
        <v>0</v>
      </c>
      <c r="O270" t="n">
        <v>0</v>
      </c>
      <c r="P270" t="n">
        <v>0</v>
      </c>
      <c r="Q270" t="n">
        <v>0</v>
      </c>
      <c r="R270" s="2" t="inlineStr"/>
    </row>
    <row r="271" ht="15" customHeight="1">
      <c r="A271" t="inlineStr">
        <is>
          <t>A 23621-2020</t>
        </is>
      </c>
      <c r="B271" s="1" t="n">
        <v>43969</v>
      </c>
      <c r="C271" s="1" t="n">
        <v>45821</v>
      </c>
      <c r="D271" t="inlineStr">
        <is>
          <t>UPPSALA LÄN</t>
        </is>
      </c>
      <c r="E271" t="inlineStr">
        <is>
          <t>ÖSTHAMMAR</t>
        </is>
      </c>
      <c r="F271" t="inlineStr">
        <is>
          <t>Bergvik skog väst AB</t>
        </is>
      </c>
      <c r="G271" t="n">
        <v>0.7</v>
      </c>
      <c r="H271" t="n">
        <v>0</v>
      </c>
      <c r="I271" t="n">
        <v>0</v>
      </c>
      <c r="J271" t="n">
        <v>0</v>
      </c>
      <c r="K271" t="n">
        <v>0</v>
      </c>
      <c r="L271" t="n">
        <v>0</v>
      </c>
      <c r="M271" t="n">
        <v>0</v>
      </c>
      <c r="N271" t="n">
        <v>0</v>
      </c>
      <c r="O271" t="n">
        <v>0</v>
      </c>
      <c r="P271" t="n">
        <v>0</v>
      </c>
      <c r="Q271" t="n">
        <v>0</v>
      </c>
      <c r="R271" s="2" t="inlineStr"/>
    </row>
    <row r="272" ht="15" customHeight="1">
      <c r="A272" t="inlineStr">
        <is>
          <t>A 26198-2020</t>
        </is>
      </c>
      <c r="B272" s="1" t="n">
        <v>43986</v>
      </c>
      <c r="C272" s="1" t="n">
        <v>45821</v>
      </c>
      <c r="D272" t="inlineStr">
        <is>
          <t>UPPSALA LÄN</t>
        </is>
      </c>
      <c r="E272" t="inlineStr">
        <is>
          <t>ÖSTHAMMAR</t>
        </is>
      </c>
      <c r="F272" t="inlineStr">
        <is>
          <t>Bergvik skog öst AB</t>
        </is>
      </c>
      <c r="G272" t="n">
        <v>0.3</v>
      </c>
      <c r="H272" t="n">
        <v>0</v>
      </c>
      <c r="I272" t="n">
        <v>0</v>
      </c>
      <c r="J272" t="n">
        <v>0</v>
      </c>
      <c r="K272" t="n">
        <v>0</v>
      </c>
      <c r="L272" t="n">
        <v>0</v>
      </c>
      <c r="M272" t="n">
        <v>0</v>
      </c>
      <c r="N272" t="n">
        <v>0</v>
      </c>
      <c r="O272" t="n">
        <v>0</v>
      </c>
      <c r="P272" t="n">
        <v>0</v>
      </c>
      <c r="Q272" t="n">
        <v>0</v>
      </c>
      <c r="R272" s="2" t="inlineStr"/>
    </row>
    <row r="273" ht="15" customHeight="1">
      <c r="A273" t="inlineStr">
        <is>
          <t>A 30338-2020</t>
        </is>
      </c>
      <c r="B273" s="1" t="n">
        <v>44007</v>
      </c>
      <c r="C273" s="1" t="n">
        <v>45821</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30419-2020</t>
        </is>
      </c>
      <c r="B274" s="1" t="n">
        <v>44007</v>
      </c>
      <c r="C274" s="1" t="n">
        <v>45821</v>
      </c>
      <c r="D274" t="inlineStr">
        <is>
          <t>UPPSALA LÄN</t>
        </is>
      </c>
      <c r="E274" t="inlineStr">
        <is>
          <t>ÖSTHAMMAR</t>
        </is>
      </c>
      <c r="G274" t="n">
        <v>5.6</v>
      </c>
      <c r="H274" t="n">
        <v>0</v>
      </c>
      <c r="I274" t="n">
        <v>0</v>
      </c>
      <c r="J274" t="n">
        <v>0</v>
      </c>
      <c r="K274" t="n">
        <v>0</v>
      </c>
      <c r="L274" t="n">
        <v>0</v>
      </c>
      <c r="M274" t="n">
        <v>0</v>
      </c>
      <c r="N274" t="n">
        <v>0</v>
      </c>
      <c r="O274" t="n">
        <v>0</v>
      </c>
      <c r="P274" t="n">
        <v>0</v>
      </c>
      <c r="Q274" t="n">
        <v>0</v>
      </c>
      <c r="R274" s="2" t="inlineStr"/>
    </row>
    <row r="275" ht="15" customHeight="1">
      <c r="A275" t="inlineStr">
        <is>
          <t>A 32192-2020</t>
        </is>
      </c>
      <c r="B275" s="1" t="n">
        <v>44015</v>
      </c>
      <c r="C275" s="1" t="n">
        <v>45821</v>
      </c>
      <c r="D275" t="inlineStr">
        <is>
          <t>UPPSALA LÄN</t>
        </is>
      </c>
      <c r="E275" t="inlineStr">
        <is>
          <t>ÖSTHAMMAR</t>
        </is>
      </c>
      <c r="G275" t="n">
        <v>1.6</v>
      </c>
      <c r="H275" t="n">
        <v>0</v>
      </c>
      <c r="I275" t="n">
        <v>0</v>
      </c>
      <c r="J275" t="n">
        <v>0</v>
      </c>
      <c r="K275" t="n">
        <v>0</v>
      </c>
      <c r="L275" t="n">
        <v>0</v>
      </c>
      <c r="M275" t="n">
        <v>0</v>
      </c>
      <c r="N275" t="n">
        <v>0</v>
      </c>
      <c r="O275" t="n">
        <v>0</v>
      </c>
      <c r="P275" t="n">
        <v>0</v>
      </c>
      <c r="Q275" t="n">
        <v>0</v>
      </c>
      <c r="R275" s="2" t="inlineStr"/>
    </row>
    <row r="276" ht="15" customHeight="1">
      <c r="A276" t="inlineStr">
        <is>
          <t>A 33098-2020</t>
        </is>
      </c>
      <c r="B276" s="1" t="n">
        <v>44021</v>
      </c>
      <c r="C276" s="1" t="n">
        <v>45821</v>
      </c>
      <c r="D276" t="inlineStr">
        <is>
          <t>UPPSALA LÄN</t>
        </is>
      </c>
      <c r="E276" t="inlineStr">
        <is>
          <t>ÖSTHAMMAR</t>
        </is>
      </c>
      <c r="G276" t="n">
        <v>3.8</v>
      </c>
      <c r="H276" t="n">
        <v>0</v>
      </c>
      <c r="I276" t="n">
        <v>0</v>
      </c>
      <c r="J276" t="n">
        <v>0</v>
      </c>
      <c r="K276" t="n">
        <v>0</v>
      </c>
      <c r="L276" t="n">
        <v>0</v>
      </c>
      <c r="M276" t="n">
        <v>0</v>
      </c>
      <c r="N276" t="n">
        <v>0</v>
      </c>
      <c r="O276" t="n">
        <v>0</v>
      </c>
      <c r="P276" t="n">
        <v>0</v>
      </c>
      <c r="Q276" t="n">
        <v>0</v>
      </c>
      <c r="R276" s="2" t="inlineStr"/>
    </row>
    <row r="277" ht="15" customHeight="1">
      <c r="A277" t="inlineStr">
        <is>
          <t>A 34943-2020</t>
        </is>
      </c>
      <c r="B277" s="1" t="n">
        <v>44038</v>
      </c>
      <c r="C277" s="1" t="n">
        <v>45821</v>
      </c>
      <c r="D277" t="inlineStr">
        <is>
          <t>UPPSALA LÄN</t>
        </is>
      </c>
      <c r="E277" t="inlineStr">
        <is>
          <t>ÖSTHAMMAR</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34941-2020</t>
        </is>
      </c>
      <c r="B278" s="1" t="n">
        <v>44038</v>
      </c>
      <c r="C278" s="1" t="n">
        <v>45821</v>
      </c>
      <c r="D278" t="inlineStr">
        <is>
          <t>UPPSALA LÄN</t>
        </is>
      </c>
      <c r="E278" t="inlineStr">
        <is>
          <t>ÖSTHAMMAR</t>
        </is>
      </c>
      <c r="F278" t="inlineStr">
        <is>
          <t>Bergvik skog öst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34940-2020</t>
        </is>
      </c>
      <c r="B279" s="1" t="n">
        <v>44038</v>
      </c>
      <c r="C279" s="1" t="n">
        <v>45821</v>
      </c>
      <c r="D279" t="inlineStr">
        <is>
          <t>UPPSALA LÄN</t>
        </is>
      </c>
      <c r="E279" t="inlineStr">
        <is>
          <t>ÖSTHAMMAR</t>
        </is>
      </c>
      <c r="F279" t="inlineStr">
        <is>
          <t>Bergvik skog öst AB</t>
        </is>
      </c>
      <c r="G279" t="n">
        <v>3.5</v>
      </c>
      <c r="H279" t="n">
        <v>0</v>
      </c>
      <c r="I279" t="n">
        <v>0</v>
      </c>
      <c r="J279" t="n">
        <v>0</v>
      </c>
      <c r="K279" t="n">
        <v>0</v>
      </c>
      <c r="L279" t="n">
        <v>0</v>
      </c>
      <c r="M279" t="n">
        <v>0</v>
      </c>
      <c r="N279" t="n">
        <v>0</v>
      </c>
      <c r="O279" t="n">
        <v>0</v>
      </c>
      <c r="P279" t="n">
        <v>0</v>
      </c>
      <c r="Q279" t="n">
        <v>0</v>
      </c>
      <c r="R279" s="2" t="inlineStr"/>
    </row>
    <row r="280" ht="15" customHeight="1">
      <c r="A280" t="inlineStr">
        <is>
          <t>A 35094-2020</t>
        </is>
      </c>
      <c r="B280" s="1" t="n">
        <v>44040</v>
      </c>
      <c r="C280" s="1" t="n">
        <v>45821</v>
      </c>
      <c r="D280" t="inlineStr">
        <is>
          <t>UPPSALA LÄN</t>
        </is>
      </c>
      <c r="E280" t="inlineStr">
        <is>
          <t>ÖSTHAMMAR</t>
        </is>
      </c>
      <c r="F280" t="inlineStr">
        <is>
          <t>Bergvik skog öst AB</t>
        </is>
      </c>
      <c r="G280" t="n">
        <v>14.5</v>
      </c>
      <c r="H280" t="n">
        <v>0</v>
      </c>
      <c r="I280" t="n">
        <v>0</v>
      </c>
      <c r="J280" t="n">
        <v>0</v>
      </c>
      <c r="K280" t="n">
        <v>0</v>
      </c>
      <c r="L280" t="n">
        <v>0</v>
      </c>
      <c r="M280" t="n">
        <v>0</v>
      </c>
      <c r="N280" t="n">
        <v>0</v>
      </c>
      <c r="O280" t="n">
        <v>0</v>
      </c>
      <c r="P280" t="n">
        <v>0</v>
      </c>
      <c r="Q280" t="n">
        <v>0</v>
      </c>
      <c r="R280" s="2" t="inlineStr"/>
    </row>
    <row r="281" ht="15" customHeight="1">
      <c r="A281" t="inlineStr">
        <is>
          <t>A 35096-2020</t>
        </is>
      </c>
      <c r="B281" s="1" t="n">
        <v>44040</v>
      </c>
      <c r="C281" s="1" t="n">
        <v>45821</v>
      </c>
      <c r="D281" t="inlineStr">
        <is>
          <t>UPPSALA LÄN</t>
        </is>
      </c>
      <c r="E281" t="inlineStr">
        <is>
          <t>ÖSTHAMMAR</t>
        </is>
      </c>
      <c r="F281" t="inlineStr">
        <is>
          <t>Bergvik skog öst AB</t>
        </is>
      </c>
      <c r="G281" t="n">
        <v>7.6</v>
      </c>
      <c r="H281" t="n">
        <v>0</v>
      </c>
      <c r="I281" t="n">
        <v>0</v>
      </c>
      <c r="J281" t="n">
        <v>0</v>
      </c>
      <c r="K281" t="n">
        <v>0</v>
      </c>
      <c r="L281" t="n">
        <v>0</v>
      </c>
      <c r="M281" t="n">
        <v>0</v>
      </c>
      <c r="N281" t="n">
        <v>0</v>
      </c>
      <c r="O281" t="n">
        <v>0</v>
      </c>
      <c r="P281" t="n">
        <v>0</v>
      </c>
      <c r="Q281" t="n">
        <v>0</v>
      </c>
      <c r="R281" s="2" t="inlineStr"/>
    </row>
    <row r="282" ht="15" customHeight="1">
      <c r="A282" t="inlineStr">
        <is>
          <t>A 38285-2020</t>
        </is>
      </c>
      <c r="B282" s="1" t="n">
        <v>44060</v>
      </c>
      <c r="C282" s="1" t="n">
        <v>45821</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38630-2020</t>
        </is>
      </c>
      <c r="B283" s="1" t="n">
        <v>44061</v>
      </c>
      <c r="C283" s="1" t="n">
        <v>45821</v>
      </c>
      <c r="D283" t="inlineStr">
        <is>
          <t>UPPSALA LÄN</t>
        </is>
      </c>
      <c r="E283" t="inlineStr">
        <is>
          <t>ÖSTHAMMAR</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39640-2020</t>
        </is>
      </c>
      <c r="B284" s="1" t="n">
        <v>44064</v>
      </c>
      <c r="C284" s="1" t="n">
        <v>45821</v>
      </c>
      <c r="D284" t="inlineStr">
        <is>
          <t>UPPSALA LÄN</t>
        </is>
      </c>
      <c r="E284" t="inlineStr">
        <is>
          <t>ÖSTHAMMAR</t>
        </is>
      </c>
      <c r="F284" t="inlineStr">
        <is>
          <t>Bergvik skog öst AB</t>
        </is>
      </c>
      <c r="G284" t="n">
        <v>1.2</v>
      </c>
      <c r="H284" t="n">
        <v>0</v>
      </c>
      <c r="I284" t="n">
        <v>0</v>
      </c>
      <c r="J284" t="n">
        <v>0</v>
      </c>
      <c r="K284" t="n">
        <v>0</v>
      </c>
      <c r="L284" t="n">
        <v>0</v>
      </c>
      <c r="M284" t="n">
        <v>0</v>
      </c>
      <c r="N284" t="n">
        <v>0</v>
      </c>
      <c r="O284" t="n">
        <v>0</v>
      </c>
      <c r="P284" t="n">
        <v>0</v>
      </c>
      <c r="Q284" t="n">
        <v>0</v>
      </c>
      <c r="R284" s="2" t="inlineStr"/>
    </row>
    <row r="285" ht="15" customHeight="1">
      <c r="A285" t="inlineStr">
        <is>
          <t>A 41849-2020</t>
        </is>
      </c>
      <c r="B285" s="1" t="n">
        <v>44074</v>
      </c>
      <c r="C285" s="1" t="n">
        <v>45821</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42549-2020</t>
        </is>
      </c>
      <c r="B286" s="1" t="n">
        <v>44077</v>
      </c>
      <c r="C286" s="1" t="n">
        <v>45821</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46311-2020</t>
        </is>
      </c>
      <c r="B287" s="1" t="n">
        <v>44092</v>
      </c>
      <c r="C287" s="1" t="n">
        <v>45821</v>
      </c>
      <c r="D287" t="inlineStr">
        <is>
          <t>UPPSALA LÄN</t>
        </is>
      </c>
      <c r="E287" t="inlineStr">
        <is>
          <t>ÖSTHAMMAR</t>
        </is>
      </c>
      <c r="F287" t="inlineStr">
        <is>
          <t>Bergvik skog öst AB</t>
        </is>
      </c>
      <c r="G287" t="n">
        <v>4</v>
      </c>
      <c r="H287" t="n">
        <v>0</v>
      </c>
      <c r="I287" t="n">
        <v>0</v>
      </c>
      <c r="J287" t="n">
        <v>0</v>
      </c>
      <c r="K287" t="n">
        <v>0</v>
      </c>
      <c r="L287" t="n">
        <v>0</v>
      </c>
      <c r="M287" t="n">
        <v>0</v>
      </c>
      <c r="N287" t="n">
        <v>0</v>
      </c>
      <c r="O287" t="n">
        <v>0</v>
      </c>
      <c r="P287" t="n">
        <v>0</v>
      </c>
      <c r="Q287" t="n">
        <v>0</v>
      </c>
      <c r="R287" s="2" t="inlineStr"/>
    </row>
    <row r="288" ht="15" customHeight="1">
      <c r="A288" t="inlineStr">
        <is>
          <t>A 46423-2020</t>
        </is>
      </c>
      <c r="B288" s="1" t="n">
        <v>44095</v>
      </c>
      <c r="C288" s="1" t="n">
        <v>45821</v>
      </c>
      <c r="D288" t="inlineStr">
        <is>
          <t>UPPSALA LÄN</t>
        </is>
      </c>
      <c r="E288" t="inlineStr">
        <is>
          <t>ÖSTHAMMAR</t>
        </is>
      </c>
      <c r="G288" t="n">
        <v>3</v>
      </c>
      <c r="H288" t="n">
        <v>0</v>
      </c>
      <c r="I288" t="n">
        <v>0</v>
      </c>
      <c r="J288" t="n">
        <v>0</v>
      </c>
      <c r="K288" t="n">
        <v>0</v>
      </c>
      <c r="L288" t="n">
        <v>0</v>
      </c>
      <c r="M288" t="n">
        <v>0</v>
      </c>
      <c r="N288" t="n">
        <v>0</v>
      </c>
      <c r="O288" t="n">
        <v>0</v>
      </c>
      <c r="P288" t="n">
        <v>0</v>
      </c>
      <c r="Q288" t="n">
        <v>0</v>
      </c>
      <c r="R288" s="2" t="inlineStr"/>
    </row>
    <row r="289" ht="15" customHeight="1">
      <c r="A289" t="inlineStr">
        <is>
          <t>A 47481-2020</t>
        </is>
      </c>
      <c r="B289" s="1" t="n">
        <v>44098</v>
      </c>
      <c r="C289" s="1" t="n">
        <v>45821</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49206-2020</t>
        </is>
      </c>
      <c r="B290" s="1" t="n">
        <v>44105</v>
      </c>
      <c r="C290" s="1" t="n">
        <v>45821</v>
      </c>
      <c r="D290" t="inlineStr">
        <is>
          <t>UPPSALA LÄN</t>
        </is>
      </c>
      <c r="E290" t="inlineStr">
        <is>
          <t>ÖSTHAMMAR</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49336-2020</t>
        </is>
      </c>
      <c r="B291" s="1" t="n">
        <v>44105</v>
      </c>
      <c r="C291" s="1" t="n">
        <v>45821</v>
      </c>
      <c r="D291" t="inlineStr">
        <is>
          <t>UPPSALA LÄN</t>
        </is>
      </c>
      <c r="E291" t="inlineStr">
        <is>
          <t>ÖSTHAMMAR</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52432-2020</t>
        </is>
      </c>
      <c r="B292" s="1" t="n">
        <v>44118</v>
      </c>
      <c r="C292" s="1" t="n">
        <v>45821</v>
      </c>
      <c r="D292" t="inlineStr">
        <is>
          <t>UPPSALA LÄN</t>
        </is>
      </c>
      <c r="E292" t="inlineStr">
        <is>
          <t>ÖSTHAMMAR</t>
        </is>
      </c>
      <c r="G292" t="n">
        <v>2.7</v>
      </c>
      <c r="H292" t="n">
        <v>0</v>
      </c>
      <c r="I292" t="n">
        <v>0</v>
      </c>
      <c r="J292" t="n">
        <v>0</v>
      </c>
      <c r="K292" t="n">
        <v>0</v>
      </c>
      <c r="L292" t="n">
        <v>0</v>
      </c>
      <c r="M292" t="n">
        <v>0</v>
      </c>
      <c r="N292" t="n">
        <v>0</v>
      </c>
      <c r="O292" t="n">
        <v>0</v>
      </c>
      <c r="P292" t="n">
        <v>0</v>
      </c>
      <c r="Q292" t="n">
        <v>0</v>
      </c>
      <c r="R292" s="2" t="inlineStr"/>
    </row>
    <row r="293" ht="15" customHeight="1">
      <c r="A293" t="inlineStr">
        <is>
          <t>A 52434-2020</t>
        </is>
      </c>
      <c r="B293" s="1" t="n">
        <v>44118</v>
      </c>
      <c r="C293" s="1" t="n">
        <v>45821</v>
      </c>
      <c r="D293" t="inlineStr">
        <is>
          <t>UPPSALA LÄN</t>
        </is>
      </c>
      <c r="E293" t="inlineStr">
        <is>
          <t>ÖSTHAMMAR</t>
        </is>
      </c>
      <c r="G293" t="n">
        <v>2.8</v>
      </c>
      <c r="H293" t="n">
        <v>0</v>
      </c>
      <c r="I293" t="n">
        <v>0</v>
      </c>
      <c r="J293" t="n">
        <v>0</v>
      </c>
      <c r="K293" t="n">
        <v>0</v>
      </c>
      <c r="L293" t="n">
        <v>0</v>
      </c>
      <c r="M293" t="n">
        <v>0</v>
      </c>
      <c r="N293" t="n">
        <v>0</v>
      </c>
      <c r="O293" t="n">
        <v>0</v>
      </c>
      <c r="P293" t="n">
        <v>0</v>
      </c>
      <c r="Q293" t="n">
        <v>0</v>
      </c>
      <c r="R293" s="2" t="inlineStr"/>
    </row>
    <row r="294" ht="15" customHeight="1">
      <c r="A294" t="inlineStr">
        <is>
          <t>A 53137-2020</t>
        </is>
      </c>
      <c r="B294" s="1" t="n">
        <v>44120</v>
      </c>
      <c r="C294" s="1" t="n">
        <v>45821</v>
      </c>
      <c r="D294" t="inlineStr">
        <is>
          <t>UPPSALA LÄN</t>
        </is>
      </c>
      <c r="E294" t="inlineStr">
        <is>
          <t>ÖSTHAMMAR</t>
        </is>
      </c>
      <c r="G294" t="n">
        <v>1.9</v>
      </c>
      <c r="H294" t="n">
        <v>0</v>
      </c>
      <c r="I294" t="n">
        <v>0</v>
      </c>
      <c r="J294" t="n">
        <v>0</v>
      </c>
      <c r="K294" t="n">
        <v>0</v>
      </c>
      <c r="L294" t="n">
        <v>0</v>
      </c>
      <c r="M294" t="n">
        <v>0</v>
      </c>
      <c r="N294" t="n">
        <v>0</v>
      </c>
      <c r="O294" t="n">
        <v>0</v>
      </c>
      <c r="P294" t="n">
        <v>0</v>
      </c>
      <c r="Q294" t="n">
        <v>0</v>
      </c>
      <c r="R294" s="2" t="inlineStr"/>
    </row>
    <row r="295" ht="15" customHeight="1">
      <c r="A295" t="inlineStr">
        <is>
          <t>A 55389-2020</t>
        </is>
      </c>
      <c r="B295" s="1" t="n">
        <v>44131</v>
      </c>
      <c r="C295" s="1" t="n">
        <v>45821</v>
      </c>
      <c r="D295" t="inlineStr">
        <is>
          <t>UPPSALA LÄN</t>
        </is>
      </c>
      <c r="E295" t="inlineStr">
        <is>
          <t>ÖSTHAMMAR</t>
        </is>
      </c>
      <c r="G295" t="n">
        <v>1.3</v>
      </c>
      <c r="H295" t="n">
        <v>0</v>
      </c>
      <c r="I295" t="n">
        <v>0</v>
      </c>
      <c r="J295" t="n">
        <v>0</v>
      </c>
      <c r="K295" t="n">
        <v>0</v>
      </c>
      <c r="L295" t="n">
        <v>0</v>
      </c>
      <c r="M295" t="n">
        <v>0</v>
      </c>
      <c r="N295" t="n">
        <v>0</v>
      </c>
      <c r="O295" t="n">
        <v>0</v>
      </c>
      <c r="P295" t="n">
        <v>0</v>
      </c>
      <c r="Q295" t="n">
        <v>0</v>
      </c>
      <c r="R295" s="2" t="inlineStr"/>
    </row>
    <row r="296" ht="15" customHeight="1">
      <c r="A296" t="inlineStr">
        <is>
          <t>A 56041-2020</t>
        </is>
      </c>
      <c r="B296" s="1" t="n">
        <v>44133</v>
      </c>
      <c r="C296" s="1" t="n">
        <v>45821</v>
      </c>
      <c r="D296" t="inlineStr">
        <is>
          <t>UPPSALA LÄN</t>
        </is>
      </c>
      <c r="E296" t="inlineStr">
        <is>
          <t>ÖSTHAMMAR</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56079-2020</t>
        </is>
      </c>
      <c r="B297" s="1" t="n">
        <v>44133</v>
      </c>
      <c r="C297" s="1" t="n">
        <v>45821</v>
      </c>
      <c r="D297" t="inlineStr">
        <is>
          <t>UPPSALA LÄN</t>
        </is>
      </c>
      <c r="E297" t="inlineStr">
        <is>
          <t>ÖSTHAMMAR</t>
        </is>
      </c>
      <c r="F297" t="inlineStr">
        <is>
          <t>Bergvik skog öst AB</t>
        </is>
      </c>
      <c r="G297" t="n">
        <v>2.9</v>
      </c>
      <c r="H297" t="n">
        <v>0</v>
      </c>
      <c r="I297" t="n">
        <v>0</v>
      </c>
      <c r="J297" t="n">
        <v>0</v>
      </c>
      <c r="K297" t="n">
        <v>0</v>
      </c>
      <c r="L297" t="n">
        <v>0</v>
      </c>
      <c r="M297" t="n">
        <v>0</v>
      </c>
      <c r="N297" t="n">
        <v>0</v>
      </c>
      <c r="O297" t="n">
        <v>0</v>
      </c>
      <c r="P297" t="n">
        <v>0</v>
      </c>
      <c r="Q297" t="n">
        <v>0</v>
      </c>
      <c r="R297" s="2" t="inlineStr"/>
    </row>
    <row r="298" ht="15" customHeight="1">
      <c r="A298" t="inlineStr">
        <is>
          <t>A 56089-2020</t>
        </is>
      </c>
      <c r="B298" s="1" t="n">
        <v>44133</v>
      </c>
      <c r="C298" s="1" t="n">
        <v>45821</v>
      </c>
      <c r="D298" t="inlineStr">
        <is>
          <t>UPPSALA LÄN</t>
        </is>
      </c>
      <c r="E298" t="inlineStr">
        <is>
          <t>ÖSTHAMMAR</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57408-2020</t>
        </is>
      </c>
      <c r="B299" s="1" t="n">
        <v>44140</v>
      </c>
      <c r="C299" s="1" t="n">
        <v>45821</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59432-2020</t>
        </is>
      </c>
      <c r="B300" s="1" t="n">
        <v>44148</v>
      </c>
      <c r="C300" s="1" t="n">
        <v>45821</v>
      </c>
      <c r="D300" t="inlineStr">
        <is>
          <t>UPPSALA LÄN</t>
        </is>
      </c>
      <c r="E300" t="inlineStr">
        <is>
          <t>ÖSTHAMMAR</t>
        </is>
      </c>
      <c r="F300" t="inlineStr">
        <is>
          <t>Sveaskog</t>
        </is>
      </c>
      <c r="G300" t="n">
        <v>3.4</v>
      </c>
      <c r="H300" t="n">
        <v>0</v>
      </c>
      <c r="I300" t="n">
        <v>0</v>
      </c>
      <c r="J300" t="n">
        <v>0</v>
      </c>
      <c r="K300" t="n">
        <v>0</v>
      </c>
      <c r="L300" t="n">
        <v>0</v>
      </c>
      <c r="M300" t="n">
        <v>0</v>
      </c>
      <c r="N300" t="n">
        <v>0</v>
      </c>
      <c r="O300" t="n">
        <v>0</v>
      </c>
      <c r="P300" t="n">
        <v>0</v>
      </c>
      <c r="Q300" t="n">
        <v>0</v>
      </c>
      <c r="R300" s="2" t="inlineStr"/>
    </row>
    <row r="301" ht="15" customHeight="1">
      <c r="A301" t="inlineStr">
        <is>
          <t>A 59414-2020</t>
        </is>
      </c>
      <c r="B301" s="1" t="n">
        <v>44148</v>
      </c>
      <c r="C301" s="1" t="n">
        <v>45821</v>
      </c>
      <c r="D301" t="inlineStr">
        <is>
          <t>UPPSALA LÄN</t>
        </is>
      </c>
      <c r="E301" t="inlineStr">
        <is>
          <t>ÖSTHAMMAR</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59417-2020</t>
        </is>
      </c>
      <c r="B302" s="1" t="n">
        <v>44148</v>
      </c>
      <c r="C302" s="1" t="n">
        <v>45821</v>
      </c>
      <c r="D302" t="inlineStr">
        <is>
          <t>UPPSALA LÄN</t>
        </is>
      </c>
      <c r="E302" t="inlineStr">
        <is>
          <t>ÖSTHAMMAR</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59714-2020</t>
        </is>
      </c>
      <c r="B303" s="1" t="n">
        <v>44151</v>
      </c>
      <c r="C303" s="1" t="n">
        <v>45821</v>
      </c>
      <c r="D303" t="inlineStr">
        <is>
          <t>UPPSALA LÄN</t>
        </is>
      </c>
      <c r="E303" t="inlineStr">
        <is>
          <t>ÖSTHAMMAR</t>
        </is>
      </c>
      <c r="F303" t="inlineStr">
        <is>
          <t>Bergvik skog öst AB</t>
        </is>
      </c>
      <c r="G303" t="n">
        <v>2.5</v>
      </c>
      <c r="H303" t="n">
        <v>0</v>
      </c>
      <c r="I303" t="n">
        <v>0</v>
      </c>
      <c r="J303" t="n">
        <v>0</v>
      </c>
      <c r="K303" t="n">
        <v>0</v>
      </c>
      <c r="L303" t="n">
        <v>0</v>
      </c>
      <c r="M303" t="n">
        <v>0</v>
      </c>
      <c r="N303" t="n">
        <v>0</v>
      </c>
      <c r="O303" t="n">
        <v>0</v>
      </c>
      <c r="P303" t="n">
        <v>0</v>
      </c>
      <c r="Q303" t="n">
        <v>0</v>
      </c>
      <c r="R303" s="2" t="inlineStr"/>
    </row>
    <row r="304" ht="15" customHeight="1">
      <c r="A304" t="inlineStr">
        <is>
          <t>A 59807-2020</t>
        </is>
      </c>
      <c r="B304" s="1" t="n">
        <v>44151</v>
      </c>
      <c r="C304" s="1" t="n">
        <v>45821</v>
      </c>
      <c r="D304" t="inlineStr">
        <is>
          <t>UPPSALA LÄN</t>
        </is>
      </c>
      <c r="E304" t="inlineStr">
        <is>
          <t>ÖSTHAMMAR</t>
        </is>
      </c>
      <c r="G304" t="n">
        <v>3.4</v>
      </c>
      <c r="H304" t="n">
        <v>0</v>
      </c>
      <c r="I304" t="n">
        <v>0</v>
      </c>
      <c r="J304" t="n">
        <v>0</v>
      </c>
      <c r="K304" t="n">
        <v>0</v>
      </c>
      <c r="L304" t="n">
        <v>0</v>
      </c>
      <c r="M304" t="n">
        <v>0</v>
      </c>
      <c r="N304" t="n">
        <v>0</v>
      </c>
      <c r="O304" t="n">
        <v>0</v>
      </c>
      <c r="P304" t="n">
        <v>0</v>
      </c>
      <c r="Q304" t="n">
        <v>0</v>
      </c>
      <c r="R304" s="2" t="inlineStr"/>
    </row>
    <row r="305" ht="15" customHeight="1">
      <c r="A305" t="inlineStr">
        <is>
          <t>A 61193-2020</t>
        </is>
      </c>
      <c r="B305" s="1" t="n">
        <v>44155</v>
      </c>
      <c r="C305" s="1" t="n">
        <v>45821</v>
      </c>
      <c r="D305" t="inlineStr">
        <is>
          <t>UPPSALA LÄN</t>
        </is>
      </c>
      <c r="E305" t="inlineStr">
        <is>
          <t>ÖSTHAMMAR</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62484-2020</t>
        </is>
      </c>
      <c r="B306" s="1" t="n">
        <v>44160</v>
      </c>
      <c r="C306" s="1" t="n">
        <v>45821</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63637-2020</t>
        </is>
      </c>
      <c r="B307" s="1" t="n">
        <v>44162</v>
      </c>
      <c r="C307" s="1" t="n">
        <v>45821</v>
      </c>
      <c r="D307" t="inlineStr">
        <is>
          <t>UPPSALA LÄN</t>
        </is>
      </c>
      <c r="E307" t="inlineStr">
        <is>
          <t>ÖSTHAMMAR</t>
        </is>
      </c>
      <c r="G307" t="n">
        <v>4</v>
      </c>
      <c r="H307" t="n">
        <v>0</v>
      </c>
      <c r="I307" t="n">
        <v>0</v>
      </c>
      <c r="J307" t="n">
        <v>0</v>
      </c>
      <c r="K307" t="n">
        <v>0</v>
      </c>
      <c r="L307" t="n">
        <v>0</v>
      </c>
      <c r="M307" t="n">
        <v>0</v>
      </c>
      <c r="N307" t="n">
        <v>0</v>
      </c>
      <c r="O307" t="n">
        <v>0</v>
      </c>
      <c r="P307" t="n">
        <v>0</v>
      </c>
      <c r="Q307" t="n">
        <v>0</v>
      </c>
      <c r="R307" s="2" t="inlineStr"/>
    </row>
    <row r="308" ht="15" customHeight="1">
      <c r="A308" t="inlineStr">
        <is>
          <t>A 63577-2020</t>
        </is>
      </c>
      <c r="B308" s="1" t="n">
        <v>44165</v>
      </c>
      <c r="C308" s="1" t="n">
        <v>45821</v>
      </c>
      <c r="D308" t="inlineStr">
        <is>
          <t>UPPSALA LÄN</t>
        </is>
      </c>
      <c r="E308" t="inlineStr">
        <is>
          <t>ÖSTHAMMAR</t>
        </is>
      </c>
      <c r="G308" t="n">
        <v>0.9</v>
      </c>
      <c r="H308" t="n">
        <v>0</v>
      </c>
      <c r="I308" t="n">
        <v>0</v>
      </c>
      <c r="J308" t="n">
        <v>0</v>
      </c>
      <c r="K308" t="n">
        <v>0</v>
      </c>
      <c r="L308" t="n">
        <v>0</v>
      </c>
      <c r="M308" t="n">
        <v>0</v>
      </c>
      <c r="N308" t="n">
        <v>0</v>
      </c>
      <c r="O308" t="n">
        <v>0</v>
      </c>
      <c r="P308" t="n">
        <v>0</v>
      </c>
      <c r="Q308" t="n">
        <v>0</v>
      </c>
      <c r="R308" s="2" t="inlineStr"/>
    </row>
    <row r="309" ht="15" customHeight="1">
      <c r="A309" t="inlineStr">
        <is>
          <t>A 63987-2020</t>
        </is>
      </c>
      <c r="B309" s="1" t="n">
        <v>44167</v>
      </c>
      <c r="C309" s="1" t="n">
        <v>45821</v>
      </c>
      <c r="D309" t="inlineStr">
        <is>
          <t>UPPSALA LÄN</t>
        </is>
      </c>
      <c r="E309" t="inlineStr">
        <is>
          <t>ÖSTHAMMAR</t>
        </is>
      </c>
      <c r="G309" t="n">
        <v>5.9</v>
      </c>
      <c r="H309" t="n">
        <v>0</v>
      </c>
      <c r="I309" t="n">
        <v>0</v>
      </c>
      <c r="J309" t="n">
        <v>0</v>
      </c>
      <c r="K309" t="n">
        <v>0</v>
      </c>
      <c r="L309" t="n">
        <v>0</v>
      </c>
      <c r="M309" t="n">
        <v>0</v>
      </c>
      <c r="N309" t="n">
        <v>0</v>
      </c>
      <c r="O309" t="n">
        <v>0</v>
      </c>
      <c r="P309" t="n">
        <v>0</v>
      </c>
      <c r="Q309" t="n">
        <v>0</v>
      </c>
      <c r="R309" s="2" t="inlineStr"/>
    </row>
    <row r="310" ht="15" customHeight="1">
      <c r="A310" t="inlineStr">
        <is>
          <t>A 65361-2020</t>
        </is>
      </c>
      <c r="B310" s="1" t="n">
        <v>44173</v>
      </c>
      <c r="C310" s="1" t="n">
        <v>45821</v>
      </c>
      <c r="D310" t="inlineStr">
        <is>
          <t>UPPSALA LÄN</t>
        </is>
      </c>
      <c r="E310" t="inlineStr">
        <is>
          <t>ÖSTHAMMAR</t>
        </is>
      </c>
      <c r="G310" t="n">
        <v>3.6</v>
      </c>
      <c r="H310" t="n">
        <v>0</v>
      </c>
      <c r="I310" t="n">
        <v>0</v>
      </c>
      <c r="J310" t="n">
        <v>0</v>
      </c>
      <c r="K310" t="n">
        <v>0</v>
      </c>
      <c r="L310" t="n">
        <v>0</v>
      </c>
      <c r="M310" t="n">
        <v>0</v>
      </c>
      <c r="N310" t="n">
        <v>0</v>
      </c>
      <c r="O310" t="n">
        <v>0</v>
      </c>
      <c r="P310" t="n">
        <v>0</v>
      </c>
      <c r="Q310" t="n">
        <v>0</v>
      </c>
      <c r="R310" s="2" t="inlineStr"/>
    </row>
    <row r="311" ht="15" customHeight="1">
      <c r="A311" t="inlineStr">
        <is>
          <t>A 68243-2020</t>
        </is>
      </c>
      <c r="B311" s="1" t="n">
        <v>44183</v>
      </c>
      <c r="C311" s="1" t="n">
        <v>45821</v>
      </c>
      <c r="D311" t="inlineStr">
        <is>
          <t>UPPSALA LÄN</t>
        </is>
      </c>
      <c r="E311" t="inlineStr">
        <is>
          <t>ÖSTHAMMAR</t>
        </is>
      </c>
      <c r="G311" t="n">
        <v>8.5</v>
      </c>
      <c r="H311" t="n">
        <v>0</v>
      </c>
      <c r="I311" t="n">
        <v>0</v>
      </c>
      <c r="J311" t="n">
        <v>0</v>
      </c>
      <c r="K311" t="n">
        <v>0</v>
      </c>
      <c r="L311" t="n">
        <v>0</v>
      </c>
      <c r="M311" t="n">
        <v>0</v>
      </c>
      <c r="N311" t="n">
        <v>0</v>
      </c>
      <c r="O311" t="n">
        <v>0</v>
      </c>
      <c r="P311" t="n">
        <v>0</v>
      </c>
      <c r="Q311" t="n">
        <v>0</v>
      </c>
      <c r="R311" s="2" t="inlineStr"/>
    </row>
    <row r="312" ht="15" customHeight="1">
      <c r="A312" t="inlineStr">
        <is>
          <t>A 68828-2020</t>
        </is>
      </c>
      <c r="B312" s="1" t="n">
        <v>44186</v>
      </c>
      <c r="C312" s="1" t="n">
        <v>45821</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69681-2020</t>
        </is>
      </c>
      <c r="B313" s="1" t="n">
        <v>44196</v>
      </c>
      <c r="C313" s="1" t="n">
        <v>45821</v>
      </c>
      <c r="D313" t="inlineStr">
        <is>
          <t>UPPSALA LÄN</t>
        </is>
      </c>
      <c r="E313" t="inlineStr">
        <is>
          <t>ÖSTHAMMAR</t>
        </is>
      </c>
      <c r="F313" t="inlineStr">
        <is>
          <t>Bergvik skog öst AB</t>
        </is>
      </c>
      <c r="G313" t="n">
        <v>21.9</v>
      </c>
      <c r="H313" t="n">
        <v>0</v>
      </c>
      <c r="I313" t="n">
        <v>0</v>
      </c>
      <c r="J313" t="n">
        <v>0</v>
      </c>
      <c r="K313" t="n">
        <v>0</v>
      </c>
      <c r="L313" t="n">
        <v>0</v>
      </c>
      <c r="M313" t="n">
        <v>0</v>
      </c>
      <c r="N313" t="n">
        <v>0</v>
      </c>
      <c r="O313" t="n">
        <v>0</v>
      </c>
      <c r="P313" t="n">
        <v>0</v>
      </c>
      <c r="Q313" t="n">
        <v>0</v>
      </c>
      <c r="R313" s="2" t="inlineStr"/>
    </row>
    <row r="314" ht="15" customHeight="1">
      <c r="A314" t="inlineStr">
        <is>
          <t>A 3693-2021</t>
        </is>
      </c>
      <c r="B314" s="1" t="n">
        <v>44221</v>
      </c>
      <c r="C314" s="1" t="n">
        <v>45821</v>
      </c>
      <c r="D314" t="inlineStr">
        <is>
          <t>UPPSALA LÄN</t>
        </is>
      </c>
      <c r="E314" t="inlineStr">
        <is>
          <t>ÖSTHAMMAR</t>
        </is>
      </c>
      <c r="G314" t="n">
        <v>0.3</v>
      </c>
      <c r="H314" t="n">
        <v>0</v>
      </c>
      <c r="I314" t="n">
        <v>0</v>
      </c>
      <c r="J314" t="n">
        <v>0</v>
      </c>
      <c r="K314" t="n">
        <v>0</v>
      </c>
      <c r="L314" t="n">
        <v>0</v>
      </c>
      <c r="M314" t="n">
        <v>0</v>
      </c>
      <c r="N314" t="n">
        <v>0</v>
      </c>
      <c r="O314" t="n">
        <v>0</v>
      </c>
      <c r="P314" t="n">
        <v>0</v>
      </c>
      <c r="Q314" t="n">
        <v>0</v>
      </c>
      <c r="R314" s="2" t="inlineStr"/>
    </row>
    <row r="315" ht="15" customHeight="1">
      <c r="A315" t="inlineStr">
        <is>
          <t>A 4151-2021</t>
        </is>
      </c>
      <c r="B315" s="1" t="n">
        <v>44221</v>
      </c>
      <c r="C315" s="1" t="n">
        <v>45821</v>
      </c>
      <c r="D315" t="inlineStr">
        <is>
          <t>UPPSALA LÄN</t>
        </is>
      </c>
      <c r="E315" t="inlineStr">
        <is>
          <t>ÖSTHAMMAR</t>
        </is>
      </c>
      <c r="G315" t="n">
        <v>2.9</v>
      </c>
      <c r="H315" t="n">
        <v>0</v>
      </c>
      <c r="I315" t="n">
        <v>0</v>
      </c>
      <c r="J315" t="n">
        <v>0</v>
      </c>
      <c r="K315" t="n">
        <v>0</v>
      </c>
      <c r="L315" t="n">
        <v>0</v>
      </c>
      <c r="M315" t="n">
        <v>0</v>
      </c>
      <c r="N315" t="n">
        <v>0</v>
      </c>
      <c r="O315" t="n">
        <v>0</v>
      </c>
      <c r="P315" t="n">
        <v>0</v>
      </c>
      <c r="Q315" t="n">
        <v>0</v>
      </c>
      <c r="R315" s="2" t="inlineStr"/>
    </row>
    <row r="316" ht="15" customHeight="1">
      <c r="A316" t="inlineStr">
        <is>
          <t>A 4590-2021</t>
        </is>
      </c>
      <c r="B316" s="1" t="n">
        <v>44224</v>
      </c>
      <c r="C316" s="1" t="n">
        <v>45821</v>
      </c>
      <c r="D316" t="inlineStr">
        <is>
          <t>UPPSALA LÄN</t>
        </is>
      </c>
      <c r="E316" t="inlineStr">
        <is>
          <t>ÖSTHAMMAR</t>
        </is>
      </c>
      <c r="F316" t="inlineStr">
        <is>
          <t>Bergvik skog öst AB</t>
        </is>
      </c>
      <c r="G316" t="n">
        <v>2.4</v>
      </c>
      <c r="H316" t="n">
        <v>0</v>
      </c>
      <c r="I316" t="n">
        <v>0</v>
      </c>
      <c r="J316" t="n">
        <v>0</v>
      </c>
      <c r="K316" t="n">
        <v>0</v>
      </c>
      <c r="L316" t="n">
        <v>0</v>
      </c>
      <c r="M316" t="n">
        <v>0</v>
      </c>
      <c r="N316" t="n">
        <v>0</v>
      </c>
      <c r="O316" t="n">
        <v>0</v>
      </c>
      <c r="P316" t="n">
        <v>0</v>
      </c>
      <c r="Q316" t="n">
        <v>0</v>
      </c>
      <c r="R316" s="2" t="inlineStr"/>
    </row>
    <row r="317" ht="15" customHeight="1">
      <c r="A317" t="inlineStr">
        <is>
          <t>A 6221-2021</t>
        </is>
      </c>
      <c r="B317" s="1" t="n">
        <v>44235</v>
      </c>
      <c r="C317" s="1" t="n">
        <v>45821</v>
      </c>
      <c r="D317" t="inlineStr">
        <is>
          <t>UPPSALA LÄN</t>
        </is>
      </c>
      <c r="E317" t="inlineStr">
        <is>
          <t>ÖSTHAMMAR</t>
        </is>
      </c>
      <c r="G317" t="n">
        <v>0.8</v>
      </c>
      <c r="H317" t="n">
        <v>0</v>
      </c>
      <c r="I317" t="n">
        <v>0</v>
      </c>
      <c r="J317" t="n">
        <v>0</v>
      </c>
      <c r="K317" t="n">
        <v>0</v>
      </c>
      <c r="L317" t="n">
        <v>0</v>
      </c>
      <c r="M317" t="n">
        <v>0</v>
      </c>
      <c r="N317" t="n">
        <v>0</v>
      </c>
      <c r="O317" t="n">
        <v>0</v>
      </c>
      <c r="P317" t="n">
        <v>0</v>
      </c>
      <c r="Q317" t="n">
        <v>0</v>
      </c>
      <c r="R317" s="2" t="inlineStr"/>
    </row>
    <row r="318" ht="15" customHeight="1">
      <c r="A318" t="inlineStr">
        <is>
          <t>A 7113-2021</t>
        </is>
      </c>
      <c r="B318" s="1" t="n">
        <v>44238</v>
      </c>
      <c r="C318" s="1" t="n">
        <v>45821</v>
      </c>
      <c r="D318" t="inlineStr">
        <is>
          <t>UPPSALA LÄN</t>
        </is>
      </c>
      <c r="E318" t="inlineStr">
        <is>
          <t>ÖSTHAMMAR</t>
        </is>
      </c>
      <c r="F318" t="inlineStr">
        <is>
          <t>Bergvik skog öst AB</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8009-2021</t>
        </is>
      </c>
      <c r="B319" s="1" t="n">
        <v>44243</v>
      </c>
      <c r="C319" s="1" t="n">
        <v>45821</v>
      </c>
      <c r="D319" t="inlineStr">
        <is>
          <t>UPPSALA LÄN</t>
        </is>
      </c>
      <c r="E319" t="inlineStr">
        <is>
          <t>ÖSTHAMMAR</t>
        </is>
      </c>
      <c r="G319" t="n">
        <v>9.9</v>
      </c>
      <c r="H319" t="n">
        <v>0</v>
      </c>
      <c r="I319" t="n">
        <v>0</v>
      </c>
      <c r="J319" t="n">
        <v>0</v>
      </c>
      <c r="K319" t="n">
        <v>0</v>
      </c>
      <c r="L319" t="n">
        <v>0</v>
      </c>
      <c r="M319" t="n">
        <v>0</v>
      </c>
      <c r="N319" t="n">
        <v>0</v>
      </c>
      <c r="O319" t="n">
        <v>0</v>
      </c>
      <c r="P319" t="n">
        <v>0</v>
      </c>
      <c r="Q319" t="n">
        <v>0</v>
      </c>
      <c r="R319" s="2" t="inlineStr"/>
    </row>
    <row r="320" ht="15" customHeight="1">
      <c r="A320" t="inlineStr">
        <is>
          <t>A 10316-2021</t>
        </is>
      </c>
      <c r="B320" s="1" t="n">
        <v>44257</v>
      </c>
      <c r="C320" s="1" t="n">
        <v>45821</v>
      </c>
      <c r="D320" t="inlineStr">
        <is>
          <t>UPPSALA LÄN</t>
        </is>
      </c>
      <c r="E320" t="inlineStr">
        <is>
          <t>ÖSTHAMMAR</t>
        </is>
      </c>
      <c r="F320" t="inlineStr">
        <is>
          <t>Övriga Aktiebolag</t>
        </is>
      </c>
      <c r="G320" t="n">
        <v>3.3</v>
      </c>
      <c r="H320" t="n">
        <v>0</v>
      </c>
      <c r="I320" t="n">
        <v>0</v>
      </c>
      <c r="J320" t="n">
        <v>0</v>
      </c>
      <c r="K320" t="n">
        <v>0</v>
      </c>
      <c r="L320" t="n">
        <v>0</v>
      </c>
      <c r="M320" t="n">
        <v>0</v>
      </c>
      <c r="N320" t="n">
        <v>0</v>
      </c>
      <c r="O320" t="n">
        <v>0</v>
      </c>
      <c r="P320" t="n">
        <v>0</v>
      </c>
      <c r="Q320" t="n">
        <v>0</v>
      </c>
      <c r="R320" s="2" t="inlineStr"/>
    </row>
    <row r="321" ht="15" customHeight="1">
      <c r="A321" t="inlineStr">
        <is>
          <t>A 10498-2021</t>
        </is>
      </c>
      <c r="B321" s="1" t="n">
        <v>44258</v>
      </c>
      <c r="C321" s="1" t="n">
        <v>45821</v>
      </c>
      <c r="D321" t="inlineStr">
        <is>
          <t>UPPSALA LÄN</t>
        </is>
      </c>
      <c r="E321" t="inlineStr">
        <is>
          <t>ÖSTHAMMAR</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14248-2021</t>
        </is>
      </c>
      <c r="B322" s="1" t="n">
        <v>44278</v>
      </c>
      <c r="C322" s="1" t="n">
        <v>45821</v>
      </c>
      <c r="D322" t="inlineStr">
        <is>
          <t>UPPSALA LÄN</t>
        </is>
      </c>
      <c r="E322" t="inlineStr">
        <is>
          <t>ÖSTHAMMAR</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14525-2021</t>
        </is>
      </c>
      <c r="B323" s="1" t="n">
        <v>44279</v>
      </c>
      <c r="C323" s="1" t="n">
        <v>45821</v>
      </c>
      <c r="D323" t="inlineStr">
        <is>
          <t>UPPSALA LÄN</t>
        </is>
      </c>
      <c r="E323" t="inlineStr">
        <is>
          <t>ÖSTHAMMAR</t>
        </is>
      </c>
      <c r="F323" t="inlineStr">
        <is>
          <t>Bergvik skog öst AB</t>
        </is>
      </c>
      <c r="G323" t="n">
        <v>2.1</v>
      </c>
      <c r="H323" t="n">
        <v>0</v>
      </c>
      <c r="I323" t="n">
        <v>0</v>
      </c>
      <c r="J323" t="n">
        <v>0</v>
      </c>
      <c r="K323" t="n">
        <v>0</v>
      </c>
      <c r="L323" t="n">
        <v>0</v>
      </c>
      <c r="M323" t="n">
        <v>0</v>
      </c>
      <c r="N323" t="n">
        <v>0</v>
      </c>
      <c r="O323" t="n">
        <v>0</v>
      </c>
      <c r="P323" t="n">
        <v>0</v>
      </c>
      <c r="Q323" t="n">
        <v>0</v>
      </c>
      <c r="R323" s="2" t="inlineStr"/>
    </row>
    <row r="324" ht="15" customHeight="1">
      <c r="A324" t="inlineStr">
        <is>
          <t>A 16212-2021</t>
        </is>
      </c>
      <c r="B324" s="1" t="n">
        <v>44287</v>
      </c>
      <c r="C324" s="1" t="n">
        <v>45821</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16209-2021</t>
        </is>
      </c>
      <c r="B325" s="1" t="n">
        <v>44287</v>
      </c>
      <c r="C325" s="1" t="n">
        <v>45821</v>
      </c>
      <c r="D325" t="inlineStr">
        <is>
          <t>UPPSALA LÄN</t>
        </is>
      </c>
      <c r="E325" t="inlineStr">
        <is>
          <t>ÖSTHAMMAR</t>
        </is>
      </c>
      <c r="G325" t="n">
        <v>0.8</v>
      </c>
      <c r="H325" t="n">
        <v>0</v>
      </c>
      <c r="I325" t="n">
        <v>0</v>
      </c>
      <c r="J325" t="n">
        <v>0</v>
      </c>
      <c r="K325" t="n">
        <v>0</v>
      </c>
      <c r="L325" t="n">
        <v>0</v>
      </c>
      <c r="M325" t="n">
        <v>0</v>
      </c>
      <c r="N325" t="n">
        <v>0</v>
      </c>
      <c r="O325" t="n">
        <v>0</v>
      </c>
      <c r="P325" t="n">
        <v>0</v>
      </c>
      <c r="Q325" t="n">
        <v>0</v>
      </c>
      <c r="R325" s="2" t="inlineStr"/>
    </row>
    <row r="326" ht="15" customHeight="1">
      <c r="A326" t="inlineStr">
        <is>
          <t>A 17009-2021</t>
        </is>
      </c>
      <c r="B326" s="1" t="n">
        <v>44295</v>
      </c>
      <c r="C326" s="1" t="n">
        <v>45821</v>
      </c>
      <c r="D326" t="inlineStr">
        <is>
          <t>UPPSALA LÄN</t>
        </is>
      </c>
      <c r="E326" t="inlineStr">
        <is>
          <t>ÖSTHAMMAR</t>
        </is>
      </c>
      <c r="F326" t="inlineStr">
        <is>
          <t>Bergvik skog öst AB</t>
        </is>
      </c>
      <c r="G326" t="n">
        <v>3.2</v>
      </c>
      <c r="H326" t="n">
        <v>0</v>
      </c>
      <c r="I326" t="n">
        <v>0</v>
      </c>
      <c r="J326" t="n">
        <v>0</v>
      </c>
      <c r="K326" t="n">
        <v>0</v>
      </c>
      <c r="L326" t="n">
        <v>0</v>
      </c>
      <c r="M326" t="n">
        <v>0</v>
      </c>
      <c r="N326" t="n">
        <v>0</v>
      </c>
      <c r="O326" t="n">
        <v>0</v>
      </c>
      <c r="P326" t="n">
        <v>0</v>
      </c>
      <c r="Q326" t="n">
        <v>0</v>
      </c>
      <c r="R326" s="2" t="inlineStr"/>
    </row>
    <row r="327" ht="15" customHeight="1">
      <c r="A327" t="inlineStr">
        <is>
          <t>A 17022-2021</t>
        </is>
      </c>
      <c r="B327" s="1" t="n">
        <v>44295</v>
      </c>
      <c r="C327" s="1" t="n">
        <v>45821</v>
      </c>
      <c r="D327" t="inlineStr">
        <is>
          <t>UPPSALA LÄN</t>
        </is>
      </c>
      <c r="E327" t="inlineStr">
        <is>
          <t>ÖSTHAMMAR</t>
        </is>
      </c>
      <c r="F327" t="inlineStr">
        <is>
          <t>Bergvik skog öst AB</t>
        </is>
      </c>
      <c r="G327" t="n">
        <v>0.3</v>
      </c>
      <c r="H327" t="n">
        <v>0</v>
      </c>
      <c r="I327" t="n">
        <v>0</v>
      </c>
      <c r="J327" t="n">
        <v>0</v>
      </c>
      <c r="K327" t="n">
        <v>0</v>
      </c>
      <c r="L327" t="n">
        <v>0</v>
      </c>
      <c r="M327" t="n">
        <v>0</v>
      </c>
      <c r="N327" t="n">
        <v>0</v>
      </c>
      <c r="O327" t="n">
        <v>0</v>
      </c>
      <c r="P327" t="n">
        <v>0</v>
      </c>
      <c r="Q327" t="n">
        <v>0</v>
      </c>
      <c r="R327" s="2" t="inlineStr"/>
    </row>
    <row r="328" ht="15" customHeight="1">
      <c r="A328" t="inlineStr">
        <is>
          <t>A 17033-2021</t>
        </is>
      </c>
      <c r="B328" s="1" t="n">
        <v>44295</v>
      </c>
      <c r="C328" s="1" t="n">
        <v>45821</v>
      </c>
      <c r="D328" t="inlineStr">
        <is>
          <t>UPPSALA LÄN</t>
        </is>
      </c>
      <c r="E328" t="inlineStr">
        <is>
          <t>ÖSTHAMMAR</t>
        </is>
      </c>
      <c r="F328" t="inlineStr">
        <is>
          <t>Bergvik skog öst AB</t>
        </is>
      </c>
      <c r="G328" t="n">
        <v>4.7</v>
      </c>
      <c r="H328" t="n">
        <v>0</v>
      </c>
      <c r="I328" t="n">
        <v>0</v>
      </c>
      <c r="J328" t="n">
        <v>0</v>
      </c>
      <c r="K328" t="n">
        <v>0</v>
      </c>
      <c r="L328" t="n">
        <v>0</v>
      </c>
      <c r="M328" t="n">
        <v>0</v>
      </c>
      <c r="N328" t="n">
        <v>0</v>
      </c>
      <c r="O328" t="n">
        <v>0</v>
      </c>
      <c r="P328" t="n">
        <v>0</v>
      </c>
      <c r="Q328" t="n">
        <v>0</v>
      </c>
      <c r="R328" s="2" t="inlineStr"/>
    </row>
    <row r="329" ht="15" customHeight="1">
      <c r="A329" t="inlineStr">
        <is>
          <t>A 17349-2021</t>
        </is>
      </c>
      <c r="B329" s="1" t="n">
        <v>44298</v>
      </c>
      <c r="C329" s="1" t="n">
        <v>45821</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18944-2021</t>
        </is>
      </c>
      <c r="B330" s="1" t="n">
        <v>44308</v>
      </c>
      <c r="C330" s="1" t="n">
        <v>45821</v>
      </c>
      <c r="D330" t="inlineStr">
        <is>
          <t>UPPSALA LÄN</t>
        </is>
      </c>
      <c r="E330" t="inlineStr">
        <is>
          <t>ÖSTHAMMAR</t>
        </is>
      </c>
      <c r="F330" t="inlineStr">
        <is>
          <t>Bergvik skog öst AB</t>
        </is>
      </c>
      <c r="G330" t="n">
        <v>12.5</v>
      </c>
      <c r="H330" t="n">
        <v>0</v>
      </c>
      <c r="I330" t="n">
        <v>0</v>
      </c>
      <c r="J330" t="n">
        <v>0</v>
      </c>
      <c r="K330" t="n">
        <v>0</v>
      </c>
      <c r="L330" t="n">
        <v>0</v>
      </c>
      <c r="M330" t="n">
        <v>0</v>
      </c>
      <c r="N330" t="n">
        <v>0</v>
      </c>
      <c r="O330" t="n">
        <v>0</v>
      </c>
      <c r="P330" t="n">
        <v>0</v>
      </c>
      <c r="Q330" t="n">
        <v>0</v>
      </c>
      <c r="R330" s="2" t="inlineStr"/>
    </row>
    <row r="331" ht="15" customHeight="1">
      <c r="A331" t="inlineStr">
        <is>
          <t>A 20326-2021</t>
        </is>
      </c>
      <c r="B331" s="1" t="n">
        <v>44308</v>
      </c>
      <c r="C331" s="1" t="n">
        <v>45821</v>
      </c>
      <c r="D331" t="inlineStr">
        <is>
          <t>UPPSALA LÄN</t>
        </is>
      </c>
      <c r="E331" t="inlineStr">
        <is>
          <t>ÖSTHAMMAR</t>
        </is>
      </c>
      <c r="G331" t="n">
        <v>7.8</v>
      </c>
      <c r="H331" t="n">
        <v>0</v>
      </c>
      <c r="I331" t="n">
        <v>0</v>
      </c>
      <c r="J331" t="n">
        <v>0</v>
      </c>
      <c r="K331" t="n">
        <v>0</v>
      </c>
      <c r="L331" t="n">
        <v>0</v>
      </c>
      <c r="M331" t="n">
        <v>0</v>
      </c>
      <c r="N331" t="n">
        <v>0</v>
      </c>
      <c r="O331" t="n">
        <v>0</v>
      </c>
      <c r="P331" t="n">
        <v>0</v>
      </c>
      <c r="Q331" t="n">
        <v>0</v>
      </c>
      <c r="R331" s="2" t="inlineStr"/>
    </row>
    <row r="332" ht="15" customHeight="1">
      <c r="A332" t="inlineStr">
        <is>
          <t>A 20325-2021</t>
        </is>
      </c>
      <c r="B332" s="1" t="n">
        <v>44308</v>
      </c>
      <c r="C332" s="1" t="n">
        <v>45821</v>
      </c>
      <c r="D332" t="inlineStr">
        <is>
          <t>UPPSALA LÄN</t>
        </is>
      </c>
      <c r="E332" t="inlineStr">
        <is>
          <t>ÖSTHAMMAR</t>
        </is>
      </c>
      <c r="G332" t="n">
        <v>5</v>
      </c>
      <c r="H332" t="n">
        <v>0</v>
      </c>
      <c r="I332" t="n">
        <v>0</v>
      </c>
      <c r="J332" t="n">
        <v>0</v>
      </c>
      <c r="K332" t="n">
        <v>0</v>
      </c>
      <c r="L332" t="n">
        <v>0</v>
      </c>
      <c r="M332" t="n">
        <v>0</v>
      </c>
      <c r="N332" t="n">
        <v>0</v>
      </c>
      <c r="O332" t="n">
        <v>0</v>
      </c>
      <c r="P332" t="n">
        <v>0</v>
      </c>
      <c r="Q332" t="n">
        <v>0</v>
      </c>
      <c r="R332" s="2" t="inlineStr"/>
    </row>
    <row r="333" ht="15" customHeight="1">
      <c r="A333" t="inlineStr">
        <is>
          <t>A 20324-2021</t>
        </is>
      </c>
      <c r="B333" s="1" t="n">
        <v>44308</v>
      </c>
      <c r="C333" s="1" t="n">
        <v>45821</v>
      </c>
      <c r="D333" t="inlineStr">
        <is>
          <t>UPPSALA LÄN</t>
        </is>
      </c>
      <c r="E333" t="inlineStr">
        <is>
          <t>ÖSTHAMMAR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19214-2021</t>
        </is>
      </c>
      <c r="B334" s="1" t="n">
        <v>44309</v>
      </c>
      <c r="C334" s="1" t="n">
        <v>45821</v>
      </c>
      <c r="D334" t="inlineStr">
        <is>
          <t>UPPSALA LÄN</t>
        </is>
      </c>
      <c r="E334" t="inlineStr">
        <is>
          <t>ÖSTHAMMAR</t>
        </is>
      </c>
      <c r="F334" t="inlineStr">
        <is>
          <t>Bergvik skog öst AB</t>
        </is>
      </c>
      <c r="G334" t="n">
        <v>6</v>
      </c>
      <c r="H334" t="n">
        <v>0</v>
      </c>
      <c r="I334" t="n">
        <v>0</v>
      </c>
      <c r="J334" t="n">
        <v>0</v>
      </c>
      <c r="K334" t="n">
        <v>0</v>
      </c>
      <c r="L334" t="n">
        <v>0</v>
      </c>
      <c r="M334" t="n">
        <v>0</v>
      </c>
      <c r="N334" t="n">
        <v>0</v>
      </c>
      <c r="O334" t="n">
        <v>0</v>
      </c>
      <c r="P334" t="n">
        <v>0</v>
      </c>
      <c r="Q334" t="n">
        <v>0</v>
      </c>
      <c r="R334" s="2" t="inlineStr"/>
    </row>
    <row r="335" ht="15" customHeight="1">
      <c r="A335" t="inlineStr">
        <is>
          <t>A 19552-2021</t>
        </is>
      </c>
      <c r="B335" s="1" t="n">
        <v>44312</v>
      </c>
      <c r="C335" s="1" t="n">
        <v>45821</v>
      </c>
      <c r="D335" t="inlineStr">
        <is>
          <t>UPPSALA LÄN</t>
        </is>
      </c>
      <c r="E335" t="inlineStr">
        <is>
          <t>ÖSTHAMMAR</t>
        </is>
      </c>
      <c r="G335" t="n">
        <v>4.5</v>
      </c>
      <c r="H335" t="n">
        <v>0</v>
      </c>
      <c r="I335" t="n">
        <v>0</v>
      </c>
      <c r="J335" t="n">
        <v>0</v>
      </c>
      <c r="K335" t="n">
        <v>0</v>
      </c>
      <c r="L335" t="n">
        <v>0</v>
      </c>
      <c r="M335" t="n">
        <v>0</v>
      </c>
      <c r="N335" t="n">
        <v>0</v>
      </c>
      <c r="O335" t="n">
        <v>0</v>
      </c>
      <c r="P335" t="n">
        <v>0</v>
      </c>
      <c r="Q335" t="n">
        <v>0</v>
      </c>
      <c r="R335" s="2" t="inlineStr"/>
    </row>
    <row r="336" ht="15" customHeight="1">
      <c r="A336" t="inlineStr">
        <is>
          <t>A 22709-2021</t>
        </is>
      </c>
      <c r="B336" s="1" t="n">
        <v>44327</v>
      </c>
      <c r="C336" s="1" t="n">
        <v>45821</v>
      </c>
      <c r="D336" t="inlineStr">
        <is>
          <t>UPPSALA LÄN</t>
        </is>
      </c>
      <c r="E336" t="inlineStr">
        <is>
          <t>ÖSTHAMMAR</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23120-2021</t>
        </is>
      </c>
      <c r="B337" s="1" t="n">
        <v>44330</v>
      </c>
      <c r="C337" s="1" t="n">
        <v>45821</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24062-2021</t>
        </is>
      </c>
      <c r="B338" s="1" t="n">
        <v>44336</v>
      </c>
      <c r="C338" s="1" t="n">
        <v>45821</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24316-2021</t>
        </is>
      </c>
      <c r="B339" s="1" t="n">
        <v>44337</v>
      </c>
      <c r="C339" s="1" t="n">
        <v>45821</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25033-2021</t>
        </is>
      </c>
      <c r="B340" s="1" t="n">
        <v>44341</v>
      </c>
      <c r="C340" s="1" t="n">
        <v>45821</v>
      </c>
      <c r="D340" t="inlineStr">
        <is>
          <t>UPPSALA LÄN</t>
        </is>
      </c>
      <c r="E340" t="inlineStr">
        <is>
          <t>ÖSTHAMMAR</t>
        </is>
      </c>
      <c r="F340" t="inlineStr">
        <is>
          <t>Bergvik skog öst AB</t>
        </is>
      </c>
      <c r="G340" t="n">
        <v>1</v>
      </c>
      <c r="H340" t="n">
        <v>0</v>
      </c>
      <c r="I340" t="n">
        <v>0</v>
      </c>
      <c r="J340" t="n">
        <v>0</v>
      </c>
      <c r="K340" t="n">
        <v>0</v>
      </c>
      <c r="L340" t="n">
        <v>0</v>
      </c>
      <c r="M340" t="n">
        <v>0</v>
      </c>
      <c r="N340" t="n">
        <v>0</v>
      </c>
      <c r="O340" t="n">
        <v>0</v>
      </c>
      <c r="P340" t="n">
        <v>0</v>
      </c>
      <c r="Q340" t="n">
        <v>0</v>
      </c>
      <c r="R340" s="2" t="inlineStr"/>
    </row>
    <row r="341" ht="15" customHeight="1">
      <c r="A341" t="inlineStr">
        <is>
          <t>A 25378-2021</t>
        </is>
      </c>
      <c r="B341" s="1" t="n">
        <v>44342</v>
      </c>
      <c r="C341" s="1" t="n">
        <v>45821</v>
      </c>
      <c r="D341" t="inlineStr">
        <is>
          <t>UPPSALA LÄN</t>
        </is>
      </c>
      <c r="E341" t="inlineStr">
        <is>
          <t>ÖSTHAMMAR</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25395-2021</t>
        </is>
      </c>
      <c r="B342" s="1" t="n">
        <v>44342</v>
      </c>
      <c r="C342" s="1" t="n">
        <v>45821</v>
      </c>
      <c r="D342" t="inlineStr">
        <is>
          <t>UPPSALA LÄN</t>
        </is>
      </c>
      <c r="E342" t="inlineStr">
        <is>
          <t>ÖSTHAMMAR</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26257-2021</t>
        </is>
      </c>
      <c r="B343" s="1" t="n">
        <v>44347</v>
      </c>
      <c r="C343" s="1" t="n">
        <v>45821</v>
      </c>
      <c r="D343" t="inlineStr">
        <is>
          <t>UPPSALA LÄN</t>
        </is>
      </c>
      <c r="E343" t="inlineStr">
        <is>
          <t>ÖSTHAMMAR</t>
        </is>
      </c>
      <c r="G343" t="n">
        <v>3.2</v>
      </c>
      <c r="H343" t="n">
        <v>0</v>
      </c>
      <c r="I343" t="n">
        <v>0</v>
      </c>
      <c r="J343" t="n">
        <v>0</v>
      </c>
      <c r="K343" t="n">
        <v>0</v>
      </c>
      <c r="L343" t="n">
        <v>0</v>
      </c>
      <c r="M343" t="n">
        <v>0</v>
      </c>
      <c r="N343" t="n">
        <v>0</v>
      </c>
      <c r="O343" t="n">
        <v>0</v>
      </c>
      <c r="P343" t="n">
        <v>0</v>
      </c>
      <c r="Q343" t="n">
        <v>0</v>
      </c>
      <c r="R343" s="2" t="inlineStr"/>
    </row>
    <row r="344" ht="15" customHeight="1">
      <c r="A344" t="inlineStr">
        <is>
          <t>A 27939-2021</t>
        </is>
      </c>
      <c r="B344" s="1" t="n">
        <v>44354</v>
      </c>
      <c r="C344" s="1" t="n">
        <v>45821</v>
      </c>
      <c r="D344" t="inlineStr">
        <is>
          <t>UPPSALA LÄN</t>
        </is>
      </c>
      <c r="E344" t="inlineStr">
        <is>
          <t>ÖSTHAMMAR</t>
        </is>
      </c>
      <c r="G344" t="n">
        <v>1</v>
      </c>
      <c r="H344" t="n">
        <v>0</v>
      </c>
      <c r="I344" t="n">
        <v>0</v>
      </c>
      <c r="J344" t="n">
        <v>0</v>
      </c>
      <c r="K344" t="n">
        <v>0</v>
      </c>
      <c r="L344" t="n">
        <v>0</v>
      </c>
      <c r="M344" t="n">
        <v>0</v>
      </c>
      <c r="N344" t="n">
        <v>0</v>
      </c>
      <c r="O344" t="n">
        <v>0</v>
      </c>
      <c r="P344" t="n">
        <v>0</v>
      </c>
      <c r="Q344" t="n">
        <v>0</v>
      </c>
      <c r="R344" s="2" t="inlineStr"/>
    </row>
    <row r="345" ht="15" customHeight="1">
      <c r="A345" t="inlineStr">
        <is>
          <t>A 27940-2021</t>
        </is>
      </c>
      <c r="B345" s="1" t="n">
        <v>44354</v>
      </c>
      <c r="C345" s="1" t="n">
        <v>45821</v>
      </c>
      <c r="D345" t="inlineStr">
        <is>
          <t>UPPSALA LÄN</t>
        </is>
      </c>
      <c r="E345" t="inlineStr">
        <is>
          <t>ÖSTHAMMAR</t>
        </is>
      </c>
      <c r="G345" t="n">
        <v>1.6</v>
      </c>
      <c r="H345" t="n">
        <v>0</v>
      </c>
      <c r="I345" t="n">
        <v>0</v>
      </c>
      <c r="J345" t="n">
        <v>0</v>
      </c>
      <c r="K345" t="n">
        <v>0</v>
      </c>
      <c r="L345" t="n">
        <v>0</v>
      </c>
      <c r="M345" t="n">
        <v>0</v>
      </c>
      <c r="N345" t="n">
        <v>0</v>
      </c>
      <c r="O345" t="n">
        <v>0</v>
      </c>
      <c r="P345" t="n">
        <v>0</v>
      </c>
      <c r="Q345" t="n">
        <v>0</v>
      </c>
      <c r="R345" s="2" t="inlineStr"/>
    </row>
    <row r="346" ht="15" customHeight="1">
      <c r="A346" t="inlineStr">
        <is>
          <t>A 29282-2021</t>
        </is>
      </c>
      <c r="B346" s="1" t="n">
        <v>44361</v>
      </c>
      <c r="C346" s="1" t="n">
        <v>45821</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30927-2021</t>
        </is>
      </c>
      <c r="B347" s="1" t="n">
        <v>44365</v>
      </c>
      <c r="C347" s="1" t="n">
        <v>45821</v>
      </c>
      <c r="D347" t="inlineStr">
        <is>
          <t>UPPSALA LÄN</t>
        </is>
      </c>
      <c r="E347" t="inlineStr">
        <is>
          <t>ÖSTHAMMAR</t>
        </is>
      </c>
      <c r="F347" t="inlineStr">
        <is>
          <t>Bergvik skog öst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30931-2021</t>
        </is>
      </c>
      <c r="B348" s="1" t="n">
        <v>44365</v>
      </c>
      <c r="C348" s="1" t="n">
        <v>45821</v>
      </c>
      <c r="D348" t="inlineStr">
        <is>
          <t>UPPSALA LÄN</t>
        </is>
      </c>
      <c r="E348" t="inlineStr">
        <is>
          <t>ÖSTHAMMAR</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31263-2021</t>
        </is>
      </c>
      <c r="B349" s="1" t="n">
        <v>44368</v>
      </c>
      <c r="C349" s="1" t="n">
        <v>45821</v>
      </c>
      <c r="D349" t="inlineStr">
        <is>
          <t>UPPSALA LÄN</t>
        </is>
      </c>
      <c r="E349" t="inlineStr">
        <is>
          <t>ÖSTHAMMAR</t>
        </is>
      </c>
      <c r="G349" t="n">
        <v>1.9</v>
      </c>
      <c r="H349" t="n">
        <v>0</v>
      </c>
      <c r="I349" t="n">
        <v>0</v>
      </c>
      <c r="J349" t="n">
        <v>0</v>
      </c>
      <c r="K349" t="n">
        <v>0</v>
      </c>
      <c r="L349" t="n">
        <v>0</v>
      </c>
      <c r="M349" t="n">
        <v>0</v>
      </c>
      <c r="N349" t="n">
        <v>0</v>
      </c>
      <c r="O349" t="n">
        <v>0</v>
      </c>
      <c r="P349" t="n">
        <v>0</v>
      </c>
      <c r="Q349" t="n">
        <v>0</v>
      </c>
      <c r="R349" s="2" t="inlineStr"/>
    </row>
    <row r="350" ht="15" customHeight="1">
      <c r="A350" t="inlineStr">
        <is>
          <t>A 32244-2021</t>
        </is>
      </c>
      <c r="B350" s="1" t="n">
        <v>44371</v>
      </c>
      <c r="C350" s="1" t="n">
        <v>45821</v>
      </c>
      <c r="D350" t="inlineStr">
        <is>
          <t>UPPSALA LÄN</t>
        </is>
      </c>
      <c r="E350" t="inlineStr">
        <is>
          <t>ÖSTHAMMAR</t>
        </is>
      </c>
      <c r="F350" t="inlineStr">
        <is>
          <t>Bergvik skog öst AB</t>
        </is>
      </c>
      <c r="G350" t="n">
        <v>2.6</v>
      </c>
      <c r="H350" t="n">
        <v>0</v>
      </c>
      <c r="I350" t="n">
        <v>0</v>
      </c>
      <c r="J350" t="n">
        <v>0</v>
      </c>
      <c r="K350" t="n">
        <v>0</v>
      </c>
      <c r="L350" t="n">
        <v>0</v>
      </c>
      <c r="M350" t="n">
        <v>0</v>
      </c>
      <c r="N350" t="n">
        <v>0</v>
      </c>
      <c r="O350" t="n">
        <v>0</v>
      </c>
      <c r="P350" t="n">
        <v>0</v>
      </c>
      <c r="Q350" t="n">
        <v>0</v>
      </c>
      <c r="R350" s="2" t="inlineStr"/>
    </row>
    <row r="351" ht="15" customHeight="1">
      <c r="A351" t="inlineStr">
        <is>
          <t>A 32939-2021</t>
        </is>
      </c>
      <c r="B351" s="1" t="n">
        <v>44376</v>
      </c>
      <c r="C351" s="1" t="n">
        <v>45821</v>
      </c>
      <c r="D351" t="inlineStr">
        <is>
          <t>UPPSALA LÄN</t>
        </is>
      </c>
      <c r="E351" t="inlineStr">
        <is>
          <t>ÖSTHAMMAR</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32948-2021</t>
        </is>
      </c>
      <c r="B352" s="1" t="n">
        <v>44376</v>
      </c>
      <c r="C352" s="1" t="n">
        <v>45821</v>
      </c>
      <c r="D352" t="inlineStr">
        <is>
          <t>UPPSALA LÄN</t>
        </is>
      </c>
      <c r="E352" t="inlineStr">
        <is>
          <t>ÖSTHAMMAR</t>
        </is>
      </c>
      <c r="F352" t="inlineStr">
        <is>
          <t>Bergvik skog öst AB</t>
        </is>
      </c>
      <c r="G352" t="n">
        <v>13.5</v>
      </c>
      <c r="H352" t="n">
        <v>0</v>
      </c>
      <c r="I352" t="n">
        <v>0</v>
      </c>
      <c r="J352" t="n">
        <v>0</v>
      </c>
      <c r="K352" t="n">
        <v>0</v>
      </c>
      <c r="L352" t="n">
        <v>0</v>
      </c>
      <c r="M352" t="n">
        <v>0</v>
      </c>
      <c r="N352" t="n">
        <v>0</v>
      </c>
      <c r="O352" t="n">
        <v>0</v>
      </c>
      <c r="P352" t="n">
        <v>0</v>
      </c>
      <c r="Q352" t="n">
        <v>0</v>
      </c>
      <c r="R352" s="2" t="inlineStr"/>
    </row>
    <row r="353" ht="15" customHeight="1">
      <c r="A353" t="inlineStr">
        <is>
          <t>A 33062-2021</t>
        </is>
      </c>
      <c r="B353" s="1" t="n">
        <v>44376</v>
      </c>
      <c r="C353" s="1" t="n">
        <v>45821</v>
      </c>
      <c r="D353" t="inlineStr">
        <is>
          <t>UPPSALA LÄN</t>
        </is>
      </c>
      <c r="E353" t="inlineStr">
        <is>
          <t>ÖSTHAMMAR</t>
        </is>
      </c>
      <c r="G353" t="n">
        <v>12</v>
      </c>
      <c r="H353" t="n">
        <v>0</v>
      </c>
      <c r="I353" t="n">
        <v>0</v>
      </c>
      <c r="J353" t="n">
        <v>0</v>
      </c>
      <c r="K353" t="n">
        <v>0</v>
      </c>
      <c r="L353" t="n">
        <v>0</v>
      </c>
      <c r="M353" t="n">
        <v>0</v>
      </c>
      <c r="N353" t="n">
        <v>0</v>
      </c>
      <c r="O353" t="n">
        <v>0</v>
      </c>
      <c r="P353" t="n">
        <v>0</v>
      </c>
      <c r="Q353" t="n">
        <v>0</v>
      </c>
      <c r="R353" s="2" t="inlineStr"/>
    </row>
    <row r="354" ht="15" customHeight="1">
      <c r="A354" t="inlineStr">
        <is>
          <t>A 33056-2021</t>
        </is>
      </c>
      <c r="B354" s="1" t="n">
        <v>44376</v>
      </c>
      <c r="C354" s="1" t="n">
        <v>45821</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33271-2021</t>
        </is>
      </c>
      <c r="B355" s="1" t="n">
        <v>44377</v>
      </c>
      <c r="C355" s="1" t="n">
        <v>45821</v>
      </c>
      <c r="D355" t="inlineStr">
        <is>
          <t>UPPSALA LÄN</t>
        </is>
      </c>
      <c r="E355" t="inlineStr">
        <is>
          <t>ÖSTHAMMAR</t>
        </is>
      </c>
      <c r="F355" t="inlineStr">
        <is>
          <t>Bergvik skog öst AB</t>
        </is>
      </c>
      <c r="G355" t="n">
        <v>3.9</v>
      </c>
      <c r="H355" t="n">
        <v>0</v>
      </c>
      <c r="I355" t="n">
        <v>0</v>
      </c>
      <c r="J355" t="n">
        <v>0</v>
      </c>
      <c r="K355" t="n">
        <v>0</v>
      </c>
      <c r="L355" t="n">
        <v>0</v>
      </c>
      <c r="M355" t="n">
        <v>0</v>
      </c>
      <c r="N355" t="n">
        <v>0</v>
      </c>
      <c r="O355" t="n">
        <v>0</v>
      </c>
      <c r="P355" t="n">
        <v>0</v>
      </c>
      <c r="Q355" t="n">
        <v>0</v>
      </c>
      <c r="R355" s="2" t="inlineStr"/>
    </row>
    <row r="356" ht="15" customHeight="1">
      <c r="A356" t="inlineStr">
        <is>
          <t>A 38411-2021</t>
        </is>
      </c>
      <c r="B356" s="1" t="n">
        <v>44406</v>
      </c>
      <c r="C356" s="1" t="n">
        <v>45821</v>
      </c>
      <c r="D356" t="inlineStr">
        <is>
          <t>UPPSALA LÄN</t>
        </is>
      </c>
      <c r="E356" t="inlineStr">
        <is>
          <t>ÖSTHAMMAR</t>
        </is>
      </c>
      <c r="F356" t="inlineStr">
        <is>
          <t>Bergvik skog öst AB</t>
        </is>
      </c>
      <c r="G356" t="n">
        <v>20.6</v>
      </c>
      <c r="H356" t="n">
        <v>0</v>
      </c>
      <c r="I356" t="n">
        <v>0</v>
      </c>
      <c r="J356" t="n">
        <v>0</v>
      </c>
      <c r="K356" t="n">
        <v>0</v>
      </c>
      <c r="L356" t="n">
        <v>0</v>
      </c>
      <c r="M356" t="n">
        <v>0</v>
      </c>
      <c r="N356" t="n">
        <v>0</v>
      </c>
      <c r="O356" t="n">
        <v>0</v>
      </c>
      <c r="P356" t="n">
        <v>0</v>
      </c>
      <c r="Q356" t="n">
        <v>0</v>
      </c>
      <c r="R356" s="2" t="inlineStr"/>
    </row>
    <row r="357" ht="15" customHeight="1">
      <c r="A357" t="inlineStr">
        <is>
          <t>A 40606-2021</t>
        </is>
      </c>
      <c r="B357" s="1" t="n">
        <v>44420</v>
      </c>
      <c r="C357" s="1" t="n">
        <v>45821</v>
      </c>
      <c r="D357" t="inlineStr">
        <is>
          <t>UPPSALA LÄN</t>
        </is>
      </c>
      <c r="E357" t="inlineStr">
        <is>
          <t>ÖSTHAMMAR</t>
        </is>
      </c>
      <c r="G357" t="n">
        <v>0.8</v>
      </c>
      <c r="H357" t="n">
        <v>0</v>
      </c>
      <c r="I357" t="n">
        <v>0</v>
      </c>
      <c r="J357" t="n">
        <v>0</v>
      </c>
      <c r="K357" t="n">
        <v>0</v>
      </c>
      <c r="L357" t="n">
        <v>0</v>
      </c>
      <c r="M357" t="n">
        <v>0</v>
      </c>
      <c r="N357" t="n">
        <v>0</v>
      </c>
      <c r="O357" t="n">
        <v>0</v>
      </c>
      <c r="P357" t="n">
        <v>0</v>
      </c>
      <c r="Q357" t="n">
        <v>0</v>
      </c>
      <c r="R357" s="2" t="inlineStr"/>
    </row>
    <row r="358" ht="15" customHeight="1">
      <c r="A358" t="inlineStr">
        <is>
          <t>A 41531-2021</t>
        </is>
      </c>
      <c r="B358" s="1" t="n">
        <v>44425</v>
      </c>
      <c r="C358" s="1" t="n">
        <v>45821</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41558-2021</t>
        </is>
      </c>
      <c r="B359" s="1" t="n">
        <v>44425</v>
      </c>
      <c r="C359" s="1" t="n">
        <v>45821</v>
      </c>
      <c r="D359" t="inlineStr">
        <is>
          <t>UPPSALA LÄN</t>
        </is>
      </c>
      <c r="E359" t="inlineStr">
        <is>
          <t>ÖSTHAMMAR</t>
        </is>
      </c>
      <c r="F359" t="inlineStr">
        <is>
          <t>Bergvik skog öst AB</t>
        </is>
      </c>
      <c r="G359" t="n">
        <v>1.4</v>
      </c>
      <c r="H359" t="n">
        <v>0</v>
      </c>
      <c r="I359" t="n">
        <v>0</v>
      </c>
      <c r="J359" t="n">
        <v>0</v>
      </c>
      <c r="K359" t="n">
        <v>0</v>
      </c>
      <c r="L359" t="n">
        <v>0</v>
      </c>
      <c r="M359" t="n">
        <v>0</v>
      </c>
      <c r="N359" t="n">
        <v>0</v>
      </c>
      <c r="O359" t="n">
        <v>0</v>
      </c>
      <c r="P359" t="n">
        <v>0</v>
      </c>
      <c r="Q359" t="n">
        <v>0</v>
      </c>
      <c r="R359" s="2" t="inlineStr"/>
    </row>
    <row r="360" ht="15" customHeight="1">
      <c r="A360" t="inlineStr">
        <is>
          <t>A 41538-2021</t>
        </is>
      </c>
      <c r="B360" s="1" t="n">
        <v>44425</v>
      </c>
      <c r="C360" s="1" t="n">
        <v>45821</v>
      </c>
      <c r="D360" t="inlineStr">
        <is>
          <t>UPPSALA LÄN</t>
        </is>
      </c>
      <c r="E360" t="inlineStr">
        <is>
          <t>ÖSTHAMMAR</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41744-2021</t>
        </is>
      </c>
      <c r="B361" s="1" t="n">
        <v>44425</v>
      </c>
      <c r="C361" s="1" t="n">
        <v>45821</v>
      </c>
      <c r="D361" t="inlineStr">
        <is>
          <t>UPPSALA LÄN</t>
        </is>
      </c>
      <c r="E361" t="inlineStr">
        <is>
          <t>ÖSTHAMMAR</t>
        </is>
      </c>
      <c r="F361" t="inlineStr">
        <is>
          <t>Bergvik skog öst AB</t>
        </is>
      </c>
      <c r="G361" t="n">
        <v>2.7</v>
      </c>
      <c r="H361" t="n">
        <v>0</v>
      </c>
      <c r="I361" t="n">
        <v>0</v>
      </c>
      <c r="J361" t="n">
        <v>0</v>
      </c>
      <c r="K361" t="n">
        <v>0</v>
      </c>
      <c r="L361" t="n">
        <v>0</v>
      </c>
      <c r="M361" t="n">
        <v>0</v>
      </c>
      <c r="N361" t="n">
        <v>0</v>
      </c>
      <c r="O361" t="n">
        <v>0</v>
      </c>
      <c r="P361" t="n">
        <v>0</v>
      </c>
      <c r="Q361" t="n">
        <v>0</v>
      </c>
      <c r="R361" s="2" t="inlineStr"/>
    </row>
    <row r="362" ht="15" customHeight="1">
      <c r="A362" t="inlineStr">
        <is>
          <t>A 43469-2021</t>
        </is>
      </c>
      <c r="B362" s="1" t="n">
        <v>44432</v>
      </c>
      <c r="C362" s="1" t="n">
        <v>45821</v>
      </c>
      <c r="D362" t="inlineStr">
        <is>
          <t>UPPSALA LÄN</t>
        </is>
      </c>
      <c r="E362" t="inlineStr">
        <is>
          <t>ÖSTHAMMAR</t>
        </is>
      </c>
      <c r="G362" t="n">
        <v>3.9</v>
      </c>
      <c r="H362" t="n">
        <v>0</v>
      </c>
      <c r="I362" t="n">
        <v>0</v>
      </c>
      <c r="J362" t="n">
        <v>0</v>
      </c>
      <c r="K362" t="n">
        <v>0</v>
      </c>
      <c r="L362" t="n">
        <v>0</v>
      </c>
      <c r="M362" t="n">
        <v>0</v>
      </c>
      <c r="N362" t="n">
        <v>0</v>
      </c>
      <c r="O362" t="n">
        <v>0</v>
      </c>
      <c r="P362" t="n">
        <v>0</v>
      </c>
      <c r="Q362" t="n">
        <v>0</v>
      </c>
      <c r="R362" s="2" t="inlineStr"/>
    </row>
    <row r="363" ht="15" customHeight="1">
      <c r="A363" t="inlineStr">
        <is>
          <t>A 48308-2021</t>
        </is>
      </c>
      <c r="B363" s="1" t="n">
        <v>44450</v>
      </c>
      <c r="C363" s="1" t="n">
        <v>45821</v>
      </c>
      <c r="D363" t="inlineStr">
        <is>
          <t>UPPSALA LÄN</t>
        </is>
      </c>
      <c r="E363" t="inlineStr">
        <is>
          <t>ÖSTHAMMAR</t>
        </is>
      </c>
      <c r="G363" t="n">
        <v>3.5</v>
      </c>
      <c r="H363" t="n">
        <v>0</v>
      </c>
      <c r="I363" t="n">
        <v>0</v>
      </c>
      <c r="J363" t="n">
        <v>0</v>
      </c>
      <c r="K363" t="n">
        <v>0</v>
      </c>
      <c r="L363" t="n">
        <v>0</v>
      </c>
      <c r="M363" t="n">
        <v>0</v>
      </c>
      <c r="N363" t="n">
        <v>0</v>
      </c>
      <c r="O363" t="n">
        <v>0</v>
      </c>
      <c r="P363" t="n">
        <v>0</v>
      </c>
      <c r="Q363" t="n">
        <v>0</v>
      </c>
      <c r="R363" s="2" t="inlineStr"/>
    </row>
    <row r="364" ht="15" customHeight="1">
      <c r="A364" t="inlineStr">
        <is>
          <t>A 51010-2021</t>
        </is>
      </c>
      <c r="B364" s="1" t="n">
        <v>44460</v>
      </c>
      <c r="C364" s="1" t="n">
        <v>45821</v>
      </c>
      <c r="D364" t="inlineStr">
        <is>
          <t>UPPSALA LÄN</t>
        </is>
      </c>
      <c r="E364" t="inlineStr">
        <is>
          <t>ÖSTHAMMAR</t>
        </is>
      </c>
      <c r="G364" t="n">
        <v>2.3</v>
      </c>
      <c r="H364" t="n">
        <v>0</v>
      </c>
      <c r="I364" t="n">
        <v>0</v>
      </c>
      <c r="J364" t="n">
        <v>0</v>
      </c>
      <c r="K364" t="n">
        <v>0</v>
      </c>
      <c r="L364" t="n">
        <v>0</v>
      </c>
      <c r="M364" t="n">
        <v>0</v>
      </c>
      <c r="N364" t="n">
        <v>0</v>
      </c>
      <c r="O364" t="n">
        <v>0</v>
      </c>
      <c r="P364" t="n">
        <v>0</v>
      </c>
      <c r="Q364" t="n">
        <v>0</v>
      </c>
      <c r="R364" s="2" t="inlineStr"/>
    </row>
    <row r="365" ht="15" customHeight="1">
      <c r="A365" t="inlineStr">
        <is>
          <t>A 51412-2021</t>
        </is>
      </c>
      <c r="B365" s="1" t="n">
        <v>44461</v>
      </c>
      <c r="C365" s="1" t="n">
        <v>45821</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51364-2021</t>
        </is>
      </c>
      <c r="B366" s="1" t="n">
        <v>44461</v>
      </c>
      <c r="C366" s="1" t="n">
        <v>45821</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51612-2021</t>
        </is>
      </c>
      <c r="B367" s="1" t="n">
        <v>44462</v>
      </c>
      <c r="C367" s="1" t="n">
        <v>45821</v>
      </c>
      <c r="D367" t="inlineStr">
        <is>
          <t>UPPSALA LÄN</t>
        </is>
      </c>
      <c r="E367" t="inlineStr">
        <is>
          <t>ÖSTHAMMAR</t>
        </is>
      </c>
      <c r="G367" t="n">
        <v>2.7</v>
      </c>
      <c r="H367" t="n">
        <v>0</v>
      </c>
      <c r="I367" t="n">
        <v>0</v>
      </c>
      <c r="J367" t="n">
        <v>0</v>
      </c>
      <c r="K367" t="n">
        <v>0</v>
      </c>
      <c r="L367" t="n">
        <v>0</v>
      </c>
      <c r="M367" t="n">
        <v>0</v>
      </c>
      <c r="N367" t="n">
        <v>0</v>
      </c>
      <c r="O367" t="n">
        <v>0</v>
      </c>
      <c r="P367" t="n">
        <v>0</v>
      </c>
      <c r="Q367" t="n">
        <v>0</v>
      </c>
      <c r="R367" s="2" t="inlineStr"/>
    </row>
    <row r="368" ht="15" customHeight="1">
      <c r="A368" t="inlineStr">
        <is>
          <t>A 52659-2021</t>
        </is>
      </c>
      <c r="B368" s="1" t="n">
        <v>44466</v>
      </c>
      <c r="C368" s="1" t="n">
        <v>45821</v>
      </c>
      <c r="D368" t="inlineStr">
        <is>
          <t>UPPSALA LÄN</t>
        </is>
      </c>
      <c r="E368" t="inlineStr">
        <is>
          <t>ÖSTHAMMAR</t>
        </is>
      </c>
      <c r="G368" t="n">
        <v>13</v>
      </c>
      <c r="H368" t="n">
        <v>0</v>
      </c>
      <c r="I368" t="n">
        <v>0</v>
      </c>
      <c r="J368" t="n">
        <v>0</v>
      </c>
      <c r="K368" t="n">
        <v>0</v>
      </c>
      <c r="L368" t="n">
        <v>0</v>
      </c>
      <c r="M368" t="n">
        <v>0</v>
      </c>
      <c r="N368" t="n">
        <v>0</v>
      </c>
      <c r="O368" t="n">
        <v>0</v>
      </c>
      <c r="P368" t="n">
        <v>0</v>
      </c>
      <c r="Q368" t="n">
        <v>0</v>
      </c>
      <c r="R368" s="2" t="inlineStr"/>
    </row>
    <row r="369" ht="15" customHeight="1">
      <c r="A369" t="inlineStr">
        <is>
          <t>A 52544-2021</t>
        </is>
      </c>
      <c r="B369" s="1" t="n">
        <v>44466</v>
      </c>
      <c r="C369" s="1" t="n">
        <v>45821</v>
      </c>
      <c r="D369" t="inlineStr">
        <is>
          <t>UPPSALA LÄN</t>
        </is>
      </c>
      <c r="E369" t="inlineStr">
        <is>
          <t>ÖSTHAMMAR</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52898-2021</t>
        </is>
      </c>
      <c r="B370" s="1" t="n">
        <v>44467</v>
      </c>
      <c r="C370" s="1" t="n">
        <v>45821</v>
      </c>
      <c r="D370" t="inlineStr">
        <is>
          <t>UPPSALA LÄN</t>
        </is>
      </c>
      <c r="E370" t="inlineStr">
        <is>
          <t>ÖSTHAMMAR</t>
        </is>
      </c>
      <c r="G370" t="n">
        <v>2.3</v>
      </c>
      <c r="H370" t="n">
        <v>0</v>
      </c>
      <c r="I370" t="n">
        <v>0</v>
      </c>
      <c r="J370" t="n">
        <v>0</v>
      </c>
      <c r="K370" t="n">
        <v>0</v>
      </c>
      <c r="L370" t="n">
        <v>0</v>
      </c>
      <c r="M370" t="n">
        <v>0</v>
      </c>
      <c r="N370" t="n">
        <v>0</v>
      </c>
      <c r="O370" t="n">
        <v>0</v>
      </c>
      <c r="P370" t="n">
        <v>0</v>
      </c>
      <c r="Q370" t="n">
        <v>0</v>
      </c>
      <c r="R370" s="2" t="inlineStr"/>
    </row>
    <row r="371" ht="15" customHeight="1">
      <c r="A371" t="inlineStr">
        <is>
          <t>A 55646-2021</t>
        </is>
      </c>
      <c r="B371" s="1" t="n">
        <v>44476</v>
      </c>
      <c r="C371" s="1" t="n">
        <v>45821</v>
      </c>
      <c r="D371" t="inlineStr">
        <is>
          <t>UPPSALA LÄN</t>
        </is>
      </c>
      <c r="E371" t="inlineStr">
        <is>
          <t>ÖSTHAMMAR</t>
        </is>
      </c>
      <c r="F371" t="inlineStr">
        <is>
          <t>Bergvik skog öst AB</t>
        </is>
      </c>
      <c r="G371" t="n">
        <v>0.2</v>
      </c>
      <c r="H371" t="n">
        <v>0</v>
      </c>
      <c r="I371" t="n">
        <v>0</v>
      </c>
      <c r="J371" t="n">
        <v>0</v>
      </c>
      <c r="K371" t="n">
        <v>0</v>
      </c>
      <c r="L371" t="n">
        <v>0</v>
      </c>
      <c r="M371" t="n">
        <v>0</v>
      </c>
      <c r="N371" t="n">
        <v>0</v>
      </c>
      <c r="O371" t="n">
        <v>0</v>
      </c>
      <c r="P371" t="n">
        <v>0</v>
      </c>
      <c r="Q371" t="n">
        <v>0</v>
      </c>
      <c r="R371" s="2" t="inlineStr"/>
    </row>
    <row r="372" ht="15" customHeight="1">
      <c r="A372" t="inlineStr">
        <is>
          <t>A 55872-2021</t>
        </is>
      </c>
      <c r="B372" s="1" t="n">
        <v>44476</v>
      </c>
      <c r="C372" s="1" t="n">
        <v>45821</v>
      </c>
      <c r="D372" t="inlineStr">
        <is>
          <t>UPPSALA LÄN</t>
        </is>
      </c>
      <c r="E372" t="inlineStr">
        <is>
          <t>ÖSTHAMMAR</t>
        </is>
      </c>
      <c r="F372" t="inlineStr">
        <is>
          <t>Bergvik skog öst AB</t>
        </is>
      </c>
      <c r="G372" t="n">
        <v>13.7</v>
      </c>
      <c r="H372" t="n">
        <v>0</v>
      </c>
      <c r="I372" t="n">
        <v>0</v>
      </c>
      <c r="J372" t="n">
        <v>0</v>
      </c>
      <c r="K372" t="n">
        <v>0</v>
      </c>
      <c r="L372" t="n">
        <v>0</v>
      </c>
      <c r="M372" t="n">
        <v>0</v>
      </c>
      <c r="N372" t="n">
        <v>0</v>
      </c>
      <c r="O372" t="n">
        <v>0</v>
      </c>
      <c r="P372" t="n">
        <v>0</v>
      </c>
      <c r="Q372" t="n">
        <v>0</v>
      </c>
      <c r="R372" s="2" t="inlineStr"/>
    </row>
    <row r="373" ht="15" customHeight="1">
      <c r="A373" t="inlineStr">
        <is>
          <t>A 57003-2021</t>
        </is>
      </c>
      <c r="B373" s="1" t="n">
        <v>44482</v>
      </c>
      <c r="C373" s="1" t="n">
        <v>45821</v>
      </c>
      <c r="D373" t="inlineStr">
        <is>
          <t>UPPSALA LÄN</t>
        </is>
      </c>
      <c r="E373" t="inlineStr">
        <is>
          <t>ÖSTHAMMAR</t>
        </is>
      </c>
      <c r="G373" t="n">
        <v>1.9</v>
      </c>
      <c r="H373" t="n">
        <v>0</v>
      </c>
      <c r="I373" t="n">
        <v>0</v>
      </c>
      <c r="J373" t="n">
        <v>0</v>
      </c>
      <c r="K373" t="n">
        <v>0</v>
      </c>
      <c r="L373" t="n">
        <v>0</v>
      </c>
      <c r="M373" t="n">
        <v>0</v>
      </c>
      <c r="N373" t="n">
        <v>0</v>
      </c>
      <c r="O373" t="n">
        <v>0</v>
      </c>
      <c r="P373" t="n">
        <v>0</v>
      </c>
      <c r="Q373" t="n">
        <v>0</v>
      </c>
      <c r="R373" s="2" t="inlineStr"/>
    </row>
    <row r="374" ht="15" customHeight="1">
      <c r="A374" t="inlineStr">
        <is>
          <t>A 57080-2021</t>
        </is>
      </c>
      <c r="B374" s="1" t="n">
        <v>44482</v>
      </c>
      <c r="C374" s="1" t="n">
        <v>45821</v>
      </c>
      <c r="D374" t="inlineStr">
        <is>
          <t>UPPSALA LÄN</t>
        </is>
      </c>
      <c r="E374" t="inlineStr">
        <is>
          <t>ÖSTHAMMAR</t>
        </is>
      </c>
      <c r="F374" t="inlineStr">
        <is>
          <t>Bergvik skog öst AB</t>
        </is>
      </c>
      <c r="G374" t="n">
        <v>13.4</v>
      </c>
      <c r="H374" t="n">
        <v>0</v>
      </c>
      <c r="I374" t="n">
        <v>0</v>
      </c>
      <c r="J374" t="n">
        <v>0</v>
      </c>
      <c r="K374" t="n">
        <v>0</v>
      </c>
      <c r="L374" t="n">
        <v>0</v>
      </c>
      <c r="M374" t="n">
        <v>0</v>
      </c>
      <c r="N374" t="n">
        <v>0</v>
      </c>
      <c r="O374" t="n">
        <v>0</v>
      </c>
      <c r="P374" t="n">
        <v>0</v>
      </c>
      <c r="Q374" t="n">
        <v>0</v>
      </c>
      <c r="R374" s="2" t="inlineStr"/>
    </row>
    <row r="375" ht="15" customHeight="1">
      <c r="A375" t="inlineStr">
        <is>
          <t>A 58334-2021</t>
        </is>
      </c>
      <c r="B375" s="1" t="n">
        <v>44488</v>
      </c>
      <c r="C375" s="1" t="n">
        <v>45821</v>
      </c>
      <c r="D375" t="inlineStr">
        <is>
          <t>UPPSALA LÄN</t>
        </is>
      </c>
      <c r="E375" t="inlineStr">
        <is>
          <t>ÖSTHAMMAR</t>
        </is>
      </c>
      <c r="G375" t="n">
        <v>5.7</v>
      </c>
      <c r="H375" t="n">
        <v>0</v>
      </c>
      <c r="I375" t="n">
        <v>0</v>
      </c>
      <c r="J375" t="n">
        <v>0</v>
      </c>
      <c r="K375" t="n">
        <v>0</v>
      </c>
      <c r="L375" t="n">
        <v>0</v>
      </c>
      <c r="M375" t="n">
        <v>0</v>
      </c>
      <c r="N375" t="n">
        <v>0</v>
      </c>
      <c r="O375" t="n">
        <v>0</v>
      </c>
      <c r="P375" t="n">
        <v>0</v>
      </c>
      <c r="Q375" t="n">
        <v>0</v>
      </c>
      <c r="R375" s="2" t="inlineStr"/>
    </row>
    <row r="376" ht="15" customHeight="1">
      <c r="A376" t="inlineStr">
        <is>
          <t>A 59360-2021</t>
        </is>
      </c>
      <c r="B376" s="1" t="n">
        <v>44491</v>
      </c>
      <c r="C376" s="1" t="n">
        <v>45821</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59498-2021</t>
        </is>
      </c>
      <c r="B377" s="1" t="n">
        <v>44491</v>
      </c>
      <c r="C377" s="1" t="n">
        <v>45821</v>
      </c>
      <c r="D377" t="inlineStr">
        <is>
          <t>UPPSALA LÄN</t>
        </is>
      </c>
      <c r="E377" t="inlineStr">
        <is>
          <t>ÖSTHAMMAR</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60047-2021</t>
        </is>
      </c>
      <c r="B378" s="1" t="n">
        <v>44495</v>
      </c>
      <c r="C378" s="1" t="n">
        <v>45821</v>
      </c>
      <c r="D378" t="inlineStr">
        <is>
          <t>UPPSALA LÄN</t>
        </is>
      </c>
      <c r="E378" t="inlineStr">
        <is>
          <t>ÖSTHAMMAR</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60577-2021</t>
        </is>
      </c>
      <c r="B379" s="1" t="n">
        <v>44496</v>
      </c>
      <c r="C379" s="1" t="n">
        <v>45821</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60584-2021</t>
        </is>
      </c>
      <c r="B380" s="1" t="n">
        <v>44496</v>
      </c>
      <c r="C380" s="1" t="n">
        <v>45821</v>
      </c>
      <c r="D380" t="inlineStr">
        <is>
          <t>UPPSALA LÄN</t>
        </is>
      </c>
      <c r="E380" t="inlineStr">
        <is>
          <t>ÖSTHAMMAR</t>
        </is>
      </c>
      <c r="G380" t="n">
        <v>1.4</v>
      </c>
      <c r="H380" t="n">
        <v>0</v>
      </c>
      <c r="I380" t="n">
        <v>0</v>
      </c>
      <c r="J380" t="n">
        <v>0</v>
      </c>
      <c r="K380" t="n">
        <v>0</v>
      </c>
      <c r="L380" t="n">
        <v>0</v>
      </c>
      <c r="M380" t="n">
        <v>0</v>
      </c>
      <c r="N380" t="n">
        <v>0</v>
      </c>
      <c r="O380" t="n">
        <v>0</v>
      </c>
      <c r="P380" t="n">
        <v>0</v>
      </c>
      <c r="Q380" t="n">
        <v>0</v>
      </c>
      <c r="R380" s="2" t="inlineStr"/>
    </row>
    <row r="381" ht="15" customHeight="1">
      <c r="A381" t="inlineStr">
        <is>
          <t>A 61746-2021</t>
        </is>
      </c>
      <c r="B381" s="1" t="n">
        <v>44498</v>
      </c>
      <c r="C381" s="1" t="n">
        <v>45821</v>
      </c>
      <c r="D381" t="inlineStr">
        <is>
          <t>UPPSALA LÄN</t>
        </is>
      </c>
      <c r="E381" t="inlineStr">
        <is>
          <t>ÖSTHAMMAR</t>
        </is>
      </c>
      <c r="G381" t="n">
        <v>5.6</v>
      </c>
      <c r="H381" t="n">
        <v>0</v>
      </c>
      <c r="I381" t="n">
        <v>0</v>
      </c>
      <c r="J381" t="n">
        <v>0</v>
      </c>
      <c r="K381" t="n">
        <v>0</v>
      </c>
      <c r="L381" t="n">
        <v>0</v>
      </c>
      <c r="M381" t="n">
        <v>0</v>
      </c>
      <c r="N381" t="n">
        <v>0</v>
      </c>
      <c r="O381" t="n">
        <v>0</v>
      </c>
      <c r="P381" t="n">
        <v>0</v>
      </c>
      <c r="Q381" t="n">
        <v>0</v>
      </c>
      <c r="R381" s="2" t="inlineStr"/>
    </row>
    <row r="382" ht="15" customHeight="1">
      <c r="A382" t="inlineStr">
        <is>
          <t>A 61555-2021</t>
        </is>
      </c>
      <c r="B382" s="1" t="n">
        <v>44501</v>
      </c>
      <c r="C382" s="1" t="n">
        <v>45821</v>
      </c>
      <c r="D382" t="inlineStr">
        <is>
          <t>UPPSALA LÄN</t>
        </is>
      </c>
      <c r="E382" t="inlineStr">
        <is>
          <t>ÖSTHAMMAR</t>
        </is>
      </c>
      <c r="F382" t="inlineStr">
        <is>
          <t>Sveaskog</t>
        </is>
      </c>
      <c r="G382" t="n">
        <v>0.6</v>
      </c>
      <c r="H382" t="n">
        <v>0</v>
      </c>
      <c r="I382" t="n">
        <v>0</v>
      </c>
      <c r="J382" t="n">
        <v>0</v>
      </c>
      <c r="K382" t="n">
        <v>0</v>
      </c>
      <c r="L382" t="n">
        <v>0</v>
      </c>
      <c r="M382" t="n">
        <v>0</v>
      </c>
      <c r="N382" t="n">
        <v>0</v>
      </c>
      <c r="O382" t="n">
        <v>0</v>
      </c>
      <c r="P382" t="n">
        <v>0</v>
      </c>
      <c r="Q382" t="n">
        <v>0</v>
      </c>
      <c r="R382" s="2" t="inlineStr"/>
    </row>
    <row r="383" ht="15" customHeight="1">
      <c r="A383" t="inlineStr">
        <is>
          <t>A 61560-2021</t>
        </is>
      </c>
      <c r="B383" s="1" t="n">
        <v>44501</v>
      </c>
      <c r="C383" s="1" t="n">
        <v>45821</v>
      </c>
      <c r="D383" t="inlineStr">
        <is>
          <t>UPPSALA LÄN</t>
        </is>
      </c>
      <c r="E383" t="inlineStr">
        <is>
          <t>ÖSTHAMMAR</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61817-2021</t>
        </is>
      </c>
      <c r="B384" s="1" t="n">
        <v>44501</v>
      </c>
      <c r="C384" s="1" t="n">
        <v>45821</v>
      </c>
      <c r="D384" t="inlineStr">
        <is>
          <t>UPPSALA LÄN</t>
        </is>
      </c>
      <c r="E384" t="inlineStr">
        <is>
          <t>ÖSTHAMMAR</t>
        </is>
      </c>
      <c r="F384" t="inlineStr">
        <is>
          <t>Bergvik skog öst AB</t>
        </is>
      </c>
      <c r="G384" t="n">
        <v>2.3</v>
      </c>
      <c r="H384" t="n">
        <v>0</v>
      </c>
      <c r="I384" t="n">
        <v>0</v>
      </c>
      <c r="J384" t="n">
        <v>0</v>
      </c>
      <c r="K384" t="n">
        <v>0</v>
      </c>
      <c r="L384" t="n">
        <v>0</v>
      </c>
      <c r="M384" t="n">
        <v>0</v>
      </c>
      <c r="N384" t="n">
        <v>0</v>
      </c>
      <c r="O384" t="n">
        <v>0</v>
      </c>
      <c r="P384" t="n">
        <v>0</v>
      </c>
      <c r="Q384" t="n">
        <v>0</v>
      </c>
      <c r="R384" s="2" t="inlineStr"/>
    </row>
    <row r="385" ht="15" customHeight="1">
      <c r="A385" t="inlineStr">
        <is>
          <t>A 62854-2021</t>
        </is>
      </c>
      <c r="B385" s="1" t="n">
        <v>44504</v>
      </c>
      <c r="C385" s="1" t="n">
        <v>45821</v>
      </c>
      <c r="D385" t="inlineStr">
        <is>
          <t>UPPSALA LÄN</t>
        </is>
      </c>
      <c r="E385" t="inlineStr">
        <is>
          <t>ÖSTHAMMAR</t>
        </is>
      </c>
      <c r="F385" t="inlineStr">
        <is>
          <t>Bergvik skog öst AB</t>
        </is>
      </c>
      <c r="G385" t="n">
        <v>10.3</v>
      </c>
      <c r="H385" t="n">
        <v>0</v>
      </c>
      <c r="I385" t="n">
        <v>0</v>
      </c>
      <c r="J385" t="n">
        <v>0</v>
      </c>
      <c r="K385" t="n">
        <v>0</v>
      </c>
      <c r="L385" t="n">
        <v>0</v>
      </c>
      <c r="M385" t="n">
        <v>0</v>
      </c>
      <c r="N385" t="n">
        <v>0</v>
      </c>
      <c r="O385" t="n">
        <v>0</v>
      </c>
      <c r="P385" t="n">
        <v>0</v>
      </c>
      <c r="Q385" t="n">
        <v>0</v>
      </c>
      <c r="R385" s="2" t="inlineStr"/>
    </row>
    <row r="386" ht="15" customHeight="1">
      <c r="A386" t="inlineStr">
        <is>
          <t>A 62782-2021</t>
        </is>
      </c>
      <c r="B386" s="1" t="n">
        <v>44504</v>
      </c>
      <c r="C386" s="1" t="n">
        <v>45821</v>
      </c>
      <c r="D386" t="inlineStr">
        <is>
          <t>UPPSALA LÄN</t>
        </is>
      </c>
      <c r="E386" t="inlineStr">
        <is>
          <t>ÖSTHAMMAR</t>
        </is>
      </c>
      <c r="G386" t="n">
        <v>2.6</v>
      </c>
      <c r="H386" t="n">
        <v>0</v>
      </c>
      <c r="I386" t="n">
        <v>0</v>
      </c>
      <c r="J386" t="n">
        <v>0</v>
      </c>
      <c r="K386" t="n">
        <v>0</v>
      </c>
      <c r="L386" t="n">
        <v>0</v>
      </c>
      <c r="M386" t="n">
        <v>0</v>
      </c>
      <c r="N386" t="n">
        <v>0</v>
      </c>
      <c r="O386" t="n">
        <v>0</v>
      </c>
      <c r="P386" t="n">
        <v>0</v>
      </c>
      <c r="Q386" t="n">
        <v>0</v>
      </c>
      <c r="R386" s="2" t="inlineStr"/>
    </row>
    <row r="387" ht="15" customHeight="1">
      <c r="A387" t="inlineStr">
        <is>
          <t>A 64586-2021</t>
        </is>
      </c>
      <c r="B387" s="1" t="n">
        <v>44511</v>
      </c>
      <c r="C387" s="1" t="n">
        <v>45821</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64811-2021</t>
        </is>
      </c>
      <c r="B388" s="1" t="n">
        <v>44512</v>
      </c>
      <c r="C388" s="1" t="n">
        <v>45821</v>
      </c>
      <c r="D388" t="inlineStr">
        <is>
          <t>UPPSALA LÄN</t>
        </is>
      </c>
      <c r="E388" t="inlineStr">
        <is>
          <t>ÖSTHAMMAR</t>
        </is>
      </c>
      <c r="G388" t="n">
        <v>4.2</v>
      </c>
      <c r="H388" t="n">
        <v>0</v>
      </c>
      <c r="I388" t="n">
        <v>0</v>
      </c>
      <c r="J388" t="n">
        <v>0</v>
      </c>
      <c r="K388" t="n">
        <v>0</v>
      </c>
      <c r="L388" t="n">
        <v>0</v>
      </c>
      <c r="M388" t="n">
        <v>0</v>
      </c>
      <c r="N388" t="n">
        <v>0</v>
      </c>
      <c r="O388" t="n">
        <v>0</v>
      </c>
      <c r="P388" t="n">
        <v>0</v>
      </c>
      <c r="Q388" t="n">
        <v>0</v>
      </c>
      <c r="R388" s="2" t="inlineStr"/>
    </row>
    <row r="389" ht="15" customHeight="1">
      <c r="A389" t="inlineStr">
        <is>
          <t>A 64872-2021</t>
        </is>
      </c>
      <c r="B389" s="1" t="n">
        <v>44512</v>
      </c>
      <c r="C389" s="1" t="n">
        <v>45821</v>
      </c>
      <c r="D389" t="inlineStr">
        <is>
          <t>UPPSALA LÄN</t>
        </is>
      </c>
      <c r="E389" t="inlineStr">
        <is>
          <t>ÖSTHAMMAR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64885-2021</t>
        </is>
      </c>
      <c r="B390" s="1" t="n">
        <v>44512</v>
      </c>
      <c r="C390" s="1" t="n">
        <v>45821</v>
      </c>
      <c r="D390" t="inlineStr">
        <is>
          <t>UPPSALA LÄN</t>
        </is>
      </c>
      <c r="E390" t="inlineStr">
        <is>
          <t>ÖSTHAMMAR</t>
        </is>
      </c>
      <c r="G390" t="n">
        <v>2.1</v>
      </c>
      <c r="H390" t="n">
        <v>0</v>
      </c>
      <c r="I390" t="n">
        <v>0</v>
      </c>
      <c r="J390" t="n">
        <v>0</v>
      </c>
      <c r="K390" t="n">
        <v>0</v>
      </c>
      <c r="L390" t="n">
        <v>0</v>
      </c>
      <c r="M390" t="n">
        <v>0</v>
      </c>
      <c r="N390" t="n">
        <v>0</v>
      </c>
      <c r="O390" t="n">
        <v>0</v>
      </c>
      <c r="P390" t="n">
        <v>0</v>
      </c>
      <c r="Q390" t="n">
        <v>0</v>
      </c>
      <c r="R390" s="2" t="inlineStr"/>
    </row>
    <row r="391" ht="15" customHeight="1">
      <c r="A391" t="inlineStr">
        <is>
          <t>A 65020-2021</t>
        </is>
      </c>
      <c r="B391" s="1" t="n">
        <v>44515</v>
      </c>
      <c r="C391" s="1" t="n">
        <v>45821</v>
      </c>
      <c r="D391" t="inlineStr">
        <is>
          <t>UPPSALA LÄN</t>
        </is>
      </c>
      <c r="E391" t="inlineStr">
        <is>
          <t>ÖSTHAMMAR</t>
        </is>
      </c>
      <c r="F391" t="inlineStr">
        <is>
          <t>Sveaskog</t>
        </is>
      </c>
      <c r="G391" t="n">
        <v>4.7</v>
      </c>
      <c r="H391" t="n">
        <v>0</v>
      </c>
      <c r="I391" t="n">
        <v>0</v>
      </c>
      <c r="J391" t="n">
        <v>0</v>
      </c>
      <c r="K391" t="n">
        <v>0</v>
      </c>
      <c r="L391" t="n">
        <v>0</v>
      </c>
      <c r="M391" t="n">
        <v>0</v>
      </c>
      <c r="N391" t="n">
        <v>0</v>
      </c>
      <c r="O391" t="n">
        <v>0</v>
      </c>
      <c r="P391" t="n">
        <v>0</v>
      </c>
      <c r="Q391" t="n">
        <v>0</v>
      </c>
      <c r="R391" s="2" t="inlineStr"/>
    </row>
    <row r="392" ht="15" customHeight="1">
      <c r="A392" t="inlineStr">
        <is>
          <t>A 65104-2021</t>
        </is>
      </c>
      <c r="B392" s="1" t="n">
        <v>44515</v>
      </c>
      <c r="C392" s="1" t="n">
        <v>45821</v>
      </c>
      <c r="D392" t="inlineStr">
        <is>
          <t>UPPSALA LÄN</t>
        </is>
      </c>
      <c r="E392" t="inlineStr">
        <is>
          <t>ÖSTHAMMAR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65028-2021</t>
        </is>
      </c>
      <c r="B393" s="1" t="n">
        <v>44515</v>
      </c>
      <c r="C393" s="1" t="n">
        <v>45821</v>
      </c>
      <c r="D393" t="inlineStr">
        <is>
          <t>UPPSALA LÄN</t>
        </is>
      </c>
      <c r="E393" t="inlineStr">
        <is>
          <t>ÖSTHAMMAR</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66549-2021</t>
        </is>
      </c>
      <c r="B394" s="1" t="n">
        <v>44519</v>
      </c>
      <c r="C394" s="1" t="n">
        <v>45821</v>
      </c>
      <c r="D394" t="inlineStr">
        <is>
          <t>UPPSALA LÄN</t>
        </is>
      </c>
      <c r="E394" t="inlineStr">
        <is>
          <t>ÖSTHAMMAR</t>
        </is>
      </c>
      <c r="F394" t="inlineStr">
        <is>
          <t>Bergvik skog öst AB</t>
        </is>
      </c>
      <c r="G394" t="n">
        <v>2.8</v>
      </c>
      <c r="H394" t="n">
        <v>0</v>
      </c>
      <c r="I394" t="n">
        <v>0</v>
      </c>
      <c r="J394" t="n">
        <v>0</v>
      </c>
      <c r="K394" t="n">
        <v>0</v>
      </c>
      <c r="L394" t="n">
        <v>0</v>
      </c>
      <c r="M394" t="n">
        <v>0</v>
      </c>
      <c r="N394" t="n">
        <v>0</v>
      </c>
      <c r="O394" t="n">
        <v>0</v>
      </c>
      <c r="P394" t="n">
        <v>0</v>
      </c>
      <c r="Q394" t="n">
        <v>0</v>
      </c>
      <c r="R394" s="2" t="inlineStr"/>
    </row>
    <row r="395" ht="15" customHeight="1">
      <c r="A395" t="inlineStr">
        <is>
          <t>A 66779-2021</t>
        </is>
      </c>
      <c r="B395" s="1" t="n">
        <v>44522</v>
      </c>
      <c r="C395" s="1" t="n">
        <v>45821</v>
      </c>
      <c r="D395" t="inlineStr">
        <is>
          <t>UPPSALA LÄN</t>
        </is>
      </c>
      <c r="E395" t="inlineStr">
        <is>
          <t>ÖSTHAMMAR</t>
        </is>
      </c>
      <c r="G395" t="n">
        <v>2</v>
      </c>
      <c r="H395" t="n">
        <v>0</v>
      </c>
      <c r="I395" t="n">
        <v>0</v>
      </c>
      <c r="J395" t="n">
        <v>0</v>
      </c>
      <c r="K395" t="n">
        <v>0</v>
      </c>
      <c r="L395" t="n">
        <v>0</v>
      </c>
      <c r="M395" t="n">
        <v>0</v>
      </c>
      <c r="N395" t="n">
        <v>0</v>
      </c>
      <c r="O395" t="n">
        <v>0</v>
      </c>
      <c r="P395" t="n">
        <v>0</v>
      </c>
      <c r="Q395" t="n">
        <v>0</v>
      </c>
      <c r="R395" s="2" t="inlineStr"/>
    </row>
    <row r="396" ht="15" customHeight="1">
      <c r="A396" t="inlineStr">
        <is>
          <t>A 67033-2021</t>
        </is>
      </c>
      <c r="B396" s="1" t="n">
        <v>44522</v>
      </c>
      <c r="C396" s="1" t="n">
        <v>45821</v>
      </c>
      <c r="D396" t="inlineStr">
        <is>
          <t>UPPSALA LÄN</t>
        </is>
      </c>
      <c r="E396" t="inlineStr">
        <is>
          <t>ÖSTHAMMAR</t>
        </is>
      </c>
      <c r="G396" t="n">
        <v>1.5</v>
      </c>
      <c r="H396" t="n">
        <v>0</v>
      </c>
      <c r="I396" t="n">
        <v>0</v>
      </c>
      <c r="J396" t="n">
        <v>0</v>
      </c>
      <c r="K396" t="n">
        <v>0</v>
      </c>
      <c r="L396" t="n">
        <v>0</v>
      </c>
      <c r="M396" t="n">
        <v>0</v>
      </c>
      <c r="N396" t="n">
        <v>0</v>
      </c>
      <c r="O396" t="n">
        <v>0</v>
      </c>
      <c r="P396" t="n">
        <v>0</v>
      </c>
      <c r="Q396" t="n">
        <v>0</v>
      </c>
      <c r="R396" s="2" t="inlineStr"/>
    </row>
    <row r="397" ht="15" customHeight="1">
      <c r="A397" t="inlineStr">
        <is>
          <t>A 67030-2021</t>
        </is>
      </c>
      <c r="B397" s="1" t="n">
        <v>44522</v>
      </c>
      <c r="C397" s="1" t="n">
        <v>45821</v>
      </c>
      <c r="D397" t="inlineStr">
        <is>
          <t>UPPSALA LÄN</t>
        </is>
      </c>
      <c r="E397" t="inlineStr">
        <is>
          <t>ÖSTHAMMAR</t>
        </is>
      </c>
      <c r="G397" t="n">
        <v>8.6</v>
      </c>
      <c r="H397" t="n">
        <v>0</v>
      </c>
      <c r="I397" t="n">
        <v>0</v>
      </c>
      <c r="J397" t="n">
        <v>0</v>
      </c>
      <c r="K397" t="n">
        <v>0</v>
      </c>
      <c r="L397" t="n">
        <v>0</v>
      </c>
      <c r="M397" t="n">
        <v>0</v>
      </c>
      <c r="N397" t="n">
        <v>0</v>
      </c>
      <c r="O397" t="n">
        <v>0</v>
      </c>
      <c r="P397" t="n">
        <v>0</v>
      </c>
      <c r="Q397" t="n">
        <v>0</v>
      </c>
      <c r="R397" s="2" t="inlineStr"/>
    </row>
    <row r="398" ht="15" customHeight="1">
      <c r="A398" t="inlineStr">
        <is>
          <t>A 67151-2021</t>
        </is>
      </c>
      <c r="B398" s="1" t="n">
        <v>44523</v>
      </c>
      <c r="C398" s="1" t="n">
        <v>45821</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67199-2021</t>
        </is>
      </c>
      <c r="B399" s="1" t="n">
        <v>44523</v>
      </c>
      <c r="C399" s="1" t="n">
        <v>45821</v>
      </c>
      <c r="D399" t="inlineStr">
        <is>
          <t>UPPSALA LÄN</t>
        </is>
      </c>
      <c r="E399" t="inlineStr">
        <is>
          <t>ÖSTHAMMAR</t>
        </is>
      </c>
      <c r="G399" t="n">
        <v>2.3</v>
      </c>
      <c r="H399" t="n">
        <v>0</v>
      </c>
      <c r="I399" t="n">
        <v>0</v>
      </c>
      <c r="J399" t="n">
        <v>0</v>
      </c>
      <c r="K399" t="n">
        <v>0</v>
      </c>
      <c r="L399" t="n">
        <v>0</v>
      </c>
      <c r="M399" t="n">
        <v>0</v>
      </c>
      <c r="N399" t="n">
        <v>0</v>
      </c>
      <c r="O399" t="n">
        <v>0</v>
      </c>
      <c r="P399" t="n">
        <v>0</v>
      </c>
      <c r="Q399" t="n">
        <v>0</v>
      </c>
      <c r="R399" s="2" t="inlineStr"/>
    </row>
    <row r="400" ht="15" customHeight="1">
      <c r="A400" t="inlineStr">
        <is>
          <t>A 67217-2021</t>
        </is>
      </c>
      <c r="B400" s="1" t="n">
        <v>44523</v>
      </c>
      <c r="C400" s="1" t="n">
        <v>45821</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67859-2021</t>
        </is>
      </c>
      <c r="B401" s="1" t="n">
        <v>44525</v>
      </c>
      <c r="C401" s="1" t="n">
        <v>45821</v>
      </c>
      <c r="D401" t="inlineStr">
        <is>
          <t>UPPSALA LÄN</t>
        </is>
      </c>
      <c r="E401" t="inlineStr">
        <is>
          <t>ÖSTHAMMAR</t>
        </is>
      </c>
      <c r="G401" t="n">
        <v>1.9</v>
      </c>
      <c r="H401" t="n">
        <v>0</v>
      </c>
      <c r="I401" t="n">
        <v>0</v>
      </c>
      <c r="J401" t="n">
        <v>0</v>
      </c>
      <c r="K401" t="n">
        <v>0</v>
      </c>
      <c r="L401" t="n">
        <v>0</v>
      </c>
      <c r="M401" t="n">
        <v>0</v>
      </c>
      <c r="N401" t="n">
        <v>0</v>
      </c>
      <c r="O401" t="n">
        <v>0</v>
      </c>
      <c r="P401" t="n">
        <v>0</v>
      </c>
      <c r="Q401" t="n">
        <v>0</v>
      </c>
      <c r="R401" s="2" t="inlineStr"/>
    </row>
    <row r="402" ht="15" customHeight="1">
      <c r="A402" t="inlineStr">
        <is>
          <t>A 67848-2021</t>
        </is>
      </c>
      <c r="B402" s="1" t="n">
        <v>44525</v>
      </c>
      <c r="C402" s="1" t="n">
        <v>45821</v>
      </c>
      <c r="D402" t="inlineStr">
        <is>
          <t>UPPSALA LÄN</t>
        </is>
      </c>
      <c r="E402" t="inlineStr">
        <is>
          <t>ÖSTHAMMAR</t>
        </is>
      </c>
      <c r="G402" t="n">
        <v>1</v>
      </c>
      <c r="H402" t="n">
        <v>0</v>
      </c>
      <c r="I402" t="n">
        <v>0</v>
      </c>
      <c r="J402" t="n">
        <v>0</v>
      </c>
      <c r="K402" t="n">
        <v>0</v>
      </c>
      <c r="L402" t="n">
        <v>0</v>
      </c>
      <c r="M402" t="n">
        <v>0</v>
      </c>
      <c r="N402" t="n">
        <v>0</v>
      </c>
      <c r="O402" t="n">
        <v>0</v>
      </c>
      <c r="P402" t="n">
        <v>0</v>
      </c>
      <c r="Q402" t="n">
        <v>0</v>
      </c>
      <c r="R402" s="2" t="inlineStr"/>
    </row>
    <row r="403" ht="15" customHeight="1">
      <c r="A403" t="inlineStr">
        <is>
          <t>A 69505-2021</t>
        </is>
      </c>
      <c r="B403" s="1" t="n">
        <v>44531</v>
      </c>
      <c r="C403" s="1" t="n">
        <v>45821</v>
      </c>
      <c r="D403" t="inlineStr">
        <is>
          <t>UPPSALA LÄN</t>
        </is>
      </c>
      <c r="E403" t="inlineStr">
        <is>
          <t>ÖSTHAMMAR</t>
        </is>
      </c>
      <c r="F403" t="inlineStr">
        <is>
          <t>Bergvik skog öst AB</t>
        </is>
      </c>
      <c r="G403" t="n">
        <v>5.4</v>
      </c>
      <c r="H403" t="n">
        <v>0</v>
      </c>
      <c r="I403" t="n">
        <v>0</v>
      </c>
      <c r="J403" t="n">
        <v>0</v>
      </c>
      <c r="K403" t="n">
        <v>0</v>
      </c>
      <c r="L403" t="n">
        <v>0</v>
      </c>
      <c r="M403" t="n">
        <v>0</v>
      </c>
      <c r="N403" t="n">
        <v>0</v>
      </c>
      <c r="O403" t="n">
        <v>0</v>
      </c>
      <c r="P403" t="n">
        <v>0</v>
      </c>
      <c r="Q403" t="n">
        <v>0</v>
      </c>
      <c r="R403" s="2" t="inlineStr"/>
    </row>
    <row r="404" ht="15" customHeight="1">
      <c r="A404" t="inlineStr">
        <is>
          <t>A 69411-2021</t>
        </is>
      </c>
      <c r="B404" s="1" t="n">
        <v>44531</v>
      </c>
      <c r="C404" s="1" t="n">
        <v>45821</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69518-2021</t>
        </is>
      </c>
      <c r="B405" s="1" t="n">
        <v>44531</v>
      </c>
      <c r="C405" s="1" t="n">
        <v>45821</v>
      </c>
      <c r="D405" t="inlineStr">
        <is>
          <t>UPPSALA LÄN</t>
        </is>
      </c>
      <c r="E405" t="inlineStr">
        <is>
          <t>ÖSTHAMMAR</t>
        </is>
      </c>
      <c r="G405" t="n">
        <v>4.5</v>
      </c>
      <c r="H405" t="n">
        <v>0</v>
      </c>
      <c r="I405" t="n">
        <v>0</v>
      </c>
      <c r="J405" t="n">
        <v>0</v>
      </c>
      <c r="K405" t="n">
        <v>0</v>
      </c>
      <c r="L405" t="n">
        <v>0</v>
      </c>
      <c r="M405" t="n">
        <v>0</v>
      </c>
      <c r="N405" t="n">
        <v>0</v>
      </c>
      <c r="O405" t="n">
        <v>0</v>
      </c>
      <c r="P405" t="n">
        <v>0</v>
      </c>
      <c r="Q405" t="n">
        <v>0</v>
      </c>
      <c r="R405" s="2" t="inlineStr"/>
    </row>
    <row r="406" ht="15" customHeight="1">
      <c r="A406" t="inlineStr">
        <is>
          <t>A 70008-2021</t>
        </is>
      </c>
      <c r="B406" s="1" t="n">
        <v>44533</v>
      </c>
      <c r="C406" s="1" t="n">
        <v>45821</v>
      </c>
      <c r="D406" t="inlineStr">
        <is>
          <t>UPPSALA LÄN</t>
        </is>
      </c>
      <c r="E406" t="inlineStr">
        <is>
          <t>ÖSTHAMMAR</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70408-2021</t>
        </is>
      </c>
      <c r="B407" s="1" t="n">
        <v>44536</v>
      </c>
      <c r="C407" s="1" t="n">
        <v>45821</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72627-2021</t>
        </is>
      </c>
      <c r="B408" s="1" t="n">
        <v>44546</v>
      </c>
      <c r="C408" s="1" t="n">
        <v>45821</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72637-2021</t>
        </is>
      </c>
      <c r="B409" s="1" t="n">
        <v>44546</v>
      </c>
      <c r="C409" s="1" t="n">
        <v>45821</v>
      </c>
      <c r="D409" t="inlineStr">
        <is>
          <t>UPPSALA LÄN</t>
        </is>
      </c>
      <c r="E409" t="inlineStr">
        <is>
          <t>ÖSTHAMMAR</t>
        </is>
      </c>
      <c r="G409" t="n">
        <v>2.5</v>
      </c>
      <c r="H409" t="n">
        <v>0</v>
      </c>
      <c r="I409" t="n">
        <v>0</v>
      </c>
      <c r="J409" t="n">
        <v>0</v>
      </c>
      <c r="K409" t="n">
        <v>0</v>
      </c>
      <c r="L409" t="n">
        <v>0</v>
      </c>
      <c r="M409" t="n">
        <v>0</v>
      </c>
      <c r="N409" t="n">
        <v>0</v>
      </c>
      <c r="O409" t="n">
        <v>0</v>
      </c>
      <c r="P409" t="n">
        <v>0</v>
      </c>
      <c r="Q409" t="n">
        <v>0</v>
      </c>
      <c r="R409" s="2" t="inlineStr"/>
    </row>
    <row r="410" ht="15" customHeight="1">
      <c r="A410" t="inlineStr">
        <is>
          <t>A 72969-2021</t>
        </is>
      </c>
      <c r="B410" s="1" t="n">
        <v>44548</v>
      </c>
      <c r="C410" s="1" t="n">
        <v>45821</v>
      </c>
      <c r="D410" t="inlineStr">
        <is>
          <t>UPPSALA LÄN</t>
        </is>
      </c>
      <c r="E410" t="inlineStr">
        <is>
          <t>ÖSTHAMMAR</t>
        </is>
      </c>
      <c r="F410" t="inlineStr">
        <is>
          <t>Bergvik skog öst AB</t>
        </is>
      </c>
      <c r="G410" t="n">
        <v>8</v>
      </c>
      <c r="H410" t="n">
        <v>0</v>
      </c>
      <c r="I410" t="n">
        <v>0</v>
      </c>
      <c r="J410" t="n">
        <v>0</v>
      </c>
      <c r="K410" t="n">
        <v>0</v>
      </c>
      <c r="L410" t="n">
        <v>0</v>
      </c>
      <c r="M410" t="n">
        <v>0</v>
      </c>
      <c r="N410" t="n">
        <v>0</v>
      </c>
      <c r="O410" t="n">
        <v>0</v>
      </c>
      <c r="P410" t="n">
        <v>0</v>
      </c>
      <c r="Q410" t="n">
        <v>0</v>
      </c>
      <c r="R410" s="2" t="inlineStr"/>
    </row>
    <row r="411" ht="15" customHeight="1">
      <c r="A411" t="inlineStr">
        <is>
          <t>A 73483-2021</t>
        </is>
      </c>
      <c r="B411" s="1" t="n">
        <v>44550</v>
      </c>
      <c r="C411" s="1" t="n">
        <v>45821</v>
      </c>
      <c r="D411" t="inlineStr">
        <is>
          <t>UPPSALA LÄN</t>
        </is>
      </c>
      <c r="E411" t="inlineStr">
        <is>
          <t>ÖSTHAMMAR</t>
        </is>
      </c>
      <c r="G411" t="n">
        <v>2.8</v>
      </c>
      <c r="H411" t="n">
        <v>0</v>
      </c>
      <c r="I411" t="n">
        <v>0</v>
      </c>
      <c r="J411" t="n">
        <v>0</v>
      </c>
      <c r="K411" t="n">
        <v>0</v>
      </c>
      <c r="L411" t="n">
        <v>0</v>
      </c>
      <c r="M411" t="n">
        <v>0</v>
      </c>
      <c r="N411" t="n">
        <v>0</v>
      </c>
      <c r="O411" t="n">
        <v>0</v>
      </c>
      <c r="P411" t="n">
        <v>0</v>
      </c>
      <c r="Q411" t="n">
        <v>0</v>
      </c>
      <c r="R411" s="2" t="inlineStr"/>
    </row>
    <row r="412" ht="15" customHeight="1">
      <c r="A412" t="inlineStr">
        <is>
          <t>A 73592-2021</t>
        </is>
      </c>
      <c r="B412" s="1" t="n">
        <v>44552</v>
      </c>
      <c r="C412" s="1" t="n">
        <v>45821</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73965-2021</t>
        </is>
      </c>
      <c r="B413" s="1" t="n">
        <v>44553</v>
      </c>
      <c r="C413" s="1" t="n">
        <v>45821</v>
      </c>
      <c r="D413" t="inlineStr">
        <is>
          <t>UPPSALA LÄN</t>
        </is>
      </c>
      <c r="E413" t="inlineStr">
        <is>
          <t>ÖSTHAMMAR</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73982-2021</t>
        </is>
      </c>
      <c r="B414" s="1" t="n">
        <v>44555</v>
      </c>
      <c r="C414" s="1" t="n">
        <v>45821</v>
      </c>
      <c r="D414" t="inlineStr">
        <is>
          <t>UPPSALA LÄN</t>
        </is>
      </c>
      <c r="E414" t="inlineStr">
        <is>
          <t>ÖSTHAMMAR</t>
        </is>
      </c>
      <c r="G414" t="n">
        <v>0.9</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v>
      </c>
      <c r="C415" s="1" t="n">
        <v>45821</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74429-2021</t>
        </is>
      </c>
      <c r="B416" s="1" t="n">
        <v>44560</v>
      </c>
      <c r="C416" s="1" t="n">
        <v>45821</v>
      </c>
      <c r="D416" t="inlineStr">
        <is>
          <t>UPPSALA LÄN</t>
        </is>
      </c>
      <c r="E416" t="inlineStr">
        <is>
          <t>ÖSTHAMMAR</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74467-2021</t>
        </is>
      </c>
      <c r="B417" s="1" t="n">
        <v>44560</v>
      </c>
      <c r="C417" s="1" t="n">
        <v>45821</v>
      </c>
      <c r="D417" t="inlineStr">
        <is>
          <t>UPPSALA LÄN</t>
        </is>
      </c>
      <c r="E417" t="inlineStr">
        <is>
          <t>ÖSTHAMMAR</t>
        </is>
      </c>
      <c r="F417" t="inlineStr">
        <is>
          <t>Bergvik skog öst AB</t>
        </is>
      </c>
      <c r="G417" t="n">
        <v>2.6</v>
      </c>
      <c r="H417" t="n">
        <v>0</v>
      </c>
      <c r="I417" t="n">
        <v>0</v>
      </c>
      <c r="J417" t="n">
        <v>0</v>
      </c>
      <c r="K417" t="n">
        <v>0</v>
      </c>
      <c r="L417" t="n">
        <v>0</v>
      </c>
      <c r="M417" t="n">
        <v>0</v>
      </c>
      <c r="N417" t="n">
        <v>0</v>
      </c>
      <c r="O417" t="n">
        <v>0</v>
      </c>
      <c r="P417" t="n">
        <v>0</v>
      </c>
      <c r="Q417" t="n">
        <v>0</v>
      </c>
      <c r="R417" s="2" t="inlineStr"/>
    </row>
    <row r="418" ht="15" customHeight="1">
      <c r="A418" t="inlineStr">
        <is>
          <t>A 74428-2021</t>
        </is>
      </c>
      <c r="B418" s="1" t="n">
        <v>44560</v>
      </c>
      <c r="C418" s="1" t="n">
        <v>45821</v>
      </c>
      <c r="D418" t="inlineStr">
        <is>
          <t>UPPSALA LÄN</t>
        </is>
      </c>
      <c r="E418" t="inlineStr">
        <is>
          <t>ÖSTHAMMAR</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74436-2021</t>
        </is>
      </c>
      <c r="B419" s="1" t="n">
        <v>44560</v>
      </c>
      <c r="C419" s="1" t="n">
        <v>45821</v>
      </c>
      <c r="D419" t="inlineStr">
        <is>
          <t>UPPSALA LÄN</t>
        </is>
      </c>
      <c r="E419" t="inlineStr">
        <is>
          <t>ÖSTHAMMAR</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1238-2022</t>
        </is>
      </c>
      <c r="B420" s="1" t="n">
        <v>44572</v>
      </c>
      <c r="C420" s="1" t="n">
        <v>45821</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1609-2022</t>
        </is>
      </c>
      <c r="B421" s="1" t="n">
        <v>44573</v>
      </c>
      <c r="C421" s="1" t="n">
        <v>45821</v>
      </c>
      <c r="D421" t="inlineStr">
        <is>
          <t>UPPSALA LÄN</t>
        </is>
      </c>
      <c r="E421" t="inlineStr">
        <is>
          <t>ÖSTHAMMAR</t>
        </is>
      </c>
      <c r="G421" t="n">
        <v>5.3</v>
      </c>
      <c r="H421" t="n">
        <v>0</v>
      </c>
      <c r="I421" t="n">
        <v>0</v>
      </c>
      <c r="J421" t="n">
        <v>0</v>
      </c>
      <c r="K421" t="n">
        <v>0</v>
      </c>
      <c r="L421" t="n">
        <v>0</v>
      </c>
      <c r="M421" t="n">
        <v>0</v>
      </c>
      <c r="N421" t="n">
        <v>0</v>
      </c>
      <c r="O421" t="n">
        <v>0</v>
      </c>
      <c r="P421" t="n">
        <v>0</v>
      </c>
      <c r="Q421" t="n">
        <v>0</v>
      </c>
      <c r="R421" s="2" t="inlineStr"/>
    </row>
    <row r="422" ht="15" customHeight="1">
      <c r="A422" t="inlineStr">
        <is>
          <t>A 2085-2022</t>
        </is>
      </c>
      <c r="B422" s="1" t="n">
        <v>44576</v>
      </c>
      <c r="C422" s="1" t="n">
        <v>45821</v>
      </c>
      <c r="D422" t="inlineStr">
        <is>
          <t>UPPSALA LÄN</t>
        </is>
      </c>
      <c r="E422" t="inlineStr">
        <is>
          <t>ÖSTHAMMAR</t>
        </is>
      </c>
      <c r="F422" t="inlineStr">
        <is>
          <t>Bergvik skog öst AB</t>
        </is>
      </c>
      <c r="G422" t="n">
        <v>1.6</v>
      </c>
      <c r="H422" t="n">
        <v>0</v>
      </c>
      <c r="I422" t="n">
        <v>0</v>
      </c>
      <c r="J422" t="n">
        <v>0</v>
      </c>
      <c r="K422" t="n">
        <v>0</v>
      </c>
      <c r="L422" t="n">
        <v>0</v>
      </c>
      <c r="M422" t="n">
        <v>0</v>
      </c>
      <c r="N422" t="n">
        <v>0</v>
      </c>
      <c r="O422" t="n">
        <v>0</v>
      </c>
      <c r="P422" t="n">
        <v>0</v>
      </c>
      <c r="Q422" t="n">
        <v>0</v>
      </c>
      <c r="R422" s="2" t="inlineStr"/>
    </row>
    <row r="423" ht="15" customHeight="1">
      <c r="A423" t="inlineStr">
        <is>
          <t>A 2108-2022</t>
        </is>
      </c>
      <c r="B423" s="1" t="n">
        <v>44577</v>
      </c>
      <c r="C423" s="1" t="n">
        <v>45821</v>
      </c>
      <c r="D423" t="inlineStr">
        <is>
          <t>UPPSALA LÄN</t>
        </is>
      </c>
      <c r="E423" t="inlineStr">
        <is>
          <t>ÖSTHAMMAR</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2168-2022</t>
        </is>
      </c>
      <c r="B424" s="1" t="n">
        <v>44578</v>
      </c>
      <c r="C424" s="1" t="n">
        <v>45821</v>
      </c>
      <c r="D424" t="inlineStr">
        <is>
          <t>UPPSALA LÄN</t>
        </is>
      </c>
      <c r="E424" t="inlineStr">
        <is>
          <t>ÖSTHAMMAR</t>
        </is>
      </c>
      <c r="G424" t="n">
        <v>2.9</v>
      </c>
      <c r="H424" t="n">
        <v>0</v>
      </c>
      <c r="I424" t="n">
        <v>0</v>
      </c>
      <c r="J424" t="n">
        <v>0</v>
      </c>
      <c r="K424" t="n">
        <v>0</v>
      </c>
      <c r="L424" t="n">
        <v>0</v>
      </c>
      <c r="M424" t="n">
        <v>0</v>
      </c>
      <c r="N424" t="n">
        <v>0</v>
      </c>
      <c r="O424" t="n">
        <v>0</v>
      </c>
      <c r="P424" t="n">
        <v>0</v>
      </c>
      <c r="Q424" t="n">
        <v>0</v>
      </c>
      <c r="R424" s="2" t="inlineStr"/>
    </row>
    <row r="425" ht="15" customHeight="1">
      <c r="A425" t="inlineStr">
        <is>
          <t>A 3638-2022</t>
        </is>
      </c>
      <c r="B425" s="1" t="n">
        <v>44578</v>
      </c>
      <c r="C425" s="1" t="n">
        <v>45821</v>
      </c>
      <c r="D425" t="inlineStr">
        <is>
          <t>UPPSALA LÄN</t>
        </is>
      </c>
      <c r="E425" t="inlineStr">
        <is>
          <t>ÖSTHAMMAR</t>
        </is>
      </c>
      <c r="G425" t="n">
        <v>1.7</v>
      </c>
      <c r="H425" t="n">
        <v>0</v>
      </c>
      <c r="I425" t="n">
        <v>0</v>
      </c>
      <c r="J425" t="n">
        <v>0</v>
      </c>
      <c r="K425" t="n">
        <v>0</v>
      </c>
      <c r="L425" t="n">
        <v>0</v>
      </c>
      <c r="M425" t="n">
        <v>0</v>
      </c>
      <c r="N425" t="n">
        <v>0</v>
      </c>
      <c r="O425" t="n">
        <v>0</v>
      </c>
      <c r="P425" t="n">
        <v>0</v>
      </c>
      <c r="Q425" t="n">
        <v>0</v>
      </c>
      <c r="R425" s="2" t="inlineStr"/>
    </row>
    <row r="426" ht="15" customHeight="1">
      <c r="A426" t="inlineStr">
        <is>
          <t>A 3725-2022</t>
        </is>
      </c>
      <c r="B426" s="1" t="n">
        <v>44586</v>
      </c>
      <c r="C426" s="1" t="n">
        <v>45821</v>
      </c>
      <c r="D426" t="inlineStr">
        <is>
          <t>UPPSALA LÄN</t>
        </is>
      </c>
      <c r="E426" t="inlineStr">
        <is>
          <t>ÖSTHAMMAR</t>
        </is>
      </c>
      <c r="G426" t="n">
        <v>2</v>
      </c>
      <c r="H426" t="n">
        <v>0</v>
      </c>
      <c r="I426" t="n">
        <v>0</v>
      </c>
      <c r="J426" t="n">
        <v>0</v>
      </c>
      <c r="K426" t="n">
        <v>0</v>
      </c>
      <c r="L426" t="n">
        <v>0</v>
      </c>
      <c r="M426" t="n">
        <v>0</v>
      </c>
      <c r="N426" t="n">
        <v>0</v>
      </c>
      <c r="O426" t="n">
        <v>0</v>
      </c>
      <c r="P426" t="n">
        <v>0</v>
      </c>
      <c r="Q426" t="n">
        <v>0</v>
      </c>
      <c r="R426" s="2" t="inlineStr"/>
    </row>
    <row r="427" ht="15" customHeight="1">
      <c r="A427" t="inlineStr">
        <is>
          <t>A 3732-2022</t>
        </is>
      </c>
      <c r="B427" s="1" t="n">
        <v>44586</v>
      </c>
      <c r="C427" s="1" t="n">
        <v>45821</v>
      </c>
      <c r="D427" t="inlineStr">
        <is>
          <t>UPPSALA LÄN</t>
        </is>
      </c>
      <c r="E427" t="inlineStr">
        <is>
          <t>ÖSTHAMMAR</t>
        </is>
      </c>
      <c r="F427" t="inlineStr">
        <is>
          <t>Bergvik skog öst AB</t>
        </is>
      </c>
      <c r="G427" t="n">
        <v>3.6</v>
      </c>
      <c r="H427" t="n">
        <v>0</v>
      </c>
      <c r="I427" t="n">
        <v>0</v>
      </c>
      <c r="J427" t="n">
        <v>0</v>
      </c>
      <c r="K427" t="n">
        <v>0</v>
      </c>
      <c r="L427" t="n">
        <v>0</v>
      </c>
      <c r="M427" t="n">
        <v>0</v>
      </c>
      <c r="N427" t="n">
        <v>0</v>
      </c>
      <c r="O427" t="n">
        <v>0</v>
      </c>
      <c r="P427" t="n">
        <v>0</v>
      </c>
      <c r="Q427" t="n">
        <v>0</v>
      </c>
      <c r="R427" s="2" t="inlineStr"/>
    </row>
    <row r="428" ht="15" customHeight="1">
      <c r="A428" t="inlineStr">
        <is>
          <t>A 3740-2022</t>
        </is>
      </c>
      <c r="B428" s="1" t="n">
        <v>44586</v>
      </c>
      <c r="C428" s="1" t="n">
        <v>45821</v>
      </c>
      <c r="D428" t="inlineStr">
        <is>
          <t>UPPSALA LÄN</t>
        </is>
      </c>
      <c r="E428" t="inlineStr">
        <is>
          <t>ÖSTHAMMAR</t>
        </is>
      </c>
      <c r="F428" t="inlineStr">
        <is>
          <t>Bergvik skog öst AB</t>
        </is>
      </c>
      <c r="G428" t="n">
        <v>7.7</v>
      </c>
      <c r="H428" t="n">
        <v>0</v>
      </c>
      <c r="I428" t="n">
        <v>0</v>
      </c>
      <c r="J428" t="n">
        <v>0</v>
      </c>
      <c r="K428" t="n">
        <v>0</v>
      </c>
      <c r="L428" t="n">
        <v>0</v>
      </c>
      <c r="M428" t="n">
        <v>0</v>
      </c>
      <c r="N428" t="n">
        <v>0</v>
      </c>
      <c r="O428" t="n">
        <v>0</v>
      </c>
      <c r="P428" t="n">
        <v>0</v>
      </c>
      <c r="Q428" t="n">
        <v>0</v>
      </c>
      <c r="R428" s="2" t="inlineStr"/>
    </row>
    <row r="429" ht="15" customHeight="1">
      <c r="A429" t="inlineStr">
        <is>
          <t>A 3991-2022</t>
        </is>
      </c>
      <c r="B429" s="1" t="n">
        <v>44587</v>
      </c>
      <c r="C429" s="1" t="n">
        <v>45821</v>
      </c>
      <c r="D429" t="inlineStr">
        <is>
          <t>UPPSALA LÄN</t>
        </is>
      </c>
      <c r="E429" t="inlineStr">
        <is>
          <t>ÖSTHAMMAR</t>
        </is>
      </c>
      <c r="F429" t="inlineStr">
        <is>
          <t>Bergvik skog öst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4101-2022</t>
        </is>
      </c>
      <c r="B430" s="1" t="n">
        <v>44588</v>
      </c>
      <c r="C430" s="1" t="n">
        <v>45821</v>
      </c>
      <c r="D430" t="inlineStr">
        <is>
          <t>UPPSALA LÄN</t>
        </is>
      </c>
      <c r="E430" t="inlineStr">
        <is>
          <t>ÖSTHAMMAR</t>
        </is>
      </c>
      <c r="G430" t="n">
        <v>4.4</v>
      </c>
      <c r="H430" t="n">
        <v>0</v>
      </c>
      <c r="I430" t="n">
        <v>0</v>
      </c>
      <c r="J430" t="n">
        <v>0</v>
      </c>
      <c r="K430" t="n">
        <v>0</v>
      </c>
      <c r="L430" t="n">
        <v>0</v>
      </c>
      <c r="M430" t="n">
        <v>0</v>
      </c>
      <c r="N430" t="n">
        <v>0</v>
      </c>
      <c r="O430" t="n">
        <v>0</v>
      </c>
      <c r="P430" t="n">
        <v>0</v>
      </c>
      <c r="Q430" t="n">
        <v>0</v>
      </c>
      <c r="R430" s="2" t="inlineStr"/>
    </row>
    <row r="431" ht="15" customHeight="1">
      <c r="A431" t="inlineStr">
        <is>
          <t>A 4318-2022</t>
        </is>
      </c>
      <c r="B431" s="1" t="n">
        <v>44588</v>
      </c>
      <c r="C431" s="1" t="n">
        <v>45821</v>
      </c>
      <c r="D431" t="inlineStr">
        <is>
          <t>UPPSALA LÄN</t>
        </is>
      </c>
      <c r="E431" t="inlineStr">
        <is>
          <t>ÖSTHAMMAR</t>
        </is>
      </c>
      <c r="F431" t="inlineStr">
        <is>
          <t>Bergvik skog öst AB</t>
        </is>
      </c>
      <c r="G431" t="n">
        <v>9.6</v>
      </c>
      <c r="H431" t="n">
        <v>0</v>
      </c>
      <c r="I431" t="n">
        <v>0</v>
      </c>
      <c r="J431" t="n">
        <v>0</v>
      </c>
      <c r="K431" t="n">
        <v>0</v>
      </c>
      <c r="L431" t="n">
        <v>0</v>
      </c>
      <c r="M431" t="n">
        <v>0</v>
      </c>
      <c r="N431" t="n">
        <v>0</v>
      </c>
      <c r="O431" t="n">
        <v>0</v>
      </c>
      <c r="P431" t="n">
        <v>0</v>
      </c>
      <c r="Q431" t="n">
        <v>0</v>
      </c>
      <c r="R431" s="2" t="inlineStr"/>
    </row>
    <row r="432" ht="15" customHeight="1">
      <c r="A432" t="inlineStr">
        <is>
          <t>A 4315-2022</t>
        </is>
      </c>
      <c r="B432" s="1" t="n">
        <v>44588</v>
      </c>
      <c r="C432" s="1" t="n">
        <v>45821</v>
      </c>
      <c r="D432" t="inlineStr">
        <is>
          <t>UPPSALA LÄN</t>
        </is>
      </c>
      <c r="E432" t="inlineStr">
        <is>
          <t>ÖSTHAMMAR</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4491-2022</t>
        </is>
      </c>
      <c r="B433" s="1" t="n">
        <v>44589</v>
      </c>
      <c r="C433" s="1" t="n">
        <v>45821</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4357-2022</t>
        </is>
      </c>
      <c r="B434" s="1" t="n">
        <v>44589</v>
      </c>
      <c r="C434" s="1" t="n">
        <v>45821</v>
      </c>
      <c r="D434" t="inlineStr">
        <is>
          <t>UPPSALA LÄN</t>
        </is>
      </c>
      <c r="E434" t="inlineStr">
        <is>
          <t>ÖSTHAMMAR</t>
        </is>
      </c>
      <c r="G434" t="n">
        <v>0.7</v>
      </c>
      <c r="H434" t="n">
        <v>0</v>
      </c>
      <c r="I434" t="n">
        <v>0</v>
      </c>
      <c r="J434" t="n">
        <v>0</v>
      </c>
      <c r="K434" t="n">
        <v>0</v>
      </c>
      <c r="L434" t="n">
        <v>0</v>
      </c>
      <c r="M434" t="n">
        <v>0</v>
      </c>
      <c r="N434" t="n">
        <v>0</v>
      </c>
      <c r="O434" t="n">
        <v>0</v>
      </c>
      <c r="P434" t="n">
        <v>0</v>
      </c>
      <c r="Q434" t="n">
        <v>0</v>
      </c>
      <c r="R434" s="2" t="inlineStr"/>
    </row>
    <row r="435" ht="15" customHeight="1">
      <c r="A435" t="inlineStr">
        <is>
          <t>A 4563-2022</t>
        </is>
      </c>
      <c r="B435" s="1" t="n">
        <v>44591</v>
      </c>
      <c r="C435" s="1" t="n">
        <v>45821</v>
      </c>
      <c r="D435" t="inlineStr">
        <is>
          <t>UPPSALA LÄN</t>
        </is>
      </c>
      <c r="E435" t="inlineStr">
        <is>
          <t>ÖSTHAMMAR</t>
        </is>
      </c>
      <c r="F435" t="inlineStr">
        <is>
          <t>Bergvik skog öst AB</t>
        </is>
      </c>
      <c r="G435" t="n">
        <v>1.9</v>
      </c>
      <c r="H435" t="n">
        <v>0</v>
      </c>
      <c r="I435" t="n">
        <v>0</v>
      </c>
      <c r="J435" t="n">
        <v>0</v>
      </c>
      <c r="K435" t="n">
        <v>0</v>
      </c>
      <c r="L435" t="n">
        <v>0</v>
      </c>
      <c r="M435" t="n">
        <v>0</v>
      </c>
      <c r="N435" t="n">
        <v>0</v>
      </c>
      <c r="O435" t="n">
        <v>0</v>
      </c>
      <c r="P435" t="n">
        <v>0</v>
      </c>
      <c r="Q435" t="n">
        <v>0</v>
      </c>
      <c r="R435" s="2" t="inlineStr"/>
    </row>
    <row r="436" ht="15" customHeight="1">
      <c r="A436" t="inlineStr">
        <is>
          <t>A 4562-2022</t>
        </is>
      </c>
      <c r="B436" s="1" t="n">
        <v>44591</v>
      </c>
      <c r="C436" s="1" t="n">
        <v>45821</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4561-2022</t>
        </is>
      </c>
      <c r="B437" s="1" t="n">
        <v>44591</v>
      </c>
      <c r="C437" s="1" t="n">
        <v>45821</v>
      </c>
      <c r="D437" t="inlineStr">
        <is>
          <t>UPPSALA LÄN</t>
        </is>
      </c>
      <c r="E437" t="inlineStr">
        <is>
          <t>ÖSTHAMMAR</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4559-2022</t>
        </is>
      </c>
      <c r="B438" s="1" t="n">
        <v>44591</v>
      </c>
      <c r="C438" s="1" t="n">
        <v>45821</v>
      </c>
      <c r="D438" t="inlineStr">
        <is>
          <t>UPPSALA LÄN</t>
        </is>
      </c>
      <c r="E438" t="inlineStr">
        <is>
          <t>ÖSTHAMMAR</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4565-2022</t>
        </is>
      </c>
      <c r="B439" s="1" t="n">
        <v>44591</v>
      </c>
      <c r="C439" s="1" t="n">
        <v>45821</v>
      </c>
      <c r="D439" t="inlineStr">
        <is>
          <t>UPPSALA LÄN</t>
        </is>
      </c>
      <c r="E439" t="inlineStr">
        <is>
          <t>ÖSTHAMMAR</t>
        </is>
      </c>
      <c r="F439" t="inlineStr">
        <is>
          <t>Bergvik skog öst AB</t>
        </is>
      </c>
      <c r="G439" t="n">
        <v>5.3</v>
      </c>
      <c r="H439" t="n">
        <v>0</v>
      </c>
      <c r="I439" t="n">
        <v>0</v>
      </c>
      <c r="J439" t="n">
        <v>0</v>
      </c>
      <c r="K439" t="n">
        <v>0</v>
      </c>
      <c r="L439" t="n">
        <v>0</v>
      </c>
      <c r="M439" t="n">
        <v>0</v>
      </c>
      <c r="N439" t="n">
        <v>0</v>
      </c>
      <c r="O439" t="n">
        <v>0</v>
      </c>
      <c r="P439" t="n">
        <v>0</v>
      </c>
      <c r="Q439" t="n">
        <v>0</v>
      </c>
      <c r="R439" s="2" t="inlineStr"/>
    </row>
    <row r="440" ht="15" customHeight="1">
      <c r="A440" t="inlineStr">
        <is>
          <t>A 5855-2022</t>
        </is>
      </c>
      <c r="B440" s="1" t="n">
        <v>44596</v>
      </c>
      <c r="C440" s="1" t="n">
        <v>45821</v>
      </c>
      <c r="D440" t="inlineStr">
        <is>
          <t>UPPSALA LÄN</t>
        </is>
      </c>
      <c r="E440" t="inlineStr">
        <is>
          <t>ÖSTHAMMAR</t>
        </is>
      </c>
      <c r="G440" t="n">
        <v>0.9</v>
      </c>
      <c r="H440" t="n">
        <v>0</v>
      </c>
      <c r="I440" t="n">
        <v>0</v>
      </c>
      <c r="J440" t="n">
        <v>0</v>
      </c>
      <c r="K440" t="n">
        <v>0</v>
      </c>
      <c r="L440" t="n">
        <v>0</v>
      </c>
      <c r="M440" t="n">
        <v>0</v>
      </c>
      <c r="N440" t="n">
        <v>0</v>
      </c>
      <c r="O440" t="n">
        <v>0</v>
      </c>
      <c r="P440" t="n">
        <v>0</v>
      </c>
      <c r="Q440" t="n">
        <v>0</v>
      </c>
      <c r="R440" s="2" t="inlineStr"/>
    </row>
    <row r="441" ht="15" customHeight="1">
      <c r="A441" t="inlineStr">
        <is>
          <t>A 5974-2022</t>
        </is>
      </c>
      <c r="B441" s="1" t="n">
        <v>44597</v>
      </c>
      <c r="C441" s="1" t="n">
        <v>45821</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5933-2022</t>
        </is>
      </c>
      <c r="B442" s="1" t="n">
        <v>44598</v>
      </c>
      <c r="C442" s="1" t="n">
        <v>45821</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5934-2022</t>
        </is>
      </c>
      <c r="B443" s="1" t="n">
        <v>44598</v>
      </c>
      <c r="C443" s="1" t="n">
        <v>45821</v>
      </c>
      <c r="D443" t="inlineStr">
        <is>
          <t>UPPSALA LÄN</t>
        </is>
      </c>
      <c r="E443" t="inlineStr">
        <is>
          <t>ÖSTHAMMAR</t>
        </is>
      </c>
      <c r="F443" t="inlineStr">
        <is>
          <t>Bergvik skog öst AB</t>
        </is>
      </c>
      <c r="G443" t="n">
        <v>2.4</v>
      </c>
      <c r="H443" t="n">
        <v>0</v>
      </c>
      <c r="I443" t="n">
        <v>0</v>
      </c>
      <c r="J443" t="n">
        <v>0</v>
      </c>
      <c r="K443" t="n">
        <v>0</v>
      </c>
      <c r="L443" t="n">
        <v>0</v>
      </c>
      <c r="M443" t="n">
        <v>0</v>
      </c>
      <c r="N443" t="n">
        <v>0</v>
      </c>
      <c r="O443" t="n">
        <v>0</v>
      </c>
      <c r="P443" t="n">
        <v>0</v>
      </c>
      <c r="Q443" t="n">
        <v>0</v>
      </c>
      <c r="R443" s="2" t="inlineStr"/>
    </row>
    <row r="444" ht="15" customHeight="1">
      <c r="A444" t="inlineStr">
        <is>
          <t>A 5932-2022</t>
        </is>
      </c>
      <c r="B444" s="1" t="n">
        <v>44598</v>
      </c>
      <c r="C444" s="1" t="n">
        <v>45821</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5931-2022</t>
        </is>
      </c>
      <c r="B445" s="1" t="n">
        <v>44598</v>
      </c>
      <c r="C445" s="1" t="n">
        <v>45821</v>
      </c>
      <c r="D445" t="inlineStr">
        <is>
          <t>UPPSALA LÄN</t>
        </is>
      </c>
      <c r="E445" t="inlineStr">
        <is>
          <t>ÖSTHAMMAR</t>
        </is>
      </c>
      <c r="F445" t="inlineStr">
        <is>
          <t>Bergvik skog öst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6143-2022</t>
        </is>
      </c>
      <c r="B446" s="1" t="n">
        <v>44599</v>
      </c>
      <c r="C446" s="1" t="n">
        <v>45821</v>
      </c>
      <c r="D446" t="inlineStr">
        <is>
          <t>UPPSALA LÄN</t>
        </is>
      </c>
      <c r="E446" t="inlineStr">
        <is>
          <t>ÖSTHAMMAR</t>
        </is>
      </c>
      <c r="G446" t="n">
        <v>3.4</v>
      </c>
      <c r="H446" t="n">
        <v>0</v>
      </c>
      <c r="I446" t="n">
        <v>0</v>
      </c>
      <c r="J446" t="n">
        <v>0</v>
      </c>
      <c r="K446" t="n">
        <v>0</v>
      </c>
      <c r="L446" t="n">
        <v>0</v>
      </c>
      <c r="M446" t="n">
        <v>0</v>
      </c>
      <c r="N446" t="n">
        <v>0</v>
      </c>
      <c r="O446" t="n">
        <v>0</v>
      </c>
      <c r="P446" t="n">
        <v>0</v>
      </c>
      <c r="Q446" t="n">
        <v>0</v>
      </c>
      <c r="R446" s="2" t="inlineStr"/>
    </row>
    <row r="447" ht="15" customHeight="1">
      <c r="A447" t="inlineStr">
        <is>
          <t>A 6153-2022</t>
        </is>
      </c>
      <c r="B447" s="1" t="n">
        <v>44599</v>
      </c>
      <c r="C447" s="1" t="n">
        <v>45821</v>
      </c>
      <c r="D447" t="inlineStr">
        <is>
          <t>UPPSALA LÄN</t>
        </is>
      </c>
      <c r="E447" t="inlineStr">
        <is>
          <t>ÖSTHAMMAR</t>
        </is>
      </c>
      <c r="G447" t="n">
        <v>1.2</v>
      </c>
      <c r="H447" t="n">
        <v>0</v>
      </c>
      <c r="I447" t="n">
        <v>0</v>
      </c>
      <c r="J447" t="n">
        <v>0</v>
      </c>
      <c r="K447" t="n">
        <v>0</v>
      </c>
      <c r="L447" t="n">
        <v>0</v>
      </c>
      <c r="M447" t="n">
        <v>0</v>
      </c>
      <c r="N447" t="n">
        <v>0</v>
      </c>
      <c r="O447" t="n">
        <v>0</v>
      </c>
      <c r="P447" t="n">
        <v>0</v>
      </c>
      <c r="Q447" t="n">
        <v>0</v>
      </c>
      <c r="R447" s="2" t="inlineStr"/>
    </row>
    <row r="448" ht="15" customHeight="1">
      <c r="A448" t="inlineStr">
        <is>
          <t>A 6206-2022</t>
        </is>
      </c>
      <c r="B448" s="1" t="n">
        <v>44600</v>
      </c>
      <c r="C448" s="1" t="n">
        <v>45821</v>
      </c>
      <c r="D448" t="inlineStr">
        <is>
          <t>UPPSALA LÄN</t>
        </is>
      </c>
      <c r="E448" t="inlineStr">
        <is>
          <t>ÖSTHAMMAR</t>
        </is>
      </c>
      <c r="G448" t="n">
        <v>7.4</v>
      </c>
      <c r="H448" t="n">
        <v>0</v>
      </c>
      <c r="I448" t="n">
        <v>0</v>
      </c>
      <c r="J448" t="n">
        <v>0</v>
      </c>
      <c r="K448" t="n">
        <v>0</v>
      </c>
      <c r="L448" t="n">
        <v>0</v>
      </c>
      <c r="M448" t="n">
        <v>0</v>
      </c>
      <c r="N448" t="n">
        <v>0</v>
      </c>
      <c r="O448" t="n">
        <v>0</v>
      </c>
      <c r="P448" t="n">
        <v>0</v>
      </c>
      <c r="Q448" t="n">
        <v>0</v>
      </c>
      <c r="R448" s="2" t="inlineStr"/>
    </row>
    <row r="449" ht="15" customHeight="1">
      <c r="A449" t="inlineStr">
        <is>
          <t>A 6313-2022</t>
        </is>
      </c>
      <c r="B449" s="1" t="n">
        <v>44600</v>
      </c>
      <c r="C449" s="1" t="n">
        <v>45821</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6892-2022</t>
        </is>
      </c>
      <c r="B450" s="1" t="n">
        <v>44602</v>
      </c>
      <c r="C450" s="1" t="n">
        <v>45821</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7181-2022</t>
        </is>
      </c>
      <c r="B451" s="1" t="n">
        <v>44605</v>
      </c>
      <c r="C451" s="1" t="n">
        <v>45821</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7302-2022</t>
        </is>
      </c>
      <c r="B452" s="1" t="n">
        <v>44606</v>
      </c>
      <c r="C452" s="1" t="n">
        <v>45821</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7475-2022</t>
        </is>
      </c>
      <c r="B453" s="1" t="n">
        <v>44607</v>
      </c>
      <c r="C453" s="1" t="n">
        <v>45821</v>
      </c>
      <c r="D453" t="inlineStr">
        <is>
          <t>UPPSALA LÄN</t>
        </is>
      </c>
      <c r="E453" t="inlineStr">
        <is>
          <t>ÖSTHAMMAR</t>
        </is>
      </c>
      <c r="G453" t="n">
        <v>2.2</v>
      </c>
      <c r="H453" t="n">
        <v>0</v>
      </c>
      <c r="I453" t="n">
        <v>0</v>
      </c>
      <c r="J453" t="n">
        <v>0</v>
      </c>
      <c r="K453" t="n">
        <v>0</v>
      </c>
      <c r="L453" t="n">
        <v>0</v>
      </c>
      <c r="M453" t="n">
        <v>0</v>
      </c>
      <c r="N453" t="n">
        <v>0</v>
      </c>
      <c r="O453" t="n">
        <v>0</v>
      </c>
      <c r="P453" t="n">
        <v>0</v>
      </c>
      <c r="Q453" t="n">
        <v>0</v>
      </c>
      <c r="R453" s="2" t="inlineStr"/>
    </row>
    <row r="454" ht="15" customHeight="1">
      <c r="A454" t="inlineStr">
        <is>
          <t>A 7488-2022</t>
        </is>
      </c>
      <c r="B454" s="1" t="n">
        <v>44607</v>
      </c>
      <c r="C454" s="1" t="n">
        <v>45821</v>
      </c>
      <c r="D454" t="inlineStr">
        <is>
          <t>UPPSALA LÄN</t>
        </is>
      </c>
      <c r="E454" t="inlineStr">
        <is>
          <t>ÖSTHAMMAR</t>
        </is>
      </c>
      <c r="G454" t="n">
        <v>2.3</v>
      </c>
      <c r="H454" t="n">
        <v>0</v>
      </c>
      <c r="I454" t="n">
        <v>0</v>
      </c>
      <c r="J454" t="n">
        <v>0</v>
      </c>
      <c r="K454" t="n">
        <v>0</v>
      </c>
      <c r="L454" t="n">
        <v>0</v>
      </c>
      <c r="M454" t="n">
        <v>0</v>
      </c>
      <c r="N454" t="n">
        <v>0</v>
      </c>
      <c r="O454" t="n">
        <v>0</v>
      </c>
      <c r="P454" t="n">
        <v>0</v>
      </c>
      <c r="Q454" t="n">
        <v>0</v>
      </c>
      <c r="R454" s="2" t="inlineStr"/>
    </row>
    <row r="455" ht="15" customHeight="1">
      <c r="A455" t="inlineStr">
        <is>
          <t>A 7858-2022</t>
        </is>
      </c>
      <c r="B455" s="1" t="n">
        <v>44608</v>
      </c>
      <c r="C455" s="1" t="n">
        <v>45821</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7871-2022</t>
        </is>
      </c>
      <c r="B456" s="1" t="n">
        <v>44608</v>
      </c>
      <c r="C456" s="1" t="n">
        <v>45821</v>
      </c>
      <c r="D456" t="inlineStr">
        <is>
          <t>UPPSALA LÄN</t>
        </is>
      </c>
      <c r="E456" t="inlineStr">
        <is>
          <t>ÖSTHAMMAR</t>
        </is>
      </c>
      <c r="G456" t="n">
        <v>1.1</v>
      </c>
      <c r="H456" t="n">
        <v>0</v>
      </c>
      <c r="I456" t="n">
        <v>0</v>
      </c>
      <c r="J456" t="n">
        <v>0</v>
      </c>
      <c r="K456" t="n">
        <v>0</v>
      </c>
      <c r="L456" t="n">
        <v>0</v>
      </c>
      <c r="M456" t="n">
        <v>0</v>
      </c>
      <c r="N456" t="n">
        <v>0</v>
      </c>
      <c r="O456" t="n">
        <v>0</v>
      </c>
      <c r="P456" t="n">
        <v>0</v>
      </c>
      <c r="Q456" t="n">
        <v>0</v>
      </c>
      <c r="R456" s="2" t="inlineStr"/>
    </row>
    <row r="457" ht="15" customHeight="1">
      <c r="A457" t="inlineStr">
        <is>
          <t>A 7997-2022</t>
        </is>
      </c>
      <c r="B457" s="1" t="n">
        <v>44609</v>
      </c>
      <c r="C457" s="1" t="n">
        <v>45821</v>
      </c>
      <c r="D457" t="inlineStr">
        <is>
          <t>UPPSALA LÄN</t>
        </is>
      </c>
      <c r="E457" t="inlineStr">
        <is>
          <t>ÖSTHAMMAR</t>
        </is>
      </c>
      <c r="G457" t="n">
        <v>1.8</v>
      </c>
      <c r="H457" t="n">
        <v>0</v>
      </c>
      <c r="I457" t="n">
        <v>0</v>
      </c>
      <c r="J457" t="n">
        <v>0</v>
      </c>
      <c r="K457" t="n">
        <v>0</v>
      </c>
      <c r="L457" t="n">
        <v>0</v>
      </c>
      <c r="M457" t="n">
        <v>0</v>
      </c>
      <c r="N457" t="n">
        <v>0</v>
      </c>
      <c r="O457" t="n">
        <v>0</v>
      </c>
      <c r="P457" t="n">
        <v>0</v>
      </c>
      <c r="Q457" t="n">
        <v>0</v>
      </c>
      <c r="R457" s="2" t="inlineStr"/>
    </row>
    <row r="458" ht="15" customHeight="1">
      <c r="A458" t="inlineStr">
        <is>
          <t>A 8283-2022</t>
        </is>
      </c>
      <c r="B458" s="1" t="n">
        <v>44610</v>
      </c>
      <c r="C458" s="1" t="n">
        <v>45821</v>
      </c>
      <c r="D458" t="inlineStr">
        <is>
          <t>UPPSALA LÄN</t>
        </is>
      </c>
      <c r="E458" t="inlineStr">
        <is>
          <t>ÖSTHAMMAR</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8592-2022</t>
        </is>
      </c>
      <c r="B459" s="1" t="n">
        <v>44613</v>
      </c>
      <c r="C459" s="1" t="n">
        <v>45821</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8708-2022</t>
        </is>
      </c>
      <c r="B460" s="1" t="n">
        <v>44613</v>
      </c>
      <c r="C460" s="1" t="n">
        <v>45821</v>
      </c>
      <c r="D460" t="inlineStr">
        <is>
          <t>UPPSALA LÄN</t>
        </is>
      </c>
      <c r="E460" t="inlineStr">
        <is>
          <t>ÖSTHAMMAR</t>
        </is>
      </c>
      <c r="G460" t="n">
        <v>4.3</v>
      </c>
      <c r="H460" t="n">
        <v>0</v>
      </c>
      <c r="I460" t="n">
        <v>0</v>
      </c>
      <c r="J460" t="n">
        <v>0</v>
      </c>
      <c r="K460" t="n">
        <v>0</v>
      </c>
      <c r="L460" t="n">
        <v>0</v>
      </c>
      <c r="M460" t="n">
        <v>0</v>
      </c>
      <c r="N460" t="n">
        <v>0</v>
      </c>
      <c r="O460" t="n">
        <v>0</v>
      </c>
      <c r="P460" t="n">
        <v>0</v>
      </c>
      <c r="Q460" t="n">
        <v>0</v>
      </c>
      <c r="R460" s="2" t="inlineStr"/>
    </row>
    <row r="461" ht="15" customHeight="1">
      <c r="A461" t="inlineStr">
        <is>
          <t>A 8710-2022</t>
        </is>
      </c>
      <c r="B461" s="1" t="n">
        <v>44613</v>
      </c>
      <c r="C461" s="1" t="n">
        <v>45821</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8537-2022</t>
        </is>
      </c>
      <c r="B462" s="1" t="n">
        <v>44613</v>
      </c>
      <c r="C462" s="1" t="n">
        <v>45821</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8554-2022</t>
        </is>
      </c>
      <c r="B463" s="1" t="n">
        <v>44613</v>
      </c>
      <c r="C463" s="1" t="n">
        <v>45821</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8556-2022</t>
        </is>
      </c>
      <c r="B464" s="1" t="n">
        <v>44613</v>
      </c>
      <c r="C464" s="1" t="n">
        <v>45821</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8775-2022</t>
        </is>
      </c>
      <c r="B465" s="1" t="n">
        <v>44614</v>
      </c>
      <c r="C465" s="1" t="n">
        <v>45821</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8750-2022</t>
        </is>
      </c>
      <c r="B466" s="1" t="n">
        <v>44614</v>
      </c>
      <c r="C466" s="1" t="n">
        <v>45821</v>
      </c>
      <c r="D466" t="inlineStr">
        <is>
          <t>UPPSALA LÄN</t>
        </is>
      </c>
      <c r="E466" t="inlineStr">
        <is>
          <t>ÖSTHAMMAR</t>
        </is>
      </c>
      <c r="G466" t="n">
        <v>1.6</v>
      </c>
      <c r="H466" t="n">
        <v>0</v>
      </c>
      <c r="I466" t="n">
        <v>0</v>
      </c>
      <c r="J466" t="n">
        <v>0</v>
      </c>
      <c r="K466" t="n">
        <v>0</v>
      </c>
      <c r="L466" t="n">
        <v>0</v>
      </c>
      <c r="M466" t="n">
        <v>0</v>
      </c>
      <c r="N466" t="n">
        <v>0</v>
      </c>
      <c r="O466" t="n">
        <v>0</v>
      </c>
      <c r="P466" t="n">
        <v>0</v>
      </c>
      <c r="Q466" t="n">
        <v>0</v>
      </c>
      <c r="R466" s="2" t="inlineStr"/>
    </row>
    <row r="467" ht="15" customHeight="1">
      <c r="A467" t="inlineStr">
        <is>
          <t>A 9755-2022</t>
        </is>
      </c>
      <c r="B467" s="1" t="n">
        <v>44618</v>
      </c>
      <c r="C467" s="1" t="n">
        <v>45821</v>
      </c>
      <c r="D467" t="inlineStr">
        <is>
          <t>UPPSALA LÄN</t>
        </is>
      </c>
      <c r="E467" t="inlineStr">
        <is>
          <t>ÖSTHAMMAR</t>
        </is>
      </c>
      <c r="F467" t="inlineStr">
        <is>
          <t>Bergvik skog öst AB</t>
        </is>
      </c>
      <c r="G467" t="n">
        <v>13.9</v>
      </c>
      <c r="H467" t="n">
        <v>0</v>
      </c>
      <c r="I467" t="n">
        <v>0</v>
      </c>
      <c r="J467" t="n">
        <v>0</v>
      </c>
      <c r="K467" t="n">
        <v>0</v>
      </c>
      <c r="L467" t="n">
        <v>0</v>
      </c>
      <c r="M467" t="n">
        <v>0</v>
      </c>
      <c r="N467" t="n">
        <v>0</v>
      </c>
      <c r="O467" t="n">
        <v>0</v>
      </c>
      <c r="P467" t="n">
        <v>0</v>
      </c>
      <c r="Q467" t="n">
        <v>0</v>
      </c>
      <c r="R467" s="2" t="inlineStr"/>
    </row>
    <row r="468" ht="15" customHeight="1">
      <c r="A468" t="inlineStr">
        <is>
          <t>A 9789-2022</t>
        </is>
      </c>
      <c r="B468" s="1" t="n">
        <v>44620</v>
      </c>
      <c r="C468" s="1" t="n">
        <v>45821</v>
      </c>
      <c r="D468" t="inlineStr">
        <is>
          <t>UPPSALA LÄN</t>
        </is>
      </c>
      <c r="E468" t="inlineStr">
        <is>
          <t>ÖSTHAMMAR</t>
        </is>
      </c>
      <c r="G468" t="n">
        <v>1.2</v>
      </c>
      <c r="H468" t="n">
        <v>0</v>
      </c>
      <c r="I468" t="n">
        <v>0</v>
      </c>
      <c r="J468" t="n">
        <v>0</v>
      </c>
      <c r="K468" t="n">
        <v>0</v>
      </c>
      <c r="L468" t="n">
        <v>0</v>
      </c>
      <c r="M468" t="n">
        <v>0</v>
      </c>
      <c r="N468" t="n">
        <v>0</v>
      </c>
      <c r="O468" t="n">
        <v>0</v>
      </c>
      <c r="P468" t="n">
        <v>0</v>
      </c>
      <c r="Q468" t="n">
        <v>0</v>
      </c>
      <c r="R468" s="2" t="inlineStr"/>
    </row>
    <row r="469" ht="15" customHeight="1">
      <c r="A469" t="inlineStr">
        <is>
          <t>A 9795-2022</t>
        </is>
      </c>
      <c r="B469" s="1" t="n">
        <v>44620</v>
      </c>
      <c r="C469" s="1" t="n">
        <v>45821</v>
      </c>
      <c r="D469" t="inlineStr">
        <is>
          <t>UPPSALA LÄN</t>
        </is>
      </c>
      <c r="E469" t="inlineStr">
        <is>
          <t>ÖSTHAMMAR</t>
        </is>
      </c>
      <c r="G469" t="n">
        <v>1.3</v>
      </c>
      <c r="H469" t="n">
        <v>0</v>
      </c>
      <c r="I469" t="n">
        <v>0</v>
      </c>
      <c r="J469" t="n">
        <v>0</v>
      </c>
      <c r="K469" t="n">
        <v>0</v>
      </c>
      <c r="L469" t="n">
        <v>0</v>
      </c>
      <c r="M469" t="n">
        <v>0</v>
      </c>
      <c r="N469" t="n">
        <v>0</v>
      </c>
      <c r="O469" t="n">
        <v>0</v>
      </c>
      <c r="P469" t="n">
        <v>0</v>
      </c>
      <c r="Q469" t="n">
        <v>0</v>
      </c>
      <c r="R469" s="2" t="inlineStr"/>
    </row>
    <row r="470" ht="15" customHeight="1">
      <c r="A470" t="inlineStr">
        <is>
          <t>A 10287-2022</t>
        </is>
      </c>
      <c r="B470" s="1" t="n">
        <v>44622</v>
      </c>
      <c r="C470" s="1" t="n">
        <v>45821</v>
      </c>
      <c r="D470" t="inlineStr">
        <is>
          <t>UPPSALA LÄN</t>
        </is>
      </c>
      <c r="E470" t="inlineStr">
        <is>
          <t>ÖSTHAMMAR</t>
        </is>
      </c>
      <c r="F470" t="inlineStr">
        <is>
          <t>Bergvik skog öst AB</t>
        </is>
      </c>
      <c r="G470" t="n">
        <v>0.2</v>
      </c>
      <c r="H470" t="n">
        <v>0</v>
      </c>
      <c r="I470" t="n">
        <v>0</v>
      </c>
      <c r="J470" t="n">
        <v>0</v>
      </c>
      <c r="K470" t="n">
        <v>0</v>
      </c>
      <c r="L470" t="n">
        <v>0</v>
      </c>
      <c r="M470" t="n">
        <v>0</v>
      </c>
      <c r="N470" t="n">
        <v>0</v>
      </c>
      <c r="O470" t="n">
        <v>0</v>
      </c>
      <c r="P470" t="n">
        <v>0</v>
      </c>
      <c r="Q470" t="n">
        <v>0</v>
      </c>
      <c r="R470" s="2" t="inlineStr"/>
    </row>
    <row r="471" ht="15" customHeight="1">
      <c r="A471" t="inlineStr">
        <is>
          <t>A 10294-2022</t>
        </is>
      </c>
      <c r="B471" s="1" t="n">
        <v>44622</v>
      </c>
      <c r="C471" s="1" t="n">
        <v>45821</v>
      </c>
      <c r="D471" t="inlineStr">
        <is>
          <t>UPPSALA LÄN</t>
        </is>
      </c>
      <c r="E471" t="inlineStr">
        <is>
          <t>ÖSTHAMMAR</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45821</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10298-2022</t>
        </is>
      </c>
      <c r="B473" s="1" t="n">
        <v>44622</v>
      </c>
      <c r="C473" s="1" t="n">
        <v>45821</v>
      </c>
      <c r="D473" t="inlineStr">
        <is>
          <t>UPPSALA LÄN</t>
        </is>
      </c>
      <c r="E473" t="inlineStr">
        <is>
          <t>ÖSTHAMMAR</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10980-2022</t>
        </is>
      </c>
      <c r="B474" s="1" t="n">
        <v>44628</v>
      </c>
      <c r="C474" s="1" t="n">
        <v>45821</v>
      </c>
      <c r="D474" t="inlineStr">
        <is>
          <t>UPPSALA LÄN</t>
        </is>
      </c>
      <c r="E474" t="inlineStr">
        <is>
          <t>ÖSTHAMMAR</t>
        </is>
      </c>
      <c r="G474" t="n">
        <v>7.4</v>
      </c>
      <c r="H474" t="n">
        <v>0</v>
      </c>
      <c r="I474" t="n">
        <v>0</v>
      </c>
      <c r="J474" t="n">
        <v>0</v>
      </c>
      <c r="K474" t="n">
        <v>0</v>
      </c>
      <c r="L474" t="n">
        <v>0</v>
      </c>
      <c r="M474" t="n">
        <v>0</v>
      </c>
      <c r="N474" t="n">
        <v>0</v>
      </c>
      <c r="O474" t="n">
        <v>0</v>
      </c>
      <c r="P474" t="n">
        <v>0</v>
      </c>
      <c r="Q474" t="n">
        <v>0</v>
      </c>
      <c r="R474" s="2" t="inlineStr"/>
    </row>
    <row r="475" ht="15" customHeight="1">
      <c r="A475" t="inlineStr">
        <is>
          <t>A 11547-2022</t>
        </is>
      </c>
      <c r="B475" s="1" t="n">
        <v>44631</v>
      </c>
      <c r="C475" s="1" t="n">
        <v>45821</v>
      </c>
      <c r="D475" t="inlineStr">
        <is>
          <t>UPPSALA LÄN</t>
        </is>
      </c>
      <c r="E475" t="inlineStr">
        <is>
          <t>ÖSTHAMMAR</t>
        </is>
      </c>
      <c r="G475" t="n">
        <v>4.4</v>
      </c>
      <c r="H475" t="n">
        <v>0</v>
      </c>
      <c r="I475" t="n">
        <v>0</v>
      </c>
      <c r="J475" t="n">
        <v>0</v>
      </c>
      <c r="K475" t="n">
        <v>0</v>
      </c>
      <c r="L475" t="n">
        <v>0</v>
      </c>
      <c r="M475" t="n">
        <v>0</v>
      </c>
      <c r="N475" t="n">
        <v>0</v>
      </c>
      <c r="O475" t="n">
        <v>0</v>
      </c>
      <c r="P475" t="n">
        <v>0</v>
      </c>
      <c r="Q475" t="n">
        <v>0</v>
      </c>
      <c r="R475" s="2" t="inlineStr"/>
    </row>
    <row r="476" ht="15" customHeight="1">
      <c r="A476" t="inlineStr">
        <is>
          <t>A 11643-2022</t>
        </is>
      </c>
      <c r="B476" s="1" t="n">
        <v>44631</v>
      </c>
      <c r="C476" s="1" t="n">
        <v>45821</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11884-2022</t>
        </is>
      </c>
      <c r="B477" s="1" t="n">
        <v>44635</v>
      </c>
      <c r="C477" s="1" t="n">
        <v>45821</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11987-2022</t>
        </is>
      </c>
      <c r="B478" s="1" t="n">
        <v>44635</v>
      </c>
      <c r="C478" s="1" t="n">
        <v>45821</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11986-2022</t>
        </is>
      </c>
      <c r="B479" s="1" t="n">
        <v>44635</v>
      </c>
      <c r="C479" s="1" t="n">
        <v>45821</v>
      </c>
      <c r="D479" t="inlineStr">
        <is>
          <t>UPPSALA LÄN</t>
        </is>
      </c>
      <c r="E479" t="inlineStr">
        <is>
          <t>ÖSTHAMMAR</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12176-2022</t>
        </is>
      </c>
      <c r="B480" s="1" t="n">
        <v>44636</v>
      </c>
      <c r="C480" s="1" t="n">
        <v>45821</v>
      </c>
      <c r="D480" t="inlineStr">
        <is>
          <t>UPPSALA LÄN</t>
        </is>
      </c>
      <c r="E480" t="inlineStr">
        <is>
          <t>ÖSTHAMMAR</t>
        </is>
      </c>
      <c r="G480" t="n">
        <v>3.5</v>
      </c>
      <c r="H480" t="n">
        <v>0</v>
      </c>
      <c r="I480" t="n">
        <v>0</v>
      </c>
      <c r="J480" t="n">
        <v>0</v>
      </c>
      <c r="K480" t="n">
        <v>0</v>
      </c>
      <c r="L480" t="n">
        <v>0</v>
      </c>
      <c r="M480" t="n">
        <v>0</v>
      </c>
      <c r="N480" t="n">
        <v>0</v>
      </c>
      <c r="O480" t="n">
        <v>0</v>
      </c>
      <c r="P480" t="n">
        <v>0</v>
      </c>
      <c r="Q480" t="n">
        <v>0</v>
      </c>
      <c r="R480" s="2" t="inlineStr"/>
    </row>
    <row r="481" ht="15" customHeight="1">
      <c r="A481" t="inlineStr">
        <is>
          <t>A 12999-2022</t>
        </is>
      </c>
      <c r="B481" s="1" t="n">
        <v>44643</v>
      </c>
      <c r="C481" s="1" t="n">
        <v>45821</v>
      </c>
      <c r="D481" t="inlineStr">
        <is>
          <t>UPPSALA LÄN</t>
        </is>
      </c>
      <c r="E481" t="inlineStr">
        <is>
          <t>ÖSTHAMMAR</t>
        </is>
      </c>
      <c r="G481" t="n">
        <v>0.5</v>
      </c>
      <c r="H481" t="n">
        <v>0</v>
      </c>
      <c r="I481" t="n">
        <v>0</v>
      </c>
      <c r="J481" t="n">
        <v>0</v>
      </c>
      <c r="K481" t="n">
        <v>0</v>
      </c>
      <c r="L481" t="n">
        <v>0</v>
      </c>
      <c r="M481" t="n">
        <v>0</v>
      </c>
      <c r="N481" t="n">
        <v>0</v>
      </c>
      <c r="O481" t="n">
        <v>0</v>
      </c>
      <c r="P481" t="n">
        <v>0</v>
      </c>
      <c r="Q481" t="n">
        <v>0</v>
      </c>
      <c r="R481" s="2" t="inlineStr"/>
    </row>
    <row r="482" ht="15" customHeight="1">
      <c r="A482" t="inlineStr">
        <is>
          <t>A 13044-2022</t>
        </is>
      </c>
      <c r="B482" s="1" t="n">
        <v>44643</v>
      </c>
      <c r="C482" s="1" t="n">
        <v>45821</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13093-2022</t>
        </is>
      </c>
      <c r="B483" s="1" t="n">
        <v>44643</v>
      </c>
      <c r="C483" s="1" t="n">
        <v>45821</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13238-2022</t>
        </is>
      </c>
      <c r="B484" s="1" t="n">
        <v>44644</v>
      </c>
      <c r="C484" s="1" t="n">
        <v>45821</v>
      </c>
      <c r="D484" t="inlineStr">
        <is>
          <t>UPPSALA LÄN</t>
        </is>
      </c>
      <c r="E484" t="inlineStr">
        <is>
          <t>ÖSTHAMMAR</t>
        </is>
      </c>
      <c r="G484" t="n">
        <v>6.5</v>
      </c>
      <c r="H484" t="n">
        <v>0</v>
      </c>
      <c r="I484" t="n">
        <v>0</v>
      </c>
      <c r="J484" t="n">
        <v>0</v>
      </c>
      <c r="K484" t="n">
        <v>0</v>
      </c>
      <c r="L484" t="n">
        <v>0</v>
      </c>
      <c r="M484" t="n">
        <v>0</v>
      </c>
      <c r="N484" t="n">
        <v>0</v>
      </c>
      <c r="O484" t="n">
        <v>0</v>
      </c>
      <c r="P484" t="n">
        <v>0</v>
      </c>
      <c r="Q484" t="n">
        <v>0</v>
      </c>
      <c r="R484" s="2" t="inlineStr"/>
    </row>
    <row r="485" ht="15" customHeight="1">
      <c r="A485" t="inlineStr">
        <is>
          <t>A 13279-2022</t>
        </is>
      </c>
      <c r="B485" s="1" t="n">
        <v>44644</v>
      </c>
      <c r="C485" s="1" t="n">
        <v>45821</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13867-2022</t>
        </is>
      </c>
      <c r="B486" s="1" t="n">
        <v>44649</v>
      </c>
      <c r="C486" s="1" t="n">
        <v>45821</v>
      </c>
      <c r="D486" t="inlineStr">
        <is>
          <t>UPPSALA LÄN</t>
        </is>
      </c>
      <c r="E486" t="inlineStr">
        <is>
          <t>ÖSTHAMMAR</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14272-2022</t>
        </is>
      </c>
      <c r="B487" s="1" t="n">
        <v>44651</v>
      </c>
      <c r="C487" s="1" t="n">
        <v>45821</v>
      </c>
      <c r="D487" t="inlineStr">
        <is>
          <t>UPPSALA LÄN</t>
        </is>
      </c>
      <c r="E487" t="inlineStr">
        <is>
          <t>ÖSTHAMMAR</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14124-2022</t>
        </is>
      </c>
      <c r="B488" s="1" t="n">
        <v>44651</v>
      </c>
      <c r="C488" s="1" t="n">
        <v>45821</v>
      </c>
      <c r="D488" t="inlineStr">
        <is>
          <t>UPPSALA LÄN</t>
        </is>
      </c>
      <c r="E488" t="inlineStr">
        <is>
          <t>ÖSTHAMMAR</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14187-2022</t>
        </is>
      </c>
      <c r="B489" s="1" t="n">
        <v>44651</v>
      </c>
      <c r="C489" s="1" t="n">
        <v>45821</v>
      </c>
      <c r="D489" t="inlineStr">
        <is>
          <t>UPPSALA LÄN</t>
        </is>
      </c>
      <c r="E489" t="inlineStr">
        <is>
          <t>ÖSTHAMMAR</t>
        </is>
      </c>
      <c r="F489" t="inlineStr">
        <is>
          <t>Övriga Aktiebolag</t>
        </is>
      </c>
      <c r="G489" t="n">
        <v>14.1</v>
      </c>
      <c r="H489" t="n">
        <v>0</v>
      </c>
      <c r="I489" t="n">
        <v>0</v>
      </c>
      <c r="J489" t="n">
        <v>0</v>
      </c>
      <c r="K489" t="n">
        <v>0</v>
      </c>
      <c r="L489" t="n">
        <v>0</v>
      </c>
      <c r="M489" t="n">
        <v>0</v>
      </c>
      <c r="N489" t="n">
        <v>0</v>
      </c>
      <c r="O489" t="n">
        <v>0</v>
      </c>
      <c r="P489" t="n">
        <v>0</v>
      </c>
      <c r="Q489" t="n">
        <v>0</v>
      </c>
      <c r="R489" s="2" t="inlineStr"/>
    </row>
    <row r="490" ht="15" customHeight="1">
      <c r="A490" t="inlineStr">
        <is>
          <t>A 14271-2022</t>
        </is>
      </c>
      <c r="B490" s="1" t="n">
        <v>44651</v>
      </c>
      <c r="C490" s="1" t="n">
        <v>45821</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14671-2022</t>
        </is>
      </c>
      <c r="B491" s="1" t="n">
        <v>44655</v>
      </c>
      <c r="C491" s="1" t="n">
        <v>45821</v>
      </c>
      <c r="D491" t="inlineStr">
        <is>
          <t>UPPSALA LÄN</t>
        </is>
      </c>
      <c r="E491" t="inlineStr">
        <is>
          <t>ÖSTHAMMAR</t>
        </is>
      </c>
      <c r="G491" t="n">
        <v>1.9</v>
      </c>
      <c r="H491" t="n">
        <v>0</v>
      </c>
      <c r="I491" t="n">
        <v>0</v>
      </c>
      <c r="J491" t="n">
        <v>0</v>
      </c>
      <c r="K491" t="n">
        <v>0</v>
      </c>
      <c r="L491" t="n">
        <v>0</v>
      </c>
      <c r="M491" t="n">
        <v>0</v>
      </c>
      <c r="N491" t="n">
        <v>0</v>
      </c>
      <c r="O491" t="n">
        <v>0</v>
      </c>
      <c r="P491" t="n">
        <v>0</v>
      </c>
      <c r="Q491" t="n">
        <v>0</v>
      </c>
      <c r="R491" s="2" t="inlineStr"/>
    </row>
    <row r="492" ht="15" customHeight="1">
      <c r="A492" t="inlineStr">
        <is>
          <t>A 15064-2022</t>
        </is>
      </c>
      <c r="B492" s="1" t="n">
        <v>44657</v>
      </c>
      <c r="C492" s="1" t="n">
        <v>45821</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15311-2022</t>
        </is>
      </c>
      <c r="B493" s="1" t="n">
        <v>44659</v>
      </c>
      <c r="C493" s="1" t="n">
        <v>45821</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15334-2022</t>
        </is>
      </c>
      <c r="B494" s="1" t="n">
        <v>44659</v>
      </c>
      <c r="C494" s="1" t="n">
        <v>45821</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15447-2022</t>
        </is>
      </c>
      <c r="B495" s="1" t="n">
        <v>44660</v>
      </c>
      <c r="C495" s="1" t="n">
        <v>45821</v>
      </c>
      <c r="D495" t="inlineStr">
        <is>
          <t>UPPSALA LÄN</t>
        </is>
      </c>
      <c r="E495" t="inlineStr">
        <is>
          <t>ÖSTHAMMAR</t>
        </is>
      </c>
      <c r="F495" t="inlineStr">
        <is>
          <t>Bergvik skog öst AB</t>
        </is>
      </c>
      <c r="G495" t="n">
        <v>2.2</v>
      </c>
      <c r="H495" t="n">
        <v>0</v>
      </c>
      <c r="I495" t="n">
        <v>0</v>
      </c>
      <c r="J495" t="n">
        <v>0</v>
      </c>
      <c r="K495" t="n">
        <v>0</v>
      </c>
      <c r="L495" t="n">
        <v>0</v>
      </c>
      <c r="M495" t="n">
        <v>0</v>
      </c>
      <c r="N495" t="n">
        <v>0</v>
      </c>
      <c r="O495" t="n">
        <v>0</v>
      </c>
      <c r="P495" t="n">
        <v>0</v>
      </c>
      <c r="Q495" t="n">
        <v>0</v>
      </c>
      <c r="R495" s="2" t="inlineStr"/>
    </row>
    <row r="496" ht="15" customHeight="1">
      <c r="A496" t="inlineStr">
        <is>
          <t>A 15445-2022</t>
        </is>
      </c>
      <c r="B496" s="1" t="n">
        <v>44660</v>
      </c>
      <c r="C496" s="1" t="n">
        <v>45821</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15449-2022</t>
        </is>
      </c>
      <c r="B497" s="1" t="n">
        <v>44660</v>
      </c>
      <c r="C497" s="1" t="n">
        <v>45821</v>
      </c>
      <c r="D497" t="inlineStr">
        <is>
          <t>UPPSALA LÄN</t>
        </is>
      </c>
      <c r="E497" t="inlineStr">
        <is>
          <t>ÖSTHAMMAR</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15456-2022</t>
        </is>
      </c>
      <c r="B498" s="1" t="n">
        <v>44661</v>
      </c>
      <c r="C498" s="1" t="n">
        <v>45821</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15457-2022</t>
        </is>
      </c>
      <c r="B499" s="1" t="n">
        <v>44661</v>
      </c>
      <c r="C499" s="1" t="n">
        <v>45821</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15847-2022</t>
        </is>
      </c>
      <c r="B500" s="1" t="n">
        <v>44664</v>
      </c>
      <c r="C500" s="1" t="n">
        <v>45821</v>
      </c>
      <c r="D500" t="inlineStr">
        <is>
          <t>UPPSALA LÄN</t>
        </is>
      </c>
      <c r="E500" t="inlineStr">
        <is>
          <t>ÖSTHAMMAR</t>
        </is>
      </c>
      <c r="G500" t="n">
        <v>0.3</v>
      </c>
      <c r="H500" t="n">
        <v>0</v>
      </c>
      <c r="I500" t="n">
        <v>0</v>
      </c>
      <c r="J500" t="n">
        <v>0</v>
      </c>
      <c r="K500" t="n">
        <v>0</v>
      </c>
      <c r="L500" t="n">
        <v>0</v>
      </c>
      <c r="M500" t="n">
        <v>0</v>
      </c>
      <c r="N500" t="n">
        <v>0</v>
      </c>
      <c r="O500" t="n">
        <v>0</v>
      </c>
      <c r="P500" t="n">
        <v>0</v>
      </c>
      <c r="Q500" t="n">
        <v>0</v>
      </c>
      <c r="R500" s="2" t="inlineStr"/>
    </row>
    <row r="501" ht="15" customHeight="1">
      <c r="A501" t="inlineStr">
        <is>
          <t>A 15845-2022</t>
        </is>
      </c>
      <c r="B501" s="1" t="n">
        <v>44664</v>
      </c>
      <c r="C501" s="1" t="n">
        <v>45821</v>
      </c>
      <c r="D501" t="inlineStr">
        <is>
          <t>UPPSALA LÄN</t>
        </is>
      </c>
      <c r="E501" t="inlineStr">
        <is>
          <t>ÖSTHAMMAR</t>
        </is>
      </c>
      <c r="G501" t="n">
        <v>4.5</v>
      </c>
      <c r="H501" t="n">
        <v>0</v>
      </c>
      <c r="I501" t="n">
        <v>0</v>
      </c>
      <c r="J501" t="n">
        <v>0</v>
      </c>
      <c r="K501" t="n">
        <v>0</v>
      </c>
      <c r="L501" t="n">
        <v>0</v>
      </c>
      <c r="M501" t="n">
        <v>0</v>
      </c>
      <c r="N501" t="n">
        <v>0</v>
      </c>
      <c r="O501" t="n">
        <v>0</v>
      </c>
      <c r="P501" t="n">
        <v>0</v>
      </c>
      <c r="Q501" t="n">
        <v>0</v>
      </c>
      <c r="R501" s="2" t="inlineStr"/>
    </row>
    <row r="502" ht="15" customHeight="1">
      <c r="A502" t="inlineStr">
        <is>
          <t>A 15928-2022</t>
        </is>
      </c>
      <c r="B502" s="1" t="n">
        <v>44664</v>
      </c>
      <c r="C502" s="1" t="n">
        <v>45821</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16141-2022</t>
        </is>
      </c>
      <c r="B503" s="1" t="n">
        <v>44665</v>
      </c>
      <c r="C503" s="1" t="n">
        <v>45821</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16142-2022</t>
        </is>
      </c>
      <c r="B504" s="1" t="n">
        <v>44665</v>
      </c>
      <c r="C504" s="1" t="n">
        <v>45821</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16167-2022</t>
        </is>
      </c>
      <c r="B505" s="1" t="n">
        <v>44667</v>
      </c>
      <c r="C505" s="1" t="n">
        <v>45821</v>
      </c>
      <c r="D505" t="inlineStr">
        <is>
          <t>UPPSALA LÄN</t>
        </is>
      </c>
      <c r="E505" t="inlineStr">
        <is>
          <t>ÖSTHAMMAR</t>
        </is>
      </c>
      <c r="F505" t="inlineStr">
        <is>
          <t>Bergvik skog öst AB</t>
        </is>
      </c>
      <c r="G505" t="n">
        <v>18.7</v>
      </c>
      <c r="H505" t="n">
        <v>0</v>
      </c>
      <c r="I505" t="n">
        <v>0</v>
      </c>
      <c r="J505" t="n">
        <v>0</v>
      </c>
      <c r="K505" t="n">
        <v>0</v>
      </c>
      <c r="L505" t="n">
        <v>0</v>
      </c>
      <c r="M505" t="n">
        <v>0</v>
      </c>
      <c r="N505" t="n">
        <v>0</v>
      </c>
      <c r="O505" t="n">
        <v>0</v>
      </c>
      <c r="P505" t="n">
        <v>0</v>
      </c>
      <c r="Q505" t="n">
        <v>0</v>
      </c>
      <c r="R505" s="2" t="inlineStr"/>
    </row>
    <row r="506" ht="15" customHeight="1">
      <c r="A506" t="inlineStr">
        <is>
          <t>A 16185-2022</t>
        </is>
      </c>
      <c r="B506" s="1" t="n">
        <v>44669</v>
      </c>
      <c r="C506" s="1" t="n">
        <v>45821</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16184-2022</t>
        </is>
      </c>
      <c r="B507" s="1" t="n">
        <v>44669</v>
      </c>
      <c r="C507" s="1" t="n">
        <v>45821</v>
      </c>
      <c r="D507" t="inlineStr">
        <is>
          <t>UPPSALA LÄN</t>
        </is>
      </c>
      <c r="E507" t="inlineStr">
        <is>
          <t>ÖSTHAMMAR</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16254-2022</t>
        </is>
      </c>
      <c r="B508" s="1" t="n">
        <v>44670</v>
      </c>
      <c r="C508" s="1" t="n">
        <v>45821</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16933-2022</t>
        </is>
      </c>
      <c r="B509" s="1" t="n">
        <v>44676</v>
      </c>
      <c r="C509" s="1" t="n">
        <v>45821</v>
      </c>
      <c r="D509" t="inlineStr">
        <is>
          <t>UPPSALA LÄN</t>
        </is>
      </c>
      <c r="E509" t="inlineStr">
        <is>
          <t>ÖSTHAMMAR</t>
        </is>
      </c>
      <c r="G509" t="n">
        <v>1.3</v>
      </c>
      <c r="H509" t="n">
        <v>0</v>
      </c>
      <c r="I509" t="n">
        <v>0</v>
      </c>
      <c r="J509" t="n">
        <v>0</v>
      </c>
      <c r="K509" t="n">
        <v>0</v>
      </c>
      <c r="L509" t="n">
        <v>0</v>
      </c>
      <c r="M509" t="n">
        <v>0</v>
      </c>
      <c r="N509" t="n">
        <v>0</v>
      </c>
      <c r="O509" t="n">
        <v>0</v>
      </c>
      <c r="P509" t="n">
        <v>0</v>
      </c>
      <c r="Q509" t="n">
        <v>0</v>
      </c>
      <c r="R509" s="2" t="inlineStr"/>
    </row>
    <row r="510" ht="15" customHeight="1">
      <c r="A510" t="inlineStr">
        <is>
          <t>A 17013-2022</t>
        </is>
      </c>
      <c r="B510" s="1" t="n">
        <v>44676</v>
      </c>
      <c r="C510" s="1" t="n">
        <v>45821</v>
      </c>
      <c r="D510" t="inlineStr">
        <is>
          <t>UPPSALA LÄN</t>
        </is>
      </c>
      <c r="E510" t="inlineStr">
        <is>
          <t>ÖSTHAMMAR</t>
        </is>
      </c>
      <c r="F510" t="inlineStr">
        <is>
          <t>Bergvik skog öst AB</t>
        </is>
      </c>
      <c r="G510" t="n">
        <v>0.2</v>
      </c>
      <c r="H510" t="n">
        <v>0</v>
      </c>
      <c r="I510" t="n">
        <v>0</v>
      </c>
      <c r="J510" t="n">
        <v>0</v>
      </c>
      <c r="K510" t="n">
        <v>0</v>
      </c>
      <c r="L510" t="n">
        <v>0</v>
      </c>
      <c r="M510" t="n">
        <v>0</v>
      </c>
      <c r="N510" t="n">
        <v>0</v>
      </c>
      <c r="O510" t="n">
        <v>0</v>
      </c>
      <c r="P510" t="n">
        <v>0</v>
      </c>
      <c r="Q510" t="n">
        <v>0</v>
      </c>
      <c r="R510" s="2" t="inlineStr"/>
    </row>
    <row r="511" ht="15" customHeight="1">
      <c r="A511" t="inlineStr">
        <is>
          <t>A 17947-2022</t>
        </is>
      </c>
      <c r="B511" s="1" t="n">
        <v>44683</v>
      </c>
      <c r="C511" s="1" t="n">
        <v>45821</v>
      </c>
      <c r="D511" t="inlineStr">
        <is>
          <t>UPPSALA LÄN</t>
        </is>
      </c>
      <c r="E511" t="inlineStr">
        <is>
          <t>ÖSTHAMMAR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18183-2022</t>
        </is>
      </c>
      <c r="B512" s="1" t="n">
        <v>44684</v>
      </c>
      <c r="C512" s="1" t="n">
        <v>45821</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18732-2022</t>
        </is>
      </c>
      <c r="B513" s="1" t="n">
        <v>44687</v>
      </c>
      <c r="C513" s="1" t="n">
        <v>45821</v>
      </c>
      <c r="D513" t="inlineStr">
        <is>
          <t>UPPSALA LÄN</t>
        </is>
      </c>
      <c r="E513" t="inlineStr">
        <is>
          <t>ÖSTHAMMAR</t>
        </is>
      </c>
      <c r="G513" t="n">
        <v>10.5</v>
      </c>
      <c r="H513" t="n">
        <v>0</v>
      </c>
      <c r="I513" t="n">
        <v>0</v>
      </c>
      <c r="J513" t="n">
        <v>0</v>
      </c>
      <c r="K513" t="n">
        <v>0</v>
      </c>
      <c r="L513" t="n">
        <v>0</v>
      </c>
      <c r="M513" t="n">
        <v>0</v>
      </c>
      <c r="N513" t="n">
        <v>0</v>
      </c>
      <c r="O513" t="n">
        <v>0</v>
      </c>
      <c r="P513" t="n">
        <v>0</v>
      </c>
      <c r="Q513" t="n">
        <v>0</v>
      </c>
      <c r="R513" s="2" t="inlineStr"/>
    </row>
    <row r="514" ht="15" customHeight="1">
      <c r="A514" t="inlineStr">
        <is>
          <t>A 18727-2022</t>
        </is>
      </c>
      <c r="B514" s="1" t="n">
        <v>44687</v>
      </c>
      <c r="C514" s="1" t="n">
        <v>45821</v>
      </c>
      <c r="D514" t="inlineStr">
        <is>
          <t>UPPSALA LÄN</t>
        </is>
      </c>
      <c r="E514" t="inlineStr">
        <is>
          <t>ÖSTHAMMAR</t>
        </is>
      </c>
      <c r="G514" t="n">
        <v>0.4</v>
      </c>
      <c r="H514" t="n">
        <v>0</v>
      </c>
      <c r="I514" t="n">
        <v>0</v>
      </c>
      <c r="J514" t="n">
        <v>0</v>
      </c>
      <c r="K514" t="n">
        <v>0</v>
      </c>
      <c r="L514" t="n">
        <v>0</v>
      </c>
      <c r="M514" t="n">
        <v>0</v>
      </c>
      <c r="N514" t="n">
        <v>0</v>
      </c>
      <c r="O514" t="n">
        <v>0</v>
      </c>
      <c r="P514" t="n">
        <v>0</v>
      </c>
      <c r="Q514" t="n">
        <v>0</v>
      </c>
      <c r="R514" s="2" t="inlineStr"/>
    </row>
    <row r="515" ht="15" customHeight="1">
      <c r="A515" t="inlineStr">
        <is>
          <t>A 18728-2022</t>
        </is>
      </c>
      <c r="B515" s="1" t="n">
        <v>44687</v>
      </c>
      <c r="C515" s="1" t="n">
        <v>45821</v>
      </c>
      <c r="D515" t="inlineStr">
        <is>
          <t>UPPSALA LÄN</t>
        </is>
      </c>
      <c r="E515" t="inlineStr">
        <is>
          <t>ÖSTHAMMAR</t>
        </is>
      </c>
      <c r="G515" t="n">
        <v>8.1</v>
      </c>
      <c r="H515" t="n">
        <v>0</v>
      </c>
      <c r="I515" t="n">
        <v>0</v>
      </c>
      <c r="J515" t="n">
        <v>0</v>
      </c>
      <c r="K515" t="n">
        <v>0</v>
      </c>
      <c r="L515" t="n">
        <v>0</v>
      </c>
      <c r="M515" t="n">
        <v>0</v>
      </c>
      <c r="N515" t="n">
        <v>0</v>
      </c>
      <c r="O515" t="n">
        <v>0</v>
      </c>
      <c r="P515" t="n">
        <v>0</v>
      </c>
      <c r="Q515" t="n">
        <v>0</v>
      </c>
      <c r="R515" s="2" t="inlineStr"/>
    </row>
    <row r="516" ht="15" customHeight="1">
      <c r="A516" t="inlineStr">
        <is>
          <t>A 18734-2022</t>
        </is>
      </c>
      <c r="B516" s="1" t="n">
        <v>44687</v>
      </c>
      <c r="C516" s="1" t="n">
        <v>45821</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18731-2022</t>
        </is>
      </c>
      <c r="B517" s="1" t="n">
        <v>44687</v>
      </c>
      <c r="C517" s="1" t="n">
        <v>45821</v>
      </c>
      <c r="D517" t="inlineStr">
        <is>
          <t>UPPSALA LÄN</t>
        </is>
      </c>
      <c r="E517" t="inlineStr">
        <is>
          <t>ÖSTHAMMAR</t>
        </is>
      </c>
      <c r="G517" t="n">
        <v>4.9</v>
      </c>
      <c r="H517" t="n">
        <v>0</v>
      </c>
      <c r="I517" t="n">
        <v>0</v>
      </c>
      <c r="J517" t="n">
        <v>0</v>
      </c>
      <c r="K517" t="n">
        <v>0</v>
      </c>
      <c r="L517" t="n">
        <v>0</v>
      </c>
      <c r="M517" t="n">
        <v>0</v>
      </c>
      <c r="N517" t="n">
        <v>0</v>
      </c>
      <c r="O517" t="n">
        <v>0</v>
      </c>
      <c r="P517" t="n">
        <v>0</v>
      </c>
      <c r="Q517" t="n">
        <v>0</v>
      </c>
      <c r="R517" s="2" t="inlineStr"/>
    </row>
    <row r="518" ht="15" customHeight="1">
      <c r="A518" t="inlineStr">
        <is>
          <t>A 18736-2022</t>
        </is>
      </c>
      <c r="B518" s="1" t="n">
        <v>44687</v>
      </c>
      <c r="C518" s="1" t="n">
        <v>45821</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19174-2022</t>
        </is>
      </c>
      <c r="B519" s="1" t="n">
        <v>44691</v>
      </c>
      <c r="C519" s="1" t="n">
        <v>45821</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19181-2022</t>
        </is>
      </c>
      <c r="B520" s="1" t="n">
        <v>44691</v>
      </c>
      <c r="C520" s="1" t="n">
        <v>45821</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19287-2022</t>
        </is>
      </c>
      <c r="B521" s="1" t="n">
        <v>44692</v>
      </c>
      <c r="C521" s="1" t="n">
        <v>45821</v>
      </c>
      <c r="D521" t="inlineStr">
        <is>
          <t>UPPSALA LÄN</t>
        </is>
      </c>
      <c r="E521" t="inlineStr">
        <is>
          <t>ÖSTHAMMAR</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19707-2022</t>
        </is>
      </c>
      <c r="B522" s="1" t="n">
        <v>44694</v>
      </c>
      <c r="C522" s="1" t="n">
        <v>45821</v>
      </c>
      <c r="D522" t="inlineStr">
        <is>
          <t>UPPSALA LÄN</t>
        </is>
      </c>
      <c r="E522" t="inlineStr">
        <is>
          <t>ÖSTHAMMAR</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20468-2022</t>
        </is>
      </c>
      <c r="B523" s="1" t="n">
        <v>44699</v>
      </c>
      <c r="C523" s="1" t="n">
        <v>45821</v>
      </c>
      <c r="D523" t="inlineStr">
        <is>
          <t>UPPSALA LÄN</t>
        </is>
      </c>
      <c r="E523" t="inlineStr">
        <is>
          <t>ÖSTHAMMAR</t>
        </is>
      </c>
      <c r="G523" t="n">
        <v>3.7</v>
      </c>
      <c r="H523" t="n">
        <v>0</v>
      </c>
      <c r="I523" t="n">
        <v>0</v>
      </c>
      <c r="J523" t="n">
        <v>0</v>
      </c>
      <c r="K523" t="n">
        <v>0</v>
      </c>
      <c r="L523" t="n">
        <v>0</v>
      </c>
      <c r="M523" t="n">
        <v>0</v>
      </c>
      <c r="N523" t="n">
        <v>0</v>
      </c>
      <c r="O523" t="n">
        <v>0</v>
      </c>
      <c r="P523" t="n">
        <v>0</v>
      </c>
      <c r="Q523" t="n">
        <v>0</v>
      </c>
      <c r="R523" s="2" t="inlineStr"/>
    </row>
    <row r="524" ht="15" customHeight="1">
      <c r="A524" t="inlineStr">
        <is>
          <t>A 21522-2022</t>
        </is>
      </c>
      <c r="B524" s="1" t="n">
        <v>44706</v>
      </c>
      <c r="C524" s="1" t="n">
        <v>45821</v>
      </c>
      <c r="D524" t="inlineStr">
        <is>
          <t>UPPSALA LÄN</t>
        </is>
      </c>
      <c r="E524" t="inlineStr">
        <is>
          <t>ÖSTHAMMAR</t>
        </is>
      </c>
      <c r="G524" t="n">
        <v>1.8</v>
      </c>
      <c r="H524" t="n">
        <v>0</v>
      </c>
      <c r="I524" t="n">
        <v>0</v>
      </c>
      <c r="J524" t="n">
        <v>0</v>
      </c>
      <c r="K524" t="n">
        <v>0</v>
      </c>
      <c r="L524" t="n">
        <v>0</v>
      </c>
      <c r="M524" t="n">
        <v>0</v>
      </c>
      <c r="N524" t="n">
        <v>0</v>
      </c>
      <c r="O524" t="n">
        <v>0</v>
      </c>
      <c r="P524" t="n">
        <v>0</v>
      </c>
      <c r="Q524" t="n">
        <v>0</v>
      </c>
      <c r="R524" s="2" t="inlineStr"/>
    </row>
    <row r="525" ht="15" customHeight="1">
      <c r="A525" t="inlineStr">
        <is>
          <t>A 21830-2022</t>
        </is>
      </c>
      <c r="B525" s="1" t="n">
        <v>44710</v>
      </c>
      <c r="C525" s="1" t="n">
        <v>45821</v>
      </c>
      <c r="D525" t="inlineStr">
        <is>
          <t>UPPSALA LÄN</t>
        </is>
      </c>
      <c r="E525" t="inlineStr">
        <is>
          <t>ÖSTHAMMAR</t>
        </is>
      </c>
      <c r="F525" t="inlineStr">
        <is>
          <t>Bergvik skog öst AB</t>
        </is>
      </c>
      <c r="G525" t="n">
        <v>3.6</v>
      </c>
      <c r="H525" t="n">
        <v>0</v>
      </c>
      <c r="I525" t="n">
        <v>0</v>
      </c>
      <c r="J525" t="n">
        <v>0</v>
      </c>
      <c r="K525" t="n">
        <v>0</v>
      </c>
      <c r="L525" t="n">
        <v>0</v>
      </c>
      <c r="M525" t="n">
        <v>0</v>
      </c>
      <c r="N525" t="n">
        <v>0</v>
      </c>
      <c r="O525" t="n">
        <v>0</v>
      </c>
      <c r="P525" t="n">
        <v>0</v>
      </c>
      <c r="Q525" t="n">
        <v>0</v>
      </c>
      <c r="R525" s="2" t="inlineStr"/>
    </row>
    <row r="526" ht="15" customHeight="1">
      <c r="A526" t="inlineStr">
        <is>
          <t>A 21829-2022</t>
        </is>
      </c>
      <c r="B526" s="1" t="n">
        <v>44710</v>
      </c>
      <c r="C526" s="1" t="n">
        <v>45821</v>
      </c>
      <c r="D526" t="inlineStr">
        <is>
          <t>UPPSALA LÄN</t>
        </is>
      </c>
      <c r="E526" t="inlineStr">
        <is>
          <t>ÖSTHAMMAR</t>
        </is>
      </c>
      <c r="F526" t="inlineStr">
        <is>
          <t>Bergvik skog öst AB</t>
        </is>
      </c>
      <c r="G526" t="n">
        <v>0.7</v>
      </c>
      <c r="H526" t="n">
        <v>0</v>
      </c>
      <c r="I526" t="n">
        <v>0</v>
      </c>
      <c r="J526" t="n">
        <v>0</v>
      </c>
      <c r="K526" t="n">
        <v>0</v>
      </c>
      <c r="L526" t="n">
        <v>0</v>
      </c>
      <c r="M526" t="n">
        <v>0</v>
      </c>
      <c r="N526" t="n">
        <v>0</v>
      </c>
      <c r="O526" t="n">
        <v>0</v>
      </c>
      <c r="P526" t="n">
        <v>0</v>
      </c>
      <c r="Q526" t="n">
        <v>0</v>
      </c>
      <c r="R526" s="2" t="inlineStr"/>
    </row>
    <row r="527" ht="15" customHeight="1">
      <c r="A527" t="inlineStr">
        <is>
          <t>A 22207-2022</t>
        </is>
      </c>
      <c r="B527" s="1" t="n">
        <v>44712</v>
      </c>
      <c r="C527" s="1" t="n">
        <v>45821</v>
      </c>
      <c r="D527" t="inlineStr">
        <is>
          <t>UPPSALA LÄN</t>
        </is>
      </c>
      <c r="E527" t="inlineStr">
        <is>
          <t>ÖSTHAMMAR</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22619-2022</t>
        </is>
      </c>
      <c r="B528" s="1" t="n">
        <v>44714</v>
      </c>
      <c r="C528" s="1" t="n">
        <v>45821</v>
      </c>
      <c r="D528" t="inlineStr">
        <is>
          <t>UPPSALA LÄN</t>
        </is>
      </c>
      <c r="E528" t="inlineStr">
        <is>
          <t>ÖSTHAMMAR</t>
        </is>
      </c>
      <c r="G528" t="n">
        <v>0.7</v>
      </c>
      <c r="H528" t="n">
        <v>0</v>
      </c>
      <c r="I528" t="n">
        <v>0</v>
      </c>
      <c r="J528" t="n">
        <v>0</v>
      </c>
      <c r="K528" t="n">
        <v>0</v>
      </c>
      <c r="L528" t="n">
        <v>0</v>
      </c>
      <c r="M528" t="n">
        <v>0</v>
      </c>
      <c r="N528" t="n">
        <v>0</v>
      </c>
      <c r="O528" t="n">
        <v>0</v>
      </c>
      <c r="P528" t="n">
        <v>0</v>
      </c>
      <c r="Q528" t="n">
        <v>0</v>
      </c>
      <c r="R528" s="2" t="inlineStr"/>
    </row>
    <row r="529" ht="15" customHeight="1">
      <c r="A529" t="inlineStr">
        <is>
          <t>A 22804-2022</t>
        </is>
      </c>
      <c r="B529" s="1" t="n">
        <v>44715</v>
      </c>
      <c r="C529" s="1" t="n">
        <v>45821</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22887-2022</t>
        </is>
      </c>
      <c r="B530" s="1" t="n">
        <v>44715</v>
      </c>
      <c r="C530" s="1" t="n">
        <v>45821</v>
      </c>
      <c r="D530" t="inlineStr">
        <is>
          <t>UPPSALA LÄN</t>
        </is>
      </c>
      <c r="E530" t="inlineStr">
        <is>
          <t>ÖSTHAMMAR</t>
        </is>
      </c>
      <c r="G530" t="n">
        <v>0.2</v>
      </c>
      <c r="H530" t="n">
        <v>0</v>
      </c>
      <c r="I530" t="n">
        <v>0</v>
      </c>
      <c r="J530" t="n">
        <v>0</v>
      </c>
      <c r="K530" t="n">
        <v>0</v>
      </c>
      <c r="L530" t="n">
        <v>0</v>
      </c>
      <c r="M530" t="n">
        <v>0</v>
      </c>
      <c r="N530" t="n">
        <v>0</v>
      </c>
      <c r="O530" t="n">
        <v>0</v>
      </c>
      <c r="P530" t="n">
        <v>0</v>
      </c>
      <c r="Q530" t="n">
        <v>0</v>
      </c>
      <c r="R530" s="2" t="inlineStr"/>
    </row>
    <row r="531" ht="15" customHeight="1">
      <c r="A531" t="inlineStr">
        <is>
          <t>A 22945-2022</t>
        </is>
      </c>
      <c r="B531" s="1" t="n">
        <v>44715</v>
      </c>
      <c r="C531" s="1" t="n">
        <v>45821</v>
      </c>
      <c r="D531" t="inlineStr">
        <is>
          <t>UPPSALA LÄN</t>
        </is>
      </c>
      <c r="E531" t="inlineStr">
        <is>
          <t>ÖSTHAMMAR</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22993-2022</t>
        </is>
      </c>
      <c r="B532" s="1" t="n">
        <v>44718</v>
      </c>
      <c r="C532" s="1" t="n">
        <v>45821</v>
      </c>
      <c r="D532" t="inlineStr">
        <is>
          <t>UPPSALA LÄN</t>
        </is>
      </c>
      <c r="E532" t="inlineStr">
        <is>
          <t>ÖSTHAMMAR</t>
        </is>
      </c>
      <c r="F532" t="inlineStr">
        <is>
          <t>Bergvik skog öst AB</t>
        </is>
      </c>
      <c r="G532" t="n">
        <v>4.8</v>
      </c>
      <c r="H532" t="n">
        <v>0</v>
      </c>
      <c r="I532" t="n">
        <v>0</v>
      </c>
      <c r="J532" t="n">
        <v>0</v>
      </c>
      <c r="K532" t="n">
        <v>0</v>
      </c>
      <c r="L532" t="n">
        <v>0</v>
      </c>
      <c r="M532" t="n">
        <v>0</v>
      </c>
      <c r="N532" t="n">
        <v>0</v>
      </c>
      <c r="O532" t="n">
        <v>0</v>
      </c>
      <c r="P532" t="n">
        <v>0</v>
      </c>
      <c r="Q532" t="n">
        <v>0</v>
      </c>
      <c r="R532" s="2" t="inlineStr"/>
    </row>
    <row r="533" ht="15" customHeight="1">
      <c r="A533" t="inlineStr">
        <is>
          <t>A 22994-2022</t>
        </is>
      </c>
      <c r="B533" s="1" t="n">
        <v>44718</v>
      </c>
      <c r="C533" s="1" t="n">
        <v>45821</v>
      </c>
      <c r="D533" t="inlineStr">
        <is>
          <t>UPPSALA LÄN</t>
        </is>
      </c>
      <c r="E533" t="inlineStr">
        <is>
          <t>ÖSTHAMMAR</t>
        </is>
      </c>
      <c r="F533" t="inlineStr">
        <is>
          <t>Bergvik skog öst AB</t>
        </is>
      </c>
      <c r="G533" t="n">
        <v>29.9</v>
      </c>
      <c r="H533" t="n">
        <v>0</v>
      </c>
      <c r="I533" t="n">
        <v>0</v>
      </c>
      <c r="J533" t="n">
        <v>0</v>
      </c>
      <c r="K533" t="n">
        <v>0</v>
      </c>
      <c r="L533" t="n">
        <v>0</v>
      </c>
      <c r="M533" t="n">
        <v>0</v>
      </c>
      <c r="N533" t="n">
        <v>0</v>
      </c>
      <c r="O533" t="n">
        <v>0</v>
      </c>
      <c r="P533" t="n">
        <v>0</v>
      </c>
      <c r="Q533" t="n">
        <v>0</v>
      </c>
      <c r="R533" s="2" t="inlineStr"/>
    </row>
    <row r="534" ht="15" customHeight="1">
      <c r="A534" t="inlineStr">
        <is>
          <t>A 23603-2022</t>
        </is>
      </c>
      <c r="B534" s="1" t="n">
        <v>44721</v>
      </c>
      <c r="C534" s="1" t="n">
        <v>45821</v>
      </c>
      <c r="D534" t="inlineStr">
        <is>
          <t>UPPSALA LÄN</t>
        </is>
      </c>
      <c r="E534" t="inlineStr">
        <is>
          <t>ÖSTHAMMAR</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24138-2022</t>
        </is>
      </c>
      <c r="B535" s="1" t="n">
        <v>44725</v>
      </c>
      <c r="C535" s="1" t="n">
        <v>45821</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24149-2022</t>
        </is>
      </c>
      <c r="B536" s="1" t="n">
        <v>44725</v>
      </c>
      <c r="C536" s="1" t="n">
        <v>45821</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24181-2022</t>
        </is>
      </c>
      <c r="B537" s="1" t="n">
        <v>44725</v>
      </c>
      <c r="C537" s="1" t="n">
        <v>45821</v>
      </c>
      <c r="D537" t="inlineStr">
        <is>
          <t>UPPSALA LÄN</t>
        </is>
      </c>
      <c r="E537" t="inlineStr">
        <is>
          <t>ÖSTHAMMAR</t>
        </is>
      </c>
      <c r="G537" t="n">
        <v>1.4</v>
      </c>
      <c r="H537" t="n">
        <v>0</v>
      </c>
      <c r="I537" t="n">
        <v>0</v>
      </c>
      <c r="J537" t="n">
        <v>0</v>
      </c>
      <c r="K537" t="n">
        <v>0</v>
      </c>
      <c r="L537" t="n">
        <v>0</v>
      </c>
      <c r="M537" t="n">
        <v>0</v>
      </c>
      <c r="N537" t="n">
        <v>0</v>
      </c>
      <c r="O537" t="n">
        <v>0</v>
      </c>
      <c r="P537" t="n">
        <v>0</v>
      </c>
      <c r="Q537" t="n">
        <v>0</v>
      </c>
      <c r="R537" s="2" t="inlineStr"/>
    </row>
    <row r="538" ht="15" customHeight="1">
      <c r="A538" t="inlineStr">
        <is>
          <t>A 24259-2022</t>
        </is>
      </c>
      <c r="B538" s="1" t="n">
        <v>44725</v>
      </c>
      <c r="C538" s="1" t="n">
        <v>45821</v>
      </c>
      <c r="D538" t="inlineStr">
        <is>
          <t>UPPSALA LÄN</t>
        </is>
      </c>
      <c r="E538" t="inlineStr">
        <is>
          <t>ÖSTHAMMAR</t>
        </is>
      </c>
      <c r="G538" t="n">
        <v>2.4</v>
      </c>
      <c r="H538" t="n">
        <v>0</v>
      </c>
      <c r="I538" t="n">
        <v>0</v>
      </c>
      <c r="J538" t="n">
        <v>0</v>
      </c>
      <c r="K538" t="n">
        <v>0</v>
      </c>
      <c r="L538" t="n">
        <v>0</v>
      </c>
      <c r="M538" t="n">
        <v>0</v>
      </c>
      <c r="N538" t="n">
        <v>0</v>
      </c>
      <c r="O538" t="n">
        <v>0</v>
      </c>
      <c r="P538" t="n">
        <v>0</v>
      </c>
      <c r="Q538" t="n">
        <v>0</v>
      </c>
      <c r="R538" s="2" t="inlineStr"/>
    </row>
    <row r="539" ht="15" customHeight="1">
      <c r="A539" t="inlineStr">
        <is>
          <t>A 24447-2022</t>
        </is>
      </c>
      <c r="B539" s="1" t="n">
        <v>44726</v>
      </c>
      <c r="C539" s="1" t="n">
        <v>45821</v>
      </c>
      <c r="D539" t="inlineStr">
        <is>
          <t>UPPSALA LÄN</t>
        </is>
      </c>
      <c r="E539" t="inlineStr">
        <is>
          <t>ÖSTHAMMAR</t>
        </is>
      </c>
      <c r="G539" t="n">
        <v>5.5</v>
      </c>
      <c r="H539" t="n">
        <v>0</v>
      </c>
      <c r="I539" t="n">
        <v>0</v>
      </c>
      <c r="J539" t="n">
        <v>0</v>
      </c>
      <c r="K539" t="n">
        <v>0</v>
      </c>
      <c r="L539" t="n">
        <v>0</v>
      </c>
      <c r="M539" t="n">
        <v>0</v>
      </c>
      <c r="N539" t="n">
        <v>0</v>
      </c>
      <c r="O539" t="n">
        <v>0</v>
      </c>
      <c r="P539" t="n">
        <v>0</v>
      </c>
      <c r="Q539" t="n">
        <v>0</v>
      </c>
      <c r="R539" s="2" t="inlineStr"/>
    </row>
    <row r="540" ht="15" customHeight="1">
      <c r="A540" t="inlineStr">
        <is>
          <t>A 24367-2022</t>
        </is>
      </c>
      <c r="B540" s="1" t="n">
        <v>44726</v>
      </c>
      <c r="C540" s="1" t="n">
        <v>45821</v>
      </c>
      <c r="D540" t="inlineStr">
        <is>
          <t>UPPSALA LÄN</t>
        </is>
      </c>
      <c r="E540" t="inlineStr">
        <is>
          <t>ÖSTHAMMAR</t>
        </is>
      </c>
      <c r="G540" t="n">
        <v>2.7</v>
      </c>
      <c r="H540" t="n">
        <v>0</v>
      </c>
      <c r="I540" t="n">
        <v>0</v>
      </c>
      <c r="J540" t="n">
        <v>0</v>
      </c>
      <c r="K540" t="n">
        <v>0</v>
      </c>
      <c r="L540" t="n">
        <v>0</v>
      </c>
      <c r="M540" t="n">
        <v>0</v>
      </c>
      <c r="N540" t="n">
        <v>0</v>
      </c>
      <c r="O540" t="n">
        <v>0</v>
      </c>
      <c r="P540" t="n">
        <v>0</v>
      </c>
      <c r="Q540" t="n">
        <v>0</v>
      </c>
      <c r="R540" s="2" t="inlineStr"/>
    </row>
    <row r="541" ht="15" customHeight="1">
      <c r="A541" t="inlineStr">
        <is>
          <t>A 24817-2022</t>
        </is>
      </c>
      <c r="B541" s="1" t="n">
        <v>44728</v>
      </c>
      <c r="C541" s="1" t="n">
        <v>45821</v>
      </c>
      <c r="D541" t="inlineStr">
        <is>
          <t>UPPSALA LÄN</t>
        </is>
      </c>
      <c r="E541" t="inlineStr">
        <is>
          <t>ÖSTHAMMAR</t>
        </is>
      </c>
      <c r="F541" t="inlineStr">
        <is>
          <t>Sveaskog</t>
        </is>
      </c>
      <c r="G541" t="n">
        <v>0.2</v>
      </c>
      <c r="H541" t="n">
        <v>0</v>
      </c>
      <c r="I541" t="n">
        <v>0</v>
      </c>
      <c r="J541" t="n">
        <v>0</v>
      </c>
      <c r="K541" t="n">
        <v>0</v>
      </c>
      <c r="L541" t="n">
        <v>0</v>
      </c>
      <c r="M541" t="n">
        <v>0</v>
      </c>
      <c r="N541" t="n">
        <v>0</v>
      </c>
      <c r="O541" t="n">
        <v>0</v>
      </c>
      <c r="P541" t="n">
        <v>0</v>
      </c>
      <c r="Q541" t="n">
        <v>0</v>
      </c>
      <c r="R541" s="2" t="inlineStr"/>
    </row>
    <row r="542" ht="15" customHeight="1">
      <c r="A542" t="inlineStr">
        <is>
          <t>A 25076-2022</t>
        </is>
      </c>
      <c r="B542" s="1" t="n">
        <v>44729</v>
      </c>
      <c r="C542" s="1" t="n">
        <v>45821</v>
      </c>
      <c r="D542" t="inlineStr">
        <is>
          <t>UPPSALA LÄN</t>
        </is>
      </c>
      <c r="E542" t="inlineStr">
        <is>
          <t>ÖSTHAMMAR</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25418-2022</t>
        </is>
      </c>
      <c r="B543" s="1" t="n">
        <v>44732</v>
      </c>
      <c r="C543" s="1" t="n">
        <v>45821</v>
      </c>
      <c r="D543" t="inlineStr">
        <is>
          <t>UPPSALA LÄN</t>
        </is>
      </c>
      <c r="E543" t="inlineStr">
        <is>
          <t>ÖSTHAMMAR</t>
        </is>
      </c>
      <c r="G543" t="n">
        <v>2.8</v>
      </c>
      <c r="H543" t="n">
        <v>0</v>
      </c>
      <c r="I543" t="n">
        <v>0</v>
      </c>
      <c r="J543" t="n">
        <v>0</v>
      </c>
      <c r="K543" t="n">
        <v>0</v>
      </c>
      <c r="L543" t="n">
        <v>0</v>
      </c>
      <c r="M543" t="n">
        <v>0</v>
      </c>
      <c r="N543" t="n">
        <v>0</v>
      </c>
      <c r="O543" t="n">
        <v>0</v>
      </c>
      <c r="P543" t="n">
        <v>0</v>
      </c>
      <c r="Q543" t="n">
        <v>0</v>
      </c>
      <c r="R543" s="2" t="inlineStr"/>
    </row>
    <row r="544" ht="15" customHeight="1">
      <c r="A544" t="inlineStr">
        <is>
          <t>A 25434-2022</t>
        </is>
      </c>
      <c r="B544" s="1" t="n">
        <v>44732</v>
      </c>
      <c r="C544" s="1" t="n">
        <v>45821</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row>
    <row r="545" ht="15" customHeight="1">
      <c r="A545" t="inlineStr">
        <is>
          <t>A 26008-2022</t>
        </is>
      </c>
      <c r="B545" s="1" t="n">
        <v>44734</v>
      </c>
      <c r="C545" s="1" t="n">
        <v>45821</v>
      </c>
      <c r="D545" t="inlineStr">
        <is>
          <t>UPPSALA LÄN</t>
        </is>
      </c>
      <c r="E545" t="inlineStr">
        <is>
          <t>ÖSTHAMMAR</t>
        </is>
      </c>
      <c r="F545" t="inlineStr">
        <is>
          <t>Bergvik skog öst AB</t>
        </is>
      </c>
      <c r="G545" t="n">
        <v>8.4</v>
      </c>
      <c r="H545" t="n">
        <v>0</v>
      </c>
      <c r="I545" t="n">
        <v>0</v>
      </c>
      <c r="J545" t="n">
        <v>0</v>
      </c>
      <c r="K545" t="n">
        <v>0</v>
      </c>
      <c r="L545" t="n">
        <v>0</v>
      </c>
      <c r="M545" t="n">
        <v>0</v>
      </c>
      <c r="N545" t="n">
        <v>0</v>
      </c>
      <c r="O545" t="n">
        <v>0</v>
      </c>
      <c r="P545" t="n">
        <v>0</v>
      </c>
      <c r="Q545" t="n">
        <v>0</v>
      </c>
      <c r="R545" s="2" t="inlineStr"/>
    </row>
    <row r="546" ht="15" customHeight="1">
      <c r="A546" t="inlineStr">
        <is>
          <t>A 25987-2022</t>
        </is>
      </c>
      <c r="B546" s="1" t="n">
        <v>44734</v>
      </c>
      <c r="C546" s="1" t="n">
        <v>45821</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25983-2022</t>
        </is>
      </c>
      <c r="B547" s="1" t="n">
        <v>44734</v>
      </c>
      <c r="C547" s="1" t="n">
        <v>45821</v>
      </c>
      <c r="D547" t="inlineStr">
        <is>
          <t>UPPSALA LÄN</t>
        </is>
      </c>
      <c r="E547" t="inlineStr">
        <is>
          <t>ÖSTHAMMAR</t>
        </is>
      </c>
      <c r="G547" t="n">
        <v>4.7</v>
      </c>
      <c r="H547" t="n">
        <v>0</v>
      </c>
      <c r="I547" t="n">
        <v>0</v>
      </c>
      <c r="J547" t="n">
        <v>0</v>
      </c>
      <c r="K547" t="n">
        <v>0</v>
      </c>
      <c r="L547" t="n">
        <v>0</v>
      </c>
      <c r="M547" t="n">
        <v>0</v>
      </c>
      <c r="N547" t="n">
        <v>0</v>
      </c>
      <c r="O547" t="n">
        <v>0</v>
      </c>
      <c r="P547" t="n">
        <v>0</v>
      </c>
      <c r="Q547" t="n">
        <v>0</v>
      </c>
      <c r="R547" s="2" t="inlineStr"/>
    </row>
    <row r="548" ht="15" customHeight="1">
      <c r="A548" t="inlineStr">
        <is>
          <t>A 26004-2022</t>
        </is>
      </c>
      <c r="B548" s="1" t="n">
        <v>44734</v>
      </c>
      <c r="C548" s="1" t="n">
        <v>45821</v>
      </c>
      <c r="D548" t="inlineStr">
        <is>
          <t>UPPSALA LÄN</t>
        </is>
      </c>
      <c r="E548" t="inlineStr">
        <is>
          <t>ÖSTHAMMAR</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26534-2022</t>
        </is>
      </c>
      <c r="B549" s="1" t="n">
        <v>44739</v>
      </c>
      <c r="C549" s="1" t="n">
        <v>45821</v>
      </c>
      <c r="D549" t="inlineStr">
        <is>
          <t>UPPSALA LÄN</t>
        </is>
      </c>
      <c r="E549" t="inlineStr">
        <is>
          <t>ÖSTHAMMAR</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26552-2022</t>
        </is>
      </c>
      <c r="B550" s="1" t="n">
        <v>44739</v>
      </c>
      <c r="C550" s="1" t="n">
        <v>45821</v>
      </c>
      <c r="D550" t="inlineStr">
        <is>
          <t>UPPSALA LÄN</t>
        </is>
      </c>
      <c r="E550" t="inlineStr">
        <is>
          <t>ÖSTHAMMAR</t>
        </is>
      </c>
      <c r="G550" t="n">
        <v>2.2</v>
      </c>
      <c r="H550" t="n">
        <v>0</v>
      </c>
      <c r="I550" t="n">
        <v>0</v>
      </c>
      <c r="J550" t="n">
        <v>0</v>
      </c>
      <c r="K550" t="n">
        <v>0</v>
      </c>
      <c r="L550" t="n">
        <v>0</v>
      </c>
      <c r="M550" t="n">
        <v>0</v>
      </c>
      <c r="N550" t="n">
        <v>0</v>
      </c>
      <c r="O550" t="n">
        <v>0</v>
      </c>
      <c r="P550" t="n">
        <v>0</v>
      </c>
      <c r="Q550" t="n">
        <v>0</v>
      </c>
      <c r="R550" s="2" t="inlineStr"/>
    </row>
    <row r="551" ht="15" customHeight="1">
      <c r="A551" t="inlineStr">
        <is>
          <t>A 26561-2022</t>
        </is>
      </c>
      <c r="B551" s="1" t="n">
        <v>44739</v>
      </c>
      <c r="C551" s="1" t="n">
        <v>45821</v>
      </c>
      <c r="D551" t="inlineStr">
        <is>
          <t>UPPSALA LÄN</t>
        </is>
      </c>
      <c r="E551" t="inlineStr">
        <is>
          <t>ÖSTHAMMAR</t>
        </is>
      </c>
      <c r="G551" t="n">
        <v>3.7</v>
      </c>
      <c r="H551" t="n">
        <v>0</v>
      </c>
      <c r="I551" t="n">
        <v>0</v>
      </c>
      <c r="J551" t="n">
        <v>0</v>
      </c>
      <c r="K551" t="n">
        <v>0</v>
      </c>
      <c r="L551" t="n">
        <v>0</v>
      </c>
      <c r="M551" t="n">
        <v>0</v>
      </c>
      <c r="N551" t="n">
        <v>0</v>
      </c>
      <c r="O551" t="n">
        <v>0</v>
      </c>
      <c r="P551" t="n">
        <v>0</v>
      </c>
      <c r="Q551" t="n">
        <v>0</v>
      </c>
      <c r="R551" s="2" t="inlineStr"/>
    </row>
    <row r="552" ht="15" customHeight="1">
      <c r="A552" t="inlineStr">
        <is>
          <t>A 28228-2022</t>
        </is>
      </c>
      <c r="B552" s="1" t="n">
        <v>44746</v>
      </c>
      <c r="C552" s="1" t="n">
        <v>45821</v>
      </c>
      <c r="D552" t="inlineStr">
        <is>
          <t>UPPSALA LÄN</t>
        </is>
      </c>
      <c r="E552" t="inlineStr">
        <is>
          <t>ÖSTHAMMAR</t>
        </is>
      </c>
      <c r="G552" t="n">
        <v>2.7</v>
      </c>
      <c r="H552" t="n">
        <v>0</v>
      </c>
      <c r="I552" t="n">
        <v>0</v>
      </c>
      <c r="J552" t="n">
        <v>0</v>
      </c>
      <c r="K552" t="n">
        <v>0</v>
      </c>
      <c r="L552" t="n">
        <v>0</v>
      </c>
      <c r="M552" t="n">
        <v>0</v>
      </c>
      <c r="N552" t="n">
        <v>0</v>
      </c>
      <c r="O552" t="n">
        <v>0</v>
      </c>
      <c r="P552" t="n">
        <v>0</v>
      </c>
      <c r="Q552" t="n">
        <v>0</v>
      </c>
      <c r="R552" s="2" t="inlineStr"/>
    </row>
    <row r="553" ht="15" customHeight="1">
      <c r="A553" t="inlineStr">
        <is>
          <t>A 29753-2022</t>
        </is>
      </c>
      <c r="B553" s="1" t="n">
        <v>44755</v>
      </c>
      <c r="C553" s="1" t="n">
        <v>45821</v>
      </c>
      <c r="D553" t="inlineStr">
        <is>
          <t>UPPSALA LÄN</t>
        </is>
      </c>
      <c r="E553" t="inlineStr">
        <is>
          <t>ÖSTHAMMAR</t>
        </is>
      </c>
      <c r="G553" t="n">
        <v>9.4</v>
      </c>
      <c r="H553" t="n">
        <v>0</v>
      </c>
      <c r="I553" t="n">
        <v>0</v>
      </c>
      <c r="J553" t="n">
        <v>0</v>
      </c>
      <c r="K553" t="n">
        <v>0</v>
      </c>
      <c r="L553" t="n">
        <v>0</v>
      </c>
      <c r="M553" t="n">
        <v>0</v>
      </c>
      <c r="N553" t="n">
        <v>0</v>
      </c>
      <c r="O553" t="n">
        <v>0</v>
      </c>
      <c r="P553" t="n">
        <v>0</v>
      </c>
      <c r="Q553" t="n">
        <v>0</v>
      </c>
      <c r="R553" s="2" t="inlineStr"/>
    </row>
    <row r="554" ht="15" customHeight="1">
      <c r="A554" t="inlineStr">
        <is>
          <t>A 30212-2022</t>
        </is>
      </c>
      <c r="B554" s="1" t="n">
        <v>44757</v>
      </c>
      <c r="C554" s="1" t="n">
        <v>45821</v>
      </c>
      <c r="D554" t="inlineStr">
        <is>
          <t>UPPSALA LÄN</t>
        </is>
      </c>
      <c r="E554" t="inlineStr">
        <is>
          <t>ÖSTHAMMAR</t>
        </is>
      </c>
      <c r="F554" t="inlineStr">
        <is>
          <t>Bergvik skog öst AB</t>
        </is>
      </c>
      <c r="G554" t="n">
        <v>13.6</v>
      </c>
      <c r="H554" t="n">
        <v>0</v>
      </c>
      <c r="I554" t="n">
        <v>0</v>
      </c>
      <c r="J554" t="n">
        <v>0</v>
      </c>
      <c r="K554" t="n">
        <v>0</v>
      </c>
      <c r="L554" t="n">
        <v>0</v>
      </c>
      <c r="M554" t="n">
        <v>0</v>
      </c>
      <c r="N554" t="n">
        <v>0</v>
      </c>
      <c r="O554" t="n">
        <v>0</v>
      </c>
      <c r="P554" t="n">
        <v>0</v>
      </c>
      <c r="Q554" t="n">
        <v>0</v>
      </c>
      <c r="R554" s="2" t="inlineStr"/>
    </row>
    <row r="555" ht="15" customHeight="1">
      <c r="A555" t="inlineStr">
        <is>
          <t>A 30209-2022</t>
        </is>
      </c>
      <c r="B555" s="1" t="n">
        <v>44757</v>
      </c>
      <c r="C555" s="1" t="n">
        <v>45821</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30549-2022</t>
        </is>
      </c>
      <c r="B556" s="1" t="n">
        <v>44762</v>
      </c>
      <c r="C556" s="1" t="n">
        <v>45821</v>
      </c>
      <c r="D556" t="inlineStr">
        <is>
          <t>UPPSALA LÄN</t>
        </is>
      </c>
      <c r="E556" t="inlineStr">
        <is>
          <t>ÖSTHAMMAR</t>
        </is>
      </c>
      <c r="F556" t="inlineStr">
        <is>
          <t>Bergvik skog öst AB</t>
        </is>
      </c>
      <c r="G556" t="n">
        <v>6.2</v>
      </c>
      <c r="H556" t="n">
        <v>0</v>
      </c>
      <c r="I556" t="n">
        <v>0</v>
      </c>
      <c r="J556" t="n">
        <v>0</v>
      </c>
      <c r="K556" t="n">
        <v>0</v>
      </c>
      <c r="L556" t="n">
        <v>0</v>
      </c>
      <c r="M556" t="n">
        <v>0</v>
      </c>
      <c r="N556" t="n">
        <v>0</v>
      </c>
      <c r="O556" t="n">
        <v>0</v>
      </c>
      <c r="P556" t="n">
        <v>0</v>
      </c>
      <c r="Q556" t="n">
        <v>0</v>
      </c>
      <c r="R556" s="2" t="inlineStr"/>
    </row>
    <row r="557" ht="15" customHeight="1">
      <c r="A557" t="inlineStr">
        <is>
          <t>A 31027-2022</t>
        </is>
      </c>
      <c r="B557" s="1" t="n">
        <v>44768</v>
      </c>
      <c r="C557" s="1" t="n">
        <v>45821</v>
      </c>
      <c r="D557" t="inlineStr">
        <is>
          <t>UPPSALA LÄN</t>
        </is>
      </c>
      <c r="E557" t="inlineStr">
        <is>
          <t>ÖSTHAMMAR</t>
        </is>
      </c>
      <c r="F557" t="inlineStr">
        <is>
          <t>Bergvik skog öst AB</t>
        </is>
      </c>
      <c r="G557" t="n">
        <v>2.4</v>
      </c>
      <c r="H557" t="n">
        <v>0</v>
      </c>
      <c r="I557" t="n">
        <v>0</v>
      </c>
      <c r="J557" t="n">
        <v>0</v>
      </c>
      <c r="K557" t="n">
        <v>0</v>
      </c>
      <c r="L557" t="n">
        <v>0</v>
      </c>
      <c r="M557" t="n">
        <v>0</v>
      </c>
      <c r="N557" t="n">
        <v>0</v>
      </c>
      <c r="O557" t="n">
        <v>0</v>
      </c>
      <c r="P557" t="n">
        <v>0</v>
      </c>
      <c r="Q557" t="n">
        <v>0</v>
      </c>
      <c r="R557" s="2" t="inlineStr"/>
    </row>
    <row r="558" ht="15" customHeight="1">
      <c r="A558" t="inlineStr">
        <is>
          <t>A 31035-2022</t>
        </is>
      </c>
      <c r="B558" s="1" t="n">
        <v>44768</v>
      </c>
      <c r="C558" s="1" t="n">
        <v>45821</v>
      </c>
      <c r="D558" t="inlineStr">
        <is>
          <t>UPPSALA LÄN</t>
        </is>
      </c>
      <c r="E558" t="inlineStr">
        <is>
          <t>ÖSTHAMMAR</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31026-2022</t>
        </is>
      </c>
      <c r="B559" s="1" t="n">
        <v>44768</v>
      </c>
      <c r="C559" s="1" t="n">
        <v>45821</v>
      </c>
      <c r="D559" t="inlineStr">
        <is>
          <t>UPPSALA LÄN</t>
        </is>
      </c>
      <c r="E559" t="inlineStr">
        <is>
          <t>ÖSTHAMMAR</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31182-2022</t>
        </is>
      </c>
      <c r="B560" s="1" t="n">
        <v>44770</v>
      </c>
      <c r="C560" s="1" t="n">
        <v>45821</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31140-2022</t>
        </is>
      </c>
      <c r="B561" s="1" t="n">
        <v>44770</v>
      </c>
      <c r="C561" s="1" t="n">
        <v>45821</v>
      </c>
      <c r="D561" t="inlineStr">
        <is>
          <t>UPPSALA LÄN</t>
        </is>
      </c>
      <c r="E561" t="inlineStr">
        <is>
          <t>ÖSTHAMMAR</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31137-2022</t>
        </is>
      </c>
      <c r="B562" s="1" t="n">
        <v>44770</v>
      </c>
      <c r="C562" s="1" t="n">
        <v>45821</v>
      </c>
      <c r="D562" t="inlineStr">
        <is>
          <t>UPPSALA LÄN</t>
        </is>
      </c>
      <c r="E562" t="inlineStr">
        <is>
          <t>ÖSTHAMMAR</t>
        </is>
      </c>
      <c r="F562" t="inlineStr">
        <is>
          <t>Bergvik skog öst AB</t>
        </is>
      </c>
      <c r="G562" t="n">
        <v>1.4</v>
      </c>
      <c r="H562" t="n">
        <v>0</v>
      </c>
      <c r="I562" t="n">
        <v>0</v>
      </c>
      <c r="J562" t="n">
        <v>0</v>
      </c>
      <c r="K562" t="n">
        <v>0</v>
      </c>
      <c r="L562" t="n">
        <v>0</v>
      </c>
      <c r="M562" t="n">
        <v>0</v>
      </c>
      <c r="N562" t="n">
        <v>0</v>
      </c>
      <c r="O562" t="n">
        <v>0</v>
      </c>
      <c r="P562" t="n">
        <v>0</v>
      </c>
      <c r="Q562" t="n">
        <v>0</v>
      </c>
      <c r="R562" s="2" t="inlineStr"/>
    </row>
    <row r="563" ht="15" customHeight="1">
      <c r="A563" t="inlineStr">
        <is>
          <t>A 31282-2022</t>
        </is>
      </c>
      <c r="B563" s="1" t="n">
        <v>44771</v>
      </c>
      <c r="C563" s="1" t="n">
        <v>45821</v>
      </c>
      <c r="D563" t="inlineStr">
        <is>
          <t>UPPSALA LÄN</t>
        </is>
      </c>
      <c r="E563" t="inlineStr">
        <is>
          <t>ÖSTHAMMAR</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31574-2022</t>
        </is>
      </c>
      <c r="B564" s="1" t="n">
        <v>44775</v>
      </c>
      <c r="C564" s="1" t="n">
        <v>45821</v>
      </c>
      <c r="D564" t="inlineStr">
        <is>
          <t>UPPSALA LÄN</t>
        </is>
      </c>
      <c r="E564" t="inlineStr">
        <is>
          <t>ÖSTHAMMAR</t>
        </is>
      </c>
      <c r="G564" t="n">
        <v>29.7</v>
      </c>
      <c r="H564" t="n">
        <v>0</v>
      </c>
      <c r="I564" t="n">
        <v>0</v>
      </c>
      <c r="J564" t="n">
        <v>0</v>
      </c>
      <c r="K564" t="n">
        <v>0</v>
      </c>
      <c r="L564" t="n">
        <v>0</v>
      </c>
      <c r="M564" t="n">
        <v>0</v>
      </c>
      <c r="N564" t="n">
        <v>0</v>
      </c>
      <c r="O564" t="n">
        <v>0</v>
      </c>
      <c r="P564" t="n">
        <v>0</v>
      </c>
      <c r="Q564" t="n">
        <v>0</v>
      </c>
      <c r="R564" s="2" t="inlineStr"/>
    </row>
    <row r="565" ht="15" customHeight="1">
      <c r="A565" t="inlineStr">
        <is>
          <t>A 31549-2022</t>
        </is>
      </c>
      <c r="B565" s="1" t="n">
        <v>44775</v>
      </c>
      <c r="C565" s="1" t="n">
        <v>45821</v>
      </c>
      <c r="D565" t="inlineStr">
        <is>
          <t>UPPSALA LÄN</t>
        </is>
      </c>
      <c r="E565" t="inlineStr">
        <is>
          <t>ÖSTHAMMAR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31669-2022</t>
        </is>
      </c>
      <c r="B566" s="1" t="n">
        <v>44775</v>
      </c>
      <c r="C566" s="1" t="n">
        <v>45821</v>
      </c>
      <c r="D566" t="inlineStr">
        <is>
          <t>UPPSALA LÄN</t>
        </is>
      </c>
      <c r="E566" t="inlineStr">
        <is>
          <t>ÖSTHAMMAR</t>
        </is>
      </c>
      <c r="G566" t="n">
        <v>6</v>
      </c>
      <c r="H566" t="n">
        <v>0</v>
      </c>
      <c r="I566" t="n">
        <v>0</v>
      </c>
      <c r="J566" t="n">
        <v>0</v>
      </c>
      <c r="K566" t="n">
        <v>0</v>
      </c>
      <c r="L566" t="n">
        <v>0</v>
      </c>
      <c r="M566" t="n">
        <v>0</v>
      </c>
      <c r="N566" t="n">
        <v>0</v>
      </c>
      <c r="O566" t="n">
        <v>0</v>
      </c>
      <c r="P566" t="n">
        <v>0</v>
      </c>
      <c r="Q566" t="n">
        <v>0</v>
      </c>
      <c r="R566" s="2" t="inlineStr"/>
    </row>
    <row r="567" ht="15" customHeight="1">
      <c r="A567" t="inlineStr">
        <is>
          <t>A 32678-2022</t>
        </is>
      </c>
      <c r="B567" s="1" t="n">
        <v>44783</v>
      </c>
      <c r="C567" s="1" t="n">
        <v>45821</v>
      </c>
      <c r="D567" t="inlineStr">
        <is>
          <t>UPPSALA LÄN</t>
        </is>
      </c>
      <c r="E567" t="inlineStr">
        <is>
          <t>ÖSTHAMMAR</t>
        </is>
      </c>
      <c r="G567" t="n">
        <v>1.3</v>
      </c>
      <c r="H567" t="n">
        <v>0</v>
      </c>
      <c r="I567" t="n">
        <v>0</v>
      </c>
      <c r="J567" t="n">
        <v>0</v>
      </c>
      <c r="K567" t="n">
        <v>0</v>
      </c>
      <c r="L567" t="n">
        <v>0</v>
      </c>
      <c r="M567" t="n">
        <v>0</v>
      </c>
      <c r="N567" t="n">
        <v>0</v>
      </c>
      <c r="O567" t="n">
        <v>0</v>
      </c>
      <c r="P567" t="n">
        <v>0</v>
      </c>
      <c r="Q567" t="n">
        <v>0</v>
      </c>
      <c r="R567" s="2" t="inlineStr"/>
    </row>
    <row r="568" ht="15" customHeight="1">
      <c r="A568" t="inlineStr">
        <is>
          <t>A 32742-2022</t>
        </is>
      </c>
      <c r="B568" s="1" t="n">
        <v>44783</v>
      </c>
      <c r="C568" s="1" t="n">
        <v>45821</v>
      </c>
      <c r="D568" t="inlineStr">
        <is>
          <t>UPPSALA LÄN</t>
        </is>
      </c>
      <c r="E568" t="inlineStr">
        <is>
          <t>ÖSTHAMMAR</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32744-2022</t>
        </is>
      </c>
      <c r="B569" s="1" t="n">
        <v>44783</v>
      </c>
      <c r="C569" s="1" t="n">
        <v>45821</v>
      </c>
      <c r="D569" t="inlineStr">
        <is>
          <t>UPPSALA LÄN</t>
        </is>
      </c>
      <c r="E569" t="inlineStr">
        <is>
          <t>ÖSTHAMMAR</t>
        </is>
      </c>
      <c r="F569" t="inlineStr">
        <is>
          <t>Bergvik skog öst AB</t>
        </is>
      </c>
      <c r="G569" t="n">
        <v>3</v>
      </c>
      <c r="H569" t="n">
        <v>0</v>
      </c>
      <c r="I569" t="n">
        <v>0</v>
      </c>
      <c r="J569" t="n">
        <v>0</v>
      </c>
      <c r="K569" t="n">
        <v>0</v>
      </c>
      <c r="L569" t="n">
        <v>0</v>
      </c>
      <c r="M569" t="n">
        <v>0</v>
      </c>
      <c r="N569" t="n">
        <v>0</v>
      </c>
      <c r="O569" t="n">
        <v>0</v>
      </c>
      <c r="P569" t="n">
        <v>0</v>
      </c>
      <c r="Q569" t="n">
        <v>0</v>
      </c>
      <c r="R569" s="2" t="inlineStr"/>
    </row>
    <row r="570" ht="15" customHeight="1">
      <c r="A570" t="inlineStr">
        <is>
          <t>A 34418-2022</t>
        </is>
      </c>
      <c r="B570" s="1" t="n">
        <v>44792</v>
      </c>
      <c r="C570" s="1" t="n">
        <v>45821</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34742-2022</t>
        </is>
      </c>
      <c r="B571" s="1" t="n">
        <v>44795</v>
      </c>
      <c r="C571" s="1" t="n">
        <v>45821</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34971-2022</t>
        </is>
      </c>
      <c r="B572" s="1" t="n">
        <v>44796</v>
      </c>
      <c r="C572" s="1" t="n">
        <v>45821</v>
      </c>
      <c r="D572" t="inlineStr">
        <is>
          <t>UPPSALA LÄN</t>
        </is>
      </c>
      <c r="E572" t="inlineStr">
        <is>
          <t>ÖSTHAMMAR</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34994-2022</t>
        </is>
      </c>
      <c r="B573" s="1" t="n">
        <v>44796</v>
      </c>
      <c r="C573" s="1" t="n">
        <v>45821</v>
      </c>
      <c r="D573" t="inlineStr">
        <is>
          <t>UPPSALA LÄN</t>
        </is>
      </c>
      <c r="E573" t="inlineStr">
        <is>
          <t>ÖSTHAMMAR</t>
        </is>
      </c>
      <c r="F573" t="inlineStr">
        <is>
          <t>Bergvik skog öst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36343-2022</t>
        </is>
      </c>
      <c r="B574" s="1" t="n">
        <v>44803</v>
      </c>
      <c r="C574" s="1" t="n">
        <v>45821</v>
      </c>
      <c r="D574" t="inlineStr">
        <is>
          <t>UPPSALA LÄN</t>
        </is>
      </c>
      <c r="E574" t="inlineStr">
        <is>
          <t>ÖSTHAMMAR</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36873-2022</t>
        </is>
      </c>
      <c r="B575" s="1" t="n">
        <v>44805</v>
      </c>
      <c r="C575" s="1" t="n">
        <v>45821</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37545-2022</t>
        </is>
      </c>
      <c r="B576" s="1" t="n">
        <v>44809</v>
      </c>
      <c r="C576" s="1" t="n">
        <v>45821</v>
      </c>
      <c r="D576" t="inlineStr">
        <is>
          <t>UPPSALA LÄN</t>
        </is>
      </c>
      <c r="E576" t="inlineStr">
        <is>
          <t>ÖSTHAMMAR</t>
        </is>
      </c>
      <c r="G576" t="n">
        <v>3.1</v>
      </c>
      <c r="H576" t="n">
        <v>0</v>
      </c>
      <c r="I576" t="n">
        <v>0</v>
      </c>
      <c r="J576" t="n">
        <v>0</v>
      </c>
      <c r="K576" t="n">
        <v>0</v>
      </c>
      <c r="L576" t="n">
        <v>0</v>
      </c>
      <c r="M576" t="n">
        <v>0</v>
      </c>
      <c r="N576" t="n">
        <v>0</v>
      </c>
      <c r="O576" t="n">
        <v>0</v>
      </c>
      <c r="P576" t="n">
        <v>0</v>
      </c>
      <c r="Q576" t="n">
        <v>0</v>
      </c>
      <c r="R576" s="2" t="inlineStr"/>
    </row>
    <row r="577" ht="15" customHeight="1">
      <c r="A577" t="inlineStr">
        <is>
          <t>A 37570-2022</t>
        </is>
      </c>
      <c r="B577" s="1" t="n">
        <v>44809</v>
      </c>
      <c r="C577" s="1" t="n">
        <v>45821</v>
      </c>
      <c r="D577" t="inlineStr">
        <is>
          <t>UPPSALA LÄN</t>
        </is>
      </c>
      <c r="E577" t="inlineStr">
        <is>
          <t>ÖSTHAMMAR</t>
        </is>
      </c>
      <c r="G577" t="n">
        <v>0.6</v>
      </c>
      <c r="H577" t="n">
        <v>0</v>
      </c>
      <c r="I577" t="n">
        <v>0</v>
      </c>
      <c r="J577" t="n">
        <v>0</v>
      </c>
      <c r="K577" t="n">
        <v>0</v>
      </c>
      <c r="L577" t="n">
        <v>0</v>
      </c>
      <c r="M577" t="n">
        <v>0</v>
      </c>
      <c r="N577" t="n">
        <v>0</v>
      </c>
      <c r="O577" t="n">
        <v>0</v>
      </c>
      <c r="P577" t="n">
        <v>0</v>
      </c>
      <c r="Q577" t="n">
        <v>0</v>
      </c>
      <c r="R577" s="2" t="inlineStr"/>
    </row>
    <row r="578" ht="15" customHeight="1">
      <c r="A578" t="inlineStr">
        <is>
          <t>A 37813-2022</t>
        </is>
      </c>
      <c r="B578" s="1" t="n">
        <v>44810</v>
      </c>
      <c r="C578" s="1" t="n">
        <v>45821</v>
      </c>
      <c r="D578" t="inlineStr">
        <is>
          <t>UPPSALA LÄN</t>
        </is>
      </c>
      <c r="E578" t="inlineStr">
        <is>
          <t>ÖSTHAMMAR</t>
        </is>
      </c>
      <c r="G578" t="n">
        <v>0.5</v>
      </c>
      <c r="H578" t="n">
        <v>0</v>
      </c>
      <c r="I578" t="n">
        <v>0</v>
      </c>
      <c r="J578" t="n">
        <v>0</v>
      </c>
      <c r="K578" t="n">
        <v>0</v>
      </c>
      <c r="L578" t="n">
        <v>0</v>
      </c>
      <c r="M578" t="n">
        <v>0</v>
      </c>
      <c r="N578" t="n">
        <v>0</v>
      </c>
      <c r="O578" t="n">
        <v>0</v>
      </c>
      <c r="P578" t="n">
        <v>0</v>
      </c>
      <c r="Q578" t="n">
        <v>0</v>
      </c>
      <c r="R578" s="2" t="inlineStr"/>
    </row>
    <row r="579" ht="15" customHeight="1">
      <c r="A579" t="inlineStr">
        <is>
          <t>A 37812-2022</t>
        </is>
      </c>
      <c r="B579" s="1" t="n">
        <v>44810</v>
      </c>
      <c r="C579" s="1" t="n">
        <v>45821</v>
      </c>
      <c r="D579" t="inlineStr">
        <is>
          <t>UPPSALA LÄN</t>
        </is>
      </c>
      <c r="E579" t="inlineStr">
        <is>
          <t>ÖSTHAMMAR</t>
        </is>
      </c>
      <c r="G579" t="n">
        <v>1</v>
      </c>
      <c r="H579" t="n">
        <v>0</v>
      </c>
      <c r="I579" t="n">
        <v>0</v>
      </c>
      <c r="J579" t="n">
        <v>0</v>
      </c>
      <c r="K579" t="n">
        <v>0</v>
      </c>
      <c r="L579" t="n">
        <v>0</v>
      </c>
      <c r="M579" t="n">
        <v>0</v>
      </c>
      <c r="N579" t="n">
        <v>0</v>
      </c>
      <c r="O579" t="n">
        <v>0</v>
      </c>
      <c r="P579" t="n">
        <v>0</v>
      </c>
      <c r="Q579" t="n">
        <v>0</v>
      </c>
      <c r="R579" s="2" t="inlineStr"/>
    </row>
    <row r="580" ht="15" customHeight="1">
      <c r="A580" t="inlineStr">
        <is>
          <t>A 38501-2022</t>
        </is>
      </c>
      <c r="B580" s="1" t="n">
        <v>44813</v>
      </c>
      <c r="C580" s="1" t="n">
        <v>45821</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38702-2022</t>
        </is>
      </c>
      <c r="B581" s="1" t="n">
        <v>44814</v>
      </c>
      <c r="C581" s="1" t="n">
        <v>45821</v>
      </c>
      <c r="D581" t="inlineStr">
        <is>
          <t>UPPSALA LÄN</t>
        </is>
      </c>
      <c r="E581" t="inlineStr">
        <is>
          <t>ÖSTHAMMAR</t>
        </is>
      </c>
      <c r="G581" t="n">
        <v>1.2</v>
      </c>
      <c r="H581" t="n">
        <v>0</v>
      </c>
      <c r="I581" t="n">
        <v>0</v>
      </c>
      <c r="J581" t="n">
        <v>0</v>
      </c>
      <c r="K581" t="n">
        <v>0</v>
      </c>
      <c r="L581" t="n">
        <v>0</v>
      </c>
      <c r="M581" t="n">
        <v>0</v>
      </c>
      <c r="N581" t="n">
        <v>0</v>
      </c>
      <c r="O581" t="n">
        <v>0</v>
      </c>
      <c r="P581" t="n">
        <v>0</v>
      </c>
      <c r="Q581" t="n">
        <v>0</v>
      </c>
      <c r="R581" s="2" t="inlineStr"/>
    </row>
    <row r="582" ht="15" customHeight="1">
      <c r="A582" t="inlineStr">
        <is>
          <t>A 39480-2022</t>
        </is>
      </c>
      <c r="B582" s="1" t="n">
        <v>44818</v>
      </c>
      <c r="C582" s="1" t="n">
        <v>45821</v>
      </c>
      <c r="D582" t="inlineStr">
        <is>
          <t>UPPSALA LÄN</t>
        </is>
      </c>
      <c r="E582" t="inlineStr">
        <is>
          <t>ÖSTHAMMAR</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40336-2022</t>
        </is>
      </c>
      <c r="B583" s="1" t="n">
        <v>44823</v>
      </c>
      <c r="C583" s="1" t="n">
        <v>45821</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40637-2022</t>
        </is>
      </c>
      <c r="B584" s="1" t="n">
        <v>44824</v>
      </c>
      <c r="C584" s="1" t="n">
        <v>45821</v>
      </c>
      <c r="D584" t="inlineStr">
        <is>
          <t>UPPSALA LÄN</t>
        </is>
      </c>
      <c r="E584" t="inlineStr">
        <is>
          <t>ÖSTHAMMAR</t>
        </is>
      </c>
      <c r="F584" t="inlineStr">
        <is>
          <t>Övriga Aktiebolag</t>
        </is>
      </c>
      <c r="G584" t="n">
        <v>3.7</v>
      </c>
      <c r="H584" t="n">
        <v>0</v>
      </c>
      <c r="I584" t="n">
        <v>0</v>
      </c>
      <c r="J584" t="n">
        <v>0</v>
      </c>
      <c r="K584" t="n">
        <v>0</v>
      </c>
      <c r="L584" t="n">
        <v>0</v>
      </c>
      <c r="M584" t="n">
        <v>0</v>
      </c>
      <c r="N584" t="n">
        <v>0</v>
      </c>
      <c r="O584" t="n">
        <v>0</v>
      </c>
      <c r="P584" t="n">
        <v>0</v>
      </c>
      <c r="Q584" t="n">
        <v>0</v>
      </c>
      <c r="R584" s="2" t="inlineStr"/>
    </row>
    <row r="585" ht="15" customHeight="1">
      <c r="A585" t="inlineStr">
        <is>
          <t>A 40681-2022</t>
        </is>
      </c>
      <c r="B585" s="1" t="n">
        <v>44824</v>
      </c>
      <c r="C585" s="1" t="n">
        <v>45821</v>
      </c>
      <c r="D585" t="inlineStr">
        <is>
          <t>UPPSALA LÄN</t>
        </is>
      </c>
      <c r="E585" t="inlineStr">
        <is>
          <t>ÖSTHAMMAR</t>
        </is>
      </c>
      <c r="G585" t="n">
        <v>1.7</v>
      </c>
      <c r="H585" t="n">
        <v>0</v>
      </c>
      <c r="I585" t="n">
        <v>0</v>
      </c>
      <c r="J585" t="n">
        <v>0</v>
      </c>
      <c r="K585" t="n">
        <v>0</v>
      </c>
      <c r="L585" t="n">
        <v>0</v>
      </c>
      <c r="M585" t="n">
        <v>0</v>
      </c>
      <c r="N585" t="n">
        <v>0</v>
      </c>
      <c r="O585" t="n">
        <v>0</v>
      </c>
      <c r="P585" t="n">
        <v>0</v>
      </c>
      <c r="Q585" t="n">
        <v>0</v>
      </c>
      <c r="R585" s="2" t="inlineStr"/>
    </row>
    <row r="586" ht="15" customHeight="1">
      <c r="A586" t="inlineStr">
        <is>
          <t>A 41033-2022</t>
        </is>
      </c>
      <c r="B586" s="1" t="n">
        <v>44825</v>
      </c>
      <c r="C586" s="1" t="n">
        <v>45821</v>
      </c>
      <c r="D586" t="inlineStr">
        <is>
          <t>UPPSALA LÄN</t>
        </is>
      </c>
      <c r="E586" t="inlineStr">
        <is>
          <t>ÖSTHAMMAR</t>
        </is>
      </c>
      <c r="F586" t="inlineStr">
        <is>
          <t>Kyrkan</t>
        </is>
      </c>
      <c r="G586" t="n">
        <v>0.7</v>
      </c>
      <c r="H586" t="n">
        <v>0</v>
      </c>
      <c r="I586" t="n">
        <v>0</v>
      </c>
      <c r="J586" t="n">
        <v>0</v>
      </c>
      <c r="K586" t="n">
        <v>0</v>
      </c>
      <c r="L586" t="n">
        <v>0</v>
      </c>
      <c r="M586" t="n">
        <v>0</v>
      </c>
      <c r="N586" t="n">
        <v>0</v>
      </c>
      <c r="O586" t="n">
        <v>0</v>
      </c>
      <c r="P586" t="n">
        <v>0</v>
      </c>
      <c r="Q586" t="n">
        <v>0</v>
      </c>
      <c r="R586" s="2" t="inlineStr"/>
    </row>
    <row r="587" ht="15" customHeight="1">
      <c r="A587" t="inlineStr">
        <is>
          <t>A 41423-2022</t>
        </is>
      </c>
      <c r="B587" s="1" t="n">
        <v>44826</v>
      </c>
      <c r="C587" s="1" t="n">
        <v>45821</v>
      </c>
      <c r="D587" t="inlineStr">
        <is>
          <t>UPPSALA LÄN</t>
        </is>
      </c>
      <c r="E587" t="inlineStr">
        <is>
          <t>ÖSTHAMMAR</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44020-2022</t>
        </is>
      </c>
      <c r="B588" s="1" t="n">
        <v>44838</v>
      </c>
      <c r="C588" s="1" t="n">
        <v>45821</v>
      </c>
      <c r="D588" t="inlineStr">
        <is>
          <t>UPPSALA LÄN</t>
        </is>
      </c>
      <c r="E588" t="inlineStr">
        <is>
          <t>ÖSTHAMMAR</t>
        </is>
      </c>
      <c r="F588" t="inlineStr">
        <is>
          <t>Bergvik skog öst AB</t>
        </is>
      </c>
      <c r="G588" t="n">
        <v>12.1</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v>
      </c>
      <c r="C589" s="1" t="n">
        <v>45821</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44354-2022</t>
        </is>
      </c>
      <c r="B590" s="1" t="n">
        <v>44839</v>
      </c>
      <c r="C590" s="1" t="n">
        <v>45821</v>
      </c>
      <c r="D590" t="inlineStr">
        <is>
          <t>UPPSALA LÄN</t>
        </is>
      </c>
      <c r="E590" t="inlineStr">
        <is>
          <t>ÖSTHAMMAR</t>
        </is>
      </c>
      <c r="G590" t="n">
        <v>5.4</v>
      </c>
      <c r="H590" t="n">
        <v>0</v>
      </c>
      <c r="I590" t="n">
        <v>0</v>
      </c>
      <c r="J590" t="n">
        <v>0</v>
      </c>
      <c r="K590" t="n">
        <v>0</v>
      </c>
      <c r="L590" t="n">
        <v>0</v>
      </c>
      <c r="M590" t="n">
        <v>0</v>
      </c>
      <c r="N590" t="n">
        <v>0</v>
      </c>
      <c r="O590" t="n">
        <v>0</v>
      </c>
      <c r="P590" t="n">
        <v>0</v>
      </c>
      <c r="Q590" t="n">
        <v>0</v>
      </c>
      <c r="R590" s="2" t="inlineStr"/>
    </row>
    <row r="591" ht="15" customHeight="1">
      <c r="A591" t="inlineStr">
        <is>
          <t>A 44366-2022</t>
        </is>
      </c>
      <c r="B591" s="1" t="n">
        <v>44839</v>
      </c>
      <c r="C591" s="1" t="n">
        <v>45821</v>
      </c>
      <c r="D591" t="inlineStr">
        <is>
          <t>UPPSALA LÄN</t>
        </is>
      </c>
      <c r="E591" t="inlineStr">
        <is>
          <t>ÖSTHAMMAR</t>
        </is>
      </c>
      <c r="G591" t="n">
        <v>8.1</v>
      </c>
      <c r="H591" t="n">
        <v>0</v>
      </c>
      <c r="I591" t="n">
        <v>0</v>
      </c>
      <c r="J591" t="n">
        <v>0</v>
      </c>
      <c r="K591" t="n">
        <v>0</v>
      </c>
      <c r="L591" t="n">
        <v>0</v>
      </c>
      <c r="M591" t="n">
        <v>0</v>
      </c>
      <c r="N591" t="n">
        <v>0</v>
      </c>
      <c r="O591" t="n">
        <v>0</v>
      </c>
      <c r="P591" t="n">
        <v>0</v>
      </c>
      <c r="Q591" t="n">
        <v>0</v>
      </c>
      <c r="R591" s="2" t="inlineStr"/>
    </row>
    <row r="592" ht="15" customHeight="1">
      <c r="A592" t="inlineStr">
        <is>
          <t>A 44184-2022</t>
        </is>
      </c>
      <c r="B592" s="1" t="n">
        <v>44839</v>
      </c>
      <c r="C592" s="1" t="n">
        <v>45821</v>
      </c>
      <c r="D592" t="inlineStr">
        <is>
          <t>UPPSALA LÄN</t>
        </is>
      </c>
      <c r="E592" t="inlineStr">
        <is>
          <t>ÖSTHAMMAR</t>
        </is>
      </c>
      <c r="G592" t="n">
        <v>4.2</v>
      </c>
      <c r="H592" t="n">
        <v>0</v>
      </c>
      <c r="I592" t="n">
        <v>0</v>
      </c>
      <c r="J592" t="n">
        <v>0</v>
      </c>
      <c r="K592" t="n">
        <v>0</v>
      </c>
      <c r="L592" t="n">
        <v>0</v>
      </c>
      <c r="M592" t="n">
        <v>0</v>
      </c>
      <c r="N592" t="n">
        <v>0</v>
      </c>
      <c r="O592" t="n">
        <v>0</v>
      </c>
      <c r="P592" t="n">
        <v>0</v>
      </c>
      <c r="Q592" t="n">
        <v>0</v>
      </c>
      <c r="R592" s="2" t="inlineStr"/>
    </row>
    <row r="593" ht="15" customHeight="1">
      <c r="A593" t="inlineStr">
        <is>
          <t>A 44617-2022</t>
        </is>
      </c>
      <c r="B593" s="1" t="n">
        <v>44840</v>
      </c>
      <c r="C593" s="1" t="n">
        <v>45821</v>
      </c>
      <c r="D593" t="inlineStr">
        <is>
          <t>UPPSALA LÄN</t>
        </is>
      </c>
      <c r="E593" t="inlineStr">
        <is>
          <t>ÖSTHAMMAR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44945-2022</t>
        </is>
      </c>
      <c r="B594" s="1" t="n">
        <v>44841</v>
      </c>
      <c r="C594" s="1" t="n">
        <v>45821</v>
      </c>
      <c r="D594" t="inlineStr">
        <is>
          <t>UPPSALA LÄN</t>
        </is>
      </c>
      <c r="E594" t="inlineStr">
        <is>
          <t>ÖSTHAMMAR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44815-2022</t>
        </is>
      </c>
      <c r="B595" s="1" t="n">
        <v>44841</v>
      </c>
      <c r="C595" s="1" t="n">
        <v>45821</v>
      </c>
      <c r="D595" t="inlineStr">
        <is>
          <t>UPPSALA LÄN</t>
        </is>
      </c>
      <c r="E595" t="inlineStr">
        <is>
          <t>ÖSTHAMMAR</t>
        </is>
      </c>
      <c r="G595" t="n">
        <v>1.8</v>
      </c>
      <c r="H595" t="n">
        <v>0</v>
      </c>
      <c r="I595" t="n">
        <v>0</v>
      </c>
      <c r="J595" t="n">
        <v>0</v>
      </c>
      <c r="K595" t="n">
        <v>0</v>
      </c>
      <c r="L595" t="n">
        <v>0</v>
      </c>
      <c r="M595" t="n">
        <v>0</v>
      </c>
      <c r="N595" t="n">
        <v>0</v>
      </c>
      <c r="O595" t="n">
        <v>0</v>
      </c>
      <c r="P595" t="n">
        <v>0</v>
      </c>
      <c r="Q595" t="n">
        <v>0</v>
      </c>
      <c r="R595" s="2" t="inlineStr"/>
    </row>
    <row r="596" ht="15" customHeight="1">
      <c r="A596" t="inlineStr">
        <is>
          <t>A 45788-2022</t>
        </is>
      </c>
      <c r="B596" s="1" t="n">
        <v>44846</v>
      </c>
      <c r="C596" s="1" t="n">
        <v>45821</v>
      </c>
      <c r="D596" t="inlineStr">
        <is>
          <t>UPPSALA LÄN</t>
        </is>
      </c>
      <c r="E596" t="inlineStr">
        <is>
          <t>ÖSTHAMMAR</t>
        </is>
      </c>
      <c r="F596" t="inlineStr">
        <is>
          <t>Övriga Aktiebolag</t>
        </is>
      </c>
      <c r="G596" t="n">
        <v>3.3</v>
      </c>
      <c r="H596" t="n">
        <v>0</v>
      </c>
      <c r="I596" t="n">
        <v>0</v>
      </c>
      <c r="J596" t="n">
        <v>0</v>
      </c>
      <c r="K596" t="n">
        <v>0</v>
      </c>
      <c r="L596" t="n">
        <v>0</v>
      </c>
      <c r="M596" t="n">
        <v>0</v>
      </c>
      <c r="N596" t="n">
        <v>0</v>
      </c>
      <c r="O596" t="n">
        <v>0</v>
      </c>
      <c r="P596" t="n">
        <v>0</v>
      </c>
      <c r="Q596" t="n">
        <v>0</v>
      </c>
      <c r="R596" s="2" t="inlineStr"/>
    </row>
    <row r="597" ht="15" customHeight="1">
      <c r="A597" t="inlineStr">
        <is>
          <t>A 46448-2022</t>
        </is>
      </c>
      <c r="B597" s="1" t="n">
        <v>44848</v>
      </c>
      <c r="C597" s="1" t="n">
        <v>45821</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46915-2022</t>
        </is>
      </c>
      <c r="B598" s="1" t="n">
        <v>44851</v>
      </c>
      <c r="C598" s="1" t="n">
        <v>45821</v>
      </c>
      <c r="D598" t="inlineStr">
        <is>
          <t>UPPSALA LÄN</t>
        </is>
      </c>
      <c r="E598" t="inlineStr">
        <is>
          <t>ÖSTHAMMAR</t>
        </is>
      </c>
      <c r="F598" t="inlineStr">
        <is>
          <t>Bergvik skog öst AB</t>
        </is>
      </c>
      <c r="G598" t="n">
        <v>7.9</v>
      </c>
      <c r="H598" t="n">
        <v>0</v>
      </c>
      <c r="I598" t="n">
        <v>0</v>
      </c>
      <c r="J598" t="n">
        <v>0</v>
      </c>
      <c r="K598" t="n">
        <v>0</v>
      </c>
      <c r="L598" t="n">
        <v>0</v>
      </c>
      <c r="M598" t="n">
        <v>0</v>
      </c>
      <c r="N598" t="n">
        <v>0</v>
      </c>
      <c r="O598" t="n">
        <v>0</v>
      </c>
      <c r="P598" t="n">
        <v>0</v>
      </c>
      <c r="Q598" t="n">
        <v>0</v>
      </c>
      <c r="R598" s="2" t="inlineStr"/>
    </row>
    <row r="599" ht="15" customHeight="1">
      <c r="A599" t="inlineStr">
        <is>
          <t>A 47163-2022</t>
        </is>
      </c>
      <c r="B599" s="1" t="n">
        <v>44852</v>
      </c>
      <c r="C599" s="1" t="n">
        <v>45821</v>
      </c>
      <c r="D599" t="inlineStr">
        <is>
          <t>UPPSALA LÄN</t>
        </is>
      </c>
      <c r="E599" t="inlineStr">
        <is>
          <t>ÖSTHAMMAR</t>
        </is>
      </c>
      <c r="G599" t="n">
        <v>5.5</v>
      </c>
      <c r="H599" t="n">
        <v>0</v>
      </c>
      <c r="I599" t="n">
        <v>0</v>
      </c>
      <c r="J599" t="n">
        <v>0</v>
      </c>
      <c r="K599" t="n">
        <v>0</v>
      </c>
      <c r="L599" t="n">
        <v>0</v>
      </c>
      <c r="M599" t="n">
        <v>0</v>
      </c>
      <c r="N599" t="n">
        <v>0</v>
      </c>
      <c r="O599" t="n">
        <v>0</v>
      </c>
      <c r="P599" t="n">
        <v>0</v>
      </c>
      <c r="Q599" t="n">
        <v>0</v>
      </c>
      <c r="R599" s="2" t="inlineStr"/>
    </row>
    <row r="600" ht="15" customHeight="1">
      <c r="A600" t="inlineStr">
        <is>
          <t>A 48191-2022</t>
        </is>
      </c>
      <c r="B600" s="1" t="n">
        <v>44858</v>
      </c>
      <c r="C600" s="1" t="n">
        <v>45821</v>
      </c>
      <c r="D600" t="inlineStr">
        <is>
          <t>UPPSALA LÄN</t>
        </is>
      </c>
      <c r="E600" t="inlineStr">
        <is>
          <t>ÖSTHAMMAR</t>
        </is>
      </c>
      <c r="G600" t="n">
        <v>3.4</v>
      </c>
      <c r="H600" t="n">
        <v>0</v>
      </c>
      <c r="I600" t="n">
        <v>0</v>
      </c>
      <c r="J600" t="n">
        <v>0</v>
      </c>
      <c r="K600" t="n">
        <v>0</v>
      </c>
      <c r="L600" t="n">
        <v>0</v>
      </c>
      <c r="M600" t="n">
        <v>0</v>
      </c>
      <c r="N600" t="n">
        <v>0</v>
      </c>
      <c r="O600" t="n">
        <v>0</v>
      </c>
      <c r="P600" t="n">
        <v>0</v>
      </c>
      <c r="Q600" t="n">
        <v>0</v>
      </c>
      <c r="R600" s="2" t="inlineStr"/>
    </row>
    <row r="601" ht="15" customHeight="1">
      <c r="A601" t="inlineStr">
        <is>
          <t>A 48231-2022</t>
        </is>
      </c>
      <c r="B601" s="1" t="n">
        <v>44858</v>
      </c>
      <c r="C601" s="1" t="n">
        <v>45821</v>
      </c>
      <c r="D601" t="inlineStr">
        <is>
          <t>UPPSALA LÄN</t>
        </is>
      </c>
      <c r="E601" t="inlineStr">
        <is>
          <t>ÖSTHAMMAR</t>
        </is>
      </c>
      <c r="G601" t="n">
        <v>1.1</v>
      </c>
      <c r="H601" t="n">
        <v>0</v>
      </c>
      <c r="I601" t="n">
        <v>0</v>
      </c>
      <c r="J601" t="n">
        <v>0</v>
      </c>
      <c r="K601" t="n">
        <v>0</v>
      </c>
      <c r="L601" t="n">
        <v>0</v>
      </c>
      <c r="M601" t="n">
        <v>0</v>
      </c>
      <c r="N601" t="n">
        <v>0</v>
      </c>
      <c r="O601" t="n">
        <v>0</v>
      </c>
      <c r="P601" t="n">
        <v>0</v>
      </c>
      <c r="Q601" t="n">
        <v>0</v>
      </c>
      <c r="R601" s="2" t="inlineStr"/>
    </row>
    <row r="602" ht="15" customHeight="1">
      <c r="A602" t="inlineStr">
        <is>
          <t>A 49097-2022</t>
        </is>
      </c>
      <c r="B602" s="1" t="n">
        <v>44860</v>
      </c>
      <c r="C602" s="1" t="n">
        <v>45821</v>
      </c>
      <c r="D602" t="inlineStr">
        <is>
          <t>UPPSALA LÄN</t>
        </is>
      </c>
      <c r="E602" t="inlineStr">
        <is>
          <t>ÖSTHAMMAR</t>
        </is>
      </c>
      <c r="G602" t="n">
        <v>6.9</v>
      </c>
      <c r="H602" t="n">
        <v>0</v>
      </c>
      <c r="I602" t="n">
        <v>0</v>
      </c>
      <c r="J602" t="n">
        <v>0</v>
      </c>
      <c r="K602" t="n">
        <v>0</v>
      </c>
      <c r="L602" t="n">
        <v>0</v>
      </c>
      <c r="M602" t="n">
        <v>0</v>
      </c>
      <c r="N602" t="n">
        <v>0</v>
      </c>
      <c r="O602" t="n">
        <v>0</v>
      </c>
      <c r="P602" t="n">
        <v>0</v>
      </c>
      <c r="Q602" t="n">
        <v>0</v>
      </c>
      <c r="R602" s="2" t="inlineStr"/>
    </row>
    <row r="603" ht="15" customHeight="1">
      <c r="A603" t="inlineStr">
        <is>
          <t>A 49334-2022</t>
        </is>
      </c>
      <c r="B603" s="1" t="n">
        <v>44861</v>
      </c>
      <c r="C603" s="1" t="n">
        <v>45821</v>
      </c>
      <c r="D603" t="inlineStr">
        <is>
          <t>UPPSALA LÄN</t>
        </is>
      </c>
      <c r="E603" t="inlineStr">
        <is>
          <t>ÖSTHAMMAR</t>
        </is>
      </c>
      <c r="G603" t="n">
        <v>3.5</v>
      </c>
      <c r="H603" t="n">
        <v>0</v>
      </c>
      <c r="I603" t="n">
        <v>0</v>
      </c>
      <c r="J603" t="n">
        <v>0</v>
      </c>
      <c r="K603" t="n">
        <v>0</v>
      </c>
      <c r="L603" t="n">
        <v>0</v>
      </c>
      <c r="M603" t="n">
        <v>0</v>
      </c>
      <c r="N603" t="n">
        <v>0</v>
      </c>
      <c r="O603" t="n">
        <v>0</v>
      </c>
      <c r="P603" t="n">
        <v>0</v>
      </c>
      <c r="Q603" t="n">
        <v>0</v>
      </c>
      <c r="R603" s="2" t="inlineStr"/>
    </row>
    <row r="604" ht="15" customHeight="1">
      <c r="A604" t="inlineStr">
        <is>
          <t>A 49914-2022</t>
        </is>
      </c>
      <c r="B604" s="1" t="n">
        <v>44865</v>
      </c>
      <c r="C604" s="1" t="n">
        <v>45821</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50576-2022</t>
        </is>
      </c>
      <c r="B605" s="1" t="n">
        <v>44866</v>
      </c>
      <c r="C605" s="1" t="n">
        <v>45821</v>
      </c>
      <c r="D605" t="inlineStr">
        <is>
          <t>UPPSALA LÄN</t>
        </is>
      </c>
      <c r="E605" t="inlineStr">
        <is>
          <t>ÖSTHAMMAR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51055-2022</t>
        </is>
      </c>
      <c r="B606" s="1" t="n">
        <v>44868</v>
      </c>
      <c r="C606" s="1" t="n">
        <v>45821</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51696-2022</t>
        </is>
      </c>
      <c r="B607" s="1" t="n">
        <v>44872</v>
      </c>
      <c r="C607" s="1" t="n">
        <v>45821</v>
      </c>
      <c r="D607" t="inlineStr">
        <is>
          <t>UPPSALA LÄN</t>
        </is>
      </c>
      <c r="E607" t="inlineStr">
        <is>
          <t>ÖSTHAMMAR</t>
        </is>
      </c>
      <c r="G607" t="n">
        <v>0.6</v>
      </c>
      <c r="H607" t="n">
        <v>0</v>
      </c>
      <c r="I607" t="n">
        <v>0</v>
      </c>
      <c r="J607" t="n">
        <v>0</v>
      </c>
      <c r="K607" t="n">
        <v>0</v>
      </c>
      <c r="L607" t="n">
        <v>0</v>
      </c>
      <c r="M607" t="n">
        <v>0</v>
      </c>
      <c r="N607" t="n">
        <v>0</v>
      </c>
      <c r="O607" t="n">
        <v>0</v>
      </c>
      <c r="P607" t="n">
        <v>0</v>
      </c>
      <c r="Q607" t="n">
        <v>0</v>
      </c>
      <c r="R607" s="2" t="inlineStr"/>
    </row>
    <row r="608" ht="15" customHeight="1">
      <c r="A608" t="inlineStr">
        <is>
          <t>A 51906-2022</t>
        </is>
      </c>
      <c r="B608" s="1" t="n">
        <v>44872</v>
      </c>
      <c r="C608" s="1" t="n">
        <v>45821</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52265-2022</t>
        </is>
      </c>
      <c r="B609" s="1" t="n">
        <v>44873</v>
      </c>
      <c r="C609" s="1" t="n">
        <v>45821</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52255-2022</t>
        </is>
      </c>
      <c r="B610" s="1" t="n">
        <v>44873</v>
      </c>
      <c r="C610" s="1" t="n">
        <v>45821</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52295-2022</t>
        </is>
      </c>
      <c r="B611" s="1" t="n">
        <v>44873</v>
      </c>
      <c r="C611" s="1" t="n">
        <v>45821</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52652-2022</t>
        </is>
      </c>
      <c r="B612" s="1" t="n">
        <v>44874</v>
      </c>
      <c r="C612" s="1" t="n">
        <v>45821</v>
      </c>
      <c r="D612" t="inlineStr">
        <is>
          <t>UPPSALA LÄN</t>
        </is>
      </c>
      <c r="E612" t="inlineStr">
        <is>
          <t>ÖSTHAMMAR</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52389-2022</t>
        </is>
      </c>
      <c r="B613" s="1" t="n">
        <v>44874</v>
      </c>
      <c r="C613" s="1" t="n">
        <v>45821</v>
      </c>
      <c r="D613" t="inlineStr">
        <is>
          <t>UPPSALA LÄN</t>
        </is>
      </c>
      <c r="E613" t="inlineStr">
        <is>
          <t>ÖSTHAMMAR</t>
        </is>
      </c>
      <c r="G613" t="n">
        <v>3.1</v>
      </c>
      <c r="H613" t="n">
        <v>0</v>
      </c>
      <c r="I613" t="n">
        <v>0</v>
      </c>
      <c r="J613" t="n">
        <v>0</v>
      </c>
      <c r="K613" t="n">
        <v>0</v>
      </c>
      <c r="L613" t="n">
        <v>0</v>
      </c>
      <c r="M613" t="n">
        <v>0</v>
      </c>
      <c r="N613" t="n">
        <v>0</v>
      </c>
      <c r="O613" t="n">
        <v>0</v>
      </c>
      <c r="P613" t="n">
        <v>0</v>
      </c>
      <c r="Q613" t="n">
        <v>0</v>
      </c>
      <c r="R613" s="2" t="inlineStr"/>
    </row>
    <row r="614" ht="15" customHeight="1">
      <c r="A614" t="inlineStr">
        <is>
          <t>A 52663-2022</t>
        </is>
      </c>
      <c r="B614" s="1" t="n">
        <v>44874</v>
      </c>
      <c r="C614" s="1" t="n">
        <v>45821</v>
      </c>
      <c r="D614" t="inlineStr">
        <is>
          <t>UPPSALA LÄN</t>
        </is>
      </c>
      <c r="E614" t="inlineStr">
        <is>
          <t>ÖSTHAMMAR</t>
        </is>
      </c>
      <c r="F614" t="inlineStr">
        <is>
          <t>Bergvik skog öst AB</t>
        </is>
      </c>
      <c r="G614" t="n">
        <v>2.6</v>
      </c>
      <c r="H614" t="n">
        <v>0</v>
      </c>
      <c r="I614" t="n">
        <v>0</v>
      </c>
      <c r="J614" t="n">
        <v>0</v>
      </c>
      <c r="K614" t="n">
        <v>0</v>
      </c>
      <c r="L614" t="n">
        <v>0</v>
      </c>
      <c r="M614" t="n">
        <v>0</v>
      </c>
      <c r="N614" t="n">
        <v>0</v>
      </c>
      <c r="O614" t="n">
        <v>0</v>
      </c>
      <c r="P614" t="n">
        <v>0</v>
      </c>
      <c r="Q614" t="n">
        <v>0</v>
      </c>
      <c r="R614" s="2" t="inlineStr"/>
    </row>
    <row r="615" ht="15" customHeight="1">
      <c r="A615" t="inlineStr">
        <is>
          <t>A 52650-2022</t>
        </is>
      </c>
      <c r="B615" s="1" t="n">
        <v>44874</v>
      </c>
      <c r="C615" s="1" t="n">
        <v>45821</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52661-2022</t>
        </is>
      </c>
      <c r="B616" s="1" t="n">
        <v>44874</v>
      </c>
      <c r="C616" s="1" t="n">
        <v>45821</v>
      </c>
      <c r="D616" t="inlineStr">
        <is>
          <t>UPPSALA LÄN</t>
        </is>
      </c>
      <c r="E616" t="inlineStr">
        <is>
          <t>ÖSTHAMMAR</t>
        </is>
      </c>
      <c r="F616" t="inlineStr">
        <is>
          <t>Bergvik skog öst AB</t>
        </is>
      </c>
      <c r="G616" t="n">
        <v>0.2</v>
      </c>
      <c r="H616" t="n">
        <v>0</v>
      </c>
      <c r="I616" t="n">
        <v>0</v>
      </c>
      <c r="J616" t="n">
        <v>0</v>
      </c>
      <c r="K616" t="n">
        <v>0</v>
      </c>
      <c r="L616" t="n">
        <v>0</v>
      </c>
      <c r="M616" t="n">
        <v>0</v>
      </c>
      <c r="N616" t="n">
        <v>0</v>
      </c>
      <c r="O616" t="n">
        <v>0</v>
      </c>
      <c r="P616" t="n">
        <v>0</v>
      </c>
      <c r="Q616" t="n">
        <v>0</v>
      </c>
      <c r="R616" s="2" t="inlineStr"/>
    </row>
    <row r="617" ht="15" customHeight="1">
      <c r="A617" t="inlineStr">
        <is>
          <t>A 53180-2022</t>
        </is>
      </c>
      <c r="B617" s="1" t="n">
        <v>44876</v>
      </c>
      <c r="C617" s="1" t="n">
        <v>45821</v>
      </c>
      <c r="D617" t="inlineStr">
        <is>
          <t>UPPSALA LÄN</t>
        </is>
      </c>
      <c r="E617" t="inlineStr">
        <is>
          <t>ÖSTHAMMAR</t>
        </is>
      </c>
      <c r="G617" t="n">
        <v>0.9</v>
      </c>
      <c r="H617" t="n">
        <v>0</v>
      </c>
      <c r="I617" t="n">
        <v>0</v>
      </c>
      <c r="J617" t="n">
        <v>0</v>
      </c>
      <c r="K617" t="n">
        <v>0</v>
      </c>
      <c r="L617" t="n">
        <v>0</v>
      </c>
      <c r="M617" t="n">
        <v>0</v>
      </c>
      <c r="N617" t="n">
        <v>0</v>
      </c>
      <c r="O617" t="n">
        <v>0</v>
      </c>
      <c r="P617" t="n">
        <v>0</v>
      </c>
      <c r="Q617" t="n">
        <v>0</v>
      </c>
      <c r="R617" s="2" t="inlineStr"/>
    </row>
    <row r="618" ht="15" customHeight="1">
      <c r="A618" t="inlineStr">
        <is>
          <t>A 54666-2022</t>
        </is>
      </c>
      <c r="B618" s="1" t="n">
        <v>44883</v>
      </c>
      <c r="C618" s="1" t="n">
        <v>45821</v>
      </c>
      <c r="D618" t="inlineStr">
        <is>
          <t>UPPSALA LÄN</t>
        </is>
      </c>
      <c r="E618" t="inlineStr">
        <is>
          <t>ÖSTHAMMAR</t>
        </is>
      </c>
      <c r="G618" t="n">
        <v>14.3</v>
      </c>
      <c r="H618" t="n">
        <v>0</v>
      </c>
      <c r="I618" t="n">
        <v>0</v>
      </c>
      <c r="J618" t="n">
        <v>0</v>
      </c>
      <c r="K618" t="n">
        <v>0</v>
      </c>
      <c r="L618" t="n">
        <v>0</v>
      </c>
      <c r="M618" t="n">
        <v>0</v>
      </c>
      <c r="N618" t="n">
        <v>0</v>
      </c>
      <c r="O618" t="n">
        <v>0</v>
      </c>
      <c r="P618" t="n">
        <v>0</v>
      </c>
      <c r="Q618" t="n">
        <v>0</v>
      </c>
      <c r="R618" s="2" t="inlineStr"/>
    </row>
    <row r="619" ht="15" customHeight="1">
      <c r="A619" t="inlineStr">
        <is>
          <t>A 56260-2022</t>
        </is>
      </c>
      <c r="B619" s="1" t="n">
        <v>44890</v>
      </c>
      <c r="C619" s="1" t="n">
        <v>45821</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56969-2022</t>
        </is>
      </c>
      <c r="B620" s="1" t="n">
        <v>44894</v>
      </c>
      <c r="C620" s="1" t="n">
        <v>45821</v>
      </c>
      <c r="D620" t="inlineStr">
        <is>
          <t>UPPSALA LÄN</t>
        </is>
      </c>
      <c r="E620" t="inlineStr">
        <is>
          <t>ÖSTHAMMAR</t>
        </is>
      </c>
      <c r="G620" t="n">
        <v>5.5</v>
      </c>
      <c r="H620" t="n">
        <v>0</v>
      </c>
      <c r="I620" t="n">
        <v>0</v>
      </c>
      <c r="J620" t="n">
        <v>0</v>
      </c>
      <c r="K620" t="n">
        <v>0</v>
      </c>
      <c r="L620" t="n">
        <v>0</v>
      </c>
      <c r="M620" t="n">
        <v>0</v>
      </c>
      <c r="N620" t="n">
        <v>0</v>
      </c>
      <c r="O620" t="n">
        <v>0</v>
      </c>
      <c r="P620" t="n">
        <v>0</v>
      </c>
      <c r="Q620" t="n">
        <v>0</v>
      </c>
      <c r="R620" s="2" t="inlineStr"/>
    </row>
    <row r="621" ht="15" customHeight="1">
      <c r="A621" t="inlineStr">
        <is>
          <t>A 57462-2022</t>
        </is>
      </c>
      <c r="B621" s="1" t="n">
        <v>44896</v>
      </c>
      <c r="C621" s="1" t="n">
        <v>45821</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57453-2022</t>
        </is>
      </c>
      <c r="B622" s="1" t="n">
        <v>44896</v>
      </c>
      <c r="C622" s="1" t="n">
        <v>45821</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58127-2022</t>
        </is>
      </c>
      <c r="B623" s="1" t="n">
        <v>44900</v>
      </c>
      <c r="C623" s="1" t="n">
        <v>45821</v>
      </c>
      <c r="D623" t="inlineStr">
        <is>
          <t>UPPSALA LÄN</t>
        </is>
      </c>
      <c r="E623" t="inlineStr">
        <is>
          <t>ÖSTHAMMAR</t>
        </is>
      </c>
      <c r="F623" t="inlineStr">
        <is>
          <t>Bergvik skog öst AB</t>
        </is>
      </c>
      <c r="G623" t="n">
        <v>6.4</v>
      </c>
      <c r="H623" t="n">
        <v>0</v>
      </c>
      <c r="I623" t="n">
        <v>0</v>
      </c>
      <c r="J623" t="n">
        <v>0</v>
      </c>
      <c r="K623" t="n">
        <v>0</v>
      </c>
      <c r="L623" t="n">
        <v>0</v>
      </c>
      <c r="M623" t="n">
        <v>0</v>
      </c>
      <c r="N623" t="n">
        <v>0</v>
      </c>
      <c r="O623" t="n">
        <v>0</v>
      </c>
      <c r="P623" t="n">
        <v>0</v>
      </c>
      <c r="Q623" t="n">
        <v>0</v>
      </c>
      <c r="R623" s="2" t="inlineStr"/>
    </row>
    <row r="624" ht="15" customHeight="1">
      <c r="A624" t="inlineStr">
        <is>
          <t>A 58367-2022</t>
        </is>
      </c>
      <c r="B624" s="1" t="n">
        <v>44901</v>
      </c>
      <c r="C624" s="1" t="n">
        <v>45821</v>
      </c>
      <c r="D624" t="inlineStr">
        <is>
          <t>UPPSALA LÄN</t>
        </is>
      </c>
      <c r="E624" t="inlineStr">
        <is>
          <t>ÖSTHAMMAR</t>
        </is>
      </c>
      <c r="F624" t="inlineStr">
        <is>
          <t>Bergvik skog öst AB</t>
        </is>
      </c>
      <c r="G624" t="n">
        <v>2</v>
      </c>
      <c r="H624" t="n">
        <v>0</v>
      </c>
      <c r="I624" t="n">
        <v>0</v>
      </c>
      <c r="J624" t="n">
        <v>0</v>
      </c>
      <c r="K624" t="n">
        <v>0</v>
      </c>
      <c r="L624" t="n">
        <v>0</v>
      </c>
      <c r="M624" t="n">
        <v>0</v>
      </c>
      <c r="N624" t="n">
        <v>0</v>
      </c>
      <c r="O624" t="n">
        <v>0</v>
      </c>
      <c r="P624" t="n">
        <v>0</v>
      </c>
      <c r="Q624" t="n">
        <v>0</v>
      </c>
      <c r="R624" s="2" t="inlineStr"/>
    </row>
    <row r="625" ht="15" customHeight="1">
      <c r="A625" t="inlineStr">
        <is>
          <t>A 58878-2022</t>
        </is>
      </c>
      <c r="B625" s="1" t="n">
        <v>44903</v>
      </c>
      <c r="C625" s="1" t="n">
        <v>45821</v>
      </c>
      <c r="D625" t="inlineStr">
        <is>
          <t>UPPSALA LÄN</t>
        </is>
      </c>
      <c r="E625" t="inlineStr">
        <is>
          <t>ÖSTHAMMAR</t>
        </is>
      </c>
      <c r="G625" t="n">
        <v>0.8</v>
      </c>
      <c r="H625" t="n">
        <v>0</v>
      </c>
      <c r="I625" t="n">
        <v>0</v>
      </c>
      <c r="J625" t="n">
        <v>0</v>
      </c>
      <c r="K625" t="n">
        <v>0</v>
      </c>
      <c r="L625" t="n">
        <v>0</v>
      </c>
      <c r="M625" t="n">
        <v>0</v>
      </c>
      <c r="N625" t="n">
        <v>0</v>
      </c>
      <c r="O625" t="n">
        <v>0</v>
      </c>
      <c r="P625" t="n">
        <v>0</v>
      </c>
      <c r="Q625" t="n">
        <v>0</v>
      </c>
      <c r="R625" s="2" t="inlineStr"/>
    </row>
    <row r="626" ht="15" customHeight="1">
      <c r="A626" t="inlineStr">
        <is>
          <t>A 60258-2022</t>
        </is>
      </c>
      <c r="B626" s="1" t="n">
        <v>44903</v>
      </c>
      <c r="C626" s="1" t="n">
        <v>45821</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59382-2022</t>
        </is>
      </c>
      <c r="B627" s="1" t="n">
        <v>44905</v>
      </c>
      <c r="C627" s="1" t="n">
        <v>45821</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59563-2022</t>
        </is>
      </c>
      <c r="B628" s="1" t="n">
        <v>44907</v>
      </c>
      <c r="C628" s="1" t="n">
        <v>45821</v>
      </c>
      <c r="D628" t="inlineStr">
        <is>
          <t>UPPSALA LÄN</t>
        </is>
      </c>
      <c r="E628" t="inlineStr">
        <is>
          <t>ÖSTHAMMAR</t>
        </is>
      </c>
      <c r="G628" t="n">
        <v>2.8</v>
      </c>
      <c r="H628" t="n">
        <v>0</v>
      </c>
      <c r="I628" t="n">
        <v>0</v>
      </c>
      <c r="J628" t="n">
        <v>0</v>
      </c>
      <c r="K628" t="n">
        <v>0</v>
      </c>
      <c r="L628" t="n">
        <v>0</v>
      </c>
      <c r="M628" t="n">
        <v>0</v>
      </c>
      <c r="N628" t="n">
        <v>0</v>
      </c>
      <c r="O628" t="n">
        <v>0</v>
      </c>
      <c r="P628" t="n">
        <v>0</v>
      </c>
      <c r="Q628" t="n">
        <v>0</v>
      </c>
      <c r="R628" s="2" t="inlineStr"/>
    </row>
    <row r="629" ht="15" customHeight="1">
      <c r="A629" t="inlineStr">
        <is>
          <t>A 59880-2022</t>
        </is>
      </c>
      <c r="B629" s="1" t="n">
        <v>44908</v>
      </c>
      <c r="C629" s="1" t="n">
        <v>45821</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60079-2022</t>
        </is>
      </c>
      <c r="B630" s="1" t="n">
        <v>44909</v>
      </c>
      <c r="C630" s="1" t="n">
        <v>45821</v>
      </c>
      <c r="D630" t="inlineStr">
        <is>
          <t>UPPSALA LÄN</t>
        </is>
      </c>
      <c r="E630" t="inlineStr">
        <is>
          <t>ÖSTHAMMAR</t>
        </is>
      </c>
      <c r="G630" t="n">
        <v>9.6</v>
      </c>
      <c r="H630" t="n">
        <v>0</v>
      </c>
      <c r="I630" t="n">
        <v>0</v>
      </c>
      <c r="J630" t="n">
        <v>0</v>
      </c>
      <c r="K630" t="n">
        <v>0</v>
      </c>
      <c r="L630" t="n">
        <v>0</v>
      </c>
      <c r="M630" t="n">
        <v>0</v>
      </c>
      <c r="N630" t="n">
        <v>0</v>
      </c>
      <c r="O630" t="n">
        <v>0</v>
      </c>
      <c r="P630" t="n">
        <v>0</v>
      </c>
      <c r="Q630" t="n">
        <v>0</v>
      </c>
      <c r="R630" s="2" t="inlineStr"/>
    </row>
    <row r="631" ht="15" customHeight="1">
      <c r="A631" t="inlineStr">
        <is>
          <t>A 60597-2022</t>
        </is>
      </c>
      <c r="B631" s="1" t="n">
        <v>44911</v>
      </c>
      <c r="C631" s="1" t="n">
        <v>45821</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61261-2022</t>
        </is>
      </c>
      <c r="B632" s="1" t="n">
        <v>44915</v>
      </c>
      <c r="C632" s="1" t="n">
        <v>45821</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61216-2022</t>
        </is>
      </c>
      <c r="B633" s="1" t="n">
        <v>44915</v>
      </c>
      <c r="C633" s="1" t="n">
        <v>45821</v>
      </c>
      <c r="D633" t="inlineStr">
        <is>
          <t>UPPSALA LÄN</t>
        </is>
      </c>
      <c r="E633" t="inlineStr">
        <is>
          <t>ÖSTHAMMAR</t>
        </is>
      </c>
      <c r="G633" t="n">
        <v>2.9</v>
      </c>
      <c r="H633" t="n">
        <v>0</v>
      </c>
      <c r="I633" t="n">
        <v>0</v>
      </c>
      <c r="J633" t="n">
        <v>0</v>
      </c>
      <c r="K633" t="n">
        <v>0</v>
      </c>
      <c r="L633" t="n">
        <v>0</v>
      </c>
      <c r="M633" t="n">
        <v>0</v>
      </c>
      <c r="N633" t="n">
        <v>0</v>
      </c>
      <c r="O633" t="n">
        <v>0</v>
      </c>
      <c r="P633" t="n">
        <v>0</v>
      </c>
      <c r="Q633" t="n">
        <v>0</v>
      </c>
      <c r="R633" s="2" t="inlineStr"/>
    </row>
    <row r="634" ht="15" customHeight="1">
      <c r="A634" t="inlineStr">
        <is>
          <t>A 61257-2022</t>
        </is>
      </c>
      <c r="B634" s="1" t="n">
        <v>44915</v>
      </c>
      <c r="C634" s="1" t="n">
        <v>45821</v>
      </c>
      <c r="D634" t="inlineStr">
        <is>
          <t>UPPSALA LÄN</t>
        </is>
      </c>
      <c r="E634" t="inlineStr">
        <is>
          <t>ÖSTHAMMAR</t>
        </is>
      </c>
      <c r="G634" t="n">
        <v>1</v>
      </c>
      <c r="H634" t="n">
        <v>0</v>
      </c>
      <c r="I634" t="n">
        <v>0</v>
      </c>
      <c r="J634" t="n">
        <v>0</v>
      </c>
      <c r="K634" t="n">
        <v>0</v>
      </c>
      <c r="L634" t="n">
        <v>0</v>
      </c>
      <c r="M634" t="n">
        <v>0</v>
      </c>
      <c r="N634" t="n">
        <v>0</v>
      </c>
      <c r="O634" t="n">
        <v>0</v>
      </c>
      <c r="P634" t="n">
        <v>0</v>
      </c>
      <c r="Q634" t="n">
        <v>0</v>
      </c>
      <c r="R634" s="2" t="inlineStr"/>
    </row>
    <row r="635" ht="15" customHeight="1">
      <c r="A635" t="inlineStr">
        <is>
          <t>A 62295-2022</t>
        </is>
      </c>
      <c r="B635" s="1" t="n">
        <v>44916</v>
      </c>
      <c r="C635" s="1" t="n">
        <v>45821</v>
      </c>
      <c r="D635" t="inlineStr">
        <is>
          <t>UPPSALA LÄN</t>
        </is>
      </c>
      <c r="E635" t="inlineStr">
        <is>
          <t>ÖSTHAMMAR</t>
        </is>
      </c>
      <c r="G635" t="n">
        <v>3.3</v>
      </c>
      <c r="H635" t="n">
        <v>0</v>
      </c>
      <c r="I635" t="n">
        <v>0</v>
      </c>
      <c r="J635" t="n">
        <v>0</v>
      </c>
      <c r="K635" t="n">
        <v>0</v>
      </c>
      <c r="L635" t="n">
        <v>0</v>
      </c>
      <c r="M635" t="n">
        <v>0</v>
      </c>
      <c r="N635" t="n">
        <v>0</v>
      </c>
      <c r="O635" t="n">
        <v>0</v>
      </c>
      <c r="P635" t="n">
        <v>0</v>
      </c>
      <c r="Q635" t="n">
        <v>0</v>
      </c>
      <c r="R635" s="2" t="inlineStr"/>
    </row>
    <row r="636" ht="15" customHeight="1">
      <c r="A636" t="inlineStr">
        <is>
          <t>A 62394-2022</t>
        </is>
      </c>
      <c r="B636" s="1" t="n">
        <v>44923</v>
      </c>
      <c r="C636" s="1" t="n">
        <v>45821</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62393-2022</t>
        </is>
      </c>
      <c r="B637" s="1" t="n">
        <v>44923</v>
      </c>
      <c r="C637" s="1" t="n">
        <v>45821</v>
      </c>
      <c r="D637" t="inlineStr">
        <is>
          <t>UPPSALA LÄN</t>
        </is>
      </c>
      <c r="E637" t="inlineStr">
        <is>
          <t>ÖSTHAMMAR</t>
        </is>
      </c>
      <c r="F637" t="inlineStr">
        <is>
          <t>Bergvik skog öst AB</t>
        </is>
      </c>
      <c r="G637" t="n">
        <v>2.7</v>
      </c>
      <c r="H637" t="n">
        <v>0</v>
      </c>
      <c r="I637" t="n">
        <v>0</v>
      </c>
      <c r="J637" t="n">
        <v>0</v>
      </c>
      <c r="K637" t="n">
        <v>0</v>
      </c>
      <c r="L637" t="n">
        <v>0</v>
      </c>
      <c r="M637" t="n">
        <v>0</v>
      </c>
      <c r="N637" t="n">
        <v>0</v>
      </c>
      <c r="O637" t="n">
        <v>0</v>
      </c>
      <c r="P637" t="n">
        <v>0</v>
      </c>
      <c r="Q637" t="n">
        <v>0</v>
      </c>
      <c r="R637" s="2" t="inlineStr"/>
    </row>
    <row r="638" ht="15" customHeight="1">
      <c r="A638" t="inlineStr">
        <is>
          <t>A 62392-2022</t>
        </is>
      </c>
      <c r="B638" s="1" t="n">
        <v>44923</v>
      </c>
      <c r="C638" s="1" t="n">
        <v>45821</v>
      </c>
      <c r="D638" t="inlineStr">
        <is>
          <t>UPPSALA LÄN</t>
        </is>
      </c>
      <c r="E638" t="inlineStr">
        <is>
          <t>ÖSTHAMMAR</t>
        </is>
      </c>
      <c r="F638" t="inlineStr">
        <is>
          <t>Bergvik skog öst AB</t>
        </is>
      </c>
      <c r="G638" t="n">
        <v>1.7</v>
      </c>
      <c r="H638" t="n">
        <v>0</v>
      </c>
      <c r="I638" t="n">
        <v>0</v>
      </c>
      <c r="J638" t="n">
        <v>0</v>
      </c>
      <c r="K638" t="n">
        <v>0</v>
      </c>
      <c r="L638" t="n">
        <v>0</v>
      </c>
      <c r="M638" t="n">
        <v>0</v>
      </c>
      <c r="N638" t="n">
        <v>0</v>
      </c>
      <c r="O638" t="n">
        <v>0</v>
      </c>
      <c r="P638" t="n">
        <v>0</v>
      </c>
      <c r="Q638" t="n">
        <v>0</v>
      </c>
      <c r="R638" s="2" t="inlineStr"/>
    </row>
    <row r="639" ht="15" customHeight="1">
      <c r="A639" t="inlineStr">
        <is>
          <t>A 62391-2022</t>
        </is>
      </c>
      <c r="B639" s="1" t="n">
        <v>44923</v>
      </c>
      <c r="C639" s="1" t="n">
        <v>45821</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57-2023</t>
        </is>
      </c>
      <c r="B640" s="1" t="n">
        <v>44928</v>
      </c>
      <c r="C640" s="1" t="n">
        <v>45821</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59-2023</t>
        </is>
      </c>
      <c r="B641" s="1" t="n">
        <v>44928</v>
      </c>
      <c r="C641" s="1" t="n">
        <v>45821</v>
      </c>
      <c r="D641" t="inlineStr">
        <is>
          <t>UPPSALA LÄN</t>
        </is>
      </c>
      <c r="E641" t="inlineStr">
        <is>
          <t>ÖSTHAMMAR</t>
        </is>
      </c>
      <c r="G641" t="n">
        <v>1.5</v>
      </c>
      <c r="H641" t="n">
        <v>0</v>
      </c>
      <c r="I641" t="n">
        <v>0</v>
      </c>
      <c r="J641" t="n">
        <v>0</v>
      </c>
      <c r="K641" t="n">
        <v>0</v>
      </c>
      <c r="L641" t="n">
        <v>0</v>
      </c>
      <c r="M641" t="n">
        <v>0</v>
      </c>
      <c r="N641" t="n">
        <v>0</v>
      </c>
      <c r="O641" t="n">
        <v>0</v>
      </c>
      <c r="P641" t="n">
        <v>0</v>
      </c>
      <c r="Q641" t="n">
        <v>0</v>
      </c>
      <c r="R641" s="2" t="inlineStr"/>
    </row>
    <row r="642" ht="15" customHeight="1">
      <c r="A642" t="inlineStr">
        <is>
          <t>A 390-2023</t>
        </is>
      </c>
      <c r="B642" s="1" t="n">
        <v>44929</v>
      </c>
      <c r="C642" s="1" t="n">
        <v>45821</v>
      </c>
      <c r="D642" t="inlineStr">
        <is>
          <t>UPPSALA LÄN</t>
        </is>
      </c>
      <c r="E642" t="inlineStr">
        <is>
          <t>ÖSTHAMMAR</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1791-2023</t>
        </is>
      </c>
      <c r="B643" s="1" t="n">
        <v>44938</v>
      </c>
      <c r="C643" s="1" t="n">
        <v>45821</v>
      </c>
      <c r="D643" t="inlineStr">
        <is>
          <t>UPPSALA LÄN</t>
        </is>
      </c>
      <c r="E643" t="inlineStr">
        <is>
          <t>ÖSTHAMMAR</t>
        </is>
      </c>
      <c r="G643" t="n">
        <v>2</v>
      </c>
      <c r="H643" t="n">
        <v>0</v>
      </c>
      <c r="I643" t="n">
        <v>0</v>
      </c>
      <c r="J643" t="n">
        <v>0</v>
      </c>
      <c r="K643" t="n">
        <v>0</v>
      </c>
      <c r="L643" t="n">
        <v>0</v>
      </c>
      <c r="M643" t="n">
        <v>0</v>
      </c>
      <c r="N643" t="n">
        <v>0</v>
      </c>
      <c r="O643" t="n">
        <v>0</v>
      </c>
      <c r="P643" t="n">
        <v>0</v>
      </c>
      <c r="Q643" t="n">
        <v>0</v>
      </c>
      <c r="R643" s="2" t="inlineStr"/>
    </row>
    <row r="644" ht="15" customHeight="1">
      <c r="A644" t="inlineStr">
        <is>
          <t>A 1800-2023</t>
        </is>
      </c>
      <c r="B644" s="1" t="n">
        <v>44938</v>
      </c>
      <c r="C644" s="1" t="n">
        <v>45821</v>
      </c>
      <c r="D644" t="inlineStr">
        <is>
          <t>UPPSALA LÄN</t>
        </is>
      </c>
      <c r="E644" t="inlineStr">
        <is>
          <t>ÖSTHAMMAR</t>
        </is>
      </c>
      <c r="G644" t="n">
        <v>1.4</v>
      </c>
      <c r="H644" t="n">
        <v>0</v>
      </c>
      <c r="I644" t="n">
        <v>0</v>
      </c>
      <c r="J644" t="n">
        <v>0</v>
      </c>
      <c r="K644" t="n">
        <v>0</v>
      </c>
      <c r="L644" t="n">
        <v>0</v>
      </c>
      <c r="M644" t="n">
        <v>0</v>
      </c>
      <c r="N644" t="n">
        <v>0</v>
      </c>
      <c r="O644" t="n">
        <v>0</v>
      </c>
      <c r="P644" t="n">
        <v>0</v>
      </c>
      <c r="Q644" t="n">
        <v>0</v>
      </c>
      <c r="R644" s="2" t="inlineStr"/>
    </row>
    <row r="645" ht="15" customHeight="1">
      <c r="A645" t="inlineStr">
        <is>
          <t>A 1796-2023</t>
        </is>
      </c>
      <c r="B645" s="1" t="n">
        <v>44938</v>
      </c>
      <c r="C645" s="1" t="n">
        <v>45821</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2733-2023</t>
        </is>
      </c>
      <c r="B646" s="1" t="n">
        <v>44943</v>
      </c>
      <c r="C646" s="1" t="n">
        <v>45821</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2967-2023</t>
        </is>
      </c>
      <c r="B647" s="1" t="n">
        <v>44945</v>
      </c>
      <c r="C647" s="1" t="n">
        <v>45821</v>
      </c>
      <c r="D647" t="inlineStr">
        <is>
          <t>UPPSALA LÄN</t>
        </is>
      </c>
      <c r="E647" t="inlineStr">
        <is>
          <t>ÖSTHAMMAR</t>
        </is>
      </c>
      <c r="F647" t="inlineStr">
        <is>
          <t>Övriga Aktiebolag</t>
        </is>
      </c>
      <c r="G647" t="n">
        <v>3.1</v>
      </c>
      <c r="H647" t="n">
        <v>0</v>
      </c>
      <c r="I647" t="n">
        <v>0</v>
      </c>
      <c r="J647" t="n">
        <v>0</v>
      </c>
      <c r="K647" t="n">
        <v>0</v>
      </c>
      <c r="L647" t="n">
        <v>0</v>
      </c>
      <c r="M647" t="n">
        <v>0</v>
      </c>
      <c r="N647" t="n">
        <v>0</v>
      </c>
      <c r="O647" t="n">
        <v>0</v>
      </c>
      <c r="P647" t="n">
        <v>0</v>
      </c>
      <c r="Q647" t="n">
        <v>0</v>
      </c>
      <c r="R647" s="2" t="inlineStr"/>
    </row>
    <row r="648" ht="15" customHeight="1">
      <c r="A648" t="inlineStr">
        <is>
          <t>A 3005-2023</t>
        </is>
      </c>
      <c r="B648" s="1" t="n">
        <v>44945</v>
      </c>
      <c r="C648" s="1" t="n">
        <v>45821</v>
      </c>
      <c r="D648" t="inlineStr">
        <is>
          <t>UPPSALA LÄN</t>
        </is>
      </c>
      <c r="E648" t="inlineStr">
        <is>
          <t>ÖSTHAMMAR</t>
        </is>
      </c>
      <c r="F648" t="inlineStr">
        <is>
          <t>Bergvik skog öst AB</t>
        </is>
      </c>
      <c r="G648" t="n">
        <v>6.5</v>
      </c>
      <c r="H648" t="n">
        <v>0</v>
      </c>
      <c r="I648" t="n">
        <v>0</v>
      </c>
      <c r="J648" t="n">
        <v>0</v>
      </c>
      <c r="K648" t="n">
        <v>0</v>
      </c>
      <c r="L648" t="n">
        <v>0</v>
      </c>
      <c r="M648" t="n">
        <v>0</v>
      </c>
      <c r="N648" t="n">
        <v>0</v>
      </c>
      <c r="O648" t="n">
        <v>0</v>
      </c>
      <c r="P648" t="n">
        <v>0</v>
      </c>
      <c r="Q648" t="n">
        <v>0</v>
      </c>
      <c r="R648" s="2" t="inlineStr"/>
    </row>
    <row r="649" ht="15" customHeight="1">
      <c r="A649" t="inlineStr">
        <is>
          <t>A 3743-2023</t>
        </is>
      </c>
      <c r="B649" s="1" t="n">
        <v>44948</v>
      </c>
      <c r="C649" s="1" t="n">
        <v>45821</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3327-2023</t>
        </is>
      </c>
      <c r="B650" s="1" t="n">
        <v>44949</v>
      </c>
      <c r="C650" s="1" t="n">
        <v>45821</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3514-2023</t>
        </is>
      </c>
      <c r="B651" s="1" t="n">
        <v>44950</v>
      </c>
      <c r="C651" s="1" t="n">
        <v>45821</v>
      </c>
      <c r="D651" t="inlineStr">
        <is>
          <t>UPPSALA LÄN</t>
        </is>
      </c>
      <c r="E651" t="inlineStr">
        <is>
          <t>ÖSTHAMMAR</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4004-2023</t>
        </is>
      </c>
      <c r="B652" s="1" t="n">
        <v>44952</v>
      </c>
      <c r="C652" s="1" t="n">
        <v>45821</v>
      </c>
      <c r="D652" t="inlineStr">
        <is>
          <t>UPPSALA LÄN</t>
        </is>
      </c>
      <c r="E652" t="inlineStr">
        <is>
          <t>ÖSTHAMMAR</t>
        </is>
      </c>
      <c r="G652" t="n">
        <v>4.1</v>
      </c>
      <c r="H652" t="n">
        <v>0</v>
      </c>
      <c r="I652" t="n">
        <v>0</v>
      </c>
      <c r="J652" t="n">
        <v>0</v>
      </c>
      <c r="K652" t="n">
        <v>0</v>
      </c>
      <c r="L652" t="n">
        <v>0</v>
      </c>
      <c r="M652" t="n">
        <v>0</v>
      </c>
      <c r="N652" t="n">
        <v>0</v>
      </c>
      <c r="O652" t="n">
        <v>0</v>
      </c>
      <c r="P652" t="n">
        <v>0</v>
      </c>
      <c r="Q652" t="n">
        <v>0</v>
      </c>
      <c r="R652" s="2" t="inlineStr"/>
    </row>
    <row r="653" ht="15" customHeight="1">
      <c r="A653" t="inlineStr">
        <is>
          <t>A 4054-2023</t>
        </is>
      </c>
      <c r="B653" s="1" t="n">
        <v>44952</v>
      </c>
      <c r="C653" s="1" t="n">
        <v>45821</v>
      </c>
      <c r="D653" t="inlineStr">
        <is>
          <t>UPPSALA LÄN</t>
        </is>
      </c>
      <c r="E653" t="inlineStr">
        <is>
          <t>ÖSTHAMMAR</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4233-2023</t>
        </is>
      </c>
      <c r="B654" s="1" t="n">
        <v>44953</v>
      </c>
      <c r="C654" s="1" t="n">
        <v>45821</v>
      </c>
      <c r="D654" t="inlineStr">
        <is>
          <t>UPPSALA LÄN</t>
        </is>
      </c>
      <c r="E654" t="inlineStr">
        <is>
          <t>ÖSTHAMMAR</t>
        </is>
      </c>
      <c r="G654" t="n">
        <v>0.9</v>
      </c>
      <c r="H654" t="n">
        <v>0</v>
      </c>
      <c r="I654" t="n">
        <v>0</v>
      </c>
      <c r="J654" t="n">
        <v>0</v>
      </c>
      <c r="K654" t="n">
        <v>0</v>
      </c>
      <c r="L654" t="n">
        <v>0</v>
      </c>
      <c r="M654" t="n">
        <v>0</v>
      </c>
      <c r="N654" t="n">
        <v>0</v>
      </c>
      <c r="O654" t="n">
        <v>0</v>
      </c>
      <c r="P654" t="n">
        <v>0</v>
      </c>
      <c r="Q654" t="n">
        <v>0</v>
      </c>
      <c r="R654" s="2" t="inlineStr"/>
    </row>
    <row r="655" ht="15" customHeight="1">
      <c r="A655" t="inlineStr">
        <is>
          <t>A 4228-2023</t>
        </is>
      </c>
      <c r="B655" s="1" t="n">
        <v>44953</v>
      </c>
      <c r="C655" s="1" t="n">
        <v>45821</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4361-2023</t>
        </is>
      </c>
      <c r="B656" s="1" t="n">
        <v>44954</v>
      </c>
      <c r="C656" s="1" t="n">
        <v>45821</v>
      </c>
      <c r="D656" t="inlineStr">
        <is>
          <t>UPPSALA LÄN</t>
        </is>
      </c>
      <c r="E656" t="inlineStr">
        <is>
          <t>ÖSTHAMMAR</t>
        </is>
      </c>
      <c r="F656" t="inlineStr">
        <is>
          <t>Bergvik skog öst AB</t>
        </is>
      </c>
      <c r="G656" t="n">
        <v>18.3</v>
      </c>
      <c r="H656" t="n">
        <v>0</v>
      </c>
      <c r="I656" t="n">
        <v>0</v>
      </c>
      <c r="J656" t="n">
        <v>0</v>
      </c>
      <c r="K656" t="n">
        <v>0</v>
      </c>
      <c r="L656" t="n">
        <v>0</v>
      </c>
      <c r="M656" t="n">
        <v>0</v>
      </c>
      <c r="N656" t="n">
        <v>0</v>
      </c>
      <c r="O656" t="n">
        <v>0</v>
      </c>
      <c r="P656" t="n">
        <v>0</v>
      </c>
      <c r="Q656" t="n">
        <v>0</v>
      </c>
      <c r="R656" s="2" t="inlineStr"/>
    </row>
    <row r="657" ht="15" customHeight="1">
      <c r="A657" t="inlineStr">
        <is>
          <t>A 5404-2023</t>
        </is>
      </c>
      <c r="B657" s="1" t="n">
        <v>44957</v>
      </c>
      <c r="C657" s="1" t="n">
        <v>45821</v>
      </c>
      <c r="D657" t="inlineStr">
        <is>
          <t>UPPSALA LÄN</t>
        </is>
      </c>
      <c r="E657" t="inlineStr">
        <is>
          <t>ÖSTHAMMAR</t>
        </is>
      </c>
      <c r="G657" t="n">
        <v>2.5</v>
      </c>
      <c r="H657" t="n">
        <v>0</v>
      </c>
      <c r="I657" t="n">
        <v>0</v>
      </c>
      <c r="J657" t="n">
        <v>0</v>
      </c>
      <c r="K657" t="n">
        <v>0</v>
      </c>
      <c r="L657" t="n">
        <v>0</v>
      </c>
      <c r="M657" t="n">
        <v>0</v>
      </c>
      <c r="N657" t="n">
        <v>0</v>
      </c>
      <c r="O657" t="n">
        <v>0</v>
      </c>
      <c r="P657" t="n">
        <v>0</v>
      </c>
      <c r="Q657" t="n">
        <v>0</v>
      </c>
      <c r="R657" s="2" t="inlineStr"/>
    </row>
    <row r="658" ht="15" customHeight="1">
      <c r="A658" t="inlineStr">
        <is>
          <t>A 5429-2023</t>
        </is>
      </c>
      <c r="B658" s="1" t="n">
        <v>44959</v>
      </c>
      <c r="C658" s="1" t="n">
        <v>45821</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5430-2023</t>
        </is>
      </c>
      <c r="B659" s="1" t="n">
        <v>44959</v>
      </c>
      <c r="C659" s="1" t="n">
        <v>45821</v>
      </c>
      <c r="D659" t="inlineStr">
        <is>
          <t>UPPSALA LÄN</t>
        </is>
      </c>
      <c r="E659" t="inlineStr">
        <is>
          <t>ÖSTHAMMAR</t>
        </is>
      </c>
      <c r="F659" t="inlineStr">
        <is>
          <t>Bergvik skog öst AB</t>
        </is>
      </c>
      <c r="G659" t="n">
        <v>18.4</v>
      </c>
      <c r="H659" t="n">
        <v>0</v>
      </c>
      <c r="I659" t="n">
        <v>0</v>
      </c>
      <c r="J659" t="n">
        <v>0</v>
      </c>
      <c r="K659" t="n">
        <v>0</v>
      </c>
      <c r="L659" t="n">
        <v>0</v>
      </c>
      <c r="M659" t="n">
        <v>0</v>
      </c>
      <c r="N659" t="n">
        <v>0</v>
      </c>
      <c r="O659" t="n">
        <v>0</v>
      </c>
      <c r="P659" t="n">
        <v>0</v>
      </c>
      <c r="Q659" t="n">
        <v>0</v>
      </c>
      <c r="R659" s="2" t="inlineStr"/>
    </row>
    <row r="660" ht="15" customHeight="1">
      <c r="A660" t="inlineStr">
        <is>
          <t>A 5643-2023</t>
        </is>
      </c>
      <c r="B660" s="1" t="n">
        <v>44960</v>
      </c>
      <c r="C660" s="1" t="n">
        <v>45821</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6629-2023</t>
        </is>
      </c>
      <c r="B661" s="1" t="n">
        <v>44960</v>
      </c>
      <c r="C661" s="1" t="n">
        <v>45821</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6635-2023</t>
        </is>
      </c>
      <c r="B662" s="1" t="n">
        <v>44960</v>
      </c>
      <c r="C662" s="1" t="n">
        <v>45821</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5832-2023</t>
        </is>
      </c>
      <c r="B663" s="1" t="n">
        <v>44963</v>
      </c>
      <c r="C663" s="1" t="n">
        <v>45821</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5836-2023</t>
        </is>
      </c>
      <c r="B664" s="1" t="n">
        <v>44963</v>
      </c>
      <c r="C664" s="1" t="n">
        <v>45821</v>
      </c>
      <c r="D664" t="inlineStr">
        <is>
          <t>UPPSALA LÄN</t>
        </is>
      </c>
      <c r="E664" t="inlineStr">
        <is>
          <t>ÖSTHAMMAR</t>
        </is>
      </c>
      <c r="G664" t="n">
        <v>1.7</v>
      </c>
      <c r="H664" t="n">
        <v>0</v>
      </c>
      <c r="I664" t="n">
        <v>0</v>
      </c>
      <c r="J664" t="n">
        <v>0</v>
      </c>
      <c r="K664" t="n">
        <v>0</v>
      </c>
      <c r="L664" t="n">
        <v>0</v>
      </c>
      <c r="M664" t="n">
        <v>0</v>
      </c>
      <c r="N664" t="n">
        <v>0</v>
      </c>
      <c r="O664" t="n">
        <v>0</v>
      </c>
      <c r="P664" t="n">
        <v>0</v>
      </c>
      <c r="Q664" t="n">
        <v>0</v>
      </c>
      <c r="R664" s="2" t="inlineStr"/>
    </row>
    <row r="665" ht="15" customHeight="1">
      <c r="A665" t="inlineStr">
        <is>
          <t>A 5831-2023</t>
        </is>
      </c>
      <c r="B665" s="1" t="n">
        <v>44963</v>
      </c>
      <c r="C665" s="1" t="n">
        <v>45821</v>
      </c>
      <c r="D665" t="inlineStr">
        <is>
          <t>UPPSALA LÄN</t>
        </is>
      </c>
      <c r="E665" t="inlineStr">
        <is>
          <t>ÖSTHAMMAR</t>
        </is>
      </c>
      <c r="G665" t="n">
        <v>8.1</v>
      </c>
      <c r="H665" t="n">
        <v>0</v>
      </c>
      <c r="I665" t="n">
        <v>0</v>
      </c>
      <c r="J665" t="n">
        <v>0</v>
      </c>
      <c r="K665" t="n">
        <v>0</v>
      </c>
      <c r="L665" t="n">
        <v>0</v>
      </c>
      <c r="M665" t="n">
        <v>0</v>
      </c>
      <c r="N665" t="n">
        <v>0</v>
      </c>
      <c r="O665" t="n">
        <v>0</v>
      </c>
      <c r="P665" t="n">
        <v>0</v>
      </c>
      <c r="Q665" t="n">
        <v>0</v>
      </c>
      <c r="R665" s="2" t="inlineStr"/>
    </row>
    <row r="666" ht="15" customHeight="1">
      <c r="A666" t="inlineStr">
        <is>
          <t>A 5857-2023</t>
        </is>
      </c>
      <c r="B666" s="1" t="n">
        <v>44963</v>
      </c>
      <c r="C666" s="1" t="n">
        <v>45821</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5884-2023</t>
        </is>
      </c>
      <c r="B667" s="1" t="n">
        <v>44963</v>
      </c>
      <c r="C667" s="1" t="n">
        <v>45821</v>
      </c>
      <c r="D667" t="inlineStr">
        <is>
          <t>UPPSALA LÄN</t>
        </is>
      </c>
      <c r="E667" t="inlineStr">
        <is>
          <t>ÖSTHAMMAR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5877-2023</t>
        </is>
      </c>
      <c r="B668" s="1" t="n">
        <v>44963</v>
      </c>
      <c r="C668" s="1" t="n">
        <v>45821</v>
      </c>
      <c r="D668" t="inlineStr">
        <is>
          <t>UPPSALA LÄN</t>
        </is>
      </c>
      <c r="E668" t="inlineStr">
        <is>
          <t>ÖSTHAMMAR</t>
        </is>
      </c>
      <c r="G668" t="n">
        <v>0.7</v>
      </c>
      <c r="H668" t="n">
        <v>0</v>
      </c>
      <c r="I668" t="n">
        <v>0</v>
      </c>
      <c r="J668" t="n">
        <v>0</v>
      </c>
      <c r="K668" t="n">
        <v>0</v>
      </c>
      <c r="L668" t="n">
        <v>0</v>
      </c>
      <c r="M668" t="n">
        <v>0</v>
      </c>
      <c r="N668" t="n">
        <v>0</v>
      </c>
      <c r="O668" t="n">
        <v>0</v>
      </c>
      <c r="P668" t="n">
        <v>0</v>
      </c>
      <c r="Q668" t="n">
        <v>0</v>
      </c>
      <c r="R668" s="2" t="inlineStr"/>
    </row>
    <row r="669" ht="15" customHeight="1">
      <c r="A669" t="inlineStr">
        <is>
          <t>A 7195-2023</t>
        </is>
      </c>
      <c r="B669" s="1" t="n">
        <v>44970</v>
      </c>
      <c r="C669" s="1" t="n">
        <v>45821</v>
      </c>
      <c r="D669" t="inlineStr">
        <is>
          <t>UPPSALA LÄN</t>
        </is>
      </c>
      <c r="E669" t="inlineStr">
        <is>
          <t>ÖSTHAMMAR</t>
        </is>
      </c>
      <c r="G669" t="n">
        <v>1.3</v>
      </c>
      <c r="H669" t="n">
        <v>0</v>
      </c>
      <c r="I669" t="n">
        <v>0</v>
      </c>
      <c r="J669" t="n">
        <v>0</v>
      </c>
      <c r="K669" t="n">
        <v>0</v>
      </c>
      <c r="L669" t="n">
        <v>0</v>
      </c>
      <c r="M669" t="n">
        <v>0</v>
      </c>
      <c r="N669" t="n">
        <v>0</v>
      </c>
      <c r="O669" t="n">
        <v>0</v>
      </c>
      <c r="P669" t="n">
        <v>0</v>
      </c>
      <c r="Q669" t="n">
        <v>0</v>
      </c>
      <c r="R669" s="2" t="inlineStr"/>
    </row>
    <row r="670" ht="15" customHeight="1">
      <c r="A670" t="inlineStr">
        <is>
          <t>A 7206-2023</t>
        </is>
      </c>
      <c r="B670" s="1" t="n">
        <v>44970</v>
      </c>
      <c r="C670" s="1" t="n">
        <v>45821</v>
      </c>
      <c r="D670" t="inlineStr">
        <is>
          <t>UPPSALA LÄN</t>
        </is>
      </c>
      <c r="E670" t="inlineStr">
        <is>
          <t>ÖSTHAMMAR</t>
        </is>
      </c>
      <c r="G670" t="n">
        <v>1</v>
      </c>
      <c r="H670" t="n">
        <v>0</v>
      </c>
      <c r="I670" t="n">
        <v>0</v>
      </c>
      <c r="J670" t="n">
        <v>0</v>
      </c>
      <c r="K670" t="n">
        <v>0</v>
      </c>
      <c r="L670" t="n">
        <v>0</v>
      </c>
      <c r="M670" t="n">
        <v>0</v>
      </c>
      <c r="N670" t="n">
        <v>0</v>
      </c>
      <c r="O670" t="n">
        <v>0</v>
      </c>
      <c r="P670" t="n">
        <v>0</v>
      </c>
      <c r="Q670" t="n">
        <v>0</v>
      </c>
      <c r="R670" s="2" t="inlineStr"/>
    </row>
    <row r="671" ht="15" customHeight="1">
      <c r="A671" t="inlineStr">
        <is>
          <t>A 7118-2023</t>
        </is>
      </c>
      <c r="B671" s="1" t="n">
        <v>44970</v>
      </c>
      <c r="C671" s="1" t="n">
        <v>45821</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7546-2023</t>
        </is>
      </c>
      <c r="B672" s="1" t="n">
        <v>44972</v>
      </c>
      <c r="C672" s="1" t="n">
        <v>45821</v>
      </c>
      <c r="D672" t="inlineStr">
        <is>
          <t>UPPSALA LÄN</t>
        </is>
      </c>
      <c r="E672" t="inlineStr">
        <is>
          <t>ÖSTHAMMAR</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7543-2023</t>
        </is>
      </c>
      <c r="B673" s="1" t="n">
        <v>44972</v>
      </c>
      <c r="C673" s="1" t="n">
        <v>45821</v>
      </c>
      <c r="D673" t="inlineStr">
        <is>
          <t>UPPSALA LÄN</t>
        </is>
      </c>
      <c r="E673" t="inlineStr">
        <is>
          <t>ÖSTHAMMAR</t>
        </is>
      </c>
      <c r="F673" t="inlineStr">
        <is>
          <t>Bergvik skog öst AB</t>
        </is>
      </c>
      <c r="G673" t="n">
        <v>13.3</v>
      </c>
      <c r="H673" t="n">
        <v>0</v>
      </c>
      <c r="I673" t="n">
        <v>0</v>
      </c>
      <c r="J673" t="n">
        <v>0</v>
      </c>
      <c r="K673" t="n">
        <v>0</v>
      </c>
      <c r="L673" t="n">
        <v>0</v>
      </c>
      <c r="M673" t="n">
        <v>0</v>
      </c>
      <c r="N673" t="n">
        <v>0</v>
      </c>
      <c r="O673" t="n">
        <v>0</v>
      </c>
      <c r="P673" t="n">
        <v>0</v>
      </c>
      <c r="Q673" t="n">
        <v>0</v>
      </c>
      <c r="R673" s="2" t="inlineStr"/>
    </row>
    <row r="674" ht="15" customHeight="1">
      <c r="A674" t="inlineStr">
        <is>
          <t>A 7560-2023</t>
        </is>
      </c>
      <c r="B674" s="1" t="n">
        <v>44972</v>
      </c>
      <c r="C674" s="1" t="n">
        <v>45821</v>
      </c>
      <c r="D674" t="inlineStr">
        <is>
          <t>UPPSALA LÄN</t>
        </is>
      </c>
      <c r="E674" t="inlineStr">
        <is>
          <t>ÖSTHAMMAR</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7876-2023</t>
        </is>
      </c>
      <c r="B675" s="1" t="n">
        <v>44973</v>
      </c>
      <c r="C675" s="1" t="n">
        <v>45821</v>
      </c>
      <c r="D675" t="inlineStr">
        <is>
          <t>UPPSALA LÄN</t>
        </is>
      </c>
      <c r="E675" t="inlineStr">
        <is>
          <t>ÖSTHAMMAR</t>
        </is>
      </c>
      <c r="G675" t="n">
        <v>0.9</v>
      </c>
      <c r="H675" t="n">
        <v>0</v>
      </c>
      <c r="I675" t="n">
        <v>0</v>
      </c>
      <c r="J675" t="n">
        <v>0</v>
      </c>
      <c r="K675" t="n">
        <v>0</v>
      </c>
      <c r="L675" t="n">
        <v>0</v>
      </c>
      <c r="M675" t="n">
        <v>0</v>
      </c>
      <c r="N675" t="n">
        <v>0</v>
      </c>
      <c r="O675" t="n">
        <v>0</v>
      </c>
      <c r="P675" t="n">
        <v>0</v>
      </c>
      <c r="Q675" t="n">
        <v>0</v>
      </c>
      <c r="R675" s="2" t="inlineStr"/>
    </row>
    <row r="676" ht="15" customHeight="1">
      <c r="A676" t="inlineStr">
        <is>
          <t>A 7944-2023</t>
        </is>
      </c>
      <c r="B676" s="1" t="n">
        <v>44973</v>
      </c>
      <c r="C676" s="1" t="n">
        <v>45821</v>
      </c>
      <c r="D676" t="inlineStr">
        <is>
          <t>UPPSALA LÄN</t>
        </is>
      </c>
      <c r="E676" t="inlineStr">
        <is>
          <t>ÖSTHAMMAR</t>
        </is>
      </c>
      <c r="G676" t="n">
        <v>4.6</v>
      </c>
      <c r="H676" t="n">
        <v>0</v>
      </c>
      <c r="I676" t="n">
        <v>0</v>
      </c>
      <c r="J676" t="n">
        <v>0</v>
      </c>
      <c r="K676" t="n">
        <v>0</v>
      </c>
      <c r="L676" t="n">
        <v>0</v>
      </c>
      <c r="M676" t="n">
        <v>0</v>
      </c>
      <c r="N676" t="n">
        <v>0</v>
      </c>
      <c r="O676" t="n">
        <v>0</v>
      </c>
      <c r="P676" t="n">
        <v>0</v>
      </c>
      <c r="Q676" t="n">
        <v>0</v>
      </c>
      <c r="R676" s="2" t="inlineStr"/>
    </row>
    <row r="677" ht="15" customHeight="1">
      <c r="A677" t="inlineStr">
        <is>
          <t>A 7975-2023</t>
        </is>
      </c>
      <c r="B677" s="1" t="n">
        <v>44973</v>
      </c>
      <c r="C677" s="1" t="n">
        <v>45821</v>
      </c>
      <c r="D677" t="inlineStr">
        <is>
          <t>UPPSALA LÄN</t>
        </is>
      </c>
      <c r="E677" t="inlineStr">
        <is>
          <t>ÖSTHAMMAR</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8006-2023</t>
        </is>
      </c>
      <c r="B678" s="1" t="n">
        <v>44973</v>
      </c>
      <c r="C678" s="1" t="n">
        <v>45821</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8616-2023</t>
        </is>
      </c>
      <c r="B679" s="1" t="n">
        <v>44977</v>
      </c>
      <c r="C679" s="1" t="n">
        <v>45821</v>
      </c>
      <c r="D679" t="inlineStr">
        <is>
          <t>UPPSALA LÄN</t>
        </is>
      </c>
      <c r="E679" t="inlineStr">
        <is>
          <t>ÖSTHAMMAR</t>
        </is>
      </c>
      <c r="F679" t="inlineStr">
        <is>
          <t>Bergvik skog öst AB</t>
        </is>
      </c>
      <c r="G679" t="n">
        <v>0.2</v>
      </c>
      <c r="H679" t="n">
        <v>0</v>
      </c>
      <c r="I679" t="n">
        <v>0</v>
      </c>
      <c r="J679" t="n">
        <v>0</v>
      </c>
      <c r="K679" t="n">
        <v>0</v>
      </c>
      <c r="L679" t="n">
        <v>0</v>
      </c>
      <c r="M679" t="n">
        <v>0</v>
      </c>
      <c r="N679" t="n">
        <v>0</v>
      </c>
      <c r="O679" t="n">
        <v>0</v>
      </c>
      <c r="P679" t="n">
        <v>0</v>
      </c>
      <c r="Q679" t="n">
        <v>0</v>
      </c>
      <c r="R679" s="2" t="inlineStr"/>
    </row>
    <row r="680" ht="15" customHeight="1">
      <c r="A680" t="inlineStr">
        <is>
          <t>A 8826-2023</t>
        </is>
      </c>
      <c r="B680" s="1" t="n">
        <v>44978</v>
      </c>
      <c r="C680" s="1" t="n">
        <v>45821</v>
      </c>
      <c r="D680" t="inlineStr">
        <is>
          <t>UPPSALA LÄN</t>
        </is>
      </c>
      <c r="E680" t="inlineStr">
        <is>
          <t>ÖSTHAMMAR</t>
        </is>
      </c>
      <c r="F680" t="inlineStr">
        <is>
          <t>Bergvik skog öst AB</t>
        </is>
      </c>
      <c r="G680" t="n">
        <v>4.3</v>
      </c>
      <c r="H680" t="n">
        <v>0</v>
      </c>
      <c r="I680" t="n">
        <v>0</v>
      </c>
      <c r="J680" t="n">
        <v>0</v>
      </c>
      <c r="K680" t="n">
        <v>0</v>
      </c>
      <c r="L680" t="n">
        <v>0</v>
      </c>
      <c r="M680" t="n">
        <v>0</v>
      </c>
      <c r="N680" t="n">
        <v>0</v>
      </c>
      <c r="O680" t="n">
        <v>0</v>
      </c>
      <c r="P680" t="n">
        <v>0</v>
      </c>
      <c r="Q680" t="n">
        <v>0</v>
      </c>
      <c r="R680" s="2" t="inlineStr"/>
    </row>
    <row r="681" ht="15" customHeight="1">
      <c r="A681" t="inlineStr">
        <is>
          <t>A 8830-2023</t>
        </is>
      </c>
      <c r="B681" s="1" t="n">
        <v>44978</v>
      </c>
      <c r="C681" s="1" t="n">
        <v>45821</v>
      </c>
      <c r="D681" t="inlineStr">
        <is>
          <t>UPPSALA LÄN</t>
        </is>
      </c>
      <c r="E681" t="inlineStr">
        <is>
          <t>ÖSTHAMMAR</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9052-2023</t>
        </is>
      </c>
      <c r="B682" s="1" t="n">
        <v>44979</v>
      </c>
      <c r="C682" s="1" t="n">
        <v>45821</v>
      </c>
      <c r="D682" t="inlineStr">
        <is>
          <t>UPPSALA LÄN</t>
        </is>
      </c>
      <c r="E682" t="inlineStr">
        <is>
          <t>ÖSTHAMMAR</t>
        </is>
      </c>
      <c r="F682" t="inlineStr">
        <is>
          <t>Kyrkan</t>
        </is>
      </c>
      <c r="G682" t="n">
        <v>0.2</v>
      </c>
      <c r="H682" t="n">
        <v>0</v>
      </c>
      <c r="I682" t="n">
        <v>0</v>
      </c>
      <c r="J682" t="n">
        <v>0</v>
      </c>
      <c r="K682" t="n">
        <v>0</v>
      </c>
      <c r="L682" t="n">
        <v>0</v>
      </c>
      <c r="M682" t="n">
        <v>0</v>
      </c>
      <c r="N682" t="n">
        <v>0</v>
      </c>
      <c r="O682" t="n">
        <v>0</v>
      </c>
      <c r="P682" t="n">
        <v>0</v>
      </c>
      <c r="Q682" t="n">
        <v>0</v>
      </c>
      <c r="R682" s="2" t="inlineStr"/>
    </row>
    <row r="683" ht="15" customHeight="1">
      <c r="A683" t="inlineStr">
        <is>
          <t>A 9543-2023</t>
        </is>
      </c>
      <c r="B683" s="1" t="n">
        <v>44981</v>
      </c>
      <c r="C683" s="1" t="n">
        <v>45821</v>
      </c>
      <c r="D683" t="inlineStr">
        <is>
          <t>UPPSALA LÄN</t>
        </is>
      </c>
      <c r="E683" t="inlineStr">
        <is>
          <t>ÖSTHAMMAR</t>
        </is>
      </c>
      <c r="F683" t="inlineStr">
        <is>
          <t>Bergvik skog öst AB</t>
        </is>
      </c>
      <c r="G683" t="n">
        <v>5.9</v>
      </c>
      <c r="H683" t="n">
        <v>0</v>
      </c>
      <c r="I683" t="n">
        <v>0</v>
      </c>
      <c r="J683" t="n">
        <v>0</v>
      </c>
      <c r="K683" t="n">
        <v>0</v>
      </c>
      <c r="L683" t="n">
        <v>0</v>
      </c>
      <c r="M683" t="n">
        <v>0</v>
      </c>
      <c r="N683" t="n">
        <v>0</v>
      </c>
      <c r="O683" t="n">
        <v>0</v>
      </c>
      <c r="P683" t="n">
        <v>0</v>
      </c>
      <c r="Q683" t="n">
        <v>0</v>
      </c>
      <c r="R683" s="2" t="inlineStr"/>
    </row>
    <row r="684" ht="15" customHeight="1">
      <c r="A684" t="inlineStr">
        <is>
          <t>A 9542-2023</t>
        </is>
      </c>
      <c r="B684" s="1" t="n">
        <v>44981</v>
      </c>
      <c r="C684" s="1" t="n">
        <v>45821</v>
      </c>
      <c r="D684" t="inlineStr">
        <is>
          <t>UPPSALA LÄN</t>
        </is>
      </c>
      <c r="E684" t="inlineStr">
        <is>
          <t>ÖSTHAMMAR</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10449-2023</t>
        </is>
      </c>
      <c r="B685" s="1" t="n">
        <v>44987</v>
      </c>
      <c r="C685" s="1" t="n">
        <v>45821</v>
      </c>
      <c r="D685" t="inlineStr">
        <is>
          <t>UPPSALA LÄN</t>
        </is>
      </c>
      <c r="E685" t="inlineStr">
        <is>
          <t>ÖSTHAMMAR</t>
        </is>
      </c>
      <c r="G685" t="n">
        <v>3.1</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45821</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45821</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45821</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45821</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45821</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45821</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45821</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45821</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45821</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45821</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45821</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45821</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45821</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45821</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45821</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45821</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45821</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45821</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45821</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45821</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45821</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45821</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45821</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45821</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45821</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45821</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45821</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45821</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45821</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45821</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45821</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45821</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45821</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45821</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45821</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45821</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45821</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45821</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45821</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45821</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45821</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45821</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45821</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45821</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45821</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45821</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45821</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45821</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45821</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45821</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45821</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45821</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45821</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45821</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45821</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45821</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45821</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45821</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45821</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45821</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45821</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45821</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45821</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45821</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45821</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45821</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45821</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45821</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45821</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45821</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45821</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45821</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45821</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45821</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45821</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45821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45821</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45821</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45821</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45821</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45821</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45821</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45821</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45821</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45821</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45821</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45821</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45821</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45821</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45821</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45821</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45821</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45821</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45821</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45821</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45821</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45821</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45821</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45821</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45821</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45821</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45821</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45821</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45821</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45821</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45821</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45821</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45821</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45821</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45821</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45821</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45821</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45821</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45821</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45821</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45821</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45821</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45821</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45821</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45821</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45821</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45821</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45821</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45821</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45821</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45821</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45821</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45821</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45821</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45821</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45821</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45821</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45821</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45821</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45821</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45821</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45821</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45821</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45821</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45821</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45821</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45821</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45821</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45821</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45821</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45821</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45821</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45821</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45821</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45821</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45821</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45821</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45821</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45821</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45821</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45821</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45821</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45821</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45821</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45821</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45821</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45821</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45821</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45821</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45821</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45821</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45821</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45821</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45821</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45821</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45821</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45821</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45821</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45821</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45821</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45821</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45821</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45821</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45821</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45821</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45821</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45821</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45821</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45821</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45821</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45821</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45821</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45821</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45821</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45821</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45821</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45821</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45821</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45821</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45821</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45821</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45821</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45821</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45821</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45821</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45821</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45821</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45821</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45821</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45821</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45821</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45821</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45821</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45821</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45821</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45821</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45821</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45821</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45821</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45821</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45821</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45821</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45821</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45821</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45821</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45821</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45821</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45821</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45821</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45821</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45821</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45821</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45821</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45821</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45821</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45821</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45821</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45821</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45821</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45821</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45821</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45821</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45821</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45821</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45821</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45821</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45821</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45821</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45821</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45821</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45821</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45821</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45821</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45821</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45821</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45821</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45821</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45821</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45821</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45821</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45821</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45821</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45821</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45821</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45821</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45821</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45821</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45821</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45821</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45821</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45821</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45821</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45821</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45821</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45821</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45821</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45821</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45821</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45821</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45821</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45821</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45821</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45821</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45821</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45821</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45821</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45821</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45821</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45821</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45821</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45821</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45821</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45821</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45821</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45821</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45821</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45821</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45821</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45821</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45821</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45821</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45821</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45821</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45821</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45821</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45821</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45821</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45821</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45821</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45821</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45821</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45821</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45821</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45821</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45821</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45821</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45821</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45821</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45821</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45821</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45821</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45821</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45821</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45821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45821</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45821</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45821</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45821</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45821</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45821</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45821</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45821</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45821</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45821</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45821</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45821</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45821</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45821</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45821</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45821</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45821</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45821</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45821</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45821</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45821</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45821</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45821</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45821</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45821</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45821</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45821</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45821</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45821</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45821</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45821</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45821</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45821</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45821</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45821</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45821</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45821</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45821</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45821</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45821</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45821</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45821</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45821</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45821</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45821</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45821</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45821</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45821</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45821</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45821</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45821</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45821</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45821</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45821</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45821</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45821</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45821</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45821</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45821</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45821</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45821</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45821</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45821</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45821</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45821</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45821</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45821</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45821</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45821</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45821</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45821</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45821</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45821</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45821</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45821</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45821</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45821</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45821</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45821</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45821</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45821</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45821</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45821</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45821</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45821</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45821</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45821</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45821</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45821</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45821</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45821</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45821</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45821</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45821</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45821</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45821</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45821</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45821</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45821</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45821</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45821</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45821</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45821</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45821</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45821</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45821</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45821</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45821</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45821</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45821</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45821</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45821</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45821</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45821</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45821</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45821</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45821</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45821</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45821</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45821</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45821</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45821</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45821</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45821</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45821</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45821</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45821</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45821</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45821</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45821</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45821</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45821</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45821</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45821</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45821</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45821</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45821</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45821</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45821</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45821</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45821</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45821</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45821</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45821</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45821</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45821</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45821</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45821</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45821</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45821</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45821</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45821</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45821</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45821</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45821</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45821</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45821</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45821</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45821</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45821</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45821</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45821</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45821</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45821</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45821</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45821</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45821</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45821</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45821</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45821</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45821</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45821</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45821</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45821</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45821</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45821</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45821</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45821</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45821</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45821</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45821</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45821</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45821</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45821</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45821</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45821</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45821</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45821</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45821</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45821</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45821</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45821</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45821</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45821</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45821</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45821</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45821</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45821</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45821</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45821</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45821</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45821</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45821</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45821</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45821</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45821</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45821</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45821</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45821</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45821</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45821</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45821</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45821</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45821</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45821</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45821</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45821</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45821</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45821</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45821</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45821</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45821</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45821</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45821</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45821</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45821</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45821</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45821</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45821</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45821</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45821</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45821</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45821</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45821</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45821</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45821</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45821</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45821</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45821</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45821</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45821</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45821</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45821</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45821</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45821</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45821</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45821</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45821</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45821</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45821</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45821</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45821</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45821</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45821</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45821</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45821</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45821</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45821</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45821</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45821</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45821</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45821</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45821</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45821</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45821</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45821</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45821</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45821</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45821</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45821</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45821</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45821</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45821</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45821</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45821</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45821</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45821</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45821</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45821</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45821</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45821</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45821</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45821</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45821</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45821</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45821</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45821</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45821</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45821</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45821</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45821</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45821</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45821</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45821</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45821</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45821</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45821</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45821</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45821</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45821</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45821</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45821</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45821</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45821</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45821</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45821</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45821</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45821</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45821</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45821</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45821</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45821</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45821</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45821</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45821</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45821</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45821</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45821</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45821</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45821</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45821</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45821</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45821</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45821</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45821</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45821</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45821</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45821</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45821</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45821</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45821</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45821</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45821</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45821</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45821</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45821</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45821</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45821</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45821</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45821</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45821</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45821</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45821</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45821</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45821</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45821</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45821</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45821</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45821</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45821</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45821</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45821</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45821</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45821</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45821</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45821</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45821</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45821</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45821</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45821</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45821</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45821</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45821</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45821</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45821</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45821</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45821</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45821</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45821</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45821</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45821</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45821</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45821</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45821</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45821</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45821</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45821</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45821</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45821</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45821</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45821</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45821</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45821</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45821</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45821</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45821</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45821</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45821</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45821</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45821</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45821</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45821</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45821</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45821</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45821</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45821</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45821</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45821</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45821</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45821</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45821</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45821</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45821</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45821</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45821</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45821</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45821</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45821</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45821</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45821</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45821</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45821</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45821</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45821</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45821</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45821</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45821</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45821</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45821</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45821</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45821</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45821</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45821</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45821</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45821</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45821</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45821</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45821</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45821</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45821</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45821</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45821</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45821</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45821</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45821</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45821</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45821</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45821</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45821</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45821</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45821</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45821</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45821</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45821</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45821</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45821</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45821</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45821</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45821</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45821</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45821</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45821</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45821</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45821</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45821</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45821</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45821</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45821</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45821</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45821</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45821</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45821</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45821</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45821</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45821</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45821</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45821</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45821</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45821</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45821</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45821</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45821</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45821</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45821</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45821</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45821</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45821</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45821</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45821</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45821</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45821</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v>
      </c>
      <c r="C1486" s="1" t="n">
        <v>45821</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24401-2025</t>
        </is>
      </c>
      <c r="B1487" s="1" t="n">
        <v>45797</v>
      </c>
      <c r="C1487" s="1" t="n">
        <v>45821</v>
      </c>
      <c r="D1487" t="inlineStr">
        <is>
          <t>UPPSALA LÄN</t>
        </is>
      </c>
      <c r="E1487" t="inlineStr">
        <is>
          <t>ÖSTHAMMAR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45821</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24412-2025</t>
        </is>
      </c>
      <c r="B1489" s="1" t="n">
        <v>45797</v>
      </c>
      <c r="C1489" s="1" t="n">
        <v>45821</v>
      </c>
      <c r="D1489" t="inlineStr">
        <is>
          <t>UPPSALA LÄN</t>
        </is>
      </c>
      <c r="E1489" t="inlineStr">
        <is>
          <t>ÖSTHAMMAR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24415-2025</t>
        </is>
      </c>
      <c r="B1490" s="1" t="n">
        <v>45797</v>
      </c>
      <c r="C1490" s="1" t="n">
        <v>45821</v>
      </c>
      <c r="D1490" t="inlineStr">
        <is>
          <t>UPPSALA LÄN</t>
        </is>
      </c>
      <c r="E1490" t="inlineStr">
        <is>
          <t>ÖSTHAMMAR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45821</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45821</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45821</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45821</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45821</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45821</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26521-2025</t>
        </is>
      </c>
      <c r="B1497" s="1" t="n">
        <v>45807</v>
      </c>
      <c r="C1497" s="1" t="n">
        <v>45821</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45821</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26526-2025</t>
        </is>
      </c>
      <c r="B1499" s="1" t="n">
        <v>45807</v>
      </c>
      <c r="C1499" s="1" t="n">
        <v>45821</v>
      </c>
      <c r="D1499" t="inlineStr">
        <is>
          <t>UPPSALA LÄN</t>
        </is>
      </c>
      <c r="E1499" t="inlineStr">
        <is>
          <t>ÖSTHAMMAR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27133-2025</t>
        </is>
      </c>
      <c r="B1500" s="1" t="n">
        <v>45811</v>
      </c>
      <c r="C1500" s="1" t="n">
        <v>45821</v>
      </c>
      <c r="D1500" t="inlineStr">
        <is>
          <t>UPPSALA LÄN</t>
        </is>
      </c>
      <c r="E1500" t="inlineStr">
        <is>
          <t>ÖSTHAMMAR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45821</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27395-2025</t>
        </is>
      </c>
      <c r="B1502" s="1" t="n">
        <v>45812</v>
      </c>
      <c r="C1502" s="1" t="n">
        <v>45821</v>
      </c>
      <c r="D1502" t="inlineStr">
        <is>
          <t>UPPSALA LÄN</t>
        </is>
      </c>
      <c r="E1502" t="inlineStr">
        <is>
          <t>ÖSTHAMMAR</t>
        </is>
      </c>
      <c r="F1502" t="inlineStr">
        <is>
          <t>Bergvik skog öst AB</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27392-2025</t>
        </is>
      </c>
      <c r="B1503" s="1" t="n">
        <v>45812</v>
      </c>
      <c r="C1503" s="1" t="n">
        <v>45821</v>
      </c>
      <c r="D1503" t="inlineStr">
        <is>
          <t>UPPSALA LÄN</t>
        </is>
      </c>
      <c r="E1503" t="inlineStr">
        <is>
          <t>ÖSTHAMMAR</t>
        </is>
      </c>
      <c r="F1503" t="inlineStr">
        <is>
          <t>Bergvik skog öst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27384-2025</t>
        </is>
      </c>
      <c r="B1504" s="1" t="n">
        <v>45812</v>
      </c>
      <c r="C1504" s="1" t="n">
        <v>45821</v>
      </c>
      <c r="D1504" t="inlineStr">
        <is>
          <t>UPPSALA LÄN</t>
        </is>
      </c>
      <c r="E1504" t="inlineStr">
        <is>
          <t>ÖSTHAMMAR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27385-2025</t>
        </is>
      </c>
      <c r="B1505" s="1" t="n">
        <v>45812</v>
      </c>
      <c r="C1505" s="1" t="n">
        <v>45821</v>
      </c>
      <c r="D1505" t="inlineStr">
        <is>
          <t>UPPSALA LÄN</t>
        </is>
      </c>
      <c r="E1505" t="inlineStr">
        <is>
          <t>ÖSTHAMMAR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27350-2025</t>
        </is>
      </c>
      <c r="B1506" s="1" t="n">
        <v>45812</v>
      </c>
      <c r="C1506" s="1" t="n">
        <v>45821</v>
      </c>
      <c r="D1506" t="inlineStr">
        <is>
          <t>UPPSALA LÄN</t>
        </is>
      </c>
      <c r="E1506" t="inlineStr">
        <is>
          <t>ÖSTHAMMAR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45821</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45821</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27347-2025</t>
        </is>
      </c>
      <c r="B1509" s="1" t="n">
        <v>45812</v>
      </c>
      <c r="C1509" s="1" t="n">
        <v>45821</v>
      </c>
      <c r="D1509" t="inlineStr">
        <is>
          <t>UPPSALA LÄN</t>
        </is>
      </c>
      <c r="E1509" t="inlineStr">
        <is>
          <t>ÖSTHAMMAR</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27476-2025</t>
        </is>
      </c>
      <c r="B1510" s="1" t="n">
        <v>45813</v>
      </c>
      <c r="C1510" s="1" t="n">
        <v>45821</v>
      </c>
      <c r="D1510" t="inlineStr">
        <is>
          <t>UPPSALA LÄN</t>
        </is>
      </c>
      <c r="E1510" t="inlineStr">
        <is>
          <t>ÖSTHAMMAR</t>
        </is>
      </c>
      <c r="F1510" t="inlineStr">
        <is>
          <t>Bergvik skog öst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27563-2025</t>
        </is>
      </c>
      <c r="B1511" s="1" t="n">
        <v>45813</v>
      </c>
      <c r="C1511" s="1" t="n">
        <v>45821</v>
      </c>
      <c r="D1511" t="inlineStr">
        <is>
          <t>UPPSALA LÄN</t>
        </is>
      </c>
      <c r="E1511" t="inlineStr">
        <is>
          <t>ÖSTHAMMAR</t>
        </is>
      </c>
      <c r="F1511" t="inlineStr">
        <is>
          <t>Bergvik skog öst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27509-2025</t>
        </is>
      </c>
      <c r="B1512" s="1" t="n">
        <v>45813</v>
      </c>
      <c r="C1512" s="1" t="n">
        <v>45821</v>
      </c>
      <c r="D1512" t="inlineStr">
        <is>
          <t>UPPSALA LÄN</t>
        </is>
      </c>
      <c r="E1512" t="inlineStr">
        <is>
          <t>ÖSTHAMMAR</t>
        </is>
      </c>
      <c r="F1512" t="inlineStr">
        <is>
          <t>Bergvik skog öst AB</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27494-2025</t>
        </is>
      </c>
      <c r="B1513" s="1" t="n">
        <v>45813</v>
      </c>
      <c r="C1513" s="1" t="n">
        <v>45821</v>
      </c>
      <c r="D1513" t="inlineStr">
        <is>
          <t>UPPSALA LÄN</t>
        </is>
      </c>
      <c r="E1513" t="inlineStr">
        <is>
          <t>ÖSTHAMMAR</t>
        </is>
      </c>
      <c r="F1513" t="inlineStr">
        <is>
          <t>Bergvik skog öst AB</t>
        </is>
      </c>
      <c r="G1513" t="n">
        <v>23.4</v>
      </c>
      <c r="H1513" t="n">
        <v>0</v>
      </c>
      <c r="I1513" t="n">
        <v>0</v>
      </c>
      <c r="J1513" t="n">
        <v>0</v>
      </c>
      <c r="K1513" t="n">
        <v>0</v>
      </c>
      <c r="L1513" t="n">
        <v>0</v>
      </c>
      <c r="M1513" t="n">
        <v>0</v>
      </c>
      <c r="N1513" t="n">
        <v>0</v>
      </c>
      <c r="O1513" t="n">
        <v>0</v>
      </c>
      <c r="P1513" t="n">
        <v>0</v>
      </c>
      <c r="Q1513" t="n">
        <v>0</v>
      </c>
      <c r="R1513" s="2" t="inlineStr"/>
    </row>
    <row r="1514" ht="15" customHeight="1">
      <c r="A1514" t="inlineStr">
        <is>
          <t>A 27490-2025</t>
        </is>
      </c>
      <c r="B1514" s="1" t="n">
        <v>45813</v>
      </c>
      <c r="C1514" s="1" t="n">
        <v>45821</v>
      </c>
      <c r="D1514" t="inlineStr">
        <is>
          <t>UPPSALA LÄN</t>
        </is>
      </c>
      <c r="E1514" t="inlineStr">
        <is>
          <t>ÖSTHAMMAR</t>
        </is>
      </c>
      <c r="F1514" t="inlineStr">
        <is>
          <t>Bergvik skog öst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27676-2025</t>
        </is>
      </c>
      <c r="B1515" s="1" t="n">
        <v>45813</v>
      </c>
      <c r="C1515" s="1" t="n">
        <v>45821</v>
      </c>
      <c r="D1515" t="inlineStr">
        <is>
          <t>UPPSALA LÄN</t>
        </is>
      </c>
      <c r="E1515" t="inlineStr">
        <is>
          <t>ÖSTHAMMAR</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27486-2025</t>
        </is>
      </c>
      <c r="B1516" s="1" t="n">
        <v>45813</v>
      </c>
      <c r="C1516" s="1" t="n">
        <v>45821</v>
      </c>
      <c r="D1516" t="inlineStr">
        <is>
          <t>UPPSALA LÄN</t>
        </is>
      </c>
      <c r="E1516" t="inlineStr">
        <is>
          <t>ÖSTHAMMAR</t>
        </is>
      </c>
      <c r="F1516" t="inlineStr">
        <is>
          <t>Bergvik skog öst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28100-2025</t>
        </is>
      </c>
      <c r="B1517" s="1" t="n">
        <v>45817</v>
      </c>
      <c r="C1517" s="1" t="n">
        <v>45821</v>
      </c>
      <c r="D1517" t="inlineStr">
        <is>
          <t>UPPSALA LÄN</t>
        </is>
      </c>
      <c r="E1517" t="inlineStr">
        <is>
          <t>ÖSTHAMMAR</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27920-2025</t>
        </is>
      </c>
      <c r="B1518" s="1" t="n">
        <v>45817</v>
      </c>
      <c r="C1518" s="1" t="n">
        <v>45821</v>
      </c>
      <c r="D1518" t="inlineStr">
        <is>
          <t>UPPSALA LÄN</t>
        </is>
      </c>
      <c r="E1518" t="inlineStr">
        <is>
          <t>ÖSTHAMMAR</t>
        </is>
      </c>
      <c r="F1518" t="inlineStr">
        <is>
          <t>Bergvik skog öst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28099-2025</t>
        </is>
      </c>
      <c r="B1519" s="1" t="n">
        <v>45817</v>
      </c>
      <c r="C1519" s="1" t="n">
        <v>45821</v>
      </c>
      <c r="D1519" t="inlineStr">
        <is>
          <t>UPPSALA LÄN</t>
        </is>
      </c>
      <c r="E1519" t="inlineStr">
        <is>
          <t>ÖSTHAMMAR</t>
        </is>
      </c>
      <c r="F1519" t="inlineStr">
        <is>
          <t>Bergvik skog öst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27853-2025</t>
        </is>
      </c>
      <c r="B1520" s="1" t="n">
        <v>45817</v>
      </c>
      <c r="C1520" s="1" t="n">
        <v>45821</v>
      </c>
      <c r="D1520" t="inlineStr">
        <is>
          <t>UPPSALA LÄN</t>
        </is>
      </c>
      <c r="E1520" t="inlineStr">
        <is>
          <t>ÖSTHAMMAR</t>
        </is>
      </c>
      <c r="F1520" t="inlineStr">
        <is>
          <t>Bergvik skog öst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27812-2025</t>
        </is>
      </c>
      <c r="B1521" s="1" t="n">
        <v>45817</v>
      </c>
      <c r="C1521" s="1" t="n">
        <v>45821</v>
      </c>
      <c r="D1521" t="inlineStr">
        <is>
          <t>UPPSALA LÄN</t>
        </is>
      </c>
      <c r="E1521" t="inlineStr">
        <is>
          <t>ÖSTHAMMAR</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28101-2025</t>
        </is>
      </c>
      <c r="B1522" s="1" t="n">
        <v>45817</v>
      </c>
      <c r="C1522" s="1" t="n">
        <v>45821</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27919-2025</t>
        </is>
      </c>
      <c r="B1523" s="1" t="n">
        <v>45817</v>
      </c>
      <c r="C1523" s="1" t="n">
        <v>45821</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28442-2025</t>
        </is>
      </c>
      <c r="B1524" s="1" t="n">
        <v>45819</v>
      </c>
      <c r="C1524" s="1" t="n">
        <v>45821</v>
      </c>
      <c r="D1524" t="inlineStr">
        <is>
          <t>UPPSALA LÄN</t>
        </is>
      </c>
      <c r="E1524" t="inlineStr">
        <is>
          <t>ÖSTHAMMAR</t>
        </is>
      </c>
      <c r="F1524" t="inlineStr">
        <is>
          <t>Övriga Aktiebolag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28745-2025</t>
        </is>
      </c>
      <c r="B1525" s="1" t="n">
        <v>45820</v>
      </c>
      <c r="C1525" s="1" t="n">
        <v>45821</v>
      </c>
      <c r="D1525" t="inlineStr">
        <is>
          <t>UPPSALA LÄN</t>
        </is>
      </c>
      <c r="E1525" t="inlineStr">
        <is>
          <t>ÖSTHAMMAR</t>
        </is>
      </c>
      <c r="G1525" t="n">
        <v>1.7</v>
      </c>
      <c r="H1525" t="n">
        <v>0</v>
      </c>
      <c r="I1525" t="n">
        <v>0</v>
      </c>
      <c r="J1525" t="n">
        <v>0</v>
      </c>
      <c r="K1525" t="n">
        <v>0</v>
      </c>
      <c r="L1525" t="n">
        <v>0</v>
      </c>
      <c r="M1525" t="n">
        <v>0</v>
      </c>
      <c r="N1525" t="n">
        <v>0</v>
      </c>
      <c r="O1525" t="n">
        <v>0</v>
      </c>
      <c r="P1525" t="n">
        <v>0</v>
      </c>
      <c r="Q1525" t="n">
        <v>0</v>
      </c>
      <c r="R1525" s="2" t="inlineStr"/>
    </row>
    <row r="1526">
      <c r="A1526" t="inlineStr">
        <is>
          <t>A 28748-2025</t>
        </is>
      </c>
      <c r="B1526" s="1" t="n">
        <v>45820</v>
      </c>
      <c r="C1526" s="1" t="n">
        <v>45821</v>
      </c>
      <c r="D1526" t="inlineStr">
        <is>
          <t>UPPSALA LÄN</t>
        </is>
      </c>
      <c r="E1526" t="inlineStr">
        <is>
          <t>ÖSTHAMMAR</t>
        </is>
      </c>
      <c r="G1526" t="n">
        <v>2</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2025-06-13T18:41:43Z</dcterms:created>
  <dcterms:modified xmlns:dcterms="http://purl.org/dc/terms/" xmlns:xsi="http://www.w3.org/2001/XMLSchema-instance" xsi:type="dcterms:W3CDTF">2025-06-13T18:41:45Z</dcterms:modified>
</cp:coreProperties>
</file>