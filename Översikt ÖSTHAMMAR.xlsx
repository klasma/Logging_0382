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45982</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45982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45982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45982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45982</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45982</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45982</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45982</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45982</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45982</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45982</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45982</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45982</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45982</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45982</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45982</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45982</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45982</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45982</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45982</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45982</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45982</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45982</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45982</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45982</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45982</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45982</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45982</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26056-2025</t>
        </is>
      </c>
      <c r="B32" s="1" t="n">
        <v>45804.79280092593</v>
      </c>
      <c r="C32" s="1" t="n">
        <v>45982</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15556-2022</t>
        </is>
      </c>
      <c r="B33" s="1" t="n">
        <v>44662</v>
      </c>
      <c r="C33" s="1" t="n">
        <v>45982</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51154-2025</t>
        </is>
      </c>
      <c r="B34" s="1" t="n">
        <v>45947.57583333334</v>
      </c>
      <c r="C34" s="1" t="n">
        <v>45982</v>
      </c>
      <c r="D34" t="inlineStr">
        <is>
          <t>UPPSALA LÄN</t>
        </is>
      </c>
      <c r="E34" t="inlineStr">
        <is>
          <t>ÖSTHAMMAR</t>
        </is>
      </c>
      <c r="F34" t="inlineStr">
        <is>
          <t>Allmännings- och besparingsskogar</t>
        </is>
      </c>
      <c r="G34" t="n">
        <v>4.5</v>
      </c>
      <c r="H34" t="n">
        <v>5</v>
      </c>
      <c r="I34" t="n">
        <v>2</v>
      </c>
      <c r="J34" t="n">
        <v>2</v>
      </c>
      <c r="K34" t="n">
        <v>0</v>
      </c>
      <c r="L34" t="n">
        <v>0</v>
      </c>
      <c r="M34" t="n">
        <v>0</v>
      </c>
      <c r="N34" t="n">
        <v>0</v>
      </c>
      <c r="O34" t="n">
        <v>2</v>
      </c>
      <c r="P34" t="n">
        <v>0</v>
      </c>
      <c r="Q34" t="n">
        <v>5</v>
      </c>
      <c r="R34" s="2" t="inlineStr">
        <is>
          <t>Rödvingetrast
Talltita
Nästrot
Tvåblad
Blåsippa</t>
        </is>
      </c>
      <c r="S34">
        <f>HYPERLINK("https://klasma.github.io/Logging_0382/artfynd/A 51154-2025 artfynd.xlsx", "A 51154-2025")</f>
        <v/>
      </c>
      <c r="T34">
        <f>HYPERLINK("https://klasma.github.io/Logging_0382/kartor/A 51154-2025 karta.png", "A 51154-2025")</f>
        <v/>
      </c>
      <c r="V34">
        <f>HYPERLINK("https://klasma.github.io/Logging_0382/klagomål/A 51154-2025 FSC-klagomål.docx", "A 51154-2025")</f>
        <v/>
      </c>
      <c r="W34">
        <f>HYPERLINK("https://klasma.github.io/Logging_0382/klagomålsmail/A 51154-2025 FSC-klagomål mail.docx", "A 51154-2025")</f>
        <v/>
      </c>
      <c r="X34">
        <f>HYPERLINK("https://klasma.github.io/Logging_0382/tillsyn/A 51154-2025 tillsynsbegäran.docx", "A 51154-2025")</f>
        <v/>
      </c>
      <c r="Y34">
        <f>HYPERLINK("https://klasma.github.io/Logging_0382/tillsynsmail/A 51154-2025 tillsynsbegäran mail.docx", "A 51154-2025")</f>
        <v/>
      </c>
      <c r="Z34">
        <f>HYPERLINK("https://klasma.github.io/Logging_0382/fåglar/A 51154-2025 prioriterade fågelarter.docx", "A 51154-2025")</f>
        <v/>
      </c>
    </row>
    <row r="35" ht="15" customHeight="1">
      <c r="A35" t="inlineStr">
        <is>
          <t>A 51517-2025</t>
        </is>
      </c>
      <c r="B35" s="1" t="n">
        <v>45950.65636574074</v>
      </c>
      <c r="C35" s="1" t="n">
        <v>45982</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24563-2022</t>
        </is>
      </c>
      <c r="B36" s="1" t="n">
        <v>44727</v>
      </c>
      <c r="C36" s="1" t="n">
        <v>45982</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43992-2022</t>
        </is>
      </c>
      <c r="B37" s="1" t="n">
        <v>44837</v>
      </c>
      <c r="C37" s="1" t="n">
        <v>45982</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23498-2023</t>
        </is>
      </c>
      <c r="B38" s="1" t="n">
        <v>45076</v>
      </c>
      <c r="C38" s="1" t="n">
        <v>45982</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45982</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45982</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45982</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45982</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45982</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45982</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45982</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55051-2021</t>
        </is>
      </c>
      <c r="B46" s="1" t="n">
        <v>44474</v>
      </c>
      <c r="C46" s="1" t="n">
        <v>45982</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25044-2025</t>
        </is>
      </c>
      <c r="B47" s="1" t="n">
        <v>45799.66607638889</v>
      </c>
      <c r="C47" s="1" t="n">
        <v>45982</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45982</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9683-2023</t>
        </is>
      </c>
      <c r="B49" s="1" t="n">
        <v>44984.43856481482</v>
      </c>
      <c r="C49" s="1" t="n">
        <v>45982</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45982</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45982</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45982</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26557-2022</t>
        </is>
      </c>
      <c r="B53" s="1" t="n">
        <v>44739</v>
      </c>
      <c r="C53" s="1" t="n">
        <v>45982</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45982</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45982</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45982</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41303-2025</t>
        </is>
      </c>
      <c r="B57" s="1" t="n">
        <v>45898.69215277778</v>
      </c>
      <c r="C57" s="1" t="n">
        <v>45982</v>
      </c>
      <c r="D57" t="inlineStr">
        <is>
          <t>UPPSALA LÄN</t>
        </is>
      </c>
      <c r="E57" t="inlineStr">
        <is>
          <t>ÖSTHAMMAR</t>
        </is>
      </c>
      <c r="G57" t="n">
        <v>10.1</v>
      </c>
      <c r="H57" t="n">
        <v>1</v>
      </c>
      <c r="I57" t="n">
        <v>1</v>
      </c>
      <c r="J57" t="n">
        <v>0</v>
      </c>
      <c r="K57" t="n">
        <v>0</v>
      </c>
      <c r="L57" t="n">
        <v>0</v>
      </c>
      <c r="M57" t="n">
        <v>0</v>
      </c>
      <c r="N57" t="n">
        <v>0</v>
      </c>
      <c r="O57" t="n">
        <v>0</v>
      </c>
      <c r="P57" t="n">
        <v>0</v>
      </c>
      <c r="Q57" t="n">
        <v>2</v>
      </c>
      <c r="R57" s="2" t="inlineStr">
        <is>
          <t>Svavelriska
Revlummer</t>
        </is>
      </c>
      <c r="S57">
        <f>HYPERLINK("https://klasma.github.io/Logging_0382/artfynd/A 41303-2025 artfynd.xlsx", "A 41303-2025")</f>
        <v/>
      </c>
      <c r="T57">
        <f>HYPERLINK("https://klasma.github.io/Logging_0382/kartor/A 41303-2025 karta.png", "A 41303-2025")</f>
        <v/>
      </c>
      <c r="V57">
        <f>HYPERLINK("https://klasma.github.io/Logging_0382/klagomål/A 41303-2025 FSC-klagomål.docx", "A 41303-2025")</f>
        <v/>
      </c>
      <c r="W57">
        <f>HYPERLINK("https://klasma.github.io/Logging_0382/klagomålsmail/A 41303-2025 FSC-klagomål mail.docx", "A 41303-2025")</f>
        <v/>
      </c>
      <c r="X57">
        <f>HYPERLINK("https://klasma.github.io/Logging_0382/tillsyn/A 41303-2025 tillsynsbegäran.docx", "A 41303-2025")</f>
        <v/>
      </c>
      <c r="Y57">
        <f>HYPERLINK("https://klasma.github.io/Logging_0382/tillsynsmail/A 41303-2025 tillsynsbegäran mail.docx", "A 41303-2025")</f>
        <v/>
      </c>
    </row>
    <row r="58" ht="15" customHeight="1">
      <c r="A58" t="inlineStr">
        <is>
          <t>A 2916-2025</t>
        </is>
      </c>
      <c r="B58" s="1" t="n">
        <v>45677</v>
      </c>
      <c r="C58" s="1" t="n">
        <v>45982</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51522-2025</t>
        </is>
      </c>
      <c r="B59" s="1" t="n">
        <v>45950.65743055556</v>
      </c>
      <c r="C59" s="1" t="n">
        <v>45982</v>
      </c>
      <c r="D59" t="inlineStr">
        <is>
          <t>UPPSALA LÄN</t>
        </is>
      </c>
      <c r="E59" t="inlineStr">
        <is>
          <t>ÖSTHAMMAR</t>
        </is>
      </c>
      <c r="F59" t="inlineStr">
        <is>
          <t>Bergvik skog öst AB</t>
        </is>
      </c>
      <c r="G59" t="n">
        <v>11</v>
      </c>
      <c r="H59" t="n">
        <v>0</v>
      </c>
      <c r="I59" t="n">
        <v>0</v>
      </c>
      <c r="J59" t="n">
        <v>2</v>
      </c>
      <c r="K59" t="n">
        <v>0</v>
      </c>
      <c r="L59" t="n">
        <v>0</v>
      </c>
      <c r="M59" t="n">
        <v>0</v>
      </c>
      <c r="N59" t="n">
        <v>0</v>
      </c>
      <c r="O59" t="n">
        <v>2</v>
      </c>
      <c r="P59" t="n">
        <v>0</v>
      </c>
      <c r="Q59" t="n">
        <v>2</v>
      </c>
      <c r="R59" s="2" t="inlineStr">
        <is>
          <t>Puderspindling
Rosenticka</t>
        </is>
      </c>
      <c r="S59">
        <f>HYPERLINK("https://klasma.github.io/Logging_0382/artfynd/A 51522-2025 artfynd.xlsx", "A 51522-2025")</f>
        <v/>
      </c>
      <c r="T59">
        <f>HYPERLINK("https://klasma.github.io/Logging_0382/kartor/A 51522-2025 karta.png", "A 51522-2025")</f>
        <v/>
      </c>
      <c r="U59">
        <f>HYPERLINK("https://klasma.github.io/Logging_0382/knärot/A 51522-2025 karta knärot.png", "A 51522-2025")</f>
        <v/>
      </c>
      <c r="V59">
        <f>HYPERLINK("https://klasma.github.io/Logging_0382/klagomål/A 51522-2025 FSC-klagomål.docx", "A 51522-2025")</f>
        <v/>
      </c>
      <c r="W59">
        <f>HYPERLINK("https://klasma.github.io/Logging_0382/klagomålsmail/A 51522-2025 FSC-klagomål mail.docx", "A 51522-2025")</f>
        <v/>
      </c>
      <c r="X59">
        <f>HYPERLINK("https://klasma.github.io/Logging_0382/tillsyn/A 51522-2025 tillsynsbegäran.docx", "A 51522-2025")</f>
        <v/>
      </c>
      <c r="Y59">
        <f>HYPERLINK("https://klasma.github.io/Logging_0382/tillsynsmail/A 51522-2025 tillsynsbegäran mail.docx", "A 51522-2025")</f>
        <v/>
      </c>
    </row>
    <row r="60" ht="15" customHeight="1">
      <c r="A60" t="inlineStr">
        <is>
          <t>A 18539-2024</t>
        </is>
      </c>
      <c r="B60" s="1" t="n">
        <v>45425.63697916667</v>
      </c>
      <c r="C60" s="1" t="n">
        <v>45982</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33269-2025</t>
        </is>
      </c>
      <c r="B61" s="1" t="n">
        <v>45840.68208333333</v>
      </c>
      <c r="C61" s="1" t="n">
        <v>45982</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20553-2025</t>
        </is>
      </c>
      <c r="B62" s="1" t="n">
        <v>45775.63983796296</v>
      </c>
      <c r="C62" s="1" t="n">
        <v>45982</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37768-2025</t>
        </is>
      </c>
      <c r="B63" s="1" t="n">
        <v>45880</v>
      </c>
      <c r="C63" s="1" t="n">
        <v>45982</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56669-2025</t>
        </is>
      </c>
      <c r="B64" s="1" t="n">
        <v>45975.69306712963</v>
      </c>
      <c r="C64" s="1" t="n">
        <v>45982</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13287-2022</t>
        </is>
      </c>
      <c r="B65" s="1" t="n">
        <v>44644</v>
      </c>
      <c r="C65" s="1" t="n">
        <v>45982</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45982</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45982</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45982</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45982</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45982</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45982</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45982</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45982</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45982</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45982</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45982</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45982</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45982</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45982</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14203-2024</t>
        </is>
      </c>
      <c r="B80" s="1" t="n">
        <v>45393</v>
      </c>
      <c r="C80" s="1" t="n">
        <v>45982</v>
      </c>
      <c r="D80" t="inlineStr">
        <is>
          <t>UPPSALA LÄN</t>
        </is>
      </c>
      <c r="E80" t="inlineStr">
        <is>
          <t>ÖSTHAMMAR</t>
        </is>
      </c>
      <c r="G80" t="n">
        <v>1.4</v>
      </c>
      <c r="H80" t="n">
        <v>0</v>
      </c>
      <c r="I80" t="n">
        <v>0</v>
      </c>
      <c r="J80" t="n">
        <v>1</v>
      </c>
      <c r="K80" t="n">
        <v>0</v>
      </c>
      <c r="L80" t="n">
        <v>0</v>
      </c>
      <c r="M80" t="n">
        <v>0</v>
      </c>
      <c r="N80" t="n">
        <v>0</v>
      </c>
      <c r="O80" t="n">
        <v>1</v>
      </c>
      <c r="P80" t="n">
        <v>0</v>
      </c>
      <c r="Q80" t="n">
        <v>1</v>
      </c>
      <c r="R80" s="2" t="inlineStr">
        <is>
          <t>Scharlakansvaxing</t>
        </is>
      </c>
      <c r="S80">
        <f>HYPERLINK("https://klasma.github.io/Logging_0382/artfynd/A 14203-2024 artfynd.xlsx", "A 14203-2024")</f>
        <v/>
      </c>
      <c r="T80">
        <f>HYPERLINK("https://klasma.github.io/Logging_0382/kartor/A 14203-2024 karta.png", "A 14203-2024")</f>
        <v/>
      </c>
      <c r="V80">
        <f>HYPERLINK("https://klasma.github.io/Logging_0382/klagomål/A 14203-2024 FSC-klagomål.docx", "A 14203-2024")</f>
        <v/>
      </c>
      <c r="W80">
        <f>HYPERLINK("https://klasma.github.io/Logging_0382/klagomålsmail/A 14203-2024 FSC-klagomål mail.docx", "A 14203-2024")</f>
        <v/>
      </c>
      <c r="X80">
        <f>HYPERLINK("https://klasma.github.io/Logging_0382/tillsyn/A 14203-2024 tillsynsbegäran.docx", "A 14203-2024")</f>
        <v/>
      </c>
      <c r="Y80">
        <f>HYPERLINK("https://klasma.github.io/Logging_0382/tillsynsmail/A 14203-2024 tillsynsbegäran mail.docx", "A 14203-2024")</f>
        <v/>
      </c>
    </row>
    <row r="81" ht="15" customHeight="1">
      <c r="A81" t="inlineStr">
        <is>
          <t>A 7446-2022</t>
        </is>
      </c>
      <c r="B81" s="1" t="n">
        <v>44606</v>
      </c>
      <c r="C81" s="1" t="n">
        <v>45982</v>
      </c>
      <c r="D81" t="inlineStr">
        <is>
          <t>UPPSALA LÄN</t>
        </is>
      </c>
      <c r="E81" t="inlineStr">
        <is>
          <t>ÖSTHAMMAR</t>
        </is>
      </c>
      <c r="G81" t="n">
        <v>5</v>
      </c>
      <c r="H81" t="n">
        <v>1</v>
      </c>
      <c r="I81" t="n">
        <v>0</v>
      </c>
      <c r="J81" t="n">
        <v>0</v>
      </c>
      <c r="K81" t="n">
        <v>0</v>
      </c>
      <c r="L81" t="n">
        <v>0</v>
      </c>
      <c r="M81" t="n">
        <v>0</v>
      </c>
      <c r="N81" t="n">
        <v>0</v>
      </c>
      <c r="O81" t="n">
        <v>0</v>
      </c>
      <c r="P81" t="n">
        <v>0</v>
      </c>
      <c r="Q81" t="n">
        <v>1</v>
      </c>
      <c r="R81" s="2" t="inlineStr">
        <is>
          <t>Mattlummer</t>
        </is>
      </c>
      <c r="S81">
        <f>HYPERLINK("https://klasma.github.io/Logging_0382/artfynd/A 7446-2022 artfynd.xlsx", "A 7446-2022")</f>
        <v/>
      </c>
      <c r="T81">
        <f>HYPERLINK("https://klasma.github.io/Logging_0382/kartor/A 7446-2022 karta.png", "A 7446-2022")</f>
        <v/>
      </c>
      <c r="V81">
        <f>HYPERLINK("https://klasma.github.io/Logging_0382/klagomål/A 7446-2022 FSC-klagomål.docx", "A 7446-2022")</f>
        <v/>
      </c>
      <c r="W81">
        <f>HYPERLINK("https://klasma.github.io/Logging_0382/klagomålsmail/A 7446-2022 FSC-klagomål mail.docx", "A 7446-2022")</f>
        <v/>
      </c>
      <c r="X81">
        <f>HYPERLINK("https://klasma.github.io/Logging_0382/tillsyn/A 7446-2022 tillsynsbegäran.docx", "A 7446-2022")</f>
        <v/>
      </c>
      <c r="Y81">
        <f>HYPERLINK("https://klasma.github.io/Logging_0382/tillsynsmail/A 7446-2022 tillsynsbegäran mail.docx", "A 7446-2022")</f>
        <v/>
      </c>
    </row>
    <row r="82" ht="15" customHeight="1">
      <c r="A82" t="inlineStr">
        <is>
          <t>A 41220-2025</t>
        </is>
      </c>
      <c r="B82" s="1" t="n">
        <v>45898.58630787037</v>
      </c>
      <c r="C82" s="1" t="n">
        <v>45982</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22287-2023</t>
        </is>
      </c>
      <c r="B83" s="1" t="n">
        <v>45070</v>
      </c>
      <c r="C83" s="1" t="n">
        <v>45982</v>
      </c>
      <c r="D83" t="inlineStr">
        <is>
          <t>UPPSALA LÄN</t>
        </is>
      </c>
      <c r="E83" t="inlineStr">
        <is>
          <t>ÖSTHAMMAR</t>
        </is>
      </c>
      <c r="G83" t="n">
        <v>6.3</v>
      </c>
      <c r="H83" t="n">
        <v>1</v>
      </c>
      <c r="I83" t="n">
        <v>1</v>
      </c>
      <c r="J83" t="n">
        <v>0</v>
      </c>
      <c r="K83" t="n">
        <v>0</v>
      </c>
      <c r="L83" t="n">
        <v>0</v>
      </c>
      <c r="M83" t="n">
        <v>0</v>
      </c>
      <c r="N83" t="n">
        <v>0</v>
      </c>
      <c r="O83" t="n">
        <v>0</v>
      </c>
      <c r="P83" t="n">
        <v>0</v>
      </c>
      <c r="Q83" t="n">
        <v>1</v>
      </c>
      <c r="R83" s="2" t="inlineStr">
        <is>
          <t>Guckusko</t>
        </is>
      </c>
      <c r="S83">
        <f>HYPERLINK("https://klasma.github.io/Logging_0382/artfynd/A 22287-2023 artfynd.xlsx", "A 22287-2023")</f>
        <v/>
      </c>
      <c r="T83">
        <f>HYPERLINK("https://klasma.github.io/Logging_0382/kartor/A 22287-2023 karta.png", "A 22287-2023")</f>
        <v/>
      </c>
      <c r="V83">
        <f>HYPERLINK("https://klasma.github.io/Logging_0382/klagomål/A 22287-2023 FSC-klagomål.docx", "A 22287-2023")</f>
        <v/>
      </c>
      <c r="W83">
        <f>HYPERLINK("https://klasma.github.io/Logging_0382/klagomålsmail/A 22287-2023 FSC-klagomål mail.docx", "A 22287-2023")</f>
        <v/>
      </c>
      <c r="X83">
        <f>HYPERLINK("https://klasma.github.io/Logging_0382/tillsyn/A 22287-2023 tillsynsbegäran.docx", "A 22287-2023")</f>
        <v/>
      </c>
      <c r="Y83">
        <f>HYPERLINK("https://klasma.github.io/Logging_0382/tillsynsmail/A 22287-2023 tillsynsbegäran mail.docx", "A 22287-2023")</f>
        <v/>
      </c>
    </row>
    <row r="84" ht="15" customHeight="1">
      <c r="A84" t="inlineStr">
        <is>
          <t>A 30605-2025</t>
        </is>
      </c>
      <c r="B84" s="1" t="n">
        <v>45831.45510416666</v>
      </c>
      <c r="C84" s="1" t="n">
        <v>45982</v>
      </c>
      <c r="D84" t="inlineStr">
        <is>
          <t>UPPSALA LÄN</t>
        </is>
      </c>
      <c r="E84" t="inlineStr">
        <is>
          <t>ÖSTHAMMAR</t>
        </is>
      </c>
      <c r="G84" t="n">
        <v>1.7</v>
      </c>
      <c r="H84" t="n">
        <v>0</v>
      </c>
      <c r="I84" t="n">
        <v>0</v>
      </c>
      <c r="J84" t="n">
        <v>0</v>
      </c>
      <c r="K84" t="n">
        <v>1</v>
      </c>
      <c r="L84" t="n">
        <v>0</v>
      </c>
      <c r="M84" t="n">
        <v>0</v>
      </c>
      <c r="N84" t="n">
        <v>0</v>
      </c>
      <c r="O84" t="n">
        <v>1</v>
      </c>
      <c r="P84" t="n">
        <v>1</v>
      </c>
      <c r="Q84" t="n">
        <v>1</v>
      </c>
      <c r="R84" s="2" t="inlineStr">
        <is>
          <t>Plattsäv</t>
        </is>
      </c>
      <c r="S84">
        <f>HYPERLINK("https://klasma.github.io/Logging_0382/artfynd/A 30605-2025 artfynd.xlsx", "A 30605-2025")</f>
        <v/>
      </c>
      <c r="T84">
        <f>HYPERLINK("https://klasma.github.io/Logging_0382/kartor/A 30605-2025 karta.png", "A 30605-2025")</f>
        <v/>
      </c>
      <c r="V84">
        <f>HYPERLINK("https://klasma.github.io/Logging_0382/klagomål/A 30605-2025 FSC-klagomål.docx", "A 30605-2025")</f>
        <v/>
      </c>
      <c r="W84">
        <f>HYPERLINK("https://klasma.github.io/Logging_0382/klagomålsmail/A 30605-2025 FSC-klagomål mail.docx", "A 30605-2025")</f>
        <v/>
      </c>
      <c r="X84">
        <f>HYPERLINK("https://klasma.github.io/Logging_0382/tillsyn/A 30605-2025 tillsynsbegäran.docx", "A 30605-2025")</f>
        <v/>
      </c>
      <c r="Y84">
        <f>HYPERLINK("https://klasma.github.io/Logging_0382/tillsynsmail/A 30605-2025 tillsynsbegäran mail.docx", "A 30605-2025")</f>
        <v/>
      </c>
    </row>
    <row r="85" ht="15" customHeight="1">
      <c r="A85" t="inlineStr">
        <is>
          <t>A 52879-2025</t>
        </is>
      </c>
      <c r="B85" s="1" t="n">
        <v>45957.544375</v>
      </c>
      <c r="C85" s="1" t="n">
        <v>45982</v>
      </c>
      <c r="D85" t="inlineStr">
        <is>
          <t>UPPSALA LÄN</t>
        </is>
      </c>
      <c r="E85" t="inlineStr">
        <is>
          <t>ÖSTHAMMAR</t>
        </is>
      </c>
      <c r="G85" t="n">
        <v>2.2</v>
      </c>
      <c r="H85" t="n">
        <v>1</v>
      </c>
      <c r="I85" t="n">
        <v>0</v>
      </c>
      <c r="J85" t="n">
        <v>0</v>
      </c>
      <c r="K85" t="n">
        <v>0</v>
      </c>
      <c r="L85" t="n">
        <v>0</v>
      </c>
      <c r="M85" t="n">
        <v>0</v>
      </c>
      <c r="N85" t="n">
        <v>0</v>
      </c>
      <c r="O85" t="n">
        <v>0</v>
      </c>
      <c r="P85" t="n">
        <v>0</v>
      </c>
      <c r="Q85" t="n">
        <v>1</v>
      </c>
      <c r="R85" s="2" t="inlineStr">
        <is>
          <t>Blåsippa</t>
        </is>
      </c>
      <c r="S85">
        <f>HYPERLINK("https://klasma.github.io/Logging_0382/artfynd/A 52879-2025 artfynd.xlsx", "A 52879-2025")</f>
        <v/>
      </c>
      <c r="T85">
        <f>HYPERLINK("https://klasma.github.io/Logging_0382/kartor/A 52879-2025 karta.png", "A 52879-2025")</f>
        <v/>
      </c>
      <c r="V85">
        <f>HYPERLINK("https://klasma.github.io/Logging_0382/klagomål/A 52879-2025 FSC-klagomål.docx", "A 52879-2025")</f>
        <v/>
      </c>
      <c r="W85">
        <f>HYPERLINK("https://klasma.github.io/Logging_0382/klagomålsmail/A 52879-2025 FSC-klagomål mail.docx", "A 52879-2025")</f>
        <v/>
      </c>
      <c r="X85">
        <f>HYPERLINK("https://klasma.github.io/Logging_0382/tillsyn/A 52879-2025 tillsynsbegäran.docx", "A 52879-2025")</f>
        <v/>
      </c>
      <c r="Y85">
        <f>HYPERLINK("https://klasma.github.io/Logging_0382/tillsynsmail/A 52879-2025 tillsynsbegäran mail.docx", "A 52879-2025")</f>
        <v/>
      </c>
    </row>
    <row r="86" ht="15" customHeight="1">
      <c r="A86" t="inlineStr">
        <is>
          <t>A 46629-2024</t>
        </is>
      </c>
      <c r="B86" s="1" t="n">
        <v>45583.33221064815</v>
      </c>
      <c r="C86" s="1" t="n">
        <v>45982</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10034-2023</t>
        </is>
      </c>
      <c r="B87" s="1" t="n">
        <v>44985</v>
      </c>
      <c r="C87" s="1" t="n">
        <v>45982</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7470-2022</t>
        </is>
      </c>
      <c r="B88" s="1" t="n">
        <v>44607</v>
      </c>
      <c r="C88" s="1" t="n">
        <v>45982</v>
      </c>
      <c r="D88" t="inlineStr">
        <is>
          <t>UPPSALA LÄN</t>
        </is>
      </c>
      <c r="E88" t="inlineStr">
        <is>
          <t>ÖSTHAMMAR</t>
        </is>
      </c>
      <c r="G88" t="n">
        <v>2.6</v>
      </c>
      <c r="H88" t="n">
        <v>1</v>
      </c>
      <c r="I88" t="n">
        <v>1</v>
      </c>
      <c r="J88" t="n">
        <v>0</v>
      </c>
      <c r="K88" t="n">
        <v>0</v>
      </c>
      <c r="L88" t="n">
        <v>0</v>
      </c>
      <c r="M88" t="n">
        <v>0</v>
      </c>
      <c r="N88" t="n">
        <v>0</v>
      </c>
      <c r="O88" t="n">
        <v>0</v>
      </c>
      <c r="P88" t="n">
        <v>0</v>
      </c>
      <c r="Q88" t="n">
        <v>1</v>
      </c>
      <c r="R88" s="2" t="inlineStr">
        <is>
          <t>Grön sköldmossa</t>
        </is>
      </c>
      <c r="S88">
        <f>HYPERLINK("https://klasma.github.io/Logging_0382/artfynd/A 7470-2022 artfynd.xlsx", "A 7470-2022")</f>
        <v/>
      </c>
      <c r="T88">
        <f>HYPERLINK("https://klasma.github.io/Logging_0382/kartor/A 7470-2022 karta.png", "A 7470-2022")</f>
        <v/>
      </c>
      <c r="V88">
        <f>HYPERLINK("https://klasma.github.io/Logging_0382/klagomål/A 7470-2022 FSC-klagomål.docx", "A 7470-2022")</f>
        <v/>
      </c>
      <c r="W88">
        <f>HYPERLINK("https://klasma.github.io/Logging_0382/klagomålsmail/A 7470-2022 FSC-klagomål mail.docx", "A 7470-2022")</f>
        <v/>
      </c>
      <c r="X88">
        <f>HYPERLINK("https://klasma.github.io/Logging_0382/tillsyn/A 7470-2022 tillsynsbegäran.docx", "A 7470-2022")</f>
        <v/>
      </c>
      <c r="Y88">
        <f>HYPERLINK("https://klasma.github.io/Logging_0382/tillsynsmail/A 7470-2022 tillsynsbegäran mail.docx", "A 7470-2022")</f>
        <v/>
      </c>
    </row>
    <row r="89" ht="15" customHeight="1">
      <c r="A89" t="inlineStr">
        <is>
          <t>A 22209-2022</t>
        </is>
      </c>
      <c r="B89" s="1" t="n">
        <v>44712</v>
      </c>
      <c r="C89" s="1" t="n">
        <v>45982</v>
      </c>
      <c r="D89" t="inlineStr">
        <is>
          <t>UPPSALA LÄN</t>
        </is>
      </c>
      <c r="E89" t="inlineStr">
        <is>
          <t>ÖSTHAMMAR</t>
        </is>
      </c>
      <c r="F89" t="inlineStr">
        <is>
          <t>Bergvik skog öst AB</t>
        </is>
      </c>
      <c r="G89" t="n">
        <v>1.5</v>
      </c>
      <c r="H89" t="n">
        <v>1</v>
      </c>
      <c r="I89" t="n">
        <v>0</v>
      </c>
      <c r="J89" t="n">
        <v>0</v>
      </c>
      <c r="K89" t="n">
        <v>0</v>
      </c>
      <c r="L89" t="n">
        <v>0</v>
      </c>
      <c r="M89" t="n">
        <v>0</v>
      </c>
      <c r="N89" t="n">
        <v>0</v>
      </c>
      <c r="O89" t="n">
        <v>0</v>
      </c>
      <c r="P89" t="n">
        <v>0</v>
      </c>
      <c r="Q89" t="n">
        <v>1</v>
      </c>
      <c r="R89" s="2" t="inlineStr">
        <is>
          <t>Blåsippa</t>
        </is>
      </c>
      <c r="S89">
        <f>HYPERLINK("https://klasma.github.io/Logging_0382/artfynd/A 22209-2022 artfynd.xlsx", "A 22209-2022")</f>
        <v/>
      </c>
      <c r="T89">
        <f>HYPERLINK("https://klasma.github.io/Logging_0382/kartor/A 22209-2022 karta.png", "A 22209-2022")</f>
        <v/>
      </c>
      <c r="V89">
        <f>HYPERLINK("https://klasma.github.io/Logging_0382/klagomål/A 22209-2022 FSC-klagomål.docx", "A 22209-2022")</f>
        <v/>
      </c>
      <c r="W89">
        <f>HYPERLINK("https://klasma.github.io/Logging_0382/klagomålsmail/A 22209-2022 FSC-klagomål mail.docx", "A 22209-2022")</f>
        <v/>
      </c>
      <c r="X89">
        <f>HYPERLINK("https://klasma.github.io/Logging_0382/tillsyn/A 22209-2022 tillsynsbegäran.docx", "A 22209-2022")</f>
        <v/>
      </c>
      <c r="Y89">
        <f>HYPERLINK("https://klasma.github.io/Logging_0382/tillsynsmail/A 22209-2022 tillsynsbegäran mail.docx", "A 22209-2022")</f>
        <v/>
      </c>
    </row>
    <row r="90" ht="15" customHeight="1">
      <c r="A90" t="inlineStr">
        <is>
          <t>A 12753-2024</t>
        </is>
      </c>
      <c r="B90" s="1" t="n">
        <v>45384</v>
      </c>
      <c r="C90" s="1" t="n">
        <v>45982</v>
      </c>
      <c r="D90" t="inlineStr">
        <is>
          <t>UPPSALA LÄN</t>
        </is>
      </c>
      <c r="E90" t="inlineStr">
        <is>
          <t>ÖSTHAMMAR</t>
        </is>
      </c>
      <c r="G90" t="n">
        <v>1.7</v>
      </c>
      <c r="H90" t="n">
        <v>0</v>
      </c>
      <c r="I90" t="n">
        <v>0</v>
      </c>
      <c r="J90" t="n">
        <v>1</v>
      </c>
      <c r="K90" t="n">
        <v>0</v>
      </c>
      <c r="L90" t="n">
        <v>0</v>
      </c>
      <c r="M90" t="n">
        <v>0</v>
      </c>
      <c r="N90" t="n">
        <v>0</v>
      </c>
      <c r="O90" t="n">
        <v>1</v>
      </c>
      <c r="P90" t="n">
        <v>0</v>
      </c>
      <c r="Q90" t="n">
        <v>1</v>
      </c>
      <c r="R90" s="2" t="inlineStr">
        <is>
          <t>Flattoppad klubbsvamp</t>
        </is>
      </c>
      <c r="S90">
        <f>HYPERLINK("https://klasma.github.io/Logging_0382/artfynd/A 12753-2024 artfynd.xlsx", "A 12753-2024")</f>
        <v/>
      </c>
      <c r="T90">
        <f>HYPERLINK("https://klasma.github.io/Logging_0382/kartor/A 12753-2024 karta.png", "A 12753-2024")</f>
        <v/>
      </c>
      <c r="V90">
        <f>HYPERLINK("https://klasma.github.io/Logging_0382/klagomål/A 12753-2024 FSC-klagomål.docx", "A 12753-2024")</f>
        <v/>
      </c>
      <c r="W90">
        <f>HYPERLINK("https://klasma.github.io/Logging_0382/klagomålsmail/A 12753-2024 FSC-klagomål mail.docx", "A 12753-2024")</f>
        <v/>
      </c>
      <c r="X90">
        <f>HYPERLINK("https://klasma.github.io/Logging_0382/tillsyn/A 12753-2024 tillsynsbegäran.docx", "A 12753-2024")</f>
        <v/>
      </c>
      <c r="Y90">
        <f>HYPERLINK("https://klasma.github.io/Logging_0382/tillsynsmail/A 12753-2024 tillsynsbegäran mail.docx", "A 12753-2024")</f>
        <v/>
      </c>
    </row>
    <row r="91" ht="15" customHeight="1">
      <c r="A91" t="inlineStr">
        <is>
          <t>A 24797-2022</t>
        </is>
      </c>
      <c r="B91" s="1" t="n">
        <v>44728</v>
      </c>
      <c r="C91" s="1" t="n">
        <v>45982</v>
      </c>
      <c r="D91" t="inlineStr">
        <is>
          <t>UPPSALA LÄN</t>
        </is>
      </c>
      <c r="E91" t="inlineStr">
        <is>
          <t>ÖSTHAMMAR</t>
        </is>
      </c>
      <c r="F91" t="inlineStr">
        <is>
          <t>Sveaskog</t>
        </is>
      </c>
      <c r="G91" t="n">
        <v>1.7</v>
      </c>
      <c r="H91" t="n">
        <v>1</v>
      </c>
      <c r="I91" t="n">
        <v>0</v>
      </c>
      <c r="J91" t="n">
        <v>1</v>
      </c>
      <c r="K91" t="n">
        <v>0</v>
      </c>
      <c r="L91" t="n">
        <v>0</v>
      </c>
      <c r="M91" t="n">
        <v>0</v>
      </c>
      <c r="N91" t="n">
        <v>0</v>
      </c>
      <c r="O91" t="n">
        <v>1</v>
      </c>
      <c r="P91" t="n">
        <v>0</v>
      </c>
      <c r="Q91" t="n">
        <v>1</v>
      </c>
      <c r="R91" s="2" t="inlineStr">
        <is>
          <t>Gulsparv</t>
        </is>
      </c>
      <c r="S91">
        <f>HYPERLINK("https://klasma.github.io/Logging_0382/artfynd/A 24797-2022 artfynd.xlsx", "A 24797-2022")</f>
        <v/>
      </c>
      <c r="T91">
        <f>HYPERLINK("https://klasma.github.io/Logging_0382/kartor/A 24797-2022 karta.png", "A 24797-2022")</f>
        <v/>
      </c>
      <c r="V91">
        <f>HYPERLINK("https://klasma.github.io/Logging_0382/klagomål/A 24797-2022 FSC-klagomål.docx", "A 24797-2022")</f>
        <v/>
      </c>
      <c r="W91">
        <f>HYPERLINK("https://klasma.github.io/Logging_0382/klagomålsmail/A 24797-2022 FSC-klagomål mail.docx", "A 24797-2022")</f>
        <v/>
      </c>
      <c r="X91">
        <f>HYPERLINK("https://klasma.github.io/Logging_0382/tillsyn/A 24797-2022 tillsynsbegäran.docx", "A 24797-2022")</f>
        <v/>
      </c>
      <c r="Y91">
        <f>HYPERLINK("https://klasma.github.io/Logging_0382/tillsynsmail/A 24797-2022 tillsynsbegäran mail.docx", "A 24797-2022")</f>
        <v/>
      </c>
      <c r="Z91">
        <f>HYPERLINK("https://klasma.github.io/Logging_0382/fåglar/A 24797-2022 prioriterade fågelarter.docx", "A 24797-2022")</f>
        <v/>
      </c>
    </row>
    <row r="92" ht="15" customHeight="1">
      <c r="A92" t="inlineStr">
        <is>
          <t>A 25179-2023</t>
        </is>
      </c>
      <c r="B92" s="1" t="n">
        <v>45078</v>
      </c>
      <c r="C92" s="1" t="n">
        <v>45982</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33800-2024</t>
        </is>
      </c>
      <c r="B93" s="1" t="n">
        <v>45520</v>
      </c>
      <c r="C93" s="1" t="n">
        <v>45982</v>
      </c>
      <c r="D93" t="inlineStr">
        <is>
          <t>UPPSALA LÄN</t>
        </is>
      </c>
      <c r="E93" t="inlineStr">
        <is>
          <t>ÖSTHAMMAR</t>
        </is>
      </c>
      <c r="F93" t="inlineStr">
        <is>
          <t>Naturvårdsverket</t>
        </is>
      </c>
      <c r="G93" t="n">
        <v>1.5</v>
      </c>
      <c r="H93" t="n">
        <v>1</v>
      </c>
      <c r="I93" t="n">
        <v>0</v>
      </c>
      <c r="J93" t="n">
        <v>0</v>
      </c>
      <c r="K93" t="n">
        <v>0</v>
      </c>
      <c r="L93" t="n">
        <v>0</v>
      </c>
      <c r="M93" t="n">
        <v>0</v>
      </c>
      <c r="N93" t="n">
        <v>0</v>
      </c>
      <c r="O93" t="n">
        <v>0</v>
      </c>
      <c r="P93" t="n">
        <v>0</v>
      </c>
      <c r="Q93" t="n">
        <v>1</v>
      </c>
      <c r="R93" s="2" t="inlineStr">
        <is>
          <t>Fläcknycklar</t>
        </is>
      </c>
      <c r="S93">
        <f>HYPERLINK("https://klasma.github.io/Logging_0382/artfynd/A 33800-2024 artfynd.xlsx", "A 33800-2024")</f>
        <v/>
      </c>
      <c r="T93">
        <f>HYPERLINK("https://klasma.github.io/Logging_0382/kartor/A 33800-2024 karta.png", "A 33800-2024")</f>
        <v/>
      </c>
      <c r="V93">
        <f>HYPERLINK("https://klasma.github.io/Logging_0382/klagomål/A 33800-2024 FSC-klagomål.docx", "A 33800-2024")</f>
        <v/>
      </c>
      <c r="W93">
        <f>HYPERLINK("https://klasma.github.io/Logging_0382/klagomålsmail/A 33800-2024 FSC-klagomål mail.docx", "A 33800-2024")</f>
        <v/>
      </c>
      <c r="X93">
        <f>HYPERLINK("https://klasma.github.io/Logging_0382/tillsyn/A 33800-2024 tillsynsbegäran.docx", "A 33800-2024")</f>
        <v/>
      </c>
      <c r="Y93">
        <f>HYPERLINK("https://klasma.github.io/Logging_0382/tillsynsmail/A 33800-2024 tillsynsbegäran mail.docx", "A 33800-2024")</f>
        <v/>
      </c>
    </row>
    <row r="94" ht="15" customHeight="1">
      <c r="A94" t="inlineStr">
        <is>
          <t>A 14706-2023</t>
        </is>
      </c>
      <c r="B94" s="1" t="n">
        <v>45013</v>
      </c>
      <c r="C94" s="1" t="n">
        <v>45982</v>
      </c>
      <c r="D94" t="inlineStr">
        <is>
          <t>UPPSALA LÄN</t>
        </is>
      </c>
      <c r="E94" t="inlineStr">
        <is>
          <t>ÖSTHAMMAR</t>
        </is>
      </c>
      <c r="G94" t="n">
        <v>0.9</v>
      </c>
      <c r="H94" t="n">
        <v>0</v>
      </c>
      <c r="I94" t="n">
        <v>1</v>
      </c>
      <c r="J94" t="n">
        <v>0</v>
      </c>
      <c r="K94" t="n">
        <v>0</v>
      </c>
      <c r="L94" t="n">
        <v>0</v>
      </c>
      <c r="M94" t="n">
        <v>0</v>
      </c>
      <c r="N94" t="n">
        <v>0</v>
      </c>
      <c r="O94" t="n">
        <v>0</v>
      </c>
      <c r="P94" t="n">
        <v>0</v>
      </c>
      <c r="Q94" t="n">
        <v>1</v>
      </c>
      <c r="R94" s="2" t="inlineStr">
        <is>
          <t>Olivspindling</t>
        </is>
      </c>
      <c r="S94">
        <f>HYPERLINK("https://klasma.github.io/Logging_0382/artfynd/A 14706-2023 artfynd.xlsx", "A 14706-2023")</f>
        <v/>
      </c>
      <c r="T94">
        <f>HYPERLINK("https://klasma.github.io/Logging_0382/kartor/A 14706-2023 karta.png", "A 14706-2023")</f>
        <v/>
      </c>
      <c r="V94">
        <f>HYPERLINK("https://klasma.github.io/Logging_0382/klagomål/A 14706-2023 FSC-klagomål.docx", "A 14706-2023")</f>
        <v/>
      </c>
      <c r="W94">
        <f>HYPERLINK("https://klasma.github.io/Logging_0382/klagomålsmail/A 14706-2023 FSC-klagomål mail.docx", "A 14706-2023")</f>
        <v/>
      </c>
      <c r="X94">
        <f>HYPERLINK("https://klasma.github.io/Logging_0382/tillsyn/A 14706-2023 tillsynsbegäran.docx", "A 14706-2023")</f>
        <v/>
      </c>
      <c r="Y94">
        <f>HYPERLINK("https://klasma.github.io/Logging_0382/tillsynsmail/A 14706-2023 tillsynsbegäran mail.docx", "A 14706-2023")</f>
        <v/>
      </c>
    </row>
    <row r="95" ht="15" customHeight="1">
      <c r="A95" t="inlineStr">
        <is>
          <t>A 1227-2022</t>
        </is>
      </c>
      <c r="B95" s="1" t="n">
        <v>44572.57641203704</v>
      </c>
      <c r="C95" s="1" t="n">
        <v>45982</v>
      </c>
      <c r="D95" t="inlineStr">
        <is>
          <t>UPPSALA LÄN</t>
        </is>
      </c>
      <c r="E95" t="inlineStr">
        <is>
          <t>ÖSTHAMMAR</t>
        </is>
      </c>
      <c r="G95" t="n">
        <v>1.7</v>
      </c>
      <c r="H95" t="n">
        <v>0</v>
      </c>
      <c r="I95" t="n">
        <v>1</v>
      </c>
      <c r="J95" t="n">
        <v>0</v>
      </c>
      <c r="K95" t="n">
        <v>0</v>
      </c>
      <c r="L95" t="n">
        <v>0</v>
      </c>
      <c r="M95" t="n">
        <v>0</v>
      </c>
      <c r="N95" t="n">
        <v>0</v>
      </c>
      <c r="O95" t="n">
        <v>0</v>
      </c>
      <c r="P95" t="n">
        <v>0</v>
      </c>
      <c r="Q95" t="n">
        <v>1</v>
      </c>
      <c r="R95" s="2" t="inlineStr">
        <is>
          <t>Guldkremla</t>
        </is>
      </c>
      <c r="S95">
        <f>HYPERLINK("https://klasma.github.io/Logging_0382/artfynd/A 1227-2022 artfynd.xlsx", "A 1227-2022")</f>
        <v/>
      </c>
      <c r="T95">
        <f>HYPERLINK("https://klasma.github.io/Logging_0382/kartor/A 1227-2022 karta.png", "A 1227-2022")</f>
        <v/>
      </c>
      <c r="V95">
        <f>HYPERLINK("https://klasma.github.io/Logging_0382/klagomål/A 1227-2022 FSC-klagomål.docx", "A 1227-2022")</f>
        <v/>
      </c>
      <c r="W95">
        <f>HYPERLINK("https://klasma.github.io/Logging_0382/klagomålsmail/A 1227-2022 FSC-klagomål mail.docx", "A 1227-2022")</f>
        <v/>
      </c>
      <c r="X95">
        <f>HYPERLINK("https://klasma.github.io/Logging_0382/tillsyn/A 1227-2022 tillsynsbegäran.docx", "A 1227-2022")</f>
        <v/>
      </c>
      <c r="Y95">
        <f>HYPERLINK("https://klasma.github.io/Logging_0382/tillsynsmail/A 1227-2022 tillsynsbegäran mail.docx", "A 1227-2022")</f>
        <v/>
      </c>
    </row>
    <row r="96" ht="15" customHeight="1">
      <c r="A96" t="inlineStr">
        <is>
          <t>A 34090-2023</t>
        </is>
      </c>
      <c r="B96" s="1" t="n">
        <v>45135</v>
      </c>
      <c r="C96" s="1" t="n">
        <v>45982</v>
      </c>
      <c r="D96" t="inlineStr">
        <is>
          <t>UPPSALA LÄN</t>
        </is>
      </c>
      <c r="E96" t="inlineStr">
        <is>
          <t>ÖSTHAMMAR</t>
        </is>
      </c>
      <c r="F96" t="inlineStr">
        <is>
          <t>Bergvik skog öst AB</t>
        </is>
      </c>
      <c r="G96" t="n">
        <v>5.7</v>
      </c>
      <c r="H96" t="n">
        <v>1</v>
      </c>
      <c r="I96" t="n">
        <v>0</v>
      </c>
      <c r="J96" t="n">
        <v>1</v>
      </c>
      <c r="K96" t="n">
        <v>0</v>
      </c>
      <c r="L96" t="n">
        <v>0</v>
      </c>
      <c r="M96" t="n">
        <v>0</v>
      </c>
      <c r="N96" t="n">
        <v>0</v>
      </c>
      <c r="O96" t="n">
        <v>1</v>
      </c>
      <c r="P96" t="n">
        <v>0</v>
      </c>
      <c r="Q96" t="n">
        <v>1</v>
      </c>
      <c r="R96" s="2" t="inlineStr">
        <is>
          <t>Spillkråka</t>
        </is>
      </c>
      <c r="S96">
        <f>HYPERLINK("https://klasma.github.io/Logging_0382/artfynd/A 34090-2023 artfynd.xlsx", "A 34090-2023")</f>
        <v/>
      </c>
      <c r="T96">
        <f>HYPERLINK("https://klasma.github.io/Logging_0382/kartor/A 34090-2023 karta.png", "A 34090-2023")</f>
        <v/>
      </c>
      <c r="V96">
        <f>HYPERLINK("https://klasma.github.io/Logging_0382/klagomål/A 34090-2023 FSC-klagomål.docx", "A 34090-2023")</f>
        <v/>
      </c>
      <c r="W96">
        <f>HYPERLINK("https://klasma.github.io/Logging_0382/klagomålsmail/A 34090-2023 FSC-klagomål mail.docx", "A 34090-2023")</f>
        <v/>
      </c>
      <c r="X96">
        <f>HYPERLINK("https://klasma.github.io/Logging_0382/tillsyn/A 34090-2023 tillsynsbegäran.docx", "A 34090-2023")</f>
        <v/>
      </c>
      <c r="Y96">
        <f>HYPERLINK("https://klasma.github.io/Logging_0382/tillsynsmail/A 34090-2023 tillsynsbegäran mail.docx", "A 34090-2023")</f>
        <v/>
      </c>
      <c r="Z96">
        <f>HYPERLINK("https://klasma.github.io/Logging_0382/fåglar/A 34090-2023 prioriterade fågelarter.docx", "A 34090-2023")</f>
        <v/>
      </c>
    </row>
    <row r="97" ht="15" customHeight="1">
      <c r="A97" t="inlineStr">
        <is>
          <t>A 11017-2023</t>
        </is>
      </c>
      <c r="B97" s="1" t="n">
        <v>44991</v>
      </c>
      <c r="C97" s="1" t="n">
        <v>45982</v>
      </c>
      <c r="D97" t="inlineStr">
        <is>
          <t>UPPSALA LÄN</t>
        </is>
      </c>
      <c r="E97" t="inlineStr">
        <is>
          <t>ÖSTHAMMAR</t>
        </is>
      </c>
      <c r="G97" t="n">
        <v>1.9</v>
      </c>
      <c r="H97" t="n">
        <v>1</v>
      </c>
      <c r="I97" t="n">
        <v>0</v>
      </c>
      <c r="J97" t="n">
        <v>1</v>
      </c>
      <c r="K97" t="n">
        <v>0</v>
      </c>
      <c r="L97" t="n">
        <v>0</v>
      </c>
      <c r="M97" t="n">
        <v>0</v>
      </c>
      <c r="N97" t="n">
        <v>0</v>
      </c>
      <c r="O97" t="n">
        <v>1</v>
      </c>
      <c r="P97" t="n">
        <v>0</v>
      </c>
      <c r="Q97" t="n">
        <v>1</v>
      </c>
      <c r="R97" s="2" t="inlineStr">
        <is>
          <t>Kornknarr</t>
        </is>
      </c>
      <c r="S97">
        <f>HYPERLINK("https://klasma.github.io/Logging_0382/artfynd/A 11017-2023 artfynd.xlsx", "A 11017-2023")</f>
        <v/>
      </c>
      <c r="T97">
        <f>HYPERLINK("https://klasma.github.io/Logging_0382/kartor/A 11017-2023 karta.png", "A 11017-2023")</f>
        <v/>
      </c>
      <c r="V97">
        <f>HYPERLINK("https://klasma.github.io/Logging_0382/klagomål/A 11017-2023 FSC-klagomål.docx", "A 11017-2023")</f>
        <v/>
      </c>
      <c r="W97">
        <f>HYPERLINK("https://klasma.github.io/Logging_0382/klagomålsmail/A 11017-2023 FSC-klagomål mail.docx", "A 11017-2023")</f>
        <v/>
      </c>
      <c r="X97">
        <f>HYPERLINK("https://klasma.github.io/Logging_0382/tillsyn/A 11017-2023 tillsynsbegäran.docx", "A 11017-2023")</f>
        <v/>
      </c>
      <c r="Y97">
        <f>HYPERLINK("https://klasma.github.io/Logging_0382/tillsynsmail/A 11017-2023 tillsynsbegäran mail.docx", "A 11017-2023")</f>
        <v/>
      </c>
    </row>
    <row r="98" ht="15" customHeight="1">
      <c r="A98" t="inlineStr">
        <is>
          <t>A 52818-2022</t>
        </is>
      </c>
      <c r="B98" s="1" t="n">
        <v>44875</v>
      </c>
      <c r="C98" s="1" t="n">
        <v>45982</v>
      </c>
      <c r="D98" t="inlineStr">
        <is>
          <t>UPPSALA LÄN</t>
        </is>
      </c>
      <c r="E98" t="inlineStr">
        <is>
          <t>ÖSTHAMMAR</t>
        </is>
      </c>
      <c r="G98" t="n">
        <v>0.9</v>
      </c>
      <c r="H98" t="n">
        <v>1</v>
      </c>
      <c r="I98" t="n">
        <v>1</v>
      </c>
      <c r="J98" t="n">
        <v>0</v>
      </c>
      <c r="K98" t="n">
        <v>0</v>
      </c>
      <c r="L98" t="n">
        <v>0</v>
      </c>
      <c r="M98" t="n">
        <v>0</v>
      </c>
      <c r="N98" t="n">
        <v>0</v>
      </c>
      <c r="O98" t="n">
        <v>0</v>
      </c>
      <c r="P98" t="n">
        <v>0</v>
      </c>
      <c r="Q98" t="n">
        <v>1</v>
      </c>
      <c r="R98" s="2" t="inlineStr">
        <is>
          <t>Guckusko</t>
        </is>
      </c>
      <c r="S98">
        <f>HYPERLINK("https://klasma.github.io/Logging_0382/artfynd/A 52818-2022 artfynd.xlsx", "A 52818-2022")</f>
        <v/>
      </c>
      <c r="T98">
        <f>HYPERLINK("https://klasma.github.io/Logging_0382/kartor/A 52818-2022 karta.png", "A 52818-2022")</f>
        <v/>
      </c>
      <c r="V98">
        <f>HYPERLINK("https://klasma.github.io/Logging_0382/klagomål/A 52818-2022 FSC-klagomål.docx", "A 52818-2022")</f>
        <v/>
      </c>
      <c r="W98">
        <f>HYPERLINK("https://klasma.github.io/Logging_0382/klagomålsmail/A 52818-2022 FSC-klagomål mail.docx", "A 52818-2022")</f>
        <v/>
      </c>
      <c r="X98">
        <f>HYPERLINK("https://klasma.github.io/Logging_0382/tillsyn/A 52818-2022 tillsynsbegäran.docx", "A 52818-2022")</f>
        <v/>
      </c>
      <c r="Y98">
        <f>HYPERLINK("https://klasma.github.io/Logging_0382/tillsynsmail/A 52818-2022 tillsynsbegäran mail.docx", "A 52818-2022")</f>
        <v/>
      </c>
    </row>
    <row r="99" ht="15" customHeight="1">
      <c r="A99" t="inlineStr">
        <is>
          <t>A 37296-2023</t>
        </is>
      </c>
      <c r="B99" s="1" t="n">
        <v>45156</v>
      </c>
      <c r="C99" s="1" t="n">
        <v>45982</v>
      </c>
      <c r="D99" t="inlineStr">
        <is>
          <t>UPPSALA LÄN</t>
        </is>
      </c>
      <c r="E99" t="inlineStr">
        <is>
          <t>ÖSTHAMMAR</t>
        </is>
      </c>
      <c r="G99" t="n">
        <v>4.7</v>
      </c>
      <c r="H99" t="n">
        <v>1</v>
      </c>
      <c r="I99" t="n">
        <v>0</v>
      </c>
      <c r="J99" t="n">
        <v>0</v>
      </c>
      <c r="K99" t="n">
        <v>1</v>
      </c>
      <c r="L99" t="n">
        <v>0</v>
      </c>
      <c r="M99" t="n">
        <v>0</v>
      </c>
      <c r="N99" t="n">
        <v>0</v>
      </c>
      <c r="O99" t="n">
        <v>1</v>
      </c>
      <c r="P99" t="n">
        <v>1</v>
      </c>
      <c r="Q99" t="n">
        <v>1</v>
      </c>
      <c r="R99" s="2" t="inlineStr">
        <is>
          <t>Backsippa</t>
        </is>
      </c>
      <c r="S99">
        <f>HYPERLINK("https://klasma.github.io/Logging_0382/artfynd/A 37296-2023 artfynd.xlsx", "A 37296-2023")</f>
        <v/>
      </c>
      <c r="T99">
        <f>HYPERLINK("https://klasma.github.io/Logging_0382/kartor/A 37296-2023 karta.png", "A 37296-2023")</f>
        <v/>
      </c>
      <c r="V99">
        <f>HYPERLINK("https://klasma.github.io/Logging_0382/klagomål/A 37296-2023 FSC-klagomål.docx", "A 37296-2023")</f>
        <v/>
      </c>
      <c r="W99">
        <f>HYPERLINK("https://klasma.github.io/Logging_0382/klagomålsmail/A 37296-2023 FSC-klagomål mail.docx", "A 37296-2023")</f>
        <v/>
      </c>
      <c r="X99">
        <f>HYPERLINK("https://klasma.github.io/Logging_0382/tillsyn/A 37296-2023 tillsynsbegäran.docx", "A 37296-2023")</f>
        <v/>
      </c>
      <c r="Y99">
        <f>HYPERLINK("https://klasma.github.io/Logging_0382/tillsynsmail/A 37296-2023 tillsynsbegäran mail.docx", "A 37296-2023")</f>
        <v/>
      </c>
    </row>
    <row r="100" ht="15" customHeight="1">
      <c r="A100" t="inlineStr">
        <is>
          <t>A 65989-2021</t>
        </is>
      </c>
      <c r="B100" s="1" t="n">
        <v>44517</v>
      </c>
      <c r="C100" s="1" t="n">
        <v>45982</v>
      </c>
      <c r="D100" t="inlineStr">
        <is>
          <t>UPPSALA LÄN</t>
        </is>
      </c>
      <c r="E100" t="inlineStr">
        <is>
          <t>ÖSTHAMMAR</t>
        </is>
      </c>
      <c r="G100" t="n">
        <v>6.9</v>
      </c>
      <c r="H100" t="n">
        <v>1</v>
      </c>
      <c r="I100" t="n">
        <v>1</v>
      </c>
      <c r="J100" t="n">
        <v>0</v>
      </c>
      <c r="K100" t="n">
        <v>0</v>
      </c>
      <c r="L100" t="n">
        <v>0</v>
      </c>
      <c r="M100" t="n">
        <v>0</v>
      </c>
      <c r="N100" t="n">
        <v>0</v>
      </c>
      <c r="O100" t="n">
        <v>0</v>
      </c>
      <c r="P100" t="n">
        <v>0</v>
      </c>
      <c r="Q100" t="n">
        <v>1</v>
      </c>
      <c r="R100" s="2" t="inlineStr">
        <is>
          <t>Skogsknipprot</t>
        </is>
      </c>
      <c r="S100">
        <f>HYPERLINK("https://klasma.github.io/Logging_0382/artfynd/A 65989-2021 artfynd.xlsx", "A 65989-2021")</f>
        <v/>
      </c>
      <c r="T100">
        <f>HYPERLINK("https://klasma.github.io/Logging_0382/kartor/A 65989-2021 karta.png", "A 65989-2021")</f>
        <v/>
      </c>
      <c r="V100">
        <f>HYPERLINK("https://klasma.github.io/Logging_0382/klagomål/A 65989-2021 FSC-klagomål.docx", "A 65989-2021")</f>
        <v/>
      </c>
      <c r="W100">
        <f>HYPERLINK("https://klasma.github.io/Logging_0382/klagomålsmail/A 65989-2021 FSC-klagomål mail.docx", "A 65989-2021")</f>
        <v/>
      </c>
      <c r="X100">
        <f>HYPERLINK("https://klasma.github.io/Logging_0382/tillsyn/A 65989-2021 tillsynsbegäran.docx", "A 65989-2021")</f>
        <v/>
      </c>
      <c r="Y100">
        <f>HYPERLINK("https://klasma.github.io/Logging_0382/tillsynsmail/A 65989-2021 tillsynsbegäran mail.docx", "A 65989-2021")</f>
        <v/>
      </c>
    </row>
    <row r="101" ht="15" customHeight="1">
      <c r="A101" t="inlineStr">
        <is>
          <t>A 22375-2024</t>
        </is>
      </c>
      <c r="B101" s="1" t="n">
        <v>45446</v>
      </c>
      <c r="C101" s="1" t="n">
        <v>45982</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70495-2021</t>
        </is>
      </c>
      <c r="B102" s="1" t="n">
        <v>44536</v>
      </c>
      <c r="C102" s="1" t="n">
        <v>45982</v>
      </c>
      <c r="D102" t="inlineStr">
        <is>
          <t>UPPSALA LÄN</t>
        </is>
      </c>
      <c r="E102" t="inlineStr">
        <is>
          <t>ÖSTHAMMAR</t>
        </is>
      </c>
      <c r="G102" t="n">
        <v>1</v>
      </c>
      <c r="H102" t="n">
        <v>1</v>
      </c>
      <c r="I102" t="n">
        <v>0</v>
      </c>
      <c r="J102" t="n">
        <v>1</v>
      </c>
      <c r="K102" t="n">
        <v>0</v>
      </c>
      <c r="L102" t="n">
        <v>0</v>
      </c>
      <c r="M102" t="n">
        <v>0</v>
      </c>
      <c r="N102" t="n">
        <v>0</v>
      </c>
      <c r="O102" t="n">
        <v>1</v>
      </c>
      <c r="P102" t="n">
        <v>0</v>
      </c>
      <c r="Q102" t="n">
        <v>1</v>
      </c>
      <c r="R102" s="2" t="inlineStr">
        <is>
          <t>Slaguggla</t>
        </is>
      </c>
      <c r="S102">
        <f>HYPERLINK("https://klasma.github.io/Logging_0382/artfynd/A 70495-2021 artfynd.xlsx", "A 70495-2021")</f>
        <v/>
      </c>
      <c r="T102">
        <f>HYPERLINK("https://klasma.github.io/Logging_0382/kartor/A 70495-2021 karta.png", "A 70495-2021")</f>
        <v/>
      </c>
      <c r="V102">
        <f>HYPERLINK("https://klasma.github.io/Logging_0382/klagomål/A 70495-2021 FSC-klagomål.docx", "A 70495-2021")</f>
        <v/>
      </c>
      <c r="W102">
        <f>HYPERLINK("https://klasma.github.io/Logging_0382/klagomålsmail/A 70495-2021 FSC-klagomål mail.docx", "A 70495-2021")</f>
        <v/>
      </c>
      <c r="X102">
        <f>HYPERLINK("https://klasma.github.io/Logging_0382/tillsyn/A 70495-2021 tillsynsbegäran.docx", "A 70495-2021")</f>
        <v/>
      </c>
      <c r="Y102">
        <f>HYPERLINK("https://klasma.github.io/Logging_0382/tillsynsmail/A 70495-2021 tillsynsbegäran mail.docx", "A 70495-2021")</f>
        <v/>
      </c>
      <c r="Z102">
        <f>HYPERLINK("https://klasma.github.io/Logging_0382/fåglar/A 70495-2021 prioriterade fågelarter.docx", "A 70495-2021")</f>
        <v/>
      </c>
    </row>
    <row r="103" ht="15" customHeight="1">
      <c r="A103" t="inlineStr">
        <is>
          <t>A 29679-2023</t>
        </is>
      </c>
      <c r="B103" s="1" t="n">
        <v>45107</v>
      </c>
      <c r="C103" s="1" t="n">
        <v>45982</v>
      </c>
      <c r="D103" t="inlineStr">
        <is>
          <t>UPPSALA LÄN</t>
        </is>
      </c>
      <c r="E103" t="inlineStr">
        <is>
          <t>ÖSTHAMMAR</t>
        </is>
      </c>
      <c r="F103" t="inlineStr">
        <is>
          <t>Övriga Aktiebolag</t>
        </is>
      </c>
      <c r="G103" t="n">
        <v>7.3</v>
      </c>
      <c r="H103" t="n">
        <v>0</v>
      </c>
      <c r="I103" t="n">
        <v>0</v>
      </c>
      <c r="J103" t="n">
        <v>1</v>
      </c>
      <c r="K103" t="n">
        <v>0</v>
      </c>
      <c r="L103" t="n">
        <v>0</v>
      </c>
      <c r="M103" t="n">
        <v>0</v>
      </c>
      <c r="N103" t="n">
        <v>0</v>
      </c>
      <c r="O103" t="n">
        <v>1</v>
      </c>
      <c r="P103" t="n">
        <v>0</v>
      </c>
      <c r="Q103" t="n">
        <v>1</v>
      </c>
      <c r="R103" s="2" t="inlineStr">
        <is>
          <t>Vintertagging</t>
        </is>
      </c>
      <c r="S103">
        <f>HYPERLINK("https://klasma.github.io/Logging_0382/artfynd/A 29679-2023 artfynd.xlsx", "A 29679-2023")</f>
        <v/>
      </c>
      <c r="T103">
        <f>HYPERLINK("https://klasma.github.io/Logging_0382/kartor/A 29679-2023 karta.png", "A 29679-2023")</f>
        <v/>
      </c>
      <c r="V103">
        <f>HYPERLINK("https://klasma.github.io/Logging_0382/klagomål/A 29679-2023 FSC-klagomål.docx", "A 29679-2023")</f>
        <v/>
      </c>
      <c r="W103">
        <f>HYPERLINK("https://klasma.github.io/Logging_0382/klagomålsmail/A 29679-2023 FSC-klagomål mail.docx", "A 29679-2023")</f>
        <v/>
      </c>
      <c r="X103">
        <f>HYPERLINK("https://klasma.github.io/Logging_0382/tillsyn/A 29679-2023 tillsynsbegäran.docx", "A 29679-2023")</f>
        <v/>
      </c>
      <c r="Y103">
        <f>HYPERLINK("https://klasma.github.io/Logging_0382/tillsynsmail/A 29679-2023 tillsynsbegäran mail.docx", "A 29679-2023")</f>
        <v/>
      </c>
    </row>
    <row r="104" ht="15" customHeight="1">
      <c r="A104" t="inlineStr">
        <is>
          <t>A 63615-2021</t>
        </is>
      </c>
      <c r="B104" s="1" t="n">
        <v>44509</v>
      </c>
      <c r="C104" s="1" t="n">
        <v>45982</v>
      </c>
      <c r="D104" t="inlineStr">
        <is>
          <t>UPPSALA LÄN</t>
        </is>
      </c>
      <c r="E104" t="inlineStr">
        <is>
          <t>ÖSTHAMMAR</t>
        </is>
      </c>
      <c r="G104" t="n">
        <v>1.9</v>
      </c>
      <c r="H104" t="n">
        <v>0</v>
      </c>
      <c r="I104" t="n">
        <v>0</v>
      </c>
      <c r="J104" t="n">
        <v>1</v>
      </c>
      <c r="K104" t="n">
        <v>0</v>
      </c>
      <c r="L104" t="n">
        <v>0</v>
      </c>
      <c r="M104" t="n">
        <v>0</v>
      </c>
      <c r="N104" t="n">
        <v>0</v>
      </c>
      <c r="O104" t="n">
        <v>1</v>
      </c>
      <c r="P104" t="n">
        <v>0</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3693-2021</t>
        </is>
      </c>
      <c r="B105" s="1" t="n">
        <v>44221</v>
      </c>
      <c r="C105" s="1" t="n">
        <v>45982</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45982</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45982</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45982</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45982</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62484-2020</t>
        </is>
      </c>
      <c r="B110" s="1" t="n">
        <v>44160</v>
      </c>
      <c r="C110" s="1" t="n">
        <v>45982</v>
      </c>
      <c r="D110" t="inlineStr">
        <is>
          <t>UPPSALA LÄN</t>
        </is>
      </c>
      <c r="E110" t="inlineStr">
        <is>
          <t>ÖSTHAMMAR</t>
        </is>
      </c>
      <c r="G110" t="n">
        <v>1.4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45982</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45982</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45982</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45982</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45982</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45982</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45982</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45982</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45982</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45982</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45982</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45982</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45982</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45982</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45982</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45982</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45982</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45982</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45982</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45982</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2108-2022</t>
        </is>
      </c>
      <c r="B131" s="1" t="n">
        <v>44577.83829861111</v>
      </c>
      <c r="C131" s="1" t="n">
        <v>45982</v>
      </c>
      <c r="D131" t="inlineStr">
        <is>
          <t>UPPSALA LÄN</t>
        </is>
      </c>
      <c r="E131" t="inlineStr">
        <is>
          <t>ÖSTHAMMAR</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45982</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45982</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45982</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45982</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45982</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45982</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45982</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45982</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32939-2021</t>
        </is>
      </c>
      <c r="B140" s="1" t="n">
        <v>44376.32519675926</v>
      </c>
      <c r="C140" s="1" t="n">
        <v>45982</v>
      </c>
      <c r="D140" t="inlineStr">
        <is>
          <t>UPPSALA LÄN</t>
        </is>
      </c>
      <c r="E140" t="inlineStr">
        <is>
          <t>ÖSTHAMMAR</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63987-2020</t>
        </is>
      </c>
      <c r="B141" s="1" t="n">
        <v>44167</v>
      </c>
      <c r="C141" s="1" t="n">
        <v>45982</v>
      </c>
      <c r="D141" t="inlineStr">
        <is>
          <t>UPPSALA LÄN</t>
        </is>
      </c>
      <c r="E141" t="inlineStr">
        <is>
          <t>ÖSTHAMMAR</t>
        </is>
      </c>
      <c r="G141" t="n">
        <v>5.9</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45982</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45982</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45982</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45982</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45982</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45982</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45982</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45982</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19287-2022</t>
        </is>
      </c>
      <c r="B150" s="1" t="n">
        <v>44692.49559027778</v>
      </c>
      <c r="C150" s="1" t="n">
        <v>45982</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45982</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45982</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45982</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45982</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45982</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45982</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45982</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45982</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45982</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45982</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45982</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4491-2022</t>
        </is>
      </c>
      <c r="B162" s="1" t="n">
        <v>44589.66446759259</v>
      </c>
      <c r="C162" s="1" t="n">
        <v>45982</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52295-2022</t>
        </is>
      </c>
      <c r="B163" s="1" t="n">
        <v>44873.67842592593</v>
      </c>
      <c r="C163" s="1" t="n">
        <v>45982</v>
      </c>
      <c r="D163" t="inlineStr">
        <is>
          <t>UPPSALA LÄN</t>
        </is>
      </c>
      <c r="E163" t="inlineStr">
        <is>
          <t>ÖSTHAMMAR</t>
        </is>
      </c>
      <c r="G163" t="n">
        <v>0.4</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45982</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45982</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25987-2022</t>
        </is>
      </c>
      <c r="B166" s="1" t="n">
        <v>44734.49601851852</v>
      </c>
      <c r="C166" s="1" t="n">
        <v>45982</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61560-2021</t>
        </is>
      </c>
      <c r="B167" s="1" t="n">
        <v>44501.42905092592</v>
      </c>
      <c r="C167" s="1" t="n">
        <v>45982</v>
      </c>
      <c r="D167" t="inlineStr">
        <is>
          <t>UPPSALA LÄN</t>
        </is>
      </c>
      <c r="E167" t="inlineStr">
        <is>
          <t>ÖSTHAMMAR</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37570-2022</t>
        </is>
      </c>
      <c r="B168" s="1" t="n">
        <v>44809</v>
      </c>
      <c r="C168" s="1" t="n">
        <v>45982</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37545-2022</t>
        </is>
      </c>
      <c r="B169" s="1" t="n">
        <v>44809.63373842592</v>
      </c>
      <c r="C169" s="1" t="n">
        <v>45982</v>
      </c>
      <c r="D169" t="inlineStr">
        <is>
          <t>UPPSALA LÄN</t>
        </is>
      </c>
      <c r="E169" t="inlineStr">
        <is>
          <t>ÖSTHAMMAR</t>
        </is>
      </c>
      <c r="G169" t="n">
        <v>3.1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45982</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11987-2022</t>
        </is>
      </c>
      <c r="B171" s="1" t="n">
        <v>44635.68695601852</v>
      </c>
      <c r="C171" s="1" t="n">
        <v>45982</v>
      </c>
      <c r="D171" t="inlineStr">
        <is>
          <t>UPPSALA LÄN</t>
        </is>
      </c>
      <c r="E171" t="inlineStr">
        <is>
          <t>ÖSTHAMMAR</t>
        </is>
      </c>
      <c r="F171" t="inlineStr">
        <is>
          <t>Bergvik skog öst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22207-2022</t>
        </is>
      </c>
      <c r="B172" s="1" t="n">
        <v>44712.51509259259</v>
      </c>
      <c r="C172" s="1" t="n">
        <v>45982</v>
      </c>
      <c r="D172" t="inlineStr">
        <is>
          <t>UPPSALA LÄN</t>
        </is>
      </c>
      <c r="E172" t="inlineStr">
        <is>
          <t>ÖSTHAMMAR</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37813-2022</t>
        </is>
      </c>
      <c r="B173" s="1" t="n">
        <v>44810</v>
      </c>
      <c r="C173" s="1" t="n">
        <v>45982</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45982</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45982</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45982</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45982</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7871-2022</t>
        </is>
      </c>
      <c r="B178" s="1" t="n">
        <v>44608</v>
      </c>
      <c r="C178" s="1" t="n">
        <v>45982</v>
      </c>
      <c r="D178" t="inlineStr">
        <is>
          <t>UPPSALA LÄN</t>
        </is>
      </c>
      <c r="E178" t="inlineStr">
        <is>
          <t>ÖSTHAMMAR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45982</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45982</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45982</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45982</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45982</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45982</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45982</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45982</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45982</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19214-2021</t>
        </is>
      </c>
      <c r="B188" s="1" t="n">
        <v>44309.28576388889</v>
      </c>
      <c r="C188" s="1" t="n">
        <v>45982</v>
      </c>
      <c r="D188" t="inlineStr">
        <is>
          <t>UPPSALA LÄN</t>
        </is>
      </c>
      <c r="E188" t="inlineStr">
        <is>
          <t>ÖSTHAMMAR</t>
        </is>
      </c>
      <c r="F188" t="inlineStr">
        <is>
          <t>Bergvik skog öst AB</t>
        </is>
      </c>
      <c r="G188" t="n">
        <v>6</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45982</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45982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45982</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45982</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45982</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45982</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57003-2021</t>
        </is>
      </c>
      <c r="B195" s="1" t="n">
        <v>44482.47577546296</v>
      </c>
      <c r="C195" s="1" t="n">
        <v>45982</v>
      </c>
      <c r="D195" t="inlineStr">
        <is>
          <t>UPPSALA LÄN</t>
        </is>
      </c>
      <c r="E195" t="inlineStr">
        <is>
          <t>ÖSTHAMMAR</t>
        </is>
      </c>
      <c r="G195" t="n">
        <v>1.9</v>
      </c>
      <c r="H195" t="n">
        <v>0</v>
      </c>
      <c r="I195" t="n">
        <v>0</v>
      </c>
      <c r="J195" t="n">
        <v>0</v>
      </c>
      <c r="K195" t="n">
        <v>0</v>
      </c>
      <c r="L195" t="n">
        <v>0</v>
      </c>
      <c r="M195" t="n">
        <v>0</v>
      </c>
      <c r="N195" t="n">
        <v>0</v>
      </c>
      <c r="O195" t="n">
        <v>0</v>
      </c>
      <c r="P195" t="n">
        <v>0</v>
      </c>
      <c r="Q195" t="n">
        <v>0</v>
      </c>
      <c r="R195" s="2" t="inlineStr"/>
    </row>
    <row r="196" ht="15" customHeight="1">
      <c r="A196" t="inlineStr">
        <is>
          <t>A 37568-2022</t>
        </is>
      </c>
      <c r="B196" s="1" t="n">
        <v>44809</v>
      </c>
      <c r="C196" s="1" t="n">
        <v>45982</v>
      </c>
      <c r="D196" t="inlineStr">
        <is>
          <t>UPPSALA LÄN</t>
        </is>
      </c>
      <c r="E196" t="inlineStr">
        <is>
          <t>ÖSTHAMMAR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31479-2023</t>
        </is>
      </c>
      <c r="B197" s="1" t="n">
        <v>45114.79793981482</v>
      </c>
      <c r="C197" s="1" t="n">
        <v>45982</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17651-2025</t>
        </is>
      </c>
      <c r="B198" s="1" t="n">
        <v>45758.33304398148</v>
      </c>
      <c r="C198" s="1" t="n">
        <v>45982</v>
      </c>
      <c r="D198" t="inlineStr">
        <is>
          <t>UPPSALA LÄN</t>
        </is>
      </c>
      <c r="E198" t="inlineStr">
        <is>
          <t>ÖSTHAMMAR</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74436-2021</t>
        </is>
      </c>
      <c r="B199" s="1" t="n">
        <v>44560.4502199074</v>
      </c>
      <c r="C199" s="1" t="n">
        <v>45982</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48719-2023</t>
        </is>
      </c>
      <c r="B200" s="1" t="n">
        <v>45208.70452546296</v>
      </c>
      <c r="C200" s="1" t="n">
        <v>45982</v>
      </c>
      <c r="D200" t="inlineStr">
        <is>
          <t>UPPSALA LÄN</t>
        </is>
      </c>
      <c r="E200" t="inlineStr">
        <is>
          <t>ÖSTHAMMAR</t>
        </is>
      </c>
      <c r="G200" t="n">
        <v>0.6</v>
      </c>
      <c r="H200" t="n">
        <v>0</v>
      </c>
      <c r="I200" t="n">
        <v>0</v>
      </c>
      <c r="J200" t="n">
        <v>0</v>
      </c>
      <c r="K200" t="n">
        <v>0</v>
      </c>
      <c r="L200" t="n">
        <v>0</v>
      </c>
      <c r="M200" t="n">
        <v>0</v>
      </c>
      <c r="N200" t="n">
        <v>0</v>
      </c>
      <c r="O200" t="n">
        <v>0</v>
      </c>
      <c r="P200" t="n">
        <v>0</v>
      </c>
      <c r="Q200" t="n">
        <v>0</v>
      </c>
      <c r="R200" s="2" t="inlineStr"/>
    </row>
    <row r="201" ht="15" customHeight="1">
      <c r="A201" t="inlineStr">
        <is>
          <t>A 29824-2023</t>
        </is>
      </c>
      <c r="B201" s="1" t="n">
        <v>45107</v>
      </c>
      <c r="C201" s="1" t="n">
        <v>45982</v>
      </c>
      <c r="D201" t="inlineStr">
        <is>
          <t>UPPSALA LÄN</t>
        </is>
      </c>
      <c r="E201" t="inlineStr">
        <is>
          <t>ÖSTHAMMAR</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31574-2022</t>
        </is>
      </c>
      <c r="B202" s="1" t="n">
        <v>44775</v>
      </c>
      <c r="C202" s="1" t="n">
        <v>45982</v>
      </c>
      <c r="D202" t="inlineStr">
        <is>
          <t>UPPSALA LÄN</t>
        </is>
      </c>
      <c r="E202" t="inlineStr">
        <is>
          <t>ÖSTHAMMAR</t>
        </is>
      </c>
      <c r="G202" t="n">
        <v>29.7</v>
      </c>
      <c r="H202" t="n">
        <v>0</v>
      </c>
      <c r="I202" t="n">
        <v>0</v>
      </c>
      <c r="J202" t="n">
        <v>0</v>
      </c>
      <c r="K202" t="n">
        <v>0</v>
      </c>
      <c r="L202" t="n">
        <v>0</v>
      </c>
      <c r="M202" t="n">
        <v>0</v>
      </c>
      <c r="N202" t="n">
        <v>0</v>
      </c>
      <c r="O202" t="n">
        <v>0</v>
      </c>
      <c r="P202" t="n">
        <v>0</v>
      </c>
      <c r="Q202" t="n">
        <v>0</v>
      </c>
      <c r="R202" s="2" t="inlineStr"/>
    </row>
    <row r="203" ht="15" customHeight="1">
      <c r="A203" t="inlineStr">
        <is>
          <t>A 21862-2023</t>
        </is>
      </c>
      <c r="B203" s="1" t="n">
        <v>45068</v>
      </c>
      <c r="C203" s="1" t="n">
        <v>45982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10982-2023</t>
        </is>
      </c>
      <c r="B204" s="1" t="n">
        <v>44991.62203703704</v>
      </c>
      <c r="C204" s="1" t="n">
        <v>45982</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55086-2024</t>
        </is>
      </c>
      <c r="B205" s="1" t="n">
        <v>45621.43098379629</v>
      </c>
      <c r="C205" s="1" t="n">
        <v>45982</v>
      </c>
      <c r="D205" t="inlineStr">
        <is>
          <t>UPPSALA LÄN</t>
        </is>
      </c>
      <c r="E205" t="inlineStr">
        <is>
          <t>ÖSTHAMMAR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62695-2023</t>
        </is>
      </c>
      <c r="B206" s="1" t="n">
        <v>45271</v>
      </c>
      <c r="C206" s="1" t="n">
        <v>45982</v>
      </c>
      <c r="D206" t="inlineStr">
        <is>
          <t>UPPSALA LÄN</t>
        </is>
      </c>
      <c r="E206" t="inlineStr">
        <is>
          <t>ÖSTHAMMAR</t>
        </is>
      </c>
      <c r="G206" t="n">
        <v>5.3</v>
      </c>
      <c r="H206" t="n">
        <v>0</v>
      </c>
      <c r="I206" t="n">
        <v>0</v>
      </c>
      <c r="J206" t="n">
        <v>0</v>
      </c>
      <c r="K206" t="n">
        <v>0</v>
      </c>
      <c r="L206" t="n">
        <v>0</v>
      </c>
      <c r="M206" t="n">
        <v>0</v>
      </c>
      <c r="N206" t="n">
        <v>0</v>
      </c>
      <c r="O206" t="n">
        <v>0</v>
      </c>
      <c r="P206" t="n">
        <v>0</v>
      </c>
      <c r="Q206" t="n">
        <v>0</v>
      </c>
      <c r="R206" s="2" t="inlineStr"/>
    </row>
    <row r="207" ht="15" customHeight="1">
      <c r="A207" t="inlineStr">
        <is>
          <t>A 4559-2022</t>
        </is>
      </c>
      <c r="B207" s="1" t="n">
        <v>44591.51854166666</v>
      </c>
      <c r="C207" s="1" t="n">
        <v>45982</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22884-2024</t>
        </is>
      </c>
      <c r="B208" s="1" t="n">
        <v>45448</v>
      </c>
      <c r="C208" s="1" t="n">
        <v>45982</v>
      </c>
      <c r="D208" t="inlineStr">
        <is>
          <t>UPPSALA LÄN</t>
        </is>
      </c>
      <c r="E208" t="inlineStr">
        <is>
          <t>ÖSTHAMMAR</t>
        </is>
      </c>
      <c r="G208" t="n">
        <v>3.3</v>
      </c>
      <c r="H208" t="n">
        <v>0</v>
      </c>
      <c r="I208" t="n">
        <v>0</v>
      </c>
      <c r="J208" t="n">
        <v>0</v>
      </c>
      <c r="K208" t="n">
        <v>0</v>
      </c>
      <c r="L208" t="n">
        <v>0</v>
      </c>
      <c r="M208" t="n">
        <v>0</v>
      </c>
      <c r="N208" t="n">
        <v>0</v>
      </c>
      <c r="O208" t="n">
        <v>0</v>
      </c>
      <c r="P208" t="n">
        <v>0</v>
      </c>
      <c r="Q208" t="n">
        <v>0</v>
      </c>
      <c r="R208" s="2" t="inlineStr"/>
    </row>
    <row r="209" ht="15" customHeight="1">
      <c r="A209" t="inlineStr">
        <is>
          <t>A 20385-2025</t>
        </is>
      </c>
      <c r="B209" s="1" t="n">
        <v>45775.44483796296</v>
      </c>
      <c r="C209" s="1" t="n">
        <v>45982</v>
      </c>
      <c r="D209" t="inlineStr">
        <is>
          <t>UPPSALA LÄN</t>
        </is>
      </c>
      <c r="E209" t="inlineStr">
        <is>
          <t>ÖSTHAMMAR</t>
        </is>
      </c>
      <c r="G209" t="n">
        <v>1.9</v>
      </c>
      <c r="H209" t="n">
        <v>0</v>
      </c>
      <c r="I209" t="n">
        <v>0</v>
      </c>
      <c r="J209" t="n">
        <v>0</v>
      </c>
      <c r="K209" t="n">
        <v>0</v>
      </c>
      <c r="L209" t="n">
        <v>0</v>
      </c>
      <c r="M209" t="n">
        <v>0</v>
      </c>
      <c r="N209" t="n">
        <v>0</v>
      </c>
      <c r="O209" t="n">
        <v>0</v>
      </c>
      <c r="P209" t="n">
        <v>0</v>
      </c>
      <c r="Q209" t="n">
        <v>0</v>
      </c>
      <c r="R209" s="2" t="inlineStr"/>
    </row>
    <row r="210" ht="15" customHeight="1">
      <c r="A210" t="inlineStr">
        <is>
          <t>A 26552-2022</t>
        </is>
      </c>
      <c r="B210" s="1" t="n">
        <v>44739</v>
      </c>
      <c r="C210" s="1" t="n">
        <v>45982</v>
      </c>
      <c r="D210" t="inlineStr">
        <is>
          <t>UPPSALA LÄN</t>
        </is>
      </c>
      <c r="E210" t="inlineStr">
        <is>
          <t>ÖSTHAMMAR</t>
        </is>
      </c>
      <c r="G210" t="n">
        <v>2.2</v>
      </c>
      <c r="H210" t="n">
        <v>0</v>
      </c>
      <c r="I210" t="n">
        <v>0</v>
      </c>
      <c r="J210" t="n">
        <v>0</v>
      </c>
      <c r="K210" t="n">
        <v>0</v>
      </c>
      <c r="L210" t="n">
        <v>0</v>
      </c>
      <c r="M210" t="n">
        <v>0</v>
      </c>
      <c r="N210" t="n">
        <v>0</v>
      </c>
      <c r="O210" t="n">
        <v>0</v>
      </c>
      <c r="P210" t="n">
        <v>0</v>
      </c>
      <c r="Q210" t="n">
        <v>0</v>
      </c>
      <c r="R210" s="2" t="inlineStr"/>
    </row>
    <row r="211" ht="15" customHeight="1">
      <c r="A211" t="inlineStr">
        <is>
          <t>A 20046-2023</t>
        </is>
      </c>
      <c r="B211" s="1" t="n">
        <v>45054</v>
      </c>
      <c r="C211" s="1" t="n">
        <v>45982</v>
      </c>
      <c r="D211" t="inlineStr">
        <is>
          <t>UPPSALA LÄN</t>
        </is>
      </c>
      <c r="E211" t="inlineStr">
        <is>
          <t>ÖSTHAMMAR</t>
        </is>
      </c>
      <c r="G211" t="n">
        <v>0.4</v>
      </c>
      <c r="H211" t="n">
        <v>0</v>
      </c>
      <c r="I211" t="n">
        <v>0</v>
      </c>
      <c r="J211" t="n">
        <v>0</v>
      </c>
      <c r="K211" t="n">
        <v>0</v>
      </c>
      <c r="L211" t="n">
        <v>0</v>
      </c>
      <c r="M211" t="n">
        <v>0</v>
      </c>
      <c r="N211" t="n">
        <v>0</v>
      </c>
      <c r="O211" t="n">
        <v>0</v>
      </c>
      <c r="P211" t="n">
        <v>0</v>
      </c>
      <c r="Q211" t="n">
        <v>0</v>
      </c>
      <c r="R211" s="2" t="inlineStr"/>
    </row>
    <row r="212" ht="15" customHeight="1">
      <c r="A212" t="inlineStr">
        <is>
          <t>A 29753-2022</t>
        </is>
      </c>
      <c r="B212" s="1" t="n">
        <v>44755</v>
      </c>
      <c r="C212" s="1" t="n">
        <v>45982</v>
      </c>
      <c r="D212" t="inlineStr">
        <is>
          <t>UPPSALA LÄN</t>
        </is>
      </c>
      <c r="E212" t="inlineStr">
        <is>
          <t>ÖSTHAMMAR</t>
        </is>
      </c>
      <c r="G212" t="n">
        <v>9.4</v>
      </c>
      <c r="H212" t="n">
        <v>0</v>
      </c>
      <c r="I212" t="n">
        <v>0</v>
      </c>
      <c r="J212" t="n">
        <v>0</v>
      </c>
      <c r="K212" t="n">
        <v>0</v>
      </c>
      <c r="L212" t="n">
        <v>0</v>
      </c>
      <c r="M212" t="n">
        <v>0</v>
      </c>
      <c r="N212" t="n">
        <v>0</v>
      </c>
      <c r="O212" t="n">
        <v>0</v>
      </c>
      <c r="P212" t="n">
        <v>0</v>
      </c>
      <c r="Q212" t="n">
        <v>0</v>
      </c>
      <c r="R212" s="2" t="inlineStr"/>
    </row>
    <row r="213" ht="15" customHeight="1">
      <c r="A213" t="inlineStr">
        <is>
          <t>A 30086-2023</t>
        </is>
      </c>
      <c r="B213" s="1" t="n">
        <v>45110.43907407407</v>
      </c>
      <c r="C213" s="1" t="n">
        <v>45982</v>
      </c>
      <c r="D213" t="inlineStr">
        <is>
          <t>UPPSALA LÄN</t>
        </is>
      </c>
      <c r="E213" t="inlineStr">
        <is>
          <t>ÖSTHAMMAR</t>
        </is>
      </c>
      <c r="G213" t="n">
        <v>3.5</v>
      </c>
      <c r="H213" t="n">
        <v>0</v>
      </c>
      <c r="I213" t="n">
        <v>0</v>
      </c>
      <c r="J213" t="n">
        <v>0</v>
      </c>
      <c r="K213" t="n">
        <v>0</v>
      </c>
      <c r="L213" t="n">
        <v>0</v>
      </c>
      <c r="M213" t="n">
        <v>0</v>
      </c>
      <c r="N213" t="n">
        <v>0</v>
      </c>
      <c r="O213" t="n">
        <v>0</v>
      </c>
      <c r="P213" t="n">
        <v>0</v>
      </c>
      <c r="Q213" t="n">
        <v>0</v>
      </c>
      <c r="R213" s="2" t="inlineStr"/>
    </row>
    <row r="214" ht="15" customHeight="1">
      <c r="A214" t="inlineStr">
        <is>
          <t>A 2085-2022</t>
        </is>
      </c>
      <c r="B214" s="1" t="n">
        <v>44576.78626157407</v>
      </c>
      <c r="C214" s="1" t="n">
        <v>45982</v>
      </c>
      <c r="D214" t="inlineStr">
        <is>
          <t>UPPSALA LÄN</t>
        </is>
      </c>
      <c r="E214" t="inlineStr">
        <is>
          <t>ÖSTHAMMAR</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32742-2022</t>
        </is>
      </c>
      <c r="B215" s="1" t="n">
        <v>44783.69886574074</v>
      </c>
      <c r="C215" s="1" t="n">
        <v>45982</v>
      </c>
      <c r="D215" t="inlineStr">
        <is>
          <t>UPPSALA LÄN</t>
        </is>
      </c>
      <c r="E215" t="inlineStr">
        <is>
          <t>ÖSTHAMMAR</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49833-2023</t>
        </is>
      </c>
      <c r="B216" s="1" t="n">
        <v>45212.71481481481</v>
      </c>
      <c r="C216" s="1" t="n">
        <v>45982</v>
      </c>
      <c r="D216" t="inlineStr">
        <is>
          <t>UPPSALA LÄN</t>
        </is>
      </c>
      <c r="E216" t="inlineStr">
        <is>
          <t>ÖSTHAMMAR</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61261-2022</t>
        </is>
      </c>
      <c r="B217" s="1" t="n">
        <v>44915.59645833333</v>
      </c>
      <c r="C217" s="1" t="n">
        <v>45982</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45307-2023</t>
        </is>
      </c>
      <c r="B218" s="1" t="n">
        <v>45191</v>
      </c>
      <c r="C218" s="1" t="n">
        <v>45982</v>
      </c>
      <c r="D218" t="inlineStr">
        <is>
          <t>UPPSALA LÄN</t>
        </is>
      </c>
      <c r="E218" t="inlineStr">
        <is>
          <t>ÖSTHAMMAR</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8624-2025</t>
        </is>
      </c>
      <c r="B219" s="1" t="n">
        <v>45711.52333333333</v>
      </c>
      <c r="C219" s="1" t="n">
        <v>45982</v>
      </c>
      <c r="D219" t="inlineStr">
        <is>
          <t>UPPSALA LÄN</t>
        </is>
      </c>
      <c r="E219" t="inlineStr">
        <is>
          <t>ÖSTHAMMAR</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14187-2022</t>
        </is>
      </c>
      <c r="B220" s="1" t="n">
        <v>44651.5625</v>
      </c>
      <c r="C220" s="1" t="n">
        <v>45982</v>
      </c>
      <c r="D220" t="inlineStr">
        <is>
          <t>UPPSALA LÄN</t>
        </is>
      </c>
      <c r="E220" t="inlineStr">
        <is>
          <t>ÖSTHAMMAR</t>
        </is>
      </c>
      <c r="F220" t="inlineStr">
        <is>
          <t>Övriga Aktiebolag</t>
        </is>
      </c>
      <c r="G220" t="n">
        <v>14.1</v>
      </c>
      <c r="H220" t="n">
        <v>0</v>
      </c>
      <c r="I220" t="n">
        <v>0</v>
      </c>
      <c r="J220" t="n">
        <v>0</v>
      </c>
      <c r="K220" t="n">
        <v>0</v>
      </c>
      <c r="L220" t="n">
        <v>0</v>
      </c>
      <c r="M220" t="n">
        <v>0</v>
      </c>
      <c r="N220" t="n">
        <v>0</v>
      </c>
      <c r="O220" t="n">
        <v>0</v>
      </c>
      <c r="P220" t="n">
        <v>0</v>
      </c>
      <c r="Q220" t="n">
        <v>0</v>
      </c>
      <c r="R220" s="2" t="inlineStr"/>
    </row>
    <row r="221" ht="15" customHeight="1">
      <c r="A221" t="inlineStr">
        <is>
          <t>A 13093-2022</t>
        </is>
      </c>
      <c r="B221" s="1" t="n">
        <v>44643.93269675926</v>
      </c>
      <c r="C221" s="1" t="n">
        <v>45982</v>
      </c>
      <c r="D221" t="inlineStr">
        <is>
          <t>UPPSALA LÄN</t>
        </is>
      </c>
      <c r="E221" t="inlineStr">
        <is>
          <t>ÖSTHAMMAR</t>
        </is>
      </c>
      <c r="F221" t="inlineStr">
        <is>
          <t>Bergvik skog öst AB</t>
        </is>
      </c>
      <c r="G221" t="n">
        <v>3.2</v>
      </c>
      <c r="H221" t="n">
        <v>0</v>
      </c>
      <c r="I221" t="n">
        <v>0</v>
      </c>
      <c r="J221" t="n">
        <v>0</v>
      </c>
      <c r="K221" t="n">
        <v>0</v>
      </c>
      <c r="L221" t="n">
        <v>0</v>
      </c>
      <c r="M221" t="n">
        <v>0</v>
      </c>
      <c r="N221" t="n">
        <v>0</v>
      </c>
      <c r="O221" t="n">
        <v>0</v>
      </c>
      <c r="P221" t="n">
        <v>0</v>
      </c>
      <c r="Q221" t="n">
        <v>0</v>
      </c>
      <c r="R221" s="2" t="inlineStr"/>
    </row>
    <row r="222" ht="15" customHeight="1">
      <c r="A222" t="inlineStr">
        <is>
          <t>A 6143-2022</t>
        </is>
      </c>
      <c r="B222" s="1" t="n">
        <v>44599.72306712963</v>
      </c>
      <c r="C222" s="1" t="n">
        <v>45982</v>
      </c>
      <c r="D222" t="inlineStr">
        <is>
          <t>UPPSALA LÄN</t>
        </is>
      </c>
      <c r="E222" t="inlineStr">
        <is>
          <t>ÖSTHAMMAR</t>
        </is>
      </c>
      <c r="G222" t="n">
        <v>3.4</v>
      </c>
      <c r="H222" t="n">
        <v>0</v>
      </c>
      <c r="I222" t="n">
        <v>0</v>
      </c>
      <c r="J222" t="n">
        <v>0</v>
      </c>
      <c r="K222" t="n">
        <v>0</v>
      </c>
      <c r="L222" t="n">
        <v>0</v>
      </c>
      <c r="M222" t="n">
        <v>0</v>
      </c>
      <c r="N222" t="n">
        <v>0</v>
      </c>
      <c r="O222" t="n">
        <v>0</v>
      </c>
      <c r="P222" t="n">
        <v>0</v>
      </c>
      <c r="Q222" t="n">
        <v>0</v>
      </c>
      <c r="R222" s="2" t="inlineStr"/>
    </row>
    <row r="223" ht="15" customHeight="1">
      <c r="A223" t="inlineStr">
        <is>
          <t>A 6153-2022</t>
        </is>
      </c>
      <c r="B223" s="1" t="n">
        <v>44599</v>
      </c>
      <c r="C223" s="1" t="n">
        <v>45982</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43683-2024</t>
        </is>
      </c>
      <c r="B224" s="1" t="n">
        <v>45569.57518518518</v>
      </c>
      <c r="C224" s="1" t="n">
        <v>45982</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19009-2023</t>
        </is>
      </c>
      <c r="B225" s="1" t="n">
        <v>45045</v>
      </c>
      <c r="C225" s="1" t="n">
        <v>45982</v>
      </c>
      <c r="D225" t="inlineStr">
        <is>
          <t>UPPSALA LÄN</t>
        </is>
      </c>
      <c r="E225" t="inlineStr">
        <is>
          <t>ÖSTHAMMAR</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43993-2024</t>
        </is>
      </c>
      <c r="B226" s="1" t="n">
        <v>45572.52690972222</v>
      </c>
      <c r="C226" s="1" t="n">
        <v>45982</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21522-2022</t>
        </is>
      </c>
      <c r="B227" s="1" t="n">
        <v>44706</v>
      </c>
      <c r="C227" s="1" t="n">
        <v>45982</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63577-2020</t>
        </is>
      </c>
      <c r="B228" s="1" t="n">
        <v>44165</v>
      </c>
      <c r="C228" s="1" t="n">
        <v>45982</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22492-2025</t>
        </is>
      </c>
      <c r="B229" s="1" t="n">
        <v>45786.65072916666</v>
      </c>
      <c r="C229" s="1" t="n">
        <v>45982</v>
      </c>
      <c r="D229" t="inlineStr">
        <is>
          <t>UPPSALA LÄN</t>
        </is>
      </c>
      <c r="E229" t="inlineStr">
        <is>
          <t>ÖSTHAMMAR</t>
        </is>
      </c>
      <c r="F229" t="inlineStr">
        <is>
          <t>Bergvik skog öst AB</t>
        </is>
      </c>
      <c r="G229" t="n">
        <v>16.6</v>
      </c>
      <c r="H229" t="n">
        <v>0</v>
      </c>
      <c r="I229" t="n">
        <v>0</v>
      </c>
      <c r="J229" t="n">
        <v>0</v>
      </c>
      <c r="K229" t="n">
        <v>0</v>
      </c>
      <c r="L229" t="n">
        <v>0</v>
      </c>
      <c r="M229" t="n">
        <v>0</v>
      </c>
      <c r="N229" t="n">
        <v>0</v>
      </c>
      <c r="O229" t="n">
        <v>0</v>
      </c>
      <c r="P229" t="n">
        <v>0</v>
      </c>
      <c r="Q229" t="n">
        <v>0</v>
      </c>
      <c r="R229" s="2" t="inlineStr"/>
    </row>
    <row r="230" ht="15" customHeight="1">
      <c r="A230" t="inlineStr">
        <is>
          <t>A 1567-2025</t>
        </is>
      </c>
      <c r="B230" s="1" t="n">
        <v>45670</v>
      </c>
      <c r="C230" s="1" t="n">
        <v>45982</v>
      </c>
      <c r="D230" t="inlineStr">
        <is>
          <t>UPPSALA LÄN</t>
        </is>
      </c>
      <c r="E230" t="inlineStr">
        <is>
          <t>ÖSTHAMMAR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22483-2025</t>
        </is>
      </c>
      <c r="B231" s="1" t="n">
        <v>45786.64141203704</v>
      </c>
      <c r="C231" s="1" t="n">
        <v>45982</v>
      </c>
      <c r="D231" t="inlineStr">
        <is>
          <t>UPPSALA LÄN</t>
        </is>
      </c>
      <c r="E231" t="inlineStr">
        <is>
          <t>ÖSTHAMMAR</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59291-2023</t>
        </is>
      </c>
      <c r="B232" s="1" t="n">
        <v>45253.57559027777</v>
      </c>
      <c r="C232" s="1" t="n">
        <v>45982</v>
      </c>
      <c r="D232" t="inlineStr">
        <is>
          <t>UPPSALA LÄN</t>
        </is>
      </c>
      <c r="E232" t="inlineStr">
        <is>
          <t>ÖSTHAMMAR</t>
        </is>
      </c>
      <c r="G232" t="n">
        <v>1.7</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45982</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23305-2025</t>
        </is>
      </c>
      <c r="B234" s="1" t="n">
        <v>45791.60127314815</v>
      </c>
      <c r="C234" s="1" t="n">
        <v>45982</v>
      </c>
      <c r="D234" t="inlineStr">
        <is>
          <t>UPPSALA LÄN</t>
        </is>
      </c>
      <c r="E234" t="inlineStr">
        <is>
          <t>ÖSTHAMMAR</t>
        </is>
      </c>
      <c r="G234" t="n">
        <v>1.9</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45982</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14124-2022</t>
        </is>
      </c>
      <c r="B236" s="1" t="n">
        <v>44651.40924768519</v>
      </c>
      <c r="C236" s="1" t="n">
        <v>45982</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58324-2023</t>
        </is>
      </c>
      <c r="B237" s="1" t="n">
        <v>45250.58635416667</v>
      </c>
      <c r="C237" s="1" t="n">
        <v>45982</v>
      </c>
      <c r="D237" t="inlineStr">
        <is>
          <t>UPPSALA LÄN</t>
        </is>
      </c>
      <c r="E237" t="inlineStr">
        <is>
          <t>ÖSTHAMMAR</t>
        </is>
      </c>
      <c r="G237" t="n">
        <v>5.1</v>
      </c>
      <c r="H237" t="n">
        <v>0</v>
      </c>
      <c r="I237" t="n">
        <v>0</v>
      </c>
      <c r="J237" t="n">
        <v>0</v>
      </c>
      <c r="K237" t="n">
        <v>0</v>
      </c>
      <c r="L237" t="n">
        <v>0</v>
      </c>
      <c r="M237" t="n">
        <v>0</v>
      </c>
      <c r="N237" t="n">
        <v>0</v>
      </c>
      <c r="O237" t="n">
        <v>0</v>
      </c>
      <c r="P237" t="n">
        <v>0</v>
      </c>
      <c r="Q237" t="n">
        <v>0</v>
      </c>
      <c r="R237" s="2" t="inlineStr"/>
    </row>
    <row r="238" ht="15" customHeight="1">
      <c r="A238" t="inlineStr">
        <is>
          <t>A 4099-2025</t>
        </is>
      </c>
      <c r="B238" s="1" t="n">
        <v>45684</v>
      </c>
      <c r="C238" s="1" t="n">
        <v>45982</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1584-2025</t>
        </is>
      </c>
      <c r="B239" s="1" t="n">
        <v>45670</v>
      </c>
      <c r="C239" s="1" t="n">
        <v>45982</v>
      </c>
      <c r="D239" t="inlineStr">
        <is>
          <t>UPPSALA LÄN</t>
        </is>
      </c>
      <c r="E239" t="inlineStr">
        <is>
          <t>ÖSTHAMMAR</t>
        </is>
      </c>
      <c r="G239" t="n">
        <v>0.7</v>
      </c>
      <c r="H239" t="n">
        <v>0</v>
      </c>
      <c r="I239" t="n">
        <v>0</v>
      </c>
      <c r="J239" t="n">
        <v>0</v>
      </c>
      <c r="K239" t="n">
        <v>0</v>
      </c>
      <c r="L239" t="n">
        <v>0</v>
      </c>
      <c r="M239" t="n">
        <v>0</v>
      </c>
      <c r="N239" t="n">
        <v>0</v>
      </c>
      <c r="O239" t="n">
        <v>0</v>
      </c>
      <c r="P239" t="n">
        <v>0</v>
      </c>
      <c r="Q239" t="n">
        <v>0</v>
      </c>
      <c r="R239" s="2" t="inlineStr"/>
    </row>
    <row r="240" ht="15" customHeight="1">
      <c r="A240" t="inlineStr">
        <is>
          <t>A 30972-2024</t>
        </is>
      </c>
      <c r="B240" s="1" t="n">
        <v>45499.47106481482</v>
      </c>
      <c r="C240" s="1" t="n">
        <v>45982</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45982</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45982</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23968-2025</t>
        </is>
      </c>
      <c r="B243" s="1" t="n">
        <v>45796</v>
      </c>
      <c r="C243" s="1" t="n">
        <v>45982</v>
      </c>
      <c r="D243" t="inlineStr">
        <is>
          <t>UPPSALA LÄN</t>
        </is>
      </c>
      <c r="E243" t="inlineStr">
        <is>
          <t>ÖSTHAMMAR</t>
        </is>
      </c>
      <c r="F243" t="inlineStr">
        <is>
          <t>Bergvik skog öst AB</t>
        </is>
      </c>
      <c r="G243" t="n">
        <v>7.5</v>
      </c>
      <c r="H243" t="n">
        <v>0</v>
      </c>
      <c r="I243" t="n">
        <v>0</v>
      </c>
      <c r="J243" t="n">
        <v>0</v>
      </c>
      <c r="K243" t="n">
        <v>0</v>
      </c>
      <c r="L243" t="n">
        <v>0</v>
      </c>
      <c r="M243" t="n">
        <v>0</v>
      </c>
      <c r="N243" t="n">
        <v>0</v>
      </c>
      <c r="O243" t="n">
        <v>0</v>
      </c>
      <c r="P243" t="n">
        <v>0</v>
      </c>
      <c r="Q243" t="n">
        <v>0</v>
      </c>
      <c r="R243" s="2" t="inlineStr"/>
    </row>
    <row r="244" ht="15" customHeight="1">
      <c r="A244" t="inlineStr">
        <is>
          <t>A 24174-2025</t>
        </is>
      </c>
      <c r="B244" s="1" t="n">
        <v>45796.69207175926</v>
      </c>
      <c r="C244" s="1" t="n">
        <v>45982</v>
      </c>
      <c r="D244" t="inlineStr">
        <is>
          <t>UPPSALA LÄN</t>
        </is>
      </c>
      <c r="E244" t="inlineStr">
        <is>
          <t>ÖSTHAMMAR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24606-2024</t>
        </is>
      </c>
      <c r="B245" s="1" t="n">
        <v>45460</v>
      </c>
      <c r="C245" s="1" t="n">
        <v>45982</v>
      </c>
      <c r="D245" t="inlineStr">
        <is>
          <t>UPPSALA LÄN</t>
        </is>
      </c>
      <c r="E245" t="inlineStr">
        <is>
          <t>ÖSTHAMMAR</t>
        </is>
      </c>
      <c r="F245" t="inlineStr">
        <is>
          <t>Bergvik skog öst AB</t>
        </is>
      </c>
      <c r="G245" t="n">
        <v>2.9</v>
      </c>
      <c r="H245" t="n">
        <v>0</v>
      </c>
      <c r="I245" t="n">
        <v>0</v>
      </c>
      <c r="J245" t="n">
        <v>0</v>
      </c>
      <c r="K245" t="n">
        <v>0</v>
      </c>
      <c r="L245" t="n">
        <v>0</v>
      </c>
      <c r="M245" t="n">
        <v>0</v>
      </c>
      <c r="N245" t="n">
        <v>0</v>
      </c>
      <c r="O245" t="n">
        <v>0</v>
      </c>
      <c r="P245" t="n">
        <v>0</v>
      </c>
      <c r="Q245" t="n">
        <v>0</v>
      </c>
      <c r="R245" s="2" t="inlineStr"/>
    </row>
    <row r="246" ht="15" customHeight="1">
      <c r="A246" t="inlineStr">
        <is>
          <t>A 49097-2022</t>
        </is>
      </c>
      <c r="B246" s="1" t="n">
        <v>44860</v>
      </c>
      <c r="C246" s="1" t="n">
        <v>45982</v>
      </c>
      <c r="D246" t="inlineStr">
        <is>
          <t>UPPSALA LÄN</t>
        </is>
      </c>
      <c r="E246" t="inlineStr">
        <is>
          <t>ÖSTHAMMAR</t>
        </is>
      </c>
      <c r="G246" t="n">
        <v>6.9</v>
      </c>
      <c r="H246" t="n">
        <v>0</v>
      </c>
      <c r="I246" t="n">
        <v>0</v>
      </c>
      <c r="J246" t="n">
        <v>0</v>
      </c>
      <c r="K246" t="n">
        <v>0</v>
      </c>
      <c r="L246" t="n">
        <v>0</v>
      </c>
      <c r="M246" t="n">
        <v>0</v>
      </c>
      <c r="N246" t="n">
        <v>0</v>
      </c>
      <c r="O246" t="n">
        <v>0</v>
      </c>
      <c r="P246" t="n">
        <v>0</v>
      </c>
      <c r="Q246" t="n">
        <v>0</v>
      </c>
      <c r="R246" s="2" t="inlineStr"/>
    </row>
    <row r="247" ht="15" customHeight="1">
      <c r="A247" t="inlineStr">
        <is>
          <t>A 25049-2025</t>
        </is>
      </c>
      <c r="B247" s="1" t="n">
        <v>45799.66876157407</v>
      </c>
      <c r="C247" s="1" t="n">
        <v>45982</v>
      </c>
      <c r="D247" t="inlineStr">
        <is>
          <t>UPPSALA LÄN</t>
        </is>
      </c>
      <c r="E247" t="inlineStr">
        <is>
          <t>ÖSTHAMMAR</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10449-2023</t>
        </is>
      </c>
      <c r="B248" s="1" t="n">
        <v>44987</v>
      </c>
      <c r="C248" s="1" t="n">
        <v>45982</v>
      </c>
      <c r="D248" t="inlineStr">
        <is>
          <t>UPPSALA LÄN</t>
        </is>
      </c>
      <c r="E248" t="inlineStr">
        <is>
          <t>ÖSTHAMMAR</t>
        </is>
      </c>
      <c r="G248" t="n">
        <v>3.1</v>
      </c>
      <c r="H248" t="n">
        <v>0</v>
      </c>
      <c r="I248" t="n">
        <v>0</v>
      </c>
      <c r="J248" t="n">
        <v>0</v>
      </c>
      <c r="K248" t="n">
        <v>0</v>
      </c>
      <c r="L248" t="n">
        <v>0</v>
      </c>
      <c r="M248" t="n">
        <v>0</v>
      </c>
      <c r="N248" t="n">
        <v>0</v>
      </c>
      <c r="O248" t="n">
        <v>0</v>
      </c>
      <c r="P248" t="n">
        <v>0</v>
      </c>
      <c r="Q248" t="n">
        <v>0</v>
      </c>
      <c r="R248" s="2" t="inlineStr"/>
    </row>
    <row r="249" ht="15" customHeight="1">
      <c r="A249" t="inlineStr">
        <is>
          <t>A 835-2025</t>
        </is>
      </c>
      <c r="B249" s="1" t="n">
        <v>45665.58465277778</v>
      </c>
      <c r="C249" s="1" t="n">
        <v>45982</v>
      </c>
      <c r="D249" t="inlineStr">
        <is>
          <t>UPPSALA LÄN</t>
        </is>
      </c>
      <c r="E249" t="inlineStr">
        <is>
          <t>ÖSTHAMMAR</t>
        </is>
      </c>
      <c r="F249" t="inlineStr">
        <is>
          <t>Övriga Aktiebolag</t>
        </is>
      </c>
      <c r="G249" t="n">
        <v>4.8</v>
      </c>
      <c r="H249" t="n">
        <v>0</v>
      </c>
      <c r="I249" t="n">
        <v>0</v>
      </c>
      <c r="J249" t="n">
        <v>0</v>
      </c>
      <c r="K249" t="n">
        <v>0</v>
      </c>
      <c r="L249" t="n">
        <v>0</v>
      </c>
      <c r="M249" t="n">
        <v>0</v>
      </c>
      <c r="N249" t="n">
        <v>0</v>
      </c>
      <c r="O249" t="n">
        <v>0</v>
      </c>
      <c r="P249" t="n">
        <v>0</v>
      </c>
      <c r="Q249" t="n">
        <v>0</v>
      </c>
      <c r="R249" s="2" t="inlineStr"/>
    </row>
    <row r="250" ht="15" customHeight="1">
      <c r="A250" t="inlineStr">
        <is>
          <t>A 40384-2025</t>
        </is>
      </c>
      <c r="B250" s="1" t="n">
        <v>45895.54085648148</v>
      </c>
      <c r="C250" s="1" t="n">
        <v>45982</v>
      </c>
      <c r="D250" t="inlineStr">
        <is>
          <t>UPPSALA LÄN</t>
        </is>
      </c>
      <c r="E250" t="inlineStr">
        <is>
          <t>ÖSTHAMMAR</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36904-2023</t>
        </is>
      </c>
      <c r="B251" s="1" t="n">
        <v>45154</v>
      </c>
      <c r="C251" s="1" t="n">
        <v>45982</v>
      </c>
      <c r="D251" t="inlineStr">
        <is>
          <t>UPPSALA LÄN</t>
        </is>
      </c>
      <c r="E251" t="inlineStr">
        <is>
          <t>ÖSTHAMMAR</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40377-2025</t>
        </is>
      </c>
      <c r="B252" s="1" t="n">
        <v>45895.53020833333</v>
      </c>
      <c r="C252" s="1" t="n">
        <v>45982</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13248-2025</t>
        </is>
      </c>
      <c r="B253" s="1" t="n">
        <v>45735</v>
      </c>
      <c r="C253" s="1" t="n">
        <v>45982</v>
      </c>
      <c r="D253" t="inlineStr">
        <is>
          <t>UPPSALA LÄN</t>
        </is>
      </c>
      <c r="E253" t="inlineStr">
        <is>
          <t>ÖSTHAMMAR</t>
        </is>
      </c>
      <c r="F253" t="inlineStr">
        <is>
          <t>Kyrkan</t>
        </is>
      </c>
      <c r="G253" t="n">
        <v>12.2</v>
      </c>
      <c r="H253" t="n">
        <v>0</v>
      </c>
      <c r="I253" t="n">
        <v>0</v>
      </c>
      <c r="J253" t="n">
        <v>0</v>
      </c>
      <c r="K253" t="n">
        <v>0</v>
      </c>
      <c r="L253" t="n">
        <v>0</v>
      </c>
      <c r="M253" t="n">
        <v>0</v>
      </c>
      <c r="N253" t="n">
        <v>0</v>
      </c>
      <c r="O253" t="n">
        <v>0</v>
      </c>
      <c r="P253" t="n">
        <v>0</v>
      </c>
      <c r="Q253" t="n">
        <v>0</v>
      </c>
      <c r="R253" s="2" t="inlineStr"/>
    </row>
    <row r="254" ht="15" customHeight="1">
      <c r="A254" t="inlineStr">
        <is>
          <t>A 40382-2025</t>
        </is>
      </c>
      <c r="B254" s="1" t="n">
        <v>45895.53689814815</v>
      </c>
      <c r="C254" s="1" t="n">
        <v>45982</v>
      </c>
      <c r="D254" t="inlineStr">
        <is>
          <t>UPPSALA LÄN</t>
        </is>
      </c>
      <c r="E254" t="inlineStr">
        <is>
          <t>ÖSTHAMMAR</t>
        </is>
      </c>
      <c r="G254" t="n">
        <v>2.2</v>
      </c>
      <c r="H254" t="n">
        <v>0</v>
      </c>
      <c r="I254" t="n">
        <v>0</v>
      </c>
      <c r="J254" t="n">
        <v>0</v>
      </c>
      <c r="K254" t="n">
        <v>0</v>
      </c>
      <c r="L254" t="n">
        <v>0</v>
      </c>
      <c r="M254" t="n">
        <v>0</v>
      </c>
      <c r="N254" t="n">
        <v>0</v>
      </c>
      <c r="O254" t="n">
        <v>0</v>
      </c>
      <c r="P254" t="n">
        <v>0</v>
      </c>
      <c r="Q254" t="n">
        <v>0</v>
      </c>
      <c r="R254" s="2" t="inlineStr"/>
    </row>
    <row r="255" ht="15" customHeight="1">
      <c r="A255" t="inlineStr">
        <is>
          <t>A 40460-2025</t>
        </is>
      </c>
      <c r="B255" s="1" t="n">
        <v>45895.65013888889</v>
      </c>
      <c r="C255" s="1" t="n">
        <v>45982</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40462-2025</t>
        </is>
      </c>
      <c r="B256" s="1" t="n">
        <v>45895.65179398148</v>
      </c>
      <c r="C256" s="1" t="n">
        <v>45982</v>
      </c>
      <c r="D256" t="inlineStr">
        <is>
          <t>UPPSALA LÄN</t>
        </is>
      </c>
      <c r="E256" t="inlineStr">
        <is>
          <t>ÖSTHAMMAR</t>
        </is>
      </c>
      <c r="G256" t="n">
        <v>4.5</v>
      </c>
      <c r="H256" t="n">
        <v>0</v>
      </c>
      <c r="I256" t="n">
        <v>0</v>
      </c>
      <c r="J256" t="n">
        <v>0</v>
      </c>
      <c r="K256" t="n">
        <v>0</v>
      </c>
      <c r="L256" t="n">
        <v>0</v>
      </c>
      <c r="M256" t="n">
        <v>0</v>
      </c>
      <c r="N256" t="n">
        <v>0</v>
      </c>
      <c r="O256" t="n">
        <v>0</v>
      </c>
      <c r="P256" t="n">
        <v>0</v>
      </c>
      <c r="Q256" t="n">
        <v>0</v>
      </c>
      <c r="R256" s="2" t="inlineStr"/>
    </row>
    <row r="257" ht="15" customHeight="1">
      <c r="A257" t="inlineStr">
        <is>
          <t>A 1527-2025</t>
        </is>
      </c>
      <c r="B257" s="1" t="n">
        <v>45670</v>
      </c>
      <c r="C257" s="1" t="n">
        <v>45982</v>
      </c>
      <c r="D257" t="inlineStr">
        <is>
          <t>UPPSALA LÄN</t>
        </is>
      </c>
      <c r="E257" t="inlineStr">
        <is>
          <t>ÖSTHAMMAR</t>
        </is>
      </c>
      <c r="F257" t="inlineStr">
        <is>
          <t>Bergvik skog öst AB</t>
        </is>
      </c>
      <c r="G257" t="n">
        <v>7.7</v>
      </c>
      <c r="H257" t="n">
        <v>0</v>
      </c>
      <c r="I257" t="n">
        <v>0</v>
      </c>
      <c r="J257" t="n">
        <v>0</v>
      </c>
      <c r="K257" t="n">
        <v>0</v>
      </c>
      <c r="L257" t="n">
        <v>0</v>
      </c>
      <c r="M257" t="n">
        <v>0</v>
      </c>
      <c r="N257" t="n">
        <v>0</v>
      </c>
      <c r="O257" t="n">
        <v>0</v>
      </c>
      <c r="P257" t="n">
        <v>0</v>
      </c>
      <c r="Q257" t="n">
        <v>0</v>
      </c>
      <c r="R257" s="2" t="inlineStr"/>
    </row>
    <row r="258" ht="15" customHeight="1">
      <c r="A258" t="inlineStr">
        <is>
          <t>A 4304-2025</t>
        </is>
      </c>
      <c r="B258" s="1" t="n">
        <v>45685.68193287037</v>
      </c>
      <c r="C258" s="1" t="n">
        <v>45982</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40016-2025</t>
        </is>
      </c>
      <c r="B259" s="1" t="n">
        <v>45894.34747685185</v>
      </c>
      <c r="C259" s="1" t="n">
        <v>45982</v>
      </c>
      <c r="D259" t="inlineStr">
        <is>
          <t>UPPSALA LÄN</t>
        </is>
      </c>
      <c r="E259" t="inlineStr">
        <is>
          <t>ÖSTHAMMAR</t>
        </is>
      </c>
      <c r="F259" t="inlineStr">
        <is>
          <t>Kyrkan</t>
        </is>
      </c>
      <c r="G259" t="n">
        <v>6.6</v>
      </c>
      <c r="H259" t="n">
        <v>0</v>
      </c>
      <c r="I259" t="n">
        <v>0</v>
      </c>
      <c r="J259" t="n">
        <v>0</v>
      </c>
      <c r="K259" t="n">
        <v>0</v>
      </c>
      <c r="L259" t="n">
        <v>0</v>
      </c>
      <c r="M259" t="n">
        <v>0</v>
      </c>
      <c r="N259" t="n">
        <v>0</v>
      </c>
      <c r="O259" t="n">
        <v>0</v>
      </c>
      <c r="P259" t="n">
        <v>0</v>
      </c>
      <c r="Q259" t="n">
        <v>0</v>
      </c>
      <c r="R259" s="2" t="inlineStr"/>
    </row>
    <row r="260" ht="15" customHeight="1">
      <c r="A260" t="inlineStr">
        <is>
          <t>A 40044-2025</t>
        </is>
      </c>
      <c r="B260" s="1" t="n">
        <v>45894.40133101852</v>
      </c>
      <c r="C260" s="1" t="n">
        <v>45982</v>
      </c>
      <c r="D260" t="inlineStr">
        <is>
          <t>UPPSALA LÄN</t>
        </is>
      </c>
      <c r="E260" t="inlineStr">
        <is>
          <t>ÖSTHAMMAR</t>
        </is>
      </c>
      <c r="F260" t="inlineStr">
        <is>
          <t>Kyrkan</t>
        </is>
      </c>
      <c r="G260" t="n">
        <v>8.9</v>
      </c>
      <c r="H260" t="n">
        <v>0</v>
      </c>
      <c r="I260" t="n">
        <v>0</v>
      </c>
      <c r="J260" t="n">
        <v>0</v>
      </c>
      <c r="K260" t="n">
        <v>0</v>
      </c>
      <c r="L260" t="n">
        <v>0</v>
      </c>
      <c r="M260" t="n">
        <v>0</v>
      </c>
      <c r="N260" t="n">
        <v>0</v>
      </c>
      <c r="O260" t="n">
        <v>0</v>
      </c>
      <c r="P260" t="n">
        <v>0</v>
      </c>
      <c r="Q260" t="n">
        <v>0</v>
      </c>
      <c r="R260" s="2" t="inlineStr"/>
    </row>
    <row r="261" ht="15" customHeight="1">
      <c r="A261" t="inlineStr">
        <is>
          <t>A 24944-2025</t>
        </is>
      </c>
      <c r="B261" s="1" t="n">
        <v>45799.56347222222</v>
      </c>
      <c r="C261" s="1" t="n">
        <v>45982</v>
      </c>
      <c r="D261" t="inlineStr">
        <is>
          <t>UPPSALA LÄN</t>
        </is>
      </c>
      <c r="E261" t="inlineStr">
        <is>
          <t>ÖSTHAMMAR</t>
        </is>
      </c>
      <c r="G261" t="n">
        <v>7.3</v>
      </c>
      <c r="H261" t="n">
        <v>0</v>
      </c>
      <c r="I261" t="n">
        <v>0</v>
      </c>
      <c r="J261" t="n">
        <v>0</v>
      </c>
      <c r="K261" t="n">
        <v>0</v>
      </c>
      <c r="L261" t="n">
        <v>0</v>
      </c>
      <c r="M261" t="n">
        <v>0</v>
      </c>
      <c r="N261" t="n">
        <v>0</v>
      </c>
      <c r="O261" t="n">
        <v>0</v>
      </c>
      <c r="P261" t="n">
        <v>0</v>
      </c>
      <c r="Q261" t="n">
        <v>0</v>
      </c>
      <c r="R261" s="2" t="inlineStr"/>
    </row>
    <row r="262" ht="15" customHeight="1">
      <c r="A262" t="inlineStr">
        <is>
          <t>A 12945-2025</t>
        </is>
      </c>
      <c r="B262" s="1" t="n">
        <v>45734.38159722222</v>
      </c>
      <c r="C262" s="1" t="n">
        <v>45982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34185-2024</t>
        </is>
      </c>
      <c r="B263" s="1" t="n">
        <v>45524</v>
      </c>
      <c r="C263" s="1" t="n">
        <v>45982</v>
      </c>
      <c r="D263" t="inlineStr">
        <is>
          <t>UPPSALA LÄN</t>
        </is>
      </c>
      <c r="E263" t="inlineStr">
        <is>
          <t>ÖSTHAMMAR</t>
        </is>
      </c>
      <c r="G263" t="n">
        <v>2.5</v>
      </c>
      <c r="H263" t="n">
        <v>0</v>
      </c>
      <c r="I263" t="n">
        <v>0</v>
      </c>
      <c r="J263" t="n">
        <v>0</v>
      </c>
      <c r="K263" t="n">
        <v>0</v>
      </c>
      <c r="L263" t="n">
        <v>0</v>
      </c>
      <c r="M263" t="n">
        <v>0</v>
      </c>
      <c r="N263" t="n">
        <v>0</v>
      </c>
      <c r="O263" t="n">
        <v>0</v>
      </c>
      <c r="P263" t="n">
        <v>0</v>
      </c>
      <c r="Q263" t="n">
        <v>0</v>
      </c>
      <c r="R263" s="2" t="inlineStr"/>
    </row>
    <row r="264" ht="15" customHeight="1">
      <c r="A264" t="inlineStr">
        <is>
          <t>A 40416-2025</t>
        </is>
      </c>
      <c r="B264" s="1" t="n">
        <v>45895.57736111111</v>
      </c>
      <c r="C264" s="1" t="n">
        <v>45982</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53735-2023</t>
        </is>
      </c>
      <c r="B265" s="1" t="n">
        <v>45230.77258101852</v>
      </c>
      <c r="C265" s="1" t="n">
        <v>45982</v>
      </c>
      <c r="D265" t="inlineStr">
        <is>
          <t>UPPSALA LÄN</t>
        </is>
      </c>
      <c r="E265" t="inlineStr">
        <is>
          <t>ÖSTHAMMAR</t>
        </is>
      </c>
      <c r="G265" t="n">
        <v>1.1</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45982</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38702-2022</t>
        </is>
      </c>
      <c r="B267" s="1" t="n">
        <v>44814.5991087963</v>
      </c>
      <c r="C267" s="1" t="n">
        <v>45982</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1439-2025</t>
        </is>
      </c>
      <c r="B268" s="1" t="n">
        <v>45669.69075231482</v>
      </c>
      <c r="C268" s="1" t="n">
        <v>45982</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1575-2025</t>
        </is>
      </c>
      <c r="B269" s="1" t="n">
        <v>45670</v>
      </c>
      <c r="C269" s="1" t="n">
        <v>45982</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14170-2025</t>
        </is>
      </c>
      <c r="B270" s="1" t="n">
        <v>45740.51895833333</v>
      </c>
      <c r="C270" s="1" t="n">
        <v>45982</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40570-2025</t>
        </is>
      </c>
      <c r="B271" s="1" t="n">
        <v>45896.47878472223</v>
      </c>
      <c r="C271" s="1" t="n">
        <v>45982</v>
      </c>
      <c r="D271" t="inlineStr">
        <is>
          <t>UPPSALA LÄN</t>
        </is>
      </c>
      <c r="E271" t="inlineStr">
        <is>
          <t>ÖSTHAMMAR</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58297-2024</t>
        </is>
      </c>
      <c r="B272" s="1" t="n">
        <v>45632.59780092593</v>
      </c>
      <c r="C272" s="1" t="n">
        <v>45982</v>
      </c>
      <c r="D272" t="inlineStr">
        <is>
          <t>UPPSALA LÄN</t>
        </is>
      </c>
      <c r="E272" t="inlineStr">
        <is>
          <t>ÖSTHAMMAR</t>
        </is>
      </c>
      <c r="G272" t="n">
        <v>5.1</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45982</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26330-2025</t>
        </is>
      </c>
      <c r="B274" s="1" t="n">
        <v>45805.68263888889</v>
      </c>
      <c r="C274" s="1" t="n">
        <v>45982</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26319-2025</t>
        </is>
      </c>
      <c r="B275" s="1" t="n">
        <v>45805.65960648148</v>
      </c>
      <c r="C275" s="1" t="n">
        <v>45982</v>
      </c>
      <c r="D275" t="inlineStr">
        <is>
          <t>UPPSALA LÄN</t>
        </is>
      </c>
      <c r="E275" t="inlineStr">
        <is>
          <t>ÖSTHAMMAR</t>
        </is>
      </c>
      <c r="G275" t="n">
        <v>1</v>
      </c>
      <c r="H275" t="n">
        <v>0</v>
      </c>
      <c r="I275" t="n">
        <v>0</v>
      </c>
      <c r="J275" t="n">
        <v>0</v>
      </c>
      <c r="K275" t="n">
        <v>0</v>
      </c>
      <c r="L275" t="n">
        <v>0</v>
      </c>
      <c r="M275" t="n">
        <v>0</v>
      </c>
      <c r="N275" t="n">
        <v>0</v>
      </c>
      <c r="O275" t="n">
        <v>0</v>
      </c>
      <c r="P275" t="n">
        <v>0</v>
      </c>
      <c r="Q275" t="n">
        <v>0</v>
      </c>
      <c r="R275" s="2" t="inlineStr"/>
    </row>
    <row r="276" ht="15" customHeight="1">
      <c r="A276" t="inlineStr">
        <is>
          <t>A 26055-2025</t>
        </is>
      </c>
      <c r="B276" s="1" t="n">
        <v>45804.77559027778</v>
      </c>
      <c r="C276" s="1" t="n">
        <v>45982</v>
      </c>
      <c r="D276" t="inlineStr">
        <is>
          <t>UPPSALA LÄN</t>
        </is>
      </c>
      <c r="E276" t="inlineStr">
        <is>
          <t>ÖSTHAMMAR</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49773-2025</t>
        </is>
      </c>
      <c r="B277" s="1" t="n">
        <v>45940.37303240741</v>
      </c>
      <c r="C277" s="1" t="n">
        <v>45982</v>
      </c>
      <c r="D277" t="inlineStr">
        <is>
          <t>UPPSALA LÄN</t>
        </is>
      </c>
      <c r="E277" t="inlineStr">
        <is>
          <t>ÖSTHAMMAR</t>
        </is>
      </c>
      <c r="G277" t="n">
        <v>3.5</v>
      </c>
      <c r="H277" t="n">
        <v>0</v>
      </c>
      <c r="I277" t="n">
        <v>0</v>
      </c>
      <c r="J277" t="n">
        <v>0</v>
      </c>
      <c r="K277" t="n">
        <v>0</v>
      </c>
      <c r="L277" t="n">
        <v>0</v>
      </c>
      <c r="M277" t="n">
        <v>0</v>
      </c>
      <c r="N277" t="n">
        <v>0</v>
      </c>
      <c r="O277" t="n">
        <v>0</v>
      </c>
      <c r="P277" t="n">
        <v>0</v>
      </c>
      <c r="Q277" t="n">
        <v>0</v>
      </c>
      <c r="R277" s="2" t="inlineStr"/>
    </row>
    <row r="278" ht="15" customHeight="1">
      <c r="A278" t="inlineStr">
        <is>
          <t>A 38571-2023</t>
        </is>
      </c>
      <c r="B278" s="1" t="n">
        <v>45162.6177662037</v>
      </c>
      <c r="C278" s="1" t="n">
        <v>45982</v>
      </c>
      <c r="D278" t="inlineStr">
        <is>
          <t>UPPSALA LÄN</t>
        </is>
      </c>
      <c r="E278" t="inlineStr">
        <is>
          <t>ÖSTHAMMAR</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5884-2023</t>
        </is>
      </c>
      <c r="B279" s="1" t="n">
        <v>44963</v>
      </c>
      <c r="C279" s="1" t="n">
        <v>45982</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12654-2025</t>
        </is>
      </c>
      <c r="B280" s="1" t="n">
        <v>45733.41601851852</v>
      </c>
      <c r="C280" s="1" t="n">
        <v>45982</v>
      </c>
      <c r="D280" t="inlineStr">
        <is>
          <t>UPPSALA LÄN</t>
        </is>
      </c>
      <c r="E280" t="inlineStr">
        <is>
          <t>ÖSTHAMMAR</t>
        </is>
      </c>
      <c r="G280" t="n">
        <v>9.9</v>
      </c>
      <c r="H280" t="n">
        <v>0</v>
      </c>
      <c r="I280" t="n">
        <v>0</v>
      </c>
      <c r="J280" t="n">
        <v>0</v>
      </c>
      <c r="K280" t="n">
        <v>0</v>
      </c>
      <c r="L280" t="n">
        <v>0</v>
      </c>
      <c r="M280" t="n">
        <v>0</v>
      </c>
      <c r="N280" t="n">
        <v>0</v>
      </c>
      <c r="O280" t="n">
        <v>0</v>
      </c>
      <c r="P280" t="n">
        <v>0</v>
      </c>
      <c r="Q280" t="n">
        <v>0</v>
      </c>
      <c r="R280" s="2" t="inlineStr"/>
    </row>
    <row r="281" ht="15" customHeight="1">
      <c r="A281" t="inlineStr">
        <is>
          <t>A 26521-2025</t>
        </is>
      </c>
      <c r="B281" s="1" t="n">
        <v>45807.56275462963</v>
      </c>
      <c r="C281" s="1" t="n">
        <v>45982</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26526-2025</t>
        </is>
      </c>
      <c r="B282" s="1" t="n">
        <v>45807.56612268519</v>
      </c>
      <c r="C282" s="1" t="n">
        <v>45982</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41519-2025</t>
        </is>
      </c>
      <c r="B283" s="1" t="n">
        <v>45901.54751157408</v>
      </c>
      <c r="C283" s="1" t="n">
        <v>45982</v>
      </c>
      <c r="D283" t="inlineStr">
        <is>
          <t>UPPSALA LÄN</t>
        </is>
      </c>
      <c r="E283" t="inlineStr">
        <is>
          <t>ÖSTHAMMAR</t>
        </is>
      </c>
      <c r="F283" t="inlineStr">
        <is>
          <t>Övriga Aktiebolag</t>
        </is>
      </c>
      <c r="G283" t="n">
        <v>17.1</v>
      </c>
      <c r="H283" t="n">
        <v>0</v>
      </c>
      <c r="I283" t="n">
        <v>0</v>
      </c>
      <c r="J283" t="n">
        <v>0</v>
      </c>
      <c r="K283" t="n">
        <v>0</v>
      </c>
      <c r="L283" t="n">
        <v>0</v>
      </c>
      <c r="M283" t="n">
        <v>0</v>
      </c>
      <c r="N283" t="n">
        <v>0</v>
      </c>
      <c r="O283" t="n">
        <v>0</v>
      </c>
      <c r="P283" t="n">
        <v>0</v>
      </c>
      <c r="Q283" t="n">
        <v>0</v>
      </c>
      <c r="R283" s="2" t="inlineStr"/>
    </row>
    <row r="284" ht="15" customHeight="1">
      <c r="A284" t="inlineStr">
        <is>
          <t>A 52650-2022</t>
        </is>
      </c>
      <c r="B284" s="1" t="n">
        <v>44874</v>
      </c>
      <c r="C284" s="1" t="n">
        <v>45982</v>
      </c>
      <c r="D284" t="inlineStr">
        <is>
          <t>UPPSALA LÄN</t>
        </is>
      </c>
      <c r="E284" t="inlineStr">
        <is>
          <t>ÖSTHAMMAR</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27131-2025</t>
        </is>
      </c>
      <c r="B285" s="1" t="n">
        <v>45811</v>
      </c>
      <c r="C285" s="1" t="n">
        <v>45982</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44807-2024</t>
        </is>
      </c>
      <c r="B286" s="1" t="n">
        <v>45574.65427083334</v>
      </c>
      <c r="C286" s="1" t="n">
        <v>45982</v>
      </c>
      <c r="D286" t="inlineStr">
        <is>
          <t>UPPSALA LÄN</t>
        </is>
      </c>
      <c r="E286" t="inlineStr">
        <is>
          <t>ÖSTHAMMAR</t>
        </is>
      </c>
      <c r="G286" t="n">
        <v>2.9</v>
      </c>
      <c r="H286" t="n">
        <v>0</v>
      </c>
      <c r="I286" t="n">
        <v>0</v>
      </c>
      <c r="J286" t="n">
        <v>0</v>
      </c>
      <c r="K286" t="n">
        <v>0</v>
      </c>
      <c r="L286" t="n">
        <v>0</v>
      </c>
      <c r="M286" t="n">
        <v>0</v>
      </c>
      <c r="N286" t="n">
        <v>0</v>
      </c>
      <c r="O286" t="n">
        <v>0</v>
      </c>
      <c r="P286" t="n">
        <v>0</v>
      </c>
      <c r="Q286" t="n">
        <v>0</v>
      </c>
      <c r="R286" s="2" t="inlineStr"/>
    </row>
    <row r="287" ht="15" customHeight="1">
      <c r="A287" t="inlineStr">
        <is>
          <t>A 8908-2025</t>
        </is>
      </c>
      <c r="B287" s="1" t="n">
        <v>45713.4196875</v>
      </c>
      <c r="C287" s="1" t="n">
        <v>45982</v>
      </c>
      <c r="D287" t="inlineStr">
        <is>
          <t>UPPSALA LÄN</t>
        </is>
      </c>
      <c r="E287" t="inlineStr">
        <is>
          <t>ÖSTHAMMAR</t>
        </is>
      </c>
      <c r="F287" t="inlineStr">
        <is>
          <t>Bergvik skog öst AB</t>
        </is>
      </c>
      <c r="G287" t="n">
        <v>3.3</v>
      </c>
      <c r="H287" t="n">
        <v>0</v>
      </c>
      <c r="I287" t="n">
        <v>0</v>
      </c>
      <c r="J287" t="n">
        <v>0</v>
      </c>
      <c r="K287" t="n">
        <v>0</v>
      </c>
      <c r="L287" t="n">
        <v>0</v>
      </c>
      <c r="M287" t="n">
        <v>0</v>
      </c>
      <c r="N287" t="n">
        <v>0</v>
      </c>
      <c r="O287" t="n">
        <v>0</v>
      </c>
      <c r="P287" t="n">
        <v>0</v>
      </c>
      <c r="Q287" t="n">
        <v>0</v>
      </c>
      <c r="R287" s="2" t="inlineStr"/>
    </row>
    <row r="288" ht="15" customHeight="1">
      <c r="A288" t="inlineStr">
        <is>
          <t>A 27132-2025</t>
        </is>
      </c>
      <c r="B288" s="1" t="n">
        <v>45811</v>
      </c>
      <c r="C288" s="1" t="n">
        <v>45982</v>
      </c>
      <c r="D288" t="inlineStr">
        <is>
          <t>UPPSALA LÄN</t>
        </is>
      </c>
      <c r="E288" t="inlineStr">
        <is>
          <t>ÖSTHAMMAR</t>
        </is>
      </c>
      <c r="G288" t="n">
        <v>2.3</v>
      </c>
      <c r="H288" t="n">
        <v>0</v>
      </c>
      <c r="I288" t="n">
        <v>0</v>
      </c>
      <c r="J288" t="n">
        <v>0</v>
      </c>
      <c r="K288" t="n">
        <v>0</v>
      </c>
      <c r="L288" t="n">
        <v>0</v>
      </c>
      <c r="M288" t="n">
        <v>0</v>
      </c>
      <c r="N288" t="n">
        <v>0</v>
      </c>
      <c r="O288" t="n">
        <v>0</v>
      </c>
      <c r="P288" t="n">
        <v>0</v>
      </c>
      <c r="Q288" t="n">
        <v>0</v>
      </c>
      <c r="R288" s="2" t="inlineStr"/>
    </row>
    <row r="289" ht="15" customHeight="1">
      <c r="A289" t="inlineStr">
        <is>
          <t>A 27058-2025</t>
        </is>
      </c>
      <c r="B289" s="1" t="n">
        <v>45811.63436342592</v>
      </c>
      <c r="C289" s="1" t="n">
        <v>45982</v>
      </c>
      <c r="D289" t="inlineStr">
        <is>
          <t>UPPSALA LÄN</t>
        </is>
      </c>
      <c r="E289" t="inlineStr">
        <is>
          <t>ÖSTHAMMAR</t>
        </is>
      </c>
      <c r="F289" t="inlineStr">
        <is>
          <t>Bergvik skog öst AB</t>
        </is>
      </c>
      <c r="G289" t="n">
        <v>5.7</v>
      </c>
      <c r="H289" t="n">
        <v>0</v>
      </c>
      <c r="I289" t="n">
        <v>0</v>
      </c>
      <c r="J289" t="n">
        <v>0</v>
      </c>
      <c r="K289" t="n">
        <v>0</v>
      </c>
      <c r="L289" t="n">
        <v>0</v>
      </c>
      <c r="M289" t="n">
        <v>0</v>
      </c>
      <c r="N289" t="n">
        <v>0</v>
      </c>
      <c r="O289" t="n">
        <v>0</v>
      </c>
      <c r="P289" t="n">
        <v>0</v>
      </c>
      <c r="Q289" t="n">
        <v>0</v>
      </c>
      <c r="R289" s="2" t="inlineStr"/>
    </row>
    <row r="290" ht="15" customHeight="1">
      <c r="A290" t="inlineStr">
        <is>
          <t>A 59731-2023</t>
        </is>
      </c>
      <c r="B290" s="1" t="n">
        <v>45257</v>
      </c>
      <c r="C290" s="1" t="n">
        <v>45982</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27347-2025</t>
        </is>
      </c>
      <c r="B291" s="1" t="n">
        <v>45812.62390046296</v>
      </c>
      <c r="C291" s="1" t="n">
        <v>45982</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27392-2025</t>
        </is>
      </c>
      <c r="B292" s="1" t="n">
        <v>45812.68268518519</v>
      </c>
      <c r="C292" s="1" t="n">
        <v>45982</v>
      </c>
      <c r="D292" t="inlineStr">
        <is>
          <t>UPPSALA LÄN</t>
        </is>
      </c>
      <c r="E292" t="inlineStr">
        <is>
          <t>ÖSTHAMMAR</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24401-2025</t>
        </is>
      </c>
      <c r="B293" s="1" t="n">
        <v>45797.64908564815</v>
      </c>
      <c r="C293" s="1" t="n">
        <v>45982</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24408-2025</t>
        </is>
      </c>
      <c r="B294" s="1" t="n">
        <v>45797.65774305556</v>
      </c>
      <c r="C294" s="1" t="n">
        <v>45982</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27352-2025</t>
        </is>
      </c>
      <c r="B295" s="1" t="n">
        <v>45812.62694444445</v>
      </c>
      <c r="C295" s="1" t="n">
        <v>45982</v>
      </c>
      <c r="D295" t="inlineStr">
        <is>
          <t>UPPSALA LÄN</t>
        </is>
      </c>
      <c r="E295" t="inlineStr">
        <is>
          <t>ÖSTHAMMAR</t>
        </is>
      </c>
      <c r="G295" t="n">
        <v>2.5</v>
      </c>
      <c r="H295" t="n">
        <v>0</v>
      </c>
      <c r="I295" t="n">
        <v>0</v>
      </c>
      <c r="J295" t="n">
        <v>0</v>
      </c>
      <c r="K295" t="n">
        <v>0</v>
      </c>
      <c r="L295" t="n">
        <v>0</v>
      </c>
      <c r="M295" t="n">
        <v>0</v>
      </c>
      <c r="N295" t="n">
        <v>0</v>
      </c>
      <c r="O295" t="n">
        <v>0</v>
      </c>
      <c r="P295" t="n">
        <v>0</v>
      </c>
      <c r="Q295" t="n">
        <v>0</v>
      </c>
      <c r="R295" s="2" t="inlineStr"/>
    </row>
    <row r="296" ht="15" customHeight="1">
      <c r="A296" t="inlineStr">
        <is>
          <t>A 27350-2025</t>
        </is>
      </c>
      <c r="B296" s="1" t="n">
        <v>45812.62571759259</v>
      </c>
      <c r="C296" s="1" t="n">
        <v>45982</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28228-2022</t>
        </is>
      </c>
      <c r="B297" s="1" t="n">
        <v>44746.65873842593</v>
      </c>
      <c r="C297" s="1" t="n">
        <v>45982</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27383-2025</t>
        </is>
      </c>
      <c r="B298" s="1" t="n">
        <v>45812.66628472223</v>
      </c>
      <c r="C298" s="1" t="n">
        <v>45982</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27385-2025</t>
        </is>
      </c>
      <c r="B299" s="1" t="n">
        <v>45812.66829861111</v>
      </c>
      <c r="C299" s="1" t="n">
        <v>45982</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27395-2025</t>
        </is>
      </c>
      <c r="B300" s="1" t="n">
        <v>45812.6850462963</v>
      </c>
      <c r="C300" s="1" t="n">
        <v>45982</v>
      </c>
      <c r="D300" t="inlineStr">
        <is>
          <t>UPPSALA LÄN</t>
        </is>
      </c>
      <c r="E300" t="inlineStr">
        <is>
          <t>ÖSTHAMMAR</t>
        </is>
      </c>
      <c r="F300" t="inlineStr">
        <is>
          <t>Bergvik skog öst AB</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27563-2025</t>
        </is>
      </c>
      <c r="B301" s="1" t="n">
        <v>45813.48471064815</v>
      </c>
      <c r="C301" s="1" t="n">
        <v>45982</v>
      </c>
      <c r="D301" t="inlineStr">
        <is>
          <t>UPPSALA LÄN</t>
        </is>
      </c>
      <c r="E301" t="inlineStr">
        <is>
          <t>ÖSTHAMMAR</t>
        </is>
      </c>
      <c r="F301" t="inlineStr">
        <is>
          <t>Bergvik skog öst AB</t>
        </is>
      </c>
      <c r="G301" t="n">
        <v>4</v>
      </c>
      <c r="H301" t="n">
        <v>0</v>
      </c>
      <c r="I301" t="n">
        <v>0</v>
      </c>
      <c r="J301" t="n">
        <v>0</v>
      </c>
      <c r="K301" t="n">
        <v>0</v>
      </c>
      <c r="L301" t="n">
        <v>0</v>
      </c>
      <c r="M301" t="n">
        <v>0</v>
      </c>
      <c r="N301" t="n">
        <v>0</v>
      </c>
      <c r="O301" t="n">
        <v>0</v>
      </c>
      <c r="P301" t="n">
        <v>0</v>
      </c>
      <c r="Q301" t="n">
        <v>0</v>
      </c>
      <c r="R301" s="2" t="inlineStr"/>
    </row>
    <row r="302" ht="15" customHeight="1">
      <c r="A302" t="inlineStr">
        <is>
          <t>A 49831-2023</t>
        </is>
      </c>
      <c r="B302" s="1" t="n">
        <v>45212.71241898148</v>
      </c>
      <c r="C302" s="1" t="n">
        <v>45982</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35316-2024</t>
        </is>
      </c>
      <c r="B303" s="1" t="n">
        <v>45530.68873842592</v>
      </c>
      <c r="C303" s="1" t="n">
        <v>45982</v>
      </c>
      <c r="D303" t="inlineStr">
        <is>
          <t>UPPSALA LÄN</t>
        </is>
      </c>
      <c r="E303" t="inlineStr">
        <is>
          <t>ÖSTHAMMAR</t>
        </is>
      </c>
      <c r="F303" t="inlineStr">
        <is>
          <t>Bergvik skog öst AB</t>
        </is>
      </c>
      <c r="G303" t="n">
        <v>2.1</v>
      </c>
      <c r="H303" t="n">
        <v>0</v>
      </c>
      <c r="I303" t="n">
        <v>0</v>
      </c>
      <c r="J303" t="n">
        <v>0</v>
      </c>
      <c r="K303" t="n">
        <v>0</v>
      </c>
      <c r="L303" t="n">
        <v>0</v>
      </c>
      <c r="M303" t="n">
        <v>0</v>
      </c>
      <c r="N303" t="n">
        <v>0</v>
      </c>
      <c r="O303" t="n">
        <v>0</v>
      </c>
      <c r="P303" t="n">
        <v>0</v>
      </c>
      <c r="Q303" t="n">
        <v>0</v>
      </c>
      <c r="R303" s="2" t="inlineStr"/>
    </row>
    <row r="304" ht="15" customHeight="1">
      <c r="A304" t="inlineStr">
        <is>
          <t>A 20072-2025</t>
        </is>
      </c>
      <c r="B304" s="1" t="n">
        <v>45772</v>
      </c>
      <c r="C304" s="1" t="n">
        <v>45982</v>
      </c>
      <c r="D304" t="inlineStr">
        <is>
          <t>UPPSALA LÄN</t>
        </is>
      </c>
      <c r="E304" t="inlineStr">
        <is>
          <t>ÖSTHAMMAR</t>
        </is>
      </c>
      <c r="G304" t="n">
        <v>3.1</v>
      </c>
      <c r="H304" t="n">
        <v>0</v>
      </c>
      <c r="I304" t="n">
        <v>0</v>
      </c>
      <c r="J304" t="n">
        <v>0</v>
      </c>
      <c r="K304" t="n">
        <v>0</v>
      </c>
      <c r="L304" t="n">
        <v>0</v>
      </c>
      <c r="M304" t="n">
        <v>0</v>
      </c>
      <c r="N304" t="n">
        <v>0</v>
      </c>
      <c r="O304" t="n">
        <v>0</v>
      </c>
      <c r="P304" t="n">
        <v>0</v>
      </c>
      <c r="Q304" t="n">
        <v>0</v>
      </c>
      <c r="R304" s="2" t="inlineStr"/>
    </row>
    <row r="305" ht="15" customHeight="1">
      <c r="A305" t="inlineStr">
        <is>
          <t>A 45561-2023</t>
        </is>
      </c>
      <c r="B305" s="1" t="n">
        <v>45194.59335648148</v>
      </c>
      <c r="C305" s="1" t="n">
        <v>45982</v>
      </c>
      <c r="D305" t="inlineStr">
        <is>
          <t>UPPSALA LÄN</t>
        </is>
      </c>
      <c r="E305" t="inlineStr">
        <is>
          <t>ÖSTHAMMAR</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27919-2025</t>
        </is>
      </c>
      <c r="B306" s="1" t="n">
        <v>45817.48384259259</v>
      </c>
      <c r="C306" s="1" t="n">
        <v>45982</v>
      </c>
      <c r="D306" t="inlineStr">
        <is>
          <t>UPPSALA LÄN</t>
        </is>
      </c>
      <c r="E306" t="inlineStr">
        <is>
          <t>ÖSTHAMMAR</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27853-2025</t>
        </is>
      </c>
      <c r="B307" s="1" t="n">
        <v>45817.40178240741</v>
      </c>
      <c r="C307" s="1" t="n">
        <v>45982</v>
      </c>
      <c r="D307" t="inlineStr">
        <is>
          <t>UPPSALA LÄN</t>
        </is>
      </c>
      <c r="E307" t="inlineStr">
        <is>
          <t>ÖSTHAMMAR</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16212-2021</t>
        </is>
      </c>
      <c r="B308" s="1" t="n">
        <v>44287</v>
      </c>
      <c r="C308" s="1" t="n">
        <v>45982</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27812-2025</t>
        </is>
      </c>
      <c r="B309" s="1" t="n">
        <v>45817.32150462963</v>
      </c>
      <c r="C309" s="1" t="n">
        <v>45982</v>
      </c>
      <c r="D309" t="inlineStr">
        <is>
          <t>UPPSALA LÄN</t>
        </is>
      </c>
      <c r="E309" t="inlineStr">
        <is>
          <t>ÖSTHAMMAR</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27920-2025</t>
        </is>
      </c>
      <c r="B310" s="1" t="n">
        <v>45817.48454861111</v>
      </c>
      <c r="C310" s="1" t="n">
        <v>45982</v>
      </c>
      <c r="D310" t="inlineStr">
        <is>
          <t>UPPSALA LÄN</t>
        </is>
      </c>
      <c r="E310" t="inlineStr">
        <is>
          <t>ÖSTHAMMAR</t>
        </is>
      </c>
      <c r="F310" t="inlineStr">
        <is>
          <t>Bergvik skog öst AB</t>
        </is>
      </c>
      <c r="G310" t="n">
        <v>0.6</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45982</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27509-2025</t>
        </is>
      </c>
      <c r="B312" s="1" t="n">
        <v>45813.4278125</v>
      </c>
      <c r="C312" s="1" t="n">
        <v>45982</v>
      </c>
      <c r="D312" t="inlineStr">
        <is>
          <t>UPPSALA LÄN</t>
        </is>
      </c>
      <c r="E312" t="inlineStr">
        <is>
          <t>ÖSTHAMMAR</t>
        </is>
      </c>
      <c r="F312" t="inlineStr">
        <is>
          <t>Bergvik skog öst AB</t>
        </is>
      </c>
      <c r="G312" t="n">
        <v>3.3</v>
      </c>
      <c r="H312" t="n">
        <v>0</v>
      </c>
      <c r="I312" t="n">
        <v>0</v>
      </c>
      <c r="J312" t="n">
        <v>0</v>
      </c>
      <c r="K312" t="n">
        <v>0</v>
      </c>
      <c r="L312" t="n">
        <v>0</v>
      </c>
      <c r="M312" t="n">
        <v>0</v>
      </c>
      <c r="N312" t="n">
        <v>0</v>
      </c>
      <c r="O312" t="n">
        <v>0</v>
      </c>
      <c r="P312" t="n">
        <v>0</v>
      </c>
      <c r="Q312" t="n">
        <v>0</v>
      </c>
      <c r="R312" s="2" t="inlineStr"/>
    </row>
    <row r="313" ht="15" customHeight="1">
      <c r="A313" t="inlineStr">
        <is>
          <t>A 28442-2025</t>
        </is>
      </c>
      <c r="B313" s="1" t="n">
        <v>45819</v>
      </c>
      <c r="C313" s="1" t="n">
        <v>45982</v>
      </c>
      <c r="D313" t="inlineStr">
        <is>
          <t>UPPSALA LÄN</t>
        </is>
      </c>
      <c r="E313" t="inlineStr">
        <is>
          <t>ÖSTHAMMAR</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24389-2025</t>
        </is>
      </c>
      <c r="B314" s="1" t="n">
        <v>45797.63553240741</v>
      </c>
      <c r="C314" s="1" t="n">
        <v>45982</v>
      </c>
      <c r="D314" t="inlineStr">
        <is>
          <t>UPPSALA LÄN</t>
        </is>
      </c>
      <c r="E314" t="inlineStr">
        <is>
          <t>ÖSTHAMMAR</t>
        </is>
      </c>
      <c r="G314" t="n">
        <v>1.1</v>
      </c>
      <c r="H314" t="n">
        <v>0</v>
      </c>
      <c r="I314" t="n">
        <v>0</v>
      </c>
      <c r="J314" t="n">
        <v>0</v>
      </c>
      <c r="K314" t="n">
        <v>0</v>
      </c>
      <c r="L314" t="n">
        <v>0</v>
      </c>
      <c r="M314" t="n">
        <v>0</v>
      </c>
      <c r="N314" t="n">
        <v>0</v>
      </c>
      <c r="O314" t="n">
        <v>0</v>
      </c>
      <c r="P314" t="n">
        <v>0</v>
      </c>
      <c r="Q314" t="n">
        <v>0</v>
      </c>
      <c r="R314" s="2" t="inlineStr"/>
    </row>
    <row r="315" ht="15" customHeight="1">
      <c r="A315" t="inlineStr">
        <is>
          <t>A 27384-2025</t>
        </is>
      </c>
      <c r="B315" s="1" t="n">
        <v>45812.6672337963</v>
      </c>
      <c r="C315" s="1" t="n">
        <v>45982</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42213-2025</t>
        </is>
      </c>
      <c r="B316" s="1" t="n">
        <v>45904.50652777778</v>
      </c>
      <c r="C316" s="1" t="n">
        <v>45982</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11036-2023</t>
        </is>
      </c>
      <c r="B317" s="1" t="n">
        <v>44991.9321412037</v>
      </c>
      <c r="C317" s="1" t="n">
        <v>45982</v>
      </c>
      <c r="D317" t="inlineStr">
        <is>
          <t>UPPSALA LÄN</t>
        </is>
      </c>
      <c r="E317" t="inlineStr">
        <is>
          <t>ÖSTHAMMAR</t>
        </is>
      </c>
      <c r="F317" t="inlineStr">
        <is>
          <t>Bergvik skog öst AB</t>
        </is>
      </c>
      <c r="G317" t="n">
        <v>3</v>
      </c>
      <c r="H317" t="n">
        <v>0</v>
      </c>
      <c r="I317" t="n">
        <v>0</v>
      </c>
      <c r="J317" t="n">
        <v>0</v>
      </c>
      <c r="K317" t="n">
        <v>0</v>
      </c>
      <c r="L317" t="n">
        <v>0</v>
      </c>
      <c r="M317" t="n">
        <v>0</v>
      </c>
      <c r="N317" t="n">
        <v>0</v>
      </c>
      <c r="O317" t="n">
        <v>0</v>
      </c>
      <c r="P317" t="n">
        <v>0</v>
      </c>
      <c r="Q317" t="n">
        <v>0</v>
      </c>
      <c r="R317" s="2" t="inlineStr"/>
    </row>
    <row r="318" ht="15" customHeight="1">
      <c r="A318" t="inlineStr">
        <is>
          <t>A 51156-2025</t>
        </is>
      </c>
      <c r="B318" s="1" t="n">
        <v>45947.57833333333</v>
      </c>
      <c r="C318" s="1" t="n">
        <v>45982</v>
      </c>
      <c r="D318" t="inlineStr">
        <is>
          <t>UPPSALA LÄN</t>
        </is>
      </c>
      <c r="E318" t="inlineStr">
        <is>
          <t>ÖSTHAMMAR</t>
        </is>
      </c>
      <c r="F318" t="inlineStr">
        <is>
          <t>Allmännings- och besparingsskogar</t>
        </is>
      </c>
      <c r="G318" t="n">
        <v>2.8</v>
      </c>
      <c r="H318" t="n">
        <v>0</v>
      </c>
      <c r="I318" t="n">
        <v>0</v>
      </c>
      <c r="J318" t="n">
        <v>0</v>
      </c>
      <c r="K318" t="n">
        <v>0</v>
      </c>
      <c r="L318" t="n">
        <v>0</v>
      </c>
      <c r="M318" t="n">
        <v>0</v>
      </c>
      <c r="N318" t="n">
        <v>0</v>
      </c>
      <c r="O318" t="n">
        <v>0</v>
      </c>
      <c r="P318" t="n">
        <v>0</v>
      </c>
      <c r="Q318" t="n">
        <v>0</v>
      </c>
      <c r="R318" s="2" t="inlineStr"/>
    </row>
    <row r="319" ht="15" customHeight="1">
      <c r="A319" t="inlineStr">
        <is>
          <t>A 23728-2025</t>
        </is>
      </c>
      <c r="B319" s="1" t="n">
        <v>45793.41719907407</v>
      </c>
      <c r="C319" s="1" t="n">
        <v>45982</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28745-2025</t>
        </is>
      </c>
      <c r="B320" s="1" t="n">
        <v>45820.39076388889</v>
      </c>
      <c r="C320" s="1" t="n">
        <v>45982</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28748-2025</t>
        </is>
      </c>
      <c r="B321" s="1" t="n">
        <v>45820.39540509259</v>
      </c>
      <c r="C321" s="1" t="n">
        <v>45982</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32884-2024</t>
        </is>
      </c>
      <c r="B322" s="1" t="n">
        <v>45516.72097222223</v>
      </c>
      <c r="C322" s="1" t="n">
        <v>45982</v>
      </c>
      <c r="D322" t="inlineStr">
        <is>
          <t>UPPSALA LÄN</t>
        </is>
      </c>
      <c r="E322" t="inlineStr">
        <is>
          <t>ÖSTHAMMAR</t>
        </is>
      </c>
      <c r="G322" t="n">
        <v>0.6</v>
      </c>
      <c r="H322" t="n">
        <v>0</v>
      </c>
      <c r="I322" t="n">
        <v>0</v>
      </c>
      <c r="J322" t="n">
        <v>0</v>
      </c>
      <c r="K322" t="n">
        <v>0</v>
      </c>
      <c r="L322" t="n">
        <v>0</v>
      </c>
      <c r="M322" t="n">
        <v>0</v>
      </c>
      <c r="N322" t="n">
        <v>0</v>
      </c>
      <c r="O322" t="n">
        <v>0</v>
      </c>
      <c r="P322" t="n">
        <v>0</v>
      </c>
      <c r="Q322" t="n">
        <v>0</v>
      </c>
      <c r="R322" s="2" t="inlineStr"/>
    </row>
    <row r="323" ht="15" customHeight="1">
      <c r="A323" t="inlineStr">
        <is>
          <t>A 64586-2021</t>
        </is>
      </c>
      <c r="B323" s="1" t="n">
        <v>44511</v>
      </c>
      <c r="C323" s="1" t="n">
        <v>45982</v>
      </c>
      <c r="D323" t="inlineStr">
        <is>
          <t>UPPSALA LÄN</t>
        </is>
      </c>
      <c r="E323" t="inlineStr">
        <is>
          <t>ÖSTHAMMAR</t>
        </is>
      </c>
      <c r="G323" t="n">
        <v>2</v>
      </c>
      <c r="H323" t="n">
        <v>0</v>
      </c>
      <c r="I323" t="n">
        <v>0</v>
      </c>
      <c r="J323" t="n">
        <v>0</v>
      </c>
      <c r="K323" t="n">
        <v>0</v>
      </c>
      <c r="L323" t="n">
        <v>0</v>
      </c>
      <c r="M323" t="n">
        <v>0</v>
      </c>
      <c r="N323" t="n">
        <v>0</v>
      </c>
      <c r="O323" t="n">
        <v>0</v>
      </c>
      <c r="P323" t="n">
        <v>0</v>
      </c>
      <c r="Q323" t="n">
        <v>0</v>
      </c>
      <c r="R323" s="2" t="inlineStr"/>
    </row>
    <row r="324" ht="15" customHeight="1">
      <c r="A324" t="inlineStr">
        <is>
          <t>A 29024-2025</t>
        </is>
      </c>
      <c r="B324" s="1" t="n">
        <v>45821.43233796296</v>
      </c>
      <c r="C324" s="1" t="n">
        <v>45982</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29031-2025</t>
        </is>
      </c>
      <c r="B325" s="1" t="n">
        <v>45821.44159722222</v>
      </c>
      <c r="C325" s="1" t="n">
        <v>45982</v>
      </c>
      <c r="D325" t="inlineStr">
        <is>
          <t>UPPSALA LÄN</t>
        </is>
      </c>
      <c r="E325" t="inlineStr">
        <is>
          <t>ÖSTHAMMAR</t>
        </is>
      </c>
      <c r="F325" t="inlineStr">
        <is>
          <t>Bergvik skog öst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28739-2025</t>
        </is>
      </c>
      <c r="B326" s="1" t="n">
        <v>45820</v>
      </c>
      <c r="C326" s="1" t="n">
        <v>45982</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29028-2025</t>
        </is>
      </c>
      <c r="B327" s="1" t="n">
        <v>45821.4384375</v>
      </c>
      <c r="C327" s="1" t="n">
        <v>45982</v>
      </c>
      <c r="D327" t="inlineStr">
        <is>
          <t>UPPSALA LÄN</t>
        </is>
      </c>
      <c r="E327" t="inlineStr">
        <is>
          <t>ÖSTHAMMAR</t>
        </is>
      </c>
      <c r="F327" t="inlineStr">
        <is>
          <t>Bergvik skog öst AB</t>
        </is>
      </c>
      <c r="G327" t="n">
        <v>1.7</v>
      </c>
      <c r="H327" t="n">
        <v>0</v>
      </c>
      <c r="I327" t="n">
        <v>0</v>
      </c>
      <c r="J327" t="n">
        <v>0</v>
      </c>
      <c r="K327" t="n">
        <v>0</v>
      </c>
      <c r="L327" t="n">
        <v>0</v>
      </c>
      <c r="M327" t="n">
        <v>0</v>
      </c>
      <c r="N327" t="n">
        <v>0</v>
      </c>
      <c r="O327" t="n">
        <v>0</v>
      </c>
      <c r="P327" t="n">
        <v>0</v>
      </c>
      <c r="Q327" t="n">
        <v>0</v>
      </c>
      <c r="R327" s="2" t="inlineStr"/>
    </row>
    <row r="328" ht="15" customHeight="1">
      <c r="A328" t="inlineStr">
        <is>
          <t>A 6206-2022</t>
        </is>
      </c>
      <c r="B328" s="1" t="n">
        <v>44600.35755787037</v>
      </c>
      <c r="C328" s="1" t="n">
        <v>45982</v>
      </c>
      <c r="D328" t="inlineStr">
        <is>
          <t>UPPSALA LÄN</t>
        </is>
      </c>
      <c r="E328" t="inlineStr">
        <is>
          <t>ÖSTHAMMAR</t>
        </is>
      </c>
      <c r="G328" t="n">
        <v>7.4</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45982</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45982</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43011-2025</t>
        </is>
      </c>
      <c r="B331" s="1" t="n">
        <v>45909.48989583334</v>
      </c>
      <c r="C331" s="1" t="n">
        <v>45982</v>
      </c>
      <c r="D331" t="inlineStr">
        <is>
          <t>UPPSALA LÄN</t>
        </is>
      </c>
      <c r="E331" t="inlineStr">
        <is>
          <t>ÖSTHAMMAR</t>
        </is>
      </c>
      <c r="F331" t="inlineStr">
        <is>
          <t>Övriga Aktiebolag</t>
        </is>
      </c>
      <c r="G331" t="n">
        <v>4.7</v>
      </c>
      <c r="H331" t="n">
        <v>0</v>
      </c>
      <c r="I331" t="n">
        <v>0</v>
      </c>
      <c r="J331" t="n">
        <v>0</v>
      </c>
      <c r="K331" t="n">
        <v>0</v>
      </c>
      <c r="L331" t="n">
        <v>0</v>
      </c>
      <c r="M331" t="n">
        <v>0</v>
      </c>
      <c r="N331" t="n">
        <v>0</v>
      </c>
      <c r="O331" t="n">
        <v>0</v>
      </c>
      <c r="P331" t="n">
        <v>0</v>
      </c>
      <c r="Q331" t="n">
        <v>0</v>
      </c>
      <c r="R331" s="2" t="inlineStr"/>
    </row>
    <row r="332" ht="15" customHeight="1">
      <c r="A332" t="inlineStr">
        <is>
          <t>A 70008-2021</t>
        </is>
      </c>
      <c r="B332" s="1" t="n">
        <v>44533.44887731481</v>
      </c>
      <c r="C332" s="1" t="n">
        <v>45982</v>
      </c>
      <c r="D332" t="inlineStr">
        <is>
          <t>UPPSALA LÄN</t>
        </is>
      </c>
      <c r="E332" t="inlineStr">
        <is>
          <t>ÖSTHAMMAR</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73982-2021</t>
        </is>
      </c>
      <c r="B333" s="1" t="n">
        <v>44555.80339120371</v>
      </c>
      <c r="C333" s="1" t="n">
        <v>45982</v>
      </c>
      <c r="D333" t="inlineStr">
        <is>
          <t>UPPSALA LÄN</t>
        </is>
      </c>
      <c r="E333" t="inlineStr">
        <is>
          <t>ÖSTHAMMAR</t>
        </is>
      </c>
      <c r="G333" t="n">
        <v>0.9</v>
      </c>
      <c r="H333" t="n">
        <v>0</v>
      </c>
      <c r="I333" t="n">
        <v>0</v>
      </c>
      <c r="J333" t="n">
        <v>0</v>
      </c>
      <c r="K333" t="n">
        <v>0</v>
      </c>
      <c r="L333" t="n">
        <v>0</v>
      </c>
      <c r="M333" t="n">
        <v>0</v>
      </c>
      <c r="N333" t="n">
        <v>0</v>
      </c>
      <c r="O333" t="n">
        <v>0</v>
      </c>
      <c r="P333" t="n">
        <v>0</v>
      </c>
      <c r="Q333" t="n">
        <v>0</v>
      </c>
      <c r="R333" s="2" t="inlineStr"/>
    </row>
    <row r="334" ht="15" customHeight="1">
      <c r="A334" t="inlineStr">
        <is>
          <t>A 27494-2025</t>
        </is>
      </c>
      <c r="B334" s="1" t="n">
        <v>45813.39756944445</v>
      </c>
      <c r="C334" s="1" t="n">
        <v>45982</v>
      </c>
      <c r="D334" t="inlineStr">
        <is>
          <t>UPPSALA LÄN</t>
        </is>
      </c>
      <c r="E334" t="inlineStr">
        <is>
          <t>ÖSTHAMMAR</t>
        </is>
      </c>
      <c r="F334" t="inlineStr">
        <is>
          <t>Bergvik skog öst AB</t>
        </is>
      </c>
      <c r="G334" t="n">
        <v>23.4</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45982</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42940-2025</t>
        </is>
      </c>
      <c r="B336" s="1" t="n">
        <v>45909.33440972222</v>
      </c>
      <c r="C336" s="1" t="n">
        <v>45982</v>
      </c>
      <c r="D336" t="inlineStr">
        <is>
          <t>UPPSALA LÄN</t>
        </is>
      </c>
      <c r="E336" t="inlineStr">
        <is>
          <t>ÖSTHAMMAR</t>
        </is>
      </c>
      <c r="G336" t="n">
        <v>2.1</v>
      </c>
      <c r="H336" t="n">
        <v>0</v>
      </c>
      <c r="I336" t="n">
        <v>0</v>
      </c>
      <c r="J336" t="n">
        <v>0</v>
      </c>
      <c r="K336" t="n">
        <v>0</v>
      </c>
      <c r="L336" t="n">
        <v>0</v>
      </c>
      <c r="M336" t="n">
        <v>0</v>
      </c>
      <c r="N336" t="n">
        <v>0</v>
      </c>
      <c r="O336" t="n">
        <v>0</v>
      </c>
      <c r="P336" t="n">
        <v>0</v>
      </c>
      <c r="Q336" t="n">
        <v>0</v>
      </c>
      <c r="R336" s="2" t="inlineStr"/>
    </row>
    <row r="337" ht="15" customHeight="1">
      <c r="A337" t="inlineStr">
        <is>
          <t>A 29384-2025</t>
        </is>
      </c>
      <c r="B337" s="1" t="n">
        <v>45824</v>
      </c>
      <c r="C337" s="1" t="n">
        <v>45982</v>
      </c>
      <c r="D337" t="inlineStr">
        <is>
          <t>UPPSALA LÄN</t>
        </is>
      </c>
      <c r="E337" t="inlineStr">
        <is>
          <t>ÖSTHAMMAR</t>
        </is>
      </c>
      <c r="G337" t="n">
        <v>3.1</v>
      </c>
      <c r="H337" t="n">
        <v>0</v>
      </c>
      <c r="I337" t="n">
        <v>0</v>
      </c>
      <c r="J337" t="n">
        <v>0</v>
      </c>
      <c r="K337" t="n">
        <v>0</v>
      </c>
      <c r="L337" t="n">
        <v>0</v>
      </c>
      <c r="M337" t="n">
        <v>0</v>
      </c>
      <c r="N337" t="n">
        <v>0</v>
      </c>
      <c r="O337" t="n">
        <v>0</v>
      </c>
      <c r="P337" t="n">
        <v>0</v>
      </c>
      <c r="Q337" t="n">
        <v>0</v>
      </c>
      <c r="R337" s="2" t="inlineStr"/>
    </row>
    <row r="338" ht="15" customHeight="1">
      <c r="A338" t="inlineStr">
        <is>
          <t>A 51254-2025</t>
        </is>
      </c>
      <c r="B338" s="1" t="n">
        <v>45948.99313657408</v>
      </c>
      <c r="C338" s="1" t="n">
        <v>45982</v>
      </c>
      <c r="D338" t="inlineStr">
        <is>
          <t>UPPSALA LÄN</t>
        </is>
      </c>
      <c r="E338" t="inlineStr">
        <is>
          <t>ÖSTHAMMAR</t>
        </is>
      </c>
      <c r="G338" t="n">
        <v>8.9</v>
      </c>
      <c r="H338" t="n">
        <v>0</v>
      </c>
      <c r="I338" t="n">
        <v>0</v>
      </c>
      <c r="J338" t="n">
        <v>0</v>
      </c>
      <c r="K338" t="n">
        <v>0</v>
      </c>
      <c r="L338" t="n">
        <v>0</v>
      </c>
      <c r="M338" t="n">
        <v>0</v>
      </c>
      <c r="N338" t="n">
        <v>0</v>
      </c>
      <c r="O338" t="n">
        <v>0</v>
      </c>
      <c r="P338" t="n">
        <v>0</v>
      </c>
      <c r="Q338" t="n">
        <v>0</v>
      </c>
      <c r="R338" s="2" t="inlineStr"/>
    </row>
    <row r="339" ht="15" customHeight="1">
      <c r="A339" t="inlineStr">
        <is>
          <t>A 51255-2025</t>
        </is>
      </c>
      <c r="B339" s="1" t="n">
        <v>45949.00917824074</v>
      </c>
      <c r="C339" s="1" t="n">
        <v>45982</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27490-2025</t>
        </is>
      </c>
      <c r="B340" s="1" t="n">
        <v>45813.39273148148</v>
      </c>
      <c r="C340" s="1" t="n">
        <v>45982</v>
      </c>
      <c r="D340" t="inlineStr">
        <is>
          <t>UPPSALA LÄN</t>
        </is>
      </c>
      <c r="E340" t="inlineStr">
        <is>
          <t>ÖSTHAMMAR</t>
        </is>
      </c>
      <c r="F340" t="inlineStr">
        <is>
          <t>Bergvik skog öst AB</t>
        </is>
      </c>
      <c r="G340" t="n">
        <v>6.1</v>
      </c>
      <c r="H340" t="n">
        <v>0</v>
      </c>
      <c r="I340" t="n">
        <v>0</v>
      </c>
      <c r="J340" t="n">
        <v>0</v>
      </c>
      <c r="K340" t="n">
        <v>0</v>
      </c>
      <c r="L340" t="n">
        <v>0</v>
      </c>
      <c r="M340" t="n">
        <v>0</v>
      </c>
      <c r="N340" t="n">
        <v>0</v>
      </c>
      <c r="O340" t="n">
        <v>0</v>
      </c>
      <c r="P340" t="n">
        <v>0</v>
      </c>
      <c r="Q340" t="n">
        <v>0</v>
      </c>
      <c r="R340" s="2" t="inlineStr"/>
    </row>
    <row r="341" ht="15" customHeight="1">
      <c r="A341" t="inlineStr">
        <is>
          <t>A 29775-2025</t>
        </is>
      </c>
      <c r="B341" s="1" t="n">
        <v>45825.63803240741</v>
      </c>
      <c r="C341" s="1" t="n">
        <v>45982</v>
      </c>
      <c r="D341" t="inlineStr">
        <is>
          <t>UPPSALA LÄN</t>
        </is>
      </c>
      <c r="E341" t="inlineStr">
        <is>
          <t>ÖSTHAMMAR</t>
        </is>
      </c>
      <c r="G341" t="n">
        <v>0.9</v>
      </c>
      <c r="H341" t="n">
        <v>0</v>
      </c>
      <c r="I341" t="n">
        <v>0</v>
      </c>
      <c r="J341" t="n">
        <v>0</v>
      </c>
      <c r="K341" t="n">
        <v>0</v>
      </c>
      <c r="L341" t="n">
        <v>0</v>
      </c>
      <c r="M341" t="n">
        <v>0</v>
      </c>
      <c r="N341" t="n">
        <v>0</v>
      </c>
      <c r="O341" t="n">
        <v>0</v>
      </c>
      <c r="P341" t="n">
        <v>0</v>
      </c>
      <c r="Q341" t="n">
        <v>0</v>
      </c>
      <c r="R341" s="2" t="inlineStr"/>
    </row>
    <row r="342" ht="15" customHeight="1">
      <c r="A342" t="inlineStr">
        <is>
          <t>A 27486-2025</t>
        </is>
      </c>
      <c r="B342" s="1" t="n">
        <v>45813.38521990741</v>
      </c>
      <c r="C342" s="1" t="n">
        <v>45982</v>
      </c>
      <c r="D342" t="inlineStr">
        <is>
          <t>UPPSALA LÄN</t>
        </is>
      </c>
      <c r="E342" t="inlineStr">
        <is>
          <t>ÖSTHAMMAR</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4984-2024</t>
        </is>
      </c>
      <c r="B343" s="1" t="n">
        <v>45329</v>
      </c>
      <c r="C343" s="1" t="n">
        <v>45982</v>
      </c>
      <c r="D343" t="inlineStr">
        <is>
          <t>UPPSALA LÄN</t>
        </is>
      </c>
      <c r="E343" t="inlineStr">
        <is>
          <t>ÖSTHAMMAR</t>
        </is>
      </c>
      <c r="G343" t="n">
        <v>2.2</v>
      </c>
      <c r="H343" t="n">
        <v>0</v>
      </c>
      <c r="I343" t="n">
        <v>0</v>
      </c>
      <c r="J343" t="n">
        <v>0</v>
      </c>
      <c r="K343" t="n">
        <v>0</v>
      </c>
      <c r="L343" t="n">
        <v>0</v>
      </c>
      <c r="M343" t="n">
        <v>0</v>
      </c>
      <c r="N343" t="n">
        <v>0</v>
      </c>
      <c r="O343" t="n">
        <v>0</v>
      </c>
      <c r="P343" t="n">
        <v>0</v>
      </c>
      <c r="Q343" t="n">
        <v>0</v>
      </c>
      <c r="R343" s="2" t="inlineStr"/>
    </row>
    <row r="344" ht="15" customHeight="1">
      <c r="A344" t="inlineStr">
        <is>
          <t>A 21624-2023</t>
        </is>
      </c>
      <c r="B344" s="1" t="n">
        <v>45063.65543981481</v>
      </c>
      <c r="C344" s="1" t="n">
        <v>45982</v>
      </c>
      <c r="D344" t="inlineStr">
        <is>
          <t>UPPSALA LÄN</t>
        </is>
      </c>
      <c r="E344" t="inlineStr">
        <is>
          <t>ÖSTHAMMAR</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41996-2024</t>
        </is>
      </c>
      <c r="B345" s="1" t="n">
        <v>45561</v>
      </c>
      <c r="C345" s="1" t="n">
        <v>45982</v>
      </c>
      <c r="D345" t="inlineStr">
        <is>
          <t>UPPSALA LÄN</t>
        </is>
      </c>
      <c r="E345" t="inlineStr">
        <is>
          <t>ÖSTHAMMAR</t>
        </is>
      </c>
      <c r="F345" t="inlineStr">
        <is>
          <t>Bergvik skog öst AB</t>
        </is>
      </c>
      <c r="G345" t="n">
        <v>0.9</v>
      </c>
      <c r="H345" t="n">
        <v>0</v>
      </c>
      <c r="I345" t="n">
        <v>0</v>
      </c>
      <c r="J345" t="n">
        <v>0</v>
      </c>
      <c r="K345" t="n">
        <v>0</v>
      </c>
      <c r="L345" t="n">
        <v>0</v>
      </c>
      <c r="M345" t="n">
        <v>0</v>
      </c>
      <c r="N345" t="n">
        <v>0</v>
      </c>
      <c r="O345" t="n">
        <v>0</v>
      </c>
      <c r="P345" t="n">
        <v>0</v>
      </c>
      <c r="Q345" t="n">
        <v>0</v>
      </c>
      <c r="R345" s="2" t="inlineStr"/>
    </row>
    <row r="346" ht="15" customHeight="1">
      <c r="A346" t="inlineStr">
        <is>
          <t>A 20326-2021</t>
        </is>
      </c>
      <c r="B346" s="1" t="n">
        <v>44308</v>
      </c>
      <c r="C346" s="1" t="n">
        <v>45982</v>
      </c>
      <c r="D346" t="inlineStr">
        <is>
          <t>UPPSALA LÄN</t>
        </is>
      </c>
      <c r="E346" t="inlineStr">
        <is>
          <t>ÖSTHAMMAR</t>
        </is>
      </c>
      <c r="G346" t="n">
        <v>7</v>
      </c>
      <c r="H346" t="n">
        <v>0</v>
      </c>
      <c r="I346" t="n">
        <v>0</v>
      </c>
      <c r="J346" t="n">
        <v>0</v>
      </c>
      <c r="K346" t="n">
        <v>0</v>
      </c>
      <c r="L346" t="n">
        <v>0</v>
      </c>
      <c r="M346" t="n">
        <v>0</v>
      </c>
      <c r="N346" t="n">
        <v>0</v>
      </c>
      <c r="O346" t="n">
        <v>0</v>
      </c>
      <c r="P346" t="n">
        <v>0</v>
      </c>
      <c r="Q346" t="n">
        <v>0</v>
      </c>
      <c r="R346" s="2" t="inlineStr"/>
    </row>
    <row r="347" ht="15" customHeight="1">
      <c r="A347" t="inlineStr">
        <is>
          <t>A 23742-2024</t>
        </is>
      </c>
      <c r="B347" s="1" t="n">
        <v>45455</v>
      </c>
      <c r="C347" s="1" t="n">
        <v>45982</v>
      </c>
      <c r="D347" t="inlineStr">
        <is>
          <t>UPPSALA LÄN</t>
        </is>
      </c>
      <c r="E347" t="inlineStr">
        <is>
          <t>ÖSTHAMMAR</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51708-2025</t>
        </is>
      </c>
      <c r="B348" s="1" t="n">
        <v>45951.56679398148</v>
      </c>
      <c r="C348" s="1" t="n">
        <v>45982</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33927-2025</t>
        </is>
      </c>
      <c r="B349" s="1" t="n">
        <v>45842.62363425926</v>
      </c>
      <c r="C349" s="1" t="n">
        <v>45982</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30244-2025</t>
        </is>
      </c>
      <c r="B350" s="1" t="n">
        <v>45827.40902777778</v>
      </c>
      <c r="C350" s="1" t="n">
        <v>45982</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6106-2024</t>
        </is>
      </c>
      <c r="B351" s="1" t="n">
        <v>45337.36831018519</v>
      </c>
      <c r="C351" s="1" t="n">
        <v>45982</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43604-2025</t>
        </is>
      </c>
      <c r="B352" s="1" t="n">
        <v>45911.66671296296</v>
      </c>
      <c r="C352" s="1" t="n">
        <v>45982</v>
      </c>
      <c r="D352" t="inlineStr">
        <is>
          <t>UPPSALA LÄN</t>
        </is>
      </c>
      <c r="E352" t="inlineStr">
        <is>
          <t>ÖSTHAMMAR</t>
        </is>
      </c>
      <c r="G352" t="n">
        <v>8.5</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45982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45982</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52332-2025</t>
        </is>
      </c>
      <c r="B355" s="1" t="n">
        <v>45953.67853009259</v>
      </c>
      <c r="C355" s="1" t="n">
        <v>45982</v>
      </c>
      <c r="D355" t="inlineStr">
        <is>
          <t>UPPSALA LÄN</t>
        </is>
      </c>
      <c r="E355" t="inlineStr">
        <is>
          <t>ÖSTHAMMAR</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30610-2025</t>
        </is>
      </c>
      <c r="B356" s="1" t="n">
        <v>45831.45965277778</v>
      </c>
      <c r="C356" s="1" t="n">
        <v>45982</v>
      </c>
      <c r="D356" t="inlineStr">
        <is>
          <t>UPPSALA LÄN</t>
        </is>
      </c>
      <c r="E356" t="inlineStr">
        <is>
          <t>ÖSTHAMMAR</t>
        </is>
      </c>
      <c r="G356" t="n">
        <v>0.2</v>
      </c>
      <c r="H356" t="n">
        <v>0</v>
      </c>
      <c r="I356" t="n">
        <v>0</v>
      </c>
      <c r="J356" t="n">
        <v>0</v>
      </c>
      <c r="K356" t="n">
        <v>0</v>
      </c>
      <c r="L356" t="n">
        <v>0</v>
      </c>
      <c r="M356" t="n">
        <v>0</v>
      </c>
      <c r="N356" t="n">
        <v>0</v>
      </c>
      <c r="O356" t="n">
        <v>0</v>
      </c>
      <c r="P356" t="n">
        <v>0</v>
      </c>
      <c r="Q356" t="n">
        <v>0</v>
      </c>
      <c r="R356" s="2" t="inlineStr"/>
    </row>
    <row r="357" ht="15" customHeight="1">
      <c r="A357" t="inlineStr">
        <is>
          <t>A 30504-2025</t>
        </is>
      </c>
      <c r="B357" s="1" t="n">
        <v>45830.8558912037</v>
      </c>
      <c r="C357" s="1" t="n">
        <v>45982</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30503-2025</t>
        </is>
      </c>
      <c r="B358" s="1" t="n">
        <v>45830.8500462963</v>
      </c>
      <c r="C358" s="1" t="n">
        <v>45982</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1238-2022</t>
        </is>
      </c>
      <c r="B359" s="1" t="n">
        <v>44572.5827662037</v>
      </c>
      <c r="C359" s="1" t="n">
        <v>45982</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31249-2025</t>
        </is>
      </c>
      <c r="B360" s="1" t="n">
        <v>45832.89476851852</v>
      </c>
      <c r="C360" s="1" t="n">
        <v>45982</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38003-2024</t>
        </is>
      </c>
      <c r="B361" s="1" t="n">
        <v>45544</v>
      </c>
      <c r="C361" s="1" t="n">
        <v>45982</v>
      </c>
      <c r="D361" t="inlineStr">
        <is>
          <t>UPPSALA LÄN</t>
        </is>
      </c>
      <c r="E361" t="inlineStr">
        <is>
          <t>ÖSTHAMMAR</t>
        </is>
      </c>
      <c r="F361" t="inlineStr">
        <is>
          <t>Naturvårdsverket</t>
        </is>
      </c>
      <c r="G361" t="n">
        <v>4.2</v>
      </c>
      <c r="H361" t="n">
        <v>0</v>
      </c>
      <c r="I361" t="n">
        <v>0</v>
      </c>
      <c r="J361" t="n">
        <v>0</v>
      </c>
      <c r="K361" t="n">
        <v>0</v>
      </c>
      <c r="L361" t="n">
        <v>0</v>
      </c>
      <c r="M361" t="n">
        <v>0</v>
      </c>
      <c r="N361" t="n">
        <v>0</v>
      </c>
      <c r="O361" t="n">
        <v>0</v>
      </c>
      <c r="P361" t="n">
        <v>0</v>
      </c>
      <c r="Q361" t="n">
        <v>0</v>
      </c>
      <c r="R361" s="2" t="inlineStr"/>
    </row>
    <row r="362" ht="15" customHeight="1">
      <c r="A362" t="inlineStr">
        <is>
          <t>A 31579-2025</t>
        </is>
      </c>
      <c r="B362" s="1" t="n">
        <v>45833.68211805556</v>
      </c>
      <c r="C362" s="1" t="n">
        <v>45982</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31360-2025</t>
        </is>
      </c>
      <c r="B363" s="1" t="n">
        <v>45833.43527777777</v>
      </c>
      <c r="C363" s="1" t="n">
        <v>45982</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25252-2024</t>
        </is>
      </c>
      <c r="B364" s="1" t="n">
        <v>45462</v>
      </c>
      <c r="C364" s="1" t="n">
        <v>45982</v>
      </c>
      <c r="D364" t="inlineStr">
        <is>
          <t>UPPSALA LÄN</t>
        </is>
      </c>
      <c r="E364" t="inlineStr">
        <is>
          <t>ÖSTHAMMAR</t>
        </is>
      </c>
      <c r="G364" t="n">
        <v>4.3</v>
      </c>
      <c r="H364" t="n">
        <v>0</v>
      </c>
      <c r="I364" t="n">
        <v>0</v>
      </c>
      <c r="J364" t="n">
        <v>0</v>
      </c>
      <c r="K364" t="n">
        <v>0</v>
      </c>
      <c r="L364" t="n">
        <v>0</v>
      </c>
      <c r="M364" t="n">
        <v>0</v>
      </c>
      <c r="N364" t="n">
        <v>0</v>
      </c>
      <c r="O364" t="n">
        <v>0</v>
      </c>
      <c r="P364" t="n">
        <v>0</v>
      </c>
      <c r="Q364" t="n">
        <v>0</v>
      </c>
      <c r="R364" s="2" t="inlineStr"/>
    </row>
    <row r="365" ht="15" customHeight="1">
      <c r="A365" t="inlineStr">
        <is>
          <t>A 16531-2025</t>
        </is>
      </c>
      <c r="B365" s="1" t="n">
        <v>45751</v>
      </c>
      <c r="C365" s="1" t="n">
        <v>45982</v>
      </c>
      <c r="D365" t="inlineStr">
        <is>
          <t>UPPSALA LÄN</t>
        </is>
      </c>
      <c r="E365" t="inlineStr">
        <is>
          <t>ÖSTHAMMAR</t>
        </is>
      </c>
      <c r="G365" t="n">
        <v>3.3</v>
      </c>
      <c r="H365" t="n">
        <v>0</v>
      </c>
      <c r="I365" t="n">
        <v>0</v>
      </c>
      <c r="J365" t="n">
        <v>0</v>
      </c>
      <c r="K365" t="n">
        <v>0</v>
      </c>
      <c r="L365" t="n">
        <v>0</v>
      </c>
      <c r="M365" t="n">
        <v>0</v>
      </c>
      <c r="N365" t="n">
        <v>0</v>
      </c>
      <c r="O365" t="n">
        <v>0</v>
      </c>
      <c r="P365" t="n">
        <v>0</v>
      </c>
      <c r="Q365" t="n">
        <v>0</v>
      </c>
      <c r="R365" s="2" t="inlineStr"/>
    </row>
    <row r="366" ht="15" customHeight="1">
      <c r="A366" t="inlineStr">
        <is>
          <t>A 31137-2022</t>
        </is>
      </c>
      <c r="B366" s="1" t="n">
        <v>44770.42166666667</v>
      </c>
      <c r="C366" s="1" t="n">
        <v>45982</v>
      </c>
      <c r="D366" t="inlineStr">
        <is>
          <t>UPPSALA LÄN</t>
        </is>
      </c>
      <c r="E366" t="inlineStr">
        <is>
          <t>ÖSTHAMMAR</t>
        </is>
      </c>
      <c r="F366" t="inlineStr">
        <is>
          <t>Bergvik skog öst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31896-2025</t>
        </is>
      </c>
      <c r="B367" s="1" t="n">
        <v>45834.67556712963</v>
      </c>
      <c r="C367" s="1" t="n">
        <v>45982</v>
      </c>
      <c r="D367" t="inlineStr">
        <is>
          <t>UPPSALA LÄN</t>
        </is>
      </c>
      <c r="E367" t="inlineStr">
        <is>
          <t>ÖSTHAMMAR</t>
        </is>
      </c>
      <c r="G367" t="n">
        <v>4.1</v>
      </c>
      <c r="H367" t="n">
        <v>0</v>
      </c>
      <c r="I367" t="n">
        <v>0</v>
      </c>
      <c r="J367" t="n">
        <v>0</v>
      </c>
      <c r="K367" t="n">
        <v>0</v>
      </c>
      <c r="L367" t="n">
        <v>0</v>
      </c>
      <c r="M367" t="n">
        <v>0</v>
      </c>
      <c r="N367" t="n">
        <v>0</v>
      </c>
      <c r="O367" t="n">
        <v>0</v>
      </c>
      <c r="P367" t="n">
        <v>0</v>
      </c>
      <c r="Q367" t="n">
        <v>0</v>
      </c>
      <c r="R367" s="2" t="inlineStr"/>
    </row>
    <row r="368" ht="15" customHeight="1">
      <c r="A368" t="inlineStr">
        <is>
          <t>A 74429-2021</t>
        </is>
      </c>
      <c r="B368" s="1" t="n">
        <v>44560.43136574074</v>
      </c>
      <c r="C368" s="1" t="n">
        <v>45982</v>
      </c>
      <c r="D368" t="inlineStr">
        <is>
          <t>UPPSALA LÄN</t>
        </is>
      </c>
      <c r="E368" t="inlineStr">
        <is>
          <t>ÖSTHAMMAR</t>
        </is>
      </c>
      <c r="F368" t="inlineStr">
        <is>
          <t>Bergvik skog öst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31956-2025</t>
        </is>
      </c>
      <c r="B369" s="1" t="n">
        <v>45835.34184027778</v>
      </c>
      <c r="C369" s="1" t="n">
        <v>45982</v>
      </c>
      <c r="D369" t="inlineStr">
        <is>
          <t>UPPSALA LÄN</t>
        </is>
      </c>
      <c r="E369" t="inlineStr">
        <is>
          <t>ÖSTHAMMAR</t>
        </is>
      </c>
      <c r="F369" t="inlineStr">
        <is>
          <t>Övriga Aktiebolag</t>
        </is>
      </c>
      <c r="G369" t="n">
        <v>4.2</v>
      </c>
      <c r="H369" t="n">
        <v>0</v>
      </c>
      <c r="I369" t="n">
        <v>0</v>
      </c>
      <c r="J369" t="n">
        <v>0</v>
      </c>
      <c r="K369" t="n">
        <v>0</v>
      </c>
      <c r="L369" t="n">
        <v>0</v>
      </c>
      <c r="M369" t="n">
        <v>0</v>
      </c>
      <c r="N369" t="n">
        <v>0</v>
      </c>
      <c r="O369" t="n">
        <v>0</v>
      </c>
      <c r="P369" t="n">
        <v>0</v>
      </c>
      <c r="Q369" t="n">
        <v>0</v>
      </c>
      <c r="R369" s="2" t="inlineStr"/>
    </row>
    <row r="370" ht="15" customHeight="1">
      <c r="A370" t="inlineStr">
        <is>
          <t>A 31977-2025</t>
        </is>
      </c>
      <c r="B370" s="1" t="n">
        <v>45835.3554050926</v>
      </c>
      <c r="C370" s="1" t="n">
        <v>45982</v>
      </c>
      <c r="D370" t="inlineStr">
        <is>
          <t>UPPSALA LÄN</t>
        </is>
      </c>
      <c r="E370" t="inlineStr">
        <is>
          <t>ÖSTHAMMAR</t>
        </is>
      </c>
      <c r="F370" t="inlineStr">
        <is>
          <t>Övriga Aktiebolag</t>
        </is>
      </c>
      <c r="G370" t="n">
        <v>35.3</v>
      </c>
      <c r="H370" t="n">
        <v>0</v>
      </c>
      <c r="I370" t="n">
        <v>0</v>
      </c>
      <c r="J370" t="n">
        <v>0</v>
      </c>
      <c r="K370" t="n">
        <v>0</v>
      </c>
      <c r="L370" t="n">
        <v>0</v>
      </c>
      <c r="M370" t="n">
        <v>0</v>
      </c>
      <c r="N370" t="n">
        <v>0</v>
      </c>
      <c r="O370" t="n">
        <v>0</v>
      </c>
      <c r="P370" t="n">
        <v>0</v>
      </c>
      <c r="Q370" t="n">
        <v>0</v>
      </c>
      <c r="R370" s="2" t="inlineStr"/>
    </row>
    <row r="371" ht="15" customHeight="1">
      <c r="A371" t="inlineStr">
        <is>
          <t>A 27476-2025</t>
        </is>
      </c>
      <c r="B371" s="1" t="n">
        <v>45813.37517361111</v>
      </c>
      <c r="C371" s="1" t="n">
        <v>45982</v>
      </c>
      <c r="D371" t="inlineStr">
        <is>
          <t>UPPSALA LÄN</t>
        </is>
      </c>
      <c r="E371" t="inlineStr">
        <is>
          <t>ÖSTHAMMAR</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30931-2021</t>
        </is>
      </c>
      <c r="B372" s="1" t="n">
        <v>44365</v>
      </c>
      <c r="C372" s="1" t="n">
        <v>45982</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21478-2023</t>
        </is>
      </c>
      <c r="B373" s="1" t="n">
        <v>45063.47773148148</v>
      </c>
      <c r="C373" s="1" t="n">
        <v>45982</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32718-2025</t>
        </is>
      </c>
      <c r="B374" s="1" t="n">
        <v>45839.37740740741</v>
      </c>
      <c r="C374" s="1" t="n">
        <v>45982</v>
      </c>
      <c r="D374" t="inlineStr">
        <is>
          <t>UPPSALA LÄN</t>
        </is>
      </c>
      <c r="E374" t="inlineStr">
        <is>
          <t>ÖSTHAMMAR</t>
        </is>
      </c>
      <c r="G374" t="n">
        <v>10.4</v>
      </c>
      <c r="H374" t="n">
        <v>0</v>
      </c>
      <c r="I374" t="n">
        <v>0</v>
      </c>
      <c r="J374" t="n">
        <v>0</v>
      </c>
      <c r="K374" t="n">
        <v>0</v>
      </c>
      <c r="L374" t="n">
        <v>0</v>
      </c>
      <c r="M374" t="n">
        <v>0</v>
      </c>
      <c r="N374" t="n">
        <v>0</v>
      </c>
      <c r="O374" t="n">
        <v>0</v>
      </c>
      <c r="P374" t="n">
        <v>0</v>
      </c>
      <c r="Q374" t="n">
        <v>0</v>
      </c>
      <c r="R374" s="2" t="inlineStr"/>
    </row>
    <row r="375" ht="15" customHeight="1">
      <c r="A375" t="inlineStr">
        <is>
          <t>A 17867-2024</t>
        </is>
      </c>
      <c r="B375" s="1" t="n">
        <v>45419.44106481481</v>
      </c>
      <c r="C375" s="1" t="n">
        <v>45982</v>
      </c>
      <c r="D375" t="inlineStr">
        <is>
          <t>UPPSALA LÄN</t>
        </is>
      </c>
      <c r="E375" t="inlineStr">
        <is>
          <t>ÖSTHAMMAR</t>
        </is>
      </c>
      <c r="G375" t="n">
        <v>7.2</v>
      </c>
      <c r="H375" t="n">
        <v>0</v>
      </c>
      <c r="I375" t="n">
        <v>0</v>
      </c>
      <c r="J375" t="n">
        <v>0</v>
      </c>
      <c r="K375" t="n">
        <v>0</v>
      </c>
      <c r="L375" t="n">
        <v>0</v>
      </c>
      <c r="M375" t="n">
        <v>0</v>
      </c>
      <c r="N375" t="n">
        <v>0</v>
      </c>
      <c r="O375" t="n">
        <v>0</v>
      </c>
      <c r="P375" t="n">
        <v>0</v>
      </c>
      <c r="Q375" t="n">
        <v>0</v>
      </c>
      <c r="R375" s="2" t="inlineStr"/>
    </row>
    <row r="376" ht="15" customHeight="1">
      <c r="A376" t="inlineStr">
        <is>
          <t>A 4228-2023</t>
        </is>
      </c>
      <c r="B376" s="1" t="n">
        <v>44953.48179398148</v>
      </c>
      <c r="C376" s="1" t="n">
        <v>45982</v>
      </c>
      <c r="D376" t="inlineStr">
        <is>
          <t>UPPSALA LÄN</t>
        </is>
      </c>
      <c r="E376" t="inlineStr">
        <is>
          <t>ÖSTHAMMAR</t>
        </is>
      </c>
      <c r="G376" t="n">
        <v>1</v>
      </c>
      <c r="H376" t="n">
        <v>0</v>
      </c>
      <c r="I376" t="n">
        <v>0</v>
      </c>
      <c r="J376" t="n">
        <v>0</v>
      </c>
      <c r="K376" t="n">
        <v>0</v>
      </c>
      <c r="L376" t="n">
        <v>0</v>
      </c>
      <c r="M376" t="n">
        <v>0</v>
      </c>
      <c r="N376" t="n">
        <v>0</v>
      </c>
      <c r="O376" t="n">
        <v>0</v>
      </c>
      <c r="P376" t="n">
        <v>0</v>
      </c>
      <c r="Q376" t="n">
        <v>0</v>
      </c>
      <c r="R376" s="2" t="inlineStr"/>
    </row>
    <row r="377" ht="15" customHeight="1">
      <c r="A377" t="inlineStr">
        <is>
          <t>A 36301-2023</t>
        </is>
      </c>
      <c r="B377" s="1" t="n">
        <v>45152.37296296296</v>
      </c>
      <c r="C377" s="1" t="n">
        <v>45982</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44491-2025</t>
        </is>
      </c>
      <c r="B378" s="1" t="n">
        <v>45916.66152777777</v>
      </c>
      <c r="C378" s="1" t="n">
        <v>45982</v>
      </c>
      <c r="D378" t="inlineStr">
        <is>
          <t>UPPSALA LÄN</t>
        </is>
      </c>
      <c r="E378" t="inlineStr">
        <is>
          <t>ÖSTHAMMAR</t>
        </is>
      </c>
      <c r="F378" t="inlineStr">
        <is>
          <t>Bergvik skog öst AB</t>
        </is>
      </c>
      <c r="G378" t="n">
        <v>4.3</v>
      </c>
      <c r="H378" t="n">
        <v>0</v>
      </c>
      <c r="I378" t="n">
        <v>0</v>
      </c>
      <c r="J378" t="n">
        <v>0</v>
      </c>
      <c r="K378" t="n">
        <v>0</v>
      </c>
      <c r="L378" t="n">
        <v>0</v>
      </c>
      <c r="M378" t="n">
        <v>0</v>
      </c>
      <c r="N378" t="n">
        <v>0</v>
      </c>
      <c r="O378" t="n">
        <v>0</v>
      </c>
      <c r="P378" t="n">
        <v>0</v>
      </c>
      <c r="Q378" t="n">
        <v>0</v>
      </c>
      <c r="R378" s="2" t="inlineStr"/>
    </row>
    <row r="379" ht="15" customHeight="1">
      <c r="A379" t="inlineStr">
        <is>
          <t>A 7195-2023</t>
        </is>
      </c>
      <c r="B379" s="1" t="n">
        <v>44970</v>
      </c>
      <c r="C379" s="1" t="n">
        <v>45982</v>
      </c>
      <c r="D379" t="inlineStr">
        <is>
          <t>UPPSALA LÄN</t>
        </is>
      </c>
      <c r="E379" t="inlineStr">
        <is>
          <t>ÖSTHAMMAR</t>
        </is>
      </c>
      <c r="G379" t="n">
        <v>1.3</v>
      </c>
      <c r="H379" t="n">
        <v>0</v>
      </c>
      <c r="I379" t="n">
        <v>0</v>
      </c>
      <c r="J379" t="n">
        <v>0</v>
      </c>
      <c r="K379" t="n">
        <v>0</v>
      </c>
      <c r="L379" t="n">
        <v>0</v>
      </c>
      <c r="M379" t="n">
        <v>0</v>
      </c>
      <c r="N379" t="n">
        <v>0</v>
      </c>
      <c r="O379" t="n">
        <v>0</v>
      </c>
      <c r="P379" t="n">
        <v>0</v>
      </c>
      <c r="Q379" t="n">
        <v>0</v>
      </c>
      <c r="R379" s="2" t="inlineStr"/>
    </row>
    <row r="380" ht="15" customHeight="1">
      <c r="A380" t="inlineStr">
        <is>
          <t>A 33529-2025</t>
        </is>
      </c>
      <c r="B380" s="1" t="n">
        <v>45841.55199074074</v>
      </c>
      <c r="C380" s="1" t="n">
        <v>45982</v>
      </c>
      <c r="D380" t="inlineStr">
        <is>
          <t>UPPSALA LÄN</t>
        </is>
      </c>
      <c r="E380" t="inlineStr">
        <is>
          <t>ÖSTHAMMAR</t>
        </is>
      </c>
      <c r="F380" t="inlineStr">
        <is>
          <t>Bergvik skog öst AB</t>
        </is>
      </c>
      <c r="G380" t="n">
        <v>11.8</v>
      </c>
      <c r="H380" t="n">
        <v>0</v>
      </c>
      <c r="I380" t="n">
        <v>0</v>
      </c>
      <c r="J380" t="n">
        <v>0</v>
      </c>
      <c r="K380" t="n">
        <v>0</v>
      </c>
      <c r="L380" t="n">
        <v>0</v>
      </c>
      <c r="M380" t="n">
        <v>0</v>
      </c>
      <c r="N380" t="n">
        <v>0</v>
      </c>
      <c r="O380" t="n">
        <v>0</v>
      </c>
      <c r="P380" t="n">
        <v>0</v>
      </c>
      <c r="Q380" t="n">
        <v>0</v>
      </c>
      <c r="R380" s="2" t="inlineStr"/>
    </row>
    <row r="381" ht="15" customHeight="1">
      <c r="A381" t="inlineStr">
        <is>
          <t>A 33048-2025</t>
        </is>
      </c>
      <c r="B381" s="1" t="n">
        <v>45840.41451388889</v>
      </c>
      <c r="C381" s="1" t="n">
        <v>45982</v>
      </c>
      <c r="D381" t="inlineStr">
        <is>
          <t>UPPSALA LÄN</t>
        </is>
      </c>
      <c r="E381" t="inlineStr">
        <is>
          <t>ÖSTHAMMAR</t>
        </is>
      </c>
      <c r="G381" t="n">
        <v>1.8</v>
      </c>
      <c r="H381" t="n">
        <v>0</v>
      </c>
      <c r="I381" t="n">
        <v>0</v>
      </c>
      <c r="J381" t="n">
        <v>0</v>
      </c>
      <c r="K381" t="n">
        <v>0</v>
      </c>
      <c r="L381" t="n">
        <v>0</v>
      </c>
      <c r="M381" t="n">
        <v>0</v>
      </c>
      <c r="N381" t="n">
        <v>0</v>
      </c>
      <c r="O381" t="n">
        <v>0</v>
      </c>
      <c r="P381" t="n">
        <v>0</v>
      </c>
      <c r="Q381" t="n">
        <v>0</v>
      </c>
      <c r="R381" s="2" t="inlineStr"/>
    </row>
    <row r="382" ht="15" customHeight="1">
      <c r="A382" t="inlineStr">
        <is>
          <t>A 33271-2025</t>
        </is>
      </c>
      <c r="B382" s="1" t="n">
        <v>45840.68381944444</v>
      </c>
      <c r="C382" s="1" t="n">
        <v>45982</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26774-2023</t>
        </is>
      </c>
      <c r="B383" s="1" t="n">
        <v>45093.47947916666</v>
      </c>
      <c r="C383" s="1" t="n">
        <v>45982</v>
      </c>
      <c r="D383" t="inlineStr">
        <is>
          <t>UPPSALA LÄN</t>
        </is>
      </c>
      <c r="E383" t="inlineStr">
        <is>
          <t>ÖSTHAMMAR</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53656-2025</t>
        </is>
      </c>
      <c r="B384" s="1" t="n">
        <v>45960</v>
      </c>
      <c r="C384" s="1" t="n">
        <v>45982</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26395-2025</t>
        </is>
      </c>
      <c r="B385" s="1" t="n">
        <v>45807</v>
      </c>
      <c r="C385" s="1" t="n">
        <v>45982</v>
      </c>
      <c r="D385" t="inlineStr">
        <is>
          <t>UPPSALA LÄN</t>
        </is>
      </c>
      <c r="E385" t="inlineStr">
        <is>
          <t>ÖSTHAMMAR</t>
        </is>
      </c>
      <c r="G385" t="n">
        <v>7</v>
      </c>
      <c r="H385" t="n">
        <v>0</v>
      </c>
      <c r="I385" t="n">
        <v>0</v>
      </c>
      <c r="J385" t="n">
        <v>0</v>
      </c>
      <c r="K385" t="n">
        <v>0</v>
      </c>
      <c r="L385" t="n">
        <v>0</v>
      </c>
      <c r="M385" t="n">
        <v>0</v>
      </c>
      <c r="N385" t="n">
        <v>0</v>
      </c>
      <c r="O385" t="n">
        <v>0</v>
      </c>
      <c r="P385" t="n">
        <v>0</v>
      </c>
      <c r="Q385" t="n">
        <v>0</v>
      </c>
      <c r="R385" s="2" t="inlineStr"/>
    </row>
    <row r="386" ht="15" customHeight="1">
      <c r="A386" t="inlineStr">
        <is>
          <t>A 17644-2025</t>
        </is>
      </c>
      <c r="B386" s="1" t="n">
        <v>45758.32645833334</v>
      </c>
      <c r="C386" s="1" t="n">
        <v>45982</v>
      </c>
      <c r="D386" t="inlineStr">
        <is>
          <t>UPPSALA LÄN</t>
        </is>
      </c>
      <c r="E386" t="inlineStr">
        <is>
          <t>ÖSTHAMMAR</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45102-2025</t>
        </is>
      </c>
      <c r="B387" s="1" t="n">
        <v>45919.39731481481</v>
      </c>
      <c r="C387" s="1" t="n">
        <v>45982</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33972-2025</t>
        </is>
      </c>
      <c r="B388" s="1" t="n">
        <v>45842.97236111111</v>
      </c>
      <c r="C388" s="1" t="n">
        <v>45982</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20324-2021</t>
        </is>
      </c>
      <c r="B389" s="1" t="n">
        <v>44308</v>
      </c>
      <c r="C389" s="1" t="n">
        <v>45982</v>
      </c>
      <c r="D389" t="inlineStr">
        <is>
          <t>UPPSALA LÄN</t>
        </is>
      </c>
      <c r="E389" t="inlineStr">
        <is>
          <t>ÖSTHAMMAR</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53735-2025</t>
        </is>
      </c>
      <c r="B390" s="1" t="n">
        <v>45960.64431712963</v>
      </c>
      <c r="C390" s="1" t="n">
        <v>45982</v>
      </c>
      <c r="D390" t="inlineStr">
        <is>
          <t>UPPSALA LÄN</t>
        </is>
      </c>
      <c r="E390" t="inlineStr">
        <is>
          <t>ÖSTHAMMAR</t>
        </is>
      </c>
      <c r="F390" t="inlineStr">
        <is>
          <t>Bergvik skog öst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44917-2025</t>
        </is>
      </c>
      <c r="B391" s="1" t="n">
        <v>45918.54903935185</v>
      </c>
      <c r="C391" s="1" t="n">
        <v>45982</v>
      </c>
      <c r="D391" t="inlineStr">
        <is>
          <t>UPPSALA LÄN</t>
        </is>
      </c>
      <c r="E391" t="inlineStr">
        <is>
          <t>ÖSTHAMMAR</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45105-2025</t>
        </is>
      </c>
      <c r="B392" s="1" t="n">
        <v>45919.40252314815</v>
      </c>
      <c r="C392" s="1" t="n">
        <v>45982</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53557-2025</t>
        </is>
      </c>
      <c r="B393" s="1" t="n">
        <v>45960</v>
      </c>
      <c r="C393" s="1" t="n">
        <v>45982</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33973-2025</t>
        </is>
      </c>
      <c r="B394" s="1" t="n">
        <v>45842.98429398148</v>
      </c>
      <c r="C394" s="1" t="n">
        <v>45982</v>
      </c>
      <c r="D394" t="inlineStr">
        <is>
          <t>UPPSALA LÄN</t>
        </is>
      </c>
      <c r="E394" t="inlineStr">
        <is>
          <t>ÖSTHAMMAR</t>
        </is>
      </c>
      <c r="G394" t="n">
        <v>1.9</v>
      </c>
      <c r="H394" t="n">
        <v>0</v>
      </c>
      <c r="I394" t="n">
        <v>0</v>
      </c>
      <c r="J394" t="n">
        <v>0</v>
      </c>
      <c r="K394" t="n">
        <v>0</v>
      </c>
      <c r="L394" t="n">
        <v>0</v>
      </c>
      <c r="M394" t="n">
        <v>0</v>
      </c>
      <c r="N394" t="n">
        <v>0</v>
      </c>
      <c r="O394" t="n">
        <v>0</v>
      </c>
      <c r="P394" t="n">
        <v>0</v>
      </c>
      <c r="Q394" t="n">
        <v>0</v>
      </c>
      <c r="R394" s="2" t="inlineStr"/>
    </row>
    <row r="395" ht="15" customHeight="1">
      <c r="A395" t="inlineStr">
        <is>
          <t>A 53567-2025</t>
        </is>
      </c>
      <c r="B395" s="1" t="n">
        <v>45960</v>
      </c>
      <c r="C395" s="1" t="n">
        <v>45982</v>
      </c>
      <c r="D395" t="inlineStr">
        <is>
          <t>UPPSALA LÄN</t>
        </is>
      </c>
      <c r="E395" t="inlineStr">
        <is>
          <t>ÖSTHAMMAR</t>
        </is>
      </c>
      <c r="G395" t="n">
        <v>1.4</v>
      </c>
      <c r="H395" t="n">
        <v>0</v>
      </c>
      <c r="I395" t="n">
        <v>0</v>
      </c>
      <c r="J395" t="n">
        <v>0</v>
      </c>
      <c r="K395" t="n">
        <v>0</v>
      </c>
      <c r="L395" t="n">
        <v>0</v>
      </c>
      <c r="M395" t="n">
        <v>0</v>
      </c>
      <c r="N395" t="n">
        <v>0</v>
      </c>
      <c r="O395" t="n">
        <v>0</v>
      </c>
      <c r="P395" t="n">
        <v>0</v>
      </c>
      <c r="Q395" t="n">
        <v>0</v>
      </c>
      <c r="R395" s="2" t="inlineStr"/>
    </row>
    <row r="396" ht="15" customHeight="1">
      <c r="A396" t="inlineStr">
        <is>
          <t>A 17652-2025</t>
        </is>
      </c>
      <c r="B396" s="1" t="n">
        <v>45758.33583333333</v>
      </c>
      <c r="C396" s="1" t="n">
        <v>45982</v>
      </c>
      <c r="D396" t="inlineStr">
        <is>
          <t>UPPSALA LÄN</t>
        </is>
      </c>
      <c r="E396" t="inlineStr">
        <is>
          <t>ÖSTHAMMAR</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53737-2025</t>
        </is>
      </c>
      <c r="B397" s="1" t="n">
        <v>45960.64520833334</v>
      </c>
      <c r="C397" s="1" t="n">
        <v>45982</v>
      </c>
      <c r="D397" t="inlineStr">
        <is>
          <t>UPPSALA LÄN</t>
        </is>
      </c>
      <c r="E397" t="inlineStr">
        <is>
          <t>ÖSTHAMMAR</t>
        </is>
      </c>
      <c r="F397" t="inlineStr">
        <is>
          <t>Bergvik skog öst AB</t>
        </is>
      </c>
      <c r="G397" t="n">
        <v>3</v>
      </c>
      <c r="H397" t="n">
        <v>0</v>
      </c>
      <c r="I397" t="n">
        <v>0</v>
      </c>
      <c r="J397" t="n">
        <v>0</v>
      </c>
      <c r="K397" t="n">
        <v>0</v>
      </c>
      <c r="L397" t="n">
        <v>0</v>
      </c>
      <c r="M397" t="n">
        <v>0</v>
      </c>
      <c r="N397" t="n">
        <v>0</v>
      </c>
      <c r="O397" t="n">
        <v>0</v>
      </c>
      <c r="P397" t="n">
        <v>0</v>
      </c>
      <c r="Q397" t="n">
        <v>0</v>
      </c>
      <c r="R397" s="2" t="inlineStr"/>
    </row>
    <row r="398" ht="15" customHeight="1">
      <c r="A398" t="inlineStr">
        <is>
          <t>A 6120-2024</t>
        </is>
      </c>
      <c r="B398" s="1" t="n">
        <v>45337.41784722222</v>
      </c>
      <c r="C398" s="1" t="n">
        <v>45982</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12528-2024</t>
        </is>
      </c>
      <c r="B399" s="1" t="n">
        <v>45379.61878472222</v>
      </c>
      <c r="C399" s="1" t="n">
        <v>45982</v>
      </c>
      <c r="D399" t="inlineStr">
        <is>
          <t>UPPSALA LÄN</t>
        </is>
      </c>
      <c r="E399" t="inlineStr">
        <is>
          <t>ÖSTHAMMAR</t>
        </is>
      </c>
      <c r="F399" t="inlineStr">
        <is>
          <t>Bergvik skog öst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357-2025</t>
        </is>
      </c>
      <c r="B400" s="1" t="n">
        <v>45659</v>
      </c>
      <c r="C400" s="1" t="n">
        <v>45982</v>
      </c>
      <c r="D400" t="inlineStr">
        <is>
          <t>UPPSALA LÄN</t>
        </is>
      </c>
      <c r="E400" t="inlineStr">
        <is>
          <t>ÖSTHAMMAR</t>
        </is>
      </c>
      <c r="G400" t="n">
        <v>15.8</v>
      </c>
      <c r="H400" t="n">
        <v>0</v>
      </c>
      <c r="I400" t="n">
        <v>0</v>
      </c>
      <c r="J400" t="n">
        <v>0</v>
      </c>
      <c r="K400" t="n">
        <v>0</v>
      </c>
      <c r="L400" t="n">
        <v>0</v>
      </c>
      <c r="M400" t="n">
        <v>0</v>
      </c>
      <c r="N400" t="n">
        <v>0</v>
      </c>
      <c r="O400" t="n">
        <v>0</v>
      </c>
      <c r="P400" t="n">
        <v>0</v>
      </c>
      <c r="Q400" t="n">
        <v>0</v>
      </c>
      <c r="R400" s="2" t="inlineStr"/>
    </row>
    <row r="401" ht="15" customHeight="1">
      <c r="A401" t="inlineStr">
        <is>
          <t>A 54592-2025</t>
        </is>
      </c>
      <c r="B401" s="1" t="n">
        <v>45965.74545138889</v>
      </c>
      <c r="C401" s="1" t="n">
        <v>45982</v>
      </c>
      <c r="D401" t="inlineStr">
        <is>
          <t>UPPSALA LÄN</t>
        </is>
      </c>
      <c r="E401" t="inlineStr">
        <is>
          <t>ÖSTHAMMAR</t>
        </is>
      </c>
      <c r="F401" t="inlineStr">
        <is>
          <t>Bergvik skog öst AB</t>
        </is>
      </c>
      <c r="G401" t="n">
        <v>5</v>
      </c>
      <c r="H401" t="n">
        <v>0</v>
      </c>
      <c r="I401" t="n">
        <v>0</v>
      </c>
      <c r="J401" t="n">
        <v>0</v>
      </c>
      <c r="K401" t="n">
        <v>0</v>
      </c>
      <c r="L401" t="n">
        <v>0</v>
      </c>
      <c r="M401" t="n">
        <v>0</v>
      </c>
      <c r="N401" t="n">
        <v>0</v>
      </c>
      <c r="O401" t="n">
        <v>0</v>
      </c>
      <c r="P401" t="n">
        <v>0</v>
      </c>
      <c r="Q401" t="n">
        <v>0</v>
      </c>
      <c r="R401" s="2" t="inlineStr"/>
    </row>
    <row r="402" ht="15" customHeight="1">
      <c r="A402" t="inlineStr">
        <is>
          <t>A 25859-2024</t>
        </is>
      </c>
      <c r="B402" s="1" t="n">
        <v>45467</v>
      </c>
      <c r="C402" s="1" t="n">
        <v>45982</v>
      </c>
      <c r="D402" t="inlineStr">
        <is>
          <t>UPPSALA LÄN</t>
        </is>
      </c>
      <c r="E402" t="inlineStr">
        <is>
          <t>ÖSTHAMMAR</t>
        </is>
      </c>
      <c r="G402" t="n">
        <v>7.9</v>
      </c>
      <c r="H402" t="n">
        <v>0</v>
      </c>
      <c r="I402" t="n">
        <v>0</v>
      </c>
      <c r="J402" t="n">
        <v>0</v>
      </c>
      <c r="K402" t="n">
        <v>0</v>
      </c>
      <c r="L402" t="n">
        <v>0</v>
      </c>
      <c r="M402" t="n">
        <v>0</v>
      </c>
      <c r="N402" t="n">
        <v>0</v>
      </c>
      <c r="O402" t="n">
        <v>0</v>
      </c>
      <c r="P402" t="n">
        <v>0</v>
      </c>
      <c r="Q402" t="n">
        <v>0</v>
      </c>
      <c r="R402" s="2" t="inlineStr"/>
    </row>
    <row r="403" ht="15" customHeight="1">
      <c r="A403" t="inlineStr">
        <is>
          <t>A 9267-2024</t>
        </is>
      </c>
      <c r="B403" s="1" t="n">
        <v>45358</v>
      </c>
      <c r="C403" s="1" t="n">
        <v>45982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10117-2025</t>
        </is>
      </c>
      <c r="B404" s="1" t="n">
        <v>45719.59866898148</v>
      </c>
      <c r="C404" s="1" t="n">
        <v>45982</v>
      </c>
      <c r="D404" t="inlineStr">
        <is>
          <t>UPPSALA LÄN</t>
        </is>
      </c>
      <c r="E404" t="inlineStr">
        <is>
          <t>ÖSTHAMMAR</t>
        </is>
      </c>
      <c r="G404" t="n">
        <v>1.1</v>
      </c>
      <c r="H404" t="n">
        <v>0</v>
      </c>
      <c r="I404" t="n">
        <v>0</v>
      </c>
      <c r="J404" t="n">
        <v>0</v>
      </c>
      <c r="K404" t="n">
        <v>0</v>
      </c>
      <c r="L404" t="n">
        <v>0</v>
      </c>
      <c r="M404" t="n">
        <v>0</v>
      </c>
      <c r="N404" t="n">
        <v>0</v>
      </c>
      <c r="O404" t="n">
        <v>0</v>
      </c>
      <c r="P404" t="n">
        <v>0</v>
      </c>
      <c r="Q404" t="n">
        <v>0</v>
      </c>
      <c r="R404" s="2" t="inlineStr"/>
    </row>
    <row r="405" ht="15" customHeight="1">
      <c r="A405" t="inlineStr">
        <is>
          <t>A 33601-2024</t>
        </is>
      </c>
      <c r="B405" s="1" t="n">
        <v>45520</v>
      </c>
      <c r="C405" s="1" t="n">
        <v>45982</v>
      </c>
      <c r="D405" t="inlineStr">
        <is>
          <t>UPPSALA LÄN</t>
        </is>
      </c>
      <c r="E405" t="inlineStr">
        <is>
          <t>ÖSTHAMMAR</t>
        </is>
      </c>
      <c r="F405" t="inlineStr">
        <is>
          <t>Övriga Aktiebolag</t>
        </is>
      </c>
      <c r="G405" t="n">
        <v>2.5</v>
      </c>
      <c r="H405" t="n">
        <v>0</v>
      </c>
      <c r="I405" t="n">
        <v>0</v>
      </c>
      <c r="J405" t="n">
        <v>0</v>
      </c>
      <c r="K405" t="n">
        <v>0</v>
      </c>
      <c r="L405" t="n">
        <v>0</v>
      </c>
      <c r="M405" t="n">
        <v>0</v>
      </c>
      <c r="N405" t="n">
        <v>0</v>
      </c>
      <c r="O405" t="n">
        <v>0</v>
      </c>
      <c r="P405" t="n">
        <v>0</v>
      </c>
      <c r="Q405" t="n">
        <v>0</v>
      </c>
      <c r="R405" s="2" t="inlineStr"/>
    </row>
    <row r="406" ht="15" customHeight="1">
      <c r="A406" t="inlineStr">
        <is>
          <t>A 45720-2025</t>
        </is>
      </c>
      <c r="B406" s="1" t="n">
        <v>45923.44583333333</v>
      </c>
      <c r="C406" s="1" t="n">
        <v>45982</v>
      </c>
      <c r="D406" t="inlineStr">
        <is>
          <t>UPPSALA LÄN</t>
        </is>
      </c>
      <c r="E406" t="inlineStr">
        <is>
          <t>ÖSTHAMMAR</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45721-2025</t>
        </is>
      </c>
      <c r="B407" s="1" t="n">
        <v>45923.44844907407</v>
      </c>
      <c r="C407" s="1" t="n">
        <v>45982</v>
      </c>
      <c r="D407" t="inlineStr">
        <is>
          <t>UPPSALA LÄN</t>
        </is>
      </c>
      <c r="E407" t="inlineStr">
        <is>
          <t>ÖSTHAMMAR</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54242-2025</t>
        </is>
      </c>
      <c r="B408" s="1" t="n">
        <v>45964.63251157408</v>
      </c>
      <c r="C408" s="1" t="n">
        <v>45982</v>
      </c>
      <c r="D408" t="inlineStr">
        <is>
          <t>UPPSALA LÄN</t>
        </is>
      </c>
      <c r="E408" t="inlineStr">
        <is>
          <t>ÖSTHAMMAR</t>
        </is>
      </c>
      <c r="G408" t="n">
        <v>4.7</v>
      </c>
      <c r="H408" t="n">
        <v>0</v>
      </c>
      <c r="I408" t="n">
        <v>0</v>
      </c>
      <c r="J408" t="n">
        <v>0</v>
      </c>
      <c r="K408" t="n">
        <v>0</v>
      </c>
      <c r="L408" t="n">
        <v>0</v>
      </c>
      <c r="M408" t="n">
        <v>0</v>
      </c>
      <c r="N408" t="n">
        <v>0</v>
      </c>
      <c r="O408" t="n">
        <v>0</v>
      </c>
      <c r="P408" t="n">
        <v>0</v>
      </c>
      <c r="Q408" t="n">
        <v>0</v>
      </c>
      <c r="R408" s="2" t="inlineStr"/>
    </row>
    <row r="409" ht="15" customHeight="1">
      <c r="A409" t="inlineStr">
        <is>
          <t>A 19640-2025</t>
        </is>
      </c>
      <c r="B409" s="1" t="n">
        <v>45770.65739583333</v>
      </c>
      <c r="C409" s="1" t="n">
        <v>45982</v>
      </c>
      <c r="D409" t="inlineStr">
        <is>
          <t>UPPSALA LÄN</t>
        </is>
      </c>
      <c r="E409" t="inlineStr">
        <is>
          <t>ÖSTHAMMAR</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23197-2023</t>
        </is>
      </c>
      <c r="B410" s="1" t="n">
        <v>45075</v>
      </c>
      <c r="C410" s="1" t="n">
        <v>45982</v>
      </c>
      <c r="D410" t="inlineStr">
        <is>
          <t>UPPSALA LÄN</t>
        </is>
      </c>
      <c r="E410" t="inlineStr">
        <is>
          <t>ÖSTHAMMAR</t>
        </is>
      </c>
      <c r="G410" t="n">
        <v>0.5</v>
      </c>
      <c r="H410" t="n">
        <v>0</v>
      </c>
      <c r="I410" t="n">
        <v>0</v>
      </c>
      <c r="J410" t="n">
        <v>0</v>
      </c>
      <c r="K410" t="n">
        <v>0</v>
      </c>
      <c r="L410" t="n">
        <v>0</v>
      </c>
      <c r="M410" t="n">
        <v>0</v>
      </c>
      <c r="N410" t="n">
        <v>0</v>
      </c>
      <c r="O410" t="n">
        <v>0</v>
      </c>
      <c r="P410" t="n">
        <v>0</v>
      </c>
      <c r="Q410" t="n">
        <v>0</v>
      </c>
      <c r="R410" s="2" t="inlineStr"/>
    </row>
    <row r="411" ht="15" customHeight="1">
      <c r="A411" t="inlineStr">
        <is>
          <t>A 52478-2024</t>
        </is>
      </c>
      <c r="B411" s="1" t="n">
        <v>45609.55065972222</v>
      </c>
      <c r="C411" s="1" t="n">
        <v>45982</v>
      </c>
      <c r="D411" t="inlineStr">
        <is>
          <t>UPPSALA LÄN</t>
        </is>
      </c>
      <c r="E411" t="inlineStr">
        <is>
          <t>ÖSTHAMMAR</t>
        </is>
      </c>
      <c r="G411" t="n">
        <v>0.7</v>
      </c>
      <c r="H411" t="n">
        <v>0</v>
      </c>
      <c r="I411" t="n">
        <v>0</v>
      </c>
      <c r="J411" t="n">
        <v>0</v>
      </c>
      <c r="K411" t="n">
        <v>0</v>
      </c>
      <c r="L411" t="n">
        <v>0</v>
      </c>
      <c r="M411" t="n">
        <v>0</v>
      </c>
      <c r="N411" t="n">
        <v>0</v>
      </c>
      <c r="O411" t="n">
        <v>0</v>
      </c>
      <c r="P411" t="n">
        <v>0</v>
      </c>
      <c r="Q411" t="n">
        <v>0</v>
      </c>
      <c r="R411" s="2" t="inlineStr"/>
    </row>
    <row r="412" ht="15" customHeight="1">
      <c r="A412" t="inlineStr">
        <is>
          <t>A 13044-2022</t>
        </is>
      </c>
      <c r="B412" s="1" t="n">
        <v>44643</v>
      </c>
      <c r="C412" s="1" t="n">
        <v>45982</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2947-2025</t>
        </is>
      </c>
      <c r="B413" s="1" t="n">
        <v>45678</v>
      </c>
      <c r="C413" s="1" t="n">
        <v>45982</v>
      </c>
      <c r="D413" t="inlineStr">
        <is>
          <t>UPPSALA LÄN</t>
        </is>
      </c>
      <c r="E413" t="inlineStr">
        <is>
          <t>ÖSTHAMMAR</t>
        </is>
      </c>
      <c r="G413" t="n">
        <v>3.6</v>
      </c>
      <c r="H413" t="n">
        <v>0</v>
      </c>
      <c r="I413" t="n">
        <v>0</v>
      </c>
      <c r="J413" t="n">
        <v>0</v>
      </c>
      <c r="K413" t="n">
        <v>0</v>
      </c>
      <c r="L413" t="n">
        <v>0</v>
      </c>
      <c r="M413" t="n">
        <v>0</v>
      </c>
      <c r="N413" t="n">
        <v>0</v>
      </c>
      <c r="O413" t="n">
        <v>0</v>
      </c>
      <c r="P413" t="n">
        <v>0</v>
      </c>
      <c r="Q413" t="n">
        <v>0</v>
      </c>
      <c r="R413" s="2" t="inlineStr"/>
    </row>
    <row r="414" ht="15" customHeight="1">
      <c r="A414" t="inlineStr">
        <is>
          <t>A 17433-2025</t>
        </is>
      </c>
      <c r="B414" s="1" t="n">
        <v>45757.40733796296</v>
      </c>
      <c r="C414" s="1" t="n">
        <v>45982</v>
      </c>
      <c r="D414" t="inlineStr">
        <is>
          <t>UPPSALA LÄN</t>
        </is>
      </c>
      <c r="E414" t="inlineStr">
        <is>
          <t>ÖSTHAMMAR</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45715-2025</t>
        </is>
      </c>
      <c r="B415" s="1" t="n">
        <v>45923.44094907407</v>
      </c>
      <c r="C415" s="1" t="n">
        <v>45982</v>
      </c>
      <c r="D415" t="inlineStr">
        <is>
          <t>UPPSALA LÄN</t>
        </is>
      </c>
      <c r="E415" t="inlineStr">
        <is>
          <t>ÖSTHAMMAR</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12756-2024</t>
        </is>
      </c>
      <c r="B416" s="1" t="n">
        <v>45384</v>
      </c>
      <c r="C416" s="1" t="n">
        <v>45982</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15928-2022</t>
        </is>
      </c>
      <c r="B417" s="1" t="n">
        <v>44664</v>
      </c>
      <c r="C417" s="1" t="n">
        <v>45982</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8708-2022</t>
        </is>
      </c>
      <c r="B418" s="1" t="n">
        <v>44613.77238425926</v>
      </c>
      <c r="C418" s="1" t="n">
        <v>45982</v>
      </c>
      <c r="D418" t="inlineStr">
        <is>
          <t>UPPSALA LÄN</t>
        </is>
      </c>
      <c r="E418" t="inlineStr">
        <is>
          <t>ÖSTHAMMAR</t>
        </is>
      </c>
      <c r="G418" t="n">
        <v>4.3</v>
      </c>
      <c r="H418" t="n">
        <v>0</v>
      </c>
      <c r="I418" t="n">
        <v>0</v>
      </c>
      <c r="J418" t="n">
        <v>0</v>
      </c>
      <c r="K418" t="n">
        <v>0</v>
      </c>
      <c r="L418" t="n">
        <v>0</v>
      </c>
      <c r="M418" t="n">
        <v>0</v>
      </c>
      <c r="N418" t="n">
        <v>0</v>
      </c>
      <c r="O418" t="n">
        <v>0</v>
      </c>
      <c r="P418" t="n">
        <v>0</v>
      </c>
      <c r="Q418" t="n">
        <v>0</v>
      </c>
      <c r="R418" s="2" t="inlineStr"/>
    </row>
    <row r="419" ht="15" customHeight="1">
      <c r="A419" t="inlineStr">
        <is>
          <t>A 54647-2025</t>
        </is>
      </c>
      <c r="B419" s="1" t="n">
        <v>45966.37258101852</v>
      </c>
      <c r="C419" s="1" t="n">
        <v>45982</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54649-2025</t>
        </is>
      </c>
      <c r="B420" s="1" t="n">
        <v>45966.37548611111</v>
      </c>
      <c r="C420" s="1" t="n">
        <v>45982</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1063-2025</t>
        </is>
      </c>
      <c r="B421" s="1" t="n">
        <v>45666</v>
      </c>
      <c r="C421" s="1" t="n">
        <v>45982</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33760-2024</t>
        </is>
      </c>
      <c r="B422" s="1" t="n">
        <v>45520</v>
      </c>
      <c r="C422" s="1" t="n">
        <v>45982</v>
      </c>
      <c r="D422" t="inlineStr">
        <is>
          <t>UPPSALA LÄN</t>
        </is>
      </c>
      <c r="E422" t="inlineStr">
        <is>
          <t>ÖSTHAMMAR</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45982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52629-2023</t>
        </is>
      </c>
      <c r="B424" s="1" t="n">
        <v>45225</v>
      </c>
      <c r="C424" s="1" t="n">
        <v>45982</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35918-2023</t>
        </is>
      </c>
      <c r="B425" s="1" t="n">
        <v>45148.64976851852</v>
      </c>
      <c r="C425" s="1" t="n">
        <v>45982</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45993-2025</t>
        </is>
      </c>
      <c r="B426" s="1" t="n">
        <v>45924.39706018518</v>
      </c>
      <c r="C426" s="1" t="n">
        <v>45982</v>
      </c>
      <c r="D426" t="inlineStr">
        <is>
          <t>UPPSALA LÄN</t>
        </is>
      </c>
      <c r="E426" t="inlineStr">
        <is>
          <t>ÖSTHAMMAR</t>
        </is>
      </c>
      <c r="G426" t="n">
        <v>0.5</v>
      </c>
      <c r="H426" t="n">
        <v>0</v>
      </c>
      <c r="I426" t="n">
        <v>0</v>
      </c>
      <c r="J426" t="n">
        <v>0</v>
      </c>
      <c r="K426" t="n">
        <v>0</v>
      </c>
      <c r="L426" t="n">
        <v>0</v>
      </c>
      <c r="M426" t="n">
        <v>0</v>
      </c>
      <c r="N426" t="n">
        <v>0</v>
      </c>
      <c r="O426" t="n">
        <v>0</v>
      </c>
      <c r="P426" t="n">
        <v>0</v>
      </c>
      <c r="Q426" t="n">
        <v>0</v>
      </c>
      <c r="R426" s="2" t="inlineStr"/>
    </row>
    <row r="427" ht="15" customHeight="1">
      <c r="A427" t="inlineStr">
        <is>
          <t>A 4292-2025</t>
        </is>
      </c>
      <c r="B427" s="1" t="n">
        <v>45685.66459490741</v>
      </c>
      <c r="C427" s="1" t="n">
        <v>45982</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4356-2025</t>
        </is>
      </c>
      <c r="B428" s="1" t="n">
        <v>45686</v>
      </c>
      <c r="C428" s="1" t="n">
        <v>45982</v>
      </c>
      <c r="D428" t="inlineStr">
        <is>
          <t>UPPSALA LÄN</t>
        </is>
      </c>
      <c r="E428" t="inlineStr">
        <is>
          <t>ÖSTHAMMAR</t>
        </is>
      </c>
      <c r="F428" t="inlineStr">
        <is>
          <t>Övriga Aktiebolag</t>
        </is>
      </c>
      <c r="G428" t="n">
        <v>24.6</v>
      </c>
      <c r="H428" t="n">
        <v>0</v>
      </c>
      <c r="I428" t="n">
        <v>0</v>
      </c>
      <c r="J428" t="n">
        <v>0</v>
      </c>
      <c r="K428" t="n">
        <v>0</v>
      </c>
      <c r="L428" t="n">
        <v>0</v>
      </c>
      <c r="M428" t="n">
        <v>0</v>
      </c>
      <c r="N428" t="n">
        <v>0</v>
      </c>
      <c r="O428" t="n">
        <v>0</v>
      </c>
      <c r="P428" t="n">
        <v>0</v>
      </c>
      <c r="Q428" t="n">
        <v>0</v>
      </c>
      <c r="R428" s="2" t="inlineStr"/>
    </row>
    <row r="429" ht="15" customHeight="1">
      <c r="A429" t="inlineStr">
        <is>
          <t>A 6661-2024</t>
        </is>
      </c>
      <c r="B429" s="1" t="n">
        <v>45341.70582175926</v>
      </c>
      <c r="C429" s="1" t="n">
        <v>45982</v>
      </c>
      <c r="D429" t="inlineStr">
        <is>
          <t>UPPSALA LÄN</t>
        </is>
      </c>
      <c r="E429" t="inlineStr">
        <is>
          <t>ÖSTHAMMAR</t>
        </is>
      </c>
      <c r="G429" t="n">
        <v>0.2</v>
      </c>
      <c r="H429" t="n">
        <v>0</v>
      </c>
      <c r="I429" t="n">
        <v>0</v>
      </c>
      <c r="J429" t="n">
        <v>0</v>
      </c>
      <c r="K429" t="n">
        <v>0</v>
      </c>
      <c r="L429" t="n">
        <v>0</v>
      </c>
      <c r="M429" t="n">
        <v>0</v>
      </c>
      <c r="N429" t="n">
        <v>0</v>
      </c>
      <c r="O429" t="n">
        <v>0</v>
      </c>
      <c r="P429" t="n">
        <v>0</v>
      </c>
      <c r="Q429" t="n">
        <v>0</v>
      </c>
      <c r="R429" s="2" t="inlineStr"/>
    </row>
    <row r="430" ht="15" customHeight="1">
      <c r="A430" t="inlineStr">
        <is>
          <t>A 46089-2025</t>
        </is>
      </c>
      <c r="B430" s="1" t="n">
        <v>45924.52100694444</v>
      </c>
      <c r="C430" s="1" t="n">
        <v>45982</v>
      </c>
      <c r="D430" t="inlineStr">
        <is>
          <t>UPPSALA LÄN</t>
        </is>
      </c>
      <c r="E430" t="inlineStr">
        <is>
          <t>ÖSTHAMMAR</t>
        </is>
      </c>
      <c r="F430" t="inlineStr">
        <is>
          <t>Bergvik skog öst AB</t>
        </is>
      </c>
      <c r="G430" t="n">
        <v>2.6</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45982</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45982</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56903-2023</t>
        </is>
      </c>
      <c r="B433" s="1" t="n">
        <v>45244.56943287037</v>
      </c>
      <c r="C433" s="1" t="n">
        <v>45982</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36092-2025</t>
        </is>
      </c>
      <c r="B434" s="1" t="n">
        <v>45866.48244212963</v>
      </c>
      <c r="C434" s="1" t="n">
        <v>45982</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46088-2025</t>
        </is>
      </c>
      <c r="B435" s="1" t="n">
        <v>45924.52010416667</v>
      </c>
      <c r="C435" s="1" t="n">
        <v>45982</v>
      </c>
      <c r="D435" t="inlineStr">
        <is>
          <t>UPPSALA LÄN</t>
        </is>
      </c>
      <c r="E435" t="inlineStr">
        <is>
          <t>ÖSTHAMMAR</t>
        </is>
      </c>
      <c r="F435" t="inlineStr">
        <is>
          <t>Bergvik skog öst AB</t>
        </is>
      </c>
      <c r="G435" t="n">
        <v>2.7</v>
      </c>
      <c r="H435" t="n">
        <v>0</v>
      </c>
      <c r="I435" t="n">
        <v>0</v>
      </c>
      <c r="J435" t="n">
        <v>0</v>
      </c>
      <c r="K435" t="n">
        <v>0</v>
      </c>
      <c r="L435" t="n">
        <v>0</v>
      </c>
      <c r="M435" t="n">
        <v>0</v>
      </c>
      <c r="N435" t="n">
        <v>0</v>
      </c>
      <c r="O435" t="n">
        <v>0</v>
      </c>
      <c r="P435" t="n">
        <v>0</v>
      </c>
      <c r="Q435" t="n">
        <v>0</v>
      </c>
      <c r="R435" s="2" t="inlineStr"/>
    </row>
    <row r="436" ht="15" customHeight="1">
      <c r="A436" t="inlineStr">
        <is>
          <t>A 55163-2025</t>
        </is>
      </c>
      <c r="B436" s="1" t="n">
        <v>45968.48032407407</v>
      </c>
      <c r="C436" s="1" t="n">
        <v>45982</v>
      </c>
      <c r="D436" t="inlineStr">
        <is>
          <t>UPPSALA LÄN</t>
        </is>
      </c>
      <c r="E436" t="inlineStr">
        <is>
          <t>ÖSTHAMMAR</t>
        </is>
      </c>
      <c r="G436" t="n">
        <v>1.8</v>
      </c>
      <c r="H436" t="n">
        <v>0</v>
      </c>
      <c r="I436" t="n">
        <v>0</v>
      </c>
      <c r="J436" t="n">
        <v>0</v>
      </c>
      <c r="K436" t="n">
        <v>0</v>
      </c>
      <c r="L436" t="n">
        <v>0</v>
      </c>
      <c r="M436" t="n">
        <v>0</v>
      </c>
      <c r="N436" t="n">
        <v>0</v>
      </c>
      <c r="O436" t="n">
        <v>0</v>
      </c>
      <c r="P436" t="n">
        <v>0</v>
      </c>
      <c r="Q436" t="n">
        <v>0</v>
      </c>
      <c r="R436" s="2" t="inlineStr"/>
    </row>
    <row r="437" ht="15" customHeight="1">
      <c r="A437" t="inlineStr">
        <is>
          <t>A 28420-2023</t>
        </is>
      </c>
      <c r="B437" s="1" t="n">
        <v>45102.33054398148</v>
      </c>
      <c r="C437" s="1" t="n">
        <v>45982</v>
      </c>
      <c r="D437" t="inlineStr">
        <is>
          <t>UPPSALA LÄN</t>
        </is>
      </c>
      <c r="E437" t="inlineStr">
        <is>
          <t>ÖSTHAMMAR</t>
        </is>
      </c>
      <c r="F437" t="inlineStr">
        <is>
          <t>Bergvik skog öst AB</t>
        </is>
      </c>
      <c r="G437" t="n">
        <v>3.2</v>
      </c>
      <c r="H437" t="n">
        <v>0</v>
      </c>
      <c r="I437" t="n">
        <v>0</v>
      </c>
      <c r="J437" t="n">
        <v>0</v>
      </c>
      <c r="K437" t="n">
        <v>0</v>
      </c>
      <c r="L437" t="n">
        <v>0</v>
      </c>
      <c r="M437" t="n">
        <v>0</v>
      </c>
      <c r="N437" t="n">
        <v>0</v>
      </c>
      <c r="O437" t="n">
        <v>0</v>
      </c>
      <c r="P437" t="n">
        <v>0</v>
      </c>
      <c r="Q437" t="n">
        <v>0</v>
      </c>
      <c r="R437" s="2" t="inlineStr"/>
    </row>
    <row r="438" ht="15" customHeight="1">
      <c r="A438" t="inlineStr">
        <is>
          <t>A 28432-2023</t>
        </is>
      </c>
      <c r="B438" s="1" t="n">
        <v>45102.59896990741</v>
      </c>
      <c r="C438" s="1" t="n">
        <v>45982</v>
      </c>
      <c r="D438" t="inlineStr">
        <is>
          <t>UPPSALA LÄN</t>
        </is>
      </c>
      <c r="E438" t="inlineStr">
        <is>
          <t>ÖSTHAMMAR</t>
        </is>
      </c>
      <c r="F438" t="inlineStr">
        <is>
          <t>Bergvik skog öst AB</t>
        </is>
      </c>
      <c r="G438" t="n">
        <v>3.9</v>
      </c>
      <c r="H438" t="n">
        <v>0</v>
      </c>
      <c r="I438" t="n">
        <v>0</v>
      </c>
      <c r="J438" t="n">
        <v>0</v>
      </c>
      <c r="K438" t="n">
        <v>0</v>
      </c>
      <c r="L438" t="n">
        <v>0</v>
      </c>
      <c r="M438" t="n">
        <v>0</v>
      </c>
      <c r="N438" t="n">
        <v>0</v>
      </c>
      <c r="O438" t="n">
        <v>0</v>
      </c>
      <c r="P438" t="n">
        <v>0</v>
      </c>
      <c r="Q438" t="n">
        <v>0</v>
      </c>
      <c r="R438" s="2" t="inlineStr"/>
    </row>
    <row r="439" ht="15" customHeight="1">
      <c r="A439" t="inlineStr">
        <is>
          <t>A 17929-2025</t>
        </is>
      </c>
      <c r="B439" s="1" t="n">
        <v>45759.56462962963</v>
      </c>
      <c r="C439" s="1" t="n">
        <v>45982</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56969-2022</t>
        </is>
      </c>
      <c r="B440" s="1" t="n">
        <v>44894.68043981482</v>
      </c>
      <c r="C440" s="1" t="n">
        <v>45982</v>
      </c>
      <c r="D440" t="inlineStr">
        <is>
          <t>UPPSALA LÄN</t>
        </is>
      </c>
      <c r="E440" t="inlineStr">
        <is>
          <t>ÖSTHAMMAR</t>
        </is>
      </c>
      <c r="G440" t="n">
        <v>5.5</v>
      </c>
      <c r="H440" t="n">
        <v>0</v>
      </c>
      <c r="I440" t="n">
        <v>0</v>
      </c>
      <c r="J440" t="n">
        <v>0</v>
      </c>
      <c r="K440" t="n">
        <v>0</v>
      </c>
      <c r="L440" t="n">
        <v>0</v>
      </c>
      <c r="M440" t="n">
        <v>0</v>
      </c>
      <c r="N440" t="n">
        <v>0</v>
      </c>
      <c r="O440" t="n">
        <v>0</v>
      </c>
      <c r="P440" t="n">
        <v>0</v>
      </c>
      <c r="Q440" t="n">
        <v>0</v>
      </c>
      <c r="R440" s="2" t="inlineStr"/>
    </row>
    <row r="441" ht="15" customHeight="1">
      <c r="A441" t="inlineStr">
        <is>
          <t>A 46826-2025</t>
        </is>
      </c>
      <c r="B441" s="1" t="n">
        <v>45927.00606481481</v>
      </c>
      <c r="C441" s="1" t="n">
        <v>45982</v>
      </c>
      <c r="D441" t="inlineStr">
        <is>
          <t>UPPSALA LÄN</t>
        </is>
      </c>
      <c r="E441" t="inlineStr">
        <is>
          <t>ÖSTHAMMAR</t>
        </is>
      </c>
      <c r="G441" t="n">
        <v>9</v>
      </c>
      <c r="H441" t="n">
        <v>0</v>
      </c>
      <c r="I441" t="n">
        <v>0</v>
      </c>
      <c r="J441" t="n">
        <v>0</v>
      </c>
      <c r="K441" t="n">
        <v>0</v>
      </c>
      <c r="L441" t="n">
        <v>0</v>
      </c>
      <c r="M441" t="n">
        <v>0</v>
      </c>
      <c r="N441" t="n">
        <v>0</v>
      </c>
      <c r="O441" t="n">
        <v>0</v>
      </c>
      <c r="P441" t="n">
        <v>0</v>
      </c>
      <c r="Q441" t="n">
        <v>0</v>
      </c>
      <c r="R441" s="2" t="inlineStr"/>
    </row>
    <row r="442" ht="15" customHeight="1">
      <c r="A442" t="inlineStr">
        <is>
          <t>A 36451-2025</t>
        </is>
      </c>
      <c r="B442" s="1" t="n">
        <v>45869.4290625</v>
      </c>
      <c r="C442" s="1" t="n">
        <v>45982</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36643-2025</t>
        </is>
      </c>
      <c r="B443" s="1" t="n">
        <v>45872.47782407407</v>
      </c>
      <c r="C443" s="1" t="n">
        <v>45982</v>
      </c>
      <c r="D443" t="inlineStr">
        <is>
          <t>UPPSALA LÄN</t>
        </is>
      </c>
      <c r="E443" t="inlineStr">
        <is>
          <t>ÖSTHAMMAR</t>
        </is>
      </c>
      <c r="F443" t="inlineStr">
        <is>
          <t>Bergvik skog öst AB</t>
        </is>
      </c>
      <c r="G443" t="n">
        <v>15.1</v>
      </c>
      <c r="H443" t="n">
        <v>0</v>
      </c>
      <c r="I443" t="n">
        <v>0</v>
      </c>
      <c r="J443" t="n">
        <v>0</v>
      </c>
      <c r="K443" t="n">
        <v>0</v>
      </c>
      <c r="L443" t="n">
        <v>0</v>
      </c>
      <c r="M443" t="n">
        <v>0</v>
      </c>
      <c r="N443" t="n">
        <v>0</v>
      </c>
      <c r="O443" t="n">
        <v>0</v>
      </c>
      <c r="P443" t="n">
        <v>0</v>
      </c>
      <c r="Q443" t="n">
        <v>0</v>
      </c>
      <c r="R443" s="2" t="inlineStr"/>
    </row>
    <row r="444" ht="15" customHeight="1">
      <c r="A444" t="inlineStr">
        <is>
          <t>A 60584-2021</t>
        </is>
      </c>
      <c r="B444" s="1" t="n">
        <v>44496</v>
      </c>
      <c r="C444" s="1" t="n">
        <v>45982</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44152-2024</t>
        </is>
      </c>
      <c r="B445" s="1" t="n">
        <v>45572</v>
      </c>
      <c r="C445" s="1" t="n">
        <v>45982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36645-2025</t>
        </is>
      </c>
      <c r="B446" s="1" t="n">
        <v>45872</v>
      </c>
      <c r="C446" s="1" t="n">
        <v>45982</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36644-2025</t>
        </is>
      </c>
      <c r="B447" s="1" t="n">
        <v>45872.48738425926</v>
      </c>
      <c r="C447" s="1" t="n">
        <v>45982</v>
      </c>
      <c r="D447" t="inlineStr">
        <is>
          <t>UPPSALA LÄN</t>
        </is>
      </c>
      <c r="E447" t="inlineStr">
        <is>
          <t>ÖSTHAMMAR</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48856-2024</t>
        </is>
      </c>
      <c r="B448" s="1" t="n">
        <v>45593</v>
      </c>
      <c r="C448" s="1" t="n">
        <v>45982</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47390-2023</t>
        </is>
      </c>
      <c r="B449" s="1" t="n">
        <v>45202</v>
      </c>
      <c r="C449" s="1" t="n">
        <v>45982</v>
      </c>
      <c r="D449" t="inlineStr">
        <is>
          <t>UPPSALA LÄN</t>
        </is>
      </c>
      <c r="E449" t="inlineStr">
        <is>
          <t>ÖSTHAMMAR</t>
        </is>
      </c>
      <c r="G449" t="n">
        <v>3.7</v>
      </c>
      <c r="H449" t="n">
        <v>0</v>
      </c>
      <c r="I449" t="n">
        <v>0</v>
      </c>
      <c r="J449" t="n">
        <v>0</v>
      </c>
      <c r="K449" t="n">
        <v>0</v>
      </c>
      <c r="L449" t="n">
        <v>0</v>
      </c>
      <c r="M449" t="n">
        <v>0</v>
      </c>
      <c r="N449" t="n">
        <v>0</v>
      </c>
      <c r="O449" t="n">
        <v>0</v>
      </c>
      <c r="P449" t="n">
        <v>0</v>
      </c>
      <c r="Q449" t="n">
        <v>0</v>
      </c>
      <c r="R449" s="2" t="inlineStr"/>
    </row>
    <row r="450" ht="15" customHeight="1">
      <c r="A450" t="inlineStr">
        <is>
          <t>A 36646-2025</t>
        </is>
      </c>
      <c r="B450" s="1" t="n">
        <v>45872</v>
      </c>
      <c r="C450" s="1" t="n">
        <v>45982</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55298-2025</t>
        </is>
      </c>
      <c r="B451" s="1" t="n">
        <v>45969.76908564815</v>
      </c>
      <c r="C451" s="1" t="n">
        <v>45982</v>
      </c>
      <c r="D451" t="inlineStr">
        <is>
          <t>UPPSALA LÄN</t>
        </is>
      </c>
      <c r="E451" t="inlineStr">
        <is>
          <t>ÖSTHAMMAR</t>
        </is>
      </c>
      <c r="F451" t="inlineStr">
        <is>
          <t>Bergvik skog öst AB</t>
        </is>
      </c>
      <c r="G451" t="n">
        <v>3.6</v>
      </c>
      <c r="H451" t="n">
        <v>0</v>
      </c>
      <c r="I451" t="n">
        <v>0</v>
      </c>
      <c r="J451" t="n">
        <v>0</v>
      </c>
      <c r="K451" t="n">
        <v>0</v>
      </c>
      <c r="L451" t="n">
        <v>0</v>
      </c>
      <c r="M451" t="n">
        <v>0</v>
      </c>
      <c r="N451" t="n">
        <v>0</v>
      </c>
      <c r="O451" t="n">
        <v>0</v>
      </c>
      <c r="P451" t="n">
        <v>0</v>
      </c>
      <c r="Q451" t="n">
        <v>0</v>
      </c>
      <c r="R451" s="2" t="inlineStr"/>
    </row>
    <row r="452" ht="15" customHeight="1">
      <c r="A452" t="inlineStr">
        <is>
          <t>A 47338-2025</t>
        </is>
      </c>
      <c r="B452" s="1" t="n">
        <v>45930.56626157407</v>
      </c>
      <c r="C452" s="1" t="n">
        <v>45982</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5877-2023</t>
        </is>
      </c>
      <c r="B453" s="1" t="n">
        <v>44963.62001157407</v>
      </c>
      <c r="C453" s="1" t="n">
        <v>45982</v>
      </c>
      <c r="D453" t="inlineStr">
        <is>
          <t>UPPSALA LÄN</t>
        </is>
      </c>
      <c r="E453" t="inlineStr">
        <is>
          <t>ÖSTHAMMAR</t>
        </is>
      </c>
      <c r="G453" t="n">
        <v>0.7</v>
      </c>
      <c r="H453" t="n">
        <v>0</v>
      </c>
      <c r="I453" t="n">
        <v>0</v>
      </c>
      <c r="J453" t="n">
        <v>0</v>
      </c>
      <c r="K453" t="n">
        <v>0</v>
      </c>
      <c r="L453" t="n">
        <v>0</v>
      </c>
      <c r="M453" t="n">
        <v>0</v>
      </c>
      <c r="N453" t="n">
        <v>0</v>
      </c>
      <c r="O453" t="n">
        <v>0</v>
      </c>
      <c r="P453" t="n">
        <v>0</v>
      </c>
      <c r="Q453" t="n">
        <v>0</v>
      </c>
      <c r="R453" s="2" t="inlineStr"/>
    </row>
    <row r="454" ht="15" customHeight="1">
      <c r="A454" t="inlineStr">
        <is>
          <t>A 52389-2022</t>
        </is>
      </c>
      <c r="B454" s="1" t="n">
        <v>44874.38325231482</v>
      </c>
      <c r="C454" s="1" t="n">
        <v>45982</v>
      </c>
      <c r="D454" t="inlineStr">
        <is>
          <t>UPPSALA LÄN</t>
        </is>
      </c>
      <c r="E454" t="inlineStr">
        <is>
          <t>ÖSTHAMMAR</t>
        </is>
      </c>
      <c r="G454" t="n">
        <v>3.1</v>
      </c>
      <c r="H454" t="n">
        <v>0</v>
      </c>
      <c r="I454" t="n">
        <v>0</v>
      </c>
      <c r="J454" t="n">
        <v>0</v>
      </c>
      <c r="K454" t="n">
        <v>0</v>
      </c>
      <c r="L454" t="n">
        <v>0</v>
      </c>
      <c r="M454" t="n">
        <v>0</v>
      </c>
      <c r="N454" t="n">
        <v>0</v>
      </c>
      <c r="O454" t="n">
        <v>0</v>
      </c>
      <c r="P454" t="n">
        <v>0</v>
      </c>
      <c r="Q454" t="n">
        <v>0</v>
      </c>
      <c r="R454" s="2" t="inlineStr"/>
    </row>
    <row r="455" ht="15" customHeight="1">
      <c r="A455" t="inlineStr">
        <is>
          <t>A 25033-2021</t>
        </is>
      </c>
      <c r="B455" s="1" t="n">
        <v>44341.590625</v>
      </c>
      <c r="C455" s="1" t="n">
        <v>45982</v>
      </c>
      <c r="D455" t="inlineStr">
        <is>
          <t>UPPSALA LÄN</t>
        </is>
      </c>
      <c r="E455" t="inlineStr">
        <is>
          <t>ÖSTHAMMAR</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47336-2025</t>
        </is>
      </c>
      <c r="B456" s="1" t="n">
        <v>45930.56592592593</v>
      </c>
      <c r="C456" s="1" t="n">
        <v>45982</v>
      </c>
      <c r="D456" t="inlineStr">
        <is>
          <t>UPPSALA LÄN</t>
        </is>
      </c>
      <c r="E456" t="inlineStr">
        <is>
          <t>ÖSTHAMMAR</t>
        </is>
      </c>
      <c r="G456" t="n">
        <v>0.9</v>
      </c>
      <c r="H456" t="n">
        <v>0</v>
      </c>
      <c r="I456" t="n">
        <v>0</v>
      </c>
      <c r="J456" t="n">
        <v>0</v>
      </c>
      <c r="K456" t="n">
        <v>0</v>
      </c>
      <c r="L456" t="n">
        <v>0</v>
      </c>
      <c r="M456" t="n">
        <v>0</v>
      </c>
      <c r="N456" t="n">
        <v>0</v>
      </c>
      <c r="O456" t="n">
        <v>0</v>
      </c>
      <c r="P456" t="n">
        <v>0</v>
      </c>
      <c r="Q456" t="n">
        <v>0</v>
      </c>
      <c r="R456" s="2" t="inlineStr"/>
    </row>
    <row r="457" ht="15" customHeight="1">
      <c r="A457" t="inlineStr">
        <is>
          <t>A 47337-2025</t>
        </is>
      </c>
      <c r="B457" s="1" t="n">
        <v>45930.56607638889</v>
      </c>
      <c r="C457" s="1" t="n">
        <v>45982</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57453-2022</t>
        </is>
      </c>
      <c r="B458" s="1" t="n">
        <v>44896.56266203704</v>
      </c>
      <c r="C458" s="1" t="n">
        <v>45982</v>
      </c>
      <c r="D458" t="inlineStr">
        <is>
          <t>UPPSALA LÄN</t>
        </is>
      </c>
      <c r="E458" t="inlineStr">
        <is>
          <t>ÖSTHAMMAR</t>
        </is>
      </c>
      <c r="G458" t="n">
        <v>1.7</v>
      </c>
      <c r="H458" t="n">
        <v>0</v>
      </c>
      <c r="I458" t="n">
        <v>0</v>
      </c>
      <c r="J458" t="n">
        <v>0</v>
      </c>
      <c r="K458" t="n">
        <v>0</v>
      </c>
      <c r="L458" t="n">
        <v>0</v>
      </c>
      <c r="M458" t="n">
        <v>0</v>
      </c>
      <c r="N458" t="n">
        <v>0</v>
      </c>
      <c r="O458" t="n">
        <v>0</v>
      </c>
      <c r="P458" t="n">
        <v>0</v>
      </c>
      <c r="Q458" t="n">
        <v>0</v>
      </c>
      <c r="R458" s="2" t="inlineStr"/>
    </row>
    <row r="459" ht="15" customHeight="1">
      <c r="A459" t="inlineStr">
        <is>
          <t>A 57462-2022</t>
        </is>
      </c>
      <c r="B459" s="1" t="n">
        <v>44896.57527777777</v>
      </c>
      <c r="C459" s="1" t="n">
        <v>45982</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6039-2025</t>
        </is>
      </c>
      <c r="B460" s="1" t="n">
        <v>45695</v>
      </c>
      <c r="C460" s="1" t="n">
        <v>45982</v>
      </c>
      <c r="D460" t="inlineStr">
        <is>
          <t>UPPSALA LÄN</t>
        </is>
      </c>
      <c r="E460" t="inlineStr">
        <is>
          <t>ÖSTHAMMAR</t>
        </is>
      </c>
      <c r="G460" t="n">
        <v>2.3</v>
      </c>
      <c r="H460" t="n">
        <v>0</v>
      </c>
      <c r="I460" t="n">
        <v>0</v>
      </c>
      <c r="J460" t="n">
        <v>0</v>
      </c>
      <c r="K460" t="n">
        <v>0</v>
      </c>
      <c r="L460" t="n">
        <v>0</v>
      </c>
      <c r="M460" t="n">
        <v>0</v>
      </c>
      <c r="N460" t="n">
        <v>0</v>
      </c>
      <c r="O460" t="n">
        <v>0</v>
      </c>
      <c r="P460" t="n">
        <v>0</v>
      </c>
      <c r="Q460" t="n">
        <v>0</v>
      </c>
      <c r="R460" s="2" t="inlineStr"/>
    </row>
    <row r="461" ht="15" customHeight="1">
      <c r="A461" t="inlineStr">
        <is>
          <t>A 55798-2025</t>
        </is>
      </c>
      <c r="B461" s="1" t="n">
        <v>45972.66209490741</v>
      </c>
      <c r="C461" s="1" t="n">
        <v>45982</v>
      </c>
      <c r="D461" t="inlineStr">
        <is>
          <t>UPPSALA LÄN</t>
        </is>
      </c>
      <c r="E461" t="inlineStr">
        <is>
          <t>ÖSTHAMMAR</t>
        </is>
      </c>
      <c r="F461" t="inlineStr">
        <is>
          <t>Bergvik skog öst AB</t>
        </is>
      </c>
      <c r="G461" t="n">
        <v>3.9</v>
      </c>
      <c r="H461" t="n">
        <v>0</v>
      </c>
      <c r="I461" t="n">
        <v>0</v>
      </c>
      <c r="J461" t="n">
        <v>0</v>
      </c>
      <c r="K461" t="n">
        <v>0</v>
      </c>
      <c r="L461" t="n">
        <v>0</v>
      </c>
      <c r="M461" t="n">
        <v>0</v>
      </c>
      <c r="N461" t="n">
        <v>0</v>
      </c>
      <c r="O461" t="n">
        <v>0</v>
      </c>
      <c r="P461" t="n">
        <v>0</v>
      </c>
      <c r="Q461" t="n">
        <v>0</v>
      </c>
      <c r="R461" s="2" t="inlineStr"/>
    </row>
    <row r="462" ht="15" customHeight="1">
      <c r="A462" t="inlineStr">
        <is>
          <t>A 37656-2025</t>
        </is>
      </c>
      <c r="B462" s="1" t="n">
        <v>45880</v>
      </c>
      <c r="C462" s="1" t="n">
        <v>45982</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53961-2025</t>
        </is>
      </c>
      <c r="B463" s="1" t="n">
        <v>45961</v>
      </c>
      <c r="C463" s="1" t="n">
        <v>45982</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37764-2025</t>
        </is>
      </c>
      <c r="B464" s="1" t="n">
        <v>45880.70917824074</v>
      </c>
      <c r="C464" s="1" t="n">
        <v>45982</v>
      </c>
      <c r="D464" t="inlineStr">
        <is>
          <t>UPPSALA LÄN</t>
        </is>
      </c>
      <c r="E464" t="inlineStr">
        <is>
          <t>ÖSTHAMMAR</t>
        </is>
      </c>
      <c r="G464" t="n">
        <v>4.6</v>
      </c>
      <c r="H464" t="n">
        <v>0</v>
      </c>
      <c r="I464" t="n">
        <v>0</v>
      </c>
      <c r="J464" t="n">
        <v>0</v>
      </c>
      <c r="K464" t="n">
        <v>0</v>
      </c>
      <c r="L464" t="n">
        <v>0</v>
      </c>
      <c r="M464" t="n">
        <v>0</v>
      </c>
      <c r="N464" t="n">
        <v>0</v>
      </c>
      <c r="O464" t="n">
        <v>0</v>
      </c>
      <c r="P464" t="n">
        <v>0</v>
      </c>
      <c r="Q464" t="n">
        <v>0</v>
      </c>
      <c r="R464" s="2" t="inlineStr"/>
    </row>
    <row r="465" ht="15" customHeight="1">
      <c r="A465" t="inlineStr">
        <is>
          <t>A 51364-2021</t>
        </is>
      </c>
      <c r="B465" s="1" t="n">
        <v>44461</v>
      </c>
      <c r="C465" s="1" t="n">
        <v>45982</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47614-2025</t>
        </is>
      </c>
      <c r="B466" s="1" t="n">
        <v>45931.47211805556</v>
      </c>
      <c r="C466" s="1" t="n">
        <v>45982</v>
      </c>
      <c r="D466" t="inlineStr">
        <is>
          <t>UPPSALA LÄN</t>
        </is>
      </c>
      <c r="E466" t="inlineStr">
        <is>
          <t>ÖSTHAMMAR</t>
        </is>
      </c>
      <c r="G466" t="n">
        <v>22.8</v>
      </c>
      <c r="H466" t="n">
        <v>0</v>
      </c>
      <c r="I466" t="n">
        <v>0</v>
      </c>
      <c r="J466" t="n">
        <v>0</v>
      </c>
      <c r="K466" t="n">
        <v>0</v>
      </c>
      <c r="L466" t="n">
        <v>0</v>
      </c>
      <c r="M466" t="n">
        <v>0</v>
      </c>
      <c r="N466" t="n">
        <v>0</v>
      </c>
      <c r="O466" t="n">
        <v>0</v>
      </c>
      <c r="P466" t="n">
        <v>0</v>
      </c>
      <c r="Q466" t="n">
        <v>0</v>
      </c>
      <c r="R466" s="2" t="inlineStr"/>
    </row>
    <row r="467" ht="15" customHeight="1">
      <c r="A467" t="inlineStr">
        <is>
          <t>A 47615-2025</t>
        </is>
      </c>
      <c r="B467" s="1" t="n">
        <v>45931.47542824074</v>
      </c>
      <c r="C467" s="1" t="n">
        <v>45982</v>
      </c>
      <c r="D467" t="inlineStr">
        <is>
          <t>UPPSALA LÄN</t>
        </is>
      </c>
      <c r="E467" t="inlineStr">
        <is>
          <t>ÖSTHAMMAR</t>
        </is>
      </c>
      <c r="G467" t="n">
        <v>7</v>
      </c>
      <c r="H467" t="n">
        <v>0</v>
      </c>
      <c r="I467" t="n">
        <v>0</v>
      </c>
      <c r="J467" t="n">
        <v>0</v>
      </c>
      <c r="K467" t="n">
        <v>0</v>
      </c>
      <c r="L467" t="n">
        <v>0</v>
      </c>
      <c r="M467" t="n">
        <v>0</v>
      </c>
      <c r="N467" t="n">
        <v>0</v>
      </c>
      <c r="O467" t="n">
        <v>0</v>
      </c>
      <c r="P467" t="n">
        <v>0</v>
      </c>
      <c r="Q467" t="n">
        <v>0</v>
      </c>
      <c r="R467" s="2" t="inlineStr"/>
    </row>
    <row r="468" ht="15" customHeight="1">
      <c r="A468" t="inlineStr">
        <is>
          <t>A 51266-2025</t>
        </is>
      </c>
      <c r="B468" s="1" t="n">
        <v>45949.71568287037</v>
      </c>
      <c r="C468" s="1" t="n">
        <v>45982</v>
      </c>
      <c r="D468" t="inlineStr">
        <is>
          <t>UPPSALA LÄN</t>
        </is>
      </c>
      <c r="E468" t="inlineStr">
        <is>
          <t>ÖSTHAMMAR</t>
        </is>
      </c>
      <c r="F468" t="inlineStr">
        <is>
          <t>Bergvik skog öst AB</t>
        </is>
      </c>
      <c r="G468" t="n">
        <v>4.7</v>
      </c>
      <c r="H468" t="n">
        <v>0</v>
      </c>
      <c r="I468" t="n">
        <v>0</v>
      </c>
      <c r="J468" t="n">
        <v>0</v>
      </c>
      <c r="K468" t="n">
        <v>0</v>
      </c>
      <c r="L468" t="n">
        <v>0</v>
      </c>
      <c r="M468" t="n">
        <v>0</v>
      </c>
      <c r="N468" t="n">
        <v>0</v>
      </c>
      <c r="O468" t="n">
        <v>0</v>
      </c>
      <c r="P468" t="n">
        <v>0</v>
      </c>
      <c r="Q468" t="n">
        <v>0</v>
      </c>
      <c r="R468" s="2" t="inlineStr"/>
    </row>
    <row r="469" ht="15" customHeight="1">
      <c r="A469" t="inlineStr">
        <is>
          <t>A 37770-2025</t>
        </is>
      </c>
      <c r="B469" s="1" t="n">
        <v>45880.7505787037</v>
      </c>
      <c r="C469" s="1" t="n">
        <v>45982</v>
      </c>
      <c r="D469" t="inlineStr">
        <is>
          <t>UPPSALA LÄN</t>
        </is>
      </c>
      <c r="E469" t="inlineStr">
        <is>
          <t>ÖSTHAMMAR</t>
        </is>
      </c>
      <c r="G469" t="n">
        <v>2.9</v>
      </c>
      <c r="H469" t="n">
        <v>0</v>
      </c>
      <c r="I469" t="n">
        <v>0</v>
      </c>
      <c r="J469" t="n">
        <v>0</v>
      </c>
      <c r="K469" t="n">
        <v>0</v>
      </c>
      <c r="L469" t="n">
        <v>0</v>
      </c>
      <c r="M469" t="n">
        <v>0</v>
      </c>
      <c r="N469" t="n">
        <v>0</v>
      </c>
      <c r="O469" t="n">
        <v>0</v>
      </c>
      <c r="P469" t="n">
        <v>0</v>
      </c>
      <c r="Q469" t="n">
        <v>0</v>
      </c>
      <c r="R469" s="2" t="inlineStr"/>
    </row>
    <row r="470" ht="15" customHeight="1">
      <c r="A470" t="inlineStr">
        <is>
          <t>A 43915-2023</t>
        </is>
      </c>
      <c r="B470" s="1" t="n">
        <v>45187.71274305556</v>
      </c>
      <c r="C470" s="1" t="n">
        <v>45982</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5189-2025</t>
        </is>
      </c>
      <c r="B471" s="1" t="n">
        <v>45691</v>
      </c>
      <c r="C471" s="1" t="n">
        <v>45982</v>
      </c>
      <c r="D471" t="inlineStr">
        <is>
          <t>UPPSALA LÄN</t>
        </is>
      </c>
      <c r="E471" t="inlineStr">
        <is>
          <t>ÖSTHAMMAR</t>
        </is>
      </c>
      <c r="F471" t="inlineStr">
        <is>
          <t>Bergvik skog öst AB</t>
        </is>
      </c>
      <c r="G471" t="n">
        <v>24.4</v>
      </c>
      <c r="H471" t="n">
        <v>0</v>
      </c>
      <c r="I471" t="n">
        <v>0</v>
      </c>
      <c r="J471" t="n">
        <v>0</v>
      </c>
      <c r="K471" t="n">
        <v>0</v>
      </c>
      <c r="L471" t="n">
        <v>0</v>
      </c>
      <c r="M471" t="n">
        <v>0</v>
      </c>
      <c r="N471" t="n">
        <v>0</v>
      </c>
      <c r="O471" t="n">
        <v>0</v>
      </c>
      <c r="P471" t="n">
        <v>0</v>
      </c>
      <c r="Q471" t="n">
        <v>0</v>
      </c>
      <c r="R471" s="2" t="inlineStr"/>
    </row>
    <row r="472" ht="15" customHeight="1">
      <c r="A472" t="inlineStr">
        <is>
          <t>A 56518-2025</t>
        </is>
      </c>
      <c r="B472" s="1" t="n">
        <v>45975.4581712963</v>
      </c>
      <c r="C472" s="1" t="n">
        <v>45982</v>
      </c>
      <c r="D472" t="inlineStr">
        <is>
          <t>UPPSALA LÄN</t>
        </is>
      </c>
      <c r="E472" t="inlineStr">
        <is>
          <t>ÖSTHAMMAR</t>
        </is>
      </c>
      <c r="G472" t="n">
        <v>2.7</v>
      </c>
      <c r="H472" t="n">
        <v>0</v>
      </c>
      <c r="I472" t="n">
        <v>0</v>
      </c>
      <c r="J472" t="n">
        <v>0</v>
      </c>
      <c r="K472" t="n">
        <v>0</v>
      </c>
      <c r="L472" t="n">
        <v>0</v>
      </c>
      <c r="M472" t="n">
        <v>0</v>
      </c>
      <c r="N472" t="n">
        <v>0</v>
      </c>
      <c r="O472" t="n">
        <v>0</v>
      </c>
      <c r="P472" t="n">
        <v>0</v>
      </c>
      <c r="Q472" t="n">
        <v>0</v>
      </c>
      <c r="R472" s="2" t="inlineStr"/>
    </row>
    <row r="473" ht="15" customHeight="1">
      <c r="A473" t="inlineStr">
        <is>
          <t>A 19501-2025</t>
        </is>
      </c>
      <c r="B473" s="1" t="n">
        <v>45770.4015625</v>
      </c>
      <c r="C473" s="1" t="n">
        <v>45982</v>
      </c>
      <c r="D473" t="inlineStr">
        <is>
          <t>UPPSALA LÄN</t>
        </is>
      </c>
      <c r="E473" t="inlineStr">
        <is>
          <t>ÖSTHAMMAR</t>
        </is>
      </c>
      <c r="F473" t="inlineStr">
        <is>
          <t>Övriga Aktiebolag</t>
        </is>
      </c>
      <c r="G473" t="n">
        <v>17.3</v>
      </c>
      <c r="H473" t="n">
        <v>0</v>
      </c>
      <c r="I473" t="n">
        <v>0</v>
      </c>
      <c r="J473" t="n">
        <v>0</v>
      </c>
      <c r="K473" t="n">
        <v>0</v>
      </c>
      <c r="L473" t="n">
        <v>0</v>
      </c>
      <c r="M473" t="n">
        <v>0</v>
      </c>
      <c r="N473" t="n">
        <v>0</v>
      </c>
      <c r="O473" t="n">
        <v>0</v>
      </c>
      <c r="P473" t="n">
        <v>0</v>
      </c>
      <c r="Q473" t="n">
        <v>0</v>
      </c>
      <c r="R473" s="2" t="inlineStr"/>
    </row>
    <row r="474" ht="15" customHeight="1">
      <c r="A474" t="inlineStr">
        <is>
          <t>A 51265-2025</t>
        </is>
      </c>
      <c r="B474" s="1" t="n">
        <v>45949.70971064815</v>
      </c>
      <c r="C474" s="1" t="n">
        <v>45982</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3119-2025</t>
        </is>
      </c>
      <c r="B475" s="1" t="n">
        <v>45678</v>
      </c>
      <c r="C475" s="1" t="n">
        <v>45982</v>
      </c>
      <c r="D475" t="inlineStr">
        <is>
          <t>UPPSALA LÄN</t>
        </is>
      </c>
      <c r="E475" t="inlineStr">
        <is>
          <t>ÖSTHAMMAR</t>
        </is>
      </c>
      <c r="G475" t="n">
        <v>1.1</v>
      </c>
      <c r="H475" t="n">
        <v>0</v>
      </c>
      <c r="I475" t="n">
        <v>0</v>
      </c>
      <c r="J475" t="n">
        <v>0</v>
      </c>
      <c r="K475" t="n">
        <v>0</v>
      </c>
      <c r="L475" t="n">
        <v>0</v>
      </c>
      <c r="M475" t="n">
        <v>0</v>
      </c>
      <c r="N475" t="n">
        <v>0</v>
      </c>
      <c r="O475" t="n">
        <v>0</v>
      </c>
      <c r="P475" t="n">
        <v>0</v>
      </c>
      <c r="Q475" t="n">
        <v>0</v>
      </c>
      <c r="R475" s="2" t="inlineStr"/>
    </row>
    <row r="476" ht="15" customHeight="1">
      <c r="A476" t="inlineStr">
        <is>
          <t>A 7118-2023</t>
        </is>
      </c>
      <c r="B476" s="1" t="n">
        <v>44970.39591435185</v>
      </c>
      <c r="C476" s="1" t="n">
        <v>45982</v>
      </c>
      <c r="D476" t="inlineStr">
        <is>
          <t>UPPSALA LÄN</t>
        </is>
      </c>
      <c r="E476" t="inlineStr">
        <is>
          <t>ÖSTHAMMAR</t>
        </is>
      </c>
      <c r="G476" t="n">
        <v>2.1</v>
      </c>
      <c r="H476" t="n">
        <v>0</v>
      </c>
      <c r="I476" t="n">
        <v>0</v>
      </c>
      <c r="J476" t="n">
        <v>0</v>
      </c>
      <c r="K476" t="n">
        <v>0</v>
      </c>
      <c r="L476" t="n">
        <v>0</v>
      </c>
      <c r="M476" t="n">
        <v>0</v>
      </c>
      <c r="N476" t="n">
        <v>0</v>
      </c>
      <c r="O476" t="n">
        <v>0</v>
      </c>
      <c r="P476" t="n">
        <v>0</v>
      </c>
      <c r="Q476" t="n">
        <v>0</v>
      </c>
      <c r="R476" s="2" t="inlineStr"/>
    </row>
    <row r="477" ht="15" customHeight="1">
      <c r="A477" t="inlineStr">
        <is>
          <t>A 28421-2023</t>
        </is>
      </c>
      <c r="B477" s="1" t="n">
        <v>45102</v>
      </c>
      <c r="C477" s="1" t="n">
        <v>45982</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17931-2025</t>
        </is>
      </c>
      <c r="B478" s="1" t="n">
        <v>45759.56894675926</v>
      </c>
      <c r="C478" s="1" t="n">
        <v>45982</v>
      </c>
      <c r="D478" t="inlineStr">
        <is>
          <t>UPPSALA LÄN</t>
        </is>
      </c>
      <c r="E478" t="inlineStr">
        <is>
          <t>ÖSTHAMMAR</t>
        </is>
      </c>
      <c r="G478" t="n">
        <v>2.1</v>
      </c>
      <c r="H478" t="n">
        <v>0</v>
      </c>
      <c r="I478" t="n">
        <v>0</v>
      </c>
      <c r="J478" t="n">
        <v>0</v>
      </c>
      <c r="K478" t="n">
        <v>0</v>
      </c>
      <c r="L478" t="n">
        <v>0</v>
      </c>
      <c r="M478" t="n">
        <v>0</v>
      </c>
      <c r="N478" t="n">
        <v>0</v>
      </c>
      <c r="O478" t="n">
        <v>0</v>
      </c>
      <c r="P478" t="n">
        <v>0</v>
      </c>
      <c r="Q478" t="n">
        <v>0</v>
      </c>
      <c r="R478" s="2" t="inlineStr"/>
    </row>
    <row r="479" ht="15" customHeight="1">
      <c r="A479" t="inlineStr">
        <is>
          <t>A 17938-2025</t>
        </is>
      </c>
      <c r="B479" s="1" t="n">
        <v>45760.55626157407</v>
      </c>
      <c r="C479" s="1" t="n">
        <v>45982</v>
      </c>
      <c r="D479" t="inlineStr">
        <is>
          <t>UPPSALA LÄN</t>
        </is>
      </c>
      <c r="E479" t="inlineStr">
        <is>
          <t>ÖSTHAMMAR</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8763-2025</t>
        </is>
      </c>
      <c r="B480" s="1" t="n">
        <v>45712.57872685185</v>
      </c>
      <c r="C480" s="1" t="n">
        <v>45982</v>
      </c>
      <c r="D480" t="inlineStr">
        <is>
          <t>UPPSALA LÄN</t>
        </is>
      </c>
      <c r="E480" t="inlineStr">
        <is>
          <t>ÖSTHAMMAR</t>
        </is>
      </c>
      <c r="G480" t="n">
        <v>0.6</v>
      </c>
      <c r="H480" t="n">
        <v>0</v>
      </c>
      <c r="I480" t="n">
        <v>0</v>
      </c>
      <c r="J480" t="n">
        <v>0</v>
      </c>
      <c r="K480" t="n">
        <v>0</v>
      </c>
      <c r="L480" t="n">
        <v>0</v>
      </c>
      <c r="M480" t="n">
        <v>0</v>
      </c>
      <c r="N480" t="n">
        <v>0</v>
      </c>
      <c r="O480" t="n">
        <v>0</v>
      </c>
      <c r="P480" t="n">
        <v>0</v>
      </c>
      <c r="Q480" t="n">
        <v>0</v>
      </c>
      <c r="R480" s="2" t="inlineStr"/>
    </row>
    <row r="481" ht="15" customHeight="1">
      <c r="A481" t="inlineStr">
        <is>
          <t>A 56582-2025</t>
        </is>
      </c>
      <c r="B481" s="1" t="n">
        <v>45975.54730324074</v>
      </c>
      <c r="C481" s="1" t="n">
        <v>45982</v>
      </c>
      <c r="D481" t="inlineStr">
        <is>
          <t>UPPSALA LÄN</t>
        </is>
      </c>
      <c r="E481" t="inlineStr">
        <is>
          <t>ÖSTHAMMAR</t>
        </is>
      </c>
      <c r="G481" t="n">
        <v>4.1</v>
      </c>
      <c r="H481" t="n">
        <v>0</v>
      </c>
      <c r="I481" t="n">
        <v>0</v>
      </c>
      <c r="J481" t="n">
        <v>0</v>
      </c>
      <c r="K481" t="n">
        <v>0</v>
      </c>
      <c r="L481" t="n">
        <v>0</v>
      </c>
      <c r="M481" t="n">
        <v>0</v>
      </c>
      <c r="N481" t="n">
        <v>0</v>
      </c>
      <c r="O481" t="n">
        <v>0</v>
      </c>
      <c r="P481" t="n">
        <v>0</v>
      </c>
      <c r="Q481" t="n">
        <v>0</v>
      </c>
      <c r="R481" s="2" t="inlineStr"/>
    </row>
    <row r="482" ht="15" customHeight="1">
      <c r="A482" t="inlineStr">
        <is>
          <t>A 54368-2023</t>
        </is>
      </c>
      <c r="B482" s="1" t="n">
        <v>45233.33221064815</v>
      </c>
      <c r="C482" s="1" t="n">
        <v>45982</v>
      </c>
      <c r="D482" t="inlineStr">
        <is>
          <t>UPPSALA LÄN</t>
        </is>
      </c>
      <c r="E482" t="inlineStr">
        <is>
          <t>ÖSTHAMMAR</t>
        </is>
      </c>
      <c r="F482" t="inlineStr">
        <is>
          <t>Bergvik skog öst AB</t>
        </is>
      </c>
      <c r="G482" t="n">
        <v>3</v>
      </c>
      <c r="H482" t="n">
        <v>0</v>
      </c>
      <c r="I482" t="n">
        <v>0</v>
      </c>
      <c r="J482" t="n">
        <v>0</v>
      </c>
      <c r="K482" t="n">
        <v>0</v>
      </c>
      <c r="L482" t="n">
        <v>0</v>
      </c>
      <c r="M482" t="n">
        <v>0</v>
      </c>
      <c r="N482" t="n">
        <v>0</v>
      </c>
      <c r="O482" t="n">
        <v>0</v>
      </c>
      <c r="P482" t="n">
        <v>0</v>
      </c>
      <c r="Q482" t="n">
        <v>0</v>
      </c>
      <c r="R482" s="2" t="inlineStr"/>
    </row>
    <row r="483" ht="15" customHeight="1">
      <c r="A483" t="inlineStr">
        <is>
          <t>A 38886-2025</t>
        </is>
      </c>
      <c r="B483" s="1" t="n">
        <v>45887.58370370371</v>
      </c>
      <c r="C483" s="1" t="n">
        <v>45982</v>
      </c>
      <c r="D483" t="inlineStr">
        <is>
          <t>UPPSALA LÄN</t>
        </is>
      </c>
      <c r="E483" t="inlineStr">
        <is>
          <t>ÖSTHAMMAR</t>
        </is>
      </c>
      <c r="F483" t="inlineStr">
        <is>
          <t>Bergvik skog öst AB</t>
        </is>
      </c>
      <c r="G483" t="n">
        <v>4.7</v>
      </c>
      <c r="H483" t="n">
        <v>0</v>
      </c>
      <c r="I483" t="n">
        <v>0</v>
      </c>
      <c r="J483" t="n">
        <v>0</v>
      </c>
      <c r="K483" t="n">
        <v>0</v>
      </c>
      <c r="L483" t="n">
        <v>0</v>
      </c>
      <c r="M483" t="n">
        <v>0</v>
      </c>
      <c r="N483" t="n">
        <v>0</v>
      </c>
      <c r="O483" t="n">
        <v>0</v>
      </c>
      <c r="P483" t="n">
        <v>0</v>
      </c>
      <c r="Q483" t="n">
        <v>0</v>
      </c>
      <c r="R483" s="2" t="inlineStr"/>
    </row>
    <row r="484" ht="15" customHeight="1">
      <c r="A484" t="inlineStr">
        <is>
          <t>A 32815-2024</t>
        </is>
      </c>
      <c r="B484" s="1" t="n">
        <v>45516.57682870371</v>
      </c>
      <c r="C484" s="1" t="n">
        <v>45982</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56658-2025</t>
        </is>
      </c>
      <c r="B485" s="1" t="n">
        <v>45975.65431712963</v>
      </c>
      <c r="C485" s="1" t="n">
        <v>45982</v>
      </c>
      <c r="D485" t="inlineStr">
        <is>
          <t>UPPSALA LÄN</t>
        </is>
      </c>
      <c r="E485" t="inlineStr">
        <is>
          <t>ÖSTHAMMAR</t>
        </is>
      </c>
      <c r="G485" t="n">
        <v>1.3</v>
      </c>
      <c r="H485" t="n">
        <v>0</v>
      </c>
      <c r="I485" t="n">
        <v>0</v>
      </c>
      <c r="J485" t="n">
        <v>0</v>
      </c>
      <c r="K485" t="n">
        <v>0</v>
      </c>
      <c r="L485" t="n">
        <v>0</v>
      </c>
      <c r="M485" t="n">
        <v>0</v>
      </c>
      <c r="N485" t="n">
        <v>0</v>
      </c>
      <c r="O485" t="n">
        <v>0</v>
      </c>
      <c r="P485" t="n">
        <v>0</v>
      </c>
      <c r="Q485" t="n">
        <v>0</v>
      </c>
      <c r="R485" s="2" t="inlineStr"/>
    </row>
    <row r="486" ht="15" customHeight="1">
      <c r="A486" t="inlineStr">
        <is>
          <t>A 56653-2025</t>
        </is>
      </c>
      <c r="B486" s="1" t="n">
        <v>45975.64628472222</v>
      </c>
      <c r="C486" s="1" t="n">
        <v>45982</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56745-2025</t>
        </is>
      </c>
      <c r="B487" s="1" t="n">
        <v>45978.36157407407</v>
      </c>
      <c r="C487" s="1" t="n">
        <v>45982</v>
      </c>
      <c r="D487" t="inlineStr">
        <is>
          <t>UPPSALA LÄN</t>
        </is>
      </c>
      <c r="E487" t="inlineStr">
        <is>
          <t>ÖSTHAMMAR</t>
        </is>
      </c>
      <c r="G487" t="n">
        <v>2.6</v>
      </c>
      <c r="H487" t="n">
        <v>0</v>
      </c>
      <c r="I487" t="n">
        <v>0</v>
      </c>
      <c r="J487" t="n">
        <v>0</v>
      </c>
      <c r="K487" t="n">
        <v>0</v>
      </c>
      <c r="L487" t="n">
        <v>0</v>
      </c>
      <c r="M487" t="n">
        <v>0</v>
      </c>
      <c r="N487" t="n">
        <v>0</v>
      </c>
      <c r="O487" t="n">
        <v>0</v>
      </c>
      <c r="P487" t="n">
        <v>0</v>
      </c>
      <c r="Q487" t="n">
        <v>0</v>
      </c>
      <c r="R487" s="2" t="inlineStr"/>
    </row>
    <row r="488" ht="15" customHeight="1">
      <c r="A488" t="inlineStr">
        <is>
          <t>A 48654-2025</t>
        </is>
      </c>
      <c r="B488" s="1" t="n">
        <v>45936.55887731481</v>
      </c>
      <c r="C488" s="1" t="n">
        <v>45982</v>
      </c>
      <c r="D488" t="inlineStr">
        <is>
          <t>UPPSALA LÄN</t>
        </is>
      </c>
      <c r="E488" t="inlineStr">
        <is>
          <t>ÖSTHAMMAR</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57156-2025</t>
        </is>
      </c>
      <c r="B489" s="1" t="n">
        <v>45979.51591435185</v>
      </c>
      <c r="C489" s="1" t="n">
        <v>45982</v>
      </c>
      <c r="D489" t="inlineStr">
        <is>
          <t>UPPSALA LÄN</t>
        </is>
      </c>
      <c r="E489" t="inlineStr">
        <is>
          <t>ÖSTHAMMAR</t>
        </is>
      </c>
      <c r="G489" t="n">
        <v>1.8</v>
      </c>
      <c r="H489" t="n">
        <v>0</v>
      </c>
      <c r="I489" t="n">
        <v>0</v>
      </c>
      <c r="J489" t="n">
        <v>0</v>
      </c>
      <c r="K489" t="n">
        <v>0</v>
      </c>
      <c r="L489" t="n">
        <v>0</v>
      </c>
      <c r="M489" t="n">
        <v>0</v>
      </c>
      <c r="N489" t="n">
        <v>0</v>
      </c>
      <c r="O489" t="n">
        <v>0</v>
      </c>
      <c r="P489" t="n">
        <v>0</v>
      </c>
      <c r="Q489" t="n">
        <v>0</v>
      </c>
      <c r="R489" s="2" t="inlineStr"/>
    </row>
    <row r="490" ht="15" customHeight="1">
      <c r="A490" t="inlineStr">
        <is>
          <t>A 57154-2025</t>
        </is>
      </c>
      <c r="B490" s="1" t="n">
        <v>45979.51086805556</v>
      </c>
      <c r="C490" s="1" t="n">
        <v>45982</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5344-2025</t>
        </is>
      </c>
      <c r="B491" s="1" t="n">
        <v>45692</v>
      </c>
      <c r="C491" s="1" t="n">
        <v>45982</v>
      </c>
      <c r="D491" t="inlineStr">
        <is>
          <t>UPPSALA LÄN</t>
        </is>
      </c>
      <c r="E491" t="inlineStr">
        <is>
          <t>ÖSTHAMMAR</t>
        </is>
      </c>
      <c r="F491" t="inlineStr">
        <is>
          <t>Bergvik skog öst AB</t>
        </is>
      </c>
      <c r="G491" t="n">
        <v>3.2</v>
      </c>
      <c r="H491" t="n">
        <v>0</v>
      </c>
      <c r="I491" t="n">
        <v>0</v>
      </c>
      <c r="J491" t="n">
        <v>0</v>
      </c>
      <c r="K491" t="n">
        <v>0</v>
      </c>
      <c r="L491" t="n">
        <v>0</v>
      </c>
      <c r="M491" t="n">
        <v>0</v>
      </c>
      <c r="N491" t="n">
        <v>0</v>
      </c>
      <c r="O491" t="n">
        <v>0</v>
      </c>
      <c r="P491" t="n">
        <v>0</v>
      </c>
      <c r="Q491" t="n">
        <v>0</v>
      </c>
      <c r="R491" s="2" t="inlineStr"/>
    </row>
    <row r="492" ht="15" customHeight="1">
      <c r="A492" t="inlineStr">
        <is>
          <t>A 48977-2025</t>
        </is>
      </c>
      <c r="B492" s="1" t="n">
        <v>45936</v>
      </c>
      <c r="C492" s="1" t="n">
        <v>45982</v>
      </c>
      <c r="D492" t="inlineStr">
        <is>
          <t>UPPSALA LÄN</t>
        </is>
      </c>
      <c r="E492" t="inlineStr">
        <is>
          <t>ÖSTHAMMAR</t>
        </is>
      </c>
      <c r="G492" t="n">
        <v>21.1</v>
      </c>
      <c r="H492" t="n">
        <v>0</v>
      </c>
      <c r="I492" t="n">
        <v>0</v>
      </c>
      <c r="J492" t="n">
        <v>0</v>
      </c>
      <c r="K492" t="n">
        <v>0</v>
      </c>
      <c r="L492" t="n">
        <v>0</v>
      </c>
      <c r="M492" t="n">
        <v>0</v>
      </c>
      <c r="N492" t="n">
        <v>0</v>
      </c>
      <c r="O492" t="n">
        <v>0</v>
      </c>
      <c r="P492" t="n">
        <v>0</v>
      </c>
      <c r="Q492" t="n">
        <v>0</v>
      </c>
      <c r="R492" s="2" t="inlineStr"/>
    </row>
    <row r="493" ht="15" customHeight="1">
      <c r="A493" t="inlineStr">
        <is>
          <t>A 57248-2025</t>
        </is>
      </c>
      <c r="B493" s="1" t="n">
        <v>45979.635625</v>
      </c>
      <c r="C493" s="1" t="n">
        <v>45982</v>
      </c>
      <c r="D493" t="inlineStr">
        <is>
          <t>UPPSALA LÄN</t>
        </is>
      </c>
      <c r="E493" t="inlineStr">
        <is>
          <t>ÖSTHAMMAR</t>
        </is>
      </c>
      <c r="F493" t="inlineStr">
        <is>
          <t>Bergvik skog öst AB</t>
        </is>
      </c>
      <c r="G493" t="n">
        <v>2.8</v>
      </c>
      <c r="H493" t="n">
        <v>0</v>
      </c>
      <c r="I493" t="n">
        <v>0</v>
      </c>
      <c r="J493" t="n">
        <v>0</v>
      </c>
      <c r="K493" t="n">
        <v>0</v>
      </c>
      <c r="L493" t="n">
        <v>0</v>
      </c>
      <c r="M493" t="n">
        <v>0</v>
      </c>
      <c r="N493" t="n">
        <v>0</v>
      </c>
      <c r="O493" t="n">
        <v>0</v>
      </c>
      <c r="P493" t="n">
        <v>0</v>
      </c>
      <c r="Q493" t="n">
        <v>0</v>
      </c>
      <c r="R493" s="2" t="inlineStr"/>
    </row>
    <row r="494" ht="15" customHeight="1">
      <c r="A494" t="inlineStr">
        <is>
          <t>A 5429-2023</t>
        </is>
      </c>
      <c r="B494" s="1" t="n">
        <v>44959.83037037037</v>
      </c>
      <c r="C494" s="1" t="n">
        <v>45982</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11008-2023</t>
        </is>
      </c>
      <c r="B495" s="1" t="n">
        <v>44991</v>
      </c>
      <c r="C495" s="1" t="n">
        <v>45982</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56757-2025</t>
        </is>
      </c>
      <c r="B496" s="1" t="n">
        <v>45978.37162037037</v>
      </c>
      <c r="C496" s="1" t="n">
        <v>45982</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60047-2021</t>
        </is>
      </c>
      <c r="B497" s="1" t="n">
        <v>44495</v>
      </c>
      <c r="C497" s="1" t="n">
        <v>45982</v>
      </c>
      <c r="D497" t="inlineStr">
        <is>
          <t>UPPSALA LÄN</t>
        </is>
      </c>
      <c r="E497" t="inlineStr">
        <is>
          <t>ÖSTHAMMAR</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56823-2025</t>
        </is>
      </c>
      <c r="B498" s="1" t="n">
        <v>45978.46484953703</v>
      </c>
      <c r="C498" s="1" t="n">
        <v>45982</v>
      </c>
      <c r="D498" t="inlineStr">
        <is>
          <t>UPPSALA LÄN</t>
        </is>
      </c>
      <c r="E498" t="inlineStr">
        <is>
          <t>ÖSTHAMMAR</t>
        </is>
      </c>
      <c r="G498" t="n">
        <v>0.1</v>
      </c>
      <c r="H498" t="n">
        <v>0</v>
      </c>
      <c r="I498" t="n">
        <v>0</v>
      </c>
      <c r="J498" t="n">
        <v>0</v>
      </c>
      <c r="K498" t="n">
        <v>0</v>
      </c>
      <c r="L498" t="n">
        <v>0</v>
      </c>
      <c r="M498" t="n">
        <v>0</v>
      </c>
      <c r="N498" t="n">
        <v>0</v>
      </c>
      <c r="O498" t="n">
        <v>0</v>
      </c>
      <c r="P498" t="n">
        <v>0</v>
      </c>
      <c r="Q498" t="n">
        <v>0</v>
      </c>
      <c r="R498" s="2" t="inlineStr"/>
    </row>
    <row r="499" ht="15" customHeight="1">
      <c r="A499" t="inlineStr">
        <is>
          <t>A 8623-2025</t>
        </is>
      </c>
      <c r="B499" s="1" t="n">
        <v>45711.51902777778</v>
      </c>
      <c r="C499" s="1" t="n">
        <v>45982</v>
      </c>
      <c r="D499" t="inlineStr">
        <is>
          <t>UPPSALA LÄN</t>
        </is>
      </c>
      <c r="E499" t="inlineStr">
        <is>
          <t>ÖSTHAMMAR</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8626-2025</t>
        </is>
      </c>
      <c r="B500" s="1" t="n">
        <v>45711.53565972222</v>
      </c>
      <c r="C500" s="1" t="n">
        <v>45982</v>
      </c>
      <c r="D500" t="inlineStr">
        <is>
          <t>UPPSALA LÄN</t>
        </is>
      </c>
      <c r="E500" t="inlineStr">
        <is>
          <t>ÖSTHAMMAR</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45982</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56753-2025</t>
        </is>
      </c>
      <c r="B502" s="1" t="n">
        <v>45978.36677083333</v>
      </c>
      <c r="C502" s="1" t="n">
        <v>45982</v>
      </c>
      <c r="D502" t="inlineStr">
        <is>
          <t>UPPSALA LÄN</t>
        </is>
      </c>
      <c r="E502" t="inlineStr">
        <is>
          <t>ÖSTHAMMAR</t>
        </is>
      </c>
      <c r="F502" t="inlineStr">
        <is>
          <t>Sveaskog</t>
        </is>
      </c>
      <c r="G502" t="n">
        <v>8.6</v>
      </c>
      <c r="H502" t="n">
        <v>0</v>
      </c>
      <c r="I502" t="n">
        <v>0</v>
      </c>
      <c r="J502" t="n">
        <v>0</v>
      </c>
      <c r="K502" t="n">
        <v>0</v>
      </c>
      <c r="L502" t="n">
        <v>0</v>
      </c>
      <c r="M502" t="n">
        <v>0</v>
      </c>
      <c r="N502" t="n">
        <v>0</v>
      </c>
      <c r="O502" t="n">
        <v>0</v>
      </c>
      <c r="P502" t="n">
        <v>0</v>
      </c>
      <c r="Q502" t="n">
        <v>0</v>
      </c>
      <c r="R502" s="2" t="inlineStr"/>
    </row>
    <row r="503" ht="15" customHeight="1">
      <c r="A503" t="inlineStr">
        <is>
          <t>A 3514-2023</t>
        </is>
      </c>
      <c r="B503" s="1" t="n">
        <v>44950</v>
      </c>
      <c r="C503" s="1" t="n">
        <v>45982</v>
      </c>
      <c r="D503" t="inlineStr">
        <is>
          <t>UPPSALA LÄN</t>
        </is>
      </c>
      <c r="E503" t="inlineStr">
        <is>
          <t>ÖSTHAMMAR</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57257-2025</t>
        </is>
      </c>
      <c r="B504" s="1" t="n">
        <v>45979.65149305556</v>
      </c>
      <c r="C504" s="1" t="n">
        <v>45982</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56682-2025</t>
        </is>
      </c>
      <c r="B505" s="1" t="n">
        <v>45975</v>
      </c>
      <c r="C505" s="1" t="n">
        <v>45982</v>
      </c>
      <c r="D505" t="inlineStr">
        <is>
          <t>UPPSALA LÄN</t>
        </is>
      </c>
      <c r="E505" t="inlineStr">
        <is>
          <t>ÖSTHAMMAR</t>
        </is>
      </c>
      <c r="G505" t="n">
        <v>3.9</v>
      </c>
      <c r="H505" t="n">
        <v>0</v>
      </c>
      <c r="I505" t="n">
        <v>0</v>
      </c>
      <c r="J505" t="n">
        <v>0</v>
      </c>
      <c r="K505" t="n">
        <v>0</v>
      </c>
      <c r="L505" t="n">
        <v>0</v>
      </c>
      <c r="M505" t="n">
        <v>0</v>
      </c>
      <c r="N505" t="n">
        <v>0</v>
      </c>
      <c r="O505" t="n">
        <v>0</v>
      </c>
      <c r="P505" t="n">
        <v>0</v>
      </c>
      <c r="Q505" t="n">
        <v>0</v>
      </c>
      <c r="R505" s="2" t="inlineStr"/>
    </row>
    <row r="506" ht="15" customHeight="1">
      <c r="A506" t="inlineStr">
        <is>
          <t>A 56942-2025</t>
        </is>
      </c>
      <c r="B506" s="1" t="n">
        <v>45978.62611111111</v>
      </c>
      <c r="C506" s="1" t="n">
        <v>45982</v>
      </c>
      <c r="D506" t="inlineStr">
        <is>
          <t>UPPSALA LÄN</t>
        </is>
      </c>
      <c r="E506" t="inlineStr">
        <is>
          <t>ÖSTHAMMAR</t>
        </is>
      </c>
      <c r="G506" t="n">
        <v>3.2</v>
      </c>
      <c r="H506" t="n">
        <v>0</v>
      </c>
      <c r="I506" t="n">
        <v>0</v>
      </c>
      <c r="J506" t="n">
        <v>0</v>
      </c>
      <c r="K506" t="n">
        <v>0</v>
      </c>
      <c r="L506" t="n">
        <v>0</v>
      </c>
      <c r="M506" t="n">
        <v>0</v>
      </c>
      <c r="N506" t="n">
        <v>0</v>
      </c>
      <c r="O506" t="n">
        <v>0</v>
      </c>
      <c r="P506" t="n">
        <v>0</v>
      </c>
      <c r="Q506" t="n">
        <v>0</v>
      </c>
      <c r="R506" s="2" t="inlineStr"/>
    </row>
    <row r="507" ht="15" customHeight="1">
      <c r="A507" t="inlineStr">
        <is>
          <t>A 24128-2023</t>
        </is>
      </c>
      <c r="B507" s="1" t="n">
        <v>45079.50289351852</v>
      </c>
      <c r="C507" s="1" t="n">
        <v>45982</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33552-2024</t>
        </is>
      </c>
      <c r="B508" s="1" t="n">
        <v>45519</v>
      </c>
      <c r="C508" s="1" t="n">
        <v>45982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33553-2024</t>
        </is>
      </c>
      <c r="B509" s="1" t="n">
        <v>45519</v>
      </c>
      <c r="C509" s="1" t="n">
        <v>45982</v>
      </c>
      <c r="D509" t="inlineStr">
        <is>
          <t>UPPSALA LÄN</t>
        </is>
      </c>
      <c r="E509" t="inlineStr">
        <is>
          <t>ÖSTHAMMAR</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56754-2025</t>
        </is>
      </c>
      <c r="B510" s="1" t="n">
        <v>45978.36700231482</v>
      </c>
      <c r="C510" s="1" t="n">
        <v>45982</v>
      </c>
      <c r="D510" t="inlineStr">
        <is>
          <t>UPPSALA LÄN</t>
        </is>
      </c>
      <c r="E510" t="inlineStr">
        <is>
          <t>ÖSTHAMMAR</t>
        </is>
      </c>
      <c r="G510" t="n">
        <v>0.9</v>
      </c>
      <c r="H510" t="n">
        <v>0</v>
      </c>
      <c r="I510" t="n">
        <v>0</v>
      </c>
      <c r="J510" t="n">
        <v>0</v>
      </c>
      <c r="K510" t="n">
        <v>0</v>
      </c>
      <c r="L510" t="n">
        <v>0</v>
      </c>
      <c r="M510" t="n">
        <v>0</v>
      </c>
      <c r="N510" t="n">
        <v>0</v>
      </c>
      <c r="O510" t="n">
        <v>0</v>
      </c>
      <c r="P510" t="n">
        <v>0</v>
      </c>
      <c r="Q510" t="n">
        <v>0</v>
      </c>
      <c r="R510" s="2" t="inlineStr"/>
    </row>
    <row r="511" ht="15" customHeight="1">
      <c r="A511" t="inlineStr">
        <is>
          <t>A 24181-2022</t>
        </is>
      </c>
      <c r="B511" s="1" t="n">
        <v>44725</v>
      </c>
      <c r="C511" s="1" t="n">
        <v>45982</v>
      </c>
      <c r="D511" t="inlineStr">
        <is>
          <t>UPPSALA LÄN</t>
        </is>
      </c>
      <c r="E511" t="inlineStr">
        <is>
          <t>ÖSTHAMMAR</t>
        </is>
      </c>
      <c r="G511" t="n">
        <v>1.4</v>
      </c>
      <c r="H511" t="n">
        <v>0</v>
      </c>
      <c r="I511" t="n">
        <v>0</v>
      </c>
      <c r="J511" t="n">
        <v>0</v>
      </c>
      <c r="K511" t="n">
        <v>0</v>
      </c>
      <c r="L511" t="n">
        <v>0</v>
      </c>
      <c r="M511" t="n">
        <v>0</v>
      </c>
      <c r="N511" t="n">
        <v>0</v>
      </c>
      <c r="O511" t="n">
        <v>0</v>
      </c>
      <c r="P511" t="n">
        <v>0</v>
      </c>
      <c r="Q511" t="n">
        <v>0</v>
      </c>
      <c r="R511" s="2" t="inlineStr"/>
    </row>
    <row r="512" ht="15" customHeight="1">
      <c r="A512" t="inlineStr">
        <is>
          <t>A 48857-2025</t>
        </is>
      </c>
      <c r="B512" s="1" t="n">
        <v>45937.43621527778</v>
      </c>
      <c r="C512" s="1" t="n">
        <v>45982</v>
      </c>
      <c r="D512" t="inlineStr">
        <is>
          <t>UPPSALA LÄN</t>
        </is>
      </c>
      <c r="E512" t="inlineStr">
        <is>
          <t>ÖSTHAMMAR</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19947-2024</t>
        </is>
      </c>
      <c r="B513" s="1" t="n">
        <v>45433</v>
      </c>
      <c r="C513" s="1" t="n">
        <v>45982</v>
      </c>
      <c r="D513" t="inlineStr">
        <is>
          <t>UPPSALA LÄN</t>
        </is>
      </c>
      <c r="E513" t="inlineStr">
        <is>
          <t>ÖSTHAMMAR</t>
        </is>
      </c>
      <c r="G513" t="n">
        <v>0.3</v>
      </c>
      <c r="H513" t="n">
        <v>0</v>
      </c>
      <c r="I513" t="n">
        <v>0</v>
      </c>
      <c r="J513" t="n">
        <v>0</v>
      </c>
      <c r="K513" t="n">
        <v>0</v>
      </c>
      <c r="L513" t="n">
        <v>0</v>
      </c>
      <c r="M513" t="n">
        <v>0</v>
      </c>
      <c r="N513" t="n">
        <v>0</v>
      </c>
      <c r="O513" t="n">
        <v>0</v>
      </c>
      <c r="P513" t="n">
        <v>0</v>
      </c>
      <c r="Q513" t="n">
        <v>0</v>
      </c>
      <c r="R513" s="2" t="inlineStr"/>
    </row>
    <row r="514" ht="15" customHeight="1">
      <c r="A514" t="inlineStr">
        <is>
          <t>A 16240-2025</t>
        </is>
      </c>
      <c r="B514" s="1" t="n">
        <v>45746</v>
      </c>
      <c r="C514" s="1" t="n">
        <v>45982</v>
      </c>
      <c r="D514" t="inlineStr">
        <is>
          <t>UPPSALA LÄN</t>
        </is>
      </c>
      <c r="E514" t="inlineStr">
        <is>
          <t>ÖSTHAMMAR</t>
        </is>
      </c>
      <c r="G514" t="n">
        <v>1.4</v>
      </c>
      <c r="H514" t="n">
        <v>0</v>
      </c>
      <c r="I514" t="n">
        <v>0</v>
      </c>
      <c r="J514" t="n">
        <v>0</v>
      </c>
      <c r="K514" t="n">
        <v>0</v>
      </c>
      <c r="L514" t="n">
        <v>0</v>
      </c>
      <c r="M514" t="n">
        <v>0</v>
      </c>
      <c r="N514" t="n">
        <v>0</v>
      </c>
      <c r="O514" t="n">
        <v>0</v>
      </c>
      <c r="P514" t="n">
        <v>0</v>
      </c>
      <c r="Q514" t="n">
        <v>0</v>
      </c>
      <c r="R514" s="2" t="inlineStr"/>
    </row>
    <row r="515" ht="15" customHeight="1">
      <c r="A515" t="inlineStr">
        <is>
          <t>A 57-2023</t>
        </is>
      </c>
      <c r="B515" s="1" t="n">
        <v>44928.40917824074</v>
      </c>
      <c r="C515" s="1" t="n">
        <v>45982</v>
      </c>
      <c r="D515" t="inlineStr">
        <is>
          <t>UPPSALA LÄN</t>
        </is>
      </c>
      <c r="E515" t="inlineStr">
        <is>
          <t>ÖSTHAMMAR</t>
        </is>
      </c>
      <c r="G515" t="n">
        <v>1.1</v>
      </c>
      <c r="H515" t="n">
        <v>0</v>
      </c>
      <c r="I515" t="n">
        <v>0</v>
      </c>
      <c r="J515" t="n">
        <v>0</v>
      </c>
      <c r="K515" t="n">
        <v>0</v>
      </c>
      <c r="L515" t="n">
        <v>0</v>
      </c>
      <c r="M515" t="n">
        <v>0</v>
      </c>
      <c r="N515" t="n">
        <v>0</v>
      </c>
      <c r="O515" t="n">
        <v>0</v>
      </c>
      <c r="P515" t="n">
        <v>0</v>
      </c>
      <c r="Q515" t="n">
        <v>0</v>
      </c>
      <c r="R515" s="2" t="inlineStr"/>
    </row>
    <row r="516" ht="15" customHeight="1">
      <c r="A516" t="inlineStr">
        <is>
          <t>A 59-2023</t>
        </is>
      </c>
      <c r="B516" s="1" t="n">
        <v>44928.41822916667</v>
      </c>
      <c r="C516" s="1" t="n">
        <v>45982</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55079-2024</t>
        </is>
      </c>
      <c r="B517" s="1" t="n">
        <v>45621.42747685185</v>
      </c>
      <c r="C517" s="1" t="n">
        <v>45982</v>
      </c>
      <c r="D517" t="inlineStr">
        <is>
          <t>UPPSALA LÄN</t>
        </is>
      </c>
      <c r="E517" t="inlineStr">
        <is>
          <t>ÖSTHAMMAR</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57908-2025</t>
        </is>
      </c>
      <c r="B518" s="1" t="n">
        <v>45981.78886574074</v>
      </c>
      <c r="C518" s="1" t="n">
        <v>45982</v>
      </c>
      <c r="D518" t="inlineStr">
        <is>
          <t>UPPSALA LÄN</t>
        </is>
      </c>
      <c r="E518" t="inlineStr">
        <is>
          <t>ÖSTHAMMAR</t>
        </is>
      </c>
      <c r="F518" t="inlineStr">
        <is>
          <t>Bergvik skog öst AB</t>
        </is>
      </c>
      <c r="G518" t="n">
        <v>2</v>
      </c>
      <c r="H518" t="n">
        <v>0</v>
      </c>
      <c r="I518" t="n">
        <v>0</v>
      </c>
      <c r="J518" t="n">
        <v>0</v>
      </c>
      <c r="K518" t="n">
        <v>0</v>
      </c>
      <c r="L518" t="n">
        <v>0</v>
      </c>
      <c r="M518" t="n">
        <v>0</v>
      </c>
      <c r="N518" t="n">
        <v>0</v>
      </c>
      <c r="O518" t="n">
        <v>0</v>
      </c>
      <c r="P518" t="n">
        <v>0</v>
      </c>
      <c r="Q518" t="n">
        <v>0</v>
      </c>
      <c r="R518" s="2" t="inlineStr"/>
    </row>
    <row r="519" ht="15" customHeight="1">
      <c r="A519" t="inlineStr">
        <is>
          <t>A 33680-2024</t>
        </is>
      </c>
      <c r="B519" s="1" t="n">
        <v>45520.50712962963</v>
      </c>
      <c r="C519" s="1" t="n">
        <v>45982</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26328-2025</t>
        </is>
      </c>
      <c r="B520" s="1" t="n">
        <v>45805.67305555556</v>
      </c>
      <c r="C520" s="1" t="n">
        <v>45982</v>
      </c>
      <c r="D520" t="inlineStr">
        <is>
          <t>UPPSALA LÄN</t>
        </is>
      </c>
      <c r="E520" t="inlineStr">
        <is>
          <t>ÖSTHAMMAR</t>
        </is>
      </c>
      <c r="G520" t="n">
        <v>1.6</v>
      </c>
      <c r="H520" t="n">
        <v>0</v>
      </c>
      <c r="I520" t="n">
        <v>0</v>
      </c>
      <c r="J520" t="n">
        <v>0</v>
      </c>
      <c r="K520" t="n">
        <v>0</v>
      </c>
      <c r="L520" t="n">
        <v>0</v>
      </c>
      <c r="M520" t="n">
        <v>0</v>
      </c>
      <c r="N520" t="n">
        <v>0</v>
      </c>
      <c r="O520" t="n">
        <v>0</v>
      </c>
      <c r="P520" t="n">
        <v>0</v>
      </c>
      <c r="Q520" t="n">
        <v>0</v>
      </c>
      <c r="R520" s="2" t="inlineStr"/>
    </row>
    <row r="521" ht="15" customHeight="1">
      <c r="A521" t="inlineStr">
        <is>
          <t>A 48854-2025</t>
        </is>
      </c>
      <c r="B521" s="1" t="n">
        <v>45937.43274305556</v>
      </c>
      <c r="C521" s="1" t="n">
        <v>45982</v>
      </c>
      <c r="D521" t="inlineStr">
        <is>
          <t>UPPSALA LÄN</t>
        </is>
      </c>
      <c r="E521" t="inlineStr">
        <is>
          <t>ÖSTHAMMAR</t>
        </is>
      </c>
      <c r="F521" t="inlineStr">
        <is>
          <t>Övriga Aktiebolag</t>
        </is>
      </c>
      <c r="G521" t="n">
        <v>18.9</v>
      </c>
      <c r="H521" t="n">
        <v>0</v>
      </c>
      <c r="I521" t="n">
        <v>0</v>
      </c>
      <c r="J521" t="n">
        <v>0</v>
      </c>
      <c r="K521" t="n">
        <v>0</v>
      </c>
      <c r="L521" t="n">
        <v>0</v>
      </c>
      <c r="M521" t="n">
        <v>0</v>
      </c>
      <c r="N521" t="n">
        <v>0</v>
      </c>
      <c r="O521" t="n">
        <v>0</v>
      </c>
      <c r="P521" t="n">
        <v>0</v>
      </c>
      <c r="Q521" t="n">
        <v>0</v>
      </c>
      <c r="R521" s="2" t="inlineStr"/>
    </row>
    <row r="522" ht="15" customHeight="1">
      <c r="A522" t="inlineStr">
        <is>
          <t>A 33550-2024</t>
        </is>
      </c>
      <c r="B522" s="1" t="n">
        <v>45519.81043981481</v>
      </c>
      <c r="C522" s="1" t="n">
        <v>45982</v>
      </c>
      <c r="D522" t="inlineStr">
        <is>
          <t>UPPSALA LÄN</t>
        </is>
      </c>
      <c r="E522" t="inlineStr">
        <is>
          <t>ÖSTHAMMAR</t>
        </is>
      </c>
      <c r="F522" t="inlineStr">
        <is>
          <t>Bergvik skog öst AB</t>
        </is>
      </c>
      <c r="G522" t="n">
        <v>1.8</v>
      </c>
      <c r="H522" t="n">
        <v>0</v>
      </c>
      <c r="I522" t="n">
        <v>0</v>
      </c>
      <c r="J522" t="n">
        <v>0</v>
      </c>
      <c r="K522" t="n">
        <v>0</v>
      </c>
      <c r="L522" t="n">
        <v>0</v>
      </c>
      <c r="M522" t="n">
        <v>0</v>
      </c>
      <c r="N522" t="n">
        <v>0</v>
      </c>
      <c r="O522" t="n">
        <v>0</v>
      </c>
      <c r="P522" t="n">
        <v>0</v>
      </c>
      <c r="Q522" t="n">
        <v>0</v>
      </c>
      <c r="R522" s="2" t="inlineStr"/>
    </row>
    <row r="523" ht="15" customHeight="1">
      <c r="A523" t="inlineStr">
        <is>
          <t>A 49620-2025</t>
        </is>
      </c>
      <c r="B523" s="1" t="n">
        <v>45939.58928240741</v>
      </c>
      <c r="C523" s="1" t="n">
        <v>45982</v>
      </c>
      <c r="D523" t="inlineStr">
        <is>
          <t>UPPSALA LÄN</t>
        </is>
      </c>
      <c r="E523" t="inlineStr">
        <is>
          <t>ÖSTHAMMAR</t>
        </is>
      </c>
      <c r="G523" t="n">
        <v>1.5</v>
      </c>
      <c r="H523" t="n">
        <v>0</v>
      </c>
      <c r="I523" t="n">
        <v>0</v>
      </c>
      <c r="J523" t="n">
        <v>0</v>
      </c>
      <c r="K523" t="n">
        <v>0</v>
      </c>
      <c r="L523" t="n">
        <v>0</v>
      </c>
      <c r="M523" t="n">
        <v>0</v>
      </c>
      <c r="N523" t="n">
        <v>0</v>
      </c>
      <c r="O523" t="n">
        <v>0</v>
      </c>
      <c r="P523" t="n">
        <v>0</v>
      </c>
      <c r="Q523" t="n">
        <v>0</v>
      </c>
      <c r="R523" s="2" t="inlineStr"/>
    </row>
    <row r="524" ht="15" customHeight="1">
      <c r="A524" t="inlineStr">
        <is>
          <t>A 30811-2023</t>
        </is>
      </c>
      <c r="B524" s="1" t="n">
        <v>45112.86422453704</v>
      </c>
      <c r="C524" s="1" t="n">
        <v>45982</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55646-2021</t>
        </is>
      </c>
      <c r="B525" s="1" t="n">
        <v>44476.3632175926</v>
      </c>
      <c r="C525" s="1" t="n">
        <v>45982</v>
      </c>
      <c r="D525" t="inlineStr">
        <is>
          <t>UPPSALA LÄN</t>
        </is>
      </c>
      <c r="E525" t="inlineStr">
        <is>
          <t>ÖSTHAMMAR</t>
        </is>
      </c>
      <c r="F525" t="inlineStr">
        <is>
          <t>Bergvik skog öst AB</t>
        </is>
      </c>
      <c r="G525" t="n">
        <v>0.2</v>
      </c>
      <c r="H525" t="n">
        <v>0</v>
      </c>
      <c r="I525" t="n">
        <v>0</v>
      </c>
      <c r="J525" t="n">
        <v>0</v>
      </c>
      <c r="K525" t="n">
        <v>0</v>
      </c>
      <c r="L525" t="n">
        <v>0</v>
      </c>
      <c r="M525" t="n">
        <v>0</v>
      </c>
      <c r="N525" t="n">
        <v>0</v>
      </c>
      <c r="O525" t="n">
        <v>0</v>
      </c>
      <c r="P525" t="n">
        <v>0</v>
      </c>
      <c r="Q525" t="n">
        <v>0</v>
      </c>
      <c r="R525" s="2" t="inlineStr"/>
    </row>
    <row r="526" ht="15" customHeight="1">
      <c r="A526" t="inlineStr">
        <is>
          <t>A 61443-2024</t>
        </is>
      </c>
      <c r="B526" s="1" t="n">
        <v>45646.47936342593</v>
      </c>
      <c r="C526" s="1" t="n">
        <v>45982</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47020-2025</t>
        </is>
      </c>
      <c r="B527" s="1" t="n">
        <v>45929.5775</v>
      </c>
      <c r="C527" s="1" t="n">
        <v>45982</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13279-2022</t>
        </is>
      </c>
      <c r="B528" s="1" t="n">
        <v>44644</v>
      </c>
      <c r="C528" s="1" t="n">
        <v>45982</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6046-2025</t>
        </is>
      </c>
      <c r="B529" s="1" t="n">
        <v>45695</v>
      </c>
      <c r="C529" s="1" t="n">
        <v>45982</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c r="U529">
        <f>HYPERLINK("https://klasma.github.io/Logging_0382/knärot/A 6046-2025 karta knärot.png", "A 6046-2025")</f>
        <v/>
      </c>
      <c r="V529">
        <f>HYPERLINK("https://klasma.github.io/Logging_0382/klagomål/A 6046-2025 FSC-klagomål.docx", "A 6046-2025")</f>
        <v/>
      </c>
      <c r="W529">
        <f>HYPERLINK("https://klasma.github.io/Logging_0382/klagomålsmail/A 6046-2025 FSC-klagomål mail.docx", "A 6046-2025")</f>
        <v/>
      </c>
      <c r="X529">
        <f>HYPERLINK("https://klasma.github.io/Logging_0382/tillsyn/A 6046-2025 tillsynsbegäran.docx", "A 6046-2025")</f>
        <v/>
      </c>
      <c r="Y529">
        <f>HYPERLINK("https://klasma.github.io/Logging_0382/tillsynsmail/A 6046-2025 tillsynsbegäran mail.docx", "A 6046-2025")</f>
        <v/>
      </c>
    </row>
    <row r="530" ht="15" customHeight="1">
      <c r="A530" t="inlineStr">
        <is>
          <t>A 57907-2025</t>
        </is>
      </c>
      <c r="B530" s="1" t="n">
        <v>45981.78840277778</v>
      </c>
      <c r="C530" s="1" t="n">
        <v>45982</v>
      </c>
      <c r="D530" t="inlineStr">
        <is>
          <t>UPPSALA LÄN</t>
        </is>
      </c>
      <c r="E530" t="inlineStr">
        <is>
          <t>ÖSTHAMMAR</t>
        </is>
      </c>
      <c r="F530" t="inlineStr">
        <is>
          <t>Bergvik skog öst AB</t>
        </is>
      </c>
      <c r="G530" t="n">
        <v>2.9</v>
      </c>
      <c r="H530" t="n">
        <v>0</v>
      </c>
      <c r="I530" t="n">
        <v>0</v>
      </c>
      <c r="J530" t="n">
        <v>0</v>
      </c>
      <c r="K530" t="n">
        <v>0</v>
      </c>
      <c r="L530" t="n">
        <v>0</v>
      </c>
      <c r="M530" t="n">
        <v>0</v>
      </c>
      <c r="N530" t="n">
        <v>0</v>
      </c>
      <c r="O530" t="n">
        <v>0</v>
      </c>
      <c r="P530" t="n">
        <v>0</v>
      </c>
      <c r="Q530" t="n">
        <v>0</v>
      </c>
      <c r="R530" s="2" t="inlineStr"/>
    </row>
    <row r="531" ht="15" customHeight="1">
      <c r="A531" t="inlineStr">
        <is>
          <t>A 45102-2024</t>
        </is>
      </c>
      <c r="B531" s="1" t="n">
        <v>45575.58836805556</v>
      </c>
      <c r="C531" s="1" t="n">
        <v>45982</v>
      </c>
      <c r="D531" t="inlineStr">
        <is>
          <t>UPPSALA LÄN</t>
        </is>
      </c>
      <c r="E531" t="inlineStr">
        <is>
          <t>ÖSTHAMMAR</t>
        </is>
      </c>
      <c r="G531" t="n">
        <v>8.6</v>
      </c>
      <c r="H531" t="n">
        <v>0</v>
      </c>
      <c r="I531" t="n">
        <v>0</v>
      </c>
      <c r="J531" t="n">
        <v>0</v>
      </c>
      <c r="K531" t="n">
        <v>0</v>
      </c>
      <c r="L531" t="n">
        <v>0</v>
      </c>
      <c r="M531" t="n">
        <v>0</v>
      </c>
      <c r="N531" t="n">
        <v>0</v>
      </c>
      <c r="O531" t="n">
        <v>0</v>
      </c>
      <c r="P531" t="n">
        <v>0</v>
      </c>
      <c r="Q531" t="n">
        <v>0</v>
      </c>
      <c r="R531" s="2" t="inlineStr"/>
    </row>
    <row r="532" ht="15" customHeight="1">
      <c r="A532" t="inlineStr">
        <is>
          <t>A 51379-2025</t>
        </is>
      </c>
      <c r="B532" s="1" t="n">
        <v>45950.45677083333</v>
      </c>
      <c r="C532" s="1" t="n">
        <v>45982</v>
      </c>
      <c r="D532" t="inlineStr">
        <is>
          <t>UPPSALA LÄN</t>
        </is>
      </c>
      <c r="E532" t="inlineStr">
        <is>
          <t>ÖSTHAMMAR</t>
        </is>
      </c>
      <c r="G532" t="n">
        <v>2.1</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45982</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11385-2024</t>
        </is>
      </c>
      <c r="B534" s="1" t="n">
        <v>45372</v>
      </c>
      <c r="C534" s="1" t="n">
        <v>45982</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9642-2024</t>
        </is>
      </c>
      <c r="B535" s="1" t="n">
        <v>45362.36296296296</v>
      </c>
      <c r="C535" s="1" t="n">
        <v>45982</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18401-2025</t>
        </is>
      </c>
      <c r="B536" s="1" t="n">
        <v>45762.5966087963</v>
      </c>
      <c r="C536" s="1" t="n">
        <v>45982</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28429-2023</t>
        </is>
      </c>
      <c r="B537" s="1" t="n">
        <v>45102.58728009259</v>
      </c>
      <c r="C537" s="1" t="n">
        <v>45982</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58878-2022</t>
        </is>
      </c>
      <c r="B538" s="1" t="n">
        <v>44903</v>
      </c>
      <c r="C538" s="1" t="n">
        <v>45982</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30755-2024</t>
        </is>
      </c>
      <c r="B539" s="1" t="n">
        <v>45496</v>
      </c>
      <c r="C539" s="1" t="n">
        <v>45982</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4562-2022</t>
        </is>
      </c>
      <c r="B540" s="1" t="n">
        <v>44591</v>
      </c>
      <c r="C540" s="1" t="n">
        <v>45982</v>
      </c>
      <c r="D540" t="inlineStr">
        <is>
          <t>UPPSALA LÄN</t>
        </is>
      </c>
      <c r="E540" t="inlineStr">
        <is>
          <t>ÖSTHAMMAR</t>
        </is>
      </c>
      <c r="G540" t="n">
        <v>3.4</v>
      </c>
      <c r="H540" t="n">
        <v>0</v>
      </c>
      <c r="I540" t="n">
        <v>0</v>
      </c>
      <c r="J540" t="n">
        <v>0</v>
      </c>
      <c r="K540" t="n">
        <v>0</v>
      </c>
      <c r="L540" t="n">
        <v>0</v>
      </c>
      <c r="M540" t="n">
        <v>0</v>
      </c>
      <c r="N540" t="n">
        <v>0</v>
      </c>
      <c r="O540" t="n">
        <v>0</v>
      </c>
      <c r="P540" t="n">
        <v>0</v>
      </c>
      <c r="Q540" t="n">
        <v>0</v>
      </c>
      <c r="R540" s="2" t="inlineStr"/>
    </row>
    <row r="541" ht="15" customHeight="1">
      <c r="A541" t="inlineStr">
        <is>
          <t>A 53733-2023</t>
        </is>
      </c>
      <c r="B541" s="1" t="n">
        <v>45230.76862268519</v>
      </c>
      <c r="C541" s="1" t="n">
        <v>45982</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41308-2023</t>
        </is>
      </c>
      <c r="B542" s="1" t="n">
        <v>45174.62788194444</v>
      </c>
      <c r="C542" s="1" t="n">
        <v>45982</v>
      </c>
      <c r="D542" t="inlineStr">
        <is>
          <t>UPPSALA LÄN</t>
        </is>
      </c>
      <c r="E542" t="inlineStr">
        <is>
          <t>ÖSTHAMMAR</t>
        </is>
      </c>
      <c r="F542" t="inlineStr">
        <is>
          <t>Övriga Aktiebolag</t>
        </is>
      </c>
      <c r="G542" t="n">
        <v>2.8</v>
      </c>
      <c r="H542" t="n">
        <v>0</v>
      </c>
      <c r="I542" t="n">
        <v>0</v>
      </c>
      <c r="J542" t="n">
        <v>0</v>
      </c>
      <c r="K542" t="n">
        <v>0</v>
      </c>
      <c r="L542" t="n">
        <v>0</v>
      </c>
      <c r="M542" t="n">
        <v>0</v>
      </c>
      <c r="N542" t="n">
        <v>0</v>
      </c>
      <c r="O542" t="n">
        <v>0</v>
      </c>
      <c r="P542" t="n">
        <v>0</v>
      </c>
      <c r="Q542" t="n">
        <v>0</v>
      </c>
      <c r="R542" s="2" t="inlineStr"/>
    </row>
    <row r="543" ht="15" customHeight="1">
      <c r="A543" t="inlineStr">
        <is>
          <t>A 17969-2023</t>
        </is>
      </c>
      <c r="B543" s="1" t="n">
        <v>45040.47081018519</v>
      </c>
      <c r="C543" s="1" t="n">
        <v>45982</v>
      </c>
      <c r="D543" t="inlineStr">
        <is>
          <t>UPPSALA LÄN</t>
        </is>
      </c>
      <c r="E543" t="inlineStr">
        <is>
          <t>ÖSTHAMMAR</t>
        </is>
      </c>
      <c r="G543" t="n">
        <v>5.4</v>
      </c>
      <c r="H543" t="n">
        <v>0</v>
      </c>
      <c r="I543" t="n">
        <v>0</v>
      </c>
      <c r="J543" t="n">
        <v>0</v>
      </c>
      <c r="K543" t="n">
        <v>0</v>
      </c>
      <c r="L543" t="n">
        <v>0</v>
      </c>
      <c r="M543" t="n">
        <v>0</v>
      </c>
      <c r="N543" t="n">
        <v>0</v>
      </c>
      <c r="O543" t="n">
        <v>0</v>
      </c>
      <c r="P543" t="n">
        <v>0</v>
      </c>
      <c r="Q543" t="n">
        <v>0</v>
      </c>
      <c r="R543" s="2" t="inlineStr"/>
    </row>
    <row r="544" ht="15" customHeight="1">
      <c r="A544" t="inlineStr">
        <is>
          <t>A 25969-2023</t>
        </is>
      </c>
      <c r="B544" s="1" t="n">
        <v>45090</v>
      </c>
      <c r="C544" s="1" t="n">
        <v>45982</v>
      </c>
      <c r="D544" t="inlineStr">
        <is>
          <t>UPPSALA LÄN</t>
        </is>
      </c>
      <c r="E544" t="inlineStr">
        <is>
          <t>ÖSTHAMMAR</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50998-2023</t>
        </is>
      </c>
      <c r="B545" s="1" t="n">
        <v>45218.5586574074</v>
      </c>
      <c r="C545" s="1" t="n">
        <v>45982</v>
      </c>
      <c r="D545" t="inlineStr">
        <is>
          <t>UPPSALA LÄN</t>
        </is>
      </c>
      <c r="E545" t="inlineStr">
        <is>
          <t>ÖSTHAMMAR</t>
        </is>
      </c>
      <c r="G545" t="n">
        <v>3.6</v>
      </c>
      <c r="H545" t="n">
        <v>0</v>
      </c>
      <c r="I545" t="n">
        <v>0</v>
      </c>
      <c r="J545" t="n">
        <v>0</v>
      </c>
      <c r="K545" t="n">
        <v>0</v>
      </c>
      <c r="L545" t="n">
        <v>0</v>
      </c>
      <c r="M545" t="n">
        <v>0</v>
      </c>
      <c r="N545" t="n">
        <v>0</v>
      </c>
      <c r="O545" t="n">
        <v>0</v>
      </c>
      <c r="P545" t="n">
        <v>0</v>
      </c>
      <c r="Q545" t="n">
        <v>0</v>
      </c>
      <c r="R545" s="2" t="inlineStr"/>
    </row>
    <row r="546" ht="15" customHeight="1">
      <c r="A546" t="inlineStr">
        <is>
          <t>A 55837-2023</t>
        </is>
      </c>
      <c r="B546" s="1" t="n">
        <v>45239</v>
      </c>
      <c r="C546" s="1" t="n">
        <v>45982</v>
      </c>
      <c r="D546" t="inlineStr">
        <is>
          <t>UPPSALA LÄN</t>
        </is>
      </c>
      <c r="E546" t="inlineStr">
        <is>
          <t>ÖSTHAMMAR</t>
        </is>
      </c>
      <c r="G546" t="n">
        <v>0.5</v>
      </c>
      <c r="H546" t="n">
        <v>0</v>
      </c>
      <c r="I546" t="n">
        <v>0</v>
      </c>
      <c r="J546" t="n">
        <v>0</v>
      </c>
      <c r="K546" t="n">
        <v>0</v>
      </c>
      <c r="L546" t="n">
        <v>0</v>
      </c>
      <c r="M546" t="n">
        <v>0</v>
      </c>
      <c r="N546" t="n">
        <v>0</v>
      </c>
      <c r="O546" t="n">
        <v>0</v>
      </c>
      <c r="P546" t="n">
        <v>0</v>
      </c>
      <c r="Q546" t="n">
        <v>0</v>
      </c>
      <c r="R546" s="2" t="inlineStr"/>
    </row>
    <row r="547" ht="15" customHeight="1">
      <c r="A547" t="inlineStr">
        <is>
          <t>A 18838-2023</t>
        </is>
      </c>
      <c r="B547" s="1" t="n">
        <v>45044</v>
      </c>
      <c r="C547" s="1" t="n">
        <v>45982</v>
      </c>
      <c r="D547" t="inlineStr">
        <is>
          <t>UPPSALA LÄN</t>
        </is>
      </c>
      <c r="E547" t="inlineStr">
        <is>
          <t>ÖSTHAMMAR</t>
        </is>
      </c>
      <c r="G547" t="n">
        <v>2.8</v>
      </c>
      <c r="H547" t="n">
        <v>0</v>
      </c>
      <c r="I547" t="n">
        <v>0</v>
      </c>
      <c r="J547" t="n">
        <v>0</v>
      </c>
      <c r="K547" t="n">
        <v>0</v>
      </c>
      <c r="L547" t="n">
        <v>0</v>
      </c>
      <c r="M547" t="n">
        <v>0</v>
      </c>
      <c r="N547" t="n">
        <v>0</v>
      </c>
      <c r="O547" t="n">
        <v>0</v>
      </c>
      <c r="P547" t="n">
        <v>0</v>
      </c>
      <c r="Q547" t="n">
        <v>0</v>
      </c>
      <c r="R547" s="2" t="inlineStr"/>
    </row>
    <row r="548" ht="15" customHeight="1">
      <c r="A548" t="inlineStr">
        <is>
          <t>A 59382-2022</t>
        </is>
      </c>
      <c r="B548" s="1" t="n">
        <v>44905.50363425926</v>
      </c>
      <c r="C548" s="1" t="n">
        <v>45982</v>
      </c>
      <c r="D548" t="inlineStr">
        <is>
          <t>UPPSALA LÄN</t>
        </is>
      </c>
      <c r="E548" t="inlineStr">
        <is>
          <t>ÖSTHAMMAR</t>
        </is>
      </c>
      <c r="G548" t="n">
        <v>2.9</v>
      </c>
      <c r="H548" t="n">
        <v>0</v>
      </c>
      <c r="I548" t="n">
        <v>0</v>
      </c>
      <c r="J548" t="n">
        <v>0</v>
      </c>
      <c r="K548" t="n">
        <v>0</v>
      </c>
      <c r="L548" t="n">
        <v>0</v>
      </c>
      <c r="M548" t="n">
        <v>0</v>
      </c>
      <c r="N548" t="n">
        <v>0</v>
      </c>
      <c r="O548" t="n">
        <v>0</v>
      </c>
      <c r="P548" t="n">
        <v>0</v>
      </c>
      <c r="Q548" t="n">
        <v>0</v>
      </c>
      <c r="R548" s="2" t="inlineStr"/>
    </row>
    <row r="549" ht="15" customHeight="1">
      <c r="A549" t="inlineStr">
        <is>
          <t>A 17085-2025</t>
        </is>
      </c>
      <c r="B549" s="1" t="n">
        <v>45755.64612268518</v>
      </c>
      <c r="C549" s="1" t="n">
        <v>45982</v>
      </c>
      <c r="D549" t="inlineStr">
        <is>
          <t>UPPSALA LÄN</t>
        </is>
      </c>
      <c r="E549" t="inlineStr">
        <is>
          <t>ÖSTHAMMAR</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29231-2024</t>
        </is>
      </c>
      <c r="B550" s="1" t="n">
        <v>45482</v>
      </c>
      <c r="C550" s="1" t="n">
        <v>45982</v>
      </c>
      <c r="D550" t="inlineStr">
        <is>
          <t>UPPSALA LÄN</t>
        </is>
      </c>
      <c r="E550" t="inlineStr">
        <is>
          <t>ÖSTHAMMAR</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44184-2024</t>
        </is>
      </c>
      <c r="B551" s="1" t="n">
        <v>45572</v>
      </c>
      <c r="C551" s="1" t="n">
        <v>45982</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9264-2024</t>
        </is>
      </c>
      <c r="B552" s="1" t="n">
        <v>45358</v>
      </c>
      <c r="C552" s="1" t="n">
        <v>45982</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33784-2024</t>
        </is>
      </c>
      <c r="B553" s="1" t="n">
        <v>45520</v>
      </c>
      <c r="C553" s="1" t="n">
        <v>45982</v>
      </c>
      <c r="D553" t="inlineStr">
        <is>
          <t>UPPSALA LÄN</t>
        </is>
      </c>
      <c r="E553" t="inlineStr">
        <is>
          <t>ÖSTHAMMAR</t>
        </is>
      </c>
      <c r="F553" t="inlineStr">
        <is>
          <t>Naturvårdsverket</t>
        </is>
      </c>
      <c r="G553" t="n">
        <v>0.6</v>
      </c>
      <c r="H553" t="n">
        <v>0</v>
      </c>
      <c r="I553" t="n">
        <v>0</v>
      </c>
      <c r="J553" t="n">
        <v>0</v>
      </c>
      <c r="K553" t="n">
        <v>0</v>
      </c>
      <c r="L553" t="n">
        <v>0</v>
      </c>
      <c r="M553" t="n">
        <v>0</v>
      </c>
      <c r="N553" t="n">
        <v>0</v>
      </c>
      <c r="O553" t="n">
        <v>0</v>
      </c>
      <c r="P553" t="n">
        <v>0</v>
      </c>
      <c r="Q553" t="n">
        <v>0</v>
      </c>
      <c r="R553" s="2" t="inlineStr"/>
    </row>
    <row r="554" ht="15" customHeight="1">
      <c r="A554" t="inlineStr">
        <is>
          <t>A 11643-2022</t>
        </is>
      </c>
      <c r="B554" s="1" t="n">
        <v>44631.92662037037</v>
      </c>
      <c r="C554" s="1" t="n">
        <v>45982</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37865-2023</t>
        </is>
      </c>
      <c r="B555" s="1" t="n">
        <v>45160</v>
      </c>
      <c r="C555" s="1" t="n">
        <v>45982</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34607-2023</t>
        </is>
      </c>
      <c r="B556" s="1" t="n">
        <v>45138</v>
      </c>
      <c r="C556" s="1" t="n">
        <v>45982</v>
      </c>
      <c r="D556" t="inlineStr">
        <is>
          <t>UPPSALA LÄN</t>
        </is>
      </c>
      <c r="E556" t="inlineStr">
        <is>
          <t>ÖSTHAMMAR</t>
        </is>
      </c>
      <c r="G556" t="n">
        <v>4.7</v>
      </c>
      <c r="H556" t="n">
        <v>0</v>
      </c>
      <c r="I556" t="n">
        <v>0</v>
      </c>
      <c r="J556" t="n">
        <v>0</v>
      </c>
      <c r="K556" t="n">
        <v>0</v>
      </c>
      <c r="L556" t="n">
        <v>0</v>
      </c>
      <c r="M556" t="n">
        <v>0</v>
      </c>
      <c r="N556" t="n">
        <v>0</v>
      </c>
      <c r="O556" t="n">
        <v>0</v>
      </c>
      <c r="P556" t="n">
        <v>0</v>
      </c>
      <c r="Q556" t="n">
        <v>0</v>
      </c>
      <c r="R556" s="2" t="inlineStr"/>
    </row>
    <row r="557" ht="15" customHeight="1">
      <c r="A557" t="inlineStr">
        <is>
          <t>A 5215-2025</t>
        </is>
      </c>
      <c r="B557" s="1" t="n">
        <v>45691</v>
      </c>
      <c r="C557" s="1" t="n">
        <v>45982</v>
      </c>
      <c r="D557" t="inlineStr">
        <is>
          <t>UPPSALA LÄN</t>
        </is>
      </c>
      <c r="E557" t="inlineStr">
        <is>
          <t>ÖSTHAMMAR</t>
        </is>
      </c>
      <c r="G557" t="n">
        <v>0.5</v>
      </c>
      <c r="H557" t="n">
        <v>0</v>
      </c>
      <c r="I557" t="n">
        <v>0</v>
      </c>
      <c r="J557" t="n">
        <v>0</v>
      </c>
      <c r="K557" t="n">
        <v>0</v>
      </c>
      <c r="L557" t="n">
        <v>0</v>
      </c>
      <c r="M557" t="n">
        <v>0</v>
      </c>
      <c r="N557" t="n">
        <v>0</v>
      </c>
      <c r="O557" t="n">
        <v>0</v>
      </c>
      <c r="P557" t="n">
        <v>0</v>
      </c>
      <c r="Q557" t="n">
        <v>0</v>
      </c>
      <c r="R557" s="2" t="inlineStr"/>
    </row>
    <row r="558" ht="15" customHeight="1">
      <c r="A558" t="inlineStr">
        <is>
          <t>A 2733-2023</t>
        </is>
      </c>
      <c r="B558" s="1" t="n">
        <v>44943</v>
      </c>
      <c r="C558" s="1" t="n">
        <v>45982</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8769-2025</t>
        </is>
      </c>
      <c r="B559" s="1" t="n">
        <v>45712.59412037037</v>
      </c>
      <c r="C559" s="1" t="n">
        <v>45982</v>
      </c>
      <c r="D559" t="inlineStr">
        <is>
          <t>UPPSALA LÄN</t>
        </is>
      </c>
      <c r="E559" t="inlineStr">
        <is>
          <t>ÖSTHAMMAR</t>
        </is>
      </c>
      <c r="G559" t="n">
        <v>1.9</v>
      </c>
      <c r="H559" t="n">
        <v>0</v>
      </c>
      <c r="I559" t="n">
        <v>0</v>
      </c>
      <c r="J559" t="n">
        <v>0</v>
      </c>
      <c r="K559" t="n">
        <v>0</v>
      </c>
      <c r="L559" t="n">
        <v>0</v>
      </c>
      <c r="M559" t="n">
        <v>0</v>
      </c>
      <c r="N559" t="n">
        <v>0</v>
      </c>
      <c r="O559" t="n">
        <v>0</v>
      </c>
      <c r="P559" t="n">
        <v>0</v>
      </c>
      <c r="Q559" t="n">
        <v>0</v>
      </c>
      <c r="R559" s="2" t="inlineStr"/>
    </row>
    <row r="560" ht="15" customHeight="1">
      <c r="A560" t="inlineStr">
        <is>
          <t>A 34971-2022</t>
        </is>
      </c>
      <c r="B560" s="1" t="n">
        <v>44796.66613425926</v>
      </c>
      <c r="C560" s="1" t="n">
        <v>45982</v>
      </c>
      <c r="D560" t="inlineStr">
        <is>
          <t>UPPSALA LÄN</t>
        </is>
      </c>
      <c r="E560" t="inlineStr">
        <is>
          <t>ÖSTHAMMAR</t>
        </is>
      </c>
      <c r="F560" t="inlineStr">
        <is>
          <t>Bergvik skog öst AB</t>
        </is>
      </c>
      <c r="G560" t="n">
        <v>2.3</v>
      </c>
      <c r="H560" t="n">
        <v>0</v>
      </c>
      <c r="I560" t="n">
        <v>0</v>
      </c>
      <c r="J560" t="n">
        <v>0</v>
      </c>
      <c r="K560" t="n">
        <v>0</v>
      </c>
      <c r="L560" t="n">
        <v>0</v>
      </c>
      <c r="M560" t="n">
        <v>0</v>
      </c>
      <c r="N560" t="n">
        <v>0</v>
      </c>
      <c r="O560" t="n">
        <v>0</v>
      </c>
      <c r="P560" t="n">
        <v>0</v>
      </c>
      <c r="Q560" t="n">
        <v>0</v>
      </c>
      <c r="R560" s="2" t="inlineStr"/>
    </row>
    <row r="561" ht="15" customHeight="1">
      <c r="A561" t="inlineStr">
        <is>
          <t>A 3725-2022</t>
        </is>
      </c>
      <c r="B561" s="1" t="n">
        <v>44586</v>
      </c>
      <c r="C561" s="1" t="n">
        <v>45982</v>
      </c>
      <c r="D561" t="inlineStr">
        <is>
          <t>UPPSALA LÄN</t>
        </is>
      </c>
      <c r="E561" t="inlineStr">
        <is>
          <t>ÖSTHAMMAR</t>
        </is>
      </c>
      <c r="G561" t="n">
        <v>2</v>
      </c>
      <c r="H561" t="n">
        <v>0</v>
      </c>
      <c r="I561" t="n">
        <v>0</v>
      </c>
      <c r="J561" t="n">
        <v>0</v>
      </c>
      <c r="K561" t="n">
        <v>0</v>
      </c>
      <c r="L561" t="n">
        <v>0</v>
      </c>
      <c r="M561" t="n">
        <v>0</v>
      </c>
      <c r="N561" t="n">
        <v>0</v>
      </c>
      <c r="O561" t="n">
        <v>0</v>
      </c>
      <c r="P561" t="n">
        <v>0</v>
      </c>
      <c r="Q561" t="n">
        <v>0</v>
      </c>
      <c r="R561" s="2" t="inlineStr"/>
    </row>
    <row r="562" ht="15" customHeight="1">
      <c r="A562" t="inlineStr">
        <is>
          <t>A 12812-2024</t>
        </is>
      </c>
      <c r="B562" s="1" t="n">
        <v>45384.65465277778</v>
      </c>
      <c r="C562" s="1" t="n">
        <v>45982</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28170-2023</t>
        </is>
      </c>
      <c r="B563" s="1" t="n">
        <v>45093</v>
      </c>
      <c r="C563" s="1" t="n">
        <v>45982</v>
      </c>
      <c r="D563" t="inlineStr">
        <is>
          <t>UPPSALA LÄN</t>
        </is>
      </c>
      <c r="E563" t="inlineStr">
        <is>
          <t>ÖSTHAMMAR</t>
        </is>
      </c>
      <c r="G563" t="n">
        <v>7.2</v>
      </c>
      <c r="H563" t="n">
        <v>0</v>
      </c>
      <c r="I563" t="n">
        <v>0</v>
      </c>
      <c r="J563" t="n">
        <v>0</v>
      </c>
      <c r="K563" t="n">
        <v>0</v>
      </c>
      <c r="L563" t="n">
        <v>0</v>
      </c>
      <c r="M563" t="n">
        <v>0</v>
      </c>
      <c r="N563" t="n">
        <v>0</v>
      </c>
      <c r="O563" t="n">
        <v>0</v>
      </c>
      <c r="P563" t="n">
        <v>0</v>
      </c>
      <c r="Q563" t="n">
        <v>0</v>
      </c>
      <c r="R563" s="2" t="inlineStr"/>
    </row>
    <row r="564" ht="15" customHeight="1">
      <c r="A564" t="inlineStr">
        <is>
          <t>A 7876-2023</t>
        </is>
      </c>
      <c r="B564" s="1" t="n">
        <v>44973.57263888889</v>
      </c>
      <c r="C564" s="1" t="n">
        <v>45982</v>
      </c>
      <c r="D564" t="inlineStr">
        <is>
          <t>UPPSALA LÄN</t>
        </is>
      </c>
      <c r="E564" t="inlineStr">
        <is>
          <t>ÖSTHAMMAR</t>
        </is>
      </c>
      <c r="G564" t="n">
        <v>0.9</v>
      </c>
      <c r="H564" t="n">
        <v>0</v>
      </c>
      <c r="I564" t="n">
        <v>0</v>
      </c>
      <c r="J564" t="n">
        <v>0</v>
      </c>
      <c r="K564" t="n">
        <v>0</v>
      </c>
      <c r="L564" t="n">
        <v>0</v>
      </c>
      <c r="M564" t="n">
        <v>0</v>
      </c>
      <c r="N564" t="n">
        <v>0</v>
      </c>
      <c r="O564" t="n">
        <v>0</v>
      </c>
      <c r="P564" t="n">
        <v>0</v>
      </c>
      <c r="Q564" t="n">
        <v>0</v>
      </c>
      <c r="R564" s="2" t="inlineStr"/>
    </row>
    <row r="565" ht="15" customHeight="1">
      <c r="A565" t="inlineStr">
        <is>
          <t>A 14433-2024</t>
        </is>
      </c>
      <c r="B565" s="1" t="n">
        <v>45394.46115740741</v>
      </c>
      <c r="C565" s="1" t="n">
        <v>45982</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20038-2023</t>
        </is>
      </c>
      <c r="B566" s="1" t="n">
        <v>45054.65834490741</v>
      </c>
      <c r="C566" s="1" t="n">
        <v>45982</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15031-2025</t>
        </is>
      </c>
      <c r="B567" s="1" t="n">
        <v>45743.67333333333</v>
      </c>
      <c r="C567" s="1" t="n">
        <v>45982</v>
      </c>
      <c r="D567" t="inlineStr">
        <is>
          <t>UPPSALA LÄN</t>
        </is>
      </c>
      <c r="E567" t="inlineStr">
        <is>
          <t>ÖSTHAMMAR</t>
        </is>
      </c>
      <c r="G567" t="n">
        <v>9.6</v>
      </c>
      <c r="H567" t="n">
        <v>0</v>
      </c>
      <c r="I567" t="n">
        <v>0</v>
      </c>
      <c r="J567" t="n">
        <v>0</v>
      </c>
      <c r="K567" t="n">
        <v>0</v>
      </c>
      <c r="L567" t="n">
        <v>0</v>
      </c>
      <c r="M567" t="n">
        <v>0</v>
      </c>
      <c r="N567" t="n">
        <v>0</v>
      </c>
      <c r="O567" t="n">
        <v>0</v>
      </c>
      <c r="P567" t="n">
        <v>0</v>
      </c>
      <c r="Q567" t="n">
        <v>0</v>
      </c>
      <c r="R567" s="2" t="inlineStr"/>
    </row>
    <row r="568" ht="15" customHeight="1">
      <c r="A568" t="inlineStr">
        <is>
          <t>A 13738-2023</t>
        </is>
      </c>
      <c r="B568" s="1" t="n">
        <v>45007.37081018519</v>
      </c>
      <c r="C568" s="1" t="n">
        <v>45982</v>
      </c>
      <c r="D568" t="inlineStr">
        <is>
          <t>UPPSALA LÄN</t>
        </is>
      </c>
      <c r="E568" t="inlineStr">
        <is>
          <t>ÖSTHAMMAR</t>
        </is>
      </c>
      <c r="G568" t="n">
        <v>0.7</v>
      </c>
      <c r="H568" t="n">
        <v>0</v>
      </c>
      <c r="I568" t="n">
        <v>0</v>
      </c>
      <c r="J568" t="n">
        <v>0</v>
      </c>
      <c r="K568" t="n">
        <v>0</v>
      </c>
      <c r="L568" t="n">
        <v>0</v>
      </c>
      <c r="M568" t="n">
        <v>0</v>
      </c>
      <c r="N568" t="n">
        <v>0</v>
      </c>
      <c r="O568" t="n">
        <v>0</v>
      </c>
      <c r="P568" t="n">
        <v>0</v>
      </c>
      <c r="Q568" t="n">
        <v>0</v>
      </c>
      <c r="R568" s="2" t="inlineStr"/>
    </row>
    <row r="569" ht="15" customHeight="1">
      <c r="A569" t="inlineStr">
        <is>
          <t>A 43439-2024</t>
        </is>
      </c>
      <c r="B569" s="1" t="n">
        <v>45568</v>
      </c>
      <c r="C569" s="1" t="n">
        <v>45982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10290-2025</t>
        </is>
      </c>
      <c r="B570" s="1" t="n">
        <v>45720.41847222222</v>
      </c>
      <c r="C570" s="1" t="n">
        <v>45982</v>
      </c>
      <c r="D570" t="inlineStr">
        <is>
          <t>UPPSALA LÄN</t>
        </is>
      </c>
      <c r="E570" t="inlineStr">
        <is>
          <t>ÖSTHAMMAR</t>
        </is>
      </c>
      <c r="G570" t="n">
        <v>8.6</v>
      </c>
      <c r="H570" t="n">
        <v>0</v>
      </c>
      <c r="I570" t="n">
        <v>0</v>
      </c>
      <c r="J570" t="n">
        <v>0</v>
      </c>
      <c r="K570" t="n">
        <v>0</v>
      </c>
      <c r="L570" t="n">
        <v>0</v>
      </c>
      <c r="M570" t="n">
        <v>0</v>
      </c>
      <c r="N570" t="n">
        <v>0</v>
      </c>
      <c r="O570" t="n">
        <v>0</v>
      </c>
      <c r="P570" t="n">
        <v>0</v>
      </c>
      <c r="Q570" t="n">
        <v>0</v>
      </c>
      <c r="R570" s="2" t="inlineStr"/>
    </row>
    <row r="571" ht="15" customHeight="1">
      <c r="A571" t="inlineStr">
        <is>
          <t>A 17022-2021</t>
        </is>
      </c>
      <c r="B571" s="1" t="n">
        <v>44295.65875</v>
      </c>
      <c r="C571" s="1" t="n">
        <v>45982</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11469-2023</t>
        </is>
      </c>
      <c r="B572" s="1" t="n">
        <v>44993.60099537037</v>
      </c>
      <c r="C572" s="1" t="n">
        <v>45982</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25418-2022</t>
        </is>
      </c>
      <c r="B573" s="1" t="n">
        <v>44732.464375</v>
      </c>
      <c r="C573" s="1" t="n">
        <v>45982</v>
      </c>
      <c r="D573" t="inlineStr">
        <is>
          <t>UPPSALA LÄN</t>
        </is>
      </c>
      <c r="E573" t="inlineStr">
        <is>
          <t>ÖSTHAMMAR</t>
        </is>
      </c>
      <c r="G573" t="n">
        <v>2.8</v>
      </c>
      <c r="H573" t="n">
        <v>0</v>
      </c>
      <c r="I573" t="n">
        <v>0</v>
      </c>
      <c r="J573" t="n">
        <v>0</v>
      </c>
      <c r="K573" t="n">
        <v>0</v>
      </c>
      <c r="L573" t="n">
        <v>0</v>
      </c>
      <c r="M573" t="n">
        <v>0</v>
      </c>
      <c r="N573" t="n">
        <v>0</v>
      </c>
      <c r="O573" t="n">
        <v>0</v>
      </c>
      <c r="P573" t="n">
        <v>0</v>
      </c>
      <c r="Q573" t="n">
        <v>0</v>
      </c>
      <c r="R573" s="2" t="inlineStr"/>
    </row>
    <row r="574" ht="15" customHeight="1">
      <c r="A574" t="inlineStr">
        <is>
          <t>A 14859-2025</t>
        </is>
      </c>
      <c r="B574" s="1" t="n">
        <v>45743.42427083333</v>
      </c>
      <c r="C574" s="1" t="n">
        <v>45982</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14671-2022</t>
        </is>
      </c>
      <c r="B575" s="1" t="n">
        <v>44655.80475694445</v>
      </c>
      <c r="C575" s="1" t="n">
        <v>45982</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46399-2023</t>
        </is>
      </c>
      <c r="B576" s="1" t="n">
        <v>45197.49262731482</v>
      </c>
      <c r="C576" s="1" t="n">
        <v>45982</v>
      </c>
      <c r="D576" t="inlineStr">
        <is>
          <t>UPPSALA LÄN</t>
        </is>
      </c>
      <c r="E576" t="inlineStr">
        <is>
          <t>ÖSTHAMMAR</t>
        </is>
      </c>
      <c r="G576" t="n">
        <v>5.8</v>
      </c>
      <c r="H576" t="n">
        <v>0</v>
      </c>
      <c r="I576" t="n">
        <v>0</v>
      </c>
      <c r="J576" t="n">
        <v>0</v>
      </c>
      <c r="K576" t="n">
        <v>0</v>
      </c>
      <c r="L576" t="n">
        <v>0</v>
      </c>
      <c r="M576" t="n">
        <v>0</v>
      </c>
      <c r="N576" t="n">
        <v>0</v>
      </c>
      <c r="O576" t="n">
        <v>0</v>
      </c>
      <c r="P576" t="n">
        <v>0</v>
      </c>
      <c r="Q576" t="n">
        <v>0</v>
      </c>
      <c r="R576" s="2" t="inlineStr"/>
    </row>
    <row r="577" ht="15" customHeight="1">
      <c r="A577" t="inlineStr">
        <is>
          <t>A 45550-2023</t>
        </is>
      </c>
      <c r="B577" s="1" t="n">
        <v>45194.57125</v>
      </c>
      <c r="C577" s="1" t="n">
        <v>45982</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15445-2022</t>
        </is>
      </c>
      <c r="B578" s="1" t="n">
        <v>44660.4987962963</v>
      </c>
      <c r="C578" s="1" t="n">
        <v>45982</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20634-2024</t>
        </is>
      </c>
      <c r="B579" s="1" t="n">
        <v>45436</v>
      </c>
      <c r="C579" s="1" t="n">
        <v>45982</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18088-2025</t>
        </is>
      </c>
      <c r="B580" s="1" t="n">
        <v>45761.53104166667</v>
      </c>
      <c r="C580" s="1" t="n">
        <v>45982</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18095-2025</t>
        </is>
      </c>
      <c r="B581" s="1" t="n">
        <v>45761.54925925926</v>
      </c>
      <c r="C581" s="1" t="n">
        <v>45982</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61257-2022</t>
        </is>
      </c>
      <c r="B582" s="1" t="n">
        <v>44915.59418981482</v>
      </c>
      <c r="C582" s="1" t="n">
        <v>45982</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32778-2023</t>
        </is>
      </c>
      <c r="B583" s="1" t="n">
        <v>45123.88789351852</v>
      </c>
      <c r="C583" s="1" t="n">
        <v>45982</v>
      </c>
      <c r="D583" t="inlineStr">
        <is>
          <t>UPPSALA LÄN</t>
        </is>
      </c>
      <c r="E583" t="inlineStr">
        <is>
          <t>ÖSTHAMMAR</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1436-2025</t>
        </is>
      </c>
      <c r="B584" s="1" t="n">
        <v>45669.67625</v>
      </c>
      <c r="C584" s="1" t="n">
        <v>45982</v>
      </c>
      <c r="D584" t="inlineStr">
        <is>
          <t>UPPSALA LÄN</t>
        </is>
      </c>
      <c r="E584" t="inlineStr">
        <is>
          <t>ÖSTHAMMAR</t>
        </is>
      </c>
      <c r="G584" t="n">
        <v>0.6</v>
      </c>
      <c r="H584" t="n">
        <v>0</v>
      </c>
      <c r="I584" t="n">
        <v>0</v>
      </c>
      <c r="J584" t="n">
        <v>0</v>
      </c>
      <c r="K584" t="n">
        <v>0</v>
      </c>
      <c r="L584" t="n">
        <v>0</v>
      </c>
      <c r="M584" t="n">
        <v>0</v>
      </c>
      <c r="N584" t="n">
        <v>0</v>
      </c>
      <c r="O584" t="n">
        <v>0</v>
      </c>
      <c r="P584" t="n">
        <v>0</v>
      </c>
      <c r="Q584" t="n">
        <v>0</v>
      </c>
      <c r="R584" s="2" t="inlineStr"/>
    </row>
    <row r="585" ht="15" customHeight="1">
      <c r="A585" t="inlineStr">
        <is>
          <t>A 1525-2025</t>
        </is>
      </c>
      <c r="B585" s="1" t="n">
        <v>45670.47300925926</v>
      </c>
      <c r="C585" s="1" t="n">
        <v>45982</v>
      </c>
      <c r="D585" t="inlineStr">
        <is>
          <t>UPPSALA LÄN</t>
        </is>
      </c>
      <c r="E585" t="inlineStr">
        <is>
          <t>ÖSTHAMMAR</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24367-2022</t>
        </is>
      </c>
      <c r="B586" s="1" t="n">
        <v>44726.42716435185</v>
      </c>
      <c r="C586" s="1" t="n">
        <v>45982</v>
      </c>
      <c r="D586" t="inlineStr">
        <is>
          <t>UPPSALA LÄN</t>
        </is>
      </c>
      <c r="E586" t="inlineStr">
        <is>
          <t>ÖSTHAMMAR</t>
        </is>
      </c>
      <c r="G586" t="n">
        <v>2.7</v>
      </c>
      <c r="H586" t="n">
        <v>0</v>
      </c>
      <c r="I586" t="n">
        <v>0</v>
      </c>
      <c r="J586" t="n">
        <v>0</v>
      </c>
      <c r="K586" t="n">
        <v>0</v>
      </c>
      <c r="L586" t="n">
        <v>0</v>
      </c>
      <c r="M586" t="n">
        <v>0</v>
      </c>
      <c r="N586" t="n">
        <v>0</v>
      </c>
      <c r="O586" t="n">
        <v>0</v>
      </c>
      <c r="P586" t="n">
        <v>0</v>
      </c>
      <c r="Q586" t="n">
        <v>0</v>
      </c>
      <c r="R586" s="2" t="inlineStr"/>
    </row>
    <row r="587" ht="15" customHeight="1">
      <c r="A587" t="inlineStr">
        <is>
          <t>A 5933-2022</t>
        </is>
      </c>
      <c r="B587" s="1" t="n">
        <v>44598.82957175926</v>
      </c>
      <c r="C587" s="1" t="n">
        <v>45982</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64774-2023</t>
        </is>
      </c>
      <c r="B588" s="1" t="n">
        <v>45282</v>
      </c>
      <c r="C588" s="1" t="n">
        <v>45982</v>
      </c>
      <c r="D588" t="inlineStr">
        <is>
          <t>UPPSALA LÄN</t>
        </is>
      </c>
      <c r="E588" t="inlineStr">
        <is>
          <t>ÖSTHAMMAR</t>
        </is>
      </c>
      <c r="F588" t="inlineStr">
        <is>
          <t>Övriga Aktiebolag</t>
        </is>
      </c>
      <c r="G588" t="n">
        <v>3.7</v>
      </c>
      <c r="H588" t="n">
        <v>0</v>
      </c>
      <c r="I588" t="n">
        <v>0</v>
      </c>
      <c r="J588" t="n">
        <v>0</v>
      </c>
      <c r="K588" t="n">
        <v>0</v>
      </c>
      <c r="L588" t="n">
        <v>0</v>
      </c>
      <c r="M588" t="n">
        <v>0</v>
      </c>
      <c r="N588" t="n">
        <v>0</v>
      </c>
      <c r="O588" t="n">
        <v>0</v>
      </c>
      <c r="P588" t="n">
        <v>0</v>
      </c>
      <c r="Q588" t="n">
        <v>0</v>
      </c>
      <c r="R588" s="2" t="inlineStr"/>
    </row>
    <row r="589" ht="15" customHeight="1">
      <c r="A589" t="inlineStr">
        <is>
          <t>A 27308-2023</t>
        </is>
      </c>
      <c r="B589" s="1" t="n">
        <v>45096.65381944444</v>
      </c>
      <c r="C589" s="1" t="n">
        <v>45982</v>
      </c>
      <c r="D589" t="inlineStr">
        <is>
          <t>UPPSALA LÄN</t>
        </is>
      </c>
      <c r="E589" t="inlineStr">
        <is>
          <t>ÖSTHAMMAR</t>
        </is>
      </c>
      <c r="F589" t="inlineStr">
        <is>
          <t>Bergvik skog öst AB</t>
        </is>
      </c>
      <c r="G589" t="n">
        <v>2.4</v>
      </c>
      <c r="H589" t="n">
        <v>0</v>
      </c>
      <c r="I589" t="n">
        <v>0</v>
      </c>
      <c r="J589" t="n">
        <v>0</v>
      </c>
      <c r="K589" t="n">
        <v>0</v>
      </c>
      <c r="L589" t="n">
        <v>0</v>
      </c>
      <c r="M589" t="n">
        <v>0</v>
      </c>
      <c r="N589" t="n">
        <v>0</v>
      </c>
      <c r="O589" t="n">
        <v>0</v>
      </c>
      <c r="P589" t="n">
        <v>0</v>
      </c>
      <c r="Q589" t="n">
        <v>0</v>
      </c>
      <c r="R589" s="2" t="inlineStr"/>
    </row>
    <row r="590" ht="15" customHeight="1">
      <c r="A590" t="inlineStr">
        <is>
          <t>A 5254-2025</t>
        </is>
      </c>
      <c r="B590" s="1" t="n">
        <v>45692</v>
      </c>
      <c r="C590" s="1" t="n">
        <v>45982</v>
      </c>
      <c r="D590" t="inlineStr">
        <is>
          <t>UPPSALA LÄN</t>
        </is>
      </c>
      <c r="E590" t="inlineStr">
        <is>
          <t>ÖSTHAMMAR</t>
        </is>
      </c>
      <c r="G590" t="n">
        <v>5</v>
      </c>
      <c r="H590" t="n">
        <v>0</v>
      </c>
      <c r="I590" t="n">
        <v>0</v>
      </c>
      <c r="J590" t="n">
        <v>0</v>
      </c>
      <c r="K590" t="n">
        <v>0</v>
      </c>
      <c r="L590" t="n">
        <v>0</v>
      </c>
      <c r="M590" t="n">
        <v>0</v>
      </c>
      <c r="N590" t="n">
        <v>0</v>
      </c>
      <c r="O590" t="n">
        <v>0</v>
      </c>
      <c r="P590" t="n">
        <v>0</v>
      </c>
      <c r="Q590" t="n">
        <v>0</v>
      </c>
      <c r="R590" s="2" t="inlineStr"/>
    </row>
    <row r="591" ht="15" customHeight="1">
      <c r="A591" t="inlineStr">
        <is>
          <t>A 29873-2023</t>
        </is>
      </c>
      <c r="B591" s="1" t="n">
        <v>45107</v>
      </c>
      <c r="C591" s="1" t="n">
        <v>45982</v>
      </c>
      <c r="D591" t="inlineStr">
        <is>
          <t>UPPSALA LÄN</t>
        </is>
      </c>
      <c r="E591" t="inlineStr">
        <is>
          <t>ÖSTHAMMAR</t>
        </is>
      </c>
      <c r="F591" t="inlineStr">
        <is>
          <t>Naturvårdsverket</t>
        </is>
      </c>
      <c r="G591" t="n">
        <v>7.8</v>
      </c>
      <c r="H591" t="n">
        <v>0</v>
      </c>
      <c r="I591" t="n">
        <v>0</v>
      </c>
      <c r="J591" t="n">
        <v>0</v>
      </c>
      <c r="K591" t="n">
        <v>0</v>
      </c>
      <c r="L591" t="n">
        <v>0</v>
      </c>
      <c r="M591" t="n">
        <v>0</v>
      </c>
      <c r="N591" t="n">
        <v>0</v>
      </c>
      <c r="O591" t="n">
        <v>0</v>
      </c>
      <c r="P591" t="n">
        <v>0</v>
      </c>
      <c r="Q591" t="n">
        <v>0</v>
      </c>
      <c r="R591" s="2" t="inlineStr"/>
    </row>
    <row r="592" ht="15" customHeight="1">
      <c r="A592" t="inlineStr">
        <is>
          <t>A 61062-2023</t>
        </is>
      </c>
      <c r="B592" s="1" t="n">
        <v>45259</v>
      </c>
      <c r="C592" s="1" t="n">
        <v>45982</v>
      </c>
      <c r="D592" t="inlineStr">
        <is>
          <t>UPPSALA LÄN</t>
        </is>
      </c>
      <c r="E592" t="inlineStr">
        <is>
          <t>ÖSTHAMMAR</t>
        </is>
      </c>
      <c r="G592" t="n">
        <v>5.3</v>
      </c>
      <c r="H592" t="n">
        <v>0</v>
      </c>
      <c r="I592" t="n">
        <v>0</v>
      </c>
      <c r="J592" t="n">
        <v>0</v>
      </c>
      <c r="K592" t="n">
        <v>0</v>
      </c>
      <c r="L592" t="n">
        <v>0</v>
      </c>
      <c r="M592" t="n">
        <v>0</v>
      </c>
      <c r="N592" t="n">
        <v>0</v>
      </c>
      <c r="O592" t="n">
        <v>0</v>
      </c>
      <c r="P592" t="n">
        <v>0</v>
      </c>
      <c r="Q592" t="n">
        <v>0</v>
      </c>
      <c r="R592" s="2" t="inlineStr"/>
    </row>
    <row r="593" ht="15" customHeight="1">
      <c r="A593" t="inlineStr">
        <is>
          <t>A 55100-2024</t>
        </is>
      </c>
      <c r="B593" s="1" t="n">
        <v>45621.4405787037</v>
      </c>
      <c r="C593" s="1" t="n">
        <v>45982</v>
      </c>
      <c r="D593" t="inlineStr">
        <is>
          <t>UPPSALA LÄN</t>
        </is>
      </c>
      <c r="E593" t="inlineStr">
        <is>
          <t>ÖSTHAMMAR</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31669-2022</t>
        </is>
      </c>
      <c r="B594" s="1" t="n">
        <v>44775</v>
      </c>
      <c r="C594" s="1" t="n">
        <v>45982</v>
      </c>
      <c r="D594" t="inlineStr">
        <is>
          <t>UPPSALA LÄN</t>
        </is>
      </c>
      <c r="E594" t="inlineStr">
        <is>
          <t>ÖSTHAMMAR</t>
        </is>
      </c>
      <c r="G594" t="n">
        <v>6</v>
      </c>
      <c r="H594" t="n">
        <v>0</v>
      </c>
      <c r="I594" t="n">
        <v>0</v>
      </c>
      <c r="J594" t="n">
        <v>0</v>
      </c>
      <c r="K594" t="n">
        <v>0</v>
      </c>
      <c r="L594" t="n">
        <v>0</v>
      </c>
      <c r="M594" t="n">
        <v>0</v>
      </c>
      <c r="N594" t="n">
        <v>0</v>
      </c>
      <c r="O594" t="n">
        <v>0</v>
      </c>
      <c r="P594" t="n">
        <v>0</v>
      </c>
      <c r="Q594" t="n">
        <v>0</v>
      </c>
      <c r="R594" s="2" t="inlineStr"/>
    </row>
    <row r="595" ht="15" customHeight="1">
      <c r="A595" t="inlineStr">
        <is>
          <t>A 18094-2025</t>
        </is>
      </c>
      <c r="B595" s="1" t="n">
        <v>45761.54710648148</v>
      </c>
      <c r="C595" s="1" t="n">
        <v>45982</v>
      </c>
      <c r="D595" t="inlineStr">
        <is>
          <t>UPPSALA LÄN</t>
        </is>
      </c>
      <c r="E595" t="inlineStr">
        <is>
          <t>ÖSTHAMMAR</t>
        </is>
      </c>
      <c r="F595" t="inlineStr">
        <is>
          <t>Bergvik skog öst AB</t>
        </is>
      </c>
      <c r="G595" t="n">
        <v>6.5</v>
      </c>
      <c r="H595" t="n">
        <v>0</v>
      </c>
      <c r="I595" t="n">
        <v>0</v>
      </c>
      <c r="J595" t="n">
        <v>0</v>
      </c>
      <c r="K595" t="n">
        <v>0</v>
      </c>
      <c r="L595" t="n">
        <v>0</v>
      </c>
      <c r="M595" t="n">
        <v>0</v>
      </c>
      <c r="N595" t="n">
        <v>0</v>
      </c>
      <c r="O595" t="n">
        <v>0</v>
      </c>
      <c r="P595" t="n">
        <v>0</v>
      </c>
      <c r="Q595" t="n">
        <v>0</v>
      </c>
      <c r="R595" s="2" t="inlineStr"/>
    </row>
    <row r="596" ht="15" customHeight="1">
      <c r="A596" t="inlineStr">
        <is>
          <t>A 67151-2021</t>
        </is>
      </c>
      <c r="B596" s="1" t="n">
        <v>44523</v>
      </c>
      <c r="C596" s="1" t="n">
        <v>45982</v>
      </c>
      <c r="D596" t="inlineStr">
        <is>
          <t>UPPSALA LÄN</t>
        </is>
      </c>
      <c r="E596" t="inlineStr">
        <is>
          <t>ÖSTHAMMAR</t>
        </is>
      </c>
      <c r="G596" t="n">
        <v>2.4</v>
      </c>
      <c r="H596" t="n">
        <v>0</v>
      </c>
      <c r="I596" t="n">
        <v>0</v>
      </c>
      <c r="J596" t="n">
        <v>0</v>
      </c>
      <c r="K596" t="n">
        <v>0</v>
      </c>
      <c r="L596" t="n">
        <v>0</v>
      </c>
      <c r="M596" t="n">
        <v>0</v>
      </c>
      <c r="N596" t="n">
        <v>0</v>
      </c>
      <c r="O596" t="n">
        <v>0</v>
      </c>
      <c r="P596" t="n">
        <v>0</v>
      </c>
      <c r="Q596" t="n">
        <v>0</v>
      </c>
      <c r="R596" s="2" t="inlineStr"/>
    </row>
    <row r="597" ht="15" customHeight="1">
      <c r="A597" t="inlineStr">
        <is>
          <t>A 9542-2023</t>
        </is>
      </c>
      <c r="B597" s="1" t="n">
        <v>44981</v>
      </c>
      <c r="C597" s="1" t="n">
        <v>45982</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36343-2022</t>
        </is>
      </c>
      <c r="B598" s="1" t="n">
        <v>44803.78524305556</v>
      </c>
      <c r="C598" s="1" t="n">
        <v>45982</v>
      </c>
      <c r="D598" t="inlineStr">
        <is>
          <t>UPPSALA LÄN</t>
        </is>
      </c>
      <c r="E598" t="inlineStr">
        <is>
          <t>ÖSTHAMMAR</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16933-2022</t>
        </is>
      </c>
      <c r="B599" s="1" t="n">
        <v>44676</v>
      </c>
      <c r="C599" s="1" t="n">
        <v>45982</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48083-2024</t>
        </is>
      </c>
      <c r="B600" s="1" t="n">
        <v>45589.58766203704</v>
      </c>
      <c r="C600" s="1" t="n">
        <v>45982</v>
      </c>
      <c r="D600" t="inlineStr">
        <is>
          <t>UPPSALA LÄN</t>
        </is>
      </c>
      <c r="E600" t="inlineStr">
        <is>
          <t>ÖSTHAMMAR</t>
        </is>
      </c>
      <c r="G600" t="n">
        <v>3</v>
      </c>
      <c r="H600" t="n">
        <v>0</v>
      </c>
      <c r="I600" t="n">
        <v>0</v>
      </c>
      <c r="J600" t="n">
        <v>0</v>
      </c>
      <c r="K600" t="n">
        <v>0</v>
      </c>
      <c r="L600" t="n">
        <v>0</v>
      </c>
      <c r="M600" t="n">
        <v>0</v>
      </c>
      <c r="N600" t="n">
        <v>0</v>
      </c>
      <c r="O600" t="n">
        <v>0</v>
      </c>
      <c r="P600" t="n">
        <v>0</v>
      </c>
      <c r="Q600" t="n">
        <v>0</v>
      </c>
      <c r="R600" s="2" t="inlineStr"/>
    </row>
    <row r="601" ht="15" customHeight="1">
      <c r="A601" t="inlineStr">
        <is>
          <t>A 14269-2025</t>
        </is>
      </c>
      <c r="B601" s="1" t="n">
        <v>45740.64078703704</v>
      </c>
      <c r="C601" s="1" t="n">
        <v>45982</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5855-2022</t>
        </is>
      </c>
      <c r="B602" s="1" t="n">
        <v>44596.63290509259</v>
      </c>
      <c r="C602" s="1" t="n">
        <v>45982</v>
      </c>
      <c r="D602" t="inlineStr">
        <is>
          <t>UPPSALA LÄN</t>
        </is>
      </c>
      <c r="E602" t="inlineStr">
        <is>
          <t>ÖSTHAMMAR</t>
        </is>
      </c>
      <c r="G602" t="n">
        <v>0.9</v>
      </c>
      <c r="H602" t="n">
        <v>0</v>
      </c>
      <c r="I602" t="n">
        <v>0</v>
      </c>
      <c r="J602" t="n">
        <v>0</v>
      </c>
      <c r="K602" t="n">
        <v>0</v>
      </c>
      <c r="L602" t="n">
        <v>0</v>
      </c>
      <c r="M602" t="n">
        <v>0</v>
      </c>
      <c r="N602" t="n">
        <v>0</v>
      </c>
      <c r="O602" t="n">
        <v>0</v>
      </c>
      <c r="P602" t="n">
        <v>0</v>
      </c>
      <c r="Q602" t="n">
        <v>0</v>
      </c>
      <c r="R602" s="2" t="inlineStr"/>
    </row>
    <row r="603" ht="15" customHeight="1">
      <c r="A603" t="inlineStr">
        <is>
          <t>A 13622-2025</t>
        </is>
      </c>
      <c r="B603" s="1" t="n">
        <v>45736</v>
      </c>
      <c r="C603" s="1" t="n">
        <v>45982</v>
      </c>
      <c r="D603" t="inlineStr">
        <is>
          <t>UPPSALA LÄN</t>
        </is>
      </c>
      <c r="E603" t="inlineStr">
        <is>
          <t>ÖSTHAMMAR</t>
        </is>
      </c>
      <c r="G603" t="n">
        <v>2.6</v>
      </c>
      <c r="H603" t="n">
        <v>0</v>
      </c>
      <c r="I603" t="n">
        <v>0</v>
      </c>
      <c r="J603" t="n">
        <v>0</v>
      </c>
      <c r="K603" t="n">
        <v>0</v>
      </c>
      <c r="L603" t="n">
        <v>0</v>
      </c>
      <c r="M603" t="n">
        <v>0</v>
      </c>
      <c r="N603" t="n">
        <v>0</v>
      </c>
      <c r="O603" t="n">
        <v>0</v>
      </c>
      <c r="P603" t="n">
        <v>0</v>
      </c>
      <c r="Q603" t="n">
        <v>0</v>
      </c>
      <c r="R603" s="2" t="inlineStr"/>
    </row>
    <row r="604" ht="15" customHeight="1">
      <c r="A604" t="inlineStr">
        <is>
          <t>A 56759-2024</t>
        </is>
      </c>
      <c r="B604" s="1" t="n">
        <v>45628.39877314815</v>
      </c>
      <c r="C604" s="1" t="n">
        <v>45982</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10275-2025</t>
        </is>
      </c>
      <c r="B605" s="1" t="n">
        <v>45720.39715277778</v>
      </c>
      <c r="C605" s="1" t="n">
        <v>45982</v>
      </c>
      <c r="D605" t="inlineStr">
        <is>
          <t>UPPSALA LÄN</t>
        </is>
      </c>
      <c r="E605" t="inlineStr">
        <is>
          <t>ÖSTHAMMAR</t>
        </is>
      </c>
      <c r="G605" t="n">
        <v>6.2</v>
      </c>
      <c r="H605" t="n">
        <v>0</v>
      </c>
      <c r="I605" t="n">
        <v>0</v>
      </c>
      <c r="J605" t="n">
        <v>0</v>
      </c>
      <c r="K605" t="n">
        <v>0</v>
      </c>
      <c r="L605" t="n">
        <v>0</v>
      </c>
      <c r="M605" t="n">
        <v>0</v>
      </c>
      <c r="N605" t="n">
        <v>0</v>
      </c>
      <c r="O605" t="n">
        <v>0</v>
      </c>
      <c r="P605" t="n">
        <v>0</v>
      </c>
      <c r="Q605" t="n">
        <v>0</v>
      </c>
      <c r="R605" s="2" t="inlineStr"/>
    </row>
    <row r="606" ht="15" customHeight="1">
      <c r="A606" t="inlineStr">
        <is>
          <t>A 24493-2023</t>
        </is>
      </c>
      <c r="B606" s="1" t="n">
        <v>45082.62603009259</v>
      </c>
      <c r="C606" s="1" t="n">
        <v>45982</v>
      </c>
      <c r="D606" t="inlineStr">
        <is>
          <t>UPPSALA LÄN</t>
        </is>
      </c>
      <c r="E606" t="inlineStr">
        <is>
          <t>ÖSTHAMMAR</t>
        </is>
      </c>
      <c r="G606" t="n">
        <v>1.9</v>
      </c>
      <c r="H606" t="n">
        <v>0</v>
      </c>
      <c r="I606" t="n">
        <v>0</v>
      </c>
      <c r="J606" t="n">
        <v>0</v>
      </c>
      <c r="K606" t="n">
        <v>0</v>
      </c>
      <c r="L606" t="n">
        <v>0</v>
      </c>
      <c r="M606" t="n">
        <v>0</v>
      </c>
      <c r="N606" t="n">
        <v>0</v>
      </c>
      <c r="O606" t="n">
        <v>0</v>
      </c>
      <c r="P606" t="n">
        <v>0</v>
      </c>
      <c r="Q606" t="n">
        <v>0</v>
      </c>
      <c r="R606" s="2" t="inlineStr"/>
    </row>
    <row r="607" ht="15" customHeight="1">
      <c r="A607" t="inlineStr">
        <is>
          <t>A 7560-2023</t>
        </is>
      </c>
      <c r="B607" s="1" t="n">
        <v>44972.34811342593</v>
      </c>
      <c r="C607" s="1" t="n">
        <v>45982</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19040-2023</t>
        </is>
      </c>
      <c r="B608" s="1" t="n">
        <v>45047</v>
      </c>
      <c r="C608" s="1" t="n">
        <v>45982</v>
      </c>
      <c r="D608" t="inlineStr">
        <is>
          <t>UPPSALA LÄN</t>
        </is>
      </c>
      <c r="E608" t="inlineStr">
        <is>
          <t>ÖSTHAMMAR</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4004-2023</t>
        </is>
      </c>
      <c r="B609" s="1" t="n">
        <v>44952</v>
      </c>
      <c r="C609" s="1" t="n">
        <v>45982</v>
      </c>
      <c r="D609" t="inlineStr">
        <is>
          <t>UPPSALA LÄN</t>
        </is>
      </c>
      <c r="E609" t="inlineStr">
        <is>
          <t>ÖSTHAMMAR</t>
        </is>
      </c>
      <c r="G609" t="n">
        <v>4.1</v>
      </c>
      <c r="H609" t="n">
        <v>0</v>
      </c>
      <c r="I609" t="n">
        <v>0</v>
      </c>
      <c r="J609" t="n">
        <v>0</v>
      </c>
      <c r="K609" t="n">
        <v>0</v>
      </c>
      <c r="L609" t="n">
        <v>0</v>
      </c>
      <c r="M609" t="n">
        <v>0</v>
      </c>
      <c r="N609" t="n">
        <v>0</v>
      </c>
      <c r="O609" t="n">
        <v>0</v>
      </c>
      <c r="P609" t="n">
        <v>0</v>
      </c>
      <c r="Q609" t="n">
        <v>0</v>
      </c>
      <c r="R609" s="2" t="inlineStr"/>
    </row>
    <row r="610" ht="15" customHeight="1">
      <c r="A610" t="inlineStr">
        <is>
          <t>A 31549-2022</t>
        </is>
      </c>
      <c r="B610" s="1" t="n">
        <v>44775.400625</v>
      </c>
      <c r="C610" s="1" t="n">
        <v>45982</v>
      </c>
      <c r="D610" t="inlineStr">
        <is>
          <t>UPPSALA LÄN</t>
        </is>
      </c>
      <c r="E610" t="inlineStr">
        <is>
          <t>ÖSTHAMMAR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36857-2023</t>
        </is>
      </c>
      <c r="B611" s="1" t="n">
        <v>45154.55175925926</v>
      </c>
      <c r="C611" s="1" t="n">
        <v>45982</v>
      </c>
      <c r="D611" t="inlineStr">
        <is>
          <t>UPPSALA LÄN</t>
        </is>
      </c>
      <c r="E611" t="inlineStr">
        <is>
          <t>ÖSTHAMMAR</t>
        </is>
      </c>
      <c r="G611" t="n">
        <v>0.5</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45982</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8699-2025</t>
        </is>
      </c>
      <c r="B613" s="1" t="n">
        <v>45712.47983796296</v>
      </c>
      <c r="C613" s="1" t="n">
        <v>45982</v>
      </c>
      <c r="D613" t="inlineStr">
        <is>
          <t>UPPSALA LÄN</t>
        </is>
      </c>
      <c r="E613" t="inlineStr">
        <is>
          <t>ÖSTHAMMAR</t>
        </is>
      </c>
      <c r="G613" t="n">
        <v>5.6</v>
      </c>
      <c r="H613" t="n">
        <v>0</v>
      </c>
      <c r="I613" t="n">
        <v>0</v>
      </c>
      <c r="J613" t="n">
        <v>0</v>
      </c>
      <c r="K613" t="n">
        <v>0</v>
      </c>
      <c r="L613" t="n">
        <v>0</v>
      </c>
      <c r="M613" t="n">
        <v>0</v>
      </c>
      <c r="N613" t="n">
        <v>0</v>
      </c>
      <c r="O613" t="n">
        <v>0</v>
      </c>
      <c r="P613" t="n">
        <v>0</v>
      </c>
      <c r="Q613" t="n">
        <v>0</v>
      </c>
      <c r="R613" s="2" t="inlineStr"/>
    </row>
    <row r="614" ht="15" customHeight="1">
      <c r="A614" t="inlineStr">
        <is>
          <t>A 8791-2025</t>
        </is>
      </c>
      <c r="B614" s="1" t="n">
        <v>45712</v>
      </c>
      <c r="C614" s="1" t="n">
        <v>45982</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31485-2023</t>
        </is>
      </c>
      <c r="B615" s="1" t="n">
        <v>45114</v>
      </c>
      <c r="C615" s="1" t="n">
        <v>45982</v>
      </c>
      <c r="D615" t="inlineStr">
        <is>
          <t>UPPSALA LÄN</t>
        </is>
      </c>
      <c r="E615" t="inlineStr">
        <is>
          <t>ÖSTHAMMAR</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25897-2023</t>
        </is>
      </c>
      <c r="B616" s="1" t="n">
        <v>45090.63300925926</v>
      </c>
      <c r="C616" s="1" t="n">
        <v>45982</v>
      </c>
      <c r="D616" t="inlineStr">
        <is>
          <t>UPPSALA LÄN</t>
        </is>
      </c>
      <c r="E616" t="inlineStr">
        <is>
          <t>ÖSTHAMMAR</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4101-2022</t>
        </is>
      </c>
      <c r="B617" s="1" t="n">
        <v>44588</v>
      </c>
      <c r="C617" s="1" t="n">
        <v>45982</v>
      </c>
      <c r="D617" t="inlineStr">
        <is>
          <t>UPPSALA LÄN</t>
        </is>
      </c>
      <c r="E617" t="inlineStr">
        <is>
          <t>ÖSTHAMMAR</t>
        </is>
      </c>
      <c r="G617" t="n">
        <v>4.4</v>
      </c>
      <c r="H617" t="n">
        <v>0</v>
      </c>
      <c r="I617" t="n">
        <v>0</v>
      </c>
      <c r="J617" t="n">
        <v>0</v>
      </c>
      <c r="K617" t="n">
        <v>0</v>
      </c>
      <c r="L617" t="n">
        <v>0</v>
      </c>
      <c r="M617" t="n">
        <v>0</v>
      </c>
      <c r="N617" t="n">
        <v>0</v>
      </c>
      <c r="O617" t="n">
        <v>0</v>
      </c>
      <c r="P617" t="n">
        <v>0</v>
      </c>
      <c r="Q617" t="n">
        <v>0</v>
      </c>
      <c r="R617" s="2" t="inlineStr"/>
    </row>
    <row r="618" ht="15" customHeight="1">
      <c r="A618" t="inlineStr">
        <is>
          <t>A 2839-2025</t>
        </is>
      </c>
      <c r="B618" s="1" t="n">
        <v>45677</v>
      </c>
      <c r="C618" s="1" t="n">
        <v>45982</v>
      </c>
      <c r="D618" t="inlineStr">
        <is>
          <t>UPPSALA LÄN</t>
        </is>
      </c>
      <c r="E618" t="inlineStr">
        <is>
          <t>ÖSTHAMMAR</t>
        </is>
      </c>
      <c r="F618" t="inlineStr">
        <is>
          <t>Övriga Aktiebolag</t>
        </is>
      </c>
      <c r="G618" t="n">
        <v>4</v>
      </c>
      <c r="H618" t="n">
        <v>0</v>
      </c>
      <c r="I618" t="n">
        <v>0</v>
      </c>
      <c r="J618" t="n">
        <v>0</v>
      </c>
      <c r="K618" t="n">
        <v>0</v>
      </c>
      <c r="L618" t="n">
        <v>0</v>
      </c>
      <c r="M618" t="n">
        <v>0</v>
      </c>
      <c r="N618" t="n">
        <v>0</v>
      </c>
      <c r="O618" t="n">
        <v>0</v>
      </c>
      <c r="P618" t="n">
        <v>0</v>
      </c>
      <c r="Q618" t="n">
        <v>0</v>
      </c>
      <c r="R618" s="2" t="inlineStr"/>
    </row>
    <row r="619" ht="15" customHeight="1">
      <c r="A619" t="inlineStr">
        <is>
          <t>A 67848-2021</t>
        </is>
      </c>
      <c r="B619" s="1" t="n">
        <v>44525</v>
      </c>
      <c r="C619" s="1" t="n">
        <v>45982</v>
      </c>
      <c r="D619" t="inlineStr">
        <is>
          <t>UPPSALA LÄN</t>
        </is>
      </c>
      <c r="E619" t="inlineStr">
        <is>
          <t>ÖSTHAMMAR</t>
        </is>
      </c>
      <c r="G619" t="n">
        <v>1</v>
      </c>
      <c r="H619" t="n">
        <v>0</v>
      </c>
      <c r="I619" t="n">
        <v>0</v>
      </c>
      <c r="J619" t="n">
        <v>0</v>
      </c>
      <c r="K619" t="n">
        <v>0</v>
      </c>
      <c r="L619" t="n">
        <v>0</v>
      </c>
      <c r="M619" t="n">
        <v>0</v>
      </c>
      <c r="N619" t="n">
        <v>0</v>
      </c>
      <c r="O619" t="n">
        <v>0</v>
      </c>
      <c r="P619" t="n">
        <v>0</v>
      </c>
      <c r="Q619" t="n">
        <v>0</v>
      </c>
      <c r="R619" s="2" t="inlineStr"/>
    </row>
    <row r="620" ht="15" customHeight="1">
      <c r="A620" t="inlineStr">
        <is>
          <t>A 38600-2023</t>
        </is>
      </c>
      <c r="B620" s="1" t="n">
        <v>45162</v>
      </c>
      <c r="C620" s="1" t="n">
        <v>45982</v>
      </c>
      <c r="D620" t="inlineStr">
        <is>
          <t>UPPSALA LÄN</t>
        </is>
      </c>
      <c r="E620" t="inlineStr">
        <is>
          <t>ÖSTHAMMAR</t>
        </is>
      </c>
      <c r="F620" t="inlineStr">
        <is>
          <t>Bergvik skog väst AB</t>
        </is>
      </c>
      <c r="G620" t="n">
        <v>0.1</v>
      </c>
      <c r="H620" t="n">
        <v>0</v>
      </c>
      <c r="I620" t="n">
        <v>0</v>
      </c>
      <c r="J620" t="n">
        <v>0</v>
      </c>
      <c r="K620" t="n">
        <v>0</v>
      </c>
      <c r="L620" t="n">
        <v>0</v>
      </c>
      <c r="M620" t="n">
        <v>0</v>
      </c>
      <c r="N620" t="n">
        <v>0</v>
      </c>
      <c r="O620" t="n">
        <v>0</v>
      </c>
      <c r="P620" t="n">
        <v>0</v>
      </c>
      <c r="Q620" t="n">
        <v>0</v>
      </c>
      <c r="R620" s="2" t="inlineStr"/>
    </row>
    <row r="621" ht="15" customHeight="1">
      <c r="A621" t="inlineStr">
        <is>
          <t>A 64811-2021</t>
        </is>
      </c>
      <c r="B621" s="1" t="n">
        <v>44512</v>
      </c>
      <c r="C621" s="1" t="n">
        <v>45982</v>
      </c>
      <c r="D621" t="inlineStr">
        <is>
          <t>UPPSALA LÄN</t>
        </is>
      </c>
      <c r="E621" t="inlineStr">
        <is>
          <t>ÖSTHAMMAR</t>
        </is>
      </c>
      <c r="G621" t="n">
        <v>4.2</v>
      </c>
      <c r="H621" t="n">
        <v>0</v>
      </c>
      <c r="I621" t="n">
        <v>0</v>
      </c>
      <c r="J621" t="n">
        <v>0</v>
      </c>
      <c r="K621" t="n">
        <v>0</v>
      </c>
      <c r="L621" t="n">
        <v>0</v>
      </c>
      <c r="M621" t="n">
        <v>0</v>
      </c>
      <c r="N621" t="n">
        <v>0</v>
      </c>
      <c r="O621" t="n">
        <v>0</v>
      </c>
      <c r="P621" t="n">
        <v>0</v>
      </c>
      <c r="Q621" t="n">
        <v>0</v>
      </c>
      <c r="R621" s="2" t="inlineStr"/>
    </row>
    <row r="622" ht="15" customHeight="1">
      <c r="A622" t="inlineStr">
        <is>
          <t>A 56382-2022</t>
        </is>
      </c>
      <c r="B622" s="1" t="n">
        <v>44890.75795138889</v>
      </c>
      <c r="C622" s="1" t="n">
        <v>45982</v>
      </c>
      <c r="D622" t="inlineStr">
        <is>
          <t>UPPSALA LÄN</t>
        </is>
      </c>
      <c r="E622" t="inlineStr">
        <is>
          <t>ÖSTHAMMAR</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45982</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59880-2022</t>
        </is>
      </c>
      <c r="B624" s="1" t="n">
        <v>44908.69575231482</v>
      </c>
      <c r="C624" s="1" t="n">
        <v>45982</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7944-2023</t>
        </is>
      </c>
      <c r="B625" s="1" t="n">
        <v>44973.66458333333</v>
      </c>
      <c r="C625" s="1" t="n">
        <v>45982</v>
      </c>
      <c r="D625" t="inlineStr">
        <is>
          <t>UPPSALA LÄN</t>
        </is>
      </c>
      <c r="E625" t="inlineStr">
        <is>
          <t>ÖSTHAMMAR</t>
        </is>
      </c>
      <c r="G625" t="n">
        <v>4.6</v>
      </c>
      <c r="H625" t="n">
        <v>0</v>
      </c>
      <c r="I625" t="n">
        <v>0</v>
      </c>
      <c r="J625" t="n">
        <v>0</v>
      </c>
      <c r="K625" t="n">
        <v>0</v>
      </c>
      <c r="L625" t="n">
        <v>0</v>
      </c>
      <c r="M625" t="n">
        <v>0</v>
      </c>
      <c r="N625" t="n">
        <v>0</v>
      </c>
      <c r="O625" t="n">
        <v>0</v>
      </c>
      <c r="P625" t="n">
        <v>0</v>
      </c>
      <c r="Q625" t="n">
        <v>0</v>
      </c>
      <c r="R625" s="2" t="inlineStr"/>
    </row>
    <row r="626" ht="15" customHeight="1">
      <c r="A626" t="inlineStr">
        <is>
          <t>A 52659-2021</t>
        </is>
      </c>
      <c r="B626" s="1" t="n">
        <v>44466</v>
      </c>
      <c r="C626" s="1" t="n">
        <v>45982</v>
      </c>
      <c r="D626" t="inlineStr">
        <is>
          <t>UPPSALA LÄN</t>
        </is>
      </c>
      <c r="E626" t="inlineStr">
        <is>
          <t>ÖSTHAMMAR</t>
        </is>
      </c>
      <c r="G626" t="n">
        <v>13</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45982</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73965-2021</t>
        </is>
      </c>
      <c r="B628" s="1" t="n">
        <v>44553.80824074074</v>
      </c>
      <c r="C628" s="1" t="n">
        <v>45982</v>
      </c>
      <c r="D628" t="inlineStr">
        <is>
          <t>UPPSALA LÄN</t>
        </is>
      </c>
      <c r="E628" t="inlineStr">
        <is>
          <t>ÖSTHAMMAR</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3418-2025</t>
        </is>
      </c>
      <c r="B629" s="1" t="n">
        <v>45680</v>
      </c>
      <c r="C629" s="1" t="n">
        <v>45982</v>
      </c>
      <c r="D629" t="inlineStr">
        <is>
          <t>UPPSALA LÄN</t>
        </is>
      </c>
      <c r="E629" t="inlineStr">
        <is>
          <t>ÖSTHAMMAR</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3420-2025</t>
        </is>
      </c>
      <c r="B630" s="1" t="n">
        <v>45680</v>
      </c>
      <c r="C630" s="1" t="n">
        <v>45982</v>
      </c>
      <c r="D630" t="inlineStr">
        <is>
          <t>UPPSALA LÄN</t>
        </is>
      </c>
      <c r="E630" t="inlineStr">
        <is>
          <t>ÖSTHAMMAR</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5303-2025</t>
        </is>
      </c>
      <c r="B631" s="1" t="n">
        <v>45692</v>
      </c>
      <c r="C631" s="1" t="n">
        <v>45982</v>
      </c>
      <c r="D631" t="inlineStr">
        <is>
          <t>UPPSALA LÄN</t>
        </is>
      </c>
      <c r="E631" t="inlineStr">
        <is>
          <t>ÖSTHAMMAR</t>
        </is>
      </c>
      <c r="G631" t="n">
        <v>5</v>
      </c>
      <c r="H631" t="n">
        <v>0</v>
      </c>
      <c r="I631" t="n">
        <v>0</v>
      </c>
      <c r="J631" t="n">
        <v>0</v>
      </c>
      <c r="K631" t="n">
        <v>0</v>
      </c>
      <c r="L631" t="n">
        <v>0</v>
      </c>
      <c r="M631" t="n">
        <v>0</v>
      </c>
      <c r="N631" t="n">
        <v>0</v>
      </c>
      <c r="O631" t="n">
        <v>0</v>
      </c>
      <c r="P631" t="n">
        <v>0</v>
      </c>
      <c r="Q631" t="n">
        <v>0</v>
      </c>
      <c r="R631" s="2" t="inlineStr"/>
    </row>
    <row r="632" ht="15" customHeight="1">
      <c r="A632" t="inlineStr">
        <is>
          <t>A 52661-2022</t>
        </is>
      </c>
      <c r="B632" s="1" t="n">
        <v>44874</v>
      </c>
      <c r="C632" s="1" t="n">
        <v>45982</v>
      </c>
      <c r="D632" t="inlineStr">
        <is>
          <t>UPPSALA LÄN</t>
        </is>
      </c>
      <c r="E632" t="inlineStr">
        <is>
          <t>ÖSTHAMMAR</t>
        </is>
      </c>
      <c r="F632" t="inlineStr">
        <is>
          <t>Bergvik skog öst AB</t>
        </is>
      </c>
      <c r="G632" t="n">
        <v>0.2</v>
      </c>
      <c r="H632" t="n">
        <v>0</v>
      </c>
      <c r="I632" t="n">
        <v>0</v>
      </c>
      <c r="J632" t="n">
        <v>0</v>
      </c>
      <c r="K632" t="n">
        <v>0</v>
      </c>
      <c r="L632" t="n">
        <v>0</v>
      </c>
      <c r="M632" t="n">
        <v>0</v>
      </c>
      <c r="N632" t="n">
        <v>0</v>
      </c>
      <c r="O632" t="n">
        <v>0</v>
      </c>
      <c r="P632" t="n">
        <v>0</v>
      </c>
      <c r="Q632" t="n">
        <v>0</v>
      </c>
      <c r="R632" s="2" t="inlineStr"/>
    </row>
    <row r="633" ht="15" customHeight="1">
      <c r="A633" t="inlineStr">
        <is>
          <t>A 65028-2021</t>
        </is>
      </c>
      <c r="B633" s="1" t="n">
        <v>44515</v>
      </c>
      <c r="C633" s="1" t="n">
        <v>45982</v>
      </c>
      <c r="D633" t="inlineStr">
        <is>
          <t>UPPSALA LÄN</t>
        </is>
      </c>
      <c r="E633" t="inlineStr">
        <is>
          <t>ÖSTHAMMAR</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40547-2023</t>
        </is>
      </c>
      <c r="B634" s="1" t="n">
        <v>45170.45050925926</v>
      </c>
      <c r="C634" s="1" t="n">
        <v>45982</v>
      </c>
      <c r="D634" t="inlineStr">
        <is>
          <t>UPPSALA LÄN</t>
        </is>
      </c>
      <c r="E634" t="inlineStr">
        <is>
          <t>ÖSTHAMMAR</t>
        </is>
      </c>
      <c r="G634" t="n">
        <v>2.1</v>
      </c>
      <c r="H634" t="n">
        <v>0</v>
      </c>
      <c r="I634" t="n">
        <v>0</v>
      </c>
      <c r="J634" t="n">
        <v>0</v>
      </c>
      <c r="K634" t="n">
        <v>0</v>
      </c>
      <c r="L634" t="n">
        <v>0</v>
      </c>
      <c r="M634" t="n">
        <v>0</v>
      </c>
      <c r="N634" t="n">
        <v>0</v>
      </c>
      <c r="O634" t="n">
        <v>0</v>
      </c>
      <c r="P634" t="n">
        <v>0</v>
      </c>
      <c r="Q634" t="n">
        <v>0</v>
      </c>
      <c r="R634" s="2" t="inlineStr"/>
    </row>
    <row r="635" ht="15" customHeight="1">
      <c r="A635" t="inlineStr">
        <is>
          <t>A 8874-2025</t>
        </is>
      </c>
      <c r="B635" s="1" t="n">
        <v>45713</v>
      </c>
      <c r="C635" s="1" t="n">
        <v>45982</v>
      </c>
      <c r="D635" t="inlineStr">
        <is>
          <t>UPPSALA LÄN</t>
        </is>
      </c>
      <c r="E635" t="inlineStr">
        <is>
          <t>ÖSTHAMMAR</t>
        </is>
      </c>
      <c r="G635" t="n">
        <v>6.3</v>
      </c>
      <c r="H635" t="n">
        <v>0</v>
      </c>
      <c r="I635" t="n">
        <v>0</v>
      </c>
      <c r="J635" t="n">
        <v>0</v>
      </c>
      <c r="K635" t="n">
        <v>0</v>
      </c>
      <c r="L635" t="n">
        <v>0</v>
      </c>
      <c r="M635" t="n">
        <v>0</v>
      </c>
      <c r="N635" t="n">
        <v>0</v>
      </c>
      <c r="O635" t="n">
        <v>0</v>
      </c>
      <c r="P635" t="n">
        <v>0</v>
      </c>
      <c r="Q635" t="n">
        <v>0</v>
      </c>
      <c r="R635" s="2" t="inlineStr"/>
    </row>
    <row r="636" ht="15" customHeight="1">
      <c r="A636" t="inlineStr">
        <is>
          <t>A 14505-2023</t>
        </is>
      </c>
      <c r="B636" s="1" t="n">
        <v>45012.7975</v>
      </c>
      <c r="C636" s="1" t="n">
        <v>45982</v>
      </c>
      <c r="D636" t="inlineStr">
        <is>
          <t>UPPSALA LÄN</t>
        </is>
      </c>
      <c r="E636" t="inlineStr">
        <is>
          <t>ÖSTHAMMAR</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47341-2023</t>
        </is>
      </c>
      <c r="B637" s="1" t="n">
        <v>45202.55721064815</v>
      </c>
      <c r="C637" s="1" t="n">
        <v>45982</v>
      </c>
      <c r="D637" t="inlineStr">
        <is>
          <t>UPPSALA LÄN</t>
        </is>
      </c>
      <c r="E637" t="inlineStr">
        <is>
          <t>ÖSTHAMMAR</t>
        </is>
      </c>
      <c r="G637" t="n">
        <v>4.9</v>
      </c>
      <c r="H637" t="n">
        <v>0</v>
      </c>
      <c r="I637" t="n">
        <v>0</v>
      </c>
      <c r="J637" t="n">
        <v>0</v>
      </c>
      <c r="K637" t="n">
        <v>0</v>
      </c>
      <c r="L637" t="n">
        <v>0</v>
      </c>
      <c r="M637" t="n">
        <v>0</v>
      </c>
      <c r="N637" t="n">
        <v>0</v>
      </c>
      <c r="O637" t="n">
        <v>0</v>
      </c>
      <c r="P637" t="n">
        <v>0</v>
      </c>
      <c r="Q637" t="n">
        <v>0</v>
      </c>
      <c r="R637" s="2" t="inlineStr"/>
    </row>
    <row r="638" ht="15" customHeight="1">
      <c r="A638" t="inlineStr">
        <is>
          <t>A 3732-2022</t>
        </is>
      </c>
      <c r="B638" s="1" t="n">
        <v>44586.64851851852</v>
      </c>
      <c r="C638" s="1" t="n">
        <v>45982</v>
      </c>
      <c r="D638" t="inlineStr">
        <is>
          <t>UPPSALA LÄN</t>
        </is>
      </c>
      <c r="E638" t="inlineStr">
        <is>
          <t>ÖSTHAMMAR</t>
        </is>
      </c>
      <c r="F638" t="inlineStr">
        <is>
          <t>Bergvik skog öst AB</t>
        </is>
      </c>
      <c r="G638" t="n">
        <v>3.6</v>
      </c>
      <c r="H638" t="n">
        <v>0</v>
      </c>
      <c r="I638" t="n">
        <v>0</v>
      </c>
      <c r="J638" t="n">
        <v>0</v>
      </c>
      <c r="K638" t="n">
        <v>0</v>
      </c>
      <c r="L638" t="n">
        <v>0</v>
      </c>
      <c r="M638" t="n">
        <v>0</v>
      </c>
      <c r="N638" t="n">
        <v>0</v>
      </c>
      <c r="O638" t="n">
        <v>0</v>
      </c>
      <c r="P638" t="n">
        <v>0</v>
      </c>
      <c r="Q638" t="n">
        <v>0</v>
      </c>
      <c r="R638" s="2" t="inlineStr"/>
    </row>
    <row r="639" ht="15" customHeight="1">
      <c r="A639" t="inlineStr">
        <is>
          <t>A 33056-2021</t>
        </is>
      </c>
      <c r="B639" s="1" t="n">
        <v>44376.52438657408</v>
      </c>
      <c r="C639" s="1" t="n">
        <v>45982</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25269-2024</t>
        </is>
      </c>
      <c r="B640" s="1" t="n">
        <v>45462</v>
      </c>
      <c r="C640" s="1" t="n">
        <v>45982</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13352-2023</t>
        </is>
      </c>
      <c r="B641" s="1" t="n">
        <v>45005</v>
      </c>
      <c r="C641" s="1" t="n">
        <v>45982</v>
      </c>
      <c r="D641" t="inlineStr">
        <is>
          <t>UPPSALA LÄN</t>
        </is>
      </c>
      <c r="E641" t="inlineStr">
        <is>
          <t>ÖSTHAMMAR</t>
        </is>
      </c>
      <c r="G641" t="n">
        <v>1.8</v>
      </c>
      <c r="H641" t="n">
        <v>0</v>
      </c>
      <c r="I641" t="n">
        <v>0</v>
      </c>
      <c r="J641" t="n">
        <v>0</v>
      </c>
      <c r="K641" t="n">
        <v>0</v>
      </c>
      <c r="L641" t="n">
        <v>0</v>
      </c>
      <c r="M641" t="n">
        <v>0</v>
      </c>
      <c r="N641" t="n">
        <v>0</v>
      </c>
      <c r="O641" t="n">
        <v>0</v>
      </c>
      <c r="P641" t="n">
        <v>0</v>
      </c>
      <c r="Q641" t="n">
        <v>0</v>
      </c>
      <c r="R641" s="2" t="inlineStr"/>
    </row>
    <row r="642" ht="15" customHeight="1">
      <c r="A642" t="inlineStr">
        <is>
          <t>A 22804-2022</t>
        </is>
      </c>
      <c r="B642" s="1" t="n">
        <v>44715</v>
      </c>
      <c r="C642" s="1" t="n">
        <v>45982</v>
      </c>
      <c r="D642" t="inlineStr">
        <is>
          <t>UPPSALA LÄN</t>
        </is>
      </c>
      <c r="E642" t="inlineStr">
        <is>
          <t>ÖSTHAMMAR</t>
        </is>
      </c>
      <c r="G642" t="n">
        <v>2.7</v>
      </c>
      <c r="H642" t="n">
        <v>0</v>
      </c>
      <c r="I642" t="n">
        <v>0</v>
      </c>
      <c r="J642" t="n">
        <v>0</v>
      </c>
      <c r="K642" t="n">
        <v>0</v>
      </c>
      <c r="L642" t="n">
        <v>0</v>
      </c>
      <c r="M642" t="n">
        <v>0</v>
      </c>
      <c r="N642" t="n">
        <v>0</v>
      </c>
      <c r="O642" t="n">
        <v>0</v>
      </c>
      <c r="P642" t="n">
        <v>0</v>
      </c>
      <c r="Q642" t="n">
        <v>0</v>
      </c>
      <c r="R642" s="2" t="inlineStr"/>
    </row>
    <row r="643" ht="15" customHeight="1">
      <c r="A643" t="inlineStr">
        <is>
          <t>A 45795-2023</t>
        </is>
      </c>
      <c r="B643" s="1" t="n">
        <v>45195</v>
      </c>
      <c r="C643" s="1" t="n">
        <v>45982</v>
      </c>
      <c r="D643" t="inlineStr">
        <is>
          <t>UPPSALA LÄN</t>
        </is>
      </c>
      <c r="E643" t="inlineStr">
        <is>
          <t>ÖSTHAMMAR</t>
        </is>
      </c>
      <c r="G643" t="n">
        <v>4</v>
      </c>
      <c r="H643" t="n">
        <v>0</v>
      </c>
      <c r="I643" t="n">
        <v>0</v>
      </c>
      <c r="J643" t="n">
        <v>0</v>
      </c>
      <c r="K643" t="n">
        <v>0</v>
      </c>
      <c r="L643" t="n">
        <v>0</v>
      </c>
      <c r="M643" t="n">
        <v>0</v>
      </c>
      <c r="N643" t="n">
        <v>0</v>
      </c>
      <c r="O643" t="n">
        <v>0</v>
      </c>
      <c r="P643" t="n">
        <v>0</v>
      </c>
      <c r="Q643" t="n">
        <v>0</v>
      </c>
      <c r="R643" s="2" t="inlineStr"/>
    </row>
    <row r="644" ht="15" customHeight="1">
      <c r="A644" t="inlineStr">
        <is>
          <t>A 7997-2022</t>
        </is>
      </c>
      <c r="B644" s="1" t="n">
        <v>44609</v>
      </c>
      <c r="C644" s="1" t="n">
        <v>45982</v>
      </c>
      <c r="D644" t="inlineStr">
        <is>
          <t>UPPSALA LÄN</t>
        </is>
      </c>
      <c r="E644" t="inlineStr">
        <is>
          <t>ÖSTHAMMAR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67199-2021</t>
        </is>
      </c>
      <c r="B645" s="1" t="n">
        <v>44523.46197916667</v>
      </c>
      <c r="C645" s="1" t="n">
        <v>45982</v>
      </c>
      <c r="D645" t="inlineStr">
        <is>
          <t>UPPSALA LÄN</t>
        </is>
      </c>
      <c r="E645" t="inlineStr">
        <is>
          <t>ÖSTHAMMAR</t>
        </is>
      </c>
      <c r="G645" t="n">
        <v>2.3</v>
      </c>
      <c r="H645" t="n">
        <v>0</v>
      </c>
      <c r="I645" t="n">
        <v>0</v>
      </c>
      <c r="J645" t="n">
        <v>0</v>
      </c>
      <c r="K645" t="n">
        <v>0</v>
      </c>
      <c r="L645" t="n">
        <v>0</v>
      </c>
      <c r="M645" t="n">
        <v>0</v>
      </c>
      <c r="N645" t="n">
        <v>0</v>
      </c>
      <c r="O645" t="n">
        <v>0</v>
      </c>
      <c r="P645" t="n">
        <v>0</v>
      </c>
      <c r="Q645" t="n">
        <v>0</v>
      </c>
      <c r="R645" s="2" t="inlineStr"/>
    </row>
    <row r="646" ht="15" customHeight="1">
      <c r="A646" t="inlineStr">
        <is>
          <t>A 15449-2022</t>
        </is>
      </c>
      <c r="B646" s="1" t="n">
        <v>44660.91659722223</v>
      </c>
      <c r="C646" s="1" t="n">
        <v>45982</v>
      </c>
      <c r="D646" t="inlineStr">
        <is>
          <t>UPPSALA LÄN</t>
        </is>
      </c>
      <c r="E646" t="inlineStr">
        <is>
          <t>ÖSTHAMMAR</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18183-2022</t>
        </is>
      </c>
      <c r="B647" s="1" t="n">
        <v>44684</v>
      </c>
      <c r="C647" s="1" t="n">
        <v>45982</v>
      </c>
      <c r="D647" t="inlineStr">
        <is>
          <t>UPPSALA LÄN</t>
        </is>
      </c>
      <c r="E647" t="inlineStr">
        <is>
          <t>ÖSTHAMMAR</t>
        </is>
      </c>
      <c r="G647" t="n">
        <v>0.2</v>
      </c>
      <c r="H647" t="n">
        <v>0</v>
      </c>
      <c r="I647" t="n">
        <v>0</v>
      </c>
      <c r="J647" t="n">
        <v>0</v>
      </c>
      <c r="K647" t="n">
        <v>0</v>
      </c>
      <c r="L647" t="n">
        <v>0</v>
      </c>
      <c r="M647" t="n">
        <v>0</v>
      </c>
      <c r="N647" t="n">
        <v>0</v>
      </c>
      <c r="O647" t="n">
        <v>0</v>
      </c>
      <c r="P647" t="n">
        <v>0</v>
      </c>
      <c r="Q647" t="n">
        <v>0</v>
      </c>
      <c r="R647" s="2" t="inlineStr"/>
    </row>
    <row r="648" ht="15" customHeight="1">
      <c r="A648" t="inlineStr">
        <is>
          <t>A 6892-2022</t>
        </is>
      </c>
      <c r="B648" s="1" t="n">
        <v>44602</v>
      </c>
      <c r="C648" s="1" t="n">
        <v>45982</v>
      </c>
      <c r="D648" t="inlineStr">
        <is>
          <t>UPPSALA LÄN</t>
        </is>
      </c>
      <c r="E648" t="inlineStr">
        <is>
          <t>ÖSTHAMMAR</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62295-2022</t>
        </is>
      </c>
      <c r="B649" s="1" t="n">
        <v>44916</v>
      </c>
      <c r="C649" s="1" t="n">
        <v>45982</v>
      </c>
      <c r="D649" t="inlineStr">
        <is>
          <t>UPPSALA LÄN</t>
        </is>
      </c>
      <c r="E649" t="inlineStr">
        <is>
          <t>ÖSTHAMMAR</t>
        </is>
      </c>
      <c r="G649" t="n">
        <v>3.3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45982</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18091-2023</t>
        </is>
      </c>
      <c r="B651" s="1" t="n">
        <v>45040</v>
      </c>
      <c r="C651" s="1" t="n">
        <v>45982</v>
      </c>
      <c r="D651" t="inlineStr">
        <is>
          <t>UPPSALA LÄN</t>
        </is>
      </c>
      <c r="E651" t="inlineStr">
        <is>
          <t>ÖSTHAMMAR</t>
        </is>
      </c>
      <c r="G651" t="n">
        <v>2.4</v>
      </c>
      <c r="H651" t="n">
        <v>0</v>
      </c>
      <c r="I651" t="n">
        <v>0</v>
      </c>
      <c r="J651" t="n">
        <v>0</v>
      </c>
      <c r="K651" t="n">
        <v>0</v>
      </c>
      <c r="L651" t="n">
        <v>0</v>
      </c>
      <c r="M651" t="n">
        <v>0</v>
      </c>
      <c r="N651" t="n">
        <v>0</v>
      </c>
      <c r="O651" t="n">
        <v>0</v>
      </c>
      <c r="P651" t="n">
        <v>0</v>
      </c>
      <c r="Q651" t="n">
        <v>0</v>
      </c>
      <c r="R651" s="2" t="inlineStr"/>
    </row>
    <row r="652" ht="15" customHeight="1">
      <c r="A652" t="inlineStr">
        <is>
          <t>A 47522-2023</t>
        </is>
      </c>
      <c r="B652" s="1" t="n">
        <v>45203</v>
      </c>
      <c r="C652" s="1" t="n">
        <v>45982</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13358-2024</t>
        </is>
      </c>
      <c r="B653" s="1" t="n">
        <v>45387.3503125</v>
      </c>
      <c r="C653" s="1" t="n">
        <v>45982</v>
      </c>
      <c r="D653" t="inlineStr">
        <is>
          <t>UPPSALA LÄN</t>
        </is>
      </c>
      <c r="E653" t="inlineStr">
        <is>
          <t>ÖSTHAMMAR</t>
        </is>
      </c>
      <c r="G653" t="n">
        <v>2.2</v>
      </c>
      <c r="H653" t="n">
        <v>0</v>
      </c>
      <c r="I653" t="n">
        <v>0</v>
      </c>
      <c r="J653" t="n">
        <v>0</v>
      </c>
      <c r="K653" t="n">
        <v>0</v>
      </c>
      <c r="L653" t="n">
        <v>0</v>
      </c>
      <c r="M653" t="n">
        <v>0</v>
      </c>
      <c r="N653" t="n">
        <v>0</v>
      </c>
      <c r="O653" t="n">
        <v>0</v>
      </c>
      <c r="P653" t="n">
        <v>0</v>
      </c>
      <c r="Q653" t="n">
        <v>0</v>
      </c>
      <c r="R653" s="2" t="inlineStr"/>
    </row>
    <row r="654" ht="15" customHeight="1">
      <c r="A654" t="inlineStr">
        <is>
          <t>A 29282-2021</t>
        </is>
      </c>
      <c r="B654" s="1" t="n">
        <v>44361</v>
      </c>
      <c r="C654" s="1" t="n">
        <v>45982</v>
      </c>
      <c r="D654" t="inlineStr">
        <is>
          <t>UPPSALA LÄN</t>
        </is>
      </c>
      <c r="E654" t="inlineStr">
        <is>
          <t>ÖSTHAMMAR</t>
        </is>
      </c>
      <c r="G654" t="n">
        <v>2.4</v>
      </c>
      <c r="H654" t="n">
        <v>0</v>
      </c>
      <c r="I654" t="n">
        <v>0</v>
      </c>
      <c r="J654" t="n">
        <v>0</v>
      </c>
      <c r="K654" t="n">
        <v>0</v>
      </c>
      <c r="L654" t="n">
        <v>0</v>
      </c>
      <c r="M654" t="n">
        <v>0</v>
      </c>
      <c r="N654" t="n">
        <v>0</v>
      </c>
      <c r="O654" t="n">
        <v>0</v>
      </c>
      <c r="P654" t="n">
        <v>0</v>
      </c>
      <c r="Q654" t="n">
        <v>0</v>
      </c>
      <c r="R654" s="2" t="inlineStr"/>
    </row>
    <row r="655" ht="15" customHeight="1">
      <c r="A655" t="inlineStr">
        <is>
          <t>A 54366-2023</t>
        </is>
      </c>
      <c r="B655" s="1" t="n">
        <v>45233</v>
      </c>
      <c r="C655" s="1" t="n">
        <v>45982</v>
      </c>
      <c r="D655" t="inlineStr">
        <is>
          <t>UPPSALA LÄN</t>
        </is>
      </c>
      <c r="E655" t="inlineStr">
        <is>
          <t>ÖSTHAMMAR</t>
        </is>
      </c>
      <c r="F655" t="inlineStr">
        <is>
          <t>Bergvik skog öst AB</t>
        </is>
      </c>
      <c r="G655" t="n">
        <v>2.9</v>
      </c>
      <c r="H655" t="n">
        <v>0</v>
      </c>
      <c r="I655" t="n">
        <v>0</v>
      </c>
      <c r="J655" t="n">
        <v>0</v>
      </c>
      <c r="K655" t="n">
        <v>0</v>
      </c>
      <c r="L655" t="n">
        <v>0</v>
      </c>
      <c r="M655" t="n">
        <v>0</v>
      </c>
      <c r="N655" t="n">
        <v>0</v>
      </c>
      <c r="O655" t="n">
        <v>0</v>
      </c>
      <c r="P655" t="n">
        <v>0</v>
      </c>
      <c r="Q655" t="n">
        <v>0</v>
      </c>
      <c r="R655" s="2" t="inlineStr"/>
    </row>
    <row r="656" ht="15" customHeight="1">
      <c r="A656" t="inlineStr">
        <is>
          <t>A 52694-2023</t>
        </is>
      </c>
      <c r="B656" s="1" t="n">
        <v>45225.76836805556</v>
      </c>
      <c r="C656" s="1" t="n">
        <v>45982</v>
      </c>
      <c r="D656" t="inlineStr">
        <is>
          <t>UPPSALA LÄN</t>
        </is>
      </c>
      <c r="E656" t="inlineStr">
        <is>
          <t>ÖSTHAMMAR</t>
        </is>
      </c>
      <c r="G656" t="n">
        <v>0.8</v>
      </c>
      <c r="H656" t="n">
        <v>0</v>
      </c>
      <c r="I656" t="n">
        <v>0</v>
      </c>
      <c r="J656" t="n">
        <v>0</v>
      </c>
      <c r="K656" t="n">
        <v>0</v>
      </c>
      <c r="L656" t="n">
        <v>0</v>
      </c>
      <c r="M656" t="n">
        <v>0</v>
      </c>
      <c r="N656" t="n">
        <v>0</v>
      </c>
      <c r="O656" t="n">
        <v>0</v>
      </c>
      <c r="P656" t="n">
        <v>0</v>
      </c>
      <c r="Q656" t="n">
        <v>0</v>
      </c>
      <c r="R656" s="2" t="inlineStr"/>
    </row>
    <row r="657" ht="15" customHeight="1">
      <c r="A657" t="inlineStr">
        <is>
          <t>A 23120-2021</t>
        </is>
      </c>
      <c r="B657" s="1" t="n">
        <v>44330</v>
      </c>
      <c r="C657" s="1" t="n">
        <v>45982</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36873-2022</t>
        </is>
      </c>
      <c r="B658" s="1" t="n">
        <v>44805.63708333333</v>
      </c>
      <c r="C658" s="1" t="n">
        <v>45982</v>
      </c>
      <c r="D658" t="inlineStr">
        <is>
          <t>UPPSALA LÄN</t>
        </is>
      </c>
      <c r="E658" t="inlineStr">
        <is>
          <t>ÖSTHAMMAR</t>
        </is>
      </c>
      <c r="G658" t="n">
        <v>2.5</v>
      </c>
      <c r="H658" t="n">
        <v>0</v>
      </c>
      <c r="I658" t="n">
        <v>0</v>
      </c>
      <c r="J658" t="n">
        <v>0</v>
      </c>
      <c r="K658" t="n">
        <v>0</v>
      </c>
      <c r="L658" t="n">
        <v>0</v>
      </c>
      <c r="M658" t="n">
        <v>0</v>
      </c>
      <c r="N658" t="n">
        <v>0</v>
      </c>
      <c r="O658" t="n">
        <v>0</v>
      </c>
      <c r="P658" t="n">
        <v>0</v>
      </c>
      <c r="Q658" t="n">
        <v>0</v>
      </c>
      <c r="R658" s="2" t="inlineStr"/>
    </row>
    <row r="659" ht="15" customHeight="1">
      <c r="A659" t="inlineStr">
        <is>
          <t>A 54666-2022</t>
        </is>
      </c>
      <c r="B659" s="1" t="n">
        <v>44883</v>
      </c>
      <c r="C659" s="1" t="n">
        <v>45982</v>
      </c>
      <c r="D659" t="inlineStr">
        <is>
          <t>UPPSALA LÄN</t>
        </is>
      </c>
      <c r="E659" t="inlineStr">
        <is>
          <t>ÖSTHAMMAR</t>
        </is>
      </c>
      <c r="G659" t="n">
        <v>14.3</v>
      </c>
      <c r="H659" t="n">
        <v>0</v>
      </c>
      <c r="I659" t="n">
        <v>0</v>
      </c>
      <c r="J659" t="n">
        <v>0</v>
      </c>
      <c r="K659" t="n">
        <v>0</v>
      </c>
      <c r="L659" t="n">
        <v>0</v>
      </c>
      <c r="M659" t="n">
        <v>0</v>
      </c>
      <c r="N659" t="n">
        <v>0</v>
      </c>
      <c r="O659" t="n">
        <v>0</v>
      </c>
      <c r="P659" t="n">
        <v>0</v>
      </c>
      <c r="Q659" t="n">
        <v>0</v>
      </c>
      <c r="R659" s="2" t="inlineStr"/>
    </row>
    <row r="660" ht="15" customHeight="1">
      <c r="A660" t="inlineStr">
        <is>
          <t>A 61817-2021</t>
        </is>
      </c>
      <c r="B660" s="1" t="n">
        <v>44501.76855324074</v>
      </c>
      <c r="C660" s="1" t="n">
        <v>45982</v>
      </c>
      <c r="D660" t="inlineStr">
        <is>
          <t>UPPSALA LÄN</t>
        </is>
      </c>
      <c r="E660" t="inlineStr">
        <is>
          <t>ÖSTHAMMAR</t>
        </is>
      </c>
      <c r="F660" t="inlineStr">
        <is>
          <t>Bergvik skog öst AB</t>
        </is>
      </c>
      <c r="G660" t="n">
        <v>2.3</v>
      </c>
      <c r="H660" t="n">
        <v>0</v>
      </c>
      <c r="I660" t="n">
        <v>0</v>
      </c>
      <c r="J660" t="n">
        <v>0</v>
      </c>
      <c r="K660" t="n">
        <v>0</v>
      </c>
      <c r="L660" t="n">
        <v>0</v>
      </c>
      <c r="M660" t="n">
        <v>0</v>
      </c>
      <c r="N660" t="n">
        <v>0</v>
      </c>
      <c r="O660" t="n">
        <v>0</v>
      </c>
      <c r="P660" t="n">
        <v>0</v>
      </c>
      <c r="Q660" t="n">
        <v>0</v>
      </c>
      <c r="R660" s="2" t="inlineStr"/>
    </row>
    <row r="661" ht="15" customHeight="1">
      <c r="A661" t="inlineStr">
        <is>
          <t>A 54437-2024</t>
        </is>
      </c>
      <c r="B661" s="1" t="n">
        <v>45617</v>
      </c>
      <c r="C661" s="1" t="n">
        <v>45982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45982</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28152-2024</t>
        </is>
      </c>
      <c r="B663" s="1" t="n">
        <v>45476.77056712963</v>
      </c>
      <c r="C663" s="1" t="n">
        <v>45982</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20326-2021</t>
        </is>
      </c>
      <c r="B664" s="1" t="n">
        <v>44308</v>
      </c>
      <c r="C664" s="1" t="n">
        <v>45982</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17643-2025</t>
        </is>
      </c>
      <c r="B665" s="1" t="n">
        <v>45758.32454861111</v>
      </c>
      <c r="C665" s="1" t="n">
        <v>45982</v>
      </c>
      <c r="D665" t="inlineStr">
        <is>
          <t>UPPSALA LÄN</t>
        </is>
      </c>
      <c r="E665" t="inlineStr">
        <is>
          <t>ÖSTHAMMAR</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44998.66662037037</v>
      </c>
      <c r="C666" s="1" t="n">
        <v>45982</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41478-2024</t>
        </is>
      </c>
      <c r="B667" s="1" t="n">
        <v>45560.44158564815</v>
      </c>
      <c r="C667" s="1" t="n">
        <v>45982</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16141-2022</t>
        </is>
      </c>
      <c r="B668" s="1" t="n">
        <v>44665</v>
      </c>
      <c r="C668" s="1" t="n">
        <v>45982</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34922-2023</t>
        </is>
      </c>
      <c r="B669" s="1" t="n">
        <v>45142.48359953704</v>
      </c>
      <c r="C669" s="1" t="n">
        <v>45982</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23495-2023</t>
        </is>
      </c>
      <c r="B670" s="1" t="n">
        <v>45076.71652777777</v>
      </c>
      <c r="C670" s="1" t="n">
        <v>45982</v>
      </c>
      <c r="D670" t="inlineStr">
        <is>
          <t>UPPSALA LÄN</t>
        </is>
      </c>
      <c r="E670" t="inlineStr">
        <is>
          <t>ÖSTHAMMAR</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38233-2024</t>
        </is>
      </c>
      <c r="B671" s="1" t="n">
        <v>45545</v>
      </c>
      <c r="C671" s="1" t="n">
        <v>45982</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17947-2022</t>
        </is>
      </c>
      <c r="B672" s="1" t="n">
        <v>44683</v>
      </c>
      <c r="C672" s="1" t="n">
        <v>45982</v>
      </c>
      <c r="D672" t="inlineStr">
        <is>
          <t>UPPSALA LÄN</t>
        </is>
      </c>
      <c r="E672" t="inlineStr">
        <is>
          <t>ÖSTHAMMAR</t>
        </is>
      </c>
      <c r="G672" t="n">
        <v>5.5</v>
      </c>
      <c r="H672" t="n">
        <v>0</v>
      </c>
      <c r="I672" t="n">
        <v>0</v>
      </c>
      <c r="J672" t="n">
        <v>0</v>
      </c>
      <c r="K672" t="n">
        <v>0</v>
      </c>
      <c r="L672" t="n">
        <v>0</v>
      </c>
      <c r="M672" t="n">
        <v>0</v>
      </c>
      <c r="N672" t="n">
        <v>0</v>
      </c>
      <c r="O672" t="n">
        <v>0</v>
      </c>
      <c r="P672" t="n">
        <v>0</v>
      </c>
      <c r="Q672" t="n">
        <v>0</v>
      </c>
      <c r="R672" s="2" t="inlineStr"/>
    </row>
    <row r="673" ht="15" customHeight="1">
      <c r="A673" t="inlineStr">
        <is>
          <t>A 22798-2023</t>
        </is>
      </c>
      <c r="B673" s="1" t="n">
        <v>45072</v>
      </c>
      <c r="C673" s="1" t="n">
        <v>45982</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11547-2022</t>
        </is>
      </c>
      <c r="B674" s="1" t="n">
        <v>44631.43116898148</v>
      </c>
      <c r="C674" s="1" t="n">
        <v>45982</v>
      </c>
      <c r="D674" t="inlineStr">
        <is>
          <t>UPPSALA LÄN</t>
        </is>
      </c>
      <c r="E674" t="inlineStr">
        <is>
          <t>ÖSTHAMMAR</t>
        </is>
      </c>
      <c r="G674" t="n">
        <v>4.4</v>
      </c>
      <c r="H674" t="n">
        <v>0</v>
      </c>
      <c r="I674" t="n">
        <v>0</v>
      </c>
      <c r="J674" t="n">
        <v>0</v>
      </c>
      <c r="K674" t="n">
        <v>0</v>
      </c>
      <c r="L674" t="n">
        <v>0</v>
      </c>
      <c r="M674" t="n">
        <v>0</v>
      </c>
      <c r="N674" t="n">
        <v>0</v>
      </c>
      <c r="O674" t="n">
        <v>0</v>
      </c>
      <c r="P674" t="n">
        <v>0</v>
      </c>
      <c r="Q674" t="n">
        <v>0</v>
      </c>
      <c r="R674" s="2" t="inlineStr"/>
    </row>
    <row r="675" ht="15" customHeight="1">
      <c r="A675" t="inlineStr">
        <is>
          <t>A 4561-2022</t>
        </is>
      </c>
      <c r="B675" s="1" t="n">
        <v>44591.59170138889</v>
      </c>
      <c r="C675" s="1" t="n">
        <v>45982</v>
      </c>
      <c r="D675" t="inlineStr">
        <is>
          <t>UPPSALA LÄN</t>
        </is>
      </c>
      <c r="E675" t="inlineStr">
        <is>
          <t>ÖSTHAMMAR</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23741-2024</t>
        </is>
      </c>
      <c r="B676" s="1" t="n">
        <v>45455</v>
      </c>
      <c r="C676" s="1" t="n">
        <v>45982</v>
      </c>
      <c r="D676" t="inlineStr">
        <is>
          <t>UPPSALA LÄN</t>
        </is>
      </c>
      <c r="E676" t="inlineStr">
        <is>
          <t>ÖSTHAMMAR</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26612-2023</t>
        </is>
      </c>
      <c r="B677" s="1" t="n">
        <v>45089</v>
      </c>
      <c r="C677" s="1" t="n">
        <v>45982</v>
      </c>
      <c r="D677" t="inlineStr">
        <is>
          <t>UPPSALA LÄN</t>
        </is>
      </c>
      <c r="E677" t="inlineStr">
        <is>
          <t>ÖSTHAMMAR</t>
        </is>
      </c>
      <c r="G677" t="n">
        <v>2.1</v>
      </c>
      <c r="H677" t="n">
        <v>0</v>
      </c>
      <c r="I677" t="n">
        <v>0</v>
      </c>
      <c r="J677" t="n">
        <v>0</v>
      </c>
      <c r="K677" t="n">
        <v>0</v>
      </c>
      <c r="L677" t="n">
        <v>0</v>
      </c>
      <c r="M677" t="n">
        <v>0</v>
      </c>
      <c r="N677" t="n">
        <v>0</v>
      </c>
      <c r="O677" t="n">
        <v>0</v>
      </c>
      <c r="P677" t="n">
        <v>0</v>
      </c>
      <c r="Q677" t="n">
        <v>0</v>
      </c>
      <c r="R677" s="2" t="inlineStr"/>
    </row>
    <row r="678" ht="15" customHeight="1">
      <c r="A678" t="inlineStr">
        <is>
          <t>A 32244-2021</t>
        </is>
      </c>
      <c r="B678" s="1" t="n">
        <v>44371.45335648148</v>
      </c>
      <c r="C678" s="1" t="n">
        <v>45982</v>
      </c>
      <c r="D678" t="inlineStr">
        <is>
          <t>UPPSALA LÄN</t>
        </is>
      </c>
      <c r="E678" t="inlineStr">
        <is>
          <t>ÖSTHAMMAR</t>
        </is>
      </c>
      <c r="F678" t="inlineStr">
        <is>
          <t>Bergvik skog öst AB</t>
        </is>
      </c>
      <c r="G678" t="n">
        <v>2.6</v>
      </c>
      <c r="H678" t="n">
        <v>0</v>
      </c>
      <c r="I678" t="n">
        <v>0</v>
      </c>
      <c r="J678" t="n">
        <v>0</v>
      </c>
      <c r="K678" t="n">
        <v>0</v>
      </c>
      <c r="L678" t="n">
        <v>0</v>
      </c>
      <c r="M678" t="n">
        <v>0</v>
      </c>
      <c r="N678" t="n">
        <v>0</v>
      </c>
      <c r="O678" t="n">
        <v>0</v>
      </c>
      <c r="P678" t="n">
        <v>0</v>
      </c>
      <c r="Q678" t="n">
        <v>0</v>
      </c>
      <c r="R678" s="2" t="inlineStr"/>
    </row>
    <row r="679" ht="15" customHeight="1">
      <c r="A679" t="inlineStr">
        <is>
          <t>A 60079-2022</t>
        </is>
      </c>
      <c r="B679" s="1" t="n">
        <v>44909</v>
      </c>
      <c r="C679" s="1" t="n">
        <v>45982</v>
      </c>
      <c r="D679" t="inlineStr">
        <is>
          <t>UPPSALA LÄN</t>
        </is>
      </c>
      <c r="E679" t="inlineStr">
        <is>
          <t>ÖSTHAMMAR</t>
        </is>
      </c>
      <c r="G679" t="n">
        <v>9.6</v>
      </c>
      <c r="H679" t="n">
        <v>0</v>
      </c>
      <c r="I679" t="n">
        <v>0</v>
      </c>
      <c r="J679" t="n">
        <v>0</v>
      </c>
      <c r="K679" t="n">
        <v>0</v>
      </c>
      <c r="L679" t="n">
        <v>0</v>
      </c>
      <c r="M679" t="n">
        <v>0</v>
      </c>
      <c r="N679" t="n">
        <v>0</v>
      </c>
      <c r="O679" t="n">
        <v>0</v>
      </c>
      <c r="P679" t="n">
        <v>0</v>
      </c>
      <c r="Q679" t="n">
        <v>0</v>
      </c>
      <c r="R679" s="2" t="inlineStr"/>
    </row>
    <row r="680" ht="15" customHeight="1">
      <c r="A680" t="inlineStr">
        <is>
          <t>A 40637-2022</t>
        </is>
      </c>
      <c r="B680" s="1" t="n">
        <v>44824</v>
      </c>
      <c r="C680" s="1" t="n">
        <v>45982</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56260-2022</t>
        </is>
      </c>
      <c r="B681" s="1" t="n">
        <v>44890</v>
      </c>
      <c r="C681" s="1" t="n">
        <v>45982</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62394-2022</t>
        </is>
      </c>
      <c r="B682" s="1" t="n">
        <v>44923.82017361111</v>
      </c>
      <c r="C682" s="1" t="n">
        <v>45982</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22709-2021</t>
        </is>
      </c>
      <c r="B683" s="1" t="n">
        <v>44327.61518518518</v>
      </c>
      <c r="C683" s="1" t="n">
        <v>45982</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45982</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45982</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45982</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4096-2025</t>
        </is>
      </c>
      <c r="B687" s="1" t="n">
        <v>45684</v>
      </c>
      <c r="C687" s="1" t="n">
        <v>45982</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55090-2024</t>
        </is>
      </c>
      <c r="B688" s="1" t="n">
        <v>45621.4350462963</v>
      </c>
      <c r="C688" s="1" t="n">
        <v>45982</v>
      </c>
      <c r="D688" t="inlineStr">
        <is>
          <t>UPPSALA LÄN</t>
        </is>
      </c>
      <c r="E688" t="inlineStr">
        <is>
          <t>ÖSTHAMMAR</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55093-2024</t>
        </is>
      </c>
      <c r="B689" s="1" t="n">
        <v>45621.43712962963</v>
      </c>
      <c r="C689" s="1" t="n">
        <v>45982</v>
      </c>
      <c r="D689" t="inlineStr">
        <is>
          <t>UPPSALA LÄN</t>
        </is>
      </c>
      <c r="E689" t="inlineStr">
        <is>
          <t>ÖSTHAMMAR</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55097-2024</t>
        </is>
      </c>
      <c r="B690" s="1" t="n">
        <v>45621.43855324074</v>
      </c>
      <c r="C690" s="1" t="n">
        <v>45982</v>
      </c>
      <c r="D690" t="inlineStr">
        <is>
          <t>UPPSALA LÄN</t>
        </is>
      </c>
      <c r="E690" t="inlineStr">
        <is>
          <t>ÖSTHAMMAR</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3327-2023</t>
        </is>
      </c>
      <c r="B691" s="1" t="n">
        <v>44949.4377662037</v>
      </c>
      <c r="C691" s="1" t="n">
        <v>45982</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41821-2023</t>
        </is>
      </c>
      <c r="B692" s="1" t="n">
        <v>45176</v>
      </c>
      <c r="C692" s="1" t="n">
        <v>45982</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35309-2023</t>
        </is>
      </c>
      <c r="B693" s="1" t="n">
        <v>45146</v>
      </c>
      <c r="C693" s="1" t="n">
        <v>45982</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14272-2025</t>
        </is>
      </c>
      <c r="B694" s="1" t="n">
        <v>45740.64327546296</v>
      </c>
      <c r="C694" s="1" t="n">
        <v>45982</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17940-2025</t>
        </is>
      </c>
      <c r="B695" s="1" t="n">
        <v>45760.55842592593</v>
      </c>
      <c r="C695" s="1" t="n">
        <v>45982</v>
      </c>
      <c r="D695" t="inlineStr">
        <is>
          <t>UPPSALA LÄN</t>
        </is>
      </c>
      <c r="E695" t="inlineStr">
        <is>
          <t>ÖSTHAMMAR</t>
        </is>
      </c>
      <c r="F695" t="inlineStr">
        <is>
          <t>Bergvik skog öst AB</t>
        </is>
      </c>
      <c r="G695" t="n">
        <v>5.6</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45982</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66779-2021</t>
        </is>
      </c>
      <c r="B697" s="1" t="n">
        <v>44522.31700231481</v>
      </c>
      <c r="C697" s="1" t="n">
        <v>45982</v>
      </c>
      <c r="D697" t="inlineStr">
        <is>
          <t>UPPSALA LÄN</t>
        </is>
      </c>
      <c r="E697" t="inlineStr">
        <is>
          <t>ÖSTHAMMAR</t>
        </is>
      </c>
      <c r="G697" t="n">
        <v>2</v>
      </c>
      <c r="H697" t="n">
        <v>0</v>
      </c>
      <c r="I697" t="n">
        <v>0</v>
      </c>
      <c r="J697" t="n">
        <v>0</v>
      </c>
      <c r="K697" t="n">
        <v>0</v>
      </c>
      <c r="L697" t="n">
        <v>0</v>
      </c>
      <c r="M697" t="n">
        <v>0</v>
      </c>
      <c r="N697" t="n">
        <v>0</v>
      </c>
      <c r="O697" t="n">
        <v>0</v>
      </c>
      <c r="P697" t="n">
        <v>0</v>
      </c>
      <c r="Q697" t="n">
        <v>0</v>
      </c>
      <c r="R697" s="2" t="inlineStr"/>
    </row>
    <row r="698" ht="15" customHeight="1">
      <c r="A698" t="inlineStr">
        <is>
          <t>A 33062-2021</t>
        </is>
      </c>
      <c r="B698" s="1" t="n">
        <v>44376</v>
      </c>
      <c r="C698" s="1" t="n">
        <v>45982</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24033-2023</t>
        </is>
      </c>
      <c r="B699" s="1" t="n">
        <v>45078</v>
      </c>
      <c r="C699" s="1" t="n">
        <v>45982</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17939-2025</t>
        </is>
      </c>
      <c r="B700" s="1" t="n">
        <v>45760.55671296296</v>
      </c>
      <c r="C700" s="1" t="n">
        <v>45982</v>
      </c>
      <c r="D700" t="inlineStr">
        <is>
          <t>UPPSALA LÄN</t>
        </is>
      </c>
      <c r="E700" t="inlineStr">
        <is>
          <t>ÖSTHAMMAR</t>
        </is>
      </c>
      <c r="F700" t="inlineStr">
        <is>
          <t>Bergvik skog öst AB</t>
        </is>
      </c>
      <c r="G700" t="n">
        <v>5.4</v>
      </c>
      <c r="H700" t="n">
        <v>0</v>
      </c>
      <c r="I700" t="n">
        <v>0</v>
      </c>
      <c r="J700" t="n">
        <v>0</v>
      </c>
      <c r="K700" t="n">
        <v>0</v>
      </c>
      <c r="L700" t="n">
        <v>0</v>
      </c>
      <c r="M700" t="n">
        <v>0</v>
      </c>
      <c r="N700" t="n">
        <v>0</v>
      </c>
      <c r="O700" t="n">
        <v>0</v>
      </c>
      <c r="P700" t="n">
        <v>0</v>
      </c>
      <c r="Q700" t="n">
        <v>0</v>
      </c>
      <c r="R700" s="2" t="inlineStr"/>
    </row>
    <row r="701" ht="15" customHeight="1">
      <c r="A701" t="inlineStr">
        <is>
          <t>A 3638-2022</t>
        </is>
      </c>
      <c r="B701" s="1" t="n">
        <v>44578</v>
      </c>
      <c r="C701" s="1" t="n">
        <v>45982</v>
      </c>
      <c r="D701" t="inlineStr">
        <is>
          <t>UPPSALA LÄN</t>
        </is>
      </c>
      <c r="E701" t="inlineStr">
        <is>
          <t>ÖSTHAMMAR</t>
        </is>
      </c>
      <c r="G701" t="n">
        <v>1.7</v>
      </c>
      <c r="H701" t="n">
        <v>0</v>
      </c>
      <c r="I701" t="n">
        <v>0</v>
      </c>
      <c r="J701" t="n">
        <v>0</v>
      </c>
      <c r="K701" t="n">
        <v>0</v>
      </c>
      <c r="L701" t="n">
        <v>0</v>
      </c>
      <c r="M701" t="n">
        <v>0</v>
      </c>
      <c r="N701" t="n">
        <v>0</v>
      </c>
      <c r="O701" t="n">
        <v>0</v>
      </c>
      <c r="P701" t="n">
        <v>0</v>
      </c>
      <c r="Q701" t="n">
        <v>0</v>
      </c>
      <c r="R701" s="2" t="inlineStr"/>
    </row>
    <row r="702" ht="15" customHeight="1">
      <c r="A702" t="inlineStr">
        <is>
          <t>A 49897-2023</t>
        </is>
      </c>
      <c r="B702" s="1" t="n">
        <v>45213.84846064815</v>
      </c>
      <c r="C702" s="1" t="n">
        <v>45982</v>
      </c>
      <c r="D702" t="inlineStr">
        <is>
          <t>UPPSALA LÄN</t>
        </is>
      </c>
      <c r="E702" t="inlineStr">
        <is>
          <t>ÖSTHAMMAR</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37812-2022</t>
        </is>
      </c>
      <c r="B703" s="1" t="n">
        <v>44810</v>
      </c>
      <c r="C703" s="1" t="n">
        <v>45982</v>
      </c>
      <c r="D703" t="inlineStr">
        <is>
          <t>UPPSALA LÄN</t>
        </is>
      </c>
      <c r="E703" t="inlineStr">
        <is>
          <t>ÖSTHAMMAR</t>
        </is>
      </c>
      <c r="G703" t="n">
        <v>1</v>
      </c>
      <c r="H703" t="n">
        <v>0</v>
      </c>
      <c r="I703" t="n">
        <v>0</v>
      </c>
      <c r="J703" t="n">
        <v>0</v>
      </c>
      <c r="K703" t="n">
        <v>0</v>
      </c>
      <c r="L703" t="n">
        <v>0</v>
      </c>
      <c r="M703" t="n">
        <v>0</v>
      </c>
      <c r="N703" t="n">
        <v>0</v>
      </c>
      <c r="O703" t="n">
        <v>0</v>
      </c>
      <c r="P703" t="n">
        <v>0</v>
      </c>
      <c r="Q703" t="n">
        <v>0</v>
      </c>
      <c r="R703" s="2" t="inlineStr"/>
    </row>
    <row r="704" ht="15" customHeight="1">
      <c r="A704" t="inlineStr">
        <is>
          <t>A 63637-2020</t>
        </is>
      </c>
      <c r="B704" s="1" t="n">
        <v>44162</v>
      </c>
      <c r="C704" s="1" t="n">
        <v>45982</v>
      </c>
      <c r="D704" t="inlineStr">
        <is>
          <t>UPPSALA LÄN</t>
        </is>
      </c>
      <c r="E704" t="inlineStr">
        <is>
          <t>ÖSTHAMMAR</t>
        </is>
      </c>
      <c r="G704" t="n">
        <v>4</v>
      </c>
      <c r="H704" t="n">
        <v>0</v>
      </c>
      <c r="I704" t="n">
        <v>0</v>
      </c>
      <c r="J704" t="n">
        <v>0</v>
      </c>
      <c r="K704" t="n">
        <v>0</v>
      </c>
      <c r="L704" t="n">
        <v>0</v>
      </c>
      <c r="M704" t="n">
        <v>0</v>
      </c>
      <c r="N704" t="n">
        <v>0</v>
      </c>
      <c r="O704" t="n">
        <v>0</v>
      </c>
      <c r="P704" t="n">
        <v>0</v>
      </c>
      <c r="Q704" t="n">
        <v>0</v>
      </c>
      <c r="R704" s="2" t="inlineStr"/>
    </row>
    <row r="705" ht="15" customHeight="1">
      <c r="A705" t="inlineStr">
        <is>
          <t>A 60555-2023</t>
        </is>
      </c>
      <c r="B705" s="1" t="n">
        <v>45259</v>
      </c>
      <c r="C705" s="1" t="n">
        <v>45982</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44815-2022</t>
        </is>
      </c>
      <c r="B706" s="1" t="n">
        <v>44841.40452546296</v>
      </c>
      <c r="C706" s="1" t="n">
        <v>45982</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68828-2020</t>
        </is>
      </c>
      <c r="B707" s="1" t="n">
        <v>44186</v>
      </c>
      <c r="C707" s="1" t="n">
        <v>45982</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73483-2021</t>
        </is>
      </c>
      <c r="B708" s="1" t="n">
        <v>44550</v>
      </c>
      <c r="C708" s="1" t="n">
        <v>45982</v>
      </c>
      <c r="D708" t="inlineStr">
        <is>
          <t>UPPSALA LÄN</t>
        </is>
      </c>
      <c r="E708" t="inlineStr">
        <is>
          <t>ÖSTHAMMAR</t>
        </is>
      </c>
      <c r="G708" t="n">
        <v>2.8</v>
      </c>
      <c r="H708" t="n">
        <v>0</v>
      </c>
      <c r="I708" t="n">
        <v>0</v>
      </c>
      <c r="J708" t="n">
        <v>0</v>
      </c>
      <c r="K708" t="n">
        <v>0</v>
      </c>
      <c r="L708" t="n">
        <v>0</v>
      </c>
      <c r="M708" t="n">
        <v>0</v>
      </c>
      <c r="N708" t="n">
        <v>0</v>
      </c>
      <c r="O708" t="n">
        <v>0</v>
      </c>
      <c r="P708" t="n">
        <v>0</v>
      </c>
      <c r="Q708" t="n">
        <v>0</v>
      </c>
      <c r="R708" s="2" t="inlineStr"/>
    </row>
    <row r="709" ht="15" customHeight="1">
      <c r="A709" t="inlineStr">
        <is>
          <t>A 4151-2021</t>
        </is>
      </c>
      <c r="B709" s="1" t="n">
        <v>44221</v>
      </c>
      <c r="C709" s="1" t="n">
        <v>45982</v>
      </c>
      <c r="D709" t="inlineStr">
        <is>
          <t>UPPSALA LÄN</t>
        </is>
      </c>
      <c r="E709" t="inlineStr">
        <is>
          <t>ÖSTHAMMAR</t>
        </is>
      </c>
      <c r="G709" t="n">
        <v>2.9</v>
      </c>
      <c r="H709" t="n">
        <v>0</v>
      </c>
      <c r="I709" t="n">
        <v>0</v>
      </c>
      <c r="J709" t="n">
        <v>0</v>
      </c>
      <c r="K709" t="n">
        <v>0</v>
      </c>
      <c r="L709" t="n">
        <v>0</v>
      </c>
      <c r="M709" t="n">
        <v>0</v>
      </c>
      <c r="N709" t="n">
        <v>0</v>
      </c>
      <c r="O709" t="n">
        <v>0</v>
      </c>
      <c r="P709" t="n">
        <v>0</v>
      </c>
      <c r="Q709" t="n">
        <v>0</v>
      </c>
      <c r="R709" s="2" t="inlineStr"/>
    </row>
    <row r="710" ht="15" customHeight="1">
      <c r="A710" t="inlineStr">
        <is>
          <t>A 6121-2024</t>
        </is>
      </c>
      <c r="B710" s="1" t="n">
        <v>45337.4219212963</v>
      </c>
      <c r="C710" s="1" t="n">
        <v>45982</v>
      </c>
      <c r="D710" t="inlineStr">
        <is>
          <t>UPPSALA LÄN</t>
        </is>
      </c>
      <c r="E710" t="inlineStr">
        <is>
          <t>ÖSTHAMMAR</t>
        </is>
      </c>
      <c r="G710" t="n">
        <v>0.4</v>
      </c>
      <c r="H710" t="n">
        <v>0</v>
      </c>
      <c r="I710" t="n">
        <v>0</v>
      </c>
      <c r="J710" t="n">
        <v>0</v>
      </c>
      <c r="K710" t="n">
        <v>0</v>
      </c>
      <c r="L710" t="n">
        <v>0</v>
      </c>
      <c r="M710" t="n">
        <v>0</v>
      </c>
      <c r="N710" t="n">
        <v>0</v>
      </c>
      <c r="O710" t="n">
        <v>0</v>
      </c>
      <c r="P710" t="n">
        <v>0</v>
      </c>
      <c r="Q710" t="n">
        <v>0</v>
      </c>
      <c r="R710" s="2" t="inlineStr"/>
    </row>
    <row r="711" ht="15" customHeight="1">
      <c r="A711" t="inlineStr">
        <is>
          <t>A 62391-2022</t>
        </is>
      </c>
      <c r="B711" s="1" t="n">
        <v>44923.7849537037</v>
      </c>
      <c r="C711" s="1" t="n">
        <v>45982</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54314-2023</t>
        </is>
      </c>
      <c r="B712" s="1" t="n">
        <v>45225</v>
      </c>
      <c r="C712" s="1" t="n">
        <v>45982</v>
      </c>
      <c r="D712" t="inlineStr">
        <is>
          <t>UPPSALA LÄN</t>
        </is>
      </c>
      <c r="E712" t="inlineStr">
        <is>
          <t>ÖSTHAMMAR</t>
        </is>
      </c>
      <c r="G712" t="n">
        <v>5.1</v>
      </c>
      <c r="H712" t="n">
        <v>0</v>
      </c>
      <c r="I712" t="n">
        <v>0</v>
      </c>
      <c r="J712" t="n">
        <v>0</v>
      </c>
      <c r="K712" t="n">
        <v>0</v>
      </c>
      <c r="L712" t="n">
        <v>0</v>
      </c>
      <c r="M712" t="n">
        <v>0</v>
      </c>
      <c r="N712" t="n">
        <v>0</v>
      </c>
      <c r="O712" t="n">
        <v>0</v>
      </c>
      <c r="P712" t="n">
        <v>0</v>
      </c>
      <c r="Q712" t="n">
        <v>0</v>
      </c>
      <c r="R712" s="2" t="inlineStr"/>
    </row>
    <row r="713" ht="15" customHeight="1">
      <c r="A713" t="inlineStr">
        <is>
          <t>A 23363-2023</t>
        </is>
      </c>
      <c r="B713" s="1" t="n">
        <v>45076</v>
      </c>
      <c r="C713" s="1" t="n">
        <v>45982</v>
      </c>
      <c r="D713" t="inlineStr">
        <is>
          <t>UPPSALA LÄN</t>
        </is>
      </c>
      <c r="E713" t="inlineStr">
        <is>
          <t>ÖSTHAMMAR</t>
        </is>
      </c>
      <c r="G713" t="n">
        <v>3</v>
      </c>
      <c r="H713" t="n">
        <v>0</v>
      </c>
      <c r="I713" t="n">
        <v>0</v>
      </c>
      <c r="J713" t="n">
        <v>0</v>
      </c>
      <c r="K713" t="n">
        <v>0</v>
      </c>
      <c r="L713" t="n">
        <v>0</v>
      </c>
      <c r="M713" t="n">
        <v>0</v>
      </c>
      <c r="N713" t="n">
        <v>0</v>
      </c>
      <c r="O713" t="n">
        <v>0</v>
      </c>
      <c r="P713" t="n">
        <v>0</v>
      </c>
      <c r="Q713" t="n">
        <v>0</v>
      </c>
      <c r="R713" s="2" t="inlineStr"/>
    </row>
    <row r="714" ht="15" customHeight="1">
      <c r="A714" t="inlineStr">
        <is>
          <t>A 4233-2023</t>
        </is>
      </c>
      <c r="B714" s="1" t="n">
        <v>44953.48619212963</v>
      </c>
      <c r="C714" s="1" t="n">
        <v>45982</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58270-2023</t>
        </is>
      </c>
      <c r="B715" s="1" t="n">
        <v>45250.49961805555</v>
      </c>
      <c r="C715" s="1" t="n">
        <v>45982</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73592-2021</t>
        </is>
      </c>
      <c r="B716" s="1" t="n">
        <v>44552.36974537037</v>
      </c>
      <c r="C716" s="1" t="n">
        <v>45982</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ht="15" customHeight="1">
      <c r="A717" t="inlineStr">
        <is>
          <t>A 25938-2024</t>
        </is>
      </c>
      <c r="B717" s="1" t="n">
        <v>45467.63127314814</v>
      </c>
      <c r="C717" s="1" t="n">
        <v>45982</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35539-2023</t>
        </is>
      </c>
      <c r="B718" s="1" t="n">
        <v>45147.37006944444</v>
      </c>
      <c r="C718" s="1" t="n">
        <v>45982</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32744-2022</t>
        </is>
      </c>
      <c r="B719" s="1" t="n">
        <v>44783.70378472222</v>
      </c>
      <c r="C719" s="1" t="n">
        <v>45982</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18230-2025</t>
        </is>
      </c>
      <c r="B720" s="1" t="n">
        <v>45761.87114583333</v>
      </c>
      <c r="C720" s="1" t="n">
        <v>45982</v>
      </c>
      <c r="D720" t="inlineStr">
        <is>
          <t>UPPSALA LÄN</t>
        </is>
      </c>
      <c r="E720" t="inlineStr">
        <is>
          <t>ÖSTHAMMAR</t>
        </is>
      </c>
      <c r="F720" t="inlineStr">
        <is>
          <t>Bergvik skog öst AB</t>
        </is>
      </c>
      <c r="G720" t="n">
        <v>4.2</v>
      </c>
      <c r="H720" t="n">
        <v>0</v>
      </c>
      <c r="I720" t="n">
        <v>0</v>
      </c>
      <c r="J720" t="n">
        <v>0</v>
      </c>
      <c r="K720" t="n">
        <v>0</v>
      </c>
      <c r="L720" t="n">
        <v>0</v>
      </c>
      <c r="M720" t="n">
        <v>0</v>
      </c>
      <c r="N720" t="n">
        <v>0</v>
      </c>
      <c r="O720" t="n">
        <v>0</v>
      </c>
      <c r="P720" t="n">
        <v>0</v>
      </c>
      <c r="Q720" t="n">
        <v>0</v>
      </c>
      <c r="R720" s="2" t="inlineStr"/>
    </row>
    <row r="721" ht="15" customHeight="1">
      <c r="A721" t="inlineStr">
        <is>
          <t>A 8006-2023</t>
        </is>
      </c>
      <c r="B721" s="1" t="n">
        <v>44973</v>
      </c>
      <c r="C721" s="1" t="n">
        <v>45982</v>
      </c>
      <c r="D721" t="inlineStr">
        <is>
          <t>UPPSALA LÄN</t>
        </is>
      </c>
      <c r="E721" t="inlineStr">
        <is>
          <t>ÖSTHAMMAR</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13755-2023</t>
        </is>
      </c>
      <c r="B722" s="1" t="n">
        <v>45007</v>
      </c>
      <c r="C722" s="1" t="n">
        <v>45982</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13771-2023</t>
        </is>
      </c>
      <c r="B723" s="1" t="n">
        <v>45007</v>
      </c>
      <c r="C723" s="1" t="n">
        <v>45982</v>
      </c>
      <c r="D723" t="inlineStr">
        <is>
          <t>UPPSALA LÄN</t>
        </is>
      </c>
      <c r="E723" t="inlineStr">
        <is>
          <t>ÖSTHAMMAR</t>
        </is>
      </c>
      <c r="G723" t="n">
        <v>2.7</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45982</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49899-2023</t>
        </is>
      </c>
      <c r="B725" s="1" t="n">
        <v>45213</v>
      </c>
      <c r="C725" s="1" t="n">
        <v>45982</v>
      </c>
      <c r="D725" t="inlineStr">
        <is>
          <t>UPPSALA LÄN</t>
        </is>
      </c>
      <c r="E725" t="inlineStr">
        <is>
          <t>ÖSTHAMMAR</t>
        </is>
      </c>
      <c r="G725" t="n">
        <v>6.2</v>
      </c>
      <c r="H725" t="n">
        <v>0</v>
      </c>
      <c r="I725" t="n">
        <v>0</v>
      </c>
      <c r="J725" t="n">
        <v>0</v>
      </c>
      <c r="K725" t="n">
        <v>0</v>
      </c>
      <c r="L725" t="n">
        <v>0</v>
      </c>
      <c r="M725" t="n">
        <v>0</v>
      </c>
      <c r="N725" t="n">
        <v>0</v>
      </c>
      <c r="O725" t="n">
        <v>0</v>
      </c>
      <c r="P725" t="n">
        <v>0</v>
      </c>
      <c r="Q725" t="n">
        <v>0</v>
      </c>
      <c r="R725" s="2" t="inlineStr"/>
    </row>
    <row r="726" ht="15" customHeight="1">
      <c r="A726" t="inlineStr">
        <is>
          <t>A 4676-2025</t>
        </is>
      </c>
      <c r="B726" s="1" t="n">
        <v>45687.8313425926</v>
      </c>
      <c r="C726" s="1" t="n">
        <v>45982</v>
      </c>
      <c r="D726" t="inlineStr">
        <is>
          <t>UPPSALA LÄN</t>
        </is>
      </c>
      <c r="E726" t="inlineStr">
        <is>
          <t>ÖSTHAMMAR</t>
        </is>
      </c>
      <c r="G726" t="n">
        <v>3.7</v>
      </c>
      <c r="H726" t="n">
        <v>0</v>
      </c>
      <c r="I726" t="n">
        <v>0</v>
      </c>
      <c r="J726" t="n">
        <v>0</v>
      </c>
      <c r="K726" t="n">
        <v>0</v>
      </c>
      <c r="L726" t="n">
        <v>0</v>
      </c>
      <c r="M726" t="n">
        <v>0</v>
      </c>
      <c r="N726" t="n">
        <v>0</v>
      </c>
      <c r="O726" t="n">
        <v>0</v>
      </c>
      <c r="P726" t="n">
        <v>0</v>
      </c>
      <c r="Q726" t="n">
        <v>0</v>
      </c>
      <c r="R726" s="2" t="inlineStr"/>
    </row>
    <row r="727" ht="15" customHeight="1">
      <c r="A727" t="inlineStr">
        <is>
          <t>A 17009-2021</t>
        </is>
      </c>
      <c r="B727" s="1" t="n">
        <v>44295.63969907408</v>
      </c>
      <c r="C727" s="1" t="n">
        <v>45982</v>
      </c>
      <c r="D727" t="inlineStr">
        <is>
          <t>UPPSALA LÄN</t>
        </is>
      </c>
      <c r="E727" t="inlineStr">
        <is>
          <t>ÖSTHAMMAR</t>
        </is>
      </c>
      <c r="F727" t="inlineStr">
        <is>
          <t>Bergvik skog öst AB</t>
        </is>
      </c>
      <c r="G727" t="n">
        <v>3.2</v>
      </c>
      <c r="H727" t="n">
        <v>0</v>
      </c>
      <c r="I727" t="n">
        <v>0</v>
      </c>
      <c r="J727" t="n">
        <v>0</v>
      </c>
      <c r="K727" t="n">
        <v>0</v>
      </c>
      <c r="L727" t="n">
        <v>0</v>
      </c>
      <c r="M727" t="n">
        <v>0</v>
      </c>
      <c r="N727" t="n">
        <v>0</v>
      </c>
      <c r="O727" t="n">
        <v>0</v>
      </c>
      <c r="P727" t="n">
        <v>0</v>
      </c>
      <c r="Q727" t="n">
        <v>0</v>
      </c>
      <c r="R727" s="2" t="inlineStr"/>
    </row>
    <row r="728" ht="15" customHeight="1">
      <c r="A728" t="inlineStr">
        <is>
          <t>A 33758-2024</t>
        </is>
      </c>
      <c r="B728" s="1" t="n">
        <v>45520.56896990741</v>
      </c>
      <c r="C728" s="1" t="n">
        <v>45982</v>
      </c>
      <c r="D728" t="inlineStr">
        <is>
          <t>UPPSALA LÄN</t>
        </is>
      </c>
      <c r="E728" t="inlineStr">
        <is>
          <t>ÖSTHAMMAR</t>
        </is>
      </c>
      <c r="G728" t="n">
        <v>6.5</v>
      </c>
      <c r="H728" t="n">
        <v>0</v>
      </c>
      <c r="I728" t="n">
        <v>0</v>
      </c>
      <c r="J728" t="n">
        <v>0</v>
      </c>
      <c r="K728" t="n">
        <v>0</v>
      </c>
      <c r="L728" t="n">
        <v>0</v>
      </c>
      <c r="M728" t="n">
        <v>0</v>
      </c>
      <c r="N728" t="n">
        <v>0</v>
      </c>
      <c r="O728" t="n">
        <v>0</v>
      </c>
      <c r="P728" t="n">
        <v>0</v>
      </c>
      <c r="Q728" t="n">
        <v>0</v>
      </c>
      <c r="R728" s="2" t="inlineStr"/>
    </row>
    <row r="729" ht="15" customHeight="1">
      <c r="A729" t="inlineStr">
        <is>
          <t>A 24259-2022</t>
        </is>
      </c>
      <c r="B729" s="1" t="n">
        <v>44725</v>
      </c>
      <c r="C729" s="1" t="n">
        <v>45982</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45982</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61216-2022</t>
        </is>
      </c>
      <c r="B731" s="1" t="n">
        <v>44915.55423611111</v>
      </c>
      <c r="C731" s="1" t="n">
        <v>45982</v>
      </c>
      <c r="D731" t="inlineStr">
        <is>
          <t>UPPSALA LÄN</t>
        </is>
      </c>
      <c r="E731" t="inlineStr">
        <is>
          <t>ÖSTHAMMAR</t>
        </is>
      </c>
      <c r="G731" t="n">
        <v>2.9</v>
      </c>
      <c r="H731" t="n">
        <v>0</v>
      </c>
      <c r="I731" t="n">
        <v>0</v>
      </c>
      <c r="J731" t="n">
        <v>0</v>
      </c>
      <c r="K731" t="n">
        <v>0</v>
      </c>
      <c r="L731" t="n">
        <v>0</v>
      </c>
      <c r="M731" t="n">
        <v>0</v>
      </c>
      <c r="N731" t="n">
        <v>0</v>
      </c>
      <c r="O731" t="n">
        <v>0</v>
      </c>
      <c r="P731" t="n">
        <v>0</v>
      </c>
      <c r="Q731" t="n">
        <v>0</v>
      </c>
      <c r="R731" s="2" t="inlineStr"/>
    </row>
    <row r="732" ht="15" customHeight="1">
      <c r="A732" t="inlineStr">
        <is>
          <t>A 27660-2023</t>
        </is>
      </c>
      <c r="B732" s="1" t="n">
        <v>45097</v>
      </c>
      <c r="C732" s="1" t="n">
        <v>45982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69411-2021</t>
        </is>
      </c>
      <c r="B733" s="1" t="n">
        <v>44531.61038194445</v>
      </c>
      <c r="C733" s="1" t="n">
        <v>45982</v>
      </c>
      <c r="D733" t="inlineStr">
        <is>
          <t>UPPSALA LÄN</t>
        </is>
      </c>
      <c r="E733" t="inlineStr">
        <is>
          <t>ÖSTHAMMAR</t>
        </is>
      </c>
      <c r="F733" t="inlineStr">
        <is>
          <t>Bergvik skog öst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26303-2024</t>
        </is>
      </c>
      <c r="B734" s="1" t="n">
        <v>45468</v>
      </c>
      <c r="C734" s="1" t="n">
        <v>45982</v>
      </c>
      <c r="D734" t="inlineStr">
        <is>
          <t>UPPSALA LÄN</t>
        </is>
      </c>
      <c r="E734" t="inlineStr">
        <is>
          <t>ÖSTHAMMAR</t>
        </is>
      </c>
      <c r="G734" t="n">
        <v>1.2</v>
      </c>
      <c r="H734" t="n">
        <v>0</v>
      </c>
      <c r="I734" t="n">
        <v>0</v>
      </c>
      <c r="J734" t="n">
        <v>0</v>
      </c>
      <c r="K734" t="n">
        <v>0</v>
      </c>
      <c r="L734" t="n">
        <v>0</v>
      </c>
      <c r="M734" t="n">
        <v>0</v>
      </c>
      <c r="N734" t="n">
        <v>0</v>
      </c>
      <c r="O734" t="n">
        <v>0</v>
      </c>
      <c r="P734" t="n">
        <v>0</v>
      </c>
      <c r="Q734" t="n">
        <v>0</v>
      </c>
      <c r="R734" s="2" t="inlineStr"/>
    </row>
    <row r="735" ht="15" customHeight="1">
      <c r="A735" t="inlineStr">
        <is>
          <t>A 46785-2023</t>
        </is>
      </c>
      <c r="B735" s="1" t="n">
        <v>45198</v>
      </c>
      <c r="C735" s="1" t="n">
        <v>45982</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7100-2025</t>
        </is>
      </c>
      <c r="B736" s="1" t="n">
        <v>45701.83930555556</v>
      </c>
      <c r="C736" s="1" t="n">
        <v>45982</v>
      </c>
      <c r="D736" t="inlineStr">
        <is>
          <t>UPPSALA LÄN</t>
        </is>
      </c>
      <c r="E736" t="inlineStr">
        <is>
          <t>ÖSTHAMMAR</t>
        </is>
      </c>
      <c r="G736" t="n">
        <v>4.3</v>
      </c>
      <c r="H736" t="n">
        <v>0</v>
      </c>
      <c r="I736" t="n">
        <v>0</v>
      </c>
      <c r="J736" t="n">
        <v>0</v>
      </c>
      <c r="K736" t="n">
        <v>0</v>
      </c>
      <c r="L736" t="n">
        <v>0</v>
      </c>
      <c r="M736" t="n">
        <v>0</v>
      </c>
      <c r="N736" t="n">
        <v>0</v>
      </c>
      <c r="O736" t="n">
        <v>0</v>
      </c>
      <c r="P736" t="n">
        <v>0</v>
      </c>
      <c r="Q736" t="n">
        <v>0</v>
      </c>
      <c r="R736" s="2" t="inlineStr"/>
    </row>
    <row r="737" ht="15" customHeight="1">
      <c r="A737" t="inlineStr">
        <is>
          <t>A 60577-2021</t>
        </is>
      </c>
      <c r="B737" s="1" t="n">
        <v>44496.57019675926</v>
      </c>
      <c r="C737" s="1" t="n">
        <v>45982</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10495-2025</t>
        </is>
      </c>
      <c r="B738" s="1" t="n">
        <v>45721</v>
      </c>
      <c r="C738" s="1" t="n">
        <v>45982</v>
      </c>
      <c r="D738" t="inlineStr">
        <is>
          <t>UPPSALA LÄN</t>
        </is>
      </c>
      <c r="E738" t="inlineStr">
        <is>
          <t>ÖSTHAMMAR</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1791-2023</t>
        </is>
      </c>
      <c r="B739" s="1" t="n">
        <v>44938</v>
      </c>
      <c r="C739" s="1" t="n">
        <v>45982</v>
      </c>
      <c r="D739" t="inlineStr">
        <is>
          <t>UPPSALA LÄN</t>
        </is>
      </c>
      <c r="E739" t="inlineStr">
        <is>
          <t>ÖSTHAMMAR</t>
        </is>
      </c>
      <c r="G739" t="n">
        <v>2</v>
      </c>
      <c r="H739" t="n">
        <v>0</v>
      </c>
      <c r="I739" t="n">
        <v>0</v>
      </c>
      <c r="J739" t="n">
        <v>0</v>
      </c>
      <c r="K739" t="n">
        <v>0</v>
      </c>
      <c r="L739" t="n">
        <v>0</v>
      </c>
      <c r="M739" t="n">
        <v>0</v>
      </c>
      <c r="N739" t="n">
        <v>0</v>
      </c>
      <c r="O739" t="n">
        <v>0</v>
      </c>
      <c r="P739" t="n">
        <v>0</v>
      </c>
      <c r="Q739" t="n">
        <v>0</v>
      </c>
      <c r="R739" s="2" t="inlineStr"/>
    </row>
    <row r="740" ht="15" customHeight="1">
      <c r="A740" t="inlineStr">
        <is>
          <t>A 49796-2024</t>
        </is>
      </c>
      <c r="B740" s="1" t="n">
        <v>45597</v>
      </c>
      <c r="C740" s="1" t="n">
        <v>45982</v>
      </c>
      <c r="D740" t="inlineStr">
        <is>
          <t>UPPSALA LÄN</t>
        </is>
      </c>
      <c r="E740" t="inlineStr">
        <is>
          <t>ÖSTHAMMAR</t>
        </is>
      </c>
      <c r="G740" t="n">
        <v>1.3</v>
      </c>
      <c r="H740" t="n">
        <v>0</v>
      </c>
      <c r="I740" t="n">
        <v>0</v>
      </c>
      <c r="J740" t="n">
        <v>0</v>
      </c>
      <c r="K740" t="n">
        <v>0</v>
      </c>
      <c r="L740" t="n">
        <v>0</v>
      </c>
      <c r="M740" t="n">
        <v>0</v>
      </c>
      <c r="N740" t="n">
        <v>0</v>
      </c>
      <c r="O740" t="n">
        <v>0</v>
      </c>
      <c r="P740" t="n">
        <v>0</v>
      </c>
      <c r="Q740" t="n">
        <v>0</v>
      </c>
      <c r="R740" s="2" t="inlineStr"/>
    </row>
    <row r="741" ht="15" customHeight="1">
      <c r="A741" t="inlineStr">
        <is>
          <t>A 21133-2025</t>
        </is>
      </c>
      <c r="B741" s="1" t="n">
        <v>45778.415625</v>
      </c>
      <c r="C741" s="1" t="n">
        <v>45982</v>
      </c>
      <c r="D741" t="inlineStr">
        <is>
          <t>UPPSALA LÄN</t>
        </is>
      </c>
      <c r="E741" t="inlineStr">
        <is>
          <t>ÖSTHAMMAR</t>
        </is>
      </c>
      <c r="G741" t="n">
        <v>1.5</v>
      </c>
      <c r="H741" t="n">
        <v>0</v>
      </c>
      <c r="I741" t="n">
        <v>0</v>
      </c>
      <c r="J741" t="n">
        <v>0</v>
      </c>
      <c r="K741" t="n">
        <v>0</v>
      </c>
      <c r="L741" t="n">
        <v>0</v>
      </c>
      <c r="M741" t="n">
        <v>0</v>
      </c>
      <c r="N741" t="n">
        <v>0</v>
      </c>
      <c r="O741" t="n">
        <v>0</v>
      </c>
      <c r="P741" t="n">
        <v>0</v>
      </c>
      <c r="Q741" t="n">
        <v>0</v>
      </c>
      <c r="R741" s="2" t="inlineStr"/>
    </row>
    <row r="742" ht="15" customHeight="1">
      <c r="A742" t="inlineStr">
        <is>
          <t>A 21132-2025</t>
        </is>
      </c>
      <c r="B742" s="1" t="n">
        <v>45778.4108912037</v>
      </c>
      <c r="C742" s="1" t="n">
        <v>45982</v>
      </c>
      <c r="D742" t="inlineStr">
        <is>
          <t>UPPSALA LÄN</t>
        </is>
      </c>
      <c r="E742" t="inlineStr">
        <is>
          <t>ÖSTHAMMAR</t>
        </is>
      </c>
      <c r="G742" t="n">
        <v>10.1</v>
      </c>
      <c r="H742" t="n">
        <v>0</v>
      </c>
      <c r="I742" t="n">
        <v>0</v>
      </c>
      <c r="J742" t="n">
        <v>0</v>
      </c>
      <c r="K742" t="n">
        <v>0</v>
      </c>
      <c r="L742" t="n">
        <v>0</v>
      </c>
      <c r="M742" t="n">
        <v>0</v>
      </c>
      <c r="N742" t="n">
        <v>0</v>
      </c>
      <c r="O742" t="n">
        <v>0</v>
      </c>
      <c r="P742" t="n">
        <v>0</v>
      </c>
      <c r="Q742" t="n">
        <v>0</v>
      </c>
      <c r="R742" s="2" t="inlineStr"/>
    </row>
    <row r="743" ht="15" customHeight="1">
      <c r="A743" t="inlineStr">
        <is>
          <t>A 42262-2024</t>
        </is>
      </c>
      <c r="B743" s="1" t="n">
        <v>45562</v>
      </c>
      <c r="C743" s="1" t="n">
        <v>45982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36954-2024</t>
        </is>
      </c>
      <c r="B744" s="1" t="n">
        <v>45538.71109953704</v>
      </c>
      <c r="C744" s="1" t="n">
        <v>45982</v>
      </c>
      <c r="D744" t="inlineStr">
        <is>
          <t>UPPSALA LÄN</t>
        </is>
      </c>
      <c r="E744" t="inlineStr">
        <is>
          <t>ÖSTHAMMAR</t>
        </is>
      </c>
      <c r="F744" t="inlineStr">
        <is>
          <t>Bergvik skog öst AB</t>
        </is>
      </c>
      <c r="G744" t="n">
        <v>5.1</v>
      </c>
      <c r="H744" t="n">
        <v>0</v>
      </c>
      <c r="I744" t="n">
        <v>0</v>
      </c>
      <c r="J744" t="n">
        <v>0</v>
      </c>
      <c r="K744" t="n">
        <v>0</v>
      </c>
      <c r="L744" t="n">
        <v>0</v>
      </c>
      <c r="M744" t="n">
        <v>0</v>
      </c>
      <c r="N744" t="n">
        <v>0</v>
      </c>
      <c r="O744" t="n">
        <v>0</v>
      </c>
      <c r="P744" t="n">
        <v>0</v>
      </c>
      <c r="Q744" t="n">
        <v>0</v>
      </c>
      <c r="R744" s="2" t="inlineStr"/>
    </row>
    <row r="745" ht="15" customHeight="1">
      <c r="A745" t="inlineStr">
        <is>
          <t>A 33685-2024</t>
        </is>
      </c>
      <c r="B745" s="1" t="n">
        <v>45520.51063657407</v>
      </c>
      <c r="C745" s="1" t="n">
        <v>45982</v>
      </c>
      <c r="D745" t="inlineStr">
        <is>
          <t>UPPSALA LÄN</t>
        </is>
      </c>
      <c r="E745" t="inlineStr">
        <is>
          <t>ÖSTHAMMAR</t>
        </is>
      </c>
      <c r="F745" t="inlineStr">
        <is>
          <t>Bergvik skog öst AB</t>
        </is>
      </c>
      <c r="G745" t="n">
        <v>3.8</v>
      </c>
      <c r="H745" t="n">
        <v>0</v>
      </c>
      <c r="I745" t="n">
        <v>0</v>
      </c>
      <c r="J745" t="n">
        <v>0</v>
      </c>
      <c r="K745" t="n">
        <v>0</v>
      </c>
      <c r="L745" t="n">
        <v>0</v>
      </c>
      <c r="M745" t="n">
        <v>0</v>
      </c>
      <c r="N745" t="n">
        <v>0</v>
      </c>
      <c r="O745" t="n">
        <v>0</v>
      </c>
      <c r="P745" t="n">
        <v>0</v>
      </c>
      <c r="Q745" t="n">
        <v>0</v>
      </c>
      <c r="R745" s="2" t="inlineStr"/>
    </row>
    <row r="746" ht="15" customHeight="1">
      <c r="A746" t="inlineStr">
        <is>
          <t>A 43655-2024</t>
        </is>
      </c>
      <c r="B746" s="1" t="n">
        <v>45569</v>
      </c>
      <c r="C746" s="1" t="n">
        <v>45982</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22488-2025</t>
        </is>
      </c>
      <c r="B747" s="1" t="n">
        <v>45786.64865740741</v>
      </c>
      <c r="C747" s="1" t="n">
        <v>45982</v>
      </c>
      <c r="D747" t="inlineStr">
        <is>
          <t>UPPSALA LÄN</t>
        </is>
      </c>
      <c r="E747" t="inlineStr">
        <is>
          <t>ÖSTHAMMAR</t>
        </is>
      </c>
      <c r="F747" t="inlineStr">
        <is>
          <t>Bergvik skog öst AB</t>
        </is>
      </c>
      <c r="G747" t="n">
        <v>14.9</v>
      </c>
      <c r="H747" t="n">
        <v>0</v>
      </c>
      <c r="I747" t="n">
        <v>0</v>
      </c>
      <c r="J747" t="n">
        <v>0</v>
      </c>
      <c r="K747" t="n">
        <v>0</v>
      </c>
      <c r="L747" t="n">
        <v>0</v>
      </c>
      <c r="M747" t="n">
        <v>0</v>
      </c>
      <c r="N747" t="n">
        <v>0</v>
      </c>
      <c r="O747" t="n">
        <v>0</v>
      </c>
      <c r="P747" t="n">
        <v>0</v>
      </c>
      <c r="Q747" t="n">
        <v>0</v>
      </c>
      <c r="R747" s="2" t="inlineStr"/>
    </row>
    <row r="748" ht="15" customHeight="1">
      <c r="A748" t="inlineStr">
        <is>
          <t>A 14595-2023</t>
        </is>
      </c>
      <c r="B748" s="1" t="n">
        <v>45013.57858796296</v>
      </c>
      <c r="C748" s="1" t="n">
        <v>45982</v>
      </c>
      <c r="D748" t="inlineStr">
        <is>
          <t>UPPSALA LÄN</t>
        </is>
      </c>
      <c r="E748" t="inlineStr">
        <is>
          <t>ÖSTHAMMAR</t>
        </is>
      </c>
      <c r="G748" t="n">
        <v>5</v>
      </c>
      <c r="H748" t="n">
        <v>0</v>
      </c>
      <c r="I748" t="n">
        <v>0</v>
      </c>
      <c r="J748" t="n">
        <v>0</v>
      </c>
      <c r="K748" t="n">
        <v>0</v>
      </c>
      <c r="L748" t="n">
        <v>0</v>
      </c>
      <c r="M748" t="n">
        <v>0</v>
      </c>
      <c r="N748" t="n">
        <v>0</v>
      </c>
      <c r="O748" t="n">
        <v>0</v>
      </c>
      <c r="P748" t="n">
        <v>0</v>
      </c>
      <c r="Q748" t="n">
        <v>0</v>
      </c>
      <c r="R748" s="2" t="inlineStr"/>
    </row>
    <row r="749" ht="15" customHeight="1">
      <c r="A749" t="inlineStr">
        <is>
          <t>A 32483-2024</t>
        </is>
      </c>
      <c r="B749" s="1" t="n">
        <v>45513.36644675926</v>
      </c>
      <c r="C749" s="1" t="n">
        <v>45982</v>
      </c>
      <c r="D749" t="inlineStr">
        <is>
          <t>UPPSALA LÄN</t>
        </is>
      </c>
      <c r="E749" t="inlineStr">
        <is>
          <t>ÖSTHAMMAR</t>
        </is>
      </c>
      <c r="F749" t="inlineStr">
        <is>
          <t>Kyrkan</t>
        </is>
      </c>
      <c r="G749" t="n">
        <v>4.7</v>
      </c>
      <c r="H749" t="n">
        <v>0</v>
      </c>
      <c r="I749" t="n">
        <v>0</v>
      </c>
      <c r="J749" t="n">
        <v>0</v>
      </c>
      <c r="K749" t="n">
        <v>0</v>
      </c>
      <c r="L749" t="n">
        <v>0</v>
      </c>
      <c r="M749" t="n">
        <v>0</v>
      </c>
      <c r="N749" t="n">
        <v>0</v>
      </c>
      <c r="O749" t="n">
        <v>0</v>
      </c>
      <c r="P749" t="n">
        <v>0</v>
      </c>
      <c r="Q749" t="n">
        <v>0</v>
      </c>
      <c r="R749" s="2" t="inlineStr"/>
    </row>
    <row r="750" ht="15" customHeight="1">
      <c r="A750" t="inlineStr">
        <is>
          <t>A 38575-2024</t>
        </is>
      </c>
      <c r="B750" s="1" t="n">
        <v>45546.64221064815</v>
      </c>
      <c r="C750" s="1" t="n">
        <v>45982</v>
      </c>
      <c r="D750" t="inlineStr">
        <is>
          <t>UPPSALA LÄN</t>
        </is>
      </c>
      <c r="E750" t="inlineStr">
        <is>
          <t>ÖSTHAMMAR</t>
        </is>
      </c>
      <c r="F750" t="inlineStr">
        <is>
          <t>Bergvik skog öst AB</t>
        </is>
      </c>
      <c r="G750" t="n">
        <v>5.1</v>
      </c>
      <c r="H750" t="n">
        <v>0</v>
      </c>
      <c r="I750" t="n">
        <v>0</v>
      </c>
      <c r="J750" t="n">
        <v>0</v>
      </c>
      <c r="K750" t="n">
        <v>0</v>
      </c>
      <c r="L750" t="n">
        <v>0</v>
      </c>
      <c r="M750" t="n">
        <v>0</v>
      </c>
      <c r="N750" t="n">
        <v>0</v>
      </c>
      <c r="O750" t="n">
        <v>0</v>
      </c>
      <c r="P750" t="n">
        <v>0</v>
      </c>
      <c r="Q750" t="n">
        <v>0</v>
      </c>
      <c r="R750" s="2" t="inlineStr"/>
    </row>
    <row r="751" ht="15" customHeight="1">
      <c r="A751" t="inlineStr">
        <is>
          <t>A 43685-2024</t>
        </is>
      </c>
      <c r="B751" s="1" t="n">
        <v>45569</v>
      </c>
      <c r="C751" s="1" t="n">
        <v>45982</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44796-2024</t>
        </is>
      </c>
      <c r="B752" s="1" t="n">
        <v>45574</v>
      </c>
      <c r="C752" s="1" t="n">
        <v>45982</v>
      </c>
      <c r="D752" t="inlineStr">
        <is>
          <t>UPPSALA LÄN</t>
        </is>
      </c>
      <c r="E752" t="inlineStr">
        <is>
          <t>ÖSTHAMMAR</t>
        </is>
      </c>
      <c r="G752" t="n">
        <v>4.7</v>
      </c>
      <c r="H752" t="n">
        <v>0</v>
      </c>
      <c r="I752" t="n">
        <v>0</v>
      </c>
      <c r="J752" t="n">
        <v>0</v>
      </c>
      <c r="K752" t="n">
        <v>0</v>
      </c>
      <c r="L752" t="n">
        <v>0</v>
      </c>
      <c r="M752" t="n">
        <v>0</v>
      </c>
      <c r="N752" t="n">
        <v>0</v>
      </c>
      <c r="O752" t="n">
        <v>0</v>
      </c>
      <c r="P752" t="n">
        <v>0</v>
      </c>
      <c r="Q752" t="n">
        <v>0</v>
      </c>
      <c r="R752" s="2" t="inlineStr"/>
    </row>
    <row r="753" ht="15" customHeight="1">
      <c r="A753" t="inlineStr">
        <is>
          <t>A 44027-2024</t>
        </is>
      </c>
      <c r="B753" s="1" t="n">
        <v>45572</v>
      </c>
      <c r="C753" s="1" t="n">
        <v>45982</v>
      </c>
      <c r="D753" t="inlineStr">
        <is>
          <t>UPPSALA LÄN</t>
        </is>
      </c>
      <c r="E753" t="inlineStr">
        <is>
          <t>ÖSTHAMMAR</t>
        </is>
      </c>
      <c r="G753" t="n">
        <v>6</v>
      </c>
      <c r="H753" t="n">
        <v>0</v>
      </c>
      <c r="I753" t="n">
        <v>0</v>
      </c>
      <c r="J753" t="n">
        <v>0</v>
      </c>
      <c r="K753" t="n">
        <v>0</v>
      </c>
      <c r="L753" t="n">
        <v>0</v>
      </c>
      <c r="M753" t="n">
        <v>0</v>
      </c>
      <c r="N753" t="n">
        <v>0</v>
      </c>
      <c r="O753" t="n">
        <v>0</v>
      </c>
      <c r="P753" t="n">
        <v>0</v>
      </c>
      <c r="Q753" t="n">
        <v>0</v>
      </c>
      <c r="R753" s="2" t="inlineStr"/>
    </row>
    <row r="754">
      <c r="A754" t="inlineStr">
        <is>
          <t>A 5931-2022</t>
        </is>
      </c>
      <c r="B754" s="1" t="n">
        <v>44598.82700231481</v>
      </c>
      <c r="C754" s="1" t="n">
        <v>45982</v>
      </c>
      <c r="D754" t="inlineStr">
        <is>
          <t>UPPSALA LÄN</t>
        </is>
      </c>
      <c r="E754" t="inlineStr">
        <is>
          <t>ÖSTHAMMAR</t>
        </is>
      </c>
      <c r="F754" t="inlineStr">
        <is>
          <t>Bergvik skog öst AB</t>
        </is>
      </c>
      <c r="G754" t="n">
        <v>0.7</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2025-11-21T19:57:00Z</dcterms:created>
  <dcterms:modified xmlns:dcterms="http://purl.org/dc/terms/" xmlns:xsi="http://www.w3.org/2001/XMLSchema-instance" xsi:type="dcterms:W3CDTF">2025-11-21T19:57:01Z</dcterms:modified>
</cp:coreProperties>
</file>