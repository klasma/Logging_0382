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45628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45628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45628</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45628</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45628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45628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45628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45628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45628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45628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45628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45628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45628</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45628</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45628</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45628</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45628</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45628</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45628</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45628</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45628</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45628</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45628</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45628</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45628</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45628</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45628</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45628</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45628</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45628</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45628</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45628</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45628</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45628</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45628</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45628</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45628</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45628</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45628</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45628</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45628</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45628</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45628</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45628</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45628</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45628</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45628</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45628</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45628</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45628</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45628</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45628</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45628</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45628</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45628</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45628</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45628</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45628</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45628</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45628</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45628</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45628</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45628</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45628</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45628</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45628</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45628</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45628</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45628</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45628</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45628</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45628</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45628</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45628</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45628</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45628</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45628</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45628</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45628</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45628</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45628</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45628</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45628</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45628</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45628</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45628</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45628</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45628</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45628</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45628</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45628</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45628</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45628</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21453-2023</t>
        </is>
      </c>
      <c r="B96" s="1" t="n">
        <v>45063</v>
      </c>
      <c r="C96" s="1" t="n">
        <v>45628</v>
      </c>
      <c r="D96" t="inlineStr">
        <is>
          <t>UPPSALA LÄN</t>
        </is>
      </c>
      <c r="E96" t="inlineStr">
        <is>
          <t>ÖSTHAMMAR</t>
        </is>
      </c>
      <c r="F96" t="inlineStr">
        <is>
          <t>Bergvik skog väst AB</t>
        </is>
      </c>
      <c r="G96" t="n">
        <v>6.1</v>
      </c>
      <c r="H96" t="n">
        <v>1</v>
      </c>
      <c r="I96" t="n">
        <v>1</v>
      </c>
      <c r="J96" t="n">
        <v>0</v>
      </c>
      <c r="K96" t="n">
        <v>0</v>
      </c>
      <c r="L96" t="n">
        <v>0</v>
      </c>
      <c r="M96" t="n">
        <v>0</v>
      </c>
      <c r="N96" t="n">
        <v>0</v>
      </c>
      <c r="O96" t="n">
        <v>0</v>
      </c>
      <c r="P96" t="n">
        <v>0</v>
      </c>
      <c r="Q96" t="n">
        <v>2</v>
      </c>
      <c r="R96" s="2" t="inlineStr">
        <is>
          <t>Fransig jordstjärna
Blåsippa</t>
        </is>
      </c>
      <c r="S96">
        <f>HYPERLINK("https://klasma.github.io/Logging_0382/artfynd/A 21453-2023 artfynd.xlsx", "A 21453-2023")</f>
        <v/>
      </c>
      <c r="T96">
        <f>HYPERLINK("https://klasma.github.io/Logging_0382/kartor/A 21453-2023 karta.png", "A 21453-2023")</f>
        <v/>
      </c>
      <c r="V96">
        <f>HYPERLINK("https://klasma.github.io/Logging_0382/klagomål/A 21453-2023 FSC-klagomål.docx", "A 21453-2023")</f>
        <v/>
      </c>
      <c r="W96">
        <f>HYPERLINK("https://klasma.github.io/Logging_0382/klagomålsmail/A 21453-2023 FSC-klagomål mail.docx", "A 21453-2023")</f>
        <v/>
      </c>
      <c r="X96">
        <f>HYPERLINK("https://klasma.github.io/Logging_0382/tillsyn/A 21453-2023 tillsynsbegäran.docx", "A 21453-2023")</f>
        <v/>
      </c>
      <c r="Y96">
        <f>HYPERLINK("https://klasma.github.io/Logging_0382/tillsynsmail/A 21453-2023 tillsynsbegäran mail.docx", "A 21453-2023")</f>
        <v/>
      </c>
    </row>
    <row r="97" ht="15" customHeight="1">
      <c r="A97" t="inlineStr">
        <is>
          <t>A 21422-2023</t>
        </is>
      </c>
      <c r="B97" s="1" t="n">
        <v>45063</v>
      </c>
      <c r="C97" s="1" t="n">
        <v>45628</v>
      </c>
      <c r="D97" t="inlineStr">
        <is>
          <t>UPPSALA LÄN</t>
        </is>
      </c>
      <c r="E97" t="inlineStr">
        <is>
          <t>ÖSTHAMMAR</t>
        </is>
      </c>
      <c r="F97" t="inlineStr">
        <is>
          <t>Sveaskog</t>
        </is>
      </c>
      <c r="G97" t="n">
        <v>2.8</v>
      </c>
      <c r="H97" t="n">
        <v>2</v>
      </c>
      <c r="I97" t="n">
        <v>0</v>
      </c>
      <c r="J97" t="n">
        <v>1</v>
      </c>
      <c r="K97" t="n">
        <v>0</v>
      </c>
      <c r="L97" t="n">
        <v>0</v>
      </c>
      <c r="M97" t="n">
        <v>0</v>
      </c>
      <c r="N97" t="n">
        <v>0</v>
      </c>
      <c r="O97" t="n">
        <v>1</v>
      </c>
      <c r="P97" t="n">
        <v>0</v>
      </c>
      <c r="Q97" t="n">
        <v>2</v>
      </c>
      <c r="R97" s="2" t="inlineStr">
        <is>
          <t>Nordfladdermus
Dvärgpipistrell</t>
        </is>
      </c>
      <c r="S97">
        <f>HYPERLINK("https://klasma.github.io/Logging_0382/artfynd/A 21422-2023 artfynd.xlsx", "A 21422-2023")</f>
        <v/>
      </c>
      <c r="T97">
        <f>HYPERLINK("https://klasma.github.io/Logging_0382/kartor/A 21422-2023 karta.png", "A 21422-2023")</f>
        <v/>
      </c>
      <c r="V97">
        <f>HYPERLINK("https://klasma.github.io/Logging_0382/klagomål/A 21422-2023 FSC-klagomål.docx", "A 21422-2023")</f>
        <v/>
      </c>
      <c r="W97">
        <f>HYPERLINK("https://klasma.github.io/Logging_0382/klagomålsmail/A 21422-2023 FSC-klagomål mail.docx", "A 21422-2023")</f>
        <v/>
      </c>
      <c r="X97">
        <f>HYPERLINK("https://klasma.github.io/Logging_0382/tillsyn/A 21422-2023 tillsynsbegäran.docx", "A 21422-2023")</f>
        <v/>
      </c>
      <c r="Y97">
        <f>HYPERLINK("https://klasma.github.io/Logging_0382/tillsynsmail/A 21422-2023 tillsynsbegäran mail.docx", "A 21422-2023")</f>
        <v/>
      </c>
    </row>
    <row r="98" ht="15" customHeight="1">
      <c r="A98" t="inlineStr">
        <is>
          <t>A 26602-2023</t>
        </is>
      </c>
      <c r="B98" s="1" t="n">
        <v>45092</v>
      </c>
      <c r="C98" s="1" t="n">
        <v>45628</v>
      </c>
      <c r="D98" t="inlineStr">
        <is>
          <t>UPPSALA LÄN</t>
        </is>
      </c>
      <c r="E98" t="inlineStr">
        <is>
          <t>ÖSTHAMMAR</t>
        </is>
      </c>
      <c r="F98" t="inlineStr">
        <is>
          <t>Sveaskog</t>
        </is>
      </c>
      <c r="G98" t="n">
        <v>1.6</v>
      </c>
      <c r="H98" t="n">
        <v>2</v>
      </c>
      <c r="I98" t="n">
        <v>0</v>
      </c>
      <c r="J98" t="n">
        <v>2</v>
      </c>
      <c r="K98" t="n">
        <v>0</v>
      </c>
      <c r="L98" t="n">
        <v>0</v>
      </c>
      <c r="M98" t="n">
        <v>0</v>
      </c>
      <c r="N98" t="n">
        <v>0</v>
      </c>
      <c r="O98" t="n">
        <v>2</v>
      </c>
      <c r="P98" t="n">
        <v>0</v>
      </c>
      <c r="Q98" t="n">
        <v>2</v>
      </c>
      <c r="R98" s="2" t="inlineStr">
        <is>
          <t>Gulsparv
Skrattmås</t>
        </is>
      </c>
      <c r="S98">
        <f>HYPERLINK("https://klasma.github.io/Logging_0382/artfynd/A 26602-2023 artfynd.xlsx", "A 26602-2023")</f>
        <v/>
      </c>
      <c r="T98">
        <f>HYPERLINK("https://klasma.github.io/Logging_0382/kartor/A 26602-2023 karta.png", "A 26602-2023")</f>
        <v/>
      </c>
      <c r="V98">
        <f>HYPERLINK("https://klasma.github.io/Logging_0382/klagomål/A 26602-2023 FSC-klagomål.docx", "A 26602-2023")</f>
        <v/>
      </c>
      <c r="W98">
        <f>HYPERLINK("https://klasma.github.io/Logging_0382/klagomålsmail/A 26602-2023 FSC-klagomål mail.docx", "A 26602-2023")</f>
        <v/>
      </c>
      <c r="X98">
        <f>HYPERLINK("https://klasma.github.io/Logging_0382/tillsyn/A 26602-2023 tillsynsbegäran.docx", "A 26602-2023")</f>
        <v/>
      </c>
      <c r="Y98">
        <f>HYPERLINK("https://klasma.github.io/Logging_0382/tillsynsmail/A 26602-2023 tillsynsbegäran mail.docx", "A 26602-2023")</f>
        <v/>
      </c>
      <c r="Z98">
        <f>HYPERLINK("https://klasma.github.io/Logging_0382/fåglar/A 26602-2023 prioriterade fågelarter.docx", "A 26602-2023")</f>
        <v/>
      </c>
    </row>
    <row r="99" ht="15" customHeight="1">
      <c r="A99" t="inlineStr">
        <is>
          <t>A 36876-2023</t>
        </is>
      </c>
      <c r="B99" s="1" t="n">
        <v>45154</v>
      </c>
      <c r="C99" s="1" t="n">
        <v>45628</v>
      </c>
      <c r="D99" t="inlineStr">
        <is>
          <t>UPPSALA LÄN</t>
        </is>
      </c>
      <c r="E99" t="inlineStr">
        <is>
          <t>ÖSTHAMMAR</t>
        </is>
      </c>
      <c r="F99" t="inlineStr">
        <is>
          <t>Övriga Aktiebolag</t>
        </is>
      </c>
      <c r="G99" t="n">
        <v>12.6</v>
      </c>
      <c r="H99" t="n">
        <v>1</v>
      </c>
      <c r="I99" t="n">
        <v>0</v>
      </c>
      <c r="J99" t="n">
        <v>2</v>
      </c>
      <c r="K99" t="n">
        <v>0</v>
      </c>
      <c r="L99" t="n">
        <v>0</v>
      </c>
      <c r="M99" t="n">
        <v>0</v>
      </c>
      <c r="N99" t="n">
        <v>0</v>
      </c>
      <c r="O99" t="n">
        <v>2</v>
      </c>
      <c r="P99" t="n">
        <v>0</v>
      </c>
      <c r="Q99" t="n">
        <v>2</v>
      </c>
      <c r="R99" s="2" t="inlineStr">
        <is>
          <t>Slaguggla
Slåtterfibbla</t>
        </is>
      </c>
      <c r="S99">
        <f>HYPERLINK("https://klasma.github.io/Logging_0382/artfynd/A 36876-2023 artfynd.xlsx", "A 36876-2023")</f>
        <v/>
      </c>
      <c r="T99">
        <f>HYPERLINK("https://klasma.github.io/Logging_0382/kartor/A 36876-2023 karta.png", "A 36876-2023")</f>
        <v/>
      </c>
      <c r="V99">
        <f>HYPERLINK("https://klasma.github.io/Logging_0382/klagomål/A 36876-2023 FSC-klagomål.docx", "A 36876-2023")</f>
        <v/>
      </c>
      <c r="W99">
        <f>HYPERLINK("https://klasma.github.io/Logging_0382/klagomålsmail/A 36876-2023 FSC-klagomål mail.docx", "A 36876-2023")</f>
        <v/>
      </c>
      <c r="X99">
        <f>HYPERLINK("https://klasma.github.io/Logging_0382/tillsyn/A 36876-2023 tillsynsbegäran.docx", "A 36876-2023")</f>
        <v/>
      </c>
      <c r="Y99">
        <f>HYPERLINK("https://klasma.github.io/Logging_0382/tillsynsmail/A 36876-2023 tillsynsbegäran mail.docx", "A 36876-2023")</f>
        <v/>
      </c>
      <c r="Z99">
        <f>HYPERLINK("https://klasma.github.io/Logging_0382/fåglar/A 36876-2023 prioriterade fågelarter.docx", "A 36876-2023")</f>
        <v/>
      </c>
    </row>
    <row r="100" ht="15" customHeight="1">
      <c r="A100" t="inlineStr">
        <is>
          <t>A 48209-2023</t>
        </is>
      </c>
      <c r="B100" s="1" t="n">
        <v>45205</v>
      </c>
      <c r="C100" s="1" t="n">
        <v>45628</v>
      </c>
      <c r="D100" t="inlineStr">
        <is>
          <t>UPPSALA LÄN</t>
        </is>
      </c>
      <c r="E100" t="inlineStr">
        <is>
          <t>ÖSTHAMMAR</t>
        </is>
      </c>
      <c r="G100" t="n">
        <v>3.7</v>
      </c>
      <c r="H100" t="n">
        <v>1</v>
      </c>
      <c r="I100" t="n">
        <v>2</v>
      </c>
      <c r="J100" t="n">
        <v>0</v>
      </c>
      <c r="K100" t="n">
        <v>0</v>
      </c>
      <c r="L100" t="n">
        <v>0</v>
      </c>
      <c r="M100" t="n">
        <v>0</v>
      </c>
      <c r="N100" t="n">
        <v>0</v>
      </c>
      <c r="O100" t="n">
        <v>0</v>
      </c>
      <c r="P100" t="n">
        <v>0</v>
      </c>
      <c r="Q100" t="n">
        <v>2</v>
      </c>
      <c r="R100" s="2" t="inlineStr">
        <is>
          <t>Skogsknipprot
Tibast</t>
        </is>
      </c>
      <c r="S100">
        <f>HYPERLINK("https://klasma.github.io/Logging_0382/artfynd/A 48209-2023 artfynd.xlsx", "A 48209-2023")</f>
        <v/>
      </c>
      <c r="T100">
        <f>HYPERLINK("https://klasma.github.io/Logging_0382/kartor/A 48209-2023 karta.png", "A 48209-2023")</f>
        <v/>
      </c>
      <c r="V100">
        <f>HYPERLINK("https://klasma.github.io/Logging_0382/klagomål/A 48209-2023 FSC-klagomål.docx", "A 48209-2023")</f>
        <v/>
      </c>
      <c r="W100">
        <f>HYPERLINK("https://klasma.github.io/Logging_0382/klagomålsmail/A 48209-2023 FSC-klagomål mail.docx", "A 48209-2023")</f>
        <v/>
      </c>
      <c r="X100">
        <f>HYPERLINK("https://klasma.github.io/Logging_0382/tillsyn/A 48209-2023 tillsynsbegäran.docx", "A 48209-2023")</f>
        <v/>
      </c>
      <c r="Y100">
        <f>HYPERLINK("https://klasma.github.io/Logging_0382/tillsynsmail/A 48209-2023 tillsynsbegäran mail.docx", "A 48209-2023")</f>
        <v/>
      </c>
    </row>
    <row r="101" ht="15" customHeight="1">
      <c r="A101" t="inlineStr">
        <is>
          <t>A 48723-2023</t>
        </is>
      </c>
      <c r="B101" s="1" t="n">
        <v>45208</v>
      </c>
      <c r="C101" s="1" t="n">
        <v>45628</v>
      </c>
      <c r="D101" t="inlineStr">
        <is>
          <t>UPPSALA LÄN</t>
        </is>
      </c>
      <c r="E101" t="inlineStr">
        <is>
          <t>ÖSTHAMMAR</t>
        </is>
      </c>
      <c r="G101" t="n">
        <v>1</v>
      </c>
      <c r="H101" t="n">
        <v>0</v>
      </c>
      <c r="I101" t="n">
        <v>2</v>
      </c>
      <c r="J101" t="n">
        <v>0</v>
      </c>
      <c r="K101" t="n">
        <v>0</v>
      </c>
      <c r="L101" t="n">
        <v>0</v>
      </c>
      <c r="M101" t="n">
        <v>0</v>
      </c>
      <c r="N101" t="n">
        <v>0</v>
      </c>
      <c r="O101" t="n">
        <v>0</v>
      </c>
      <c r="P101" t="n">
        <v>0</v>
      </c>
      <c r="Q101" t="n">
        <v>2</v>
      </c>
      <c r="R101" s="2" t="inlineStr">
        <is>
          <t>Anisspindling
Fjällig taggsvamp s.str.</t>
        </is>
      </c>
      <c r="S101">
        <f>HYPERLINK("https://klasma.github.io/Logging_0382/artfynd/A 48723-2023 artfynd.xlsx", "A 48723-2023")</f>
        <v/>
      </c>
      <c r="T101">
        <f>HYPERLINK("https://klasma.github.io/Logging_0382/kartor/A 48723-2023 karta.png", "A 48723-2023")</f>
        <v/>
      </c>
      <c r="V101">
        <f>HYPERLINK("https://klasma.github.io/Logging_0382/klagomål/A 48723-2023 FSC-klagomål.docx", "A 48723-2023")</f>
        <v/>
      </c>
      <c r="W101">
        <f>HYPERLINK("https://klasma.github.io/Logging_0382/klagomålsmail/A 48723-2023 FSC-klagomål mail.docx", "A 48723-2023")</f>
        <v/>
      </c>
      <c r="X101">
        <f>HYPERLINK("https://klasma.github.io/Logging_0382/tillsyn/A 48723-2023 tillsynsbegäran.docx", "A 48723-2023")</f>
        <v/>
      </c>
      <c r="Y101">
        <f>HYPERLINK("https://klasma.github.io/Logging_0382/tillsynsmail/A 48723-2023 tillsynsbegäran mail.docx", "A 48723-2023")</f>
        <v/>
      </c>
    </row>
    <row r="102" ht="15" customHeight="1">
      <c r="A102" t="inlineStr">
        <is>
          <t>A 55508-2023</t>
        </is>
      </c>
      <c r="B102" s="1" t="n">
        <v>45238</v>
      </c>
      <c r="C102" s="1" t="n">
        <v>45628</v>
      </c>
      <c r="D102" t="inlineStr">
        <is>
          <t>UPPSALA LÄN</t>
        </is>
      </c>
      <c r="E102" t="inlineStr">
        <is>
          <t>ÖSTHAMMAR</t>
        </is>
      </c>
      <c r="G102" t="n">
        <v>3.4</v>
      </c>
      <c r="H102" t="n">
        <v>1</v>
      </c>
      <c r="I102" t="n">
        <v>1</v>
      </c>
      <c r="J102" t="n">
        <v>1</v>
      </c>
      <c r="K102" t="n">
        <v>0</v>
      </c>
      <c r="L102" t="n">
        <v>0</v>
      </c>
      <c r="M102" t="n">
        <v>0</v>
      </c>
      <c r="N102" t="n">
        <v>0</v>
      </c>
      <c r="O102" t="n">
        <v>1</v>
      </c>
      <c r="P102" t="n">
        <v>0</v>
      </c>
      <c r="Q102" t="n">
        <v>2</v>
      </c>
      <c r="R102" s="2" t="inlineStr">
        <is>
          <t>Svart taggsvamp
Guckusko</t>
        </is>
      </c>
      <c r="S102">
        <f>HYPERLINK("https://klasma.github.io/Logging_0382/artfynd/A 55508-2023 artfynd.xlsx", "A 55508-2023")</f>
        <v/>
      </c>
      <c r="T102">
        <f>HYPERLINK("https://klasma.github.io/Logging_0382/kartor/A 55508-2023 karta.png", "A 55508-2023")</f>
        <v/>
      </c>
      <c r="V102">
        <f>HYPERLINK("https://klasma.github.io/Logging_0382/klagomål/A 55508-2023 FSC-klagomål.docx", "A 55508-2023")</f>
        <v/>
      </c>
      <c r="W102">
        <f>HYPERLINK("https://klasma.github.io/Logging_0382/klagomålsmail/A 55508-2023 FSC-klagomål mail.docx", "A 55508-2023")</f>
        <v/>
      </c>
      <c r="X102">
        <f>HYPERLINK("https://klasma.github.io/Logging_0382/tillsyn/A 55508-2023 tillsynsbegäran.docx", "A 55508-2023")</f>
        <v/>
      </c>
      <c r="Y102">
        <f>HYPERLINK("https://klasma.github.io/Logging_0382/tillsynsmail/A 55508-2023 tillsynsbegäran mail.docx", "A 55508-2023")</f>
        <v/>
      </c>
    </row>
    <row r="103" ht="15" customHeight="1">
      <c r="A103" t="inlineStr">
        <is>
          <t>A 55385-2023</t>
        </is>
      </c>
      <c r="B103" s="1" t="n">
        <v>45238</v>
      </c>
      <c r="C103" s="1" t="n">
        <v>45628</v>
      </c>
      <c r="D103" t="inlineStr">
        <is>
          <t>UPPSALA LÄN</t>
        </is>
      </c>
      <c r="E103" t="inlineStr">
        <is>
          <t>ÖSTHAMMAR</t>
        </is>
      </c>
      <c r="G103" t="n">
        <v>3</v>
      </c>
      <c r="H103" t="n">
        <v>1</v>
      </c>
      <c r="I103" t="n">
        <v>2</v>
      </c>
      <c r="J103" t="n">
        <v>0</v>
      </c>
      <c r="K103" t="n">
        <v>0</v>
      </c>
      <c r="L103" t="n">
        <v>0</v>
      </c>
      <c r="M103" t="n">
        <v>0</v>
      </c>
      <c r="N103" t="n">
        <v>0</v>
      </c>
      <c r="O103" t="n">
        <v>0</v>
      </c>
      <c r="P103" t="n">
        <v>0</v>
      </c>
      <c r="Q103" t="n">
        <v>2</v>
      </c>
      <c r="R103" s="2" t="inlineStr">
        <is>
          <t>Guckusko
Korallblylav</t>
        </is>
      </c>
      <c r="S103">
        <f>HYPERLINK("https://klasma.github.io/Logging_0382/artfynd/A 55385-2023 artfynd.xlsx", "A 55385-2023")</f>
        <v/>
      </c>
      <c r="T103">
        <f>HYPERLINK("https://klasma.github.io/Logging_0382/kartor/A 55385-2023 karta.png", "A 55385-2023")</f>
        <v/>
      </c>
      <c r="V103">
        <f>HYPERLINK("https://klasma.github.io/Logging_0382/klagomål/A 55385-2023 FSC-klagomål.docx", "A 55385-2023")</f>
        <v/>
      </c>
      <c r="W103">
        <f>HYPERLINK("https://klasma.github.io/Logging_0382/klagomålsmail/A 55385-2023 FSC-klagomål mail.docx", "A 55385-2023")</f>
        <v/>
      </c>
      <c r="X103">
        <f>HYPERLINK("https://klasma.github.io/Logging_0382/tillsyn/A 55385-2023 tillsynsbegäran.docx", "A 55385-2023")</f>
        <v/>
      </c>
      <c r="Y103">
        <f>HYPERLINK("https://klasma.github.io/Logging_0382/tillsynsmail/A 55385-2023 tillsynsbegäran mail.docx", "A 55385-2023")</f>
        <v/>
      </c>
    </row>
    <row r="104" ht="15" customHeight="1">
      <c r="A104" t="inlineStr">
        <is>
          <t>A 59283-2023</t>
        </is>
      </c>
      <c r="B104" s="1" t="n">
        <v>45253</v>
      </c>
      <c r="C104" s="1" t="n">
        <v>45628</v>
      </c>
      <c r="D104" t="inlineStr">
        <is>
          <t>UPPSALA LÄN</t>
        </is>
      </c>
      <c r="E104" t="inlineStr">
        <is>
          <t>ÖSTHAMMAR</t>
        </is>
      </c>
      <c r="G104" t="n">
        <v>2</v>
      </c>
      <c r="H104" t="n">
        <v>0</v>
      </c>
      <c r="I104" t="n">
        <v>0</v>
      </c>
      <c r="J104" t="n">
        <v>0</v>
      </c>
      <c r="K104" t="n">
        <v>2</v>
      </c>
      <c r="L104" t="n">
        <v>0</v>
      </c>
      <c r="M104" t="n">
        <v>0</v>
      </c>
      <c r="N104" t="n">
        <v>0</v>
      </c>
      <c r="O104" t="n">
        <v>2</v>
      </c>
      <c r="P104" t="n">
        <v>2</v>
      </c>
      <c r="Q104" t="n">
        <v>2</v>
      </c>
      <c r="R104" s="2" t="inlineStr">
        <is>
          <t>Koppartaggsvamp
Spricktaggsvamp</t>
        </is>
      </c>
      <c r="S104">
        <f>HYPERLINK("https://klasma.github.io/Logging_0382/artfynd/A 59283-2023 artfynd.xlsx", "A 59283-2023")</f>
        <v/>
      </c>
      <c r="T104">
        <f>HYPERLINK("https://klasma.github.io/Logging_0382/kartor/A 59283-2023 karta.png", "A 59283-2023")</f>
        <v/>
      </c>
      <c r="V104">
        <f>HYPERLINK("https://klasma.github.io/Logging_0382/klagomål/A 59283-2023 FSC-klagomål.docx", "A 59283-2023")</f>
        <v/>
      </c>
      <c r="W104">
        <f>HYPERLINK("https://klasma.github.io/Logging_0382/klagomålsmail/A 59283-2023 FSC-klagomål mail.docx", "A 59283-2023")</f>
        <v/>
      </c>
      <c r="X104">
        <f>HYPERLINK("https://klasma.github.io/Logging_0382/tillsyn/A 59283-2023 tillsynsbegäran.docx", "A 59283-2023")</f>
        <v/>
      </c>
      <c r="Y104">
        <f>HYPERLINK("https://klasma.github.io/Logging_0382/tillsynsmail/A 59283-2023 tillsynsbegäran mail.docx", "A 59283-2023")</f>
        <v/>
      </c>
    </row>
    <row r="105" ht="15" customHeight="1">
      <c r="A105" t="inlineStr">
        <is>
          <t>A 9646-2024</t>
        </is>
      </c>
      <c r="B105" s="1" t="n">
        <v>45362</v>
      </c>
      <c r="C105" s="1" t="n">
        <v>45628</v>
      </c>
      <c r="D105" t="inlineStr">
        <is>
          <t>UPPSALA LÄN</t>
        </is>
      </c>
      <c r="E105" t="inlineStr">
        <is>
          <t>ÖSTHAMMAR</t>
        </is>
      </c>
      <c r="G105" t="n">
        <v>1.6</v>
      </c>
      <c r="H105" t="n">
        <v>0</v>
      </c>
      <c r="I105" t="n">
        <v>0</v>
      </c>
      <c r="J105" t="n">
        <v>1</v>
      </c>
      <c r="K105" t="n">
        <v>1</v>
      </c>
      <c r="L105" t="n">
        <v>0</v>
      </c>
      <c r="M105" t="n">
        <v>0</v>
      </c>
      <c r="N105" t="n">
        <v>0</v>
      </c>
      <c r="O105" t="n">
        <v>2</v>
      </c>
      <c r="P105" t="n">
        <v>1</v>
      </c>
      <c r="Q105" t="n">
        <v>2</v>
      </c>
      <c r="R105" s="2" t="inlineStr">
        <is>
          <t>Violgubbe
Gultoppig fingersvamp</t>
        </is>
      </c>
      <c r="S105">
        <f>HYPERLINK("https://klasma.github.io/Logging_0382/artfynd/A 9646-2024 artfynd.xlsx", "A 9646-2024")</f>
        <v/>
      </c>
      <c r="T105">
        <f>HYPERLINK("https://klasma.github.io/Logging_0382/kartor/A 9646-2024 karta.png", "A 9646-2024")</f>
        <v/>
      </c>
      <c r="V105">
        <f>HYPERLINK("https://klasma.github.io/Logging_0382/klagomål/A 9646-2024 FSC-klagomål.docx", "A 9646-2024")</f>
        <v/>
      </c>
      <c r="W105">
        <f>HYPERLINK("https://klasma.github.io/Logging_0382/klagomålsmail/A 9646-2024 FSC-klagomål mail.docx", "A 9646-2024")</f>
        <v/>
      </c>
      <c r="X105">
        <f>HYPERLINK("https://klasma.github.io/Logging_0382/tillsyn/A 9646-2024 tillsynsbegäran.docx", "A 9646-2024")</f>
        <v/>
      </c>
      <c r="Y105">
        <f>HYPERLINK("https://klasma.github.io/Logging_0382/tillsynsmail/A 9646-2024 tillsynsbegäran mail.docx", "A 9646-2024")</f>
        <v/>
      </c>
    </row>
    <row r="106" ht="15" customHeight="1">
      <c r="A106" t="inlineStr">
        <is>
          <t>A 11695-2024</t>
        </is>
      </c>
      <c r="B106" s="1" t="n">
        <v>45373</v>
      </c>
      <c r="C106" s="1" t="n">
        <v>45628</v>
      </c>
      <c r="D106" t="inlineStr">
        <is>
          <t>UPPSALA LÄN</t>
        </is>
      </c>
      <c r="E106" t="inlineStr">
        <is>
          <t>ÖSTHAMMAR</t>
        </is>
      </c>
      <c r="G106" t="n">
        <v>2</v>
      </c>
      <c r="H106" t="n">
        <v>0</v>
      </c>
      <c r="I106" t="n">
        <v>2</v>
      </c>
      <c r="J106" t="n">
        <v>0</v>
      </c>
      <c r="K106" t="n">
        <v>0</v>
      </c>
      <c r="L106" t="n">
        <v>0</v>
      </c>
      <c r="M106" t="n">
        <v>0</v>
      </c>
      <c r="N106" t="n">
        <v>0</v>
      </c>
      <c r="O106" t="n">
        <v>0</v>
      </c>
      <c r="P106" t="n">
        <v>0</v>
      </c>
      <c r="Q106" t="n">
        <v>2</v>
      </c>
      <c r="R106" s="2" t="inlineStr">
        <is>
          <t>Blåmossa
Fjällig taggsvamp s.str.</t>
        </is>
      </c>
      <c r="S106">
        <f>HYPERLINK("https://klasma.github.io/Logging_0382/artfynd/A 11695-2024 artfynd.xlsx", "A 11695-2024")</f>
        <v/>
      </c>
      <c r="T106">
        <f>HYPERLINK("https://klasma.github.io/Logging_0382/kartor/A 11695-2024 karta.png", "A 11695-2024")</f>
        <v/>
      </c>
      <c r="V106">
        <f>HYPERLINK("https://klasma.github.io/Logging_0382/klagomål/A 11695-2024 FSC-klagomål.docx", "A 11695-2024")</f>
        <v/>
      </c>
      <c r="W106">
        <f>HYPERLINK("https://klasma.github.io/Logging_0382/klagomålsmail/A 11695-2024 FSC-klagomål mail.docx", "A 11695-2024")</f>
        <v/>
      </c>
      <c r="X106">
        <f>HYPERLINK("https://klasma.github.io/Logging_0382/tillsyn/A 11695-2024 tillsynsbegäran.docx", "A 11695-2024")</f>
        <v/>
      </c>
      <c r="Y106">
        <f>HYPERLINK("https://klasma.github.io/Logging_0382/tillsynsmail/A 11695-2024 tillsynsbegäran mail.docx", "A 11695-2024")</f>
        <v/>
      </c>
    </row>
    <row r="107" ht="15" customHeight="1">
      <c r="A107" t="inlineStr">
        <is>
          <t>A 18539-2024</t>
        </is>
      </c>
      <c r="B107" s="1" t="n">
        <v>45425</v>
      </c>
      <c r="C107" s="1" t="n">
        <v>45628</v>
      </c>
      <c r="D107" t="inlineStr">
        <is>
          <t>UPPSALA LÄN</t>
        </is>
      </c>
      <c r="E107" t="inlineStr">
        <is>
          <t>ÖSTHAMMAR</t>
        </is>
      </c>
      <c r="G107" t="n">
        <v>4.7</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HYPERLINK("https://klasma.github.io/Logging_0382/artfynd/A 18539-2024 artfynd.xlsx", "A 18539-2024")</f>
        <v/>
      </c>
      <c r="T107">
        <f>HYPERLINK("https://klasma.github.io/Logging_0382/kartor/A 18539-2024 karta.png", "A 18539-2024")</f>
        <v/>
      </c>
      <c r="V107">
        <f>HYPERLINK("https://klasma.github.io/Logging_0382/klagomål/A 18539-2024 FSC-klagomål.docx", "A 18539-2024")</f>
        <v/>
      </c>
      <c r="W107">
        <f>HYPERLINK("https://klasma.github.io/Logging_0382/klagomålsmail/A 18539-2024 FSC-klagomål mail.docx", "A 18539-2024")</f>
        <v/>
      </c>
      <c r="X107">
        <f>HYPERLINK("https://klasma.github.io/Logging_0382/tillsyn/A 18539-2024 tillsynsbegäran.docx", "A 18539-2024")</f>
        <v/>
      </c>
      <c r="Y107">
        <f>HYPERLINK("https://klasma.github.io/Logging_0382/tillsynsmail/A 18539-2024 tillsynsbegäran mail.docx", "A 18539-2024")</f>
        <v/>
      </c>
    </row>
    <row r="108" ht="15" customHeight="1">
      <c r="A108" t="inlineStr">
        <is>
          <t>A 26277-2024</t>
        </is>
      </c>
      <c r="B108" s="1" t="n">
        <v>45468</v>
      </c>
      <c r="C108" s="1" t="n">
        <v>45628</v>
      </c>
      <c r="D108" t="inlineStr">
        <is>
          <t>UPPSALA LÄN</t>
        </is>
      </c>
      <c r="E108" t="inlineStr">
        <is>
          <t>ÖSTHAMMAR</t>
        </is>
      </c>
      <c r="G108" t="n">
        <v>3.5</v>
      </c>
      <c r="H108" t="n">
        <v>1</v>
      </c>
      <c r="I108" t="n">
        <v>2</v>
      </c>
      <c r="J108" t="n">
        <v>0</v>
      </c>
      <c r="K108" t="n">
        <v>0</v>
      </c>
      <c r="L108" t="n">
        <v>0</v>
      </c>
      <c r="M108" t="n">
        <v>0</v>
      </c>
      <c r="N108" t="n">
        <v>0</v>
      </c>
      <c r="O108" t="n">
        <v>0</v>
      </c>
      <c r="P108" t="n">
        <v>0</v>
      </c>
      <c r="Q108" t="n">
        <v>2</v>
      </c>
      <c r="R108" s="2" t="inlineStr">
        <is>
          <t>Nästrot
Sårläka</t>
        </is>
      </c>
      <c r="S108">
        <f>HYPERLINK("https://klasma.github.io/Logging_0382/artfynd/A 26277-2024 artfynd.xlsx", "A 26277-2024")</f>
        <v/>
      </c>
      <c r="T108">
        <f>HYPERLINK("https://klasma.github.io/Logging_0382/kartor/A 26277-2024 karta.png", "A 26277-2024")</f>
        <v/>
      </c>
      <c r="V108">
        <f>HYPERLINK("https://klasma.github.io/Logging_0382/klagomål/A 26277-2024 FSC-klagomål.docx", "A 26277-2024")</f>
        <v/>
      </c>
      <c r="W108">
        <f>HYPERLINK("https://klasma.github.io/Logging_0382/klagomålsmail/A 26277-2024 FSC-klagomål mail.docx", "A 26277-2024")</f>
        <v/>
      </c>
      <c r="X108">
        <f>HYPERLINK("https://klasma.github.io/Logging_0382/tillsyn/A 26277-2024 tillsynsbegäran.docx", "A 26277-2024")</f>
        <v/>
      </c>
      <c r="Y108">
        <f>HYPERLINK("https://klasma.github.io/Logging_0382/tillsynsmail/A 26277-2024 tillsynsbegäran mail.docx", "A 26277-2024")</f>
        <v/>
      </c>
    </row>
    <row r="109" ht="15" customHeight="1">
      <c r="A109" t="inlineStr">
        <is>
          <t>A 30943-2024</t>
        </is>
      </c>
      <c r="B109" s="1" t="n">
        <v>45499</v>
      </c>
      <c r="C109" s="1" t="n">
        <v>45628</v>
      </c>
      <c r="D109" t="inlineStr">
        <is>
          <t>UPPSALA LÄN</t>
        </is>
      </c>
      <c r="E109" t="inlineStr">
        <is>
          <t>ÖSTHAMMAR</t>
        </is>
      </c>
      <c r="G109" t="n">
        <v>4.5</v>
      </c>
      <c r="H109" t="n">
        <v>0</v>
      </c>
      <c r="I109" t="n">
        <v>2</v>
      </c>
      <c r="J109" t="n">
        <v>0</v>
      </c>
      <c r="K109" t="n">
        <v>0</v>
      </c>
      <c r="L109" t="n">
        <v>0</v>
      </c>
      <c r="M109" t="n">
        <v>0</v>
      </c>
      <c r="N109" t="n">
        <v>0</v>
      </c>
      <c r="O109" t="n">
        <v>0</v>
      </c>
      <c r="P109" t="n">
        <v>0</v>
      </c>
      <c r="Q109" t="n">
        <v>2</v>
      </c>
      <c r="R109" s="2" t="inlineStr">
        <is>
          <t>Tibast
Underviol</t>
        </is>
      </c>
      <c r="S109">
        <f>HYPERLINK("https://klasma.github.io/Logging_0382/artfynd/A 30943-2024 artfynd.xlsx", "A 30943-2024")</f>
        <v/>
      </c>
      <c r="T109">
        <f>HYPERLINK("https://klasma.github.io/Logging_0382/kartor/A 30943-2024 karta.png", "A 30943-2024")</f>
        <v/>
      </c>
      <c r="V109">
        <f>HYPERLINK("https://klasma.github.io/Logging_0382/klagomål/A 30943-2024 FSC-klagomål.docx", "A 30943-2024")</f>
        <v/>
      </c>
      <c r="W109">
        <f>HYPERLINK("https://klasma.github.io/Logging_0382/klagomålsmail/A 30943-2024 FSC-klagomål mail.docx", "A 30943-2024")</f>
        <v/>
      </c>
      <c r="X109">
        <f>HYPERLINK("https://klasma.github.io/Logging_0382/tillsyn/A 30943-2024 tillsynsbegäran.docx", "A 30943-2024")</f>
        <v/>
      </c>
      <c r="Y109">
        <f>HYPERLINK("https://klasma.github.io/Logging_0382/tillsynsmail/A 30943-2024 tillsynsbegäran mail.docx", "A 30943-2024")</f>
        <v/>
      </c>
    </row>
    <row r="110" ht="15" customHeight="1">
      <c r="A110" t="inlineStr">
        <is>
          <t>A 35927-2024</t>
        </is>
      </c>
      <c r="B110" s="1" t="n">
        <v>45533</v>
      </c>
      <c r="C110" s="1" t="n">
        <v>45628</v>
      </c>
      <c r="D110" t="inlineStr">
        <is>
          <t>UPPSALA LÄN</t>
        </is>
      </c>
      <c r="E110" t="inlineStr">
        <is>
          <t>ÖSTHAMMAR</t>
        </is>
      </c>
      <c r="F110" t="inlineStr">
        <is>
          <t>Övriga Aktiebolag</t>
        </is>
      </c>
      <c r="G110" t="n">
        <v>13.1</v>
      </c>
      <c r="H110" t="n">
        <v>0</v>
      </c>
      <c r="I110" t="n">
        <v>2</v>
      </c>
      <c r="J110" t="n">
        <v>0</v>
      </c>
      <c r="K110" t="n">
        <v>0</v>
      </c>
      <c r="L110" t="n">
        <v>0</v>
      </c>
      <c r="M110" t="n">
        <v>0</v>
      </c>
      <c r="N110" t="n">
        <v>0</v>
      </c>
      <c r="O110" t="n">
        <v>0</v>
      </c>
      <c r="P110" t="n">
        <v>0</v>
      </c>
      <c r="Q110" t="n">
        <v>2</v>
      </c>
      <c r="R110" s="2" t="inlineStr">
        <is>
          <t>Fjällig taggsvamp s.str.
Vårärt</t>
        </is>
      </c>
      <c r="S110">
        <f>HYPERLINK("https://klasma.github.io/Logging_0382/artfynd/A 35927-2024 artfynd.xlsx", "A 35927-2024")</f>
        <v/>
      </c>
      <c r="T110">
        <f>HYPERLINK("https://klasma.github.io/Logging_0382/kartor/A 35927-2024 karta.png", "A 35927-2024")</f>
        <v/>
      </c>
      <c r="V110">
        <f>HYPERLINK("https://klasma.github.io/Logging_0382/klagomål/A 35927-2024 FSC-klagomål.docx", "A 35927-2024")</f>
        <v/>
      </c>
      <c r="W110">
        <f>HYPERLINK("https://klasma.github.io/Logging_0382/klagomålsmail/A 35927-2024 FSC-klagomål mail.docx", "A 35927-2024")</f>
        <v/>
      </c>
      <c r="X110">
        <f>HYPERLINK("https://klasma.github.io/Logging_0382/tillsyn/A 35927-2024 tillsynsbegäran.docx", "A 35927-2024")</f>
        <v/>
      </c>
      <c r="Y110">
        <f>HYPERLINK("https://klasma.github.io/Logging_0382/tillsynsmail/A 35927-2024 tillsynsbegäran mail.docx", "A 35927-2024")</f>
        <v/>
      </c>
    </row>
    <row r="111" ht="15" customHeight="1">
      <c r="A111" t="inlineStr">
        <is>
          <t>A 46577-2024</t>
        </is>
      </c>
      <c r="B111" s="1" t="n">
        <v>45582</v>
      </c>
      <c r="C111" s="1" t="n">
        <v>45628</v>
      </c>
      <c r="D111" t="inlineStr">
        <is>
          <t>UPPSALA LÄN</t>
        </is>
      </c>
      <c r="E111" t="inlineStr">
        <is>
          <t>ÖSTHAMMAR</t>
        </is>
      </c>
      <c r="F111" t="inlineStr">
        <is>
          <t>Bergvik skog väst AB</t>
        </is>
      </c>
      <c r="G111" t="n">
        <v>7.1</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46577-2024 artfynd.xlsx", "A 46577-2024")</f>
        <v/>
      </c>
      <c r="T111">
        <f>HYPERLINK("https://klasma.github.io/Logging_0382/kartor/A 46577-2024 karta.png", "A 46577-2024")</f>
        <v/>
      </c>
      <c r="V111">
        <f>HYPERLINK("https://klasma.github.io/Logging_0382/klagomål/A 46577-2024 FSC-klagomål.docx", "A 46577-2024")</f>
        <v/>
      </c>
      <c r="W111">
        <f>HYPERLINK("https://klasma.github.io/Logging_0382/klagomålsmail/A 46577-2024 FSC-klagomål mail.docx", "A 46577-2024")</f>
        <v/>
      </c>
      <c r="X111">
        <f>HYPERLINK("https://klasma.github.io/Logging_0382/tillsyn/A 46577-2024 tillsynsbegäran.docx", "A 46577-2024")</f>
        <v/>
      </c>
      <c r="Y111">
        <f>HYPERLINK("https://klasma.github.io/Logging_0382/tillsynsmail/A 46577-2024 tillsynsbegäran mail.docx", "A 46577-2024")</f>
        <v/>
      </c>
    </row>
    <row r="112" ht="15" customHeight="1">
      <c r="A112" t="inlineStr">
        <is>
          <t>A 38957-2019</t>
        </is>
      </c>
      <c r="B112" s="1" t="n">
        <v>43689</v>
      </c>
      <c r="C112" s="1" t="n">
        <v>45628</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Bredbrämad bastardsvärmare</t>
        </is>
      </c>
      <c r="S112">
        <f>HYPERLINK("https://klasma.github.io/Logging_0382/artfynd/A 38957-2019 artfynd.xlsx", "A 38957-2019")</f>
        <v/>
      </c>
      <c r="T112">
        <f>HYPERLINK("https://klasma.github.io/Logging_0382/kartor/A 38957-2019 karta.png", "A 38957-2019")</f>
        <v/>
      </c>
      <c r="V112">
        <f>HYPERLINK("https://klasma.github.io/Logging_0382/klagomål/A 38957-2019 FSC-klagomål.docx", "A 38957-2019")</f>
        <v/>
      </c>
      <c r="W112">
        <f>HYPERLINK("https://klasma.github.io/Logging_0382/klagomålsmail/A 38957-2019 FSC-klagomål mail.docx", "A 38957-2019")</f>
        <v/>
      </c>
      <c r="X112">
        <f>HYPERLINK("https://klasma.github.io/Logging_0382/tillsyn/A 38957-2019 tillsynsbegäran.docx", "A 38957-2019")</f>
        <v/>
      </c>
      <c r="Y112">
        <f>HYPERLINK("https://klasma.github.io/Logging_0382/tillsynsmail/A 38957-2019 tillsynsbegäran mail.docx", "A 38957-2019")</f>
        <v/>
      </c>
    </row>
    <row r="113" ht="15" customHeight="1">
      <c r="A113" t="inlineStr">
        <is>
          <t>A 52004-2019</t>
        </is>
      </c>
      <c r="B113" s="1" t="n">
        <v>43742</v>
      </c>
      <c r="C113" s="1" t="n">
        <v>45628</v>
      </c>
      <c r="D113" t="inlineStr">
        <is>
          <t>UPPSALA LÄN</t>
        </is>
      </c>
      <c r="E113" t="inlineStr">
        <is>
          <t>ÖSTHAMMAR</t>
        </is>
      </c>
      <c r="G113" t="n">
        <v>2.5</v>
      </c>
      <c r="H113" t="n">
        <v>1</v>
      </c>
      <c r="I113" t="n">
        <v>0</v>
      </c>
      <c r="J113" t="n">
        <v>0</v>
      </c>
      <c r="K113" t="n">
        <v>0</v>
      </c>
      <c r="L113" t="n">
        <v>0</v>
      </c>
      <c r="M113" t="n">
        <v>0</v>
      </c>
      <c r="N113" t="n">
        <v>0</v>
      </c>
      <c r="O113" t="n">
        <v>0</v>
      </c>
      <c r="P113" t="n">
        <v>0</v>
      </c>
      <c r="Q113" t="n">
        <v>1</v>
      </c>
      <c r="R113" s="2" t="inlineStr">
        <is>
          <t>Revlummer</t>
        </is>
      </c>
      <c r="S113">
        <f>HYPERLINK("https://klasma.github.io/Logging_0382/artfynd/A 52004-2019 artfynd.xlsx", "A 52004-2019")</f>
        <v/>
      </c>
      <c r="T113">
        <f>HYPERLINK("https://klasma.github.io/Logging_0382/kartor/A 52004-2019 karta.png", "A 52004-2019")</f>
        <v/>
      </c>
      <c r="V113">
        <f>HYPERLINK("https://klasma.github.io/Logging_0382/klagomål/A 52004-2019 FSC-klagomål.docx", "A 52004-2019")</f>
        <v/>
      </c>
      <c r="W113">
        <f>HYPERLINK("https://klasma.github.io/Logging_0382/klagomålsmail/A 52004-2019 FSC-klagomål mail.docx", "A 52004-2019")</f>
        <v/>
      </c>
      <c r="X113">
        <f>HYPERLINK("https://klasma.github.io/Logging_0382/tillsyn/A 52004-2019 tillsynsbegäran.docx", "A 52004-2019")</f>
        <v/>
      </c>
      <c r="Y113">
        <f>HYPERLINK("https://klasma.github.io/Logging_0382/tillsynsmail/A 52004-2019 tillsynsbegäran mail.docx", "A 52004-2019")</f>
        <v/>
      </c>
    </row>
    <row r="114" ht="15" customHeight="1">
      <c r="A114" t="inlineStr">
        <is>
          <t>A 22044-2020</t>
        </is>
      </c>
      <c r="B114" s="1" t="n">
        <v>43959</v>
      </c>
      <c r="C114" s="1" t="n">
        <v>45628</v>
      </c>
      <c r="D114" t="inlineStr">
        <is>
          <t>UPPSALA LÄN</t>
        </is>
      </c>
      <c r="E114" t="inlineStr">
        <is>
          <t>ÖSTHAMMAR</t>
        </is>
      </c>
      <c r="G114" t="n">
        <v>2.7</v>
      </c>
      <c r="H114" t="n">
        <v>0</v>
      </c>
      <c r="I114" t="n">
        <v>1</v>
      </c>
      <c r="J114" t="n">
        <v>0</v>
      </c>
      <c r="K114" t="n">
        <v>0</v>
      </c>
      <c r="L114" t="n">
        <v>0</v>
      </c>
      <c r="M114" t="n">
        <v>0</v>
      </c>
      <c r="N114" t="n">
        <v>0</v>
      </c>
      <c r="O114" t="n">
        <v>0</v>
      </c>
      <c r="P114" t="n">
        <v>0</v>
      </c>
      <c r="Q114" t="n">
        <v>1</v>
      </c>
      <c r="R114" s="2" t="inlineStr">
        <is>
          <t>Anisspindling</t>
        </is>
      </c>
      <c r="S114">
        <f>HYPERLINK("https://klasma.github.io/Logging_0382/artfynd/A 22044-2020 artfynd.xlsx", "A 22044-2020")</f>
        <v/>
      </c>
      <c r="T114">
        <f>HYPERLINK("https://klasma.github.io/Logging_0382/kartor/A 22044-2020 karta.png", "A 22044-2020")</f>
        <v/>
      </c>
      <c r="V114">
        <f>HYPERLINK("https://klasma.github.io/Logging_0382/klagomål/A 22044-2020 FSC-klagomål.docx", "A 22044-2020")</f>
        <v/>
      </c>
      <c r="W114">
        <f>HYPERLINK("https://klasma.github.io/Logging_0382/klagomålsmail/A 22044-2020 FSC-klagomål mail.docx", "A 22044-2020")</f>
        <v/>
      </c>
      <c r="X114">
        <f>HYPERLINK("https://klasma.github.io/Logging_0382/tillsyn/A 22044-2020 tillsynsbegäran.docx", "A 22044-2020")</f>
        <v/>
      </c>
      <c r="Y114">
        <f>HYPERLINK("https://klasma.github.io/Logging_0382/tillsynsmail/A 22044-2020 tillsynsbegäran mail.docx", "A 22044-2020")</f>
        <v/>
      </c>
    </row>
    <row r="115" ht="15" customHeight="1">
      <c r="A115" t="inlineStr">
        <is>
          <t>A 30405-2020</t>
        </is>
      </c>
      <c r="B115" s="1" t="n">
        <v>44007</v>
      </c>
      <c r="C115" s="1" t="n">
        <v>45628</v>
      </c>
      <c r="D115" t="inlineStr">
        <is>
          <t>UPPSALA LÄN</t>
        </is>
      </c>
      <c r="E115" t="inlineStr">
        <is>
          <t>ÖSTHAMMAR</t>
        </is>
      </c>
      <c r="G115" t="n">
        <v>0.6</v>
      </c>
      <c r="H115" t="n">
        <v>0</v>
      </c>
      <c r="I115" t="n">
        <v>0</v>
      </c>
      <c r="J115" t="n">
        <v>0</v>
      </c>
      <c r="K115" t="n">
        <v>1</v>
      </c>
      <c r="L115" t="n">
        <v>0</v>
      </c>
      <c r="M115" t="n">
        <v>0</v>
      </c>
      <c r="N115" t="n">
        <v>0</v>
      </c>
      <c r="O115" t="n">
        <v>1</v>
      </c>
      <c r="P115" t="n">
        <v>1</v>
      </c>
      <c r="Q115" t="n">
        <v>1</v>
      </c>
      <c r="R115" s="2" t="inlineStr">
        <is>
          <t>Gulvit blekspik</t>
        </is>
      </c>
      <c r="S115">
        <f>HYPERLINK("https://klasma.github.io/Logging_0382/artfynd/A 30405-2020 artfynd.xlsx", "A 30405-2020")</f>
        <v/>
      </c>
      <c r="T115">
        <f>HYPERLINK("https://klasma.github.io/Logging_0382/kartor/A 30405-2020 karta.png", "A 30405-2020")</f>
        <v/>
      </c>
      <c r="V115">
        <f>HYPERLINK("https://klasma.github.io/Logging_0382/klagomål/A 30405-2020 FSC-klagomål.docx", "A 30405-2020")</f>
        <v/>
      </c>
      <c r="W115">
        <f>HYPERLINK("https://klasma.github.io/Logging_0382/klagomålsmail/A 30405-2020 FSC-klagomål mail.docx", "A 30405-2020")</f>
        <v/>
      </c>
      <c r="X115">
        <f>HYPERLINK("https://klasma.github.io/Logging_0382/tillsyn/A 30405-2020 tillsynsbegäran.docx", "A 30405-2020")</f>
        <v/>
      </c>
      <c r="Y115">
        <f>HYPERLINK("https://klasma.github.io/Logging_0382/tillsynsmail/A 30405-2020 tillsynsbegäran mail.docx", "A 30405-2020")</f>
        <v/>
      </c>
    </row>
    <row r="116" ht="15" customHeight="1">
      <c r="A116" t="inlineStr">
        <is>
          <t>A 35553-2020</t>
        </is>
      </c>
      <c r="B116" s="1" t="n">
        <v>44043</v>
      </c>
      <c r="C116" s="1" t="n">
        <v>45628</v>
      </c>
      <c r="D116" t="inlineStr">
        <is>
          <t>UPPSALA LÄN</t>
        </is>
      </c>
      <c r="E116" t="inlineStr">
        <is>
          <t>ÖSTHAMMAR</t>
        </is>
      </c>
      <c r="F116" t="inlineStr">
        <is>
          <t>Bergvik skog öst AB</t>
        </is>
      </c>
      <c r="G116" t="n">
        <v>5.8</v>
      </c>
      <c r="H116" t="n">
        <v>1</v>
      </c>
      <c r="I116" t="n">
        <v>0</v>
      </c>
      <c r="J116" t="n">
        <v>0</v>
      </c>
      <c r="K116" t="n">
        <v>0</v>
      </c>
      <c r="L116" t="n">
        <v>0</v>
      </c>
      <c r="M116" t="n">
        <v>0</v>
      </c>
      <c r="N116" t="n">
        <v>0</v>
      </c>
      <c r="O116" t="n">
        <v>0</v>
      </c>
      <c r="P116" t="n">
        <v>0</v>
      </c>
      <c r="Q116" t="n">
        <v>1</v>
      </c>
      <c r="R116" s="2" t="inlineStr">
        <is>
          <t>Tjäder</t>
        </is>
      </c>
      <c r="S116">
        <f>HYPERLINK("https://klasma.github.io/Logging_0382/artfynd/A 35553-2020 artfynd.xlsx", "A 35553-2020")</f>
        <v/>
      </c>
      <c r="T116">
        <f>HYPERLINK("https://klasma.github.io/Logging_0382/kartor/A 35553-2020 karta.png", "A 35553-2020")</f>
        <v/>
      </c>
      <c r="V116">
        <f>HYPERLINK("https://klasma.github.io/Logging_0382/klagomål/A 35553-2020 FSC-klagomål.docx", "A 35553-2020")</f>
        <v/>
      </c>
      <c r="W116">
        <f>HYPERLINK("https://klasma.github.io/Logging_0382/klagomålsmail/A 35553-2020 FSC-klagomål mail.docx", "A 35553-2020")</f>
        <v/>
      </c>
      <c r="X116">
        <f>HYPERLINK("https://klasma.github.io/Logging_0382/tillsyn/A 35553-2020 tillsynsbegäran.docx", "A 35553-2020")</f>
        <v/>
      </c>
      <c r="Y116">
        <f>HYPERLINK("https://klasma.github.io/Logging_0382/tillsynsmail/A 35553-2020 tillsynsbegäran mail.docx", "A 35553-2020")</f>
        <v/>
      </c>
      <c r="Z116">
        <f>HYPERLINK("https://klasma.github.io/Logging_0382/fåglar/A 35553-2020 prioriterade fågelarter.docx", "A 35553-2020")</f>
        <v/>
      </c>
    </row>
    <row r="117" ht="15" customHeight="1">
      <c r="A117" t="inlineStr">
        <is>
          <t>A 61479-2020</t>
        </is>
      </c>
      <c r="B117" s="1" t="n">
        <v>44154</v>
      </c>
      <c r="C117" s="1" t="n">
        <v>45628</v>
      </c>
      <c r="D117" t="inlineStr">
        <is>
          <t>UPPSALA LÄN</t>
        </is>
      </c>
      <c r="E117" t="inlineStr">
        <is>
          <t>ÖSTHAMMAR</t>
        </is>
      </c>
      <c r="G117" t="n">
        <v>2.5</v>
      </c>
      <c r="H117" t="n">
        <v>0</v>
      </c>
      <c r="I117" t="n">
        <v>1</v>
      </c>
      <c r="J117" t="n">
        <v>0</v>
      </c>
      <c r="K117" t="n">
        <v>0</v>
      </c>
      <c r="L117" t="n">
        <v>0</v>
      </c>
      <c r="M117" t="n">
        <v>0</v>
      </c>
      <c r="N117" t="n">
        <v>0</v>
      </c>
      <c r="O117" t="n">
        <v>0</v>
      </c>
      <c r="P117" t="n">
        <v>0</v>
      </c>
      <c r="Q117" t="n">
        <v>1</v>
      </c>
      <c r="R117" s="2" t="inlineStr">
        <is>
          <t>Olivspindling</t>
        </is>
      </c>
      <c r="S117">
        <f>HYPERLINK("https://klasma.github.io/Logging_0382/artfynd/A 61479-2020 artfynd.xlsx", "A 61479-2020")</f>
        <v/>
      </c>
      <c r="T117">
        <f>HYPERLINK("https://klasma.github.io/Logging_0382/kartor/A 61479-2020 karta.png", "A 61479-2020")</f>
        <v/>
      </c>
      <c r="V117">
        <f>HYPERLINK("https://klasma.github.io/Logging_0382/klagomål/A 61479-2020 FSC-klagomål.docx", "A 61479-2020")</f>
        <v/>
      </c>
      <c r="W117">
        <f>HYPERLINK("https://klasma.github.io/Logging_0382/klagomålsmail/A 61479-2020 FSC-klagomål mail.docx", "A 61479-2020")</f>
        <v/>
      </c>
      <c r="X117">
        <f>HYPERLINK("https://klasma.github.io/Logging_0382/tillsyn/A 61479-2020 tillsynsbegäran.docx", "A 61479-2020")</f>
        <v/>
      </c>
      <c r="Y117">
        <f>HYPERLINK("https://klasma.github.io/Logging_0382/tillsynsmail/A 61479-2020 tillsynsbegäran mail.docx", "A 61479-2020")</f>
        <v/>
      </c>
    </row>
    <row r="118" ht="15" customHeight="1">
      <c r="A118" t="inlineStr">
        <is>
          <t>A 31622-2021</t>
        </is>
      </c>
      <c r="B118" s="1" t="n">
        <v>44369</v>
      </c>
      <c r="C118" s="1" t="n">
        <v>45628</v>
      </c>
      <c r="D118" t="inlineStr">
        <is>
          <t>UPPSALA LÄN</t>
        </is>
      </c>
      <c r="E118" t="inlineStr">
        <is>
          <t>ÖSTHAMMAR</t>
        </is>
      </c>
      <c r="G118" t="n">
        <v>12.6</v>
      </c>
      <c r="H118" t="n">
        <v>1</v>
      </c>
      <c r="I118" t="n">
        <v>0</v>
      </c>
      <c r="J118" t="n">
        <v>0</v>
      </c>
      <c r="K118" t="n">
        <v>0</v>
      </c>
      <c r="L118" t="n">
        <v>0</v>
      </c>
      <c r="M118" t="n">
        <v>0</v>
      </c>
      <c r="N118" t="n">
        <v>0</v>
      </c>
      <c r="O118" t="n">
        <v>0</v>
      </c>
      <c r="P118" t="n">
        <v>0</v>
      </c>
      <c r="Q118" t="n">
        <v>1</v>
      </c>
      <c r="R118" s="2" t="inlineStr">
        <is>
          <t>Mattlummer</t>
        </is>
      </c>
      <c r="S118">
        <f>HYPERLINK("https://klasma.github.io/Logging_0382/artfynd/A 31622-2021 artfynd.xlsx", "A 31622-2021")</f>
        <v/>
      </c>
      <c r="T118">
        <f>HYPERLINK("https://klasma.github.io/Logging_0382/kartor/A 31622-2021 karta.png", "A 31622-2021")</f>
        <v/>
      </c>
      <c r="V118">
        <f>HYPERLINK("https://klasma.github.io/Logging_0382/klagomål/A 31622-2021 FSC-klagomål.docx", "A 31622-2021")</f>
        <v/>
      </c>
      <c r="W118">
        <f>HYPERLINK("https://klasma.github.io/Logging_0382/klagomålsmail/A 31622-2021 FSC-klagomål mail.docx", "A 31622-2021")</f>
        <v/>
      </c>
      <c r="X118">
        <f>HYPERLINK("https://klasma.github.io/Logging_0382/tillsyn/A 31622-2021 tillsynsbegäran.docx", "A 31622-2021")</f>
        <v/>
      </c>
      <c r="Y118">
        <f>HYPERLINK("https://klasma.github.io/Logging_0382/tillsynsmail/A 31622-2021 tillsynsbegäran mail.docx", "A 31622-2021")</f>
        <v/>
      </c>
    </row>
    <row r="119" ht="15" customHeight="1">
      <c r="A119" t="inlineStr">
        <is>
          <t>A 46417-2021</t>
        </is>
      </c>
      <c r="B119" s="1" t="n">
        <v>44445</v>
      </c>
      <c r="C119" s="1" t="n">
        <v>45628</v>
      </c>
      <c r="D119" t="inlineStr">
        <is>
          <t>UPPSALA LÄN</t>
        </is>
      </c>
      <c r="E119" t="inlineStr">
        <is>
          <t>ÖSTHAMMAR</t>
        </is>
      </c>
      <c r="F119" t="inlineStr">
        <is>
          <t>Övriga Aktiebolag</t>
        </is>
      </c>
      <c r="G119" t="n">
        <v>9.1</v>
      </c>
      <c r="H119" t="n">
        <v>0</v>
      </c>
      <c r="I119" t="n">
        <v>0</v>
      </c>
      <c r="J119" t="n">
        <v>1</v>
      </c>
      <c r="K119" t="n">
        <v>0</v>
      </c>
      <c r="L119" t="n">
        <v>0</v>
      </c>
      <c r="M119" t="n">
        <v>0</v>
      </c>
      <c r="N119" t="n">
        <v>0</v>
      </c>
      <c r="O119" t="n">
        <v>1</v>
      </c>
      <c r="P119" t="n">
        <v>0</v>
      </c>
      <c r="Q119" t="n">
        <v>1</v>
      </c>
      <c r="R119" s="2" t="inlineStr">
        <is>
          <t>Klasefibbla</t>
        </is>
      </c>
      <c r="S119">
        <f>HYPERLINK("https://klasma.github.io/Logging_0382/artfynd/A 46417-2021 artfynd.xlsx", "A 46417-2021")</f>
        <v/>
      </c>
      <c r="T119">
        <f>HYPERLINK("https://klasma.github.io/Logging_0382/kartor/A 46417-2021 karta.png", "A 46417-2021")</f>
        <v/>
      </c>
      <c r="V119">
        <f>HYPERLINK("https://klasma.github.io/Logging_0382/klagomål/A 46417-2021 FSC-klagomål.docx", "A 46417-2021")</f>
        <v/>
      </c>
      <c r="W119">
        <f>HYPERLINK("https://klasma.github.io/Logging_0382/klagomålsmail/A 46417-2021 FSC-klagomål mail.docx", "A 46417-2021")</f>
        <v/>
      </c>
      <c r="X119">
        <f>HYPERLINK("https://klasma.github.io/Logging_0382/tillsyn/A 46417-2021 tillsynsbegäran.docx", "A 46417-2021")</f>
        <v/>
      </c>
      <c r="Y119">
        <f>HYPERLINK("https://klasma.github.io/Logging_0382/tillsynsmail/A 46417-2021 tillsynsbegäran mail.docx", "A 46417-2021")</f>
        <v/>
      </c>
    </row>
    <row r="120" ht="15" customHeight="1">
      <c r="A120" t="inlineStr">
        <is>
          <t>A 49839-2021</t>
        </is>
      </c>
      <c r="B120" s="1" t="n">
        <v>44455</v>
      </c>
      <c r="C120" s="1" t="n">
        <v>45628</v>
      </c>
      <c r="D120" t="inlineStr">
        <is>
          <t>UPPSALA LÄN</t>
        </is>
      </c>
      <c r="E120" t="inlineStr">
        <is>
          <t>ÖSTHAMMAR</t>
        </is>
      </c>
      <c r="G120" t="n">
        <v>3.6</v>
      </c>
      <c r="H120" t="n">
        <v>0</v>
      </c>
      <c r="I120" t="n">
        <v>0</v>
      </c>
      <c r="J120" t="n">
        <v>0</v>
      </c>
      <c r="K120" t="n">
        <v>1</v>
      </c>
      <c r="L120" t="n">
        <v>0</v>
      </c>
      <c r="M120" t="n">
        <v>0</v>
      </c>
      <c r="N120" t="n">
        <v>0</v>
      </c>
      <c r="O120" t="n">
        <v>1</v>
      </c>
      <c r="P120" t="n">
        <v>1</v>
      </c>
      <c r="Q120" t="n">
        <v>1</v>
      </c>
      <c r="R120" s="2" t="inlineStr">
        <is>
          <t>Violgubbe</t>
        </is>
      </c>
      <c r="S120">
        <f>HYPERLINK("https://klasma.github.io/Logging_0382/artfynd/A 49839-2021 artfynd.xlsx", "A 49839-2021")</f>
        <v/>
      </c>
      <c r="T120">
        <f>HYPERLINK("https://klasma.github.io/Logging_0382/kartor/A 49839-2021 karta.png", "A 49839-2021")</f>
        <v/>
      </c>
      <c r="V120">
        <f>HYPERLINK("https://klasma.github.io/Logging_0382/klagomål/A 49839-2021 FSC-klagomål.docx", "A 49839-2021")</f>
        <v/>
      </c>
      <c r="W120">
        <f>HYPERLINK("https://klasma.github.io/Logging_0382/klagomålsmail/A 49839-2021 FSC-klagomål mail.docx", "A 49839-2021")</f>
        <v/>
      </c>
      <c r="X120">
        <f>HYPERLINK("https://klasma.github.io/Logging_0382/tillsyn/A 49839-2021 tillsynsbegäran.docx", "A 49839-2021")</f>
        <v/>
      </c>
      <c r="Y120">
        <f>HYPERLINK("https://klasma.github.io/Logging_0382/tillsynsmail/A 49839-2021 tillsynsbegäran mail.docx", "A 49839-2021")</f>
        <v/>
      </c>
    </row>
    <row r="121" ht="15" customHeight="1">
      <c r="A121" t="inlineStr">
        <is>
          <t>A 49871-2021</t>
        </is>
      </c>
      <c r="B121" s="1" t="n">
        <v>44455</v>
      </c>
      <c r="C121" s="1" t="n">
        <v>45628</v>
      </c>
      <c r="D121" t="inlineStr">
        <is>
          <t>UPPSALA LÄN</t>
        </is>
      </c>
      <c r="E121" t="inlineStr">
        <is>
          <t>ÖSTHAMMAR</t>
        </is>
      </c>
      <c r="G121" t="n">
        <v>0.5</v>
      </c>
      <c r="H121" t="n">
        <v>0</v>
      </c>
      <c r="I121" t="n">
        <v>1</v>
      </c>
      <c r="J121" t="n">
        <v>0</v>
      </c>
      <c r="K121" t="n">
        <v>0</v>
      </c>
      <c r="L121" t="n">
        <v>0</v>
      </c>
      <c r="M121" t="n">
        <v>0</v>
      </c>
      <c r="N121" t="n">
        <v>0</v>
      </c>
      <c r="O121" t="n">
        <v>0</v>
      </c>
      <c r="P121" t="n">
        <v>0</v>
      </c>
      <c r="Q121" t="n">
        <v>1</v>
      </c>
      <c r="R121" s="2" t="inlineStr">
        <is>
          <t>Anisspindling</t>
        </is>
      </c>
      <c r="S121">
        <f>HYPERLINK("https://klasma.github.io/Logging_0382/artfynd/A 49871-2021 artfynd.xlsx", "A 49871-2021")</f>
        <v/>
      </c>
      <c r="T121">
        <f>HYPERLINK("https://klasma.github.io/Logging_0382/kartor/A 49871-2021 karta.png", "A 49871-2021")</f>
        <v/>
      </c>
      <c r="V121">
        <f>HYPERLINK("https://klasma.github.io/Logging_0382/klagomål/A 49871-2021 FSC-klagomål.docx", "A 49871-2021")</f>
        <v/>
      </c>
      <c r="W121">
        <f>HYPERLINK("https://klasma.github.io/Logging_0382/klagomålsmail/A 49871-2021 FSC-klagomål mail.docx", "A 49871-2021")</f>
        <v/>
      </c>
      <c r="X121">
        <f>HYPERLINK("https://klasma.github.io/Logging_0382/tillsyn/A 49871-2021 tillsynsbegäran.docx", "A 49871-2021")</f>
        <v/>
      </c>
      <c r="Y121">
        <f>HYPERLINK("https://klasma.github.io/Logging_0382/tillsynsmail/A 49871-2021 tillsynsbegäran mail.docx", "A 49871-2021")</f>
        <v/>
      </c>
    </row>
    <row r="122" ht="15" customHeight="1">
      <c r="A122" t="inlineStr">
        <is>
          <t>A 61536-2021</t>
        </is>
      </c>
      <c r="B122" s="1" t="n">
        <v>44501</v>
      </c>
      <c r="C122" s="1" t="n">
        <v>45628</v>
      </c>
      <c r="D122" t="inlineStr">
        <is>
          <t>UPPSALA LÄN</t>
        </is>
      </c>
      <c r="E122" t="inlineStr">
        <is>
          <t>ÖSTHAMMAR</t>
        </is>
      </c>
      <c r="F122" t="inlineStr">
        <is>
          <t>Sveaskog</t>
        </is>
      </c>
      <c r="G122" t="n">
        <v>2.1</v>
      </c>
      <c r="H122" t="n">
        <v>0</v>
      </c>
      <c r="I122" t="n">
        <v>0</v>
      </c>
      <c r="J122" t="n">
        <v>1</v>
      </c>
      <c r="K122" t="n">
        <v>0</v>
      </c>
      <c r="L122" t="n">
        <v>0</v>
      </c>
      <c r="M122" t="n">
        <v>0</v>
      </c>
      <c r="N122" t="n">
        <v>0</v>
      </c>
      <c r="O122" t="n">
        <v>1</v>
      </c>
      <c r="P122" t="n">
        <v>0</v>
      </c>
      <c r="Q122" t="n">
        <v>1</v>
      </c>
      <c r="R122" s="2" t="inlineStr">
        <is>
          <t>Klasefibbla</t>
        </is>
      </c>
      <c r="S122">
        <f>HYPERLINK("https://klasma.github.io/Logging_0382/artfynd/A 61536-2021 artfynd.xlsx", "A 61536-2021")</f>
        <v/>
      </c>
      <c r="T122">
        <f>HYPERLINK("https://klasma.github.io/Logging_0382/kartor/A 61536-2021 karta.png", "A 61536-2021")</f>
        <v/>
      </c>
      <c r="V122">
        <f>HYPERLINK("https://klasma.github.io/Logging_0382/klagomål/A 61536-2021 FSC-klagomål.docx", "A 61536-2021")</f>
        <v/>
      </c>
      <c r="W122">
        <f>HYPERLINK("https://klasma.github.io/Logging_0382/klagomålsmail/A 61536-2021 FSC-klagomål mail.docx", "A 61536-2021")</f>
        <v/>
      </c>
      <c r="X122">
        <f>HYPERLINK("https://klasma.github.io/Logging_0382/tillsyn/A 61536-2021 tillsynsbegäran.docx", "A 61536-2021")</f>
        <v/>
      </c>
      <c r="Y122">
        <f>HYPERLINK("https://klasma.github.io/Logging_0382/tillsynsmail/A 61536-2021 tillsynsbegäran mail.docx", "A 61536-2021")</f>
        <v/>
      </c>
    </row>
    <row r="123" ht="15" customHeight="1">
      <c r="A123" t="inlineStr">
        <is>
          <t>A 61559-2021</t>
        </is>
      </c>
      <c r="B123" s="1" t="n">
        <v>44501</v>
      </c>
      <c r="C123" s="1" t="n">
        <v>45628</v>
      </c>
      <c r="D123" t="inlineStr">
        <is>
          <t>UPPSALA LÄN</t>
        </is>
      </c>
      <c r="E123" t="inlineStr">
        <is>
          <t>ÖSTHAMMAR</t>
        </is>
      </c>
      <c r="F123" t="inlineStr">
        <is>
          <t>Sveaskog</t>
        </is>
      </c>
      <c r="G123" t="n">
        <v>2.3</v>
      </c>
      <c r="H123" t="n">
        <v>0</v>
      </c>
      <c r="I123" t="n">
        <v>0</v>
      </c>
      <c r="J123" t="n">
        <v>1</v>
      </c>
      <c r="K123" t="n">
        <v>0</v>
      </c>
      <c r="L123" t="n">
        <v>0</v>
      </c>
      <c r="M123" t="n">
        <v>0</v>
      </c>
      <c r="N123" t="n">
        <v>0</v>
      </c>
      <c r="O123" t="n">
        <v>1</v>
      </c>
      <c r="P123" t="n">
        <v>0</v>
      </c>
      <c r="Q123" t="n">
        <v>1</v>
      </c>
      <c r="R123" s="2" t="inlineStr">
        <is>
          <t>Backklöver</t>
        </is>
      </c>
      <c r="S123">
        <f>HYPERLINK("https://klasma.github.io/Logging_0382/artfynd/A 61559-2021 artfynd.xlsx", "A 61559-2021")</f>
        <v/>
      </c>
      <c r="T123">
        <f>HYPERLINK("https://klasma.github.io/Logging_0382/kartor/A 61559-2021 karta.png", "A 61559-2021")</f>
        <v/>
      </c>
      <c r="V123">
        <f>HYPERLINK("https://klasma.github.io/Logging_0382/klagomål/A 61559-2021 FSC-klagomål.docx", "A 61559-2021")</f>
        <v/>
      </c>
      <c r="W123">
        <f>HYPERLINK("https://klasma.github.io/Logging_0382/klagomålsmail/A 61559-2021 FSC-klagomål mail.docx", "A 61559-2021")</f>
        <v/>
      </c>
      <c r="X123">
        <f>HYPERLINK("https://klasma.github.io/Logging_0382/tillsyn/A 61559-2021 tillsynsbegäran.docx", "A 61559-2021")</f>
        <v/>
      </c>
      <c r="Y123">
        <f>HYPERLINK("https://klasma.github.io/Logging_0382/tillsynsmail/A 61559-2021 tillsynsbegäran mail.docx", "A 61559-2021")</f>
        <v/>
      </c>
    </row>
    <row r="124" ht="15" customHeight="1">
      <c r="A124" t="inlineStr">
        <is>
          <t>A 63615-2021</t>
        </is>
      </c>
      <c r="B124" s="1" t="n">
        <v>44509</v>
      </c>
      <c r="C124" s="1" t="n">
        <v>45628</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64564-2021</t>
        </is>
      </c>
      <c r="B125" s="1" t="n">
        <v>44511</v>
      </c>
      <c r="C125" s="1" t="n">
        <v>45628</v>
      </c>
      <c r="D125" t="inlineStr">
        <is>
          <t>UPPSALA LÄN</t>
        </is>
      </c>
      <c r="E125" t="inlineStr">
        <is>
          <t>ÖSTHAMMAR</t>
        </is>
      </c>
      <c r="G125" t="n">
        <v>7.2</v>
      </c>
      <c r="H125" t="n">
        <v>0</v>
      </c>
      <c r="I125" t="n">
        <v>0</v>
      </c>
      <c r="J125" t="n">
        <v>0</v>
      </c>
      <c r="K125" t="n">
        <v>1</v>
      </c>
      <c r="L125" t="n">
        <v>0</v>
      </c>
      <c r="M125" t="n">
        <v>0</v>
      </c>
      <c r="N125" t="n">
        <v>0</v>
      </c>
      <c r="O125" t="n">
        <v>1</v>
      </c>
      <c r="P125" t="n">
        <v>1</v>
      </c>
      <c r="Q125" t="n">
        <v>1</v>
      </c>
      <c r="R125" s="2" t="inlineStr">
        <is>
          <t>Violgubbe</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row>
    <row r="126" ht="15" customHeight="1">
      <c r="A126" t="inlineStr">
        <is>
          <t>A 65989-2021</t>
        </is>
      </c>
      <c r="B126" s="1" t="n">
        <v>44517</v>
      </c>
      <c r="C126" s="1" t="n">
        <v>45628</v>
      </c>
      <c r="D126" t="inlineStr">
        <is>
          <t>UPPSALA LÄN</t>
        </is>
      </c>
      <c r="E126" t="inlineStr">
        <is>
          <t>ÖSTHAMMAR</t>
        </is>
      </c>
      <c r="G126" t="n">
        <v>6.9</v>
      </c>
      <c r="H126" t="n">
        <v>1</v>
      </c>
      <c r="I126" t="n">
        <v>1</v>
      </c>
      <c r="J126" t="n">
        <v>0</v>
      </c>
      <c r="K126" t="n">
        <v>0</v>
      </c>
      <c r="L126" t="n">
        <v>0</v>
      </c>
      <c r="M126" t="n">
        <v>0</v>
      </c>
      <c r="N126" t="n">
        <v>0</v>
      </c>
      <c r="O126" t="n">
        <v>0</v>
      </c>
      <c r="P126" t="n">
        <v>0</v>
      </c>
      <c r="Q126" t="n">
        <v>1</v>
      </c>
      <c r="R126" s="2" t="inlineStr">
        <is>
          <t>Skogsknipprot</t>
        </is>
      </c>
      <c r="S126">
        <f>HYPERLINK("https://klasma.github.io/Logging_0382/artfynd/A 65989-2021 artfynd.xlsx", "A 65989-2021")</f>
        <v/>
      </c>
      <c r="T126">
        <f>HYPERLINK("https://klasma.github.io/Logging_0382/kartor/A 65989-2021 karta.png", "A 65989-2021")</f>
        <v/>
      </c>
      <c r="V126">
        <f>HYPERLINK("https://klasma.github.io/Logging_0382/klagomål/A 65989-2021 FSC-klagomål.docx", "A 65989-2021")</f>
        <v/>
      </c>
      <c r="W126">
        <f>HYPERLINK("https://klasma.github.io/Logging_0382/klagomålsmail/A 65989-2021 FSC-klagomål mail.docx", "A 65989-2021")</f>
        <v/>
      </c>
      <c r="X126">
        <f>HYPERLINK("https://klasma.github.io/Logging_0382/tillsyn/A 65989-2021 tillsynsbegäran.docx", "A 65989-2021")</f>
        <v/>
      </c>
      <c r="Y126">
        <f>HYPERLINK("https://klasma.github.io/Logging_0382/tillsynsmail/A 65989-2021 tillsynsbegäran mail.docx", "A 65989-2021")</f>
        <v/>
      </c>
    </row>
    <row r="127" ht="15" customHeight="1">
      <c r="A127" t="inlineStr">
        <is>
          <t>A 70495-2021</t>
        </is>
      </c>
      <c r="B127" s="1" t="n">
        <v>44536</v>
      </c>
      <c r="C127" s="1" t="n">
        <v>45628</v>
      </c>
      <c r="D127" t="inlineStr">
        <is>
          <t>UPPSALA LÄN</t>
        </is>
      </c>
      <c r="E127" t="inlineStr">
        <is>
          <t>ÖSTHAMMAR</t>
        </is>
      </c>
      <c r="G127" t="n">
        <v>1</v>
      </c>
      <c r="H127" t="n">
        <v>1</v>
      </c>
      <c r="I127" t="n">
        <v>0</v>
      </c>
      <c r="J127" t="n">
        <v>1</v>
      </c>
      <c r="K127" t="n">
        <v>0</v>
      </c>
      <c r="L127" t="n">
        <v>0</v>
      </c>
      <c r="M127" t="n">
        <v>0</v>
      </c>
      <c r="N127" t="n">
        <v>0</v>
      </c>
      <c r="O127" t="n">
        <v>1</v>
      </c>
      <c r="P127" t="n">
        <v>0</v>
      </c>
      <c r="Q127" t="n">
        <v>1</v>
      </c>
      <c r="R127" s="2" t="inlineStr">
        <is>
          <t>Slaguggla</t>
        </is>
      </c>
      <c r="S127">
        <f>HYPERLINK("https://klasma.github.io/Logging_0382/artfynd/A 70495-2021 artfynd.xlsx", "A 70495-2021")</f>
        <v/>
      </c>
      <c r="T127">
        <f>HYPERLINK("https://klasma.github.io/Logging_0382/kartor/A 70495-2021 karta.png", "A 70495-2021")</f>
        <v/>
      </c>
      <c r="V127">
        <f>HYPERLINK("https://klasma.github.io/Logging_0382/klagomål/A 70495-2021 FSC-klagomål.docx", "A 70495-2021")</f>
        <v/>
      </c>
      <c r="W127">
        <f>HYPERLINK("https://klasma.github.io/Logging_0382/klagomålsmail/A 70495-2021 FSC-klagomål mail.docx", "A 70495-2021")</f>
        <v/>
      </c>
      <c r="X127">
        <f>HYPERLINK("https://klasma.github.io/Logging_0382/tillsyn/A 70495-2021 tillsynsbegäran.docx", "A 70495-2021")</f>
        <v/>
      </c>
      <c r="Y127">
        <f>HYPERLINK("https://klasma.github.io/Logging_0382/tillsynsmail/A 70495-2021 tillsynsbegäran mail.docx", "A 70495-2021")</f>
        <v/>
      </c>
      <c r="Z127">
        <f>HYPERLINK("https://klasma.github.io/Logging_0382/fåglar/A 70495-2021 prioriterade fågelarter.docx", "A 70495-2021")</f>
        <v/>
      </c>
    </row>
    <row r="128" ht="15" customHeight="1">
      <c r="A128" t="inlineStr">
        <is>
          <t>A 938-2022</t>
        </is>
      </c>
      <c r="B128" s="1" t="n">
        <v>44571</v>
      </c>
      <c r="C128" s="1" t="n">
        <v>45628</v>
      </c>
      <c r="D128" t="inlineStr">
        <is>
          <t>UPPSALA LÄN</t>
        </is>
      </c>
      <c r="E128" t="inlineStr">
        <is>
          <t>ÖSTHAMMAR</t>
        </is>
      </c>
      <c r="G128" t="n">
        <v>3.2</v>
      </c>
      <c r="H128" t="n">
        <v>0</v>
      </c>
      <c r="I128" t="n">
        <v>0</v>
      </c>
      <c r="J128" t="n">
        <v>1</v>
      </c>
      <c r="K128" t="n">
        <v>0</v>
      </c>
      <c r="L128" t="n">
        <v>0</v>
      </c>
      <c r="M128" t="n">
        <v>0</v>
      </c>
      <c r="N128" t="n">
        <v>0</v>
      </c>
      <c r="O128" t="n">
        <v>1</v>
      </c>
      <c r="P128" t="n">
        <v>0</v>
      </c>
      <c r="Q128" t="n">
        <v>1</v>
      </c>
      <c r="R128" s="2" t="inlineStr">
        <is>
          <t>Vedtrappmossa</t>
        </is>
      </c>
      <c r="S128">
        <f>HYPERLINK("https://klasma.github.io/Logging_0382/artfynd/A 938-2022 artfynd.xlsx", "A 938-2022")</f>
        <v/>
      </c>
      <c r="T128">
        <f>HYPERLINK("https://klasma.github.io/Logging_0382/kartor/A 938-2022 karta.png", "A 938-2022")</f>
        <v/>
      </c>
      <c r="V128">
        <f>HYPERLINK("https://klasma.github.io/Logging_0382/klagomål/A 938-2022 FSC-klagomål.docx", "A 938-2022")</f>
        <v/>
      </c>
      <c r="W128">
        <f>HYPERLINK("https://klasma.github.io/Logging_0382/klagomålsmail/A 938-2022 FSC-klagomål mail.docx", "A 938-2022")</f>
        <v/>
      </c>
      <c r="X128">
        <f>HYPERLINK("https://klasma.github.io/Logging_0382/tillsyn/A 938-2022 tillsynsbegäran.docx", "A 938-2022")</f>
        <v/>
      </c>
      <c r="Y128">
        <f>HYPERLINK("https://klasma.github.io/Logging_0382/tillsynsmail/A 938-2022 tillsynsbegäran mail.docx", "A 938-2022")</f>
        <v/>
      </c>
    </row>
    <row r="129" ht="15" customHeight="1">
      <c r="A129" t="inlineStr">
        <is>
          <t>A 1227-2022</t>
        </is>
      </c>
      <c r="B129" s="1" t="n">
        <v>44572</v>
      </c>
      <c r="C129" s="1" t="n">
        <v>45628</v>
      </c>
      <c r="D129" t="inlineStr">
        <is>
          <t>UPPSALA LÄN</t>
        </is>
      </c>
      <c r="E129" t="inlineStr">
        <is>
          <t>ÖSTHAMMAR</t>
        </is>
      </c>
      <c r="G129" t="n">
        <v>1.7</v>
      </c>
      <c r="H129" t="n">
        <v>0</v>
      </c>
      <c r="I129" t="n">
        <v>1</v>
      </c>
      <c r="J129" t="n">
        <v>0</v>
      </c>
      <c r="K129" t="n">
        <v>0</v>
      </c>
      <c r="L129" t="n">
        <v>0</v>
      </c>
      <c r="M129" t="n">
        <v>0</v>
      </c>
      <c r="N129" t="n">
        <v>0</v>
      </c>
      <c r="O129" t="n">
        <v>0</v>
      </c>
      <c r="P129" t="n">
        <v>0</v>
      </c>
      <c r="Q129" t="n">
        <v>1</v>
      </c>
      <c r="R129" s="2" t="inlineStr">
        <is>
          <t>Guldkremla</t>
        </is>
      </c>
      <c r="S129">
        <f>HYPERLINK("https://klasma.github.io/Logging_0382/artfynd/A 1227-2022 artfynd.xlsx", "A 1227-2022")</f>
        <v/>
      </c>
      <c r="T129">
        <f>HYPERLINK("https://klasma.github.io/Logging_0382/kartor/A 1227-2022 karta.png", "A 1227-2022")</f>
        <v/>
      </c>
      <c r="V129">
        <f>HYPERLINK("https://klasma.github.io/Logging_0382/klagomål/A 1227-2022 FSC-klagomål.docx", "A 1227-2022")</f>
        <v/>
      </c>
      <c r="W129">
        <f>HYPERLINK("https://klasma.github.io/Logging_0382/klagomålsmail/A 1227-2022 FSC-klagomål mail.docx", "A 1227-2022")</f>
        <v/>
      </c>
      <c r="X129">
        <f>HYPERLINK("https://klasma.github.io/Logging_0382/tillsyn/A 1227-2022 tillsynsbegäran.docx", "A 1227-2022")</f>
        <v/>
      </c>
      <c r="Y129">
        <f>HYPERLINK("https://klasma.github.io/Logging_0382/tillsynsmail/A 1227-2022 tillsynsbegäran mail.docx", "A 1227-2022")</f>
        <v/>
      </c>
    </row>
    <row r="130" ht="15" customHeight="1">
      <c r="A130" t="inlineStr">
        <is>
          <t>A 7446-2022</t>
        </is>
      </c>
      <c r="B130" s="1" t="n">
        <v>44606</v>
      </c>
      <c r="C130" s="1" t="n">
        <v>45628</v>
      </c>
      <c r="D130" t="inlineStr">
        <is>
          <t>UPPSALA LÄN</t>
        </is>
      </c>
      <c r="E130" t="inlineStr">
        <is>
          <t>ÖSTHAMMAR</t>
        </is>
      </c>
      <c r="G130" t="n">
        <v>5</v>
      </c>
      <c r="H130" t="n">
        <v>1</v>
      </c>
      <c r="I130" t="n">
        <v>0</v>
      </c>
      <c r="J130" t="n">
        <v>0</v>
      </c>
      <c r="K130" t="n">
        <v>0</v>
      </c>
      <c r="L130" t="n">
        <v>0</v>
      </c>
      <c r="M130" t="n">
        <v>0</v>
      </c>
      <c r="N130" t="n">
        <v>0</v>
      </c>
      <c r="O130" t="n">
        <v>0</v>
      </c>
      <c r="P130" t="n">
        <v>0</v>
      </c>
      <c r="Q130" t="n">
        <v>1</v>
      </c>
      <c r="R130" s="2" t="inlineStr">
        <is>
          <t>Mattlummer</t>
        </is>
      </c>
      <c r="S130">
        <f>HYPERLINK("https://klasma.github.io/Logging_0382/artfynd/A 7446-2022 artfynd.xlsx", "A 7446-2022")</f>
        <v/>
      </c>
      <c r="T130">
        <f>HYPERLINK("https://klasma.github.io/Logging_0382/kartor/A 7446-2022 karta.png", "A 7446-2022")</f>
        <v/>
      </c>
      <c r="V130">
        <f>HYPERLINK("https://klasma.github.io/Logging_0382/klagomål/A 7446-2022 FSC-klagomål.docx", "A 7446-2022")</f>
        <v/>
      </c>
      <c r="W130">
        <f>HYPERLINK("https://klasma.github.io/Logging_0382/klagomålsmail/A 7446-2022 FSC-klagomål mail.docx", "A 7446-2022")</f>
        <v/>
      </c>
      <c r="X130">
        <f>HYPERLINK("https://klasma.github.io/Logging_0382/tillsyn/A 7446-2022 tillsynsbegäran.docx", "A 7446-2022")</f>
        <v/>
      </c>
      <c r="Y130">
        <f>HYPERLINK("https://klasma.github.io/Logging_0382/tillsynsmail/A 7446-2022 tillsynsbegäran mail.docx", "A 7446-2022")</f>
        <v/>
      </c>
    </row>
    <row r="131" ht="15" customHeight="1">
      <c r="A131" t="inlineStr">
        <is>
          <t>A 7470-2022</t>
        </is>
      </c>
      <c r="B131" s="1" t="n">
        <v>44607</v>
      </c>
      <c r="C131" s="1" t="n">
        <v>45628</v>
      </c>
      <c r="D131" t="inlineStr">
        <is>
          <t>UPPSALA LÄN</t>
        </is>
      </c>
      <c r="E131" t="inlineStr">
        <is>
          <t>ÖSTHAMMAR</t>
        </is>
      </c>
      <c r="G131" t="n">
        <v>2.6</v>
      </c>
      <c r="H131" t="n">
        <v>1</v>
      </c>
      <c r="I131" t="n">
        <v>1</v>
      </c>
      <c r="J131" t="n">
        <v>0</v>
      </c>
      <c r="K131" t="n">
        <v>0</v>
      </c>
      <c r="L131" t="n">
        <v>0</v>
      </c>
      <c r="M131" t="n">
        <v>0</v>
      </c>
      <c r="N131" t="n">
        <v>0</v>
      </c>
      <c r="O131" t="n">
        <v>0</v>
      </c>
      <c r="P131" t="n">
        <v>0</v>
      </c>
      <c r="Q131" t="n">
        <v>1</v>
      </c>
      <c r="R131" s="2" t="inlineStr">
        <is>
          <t>Grön sköldmossa</t>
        </is>
      </c>
      <c r="S131">
        <f>HYPERLINK("https://klasma.github.io/Logging_0382/artfynd/A 7470-2022 artfynd.xlsx", "A 7470-2022")</f>
        <v/>
      </c>
      <c r="T131">
        <f>HYPERLINK("https://klasma.github.io/Logging_0382/kartor/A 7470-2022 karta.png", "A 7470-2022")</f>
        <v/>
      </c>
      <c r="V131">
        <f>HYPERLINK("https://klasma.github.io/Logging_0382/klagomål/A 7470-2022 FSC-klagomål.docx", "A 7470-2022")</f>
        <v/>
      </c>
      <c r="W131">
        <f>HYPERLINK("https://klasma.github.io/Logging_0382/klagomålsmail/A 7470-2022 FSC-klagomål mail.docx", "A 7470-2022")</f>
        <v/>
      </c>
      <c r="X131">
        <f>HYPERLINK("https://klasma.github.io/Logging_0382/tillsyn/A 7470-2022 tillsynsbegäran.docx", "A 7470-2022")</f>
        <v/>
      </c>
      <c r="Y131">
        <f>HYPERLINK("https://klasma.github.io/Logging_0382/tillsynsmail/A 7470-2022 tillsynsbegäran mail.docx", "A 7470-2022")</f>
        <v/>
      </c>
    </row>
    <row r="132" ht="15" customHeight="1">
      <c r="A132" t="inlineStr">
        <is>
          <t>A 22209-2022</t>
        </is>
      </c>
      <c r="B132" s="1" t="n">
        <v>44712</v>
      </c>
      <c r="C132" s="1" t="n">
        <v>45628</v>
      </c>
      <c r="D132" t="inlineStr">
        <is>
          <t>UPPSALA LÄN</t>
        </is>
      </c>
      <c r="E132" t="inlineStr">
        <is>
          <t>ÖSTHAMMAR</t>
        </is>
      </c>
      <c r="F132" t="inlineStr">
        <is>
          <t>Bergvik skog öst AB</t>
        </is>
      </c>
      <c r="G132" t="n">
        <v>1.5</v>
      </c>
      <c r="H132" t="n">
        <v>1</v>
      </c>
      <c r="I132" t="n">
        <v>0</v>
      </c>
      <c r="J132" t="n">
        <v>0</v>
      </c>
      <c r="K132" t="n">
        <v>0</v>
      </c>
      <c r="L132" t="n">
        <v>0</v>
      </c>
      <c r="M132" t="n">
        <v>0</v>
      </c>
      <c r="N132" t="n">
        <v>0</v>
      </c>
      <c r="O132" t="n">
        <v>0</v>
      </c>
      <c r="P132" t="n">
        <v>0</v>
      </c>
      <c r="Q132" t="n">
        <v>1</v>
      </c>
      <c r="R132" s="2" t="inlineStr">
        <is>
          <t>Blåsippa</t>
        </is>
      </c>
      <c r="S132">
        <f>HYPERLINK("https://klasma.github.io/Logging_0382/artfynd/A 22209-2022 artfynd.xlsx", "A 22209-2022")</f>
        <v/>
      </c>
      <c r="T132">
        <f>HYPERLINK("https://klasma.github.io/Logging_0382/kartor/A 22209-2022 karta.png", "A 22209-2022")</f>
        <v/>
      </c>
      <c r="V132">
        <f>HYPERLINK("https://klasma.github.io/Logging_0382/klagomål/A 22209-2022 FSC-klagomål.docx", "A 22209-2022")</f>
        <v/>
      </c>
      <c r="W132">
        <f>HYPERLINK("https://klasma.github.io/Logging_0382/klagomålsmail/A 22209-2022 FSC-klagomål mail.docx", "A 22209-2022")</f>
        <v/>
      </c>
      <c r="X132">
        <f>HYPERLINK("https://klasma.github.io/Logging_0382/tillsyn/A 22209-2022 tillsynsbegäran.docx", "A 22209-2022")</f>
        <v/>
      </c>
      <c r="Y132">
        <f>HYPERLINK("https://klasma.github.io/Logging_0382/tillsynsmail/A 22209-2022 tillsynsbegäran mail.docx", "A 22209-2022")</f>
        <v/>
      </c>
    </row>
    <row r="133" ht="15" customHeight="1">
      <c r="A133" t="inlineStr">
        <is>
          <t>A 24797-2022</t>
        </is>
      </c>
      <c r="B133" s="1" t="n">
        <v>44728</v>
      </c>
      <c r="C133" s="1" t="n">
        <v>45628</v>
      </c>
      <c r="D133" t="inlineStr">
        <is>
          <t>UPPSALA LÄN</t>
        </is>
      </c>
      <c r="E133" t="inlineStr">
        <is>
          <t>ÖSTHAMMAR</t>
        </is>
      </c>
      <c r="F133" t="inlineStr">
        <is>
          <t>Sveaskog</t>
        </is>
      </c>
      <c r="G133" t="n">
        <v>1.7</v>
      </c>
      <c r="H133" t="n">
        <v>1</v>
      </c>
      <c r="I133" t="n">
        <v>0</v>
      </c>
      <c r="J133" t="n">
        <v>1</v>
      </c>
      <c r="K133" t="n">
        <v>0</v>
      </c>
      <c r="L133" t="n">
        <v>0</v>
      </c>
      <c r="M133" t="n">
        <v>0</v>
      </c>
      <c r="N133" t="n">
        <v>0</v>
      </c>
      <c r="O133" t="n">
        <v>1</v>
      </c>
      <c r="P133" t="n">
        <v>0</v>
      </c>
      <c r="Q133" t="n">
        <v>1</v>
      </c>
      <c r="R133" s="2" t="inlineStr">
        <is>
          <t>Gulsparv</t>
        </is>
      </c>
      <c r="S133">
        <f>HYPERLINK("https://klasma.github.io/Logging_0382/artfynd/A 24797-2022 artfynd.xlsx", "A 24797-2022")</f>
        <v/>
      </c>
      <c r="T133">
        <f>HYPERLINK("https://klasma.github.io/Logging_0382/kartor/A 24797-2022 karta.png", "A 24797-2022")</f>
        <v/>
      </c>
      <c r="V133">
        <f>HYPERLINK("https://klasma.github.io/Logging_0382/klagomål/A 24797-2022 FSC-klagomål.docx", "A 24797-2022")</f>
        <v/>
      </c>
      <c r="W133">
        <f>HYPERLINK("https://klasma.github.io/Logging_0382/klagomålsmail/A 24797-2022 FSC-klagomål mail.docx", "A 24797-2022")</f>
        <v/>
      </c>
      <c r="X133">
        <f>HYPERLINK("https://klasma.github.io/Logging_0382/tillsyn/A 24797-2022 tillsynsbegäran.docx", "A 24797-2022")</f>
        <v/>
      </c>
      <c r="Y133">
        <f>HYPERLINK("https://klasma.github.io/Logging_0382/tillsynsmail/A 24797-2022 tillsynsbegäran mail.docx", "A 24797-2022")</f>
        <v/>
      </c>
      <c r="Z133">
        <f>HYPERLINK("https://klasma.github.io/Logging_0382/fåglar/A 24797-2022 prioriterade fågelarter.docx", "A 24797-2022")</f>
        <v/>
      </c>
    </row>
    <row r="134" ht="15" customHeight="1">
      <c r="A134" t="inlineStr">
        <is>
          <t>A 27451-2022</t>
        </is>
      </c>
      <c r="B134" s="1" t="n">
        <v>44742</v>
      </c>
      <c r="C134" s="1" t="n">
        <v>45628</v>
      </c>
      <c r="D134" t="inlineStr">
        <is>
          <t>UPPSALA LÄN</t>
        </is>
      </c>
      <c r="E134" t="inlineStr">
        <is>
          <t>ÖSTHAMMAR</t>
        </is>
      </c>
      <c r="G134" t="n">
        <v>6.4</v>
      </c>
      <c r="H134" t="n">
        <v>0</v>
      </c>
      <c r="I134" t="n">
        <v>0</v>
      </c>
      <c r="J134" t="n">
        <v>1</v>
      </c>
      <c r="K134" t="n">
        <v>0</v>
      </c>
      <c r="L134" t="n">
        <v>0</v>
      </c>
      <c r="M134" t="n">
        <v>0</v>
      </c>
      <c r="N134" t="n">
        <v>0</v>
      </c>
      <c r="O134" t="n">
        <v>1</v>
      </c>
      <c r="P134" t="n">
        <v>0</v>
      </c>
      <c r="Q134" t="n">
        <v>1</v>
      </c>
      <c r="R134" s="2" t="inlineStr">
        <is>
          <t>Skogsklocka</t>
        </is>
      </c>
      <c r="S134">
        <f>HYPERLINK("https://klasma.github.io/Logging_0382/artfynd/A 27451-2022 artfynd.xlsx", "A 27451-2022")</f>
        <v/>
      </c>
      <c r="T134">
        <f>HYPERLINK("https://klasma.github.io/Logging_0382/kartor/A 27451-2022 karta.png", "A 27451-2022")</f>
        <v/>
      </c>
      <c r="V134">
        <f>HYPERLINK("https://klasma.github.io/Logging_0382/klagomål/A 27451-2022 FSC-klagomål.docx", "A 27451-2022")</f>
        <v/>
      </c>
      <c r="W134">
        <f>HYPERLINK("https://klasma.github.io/Logging_0382/klagomålsmail/A 27451-2022 FSC-klagomål mail.docx", "A 27451-2022")</f>
        <v/>
      </c>
      <c r="X134">
        <f>HYPERLINK("https://klasma.github.io/Logging_0382/tillsyn/A 27451-2022 tillsynsbegäran.docx", "A 27451-2022")</f>
        <v/>
      </c>
      <c r="Y134">
        <f>HYPERLINK("https://klasma.github.io/Logging_0382/tillsynsmail/A 27451-2022 tillsynsbegäran mail.docx", "A 27451-2022")</f>
        <v/>
      </c>
    </row>
    <row r="135" ht="15" customHeight="1">
      <c r="A135" t="inlineStr">
        <is>
          <t>A 34974-2022</t>
        </is>
      </c>
      <c r="B135" s="1" t="n">
        <v>44796</v>
      </c>
      <c r="C135" s="1" t="n">
        <v>45628</v>
      </c>
      <c r="D135" t="inlineStr">
        <is>
          <t>UPPSALA LÄN</t>
        </is>
      </c>
      <c r="E135" t="inlineStr">
        <is>
          <t>ÖSTHAMMAR</t>
        </is>
      </c>
      <c r="F135" t="inlineStr">
        <is>
          <t>Bergvik skog öst AB</t>
        </is>
      </c>
      <c r="G135" t="n">
        <v>19.4</v>
      </c>
      <c r="H135" t="n">
        <v>1</v>
      </c>
      <c r="I135" t="n">
        <v>0</v>
      </c>
      <c r="J135" t="n">
        <v>0</v>
      </c>
      <c r="K135" t="n">
        <v>0</v>
      </c>
      <c r="L135" t="n">
        <v>0</v>
      </c>
      <c r="M135" t="n">
        <v>0</v>
      </c>
      <c r="N135" t="n">
        <v>0</v>
      </c>
      <c r="O135" t="n">
        <v>0</v>
      </c>
      <c r="P135" t="n">
        <v>0</v>
      </c>
      <c r="Q135" t="n">
        <v>1</v>
      </c>
      <c r="R135" s="2" t="inlineStr">
        <is>
          <t>Kopparödla</t>
        </is>
      </c>
      <c r="S135">
        <f>HYPERLINK("https://klasma.github.io/Logging_0382/artfynd/A 34974-2022 artfynd.xlsx", "A 34974-2022")</f>
        <v/>
      </c>
      <c r="T135">
        <f>HYPERLINK("https://klasma.github.io/Logging_0382/kartor/A 34974-2022 karta.png", "A 34974-2022")</f>
        <v/>
      </c>
      <c r="V135">
        <f>HYPERLINK("https://klasma.github.io/Logging_0382/klagomål/A 34974-2022 FSC-klagomål.docx", "A 34974-2022")</f>
        <v/>
      </c>
      <c r="W135">
        <f>HYPERLINK("https://klasma.github.io/Logging_0382/klagomålsmail/A 34974-2022 FSC-klagomål mail.docx", "A 34974-2022")</f>
        <v/>
      </c>
      <c r="X135">
        <f>HYPERLINK("https://klasma.github.io/Logging_0382/tillsyn/A 34974-2022 tillsynsbegäran.docx", "A 34974-2022")</f>
        <v/>
      </c>
      <c r="Y135">
        <f>HYPERLINK("https://klasma.github.io/Logging_0382/tillsynsmail/A 34974-2022 tillsynsbegäran mail.docx", "A 34974-2022")</f>
        <v/>
      </c>
    </row>
    <row r="136" ht="15" customHeight="1">
      <c r="A136" t="inlineStr">
        <is>
          <t>A 52648-2022</t>
        </is>
      </c>
      <c r="B136" s="1" t="n">
        <v>44874</v>
      </c>
      <c r="C136" s="1" t="n">
        <v>45628</v>
      </c>
      <c r="D136" t="inlineStr">
        <is>
          <t>UPPSALA LÄN</t>
        </is>
      </c>
      <c r="E136" t="inlineStr">
        <is>
          <t>ÖSTHAMMAR</t>
        </is>
      </c>
      <c r="F136" t="inlineStr">
        <is>
          <t>Bergvik skog öst AB</t>
        </is>
      </c>
      <c r="G136" t="n">
        <v>2.3</v>
      </c>
      <c r="H136" t="n">
        <v>1</v>
      </c>
      <c r="I136" t="n">
        <v>0</v>
      </c>
      <c r="J136" t="n">
        <v>1</v>
      </c>
      <c r="K136" t="n">
        <v>0</v>
      </c>
      <c r="L136" t="n">
        <v>0</v>
      </c>
      <c r="M136" t="n">
        <v>0</v>
      </c>
      <c r="N136" t="n">
        <v>0</v>
      </c>
      <c r="O136" t="n">
        <v>1</v>
      </c>
      <c r="P136" t="n">
        <v>0</v>
      </c>
      <c r="Q136" t="n">
        <v>1</v>
      </c>
      <c r="R136" s="2" t="inlineStr">
        <is>
          <t>Buskskvätta</t>
        </is>
      </c>
      <c r="S136">
        <f>HYPERLINK("https://klasma.github.io/Logging_0382/artfynd/A 52648-2022 artfynd.xlsx", "A 52648-2022")</f>
        <v/>
      </c>
      <c r="T136">
        <f>HYPERLINK("https://klasma.github.io/Logging_0382/kartor/A 52648-2022 karta.png", "A 52648-2022")</f>
        <v/>
      </c>
      <c r="V136">
        <f>HYPERLINK("https://klasma.github.io/Logging_0382/klagomål/A 52648-2022 FSC-klagomål.docx", "A 52648-2022")</f>
        <v/>
      </c>
      <c r="W136">
        <f>HYPERLINK("https://klasma.github.io/Logging_0382/klagomålsmail/A 52648-2022 FSC-klagomål mail.docx", "A 52648-2022")</f>
        <v/>
      </c>
      <c r="X136">
        <f>HYPERLINK("https://klasma.github.io/Logging_0382/tillsyn/A 52648-2022 tillsynsbegäran.docx", "A 52648-2022")</f>
        <v/>
      </c>
      <c r="Y136">
        <f>HYPERLINK("https://klasma.github.io/Logging_0382/tillsynsmail/A 52648-2022 tillsynsbegäran mail.docx", "A 52648-2022")</f>
        <v/>
      </c>
      <c r="Z136">
        <f>HYPERLINK("https://klasma.github.io/Logging_0382/fåglar/A 52648-2022 prioriterade fågelarter.docx", "A 52648-2022")</f>
        <v/>
      </c>
    </row>
    <row r="137" ht="15" customHeight="1">
      <c r="A137" t="inlineStr">
        <is>
          <t>A 52651-2022</t>
        </is>
      </c>
      <c r="B137" s="1" t="n">
        <v>44874</v>
      </c>
      <c r="C137" s="1" t="n">
        <v>45628</v>
      </c>
      <c r="D137" t="inlineStr">
        <is>
          <t>UPPSALA LÄN</t>
        </is>
      </c>
      <c r="E137" t="inlineStr">
        <is>
          <t>ÖSTHAMMAR</t>
        </is>
      </c>
      <c r="F137" t="inlineStr">
        <is>
          <t>Bergvik skog öst AB</t>
        </is>
      </c>
      <c r="G137" t="n">
        <v>0.6</v>
      </c>
      <c r="H137" t="n">
        <v>1</v>
      </c>
      <c r="I137" t="n">
        <v>0</v>
      </c>
      <c r="J137" t="n">
        <v>1</v>
      </c>
      <c r="K137" t="n">
        <v>0</v>
      </c>
      <c r="L137" t="n">
        <v>0</v>
      </c>
      <c r="M137" t="n">
        <v>0</v>
      </c>
      <c r="N137" t="n">
        <v>0</v>
      </c>
      <c r="O137" t="n">
        <v>1</v>
      </c>
      <c r="P137" t="n">
        <v>0</v>
      </c>
      <c r="Q137" t="n">
        <v>1</v>
      </c>
      <c r="R137" s="2" t="inlineStr">
        <is>
          <t>Svartvit flugsnappare</t>
        </is>
      </c>
      <c r="S137">
        <f>HYPERLINK("https://klasma.github.io/Logging_0382/artfynd/A 52651-2022 artfynd.xlsx", "A 52651-2022")</f>
        <v/>
      </c>
      <c r="T137">
        <f>HYPERLINK("https://klasma.github.io/Logging_0382/kartor/A 52651-2022 karta.png", "A 52651-2022")</f>
        <v/>
      </c>
      <c r="V137">
        <f>HYPERLINK("https://klasma.github.io/Logging_0382/klagomål/A 52651-2022 FSC-klagomål.docx", "A 52651-2022")</f>
        <v/>
      </c>
      <c r="W137">
        <f>HYPERLINK("https://klasma.github.io/Logging_0382/klagomålsmail/A 52651-2022 FSC-klagomål mail.docx", "A 52651-2022")</f>
        <v/>
      </c>
      <c r="X137">
        <f>HYPERLINK("https://klasma.github.io/Logging_0382/tillsyn/A 52651-2022 tillsynsbegäran.docx", "A 52651-2022")</f>
        <v/>
      </c>
      <c r="Y137">
        <f>HYPERLINK("https://klasma.github.io/Logging_0382/tillsynsmail/A 52651-2022 tillsynsbegäran mail.docx", "A 52651-2022")</f>
        <v/>
      </c>
      <c r="Z137">
        <f>HYPERLINK("https://klasma.github.io/Logging_0382/fåglar/A 52651-2022 prioriterade fågelarter.docx", "A 52651-2022")</f>
        <v/>
      </c>
    </row>
    <row r="138" ht="15" customHeight="1">
      <c r="A138" t="inlineStr">
        <is>
          <t>A 52818-2022</t>
        </is>
      </c>
      <c r="B138" s="1" t="n">
        <v>44875</v>
      </c>
      <c r="C138" s="1" t="n">
        <v>45628</v>
      </c>
      <c r="D138" t="inlineStr">
        <is>
          <t>UPPSALA LÄN</t>
        </is>
      </c>
      <c r="E138" t="inlineStr">
        <is>
          <t>ÖSTHAMMAR</t>
        </is>
      </c>
      <c r="G138" t="n">
        <v>0.9</v>
      </c>
      <c r="H138" t="n">
        <v>1</v>
      </c>
      <c r="I138" t="n">
        <v>1</v>
      </c>
      <c r="J138" t="n">
        <v>0</v>
      </c>
      <c r="K138" t="n">
        <v>0</v>
      </c>
      <c r="L138" t="n">
        <v>0</v>
      </c>
      <c r="M138" t="n">
        <v>0</v>
      </c>
      <c r="N138" t="n">
        <v>0</v>
      </c>
      <c r="O138" t="n">
        <v>0</v>
      </c>
      <c r="P138" t="n">
        <v>0</v>
      </c>
      <c r="Q138" t="n">
        <v>1</v>
      </c>
      <c r="R138" s="2" t="inlineStr">
        <is>
          <t>Guckusko</t>
        </is>
      </c>
      <c r="S138">
        <f>HYPERLINK("https://klasma.github.io/Logging_0382/artfynd/A 52818-2022 artfynd.xlsx", "A 52818-2022")</f>
        <v/>
      </c>
      <c r="T138">
        <f>HYPERLINK("https://klasma.github.io/Logging_0382/kartor/A 52818-2022 karta.png", "A 52818-2022")</f>
        <v/>
      </c>
      <c r="V138">
        <f>HYPERLINK("https://klasma.github.io/Logging_0382/klagomål/A 52818-2022 FSC-klagomål.docx", "A 52818-2022")</f>
        <v/>
      </c>
      <c r="W138">
        <f>HYPERLINK("https://klasma.github.io/Logging_0382/klagomålsmail/A 52818-2022 FSC-klagomål mail.docx", "A 52818-2022")</f>
        <v/>
      </c>
      <c r="X138">
        <f>HYPERLINK("https://klasma.github.io/Logging_0382/tillsyn/A 52818-2022 tillsynsbegäran.docx", "A 52818-2022")</f>
        <v/>
      </c>
      <c r="Y138">
        <f>HYPERLINK("https://klasma.github.io/Logging_0382/tillsynsmail/A 52818-2022 tillsynsbegäran mail.docx", "A 52818-2022")</f>
        <v/>
      </c>
    </row>
    <row r="139" ht="15" customHeight="1">
      <c r="A139" t="inlineStr">
        <is>
          <t>A 1390-2023</t>
        </is>
      </c>
      <c r="B139" s="1" t="n">
        <v>44936</v>
      </c>
      <c r="C139" s="1" t="n">
        <v>45628</v>
      </c>
      <c r="D139" t="inlineStr">
        <is>
          <t>UPPSALA LÄN</t>
        </is>
      </c>
      <c r="E139" t="inlineStr">
        <is>
          <t>ÖSTHAMMAR</t>
        </is>
      </c>
      <c r="G139" t="n">
        <v>1.9</v>
      </c>
      <c r="H139" t="n">
        <v>1</v>
      </c>
      <c r="I139" t="n">
        <v>0</v>
      </c>
      <c r="J139" t="n">
        <v>0</v>
      </c>
      <c r="K139" t="n">
        <v>1</v>
      </c>
      <c r="L139" t="n">
        <v>0</v>
      </c>
      <c r="M139" t="n">
        <v>0</v>
      </c>
      <c r="N139" t="n">
        <v>0</v>
      </c>
      <c r="O139" t="n">
        <v>1</v>
      </c>
      <c r="P139" t="n">
        <v>1</v>
      </c>
      <c r="Q139" t="n">
        <v>1</v>
      </c>
      <c r="R139" s="2" t="inlineStr">
        <is>
          <t>Tallbit</t>
        </is>
      </c>
      <c r="S139">
        <f>HYPERLINK("https://klasma.github.io/Logging_0382/artfynd/A 1390-2023 artfynd.xlsx", "A 1390-2023")</f>
        <v/>
      </c>
      <c r="T139">
        <f>HYPERLINK("https://klasma.github.io/Logging_0382/kartor/A 1390-2023 karta.png", "A 1390-2023")</f>
        <v/>
      </c>
      <c r="V139">
        <f>HYPERLINK("https://klasma.github.io/Logging_0382/klagomål/A 1390-2023 FSC-klagomål.docx", "A 1390-2023")</f>
        <v/>
      </c>
      <c r="W139">
        <f>HYPERLINK("https://klasma.github.io/Logging_0382/klagomålsmail/A 1390-2023 FSC-klagomål mail.docx", "A 1390-2023")</f>
        <v/>
      </c>
      <c r="X139">
        <f>HYPERLINK("https://klasma.github.io/Logging_0382/tillsyn/A 1390-2023 tillsynsbegäran.docx", "A 1390-2023")</f>
        <v/>
      </c>
      <c r="Y139">
        <f>HYPERLINK("https://klasma.github.io/Logging_0382/tillsynsmail/A 1390-2023 tillsynsbegäran mail.docx", "A 1390-2023")</f>
        <v/>
      </c>
      <c r="Z139">
        <f>HYPERLINK("https://klasma.github.io/Logging_0382/fåglar/A 1390-2023 prioriterade fågelarter.docx", "A 1390-2023")</f>
        <v/>
      </c>
    </row>
    <row r="140" ht="15" customHeight="1">
      <c r="A140" t="inlineStr">
        <is>
          <t>A 1783-2023</t>
        </is>
      </c>
      <c r="B140" s="1" t="n">
        <v>44938</v>
      </c>
      <c r="C140" s="1" t="n">
        <v>45628</v>
      </c>
      <c r="D140" t="inlineStr">
        <is>
          <t>UPPSALA LÄN</t>
        </is>
      </c>
      <c r="E140" t="inlineStr">
        <is>
          <t>ÖSTHAMMAR</t>
        </is>
      </c>
      <c r="G140" t="n">
        <v>4.1</v>
      </c>
      <c r="H140" t="n">
        <v>0</v>
      </c>
      <c r="I140" t="n">
        <v>0</v>
      </c>
      <c r="J140" t="n">
        <v>1</v>
      </c>
      <c r="K140" t="n">
        <v>0</v>
      </c>
      <c r="L140" t="n">
        <v>0</v>
      </c>
      <c r="M140" t="n">
        <v>0</v>
      </c>
      <c r="N140" t="n">
        <v>0</v>
      </c>
      <c r="O140" t="n">
        <v>1</v>
      </c>
      <c r="P140" t="n">
        <v>0</v>
      </c>
      <c r="Q140" t="n">
        <v>1</v>
      </c>
      <c r="R140" s="2" t="inlineStr">
        <is>
          <t>Svart taggsvamp</t>
        </is>
      </c>
      <c r="S140">
        <f>HYPERLINK("https://klasma.github.io/Logging_0382/artfynd/A 1783-2023 artfynd.xlsx", "A 1783-2023")</f>
        <v/>
      </c>
      <c r="T140">
        <f>HYPERLINK("https://klasma.github.io/Logging_0382/kartor/A 1783-2023 karta.png", "A 1783-2023")</f>
        <v/>
      </c>
      <c r="V140">
        <f>HYPERLINK("https://klasma.github.io/Logging_0382/klagomål/A 1783-2023 FSC-klagomål.docx", "A 1783-2023")</f>
        <v/>
      </c>
      <c r="W140">
        <f>HYPERLINK("https://klasma.github.io/Logging_0382/klagomålsmail/A 1783-2023 FSC-klagomål mail.docx", "A 1783-2023")</f>
        <v/>
      </c>
      <c r="X140">
        <f>HYPERLINK("https://klasma.github.io/Logging_0382/tillsyn/A 1783-2023 tillsynsbegäran.docx", "A 1783-2023")</f>
        <v/>
      </c>
      <c r="Y140">
        <f>HYPERLINK("https://klasma.github.io/Logging_0382/tillsynsmail/A 1783-2023 tillsynsbegäran mail.docx", "A 1783-2023")</f>
        <v/>
      </c>
    </row>
    <row r="141" ht="15" customHeight="1">
      <c r="A141" t="inlineStr">
        <is>
          <t>A 9264-2023</t>
        </is>
      </c>
      <c r="B141" s="1" t="n">
        <v>44980</v>
      </c>
      <c r="C141" s="1" t="n">
        <v>45628</v>
      </c>
      <c r="D141" t="inlineStr">
        <is>
          <t>UPPSALA LÄN</t>
        </is>
      </c>
      <c r="E141" t="inlineStr">
        <is>
          <t>ÖSTHAMMAR</t>
        </is>
      </c>
      <c r="F141" t="inlineStr">
        <is>
          <t>Övriga Aktiebolag</t>
        </is>
      </c>
      <c r="G141" t="n">
        <v>2.1</v>
      </c>
      <c r="H141" t="n">
        <v>1</v>
      </c>
      <c r="I141" t="n">
        <v>0</v>
      </c>
      <c r="J141" t="n">
        <v>0</v>
      </c>
      <c r="K141" t="n">
        <v>0</v>
      </c>
      <c r="L141" t="n">
        <v>1</v>
      </c>
      <c r="M141" t="n">
        <v>0</v>
      </c>
      <c r="N141" t="n">
        <v>0</v>
      </c>
      <c r="O141" t="n">
        <v>1</v>
      </c>
      <c r="P141" t="n">
        <v>1</v>
      </c>
      <c r="Q141" t="n">
        <v>1</v>
      </c>
      <c r="R141" s="2" t="inlineStr">
        <is>
          <t>Asknätfjäril</t>
        </is>
      </c>
      <c r="S141">
        <f>HYPERLINK("https://klasma.github.io/Logging_0382/artfynd/A 9264-2023 artfynd.xlsx", "A 9264-2023")</f>
        <v/>
      </c>
      <c r="T141">
        <f>HYPERLINK("https://klasma.github.io/Logging_0382/kartor/A 9264-2023 karta.png", "A 9264-2023")</f>
        <v/>
      </c>
      <c r="V141">
        <f>HYPERLINK("https://klasma.github.io/Logging_0382/klagomål/A 9264-2023 FSC-klagomål.docx", "A 9264-2023")</f>
        <v/>
      </c>
      <c r="W141">
        <f>HYPERLINK("https://klasma.github.io/Logging_0382/klagomålsmail/A 9264-2023 FSC-klagomål mail.docx", "A 9264-2023")</f>
        <v/>
      </c>
      <c r="X141">
        <f>HYPERLINK("https://klasma.github.io/Logging_0382/tillsyn/A 9264-2023 tillsynsbegäran.docx", "A 9264-2023")</f>
        <v/>
      </c>
      <c r="Y141">
        <f>HYPERLINK("https://klasma.github.io/Logging_0382/tillsynsmail/A 9264-2023 tillsynsbegäran mail.docx", "A 9264-2023")</f>
        <v/>
      </c>
    </row>
    <row r="142" ht="15" customHeight="1">
      <c r="A142" t="inlineStr">
        <is>
          <t>A 14706-2023</t>
        </is>
      </c>
      <c r="B142" s="1" t="n">
        <v>45013</v>
      </c>
      <c r="C142" s="1" t="n">
        <v>45628</v>
      </c>
      <c r="D142" t="inlineStr">
        <is>
          <t>UPPSALA LÄN</t>
        </is>
      </c>
      <c r="E142" t="inlineStr">
        <is>
          <t>ÖSTHAMMAR</t>
        </is>
      </c>
      <c r="G142" t="n">
        <v>0.9</v>
      </c>
      <c r="H142" t="n">
        <v>0</v>
      </c>
      <c r="I142" t="n">
        <v>1</v>
      </c>
      <c r="J142" t="n">
        <v>0</v>
      </c>
      <c r="K142" t="n">
        <v>0</v>
      </c>
      <c r="L142" t="n">
        <v>0</v>
      </c>
      <c r="M142" t="n">
        <v>0</v>
      </c>
      <c r="N142" t="n">
        <v>0</v>
      </c>
      <c r="O142" t="n">
        <v>0</v>
      </c>
      <c r="P142" t="n">
        <v>0</v>
      </c>
      <c r="Q142" t="n">
        <v>1</v>
      </c>
      <c r="R142" s="2" t="inlineStr">
        <is>
          <t>Olivspindling</t>
        </is>
      </c>
      <c r="S142">
        <f>HYPERLINK("https://klasma.github.io/Logging_0382/artfynd/A 14706-2023 artfynd.xlsx", "A 14706-2023")</f>
        <v/>
      </c>
      <c r="T142">
        <f>HYPERLINK("https://klasma.github.io/Logging_0382/kartor/A 14706-2023 karta.png", "A 14706-2023")</f>
        <v/>
      </c>
      <c r="V142">
        <f>HYPERLINK("https://klasma.github.io/Logging_0382/klagomål/A 14706-2023 FSC-klagomål.docx", "A 14706-2023")</f>
        <v/>
      </c>
      <c r="W142">
        <f>HYPERLINK("https://klasma.github.io/Logging_0382/klagomålsmail/A 14706-2023 FSC-klagomål mail.docx", "A 14706-2023")</f>
        <v/>
      </c>
      <c r="X142">
        <f>HYPERLINK("https://klasma.github.io/Logging_0382/tillsyn/A 14706-2023 tillsynsbegäran.docx", "A 14706-2023")</f>
        <v/>
      </c>
      <c r="Y142">
        <f>HYPERLINK("https://klasma.github.io/Logging_0382/tillsynsmail/A 14706-2023 tillsynsbegäran mail.docx", "A 14706-2023")</f>
        <v/>
      </c>
    </row>
    <row r="143" ht="15" customHeight="1">
      <c r="A143" t="inlineStr">
        <is>
          <t>A 15627-2023</t>
        </is>
      </c>
      <c r="B143" s="1" t="n">
        <v>45021</v>
      </c>
      <c r="C143" s="1" t="n">
        <v>45628</v>
      </c>
      <c r="D143" t="inlineStr">
        <is>
          <t>UPPSALA LÄN</t>
        </is>
      </c>
      <c r="E143" t="inlineStr">
        <is>
          <t>ÖSTHAMMAR</t>
        </is>
      </c>
      <c r="F143" t="inlineStr">
        <is>
          <t>Övriga Aktiebolag</t>
        </is>
      </c>
      <c r="G143" t="n">
        <v>22.8</v>
      </c>
      <c r="H143" t="n">
        <v>1</v>
      </c>
      <c r="I143" t="n">
        <v>1</v>
      </c>
      <c r="J143" t="n">
        <v>0</v>
      </c>
      <c r="K143" t="n">
        <v>0</v>
      </c>
      <c r="L143" t="n">
        <v>0</v>
      </c>
      <c r="M143" t="n">
        <v>0</v>
      </c>
      <c r="N143" t="n">
        <v>0</v>
      </c>
      <c r="O143" t="n">
        <v>0</v>
      </c>
      <c r="P143" t="n">
        <v>0</v>
      </c>
      <c r="Q143" t="n">
        <v>1</v>
      </c>
      <c r="R143" s="2" t="inlineStr">
        <is>
          <t>Guckusko</t>
        </is>
      </c>
      <c r="S143">
        <f>HYPERLINK("https://klasma.github.io/Logging_0382/artfynd/A 15627-2023 artfynd.xlsx", "A 15627-2023")</f>
        <v/>
      </c>
      <c r="T143">
        <f>HYPERLINK("https://klasma.github.io/Logging_0382/kartor/A 15627-2023 karta.png", "A 15627-2023")</f>
        <v/>
      </c>
      <c r="V143">
        <f>HYPERLINK("https://klasma.github.io/Logging_0382/klagomål/A 15627-2023 FSC-klagomål.docx", "A 15627-2023")</f>
        <v/>
      </c>
      <c r="W143">
        <f>HYPERLINK("https://klasma.github.io/Logging_0382/klagomålsmail/A 15627-2023 FSC-klagomål mail.docx", "A 15627-2023")</f>
        <v/>
      </c>
      <c r="X143">
        <f>HYPERLINK("https://klasma.github.io/Logging_0382/tillsyn/A 15627-2023 tillsynsbegäran.docx", "A 15627-2023")</f>
        <v/>
      </c>
      <c r="Y143">
        <f>HYPERLINK("https://klasma.github.io/Logging_0382/tillsynsmail/A 15627-2023 tillsynsbegäran mail.docx", "A 15627-2023")</f>
        <v/>
      </c>
    </row>
    <row r="144" ht="15" customHeight="1">
      <c r="A144" t="inlineStr">
        <is>
          <t>A 15628-2023</t>
        </is>
      </c>
      <c r="B144" s="1" t="n">
        <v>45021</v>
      </c>
      <c r="C144" s="1" t="n">
        <v>45628</v>
      </c>
      <c r="D144" t="inlineStr">
        <is>
          <t>UPPSALA LÄN</t>
        </is>
      </c>
      <c r="E144" t="inlineStr">
        <is>
          <t>ÖSTHAMMAR</t>
        </is>
      </c>
      <c r="F144" t="inlineStr">
        <is>
          <t>Övriga Aktiebolag</t>
        </is>
      </c>
      <c r="G144" t="n">
        <v>14.8</v>
      </c>
      <c r="H144" t="n">
        <v>1</v>
      </c>
      <c r="I144" t="n">
        <v>0</v>
      </c>
      <c r="J144" t="n">
        <v>0</v>
      </c>
      <c r="K144" t="n">
        <v>1</v>
      </c>
      <c r="L144" t="n">
        <v>0</v>
      </c>
      <c r="M144" t="n">
        <v>0</v>
      </c>
      <c r="N144" t="n">
        <v>0</v>
      </c>
      <c r="O144" t="n">
        <v>1</v>
      </c>
      <c r="P144" t="n">
        <v>1</v>
      </c>
      <c r="Q144" t="n">
        <v>1</v>
      </c>
      <c r="R144" s="2" t="inlineStr">
        <is>
          <t>Knärot</t>
        </is>
      </c>
      <c r="S144">
        <f>HYPERLINK("https://klasma.github.io/Logging_0382/artfynd/A 15628-2023 artfynd.xlsx", "A 15628-2023")</f>
        <v/>
      </c>
      <c r="T144">
        <f>HYPERLINK("https://klasma.github.io/Logging_0382/kartor/A 15628-2023 karta.png", "A 15628-2023")</f>
        <v/>
      </c>
      <c r="U144">
        <f>HYPERLINK("https://klasma.github.io/Logging_0382/knärot/A 15628-2023 karta knärot.png", "A 15628-2023")</f>
        <v/>
      </c>
      <c r="V144">
        <f>HYPERLINK("https://klasma.github.io/Logging_0382/klagomål/A 15628-2023 FSC-klagomål.docx", "A 15628-2023")</f>
        <v/>
      </c>
      <c r="W144">
        <f>HYPERLINK("https://klasma.github.io/Logging_0382/klagomålsmail/A 15628-2023 FSC-klagomål mail.docx", "A 15628-2023")</f>
        <v/>
      </c>
      <c r="X144">
        <f>HYPERLINK("https://klasma.github.io/Logging_0382/tillsyn/A 15628-2023 tillsynsbegäran.docx", "A 15628-2023")</f>
        <v/>
      </c>
      <c r="Y144">
        <f>HYPERLINK("https://klasma.github.io/Logging_0382/tillsynsmail/A 15628-2023 tillsynsbegäran mail.docx", "A 15628-2023")</f>
        <v/>
      </c>
    </row>
    <row r="145" ht="15" customHeight="1">
      <c r="A145" t="inlineStr">
        <is>
          <t>A 19100-2023</t>
        </is>
      </c>
      <c r="B145" s="1" t="n">
        <v>45048</v>
      </c>
      <c r="C145" s="1" t="n">
        <v>45628</v>
      </c>
      <c r="D145" t="inlineStr">
        <is>
          <t>UPPSALA LÄN</t>
        </is>
      </c>
      <c r="E145" t="inlineStr">
        <is>
          <t>ÖSTHAMMAR</t>
        </is>
      </c>
      <c r="F145" t="inlineStr">
        <is>
          <t>Bergvik skog öst AB</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19100-2023 artfynd.xlsx", "A 19100-2023")</f>
        <v/>
      </c>
      <c r="T145">
        <f>HYPERLINK("https://klasma.github.io/Logging_0382/kartor/A 19100-2023 karta.png", "A 19100-2023")</f>
        <v/>
      </c>
      <c r="V145">
        <f>HYPERLINK("https://klasma.github.io/Logging_0382/klagomål/A 19100-2023 FSC-klagomål.docx", "A 19100-2023")</f>
        <v/>
      </c>
      <c r="W145">
        <f>HYPERLINK("https://klasma.github.io/Logging_0382/klagomålsmail/A 19100-2023 FSC-klagomål mail.docx", "A 19100-2023")</f>
        <v/>
      </c>
      <c r="X145">
        <f>HYPERLINK("https://klasma.github.io/Logging_0382/tillsyn/A 19100-2023 tillsynsbegäran.docx", "A 19100-2023")</f>
        <v/>
      </c>
      <c r="Y145">
        <f>HYPERLINK("https://klasma.github.io/Logging_0382/tillsynsmail/A 19100-2023 tillsynsbegäran mail.docx", "A 19100-2023")</f>
        <v/>
      </c>
    </row>
    <row r="146" ht="15" customHeight="1">
      <c r="A146" t="inlineStr">
        <is>
          <t>A 21628-2023</t>
        </is>
      </c>
      <c r="B146" s="1" t="n">
        <v>45063</v>
      </c>
      <c r="C146" s="1" t="n">
        <v>45628</v>
      </c>
      <c r="D146" t="inlineStr">
        <is>
          <t>UPPSALA LÄN</t>
        </is>
      </c>
      <c r="E146" t="inlineStr">
        <is>
          <t>ÖSTHAMMAR</t>
        </is>
      </c>
      <c r="F146" t="inlineStr">
        <is>
          <t>Sveaskog</t>
        </is>
      </c>
      <c r="G146" t="n">
        <v>4.9</v>
      </c>
      <c r="H146" t="n">
        <v>1</v>
      </c>
      <c r="I146" t="n">
        <v>0</v>
      </c>
      <c r="J146" t="n">
        <v>1</v>
      </c>
      <c r="K146" t="n">
        <v>0</v>
      </c>
      <c r="L146" t="n">
        <v>0</v>
      </c>
      <c r="M146" t="n">
        <v>0</v>
      </c>
      <c r="N146" t="n">
        <v>0</v>
      </c>
      <c r="O146" t="n">
        <v>1</v>
      </c>
      <c r="P146" t="n">
        <v>0</v>
      </c>
      <c r="Q146" t="n">
        <v>1</v>
      </c>
      <c r="R146" s="2" t="inlineStr">
        <is>
          <t>Slaguggla</t>
        </is>
      </c>
      <c r="S146">
        <f>HYPERLINK("https://klasma.github.io/Logging_0382/artfynd/A 21628-2023 artfynd.xlsx", "A 21628-2023")</f>
        <v/>
      </c>
      <c r="T146">
        <f>HYPERLINK("https://klasma.github.io/Logging_0382/kartor/A 21628-2023 karta.png", "A 21628-2023")</f>
        <v/>
      </c>
      <c r="V146">
        <f>HYPERLINK("https://klasma.github.io/Logging_0382/klagomål/A 21628-2023 FSC-klagomål.docx", "A 21628-2023")</f>
        <v/>
      </c>
      <c r="W146">
        <f>HYPERLINK("https://klasma.github.io/Logging_0382/klagomålsmail/A 21628-2023 FSC-klagomål mail.docx", "A 21628-2023")</f>
        <v/>
      </c>
      <c r="X146">
        <f>HYPERLINK("https://klasma.github.io/Logging_0382/tillsyn/A 21628-2023 tillsynsbegäran.docx", "A 21628-2023")</f>
        <v/>
      </c>
      <c r="Y146">
        <f>HYPERLINK("https://klasma.github.io/Logging_0382/tillsynsmail/A 21628-2023 tillsynsbegäran mail.docx", "A 21628-2023")</f>
        <v/>
      </c>
      <c r="Z146">
        <f>HYPERLINK("https://klasma.github.io/Logging_0382/fåglar/A 21628-2023 prioriterade fågelarter.docx", "A 21628-2023")</f>
        <v/>
      </c>
    </row>
    <row r="147" ht="15" customHeight="1">
      <c r="A147" t="inlineStr">
        <is>
          <t>A 22307-2023</t>
        </is>
      </c>
      <c r="B147" s="1" t="n">
        <v>45070</v>
      </c>
      <c r="C147" s="1" t="n">
        <v>45628</v>
      </c>
      <c r="D147" t="inlineStr">
        <is>
          <t>UPPSALA LÄN</t>
        </is>
      </c>
      <c r="E147" t="inlineStr">
        <is>
          <t>ÖSTHAMMAR</t>
        </is>
      </c>
      <c r="F147" t="inlineStr">
        <is>
          <t>Bergvik skog öst AB</t>
        </is>
      </c>
      <c r="G147" t="n">
        <v>13.9</v>
      </c>
      <c r="H147" t="n">
        <v>0</v>
      </c>
      <c r="I147" t="n">
        <v>1</v>
      </c>
      <c r="J147" t="n">
        <v>0</v>
      </c>
      <c r="K147" t="n">
        <v>0</v>
      </c>
      <c r="L147" t="n">
        <v>0</v>
      </c>
      <c r="M147" t="n">
        <v>0</v>
      </c>
      <c r="N147" t="n">
        <v>0</v>
      </c>
      <c r="O147" t="n">
        <v>0</v>
      </c>
      <c r="P147" t="n">
        <v>0</v>
      </c>
      <c r="Q147" t="n">
        <v>1</v>
      </c>
      <c r="R147" s="2" t="inlineStr">
        <is>
          <t>Myskmadra</t>
        </is>
      </c>
      <c r="S147">
        <f>HYPERLINK("https://klasma.github.io/Logging_0382/artfynd/A 22307-2023 artfynd.xlsx", "A 22307-2023")</f>
        <v/>
      </c>
      <c r="T147">
        <f>HYPERLINK("https://klasma.github.io/Logging_0382/kartor/A 22307-2023 karta.png", "A 22307-2023")</f>
        <v/>
      </c>
      <c r="V147">
        <f>HYPERLINK("https://klasma.github.io/Logging_0382/klagomål/A 22307-2023 FSC-klagomål.docx", "A 22307-2023")</f>
        <v/>
      </c>
      <c r="W147">
        <f>HYPERLINK("https://klasma.github.io/Logging_0382/klagomålsmail/A 22307-2023 FSC-klagomål mail.docx", "A 22307-2023")</f>
        <v/>
      </c>
      <c r="X147">
        <f>HYPERLINK("https://klasma.github.io/Logging_0382/tillsyn/A 22307-2023 tillsynsbegäran.docx", "A 22307-2023")</f>
        <v/>
      </c>
      <c r="Y147">
        <f>HYPERLINK("https://klasma.github.io/Logging_0382/tillsynsmail/A 22307-2023 tillsynsbegäran mail.docx", "A 22307-2023")</f>
        <v/>
      </c>
    </row>
    <row r="148" ht="15" customHeight="1">
      <c r="A148" t="inlineStr">
        <is>
          <t>A 22287-2023</t>
        </is>
      </c>
      <c r="B148" s="1" t="n">
        <v>45070</v>
      </c>
      <c r="C148" s="1" t="n">
        <v>45628</v>
      </c>
      <c r="D148" t="inlineStr">
        <is>
          <t>UPPSALA LÄN</t>
        </is>
      </c>
      <c r="E148" t="inlineStr">
        <is>
          <t>ÖSTHAMMAR</t>
        </is>
      </c>
      <c r="G148" t="n">
        <v>6.3</v>
      </c>
      <c r="H148" t="n">
        <v>1</v>
      </c>
      <c r="I148" t="n">
        <v>1</v>
      </c>
      <c r="J148" t="n">
        <v>0</v>
      </c>
      <c r="K148" t="n">
        <v>0</v>
      </c>
      <c r="L148" t="n">
        <v>0</v>
      </c>
      <c r="M148" t="n">
        <v>0</v>
      </c>
      <c r="N148" t="n">
        <v>0</v>
      </c>
      <c r="O148" t="n">
        <v>0</v>
      </c>
      <c r="P148" t="n">
        <v>0</v>
      </c>
      <c r="Q148" t="n">
        <v>1</v>
      </c>
      <c r="R148" s="2" t="inlineStr">
        <is>
          <t>Guckusko</t>
        </is>
      </c>
      <c r="S148">
        <f>HYPERLINK("https://klasma.github.io/Logging_0382/artfynd/A 22287-2023 artfynd.xlsx", "A 22287-2023")</f>
        <v/>
      </c>
      <c r="T148">
        <f>HYPERLINK("https://klasma.github.io/Logging_0382/kartor/A 22287-2023 karta.png", "A 22287-2023")</f>
        <v/>
      </c>
      <c r="V148">
        <f>HYPERLINK("https://klasma.github.io/Logging_0382/klagomål/A 22287-2023 FSC-klagomål.docx", "A 22287-2023")</f>
        <v/>
      </c>
      <c r="W148">
        <f>HYPERLINK("https://klasma.github.io/Logging_0382/klagomålsmail/A 22287-2023 FSC-klagomål mail.docx", "A 22287-2023")</f>
        <v/>
      </c>
      <c r="X148">
        <f>HYPERLINK("https://klasma.github.io/Logging_0382/tillsyn/A 22287-2023 tillsynsbegäran.docx", "A 22287-2023")</f>
        <v/>
      </c>
      <c r="Y148">
        <f>HYPERLINK("https://klasma.github.io/Logging_0382/tillsynsmail/A 22287-2023 tillsynsbegäran mail.docx", "A 22287-2023")</f>
        <v/>
      </c>
    </row>
    <row r="149" ht="15" customHeight="1">
      <c r="A149" t="inlineStr">
        <is>
          <t>A 22688-2023</t>
        </is>
      </c>
      <c r="B149" s="1" t="n">
        <v>45071</v>
      </c>
      <c r="C149" s="1" t="n">
        <v>45628</v>
      </c>
      <c r="D149" t="inlineStr">
        <is>
          <t>UPPSALA LÄN</t>
        </is>
      </c>
      <c r="E149" t="inlineStr">
        <is>
          <t>ÖSTHAMMAR</t>
        </is>
      </c>
      <c r="G149" t="n">
        <v>3</v>
      </c>
      <c r="H149" t="n">
        <v>1</v>
      </c>
      <c r="I149" t="n">
        <v>1</v>
      </c>
      <c r="J149" t="n">
        <v>0</v>
      </c>
      <c r="K149" t="n">
        <v>0</v>
      </c>
      <c r="L149" t="n">
        <v>0</v>
      </c>
      <c r="M149" t="n">
        <v>0</v>
      </c>
      <c r="N149" t="n">
        <v>0</v>
      </c>
      <c r="O149" t="n">
        <v>0</v>
      </c>
      <c r="P149" t="n">
        <v>0</v>
      </c>
      <c r="Q149" t="n">
        <v>1</v>
      </c>
      <c r="R149" s="2" t="inlineStr">
        <is>
          <t>Nästrot</t>
        </is>
      </c>
      <c r="S149">
        <f>HYPERLINK("https://klasma.github.io/Logging_0382/artfynd/A 22688-2023 artfynd.xlsx", "A 22688-2023")</f>
        <v/>
      </c>
      <c r="T149">
        <f>HYPERLINK("https://klasma.github.io/Logging_0382/kartor/A 22688-2023 karta.png", "A 22688-2023")</f>
        <v/>
      </c>
      <c r="V149">
        <f>HYPERLINK("https://klasma.github.io/Logging_0382/klagomål/A 22688-2023 FSC-klagomål.docx", "A 22688-2023")</f>
        <v/>
      </c>
      <c r="W149">
        <f>HYPERLINK("https://klasma.github.io/Logging_0382/klagomålsmail/A 22688-2023 FSC-klagomål mail.docx", "A 22688-2023")</f>
        <v/>
      </c>
      <c r="X149">
        <f>HYPERLINK("https://klasma.github.io/Logging_0382/tillsyn/A 22688-2023 tillsynsbegäran.docx", "A 22688-2023")</f>
        <v/>
      </c>
      <c r="Y149">
        <f>HYPERLINK("https://klasma.github.io/Logging_0382/tillsynsmail/A 22688-2023 tillsynsbegäran mail.docx", "A 22688-2023")</f>
        <v/>
      </c>
    </row>
    <row r="150" ht="15" customHeight="1">
      <c r="A150" t="inlineStr">
        <is>
          <t>A 23128-2023</t>
        </is>
      </c>
      <c r="B150" s="1" t="n">
        <v>45075</v>
      </c>
      <c r="C150" s="1" t="n">
        <v>45628</v>
      </c>
      <c r="D150" t="inlineStr">
        <is>
          <t>UPPSALA LÄN</t>
        </is>
      </c>
      <c r="E150" t="inlineStr">
        <is>
          <t>ÖSTHAMMAR</t>
        </is>
      </c>
      <c r="G150" t="n">
        <v>6</v>
      </c>
      <c r="H150" t="n">
        <v>0</v>
      </c>
      <c r="I150" t="n">
        <v>0</v>
      </c>
      <c r="J150" t="n">
        <v>1</v>
      </c>
      <c r="K150" t="n">
        <v>0</v>
      </c>
      <c r="L150" t="n">
        <v>0</v>
      </c>
      <c r="M150" t="n">
        <v>0</v>
      </c>
      <c r="N150" t="n">
        <v>0</v>
      </c>
      <c r="O150" t="n">
        <v>1</v>
      </c>
      <c r="P150" t="n">
        <v>0</v>
      </c>
      <c r="Q150" t="n">
        <v>1</v>
      </c>
      <c r="R150" s="2" t="inlineStr">
        <is>
          <t>Grönhjon</t>
        </is>
      </c>
      <c r="S150">
        <f>HYPERLINK("https://klasma.github.io/Logging_0382/artfynd/A 23128-2023 artfynd.xlsx", "A 23128-2023")</f>
        <v/>
      </c>
      <c r="T150">
        <f>HYPERLINK("https://klasma.github.io/Logging_0382/kartor/A 23128-2023 karta.png", "A 23128-2023")</f>
        <v/>
      </c>
      <c r="V150">
        <f>HYPERLINK("https://klasma.github.io/Logging_0382/klagomål/A 23128-2023 FSC-klagomål.docx", "A 23128-2023")</f>
        <v/>
      </c>
      <c r="W150">
        <f>HYPERLINK("https://klasma.github.io/Logging_0382/klagomålsmail/A 23128-2023 FSC-klagomål mail.docx", "A 23128-2023")</f>
        <v/>
      </c>
      <c r="X150">
        <f>HYPERLINK("https://klasma.github.io/Logging_0382/tillsyn/A 23128-2023 tillsynsbegäran.docx", "A 23128-2023")</f>
        <v/>
      </c>
      <c r="Y150">
        <f>HYPERLINK("https://klasma.github.io/Logging_0382/tillsynsmail/A 23128-2023 tillsynsbegäran mail.docx", "A 23128-2023")</f>
        <v/>
      </c>
    </row>
    <row r="151" ht="15" customHeight="1">
      <c r="A151" t="inlineStr">
        <is>
          <t>A 25179-2023</t>
        </is>
      </c>
      <c r="B151" s="1" t="n">
        <v>45078</v>
      </c>
      <c r="C151" s="1" t="n">
        <v>45628</v>
      </c>
      <c r="D151" t="inlineStr">
        <is>
          <t>UPPSALA LÄN</t>
        </is>
      </c>
      <c r="E151" t="inlineStr">
        <is>
          <t>ÖSTHAMMAR</t>
        </is>
      </c>
      <c r="G151" t="n">
        <v>3.2</v>
      </c>
      <c r="H151" t="n">
        <v>0</v>
      </c>
      <c r="I151" t="n">
        <v>0</v>
      </c>
      <c r="J151" t="n">
        <v>1</v>
      </c>
      <c r="K151" t="n">
        <v>0</v>
      </c>
      <c r="L151" t="n">
        <v>0</v>
      </c>
      <c r="M151" t="n">
        <v>0</v>
      </c>
      <c r="N151" t="n">
        <v>0</v>
      </c>
      <c r="O151" t="n">
        <v>1</v>
      </c>
      <c r="P151" t="n">
        <v>0</v>
      </c>
      <c r="Q151" t="n">
        <v>1</v>
      </c>
      <c r="R151" s="2" t="inlineStr">
        <is>
          <t>Grantaggsvamp</t>
        </is>
      </c>
      <c r="S151">
        <f>HYPERLINK("https://klasma.github.io/Logging_0382/artfynd/A 25179-2023 artfynd.xlsx", "A 25179-2023")</f>
        <v/>
      </c>
      <c r="T151">
        <f>HYPERLINK("https://klasma.github.io/Logging_0382/kartor/A 25179-2023 karta.png", "A 25179-2023")</f>
        <v/>
      </c>
      <c r="V151">
        <f>HYPERLINK("https://klasma.github.io/Logging_0382/klagomål/A 25179-2023 FSC-klagomål.docx", "A 25179-2023")</f>
        <v/>
      </c>
      <c r="W151">
        <f>HYPERLINK("https://klasma.github.io/Logging_0382/klagomålsmail/A 25179-2023 FSC-klagomål mail.docx", "A 25179-2023")</f>
        <v/>
      </c>
      <c r="X151">
        <f>HYPERLINK("https://klasma.github.io/Logging_0382/tillsyn/A 25179-2023 tillsynsbegäran.docx", "A 25179-2023")</f>
        <v/>
      </c>
      <c r="Y151">
        <f>HYPERLINK("https://klasma.github.io/Logging_0382/tillsynsmail/A 25179-2023 tillsynsbegäran mail.docx", "A 25179-2023")</f>
        <v/>
      </c>
    </row>
    <row r="152" ht="15" customHeight="1">
      <c r="A152" t="inlineStr">
        <is>
          <t>A 26896-2023</t>
        </is>
      </c>
      <c r="B152" s="1" t="n">
        <v>45093</v>
      </c>
      <c r="C152" s="1" t="n">
        <v>45628</v>
      </c>
      <c r="D152" t="inlineStr">
        <is>
          <t>UPPSALA LÄN</t>
        </is>
      </c>
      <c r="E152" t="inlineStr">
        <is>
          <t>ÖSTHAMMAR</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HYPERLINK("https://klasma.github.io/Logging_0382/artfynd/A 26896-2023 artfynd.xlsx", "A 26896-2023")</f>
        <v/>
      </c>
      <c r="T152">
        <f>HYPERLINK("https://klasma.github.io/Logging_0382/kartor/A 26896-2023 karta.png", "A 26896-2023")</f>
        <v/>
      </c>
      <c r="V152">
        <f>HYPERLINK("https://klasma.github.io/Logging_0382/klagomål/A 26896-2023 FSC-klagomål.docx", "A 26896-2023")</f>
        <v/>
      </c>
      <c r="W152">
        <f>HYPERLINK("https://klasma.github.io/Logging_0382/klagomålsmail/A 26896-2023 FSC-klagomål mail.docx", "A 26896-2023")</f>
        <v/>
      </c>
      <c r="X152">
        <f>HYPERLINK("https://klasma.github.io/Logging_0382/tillsyn/A 26896-2023 tillsynsbegäran.docx", "A 26896-2023")</f>
        <v/>
      </c>
      <c r="Y152">
        <f>HYPERLINK("https://klasma.github.io/Logging_0382/tillsynsmail/A 26896-2023 tillsynsbegäran mail.docx", "A 26896-2023")</f>
        <v/>
      </c>
    </row>
    <row r="153" ht="15" customHeight="1">
      <c r="A153" t="inlineStr">
        <is>
          <t>A 29679-2023</t>
        </is>
      </c>
      <c r="B153" s="1" t="n">
        <v>45107</v>
      </c>
      <c r="C153" s="1" t="n">
        <v>45628</v>
      </c>
      <c r="D153" t="inlineStr">
        <is>
          <t>UPPSALA LÄN</t>
        </is>
      </c>
      <c r="E153" t="inlineStr">
        <is>
          <t>ÖSTHAMMAR</t>
        </is>
      </c>
      <c r="F153" t="inlineStr">
        <is>
          <t>Övriga Aktiebolag</t>
        </is>
      </c>
      <c r="G153" t="n">
        <v>7.3</v>
      </c>
      <c r="H153" t="n">
        <v>0</v>
      </c>
      <c r="I153" t="n">
        <v>0</v>
      </c>
      <c r="J153" t="n">
        <v>1</v>
      </c>
      <c r="K153" t="n">
        <v>0</v>
      </c>
      <c r="L153" t="n">
        <v>0</v>
      </c>
      <c r="M153" t="n">
        <v>0</v>
      </c>
      <c r="N153" t="n">
        <v>0</v>
      </c>
      <c r="O153" t="n">
        <v>1</v>
      </c>
      <c r="P153" t="n">
        <v>0</v>
      </c>
      <c r="Q153" t="n">
        <v>1</v>
      </c>
      <c r="R153" s="2" t="inlineStr">
        <is>
          <t>Vintertagging</t>
        </is>
      </c>
      <c r="S153">
        <f>HYPERLINK("https://klasma.github.io/Logging_0382/artfynd/A 29679-2023 artfynd.xlsx", "A 29679-2023")</f>
        <v/>
      </c>
      <c r="T153">
        <f>HYPERLINK("https://klasma.github.io/Logging_0382/kartor/A 29679-2023 karta.png", "A 29679-2023")</f>
        <v/>
      </c>
      <c r="V153">
        <f>HYPERLINK("https://klasma.github.io/Logging_0382/klagomål/A 29679-2023 FSC-klagomål.docx", "A 29679-2023")</f>
        <v/>
      </c>
      <c r="W153">
        <f>HYPERLINK("https://klasma.github.io/Logging_0382/klagomålsmail/A 29679-2023 FSC-klagomål mail.docx", "A 29679-2023")</f>
        <v/>
      </c>
      <c r="X153">
        <f>HYPERLINK("https://klasma.github.io/Logging_0382/tillsyn/A 29679-2023 tillsynsbegäran.docx", "A 29679-2023")</f>
        <v/>
      </c>
      <c r="Y153">
        <f>HYPERLINK("https://klasma.github.io/Logging_0382/tillsynsmail/A 29679-2023 tillsynsbegäran mail.docx", "A 29679-2023")</f>
        <v/>
      </c>
    </row>
    <row r="154" ht="15" customHeight="1">
      <c r="A154" t="inlineStr">
        <is>
          <t>A 32518-2023</t>
        </is>
      </c>
      <c r="B154" s="1" t="n">
        <v>45121</v>
      </c>
      <c r="C154" s="1" t="n">
        <v>45628</v>
      </c>
      <c r="D154" t="inlineStr">
        <is>
          <t>UPPSALA LÄN</t>
        </is>
      </c>
      <c r="E154" t="inlineStr">
        <is>
          <t>ÖSTHAMMAR</t>
        </is>
      </c>
      <c r="G154" t="n">
        <v>11.1</v>
      </c>
      <c r="H154" t="n">
        <v>0</v>
      </c>
      <c r="I154" t="n">
        <v>1</v>
      </c>
      <c r="J154" t="n">
        <v>0</v>
      </c>
      <c r="K154" t="n">
        <v>0</v>
      </c>
      <c r="L154" t="n">
        <v>0</v>
      </c>
      <c r="M154" t="n">
        <v>0</v>
      </c>
      <c r="N154" t="n">
        <v>0</v>
      </c>
      <c r="O154" t="n">
        <v>0</v>
      </c>
      <c r="P154" t="n">
        <v>0</v>
      </c>
      <c r="Q154" t="n">
        <v>1</v>
      </c>
      <c r="R154" s="2" t="inlineStr">
        <is>
          <t>Olivspindling</t>
        </is>
      </c>
      <c r="S154">
        <f>HYPERLINK("https://klasma.github.io/Logging_0382/artfynd/A 32518-2023 artfynd.xlsx", "A 32518-2023")</f>
        <v/>
      </c>
      <c r="T154">
        <f>HYPERLINK("https://klasma.github.io/Logging_0382/kartor/A 32518-2023 karta.png", "A 32518-2023")</f>
        <v/>
      </c>
      <c r="V154">
        <f>HYPERLINK("https://klasma.github.io/Logging_0382/klagomål/A 32518-2023 FSC-klagomål.docx", "A 32518-2023")</f>
        <v/>
      </c>
      <c r="W154">
        <f>HYPERLINK("https://klasma.github.io/Logging_0382/klagomålsmail/A 32518-2023 FSC-klagomål mail.docx", "A 32518-2023")</f>
        <v/>
      </c>
      <c r="X154">
        <f>HYPERLINK("https://klasma.github.io/Logging_0382/tillsyn/A 32518-2023 tillsynsbegäran.docx", "A 32518-2023")</f>
        <v/>
      </c>
      <c r="Y154">
        <f>HYPERLINK("https://klasma.github.io/Logging_0382/tillsynsmail/A 32518-2023 tillsynsbegäran mail.docx", "A 32518-2023")</f>
        <v/>
      </c>
    </row>
    <row r="155" ht="15" customHeight="1">
      <c r="A155" t="inlineStr">
        <is>
          <t>A 34090-2023</t>
        </is>
      </c>
      <c r="B155" s="1" t="n">
        <v>45135</v>
      </c>
      <c r="C155" s="1" t="n">
        <v>45628</v>
      </c>
      <c r="D155" t="inlineStr">
        <is>
          <t>UPPSALA LÄN</t>
        </is>
      </c>
      <c r="E155" t="inlineStr">
        <is>
          <t>ÖSTHAMMAR</t>
        </is>
      </c>
      <c r="F155" t="inlineStr">
        <is>
          <t>Bergvik skog öst AB</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HYPERLINK("https://klasma.github.io/Logging_0382/artfynd/A 34090-2023 artfynd.xlsx", "A 34090-2023")</f>
        <v/>
      </c>
      <c r="T155">
        <f>HYPERLINK("https://klasma.github.io/Logging_0382/kartor/A 34090-2023 karta.png", "A 34090-2023")</f>
        <v/>
      </c>
      <c r="V155">
        <f>HYPERLINK("https://klasma.github.io/Logging_0382/klagomål/A 34090-2023 FSC-klagomål.docx", "A 34090-2023")</f>
        <v/>
      </c>
      <c r="W155">
        <f>HYPERLINK("https://klasma.github.io/Logging_0382/klagomålsmail/A 34090-2023 FSC-klagomål mail.docx", "A 34090-2023")</f>
        <v/>
      </c>
      <c r="X155">
        <f>HYPERLINK("https://klasma.github.io/Logging_0382/tillsyn/A 34090-2023 tillsynsbegäran.docx", "A 34090-2023")</f>
        <v/>
      </c>
      <c r="Y155">
        <f>HYPERLINK("https://klasma.github.io/Logging_0382/tillsynsmail/A 34090-2023 tillsynsbegäran mail.docx", "A 34090-2023")</f>
        <v/>
      </c>
      <c r="Z155">
        <f>HYPERLINK("https://klasma.github.io/Logging_0382/fåglar/A 34090-2023 prioriterade fågelarter.docx", "A 34090-2023")</f>
        <v/>
      </c>
    </row>
    <row r="156" ht="15" customHeight="1">
      <c r="A156" t="inlineStr">
        <is>
          <t>A 36864-2023</t>
        </is>
      </c>
      <c r="B156" s="1" t="n">
        <v>45154</v>
      </c>
      <c r="C156" s="1" t="n">
        <v>45628</v>
      </c>
      <c r="D156" t="inlineStr">
        <is>
          <t>UPPSALA LÄN</t>
        </is>
      </c>
      <c r="E156" t="inlineStr">
        <is>
          <t>ÖSTHAMMAR</t>
        </is>
      </c>
      <c r="G156" t="n">
        <v>3.1</v>
      </c>
      <c r="H156" t="n">
        <v>0</v>
      </c>
      <c r="I156" t="n">
        <v>1</v>
      </c>
      <c r="J156" t="n">
        <v>0</v>
      </c>
      <c r="K156" t="n">
        <v>0</v>
      </c>
      <c r="L156" t="n">
        <v>0</v>
      </c>
      <c r="M156" t="n">
        <v>0</v>
      </c>
      <c r="N156" t="n">
        <v>0</v>
      </c>
      <c r="O156" t="n">
        <v>0</v>
      </c>
      <c r="P156" t="n">
        <v>0</v>
      </c>
      <c r="Q156" t="n">
        <v>1</v>
      </c>
      <c r="R156" s="2" t="inlineStr">
        <is>
          <t>Bronshjon</t>
        </is>
      </c>
      <c r="S156">
        <f>HYPERLINK("https://klasma.github.io/Logging_0382/artfynd/A 36864-2023 artfynd.xlsx", "A 36864-2023")</f>
        <v/>
      </c>
      <c r="T156">
        <f>HYPERLINK("https://klasma.github.io/Logging_0382/kartor/A 36864-2023 karta.png", "A 36864-2023")</f>
        <v/>
      </c>
      <c r="V156">
        <f>HYPERLINK("https://klasma.github.io/Logging_0382/klagomål/A 36864-2023 FSC-klagomål.docx", "A 36864-2023")</f>
        <v/>
      </c>
      <c r="W156">
        <f>HYPERLINK("https://klasma.github.io/Logging_0382/klagomålsmail/A 36864-2023 FSC-klagomål mail.docx", "A 36864-2023")</f>
        <v/>
      </c>
      <c r="X156">
        <f>HYPERLINK("https://klasma.github.io/Logging_0382/tillsyn/A 36864-2023 tillsynsbegäran.docx", "A 36864-2023")</f>
        <v/>
      </c>
      <c r="Y156">
        <f>HYPERLINK("https://klasma.github.io/Logging_0382/tillsynsmail/A 36864-2023 tillsynsbegäran mail.docx", "A 36864-2023")</f>
        <v/>
      </c>
    </row>
    <row r="157" ht="15" customHeight="1">
      <c r="A157" t="inlineStr">
        <is>
          <t>A 53706-2023</t>
        </is>
      </c>
      <c r="B157" s="1" t="n">
        <v>45230</v>
      </c>
      <c r="C157" s="1" t="n">
        <v>45628</v>
      </c>
      <c r="D157" t="inlineStr">
        <is>
          <t>UPPSALA LÄN</t>
        </is>
      </c>
      <c r="E157" t="inlineStr">
        <is>
          <t>ÖSTHAMMAR</t>
        </is>
      </c>
      <c r="G157" t="n">
        <v>2.9</v>
      </c>
      <c r="H157" t="n">
        <v>0</v>
      </c>
      <c r="I157" t="n">
        <v>1</v>
      </c>
      <c r="J157" t="n">
        <v>0</v>
      </c>
      <c r="K157" t="n">
        <v>0</v>
      </c>
      <c r="L157" t="n">
        <v>0</v>
      </c>
      <c r="M157" t="n">
        <v>0</v>
      </c>
      <c r="N157" t="n">
        <v>0</v>
      </c>
      <c r="O157" t="n">
        <v>0</v>
      </c>
      <c r="P157" t="n">
        <v>0</v>
      </c>
      <c r="Q157" t="n">
        <v>1</v>
      </c>
      <c r="R157" s="2" t="inlineStr">
        <is>
          <t>Dofttråding</t>
        </is>
      </c>
      <c r="S157">
        <f>HYPERLINK("https://klasma.github.io/Logging_0382/artfynd/A 53706-2023 artfynd.xlsx", "A 53706-2023")</f>
        <v/>
      </c>
      <c r="T157">
        <f>HYPERLINK("https://klasma.github.io/Logging_0382/kartor/A 53706-2023 karta.png", "A 53706-2023")</f>
        <v/>
      </c>
      <c r="V157">
        <f>HYPERLINK("https://klasma.github.io/Logging_0382/klagomål/A 53706-2023 FSC-klagomål.docx", "A 53706-2023")</f>
        <v/>
      </c>
      <c r="W157">
        <f>HYPERLINK("https://klasma.github.io/Logging_0382/klagomålsmail/A 53706-2023 FSC-klagomål mail.docx", "A 53706-2023")</f>
        <v/>
      </c>
      <c r="X157">
        <f>HYPERLINK("https://klasma.github.io/Logging_0382/tillsyn/A 53706-2023 tillsynsbegäran.docx", "A 53706-2023")</f>
        <v/>
      </c>
      <c r="Y157">
        <f>HYPERLINK("https://klasma.github.io/Logging_0382/tillsynsmail/A 53706-2023 tillsynsbegäran mail.docx", "A 53706-2023")</f>
        <v/>
      </c>
    </row>
    <row r="158" ht="15" customHeight="1">
      <c r="A158" t="inlineStr">
        <is>
          <t>A 53729-2023</t>
        </is>
      </c>
      <c r="B158" s="1" t="n">
        <v>45230</v>
      </c>
      <c r="C158" s="1" t="n">
        <v>45628</v>
      </c>
      <c r="D158" t="inlineStr">
        <is>
          <t>UPPSALA LÄN</t>
        </is>
      </c>
      <c r="E158" t="inlineStr">
        <is>
          <t>ÖSTHAMMAR</t>
        </is>
      </c>
      <c r="G158" t="n">
        <v>2.6</v>
      </c>
      <c r="H158" t="n">
        <v>1</v>
      </c>
      <c r="I158" t="n">
        <v>0</v>
      </c>
      <c r="J158" t="n">
        <v>0</v>
      </c>
      <c r="K158" t="n">
        <v>0</v>
      </c>
      <c r="L158" t="n">
        <v>0</v>
      </c>
      <c r="M158" t="n">
        <v>0</v>
      </c>
      <c r="N158" t="n">
        <v>0</v>
      </c>
      <c r="O158" t="n">
        <v>0</v>
      </c>
      <c r="P158" t="n">
        <v>0</v>
      </c>
      <c r="Q158" t="n">
        <v>1</v>
      </c>
      <c r="R158" s="2" t="inlineStr">
        <is>
          <t>Gullviva</t>
        </is>
      </c>
      <c r="S158">
        <f>HYPERLINK("https://klasma.github.io/Logging_0382/artfynd/A 53729-2023 artfynd.xlsx", "A 53729-2023")</f>
        <v/>
      </c>
      <c r="T158">
        <f>HYPERLINK("https://klasma.github.io/Logging_0382/kartor/A 53729-2023 karta.png", "A 53729-2023")</f>
        <v/>
      </c>
      <c r="V158">
        <f>HYPERLINK("https://klasma.github.io/Logging_0382/klagomål/A 53729-2023 FSC-klagomål.docx", "A 53729-2023")</f>
        <v/>
      </c>
      <c r="W158">
        <f>HYPERLINK("https://klasma.github.io/Logging_0382/klagomålsmail/A 53729-2023 FSC-klagomål mail.docx", "A 53729-2023")</f>
        <v/>
      </c>
      <c r="X158">
        <f>HYPERLINK("https://klasma.github.io/Logging_0382/tillsyn/A 53729-2023 tillsynsbegäran.docx", "A 53729-2023")</f>
        <v/>
      </c>
      <c r="Y158">
        <f>HYPERLINK("https://klasma.github.io/Logging_0382/tillsynsmail/A 53729-2023 tillsynsbegäran mail.docx", "A 53729-2023")</f>
        <v/>
      </c>
    </row>
    <row r="159" ht="15" customHeight="1">
      <c r="A159" t="inlineStr">
        <is>
          <t>A 55492-2023</t>
        </is>
      </c>
      <c r="B159" s="1" t="n">
        <v>45238</v>
      </c>
      <c r="C159" s="1" t="n">
        <v>45628</v>
      </c>
      <c r="D159" t="inlineStr">
        <is>
          <t>UPPSALA LÄN</t>
        </is>
      </c>
      <c r="E159" t="inlineStr">
        <is>
          <t>ÖSTHAMMAR</t>
        </is>
      </c>
      <c r="G159" t="n">
        <v>3.1</v>
      </c>
      <c r="H159" t="n">
        <v>0</v>
      </c>
      <c r="I159" t="n">
        <v>0</v>
      </c>
      <c r="J159" t="n">
        <v>0</v>
      </c>
      <c r="K159" t="n">
        <v>1</v>
      </c>
      <c r="L159" t="n">
        <v>0</v>
      </c>
      <c r="M159" t="n">
        <v>0</v>
      </c>
      <c r="N159" t="n">
        <v>0</v>
      </c>
      <c r="O159" t="n">
        <v>1</v>
      </c>
      <c r="P159" t="n">
        <v>1</v>
      </c>
      <c r="Q159" t="n">
        <v>1</v>
      </c>
      <c r="R159" s="2" t="inlineStr">
        <is>
          <t>Violgubbe</t>
        </is>
      </c>
      <c r="S159">
        <f>HYPERLINK("https://klasma.github.io/Logging_0382/artfynd/A 55492-2023 artfynd.xlsx", "A 55492-2023")</f>
        <v/>
      </c>
      <c r="T159">
        <f>HYPERLINK("https://klasma.github.io/Logging_0382/kartor/A 55492-2023 karta.png", "A 55492-2023")</f>
        <v/>
      </c>
      <c r="V159">
        <f>HYPERLINK("https://klasma.github.io/Logging_0382/klagomål/A 55492-2023 FSC-klagomål.docx", "A 55492-2023")</f>
        <v/>
      </c>
      <c r="W159">
        <f>HYPERLINK("https://klasma.github.io/Logging_0382/klagomålsmail/A 55492-2023 FSC-klagomål mail.docx", "A 55492-2023")</f>
        <v/>
      </c>
      <c r="X159">
        <f>HYPERLINK("https://klasma.github.io/Logging_0382/tillsyn/A 55492-2023 tillsynsbegäran.docx", "A 55492-2023")</f>
        <v/>
      </c>
      <c r="Y159">
        <f>HYPERLINK("https://klasma.github.io/Logging_0382/tillsynsmail/A 55492-2023 tillsynsbegäran mail.docx", "A 55492-2023")</f>
        <v/>
      </c>
    </row>
    <row r="160" ht="15" customHeight="1">
      <c r="A160" t="inlineStr">
        <is>
          <t>A 57598-2023</t>
        </is>
      </c>
      <c r="B160" s="1" t="n">
        <v>45246</v>
      </c>
      <c r="C160" s="1" t="n">
        <v>45628</v>
      </c>
      <c r="D160" t="inlineStr">
        <is>
          <t>UPPSALA LÄN</t>
        </is>
      </c>
      <c r="E160" t="inlineStr">
        <is>
          <t>ÖSTHAMMAR</t>
        </is>
      </c>
      <c r="F160" t="inlineStr">
        <is>
          <t>Bergvik skog öst AB</t>
        </is>
      </c>
      <c r="G160" t="n">
        <v>1</v>
      </c>
      <c r="H160" t="n">
        <v>1</v>
      </c>
      <c r="I160" t="n">
        <v>1</v>
      </c>
      <c r="J160" t="n">
        <v>0</v>
      </c>
      <c r="K160" t="n">
        <v>0</v>
      </c>
      <c r="L160" t="n">
        <v>0</v>
      </c>
      <c r="M160" t="n">
        <v>0</v>
      </c>
      <c r="N160" t="n">
        <v>0</v>
      </c>
      <c r="O160" t="n">
        <v>0</v>
      </c>
      <c r="P160" t="n">
        <v>0</v>
      </c>
      <c r="Q160" t="n">
        <v>1</v>
      </c>
      <c r="R160" s="2" t="inlineStr">
        <is>
          <t>Skogsknipprot</t>
        </is>
      </c>
      <c r="S160">
        <f>HYPERLINK("https://klasma.github.io/Logging_0382/artfynd/A 57598-2023 artfynd.xlsx", "A 57598-2023")</f>
        <v/>
      </c>
      <c r="T160">
        <f>HYPERLINK("https://klasma.github.io/Logging_0382/kartor/A 57598-2023 karta.png", "A 57598-2023")</f>
        <v/>
      </c>
      <c r="V160">
        <f>HYPERLINK("https://klasma.github.io/Logging_0382/klagomål/A 57598-2023 FSC-klagomål.docx", "A 57598-2023")</f>
        <v/>
      </c>
      <c r="W160">
        <f>HYPERLINK("https://klasma.github.io/Logging_0382/klagomålsmail/A 57598-2023 FSC-klagomål mail.docx", "A 57598-2023")</f>
        <v/>
      </c>
      <c r="X160">
        <f>HYPERLINK("https://klasma.github.io/Logging_0382/tillsyn/A 57598-2023 tillsynsbegäran.docx", "A 57598-2023")</f>
        <v/>
      </c>
      <c r="Y160">
        <f>HYPERLINK("https://klasma.github.io/Logging_0382/tillsynsmail/A 57598-2023 tillsynsbegäran mail.docx", "A 57598-2023")</f>
        <v/>
      </c>
    </row>
    <row r="161" ht="15" customHeight="1">
      <c r="A161" t="inlineStr">
        <is>
          <t>A 57607-2023</t>
        </is>
      </c>
      <c r="B161" s="1" t="n">
        <v>45246</v>
      </c>
      <c r="C161" s="1" t="n">
        <v>45628</v>
      </c>
      <c r="D161" t="inlineStr">
        <is>
          <t>UPPSALA LÄN</t>
        </is>
      </c>
      <c r="E161" t="inlineStr">
        <is>
          <t>ÖSTHAMMAR</t>
        </is>
      </c>
      <c r="F161" t="inlineStr">
        <is>
          <t>Bergvik skog öst AB</t>
        </is>
      </c>
      <c r="G161" t="n">
        <v>5.8</v>
      </c>
      <c r="H161" t="n">
        <v>1</v>
      </c>
      <c r="I161" t="n">
        <v>1</v>
      </c>
      <c r="J161" t="n">
        <v>0</v>
      </c>
      <c r="K161" t="n">
        <v>0</v>
      </c>
      <c r="L161" t="n">
        <v>0</v>
      </c>
      <c r="M161" t="n">
        <v>0</v>
      </c>
      <c r="N161" t="n">
        <v>0</v>
      </c>
      <c r="O161" t="n">
        <v>0</v>
      </c>
      <c r="P161" t="n">
        <v>0</v>
      </c>
      <c r="Q161" t="n">
        <v>1</v>
      </c>
      <c r="R161" s="2" t="inlineStr">
        <is>
          <t>Skogsknipprot</t>
        </is>
      </c>
      <c r="S161">
        <f>HYPERLINK("https://klasma.github.io/Logging_0382/artfynd/A 57607-2023 artfynd.xlsx", "A 57607-2023")</f>
        <v/>
      </c>
      <c r="T161">
        <f>HYPERLINK("https://klasma.github.io/Logging_0382/kartor/A 57607-2023 karta.png", "A 57607-2023")</f>
        <v/>
      </c>
      <c r="V161">
        <f>HYPERLINK("https://klasma.github.io/Logging_0382/klagomål/A 57607-2023 FSC-klagomål.docx", "A 57607-2023")</f>
        <v/>
      </c>
      <c r="W161">
        <f>HYPERLINK("https://klasma.github.io/Logging_0382/klagomålsmail/A 57607-2023 FSC-klagomål mail.docx", "A 57607-2023")</f>
        <v/>
      </c>
      <c r="X161">
        <f>HYPERLINK("https://klasma.github.io/Logging_0382/tillsyn/A 57607-2023 tillsynsbegäran.docx", "A 57607-2023")</f>
        <v/>
      </c>
      <c r="Y161">
        <f>HYPERLINK("https://klasma.github.io/Logging_0382/tillsynsmail/A 57607-2023 tillsynsbegäran mail.docx", "A 57607-2023")</f>
        <v/>
      </c>
    </row>
    <row r="162" ht="15" customHeight="1">
      <c r="A162" t="inlineStr">
        <is>
          <t>A 57640-2023</t>
        </is>
      </c>
      <c r="B162" s="1" t="n">
        <v>45246</v>
      </c>
      <c r="C162" s="1" t="n">
        <v>45628</v>
      </c>
      <c r="D162" t="inlineStr">
        <is>
          <t>UPPSALA LÄN</t>
        </is>
      </c>
      <c r="E162" t="inlineStr">
        <is>
          <t>ÖSTHAMMAR</t>
        </is>
      </c>
      <c r="F162" t="inlineStr">
        <is>
          <t>Bergvik skog öst AB</t>
        </is>
      </c>
      <c r="G162" t="n">
        <v>2.3</v>
      </c>
      <c r="H162" t="n">
        <v>0</v>
      </c>
      <c r="I162" t="n">
        <v>1</v>
      </c>
      <c r="J162" t="n">
        <v>0</v>
      </c>
      <c r="K162" t="n">
        <v>0</v>
      </c>
      <c r="L162" t="n">
        <v>0</v>
      </c>
      <c r="M162" t="n">
        <v>0</v>
      </c>
      <c r="N162" t="n">
        <v>0</v>
      </c>
      <c r="O162" t="n">
        <v>0</v>
      </c>
      <c r="P162" t="n">
        <v>0</v>
      </c>
      <c r="Q162" t="n">
        <v>1</v>
      </c>
      <c r="R162" s="2" t="inlineStr">
        <is>
          <t>Svavelriska</t>
        </is>
      </c>
      <c r="S162">
        <f>HYPERLINK("https://klasma.github.io/Logging_0382/artfynd/A 57640-2023 artfynd.xlsx", "A 57640-2023")</f>
        <v/>
      </c>
      <c r="T162">
        <f>HYPERLINK("https://klasma.github.io/Logging_0382/kartor/A 57640-2023 karta.png", "A 57640-2023")</f>
        <v/>
      </c>
      <c r="V162">
        <f>HYPERLINK("https://klasma.github.io/Logging_0382/klagomål/A 57640-2023 FSC-klagomål.docx", "A 57640-2023")</f>
        <v/>
      </c>
      <c r="W162">
        <f>HYPERLINK("https://klasma.github.io/Logging_0382/klagomålsmail/A 57640-2023 FSC-klagomål mail.docx", "A 57640-2023")</f>
        <v/>
      </c>
      <c r="X162">
        <f>HYPERLINK("https://klasma.github.io/Logging_0382/tillsyn/A 57640-2023 tillsynsbegäran.docx", "A 57640-2023")</f>
        <v/>
      </c>
      <c r="Y162">
        <f>HYPERLINK("https://klasma.github.io/Logging_0382/tillsynsmail/A 57640-2023 tillsynsbegäran mail.docx", "A 57640-2023")</f>
        <v/>
      </c>
    </row>
    <row r="163" ht="15" customHeight="1">
      <c r="A163" t="inlineStr">
        <is>
          <t>A 4048-2024</t>
        </is>
      </c>
      <c r="B163" s="1" t="n">
        <v>45323</v>
      </c>
      <c r="C163" s="1" t="n">
        <v>45628</v>
      </c>
      <c r="D163" t="inlineStr">
        <is>
          <t>UPPSALA LÄN</t>
        </is>
      </c>
      <c r="E163" t="inlineStr">
        <is>
          <t>ÖSTHAMMAR</t>
        </is>
      </c>
      <c r="F163" t="inlineStr">
        <is>
          <t>Övriga Aktiebolag</t>
        </is>
      </c>
      <c r="G163" t="n">
        <v>21.2</v>
      </c>
      <c r="H163" t="n">
        <v>0</v>
      </c>
      <c r="I163" t="n">
        <v>0</v>
      </c>
      <c r="J163" t="n">
        <v>1</v>
      </c>
      <c r="K163" t="n">
        <v>0</v>
      </c>
      <c r="L163" t="n">
        <v>0</v>
      </c>
      <c r="M163" t="n">
        <v>0</v>
      </c>
      <c r="N163" t="n">
        <v>0</v>
      </c>
      <c r="O163" t="n">
        <v>1</v>
      </c>
      <c r="P163" t="n">
        <v>0</v>
      </c>
      <c r="Q163" t="n">
        <v>1</v>
      </c>
      <c r="R163" s="2" t="inlineStr">
        <is>
          <t>Slåtterfibbla</t>
        </is>
      </c>
      <c r="S163">
        <f>HYPERLINK("https://klasma.github.io/Logging_0382/artfynd/A 4048-2024 artfynd.xlsx", "A 4048-2024")</f>
        <v/>
      </c>
      <c r="T163">
        <f>HYPERLINK("https://klasma.github.io/Logging_0382/kartor/A 4048-2024 karta.png", "A 4048-2024")</f>
        <v/>
      </c>
      <c r="V163">
        <f>HYPERLINK("https://klasma.github.io/Logging_0382/klagomål/A 4048-2024 FSC-klagomål.docx", "A 4048-2024")</f>
        <v/>
      </c>
      <c r="W163">
        <f>HYPERLINK("https://klasma.github.io/Logging_0382/klagomålsmail/A 4048-2024 FSC-klagomål mail.docx", "A 4048-2024")</f>
        <v/>
      </c>
      <c r="X163">
        <f>HYPERLINK("https://klasma.github.io/Logging_0382/tillsyn/A 4048-2024 tillsynsbegäran.docx", "A 4048-2024")</f>
        <v/>
      </c>
      <c r="Y163">
        <f>HYPERLINK("https://klasma.github.io/Logging_0382/tillsynsmail/A 4048-2024 tillsynsbegäran mail.docx", "A 4048-2024")</f>
        <v/>
      </c>
    </row>
    <row r="164" ht="15" customHeight="1">
      <c r="A164" t="inlineStr">
        <is>
          <t>A 10210-2024</t>
        </is>
      </c>
      <c r="B164" s="1" t="n">
        <v>45364</v>
      </c>
      <c r="C164" s="1" t="n">
        <v>45628</v>
      </c>
      <c r="D164" t="inlineStr">
        <is>
          <t>UPPSALA LÄN</t>
        </is>
      </c>
      <c r="E164" t="inlineStr">
        <is>
          <t>ÖSTHAMMAR</t>
        </is>
      </c>
      <c r="F164" t="inlineStr">
        <is>
          <t>Bergvik skog öst AB</t>
        </is>
      </c>
      <c r="G164" t="n">
        <v>18</v>
      </c>
      <c r="H164" t="n">
        <v>1</v>
      </c>
      <c r="I164" t="n">
        <v>0</v>
      </c>
      <c r="J164" t="n">
        <v>0</v>
      </c>
      <c r="K164" t="n">
        <v>0</v>
      </c>
      <c r="L164" t="n">
        <v>0</v>
      </c>
      <c r="M164" t="n">
        <v>0</v>
      </c>
      <c r="N164" t="n">
        <v>0</v>
      </c>
      <c r="O164" t="n">
        <v>0</v>
      </c>
      <c r="P164" t="n">
        <v>0</v>
      </c>
      <c r="Q164" t="n">
        <v>1</v>
      </c>
      <c r="R164" s="2" t="inlineStr">
        <is>
          <t>Tjäder</t>
        </is>
      </c>
      <c r="S164">
        <f>HYPERLINK("https://klasma.github.io/Logging_0382/artfynd/A 10210-2024 artfynd.xlsx", "A 10210-2024")</f>
        <v/>
      </c>
      <c r="T164">
        <f>HYPERLINK("https://klasma.github.io/Logging_0382/kartor/A 10210-2024 karta.png", "A 10210-2024")</f>
        <v/>
      </c>
      <c r="V164">
        <f>HYPERLINK("https://klasma.github.io/Logging_0382/klagomål/A 10210-2024 FSC-klagomål.docx", "A 10210-2024")</f>
        <v/>
      </c>
      <c r="W164">
        <f>HYPERLINK("https://klasma.github.io/Logging_0382/klagomålsmail/A 10210-2024 FSC-klagomål mail.docx", "A 10210-2024")</f>
        <v/>
      </c>
      <c r="X164">
        <f>HYPERLINK("https://klasma.github.io/Logging_0382/tillsyn/A 10210-2024 tillsynsbegäran.docx", "A 10210-2024")</f>
        <v/>
      </c>
      <c r="Y164">
        <f>HYPERLINK("https://klasma.github.io/Logging_0382/tillsynsmail/A 10210-2024 tillsynsbegäran mail.docx", "A 10210-2024")</f>
        <v/>
      </c>
      <c r="Z164">
        <f>HYPERLINK("https://klasma.github.io/Logging_0382/fåglar/A 10210-2024 prioriterade fågelarter.docx", "A 10210-2024")</f>
        <v/>
      </c>
    </row>
    <row r="165" ht="15" customHeight="1">
      <c r="A165" t="inlineStr">
        <is>
          <t>A 12753-2024</t>
        </is>
      </c>
      <c r="B165" s="1" t="n">
        <v>45384</v>
      </c>
      <c r="C165" s="1" t="n">
        <v>45628</v>
      </c>
      <c r="D165" t="inlineStr">
        <is>
          <t>UPPSALA LÄN</t>
        </is>
      </c>
      <c r="E165" t="inlineStr">
        <is>
          <t>ÖSTHAMMAR</t>
        </is>
      </c>
      <c r="G165" t="n">
        <v>1.7</v>
      </c>
      <c r="H165" t="n">
        <v>0</v>
      </c>
      <c r="I165" t="n">
        <v>0</v>
      </c>
      <c r="J165" t="n">
        <v>1</v>
      </c>
      <c r="K165" t="n">
        <v>0</v>
      </c>
      <c r="L165" t="n">
        <v>0</v>
      </c>
      <c r="M165" t="n">
        <v>0</v>
      </c>
      <c r="N165" t="n">
        <v>0</v>
      </c>
      <c r="O165" t="n">
        <v>1</v>
      </c>
      <c r="P165" t="n">
        <v>0</v>
      </c>
      <c r="Q165" t="n">
        <v>1</v>
      </c>
      <c r="R165" s="2" t="inlineStr">
        <is>
          <t>Flattoppad klubbsvamp</t>
        </is>
      </c>
      <c r="S165">
        <f>HYPERLINK("https://klasma.github.io/Logging_0382/artfynd/A 12753-2024 artfynd.xlsx", "A 12753-2024")</f>
        <v/>
      </c>
      <c r="T165">
        <f>HYPERLINK("https://klasma.github.io/Logging_0382/kartor/A 12753-2024 karta.png", "A 12753-2024")</f>
        <v/>
      </c>
      <c r="V165">
        <f>HYPERLINK("https://klasma.github.io/Logging_0382/klagomål/A 12753-2024 FSC-klagomål.docx", "A 12753-2024")</f>
        <v/>
      </c>
      <c r="W165">
        <f>HYPERLINK("https://klasma.github.io/Logging_0382/klagomålsmail/A 12753-2024 FSC-klagomål mail.docx", "A 12753-2024")</f>
        <v/>
      </c>
      <c r="X165">
        <f>HYPERLINK("https://klasma.github.io/Logging_0382/tillsyn/A 12753-2024 tillsynsbegäran.docx", "A 12753-2024")</f>
        <v/>
      </c>
      <c r="Y165">
        <f>HYPERLINK("https://klasma.github.io/Logging_0382/tillsynsmail/A 12753-2024 tillsynsbegäran mail.docx", "A 12753-2024")</f>
        <v/>
      </c>
    </row>
    <row r="166" ht="15" customHeight="1">
      <c r="A166" t="inlineStr">
        <is>
          <t>A 14203-2024</t>
        </is>
      </c>
      <c r="B166" s="1" t="n">
        <v>45393</v>
      </c>
      <c r="C166" s="1" t="n">
        <v>45628</v>
      </c>
      <c r="D166" t="inlineStr">
        <is>
          <t>UPPSALA LÄN</t>
        </is>
      </c>
      <c r="E166" t="inlineStr">
        <is>
          <t>ÖSTHAMMAR</t>
        </is>
      </c>
      <c r="G166" t="n">
        <v>1.4</v>
      </c>
      <c r="H166" t="n">
        <v>0</v>
      </c>
      <c r="I166" t="n">
        <v>0</v>
      </c>
      <c r="J166" t="n">
        <v>1</v>
      </c>
      <c r="K166" t="n">
        <v>0</v>
      </c>
      <c r="L166" t="n">
        <v>0</v>
      </c>
      <c r="M166" t="n">
        <v>0</v>
      </c>
      <c r="N166" t="n">
        <v>0</v>
      </c>
      <c r="O166" t="n">
        <v>1</v>
      </c>
      <c r="P166" t="n">
        <v>0</v>
      </c>
      <c r="Q166" t="n">
        <v>1</v>
      </c>
      <c r="R166" s="2" t="inlineStr">
        <is>
          <t>Scharlakansvaxskivling</t>
        </is>
      </c>
      <c r="S166">
        <f>HYPERLINK("https://klasma.github.io/Logging_0382/artfynd/A 14203-2024 artfynd.xlsx", "A 14203-2024")</f>
        <v/>
      </c>
      <c r="T166">
        <f>HYPERLINK("https://klasma.github.io/Logging_0382/kartor/A 14203-2024 karta.png", "A 14203-2024")</f>
        <v/>
      </c>
      <c r="V166">
        <f>HYPERLINK("https://klasma.github.io/Logging_0382/klagomål/A 14203-2024 FSC-klagomål.docx", "A 14203-2024")</f>
        <v/>
      </c>
      <c r="W166">
        <f>HYPERLINK("https://klasma.github.io/Logging_0382/klagomålsmail/A 14203-2024 FSC-klagomål mail.docx", "A 14203-2024")</f>
        <v/>
      </c>
      <c r="X166">
        <f>HYPERLINK("https://klasma.github.io/Logging_0382/tillsyn/A 14203-2024 tillsynsbegäran.docx", "A 14203-2024")</f>
        <v/>
      </c>
      <c r="Y166">
        <f>HYPERLINK("https://klasma.github.io/Logging_0382/tillsynsmail/A 14203-2024 tillsynsbegäran mail.docx", "A 14203-2024")</f>
        <v/>
      </c>
    </row>
    <row r="167" ht="15" customHeight="1">
      <c r="A167" t="inlineStr">
        <is>
          <t>A 22375-2024</t>
        </is>
      </c>
      <c r="B167" s="1" t="n">
        <v>45446</v>
      </c>
      <c r="C167" s="1" t="n">
        <v>45628</v>
      </c>
      <c r="D167" t="inlineStr">
        <is>
          <t>UPPSALA LÄN</t>
        </is>
      </c>
      <c r="E167" t="inlineStr">
        <is>
          <t>ÖSTHAMMAR</t>
        </is>
      </c>
      <c r="F167" t="inlineStr">
        <is>
          <t>Bergvik skog öst AB</t>
        </is>
      </c>
      <c r="G167" t="n">
        <v>2.2</v>
      </c>
      <c r="H167" t="n">
        <v>0</v>
      </c>
      <c r="I167" t="n">
        <v>0</v>
      </c>
      <c r="J167" t="n">
        <v>1</v>
      </c>
      <c r="K167" t="n">
        <v>0</v>
      </c>
      <c r="L167" t="n">
        <v>0</v>
      </c>
      <c r="M167" t="n">
        <v>0</v>
      </c>
      <c r="N167" t="n">
        <v>0</v>
      </c>
      <c r="O167" t="n">
        <v>1</v>
      </c>
      <c r="P167" t="n">
        <v>0</v>
      </c>
      <c r="Q167" t="n">
        <v>1</v>
      </c>
      <c r="R167" s="2" t="inlineStr">
        <is>
          <t>Slåtterfibbla</t>
        </is>
      </c>
      <c r="S167">
        <f>HYPERLINK("https://klasma.github.io/Logging_0382/artfynd/A 22375-2024 artfynd.xlsx", "A 22375-2024")</f>
        <v/>
      </c>
      <c r="T167">
        <f>HYPERLINK("https://klasma.github.io/Logging_0382/kartor/A 22375-2024 karta.png", "A 22375-2024")</f>
        <v/>
      </c>
      <c r="V167">
        <f>HYPERLINK("https://klasma.github.io/Logging_0382/klagomål/A 22375-2024 FSC-klagomål.docx", "A 22375-2024")</f>
        <v/>
      </c>
      <c r="W167">
        <f>HYPERLINK("https://klasma.github.io/Logging_0382/klagomålsmail/A 22375-2024 FSC-klagomål mail.docx", "A 22375-2024")</f>
        <v/>
      </c>
      <c r="X167">
        <f>HYPERLINK("https://klasma.github.io/Logging_0382/tillsyn/A 22375-2024 tillsynsbegäran.docx", "A 22375-2024")</f>
        <v/>
      </c>
      <c r="Y167">
        <f>HYPERLINK("https://klasma.github.io/Logging_0382/tillsynsmail/A 22375-2024 tillsynsbegäran mail.docx", "A 22375-2024")</f>
        <v/>
      </c>
    </row>
    <row r="168" ht="15" customHeight="1">
      <c r="A168" t="inlineStr">
        <is>
          <t>A 36622-2024</t>
        </is>
      </c>
      <c r="B168" s="1" t="n">
        <v>45537</v>
      </c>
      <c r="C168" s="1" t="n">
        <v>45628</v>
      </c>
      <c r="D168" t="inlineStr">
        <is>
          <t>UPPSALA LÄN</t>
        </is>
      </c>
      <c r="E168" t="inlineStr">
        <is>
          <t>ÖSTHAMMAR</t>
        </is>
      </c>
      <c r="F168" t="inlineStr">
        <is>
          <t>Bergvik skog väst AB</t>
        </is>
      </c>
      <c r="G168" t="n">
        <v>5.2</v>
      </c>
      <c r="H168" t="n">
        <v>1</v>
      </c>
      <c r="I168" t="n">
        <v>0</v>
      </c>
      <c r="J168" t="n">
        <v>0</v>
      </c>
      <c r="K168" t="n">
        <v>0</v>
      </c>
      <c r="L168" t="n">
        <v>0</v>
      </c>
      <c r="M168" t="n">
        <v>0</v>
      </c>
      <c r="N168" t="n">
        <v>0</v>
      </c>
      <c r="O168" t="n">
        <v>0</v>
      </c>
      <c r="P168" t="n">
        <v>0</v>
      </c>
      <c r="Q168" t="n">
        <v>1</v>
      </c>
      <c r="R168" s="2" t="inlineStr">
        <is>
          <t>Blåsippa</t>
        </is>
      </c>
      <c r="S168">
        <f>HYPERLINK("https://klasma.github.io/Logging_0382/artfynd/A 36622-2024 artfynd.xlsx", "A 36622-2024")</f>
        <v/>
      </c>
      <c r="T168">
        <f>HYPERLINK("https://klasma.github.io/Logging_0382/kartor/A 36622-2024 karta.png", "A 36622-2024")</f>
        <v/>
      </c>
      <c r="V168">
        <f>HYPERLINK("https://klasma.github.io/Logging_0382/klagomål/A 36622-2024 FSC-klagomål.docx", "A 36622-2024")</f>
        <v/>
      </c>
      <c r="W168">
        <f>HYPERLINK("https://klasma.github.io/Logging_0382/klagomålsmail/A 36622-2024 FSC-klagomål mail.docx", "A 36622-2024")</f>
        <v/>
      </c>
      <c r="X168">
        <f>HYPERLINK("https://klasma.github.io/Logging_0382/tillsyn/A 36622-2024 tillsynsbegäran.docx", "A 36622-2024")</f>
        <v/>
      </c>
      <c r="Y168">
        <f>HYPERLINK("https://klasma.github.io/Logging_0382/tillsynsmail/A 36622-2024 tillsynsbegäran mail.docx", "A 36622-2024")</f>
        <v/>
      </c>
    </row>
    <row r="169" ht="15" customHeight="1">
      <c r="A169" t="inlineStr">
        <is>
          <t>A 46632-2024</t>
        </is>
      </c>
      <c r="B169" s="1" t="n">
        <v>45583</v>
      </c>
      <c r="C169" s="1" t="n">
        <v>45628</v>
      </c>
      <c r="D169" t="inlineStr">
        <is>
          <t>UPPSALA LÄN</t>
        </is>
      </c>
      <c r="E169" t="inlineStr">
        <is>
          <t>ÖSTHAMMAR</t>
        </is>
      </c>
      <c r="F169" t="inlineStr">
        <is>
          <t>Bergvik skog öst AB</t>
        </is>
      </c>
      <c r="G169" t="n">
        <v>5.3</v>
      </c>
      <c r="H169" t="n">
        <v>0</v>
      </c>
      <c r="I169" t="n">
        <v>0</v>
      </c>
      <c r="J169" t="n">
        <v>1</v>
      </c>
      <c r="K169" t="n">
        <v>0</v>
      </c>
      <c r="L169" t="n">
        <v>0</v>
      </c>
      <c r="M169" t="n">
        <v>0</v>
      </c>
      <c r="N169" t="n">
        <v>0</v>
      </c>
      <c r="O169" t="n">
        <v>1</v>
      </c>
      <c r="P169" t="n">
        <v>0</v>
      </c>
      <c r="Q169" t="n">
        <v>1</v>
      </c>
      <c r="R169" s="2" t="inlineStr">
        <is>
          <t>Sexfläckig bastardsvärmare</t>
        </is>
      </c>
      <c r="S169">
        <f>HYPERLINK("https://klasma.github.io/Logging_0382/artfynd/A 46632-2024 artfynd.xlsx", "A 46632-2024")</f>
        <v/>
      </c>
      <c r="T169">
        <f>HYPERLINK("https://klasma.github.io/Logging_0382/kartor/A 46632-2024 karta.png", "A 46632-2024")</f>
        <v/>
      </c>
      <c r="V169">
        <f>HYPERLINK("https://klasma.github.io/Logging_0382/klagomål/A 46632-2024 FSC-klagomål.docx", "A 46632-2024")</f>
        <v/>
      </c>
      <c r="W169">
        <f>HYPERLINK("https://klasma.github.io/Logging_0382/klagomålsmail/A 46632-2024 FSC-klagomål mail.docx", "A 46632-2024")</f>
        <v/>
      </c>
      <c r="X169">
        <f>HYPERLINK("https://klasma.github.io/Logging_0382/tillsyn/A 46632-2024 tillsynsbegäran.docx", "A 46632-2024")</f>
        <v/>
      </c>
      <c r="Y169">
        <f>HYPERLINK("https://klasma.github.io/Logging_0382/tillsynsmail/A 46632-2024 tillsynsbegäran mail.docx", "A 46632-2024")</f>
        <v/>
      </c>
    </row>
    <row r="170" ht="15" customHeight="1">
      <c r="A170" t="inlineStr">
        <is>
          <t>A 46629-2024</t>
        </is>
      </c>
      <c r="B170" s="1" t="n">
        <v>45583</v>
      </c>
      <c r="C170" s="1" t="n">
        <v>45628</v>
      </c>
      <c r="D170" t="inlineStr">
        <is>
          <t>UPPSALA LÄN</t>
        </is>
      </c>
      <c r="E170" t="inlineStr">
        <is>
          <t>ÖSTHAMMAR</t>
        </is>
      </c>
      <c r="F170" t="inlineStr">
        <is>
          <t>Bergvik skog öst AB</t>
        </is>
      </c>
      <c r="G170" t="n">
        <v>0.7</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46629-2024 artfynd.xlsx", "A 46629-2024")</f>
        <v/>
      </c>
      <c r="T170">
        <f>HYPERLINK("https://klasma.github.io/Logging_0382/kartor/A 46629-2024 karta.png", "A 46629-2024")</f>
        <v/>
      </c>
      <c r="V170">
        <f>HYPERLINK("https://klasma.github.io/Logging_0382/klagomål/A 46629-2024 FSC-klagomål.docx", "A 46629-2024")</f>
        <v/>
      </c>
      <c r="W170">
        <f>HYPERLINK("https://klasma.github.io/Logging_0382/klagomålsmail/A 46629-2024 FSC-klagomål mail.docx", "A 46629-2024")</f>
        <v/>
      </c>
      <c r="X170">
        <f>HYPERLINK("https://klasma.github.io/Logging_0382/tillsyn/A 46629-2024 tillsynsbegäran.docx", "A 46629-2024")</f>
        <v/>
      </c>
      <c r="Y170">
        <f>HYPERLINK("https://klasma.github.io/Logging_0382/tillsynsmail/A 46629-2024 tillsynsbegäran mail.docx", "A 46629-2024")</f>
        <v/>
      </c>
    </row>
    <row r="171" ht="15" customHeight="1">
      <c r="A171" t="inlineStr">
        <is>
          <t>A 55169-2024</t>
        </is>
      </c>
      <c r="B171" s="1" t="n">
        <v>45621</v>
      </c>
      <c r="C171" s="1" t="n">
        <v>45628</v>
      </c>
      <c r="D171" t="inlineStr">
        <is>
          <t>UPPSALA LÄN</t>
        </is>
      </c>
      <c r="E171" t="inlineStr">
        <is>
          <t>ÖSTHAMMAR</t>
        </is>
      </c>
      <c r="G171" t="n">
        <v>1.1</v>
      </c>
      <c r="H171" t="n">
        <v>0</v>
      </c>
      <c r="I171" t="n">
        <v>1</v>
      </c>
      <c r="J171" t="n">
        <v>0</v>
      </c>
      <c r="K171" t="n">
        <v>0</v>
      </c>
      <c r="L171" t="n">
        <v>0</v>
      </c>
      <c r="M171" t="n">
        <v>0</v>
      </c>
      <c r="N171" t="n">
        <v>0</v>
      </c>
      <c r="O171" t="n">
        <v>0</v>
      </c>
      <c r="P171" t="n">
        <v>0</v>
      </c>
      <c r="Q171" t="n">
        <v>1</v>
      </c>
      <c r="R171" s="2" t="inlineStr">
        <is>
          <t>Svavelriska</t>
        </is>
      </c>
      <c r="S171">
        <f>HYPERLINK("https://klasma.github.io/Logging_0382/artfynd/A 55169-2024 artfynd.xlsx", "A 55169-2024")</f>
        <v/>
      </c>
      <c r="T171">
        <f>HYPERLINK("https://klasma.github.io/Logging_0382/kartor/A 55169-2024 karta.png", "A 55169-2024")</f>
        <v/>
      </c>
      <c r="V171">
        <f>HYPERLINK("https://klasma.github.io/Logging_0382/klagomål/A 55169-2024 FSC-klagomål.docx", "A 55169-2024")</f>
        <v/>
      </c>
      <c r="W171">
        <f>HYPERLINK("https://klasma.github.io/Logging_0382/klagomålsmail/A 55169-2024 FSC-klagomål mail.docx", "A 55169-2024")</f>
        <v/>
      </c>
      <c r="X171">
        <f>HYPERLINK("https://klasma.github.io/Logging_0382/tillsyn/A 55169-2024 tillsynsbegäran.docx", "A 55169-2024")</f>
        <v/>
      </c>
      <c r="Y171">
        <f>HYPERLINK("https://klasma.github.io/Logging_0382/tillsynsmail/A 55169-2024 tillsynsbegäran mail.docx", "A 55169-2024")</f>
        <v/>
      </c>
    </row>
    <row r="172" ht="15" customHeight="1">
      <c r="A172" t="inlineStr">
        <is>
          <t>A 18596-2019</t>
        </is>
      </c>
      <c r="B172" s="1" t="n">
        <v>43560</v>
      </c>
      <c r="C172" s="1" t="n">
        <v>45628</v>
      </c>
      <c r="D172" t="inlineStr">
        <is>
          <t>UPPSALA LÄN</t>
        </is>
      </c>
      <c r="E172" t="inlineStr">
        <is>
          <t>ÖSTHAMMAR</t>
        </is>
      </c>
      <c r="G172" t="n">
        <v>1.2</v>
      </c>
      <c r="H172" t="n">
        <v>0</v>
      </c>
      <c r="I172" t="n">
        <v>0</v>
      </c>
      <c r="J172" t="n">
        <v>0</v>
      </c>
      <c r="K172" t="n">
        <v>0</v>
      </c>
      <c r="L172" t="n">
        <v>0</v>
      </c>
      <c r="M172" t="n">
        <v>0</v>
      </c>
      <c r="N172" t="n">
        <v>0</v>
      </c>
      <c r="O172" t="n">
        <v>0</v>
      </c>
      <c r="P172" t="n">
        <v>0</v>
      </c>
      <c r="Q172" t="n">
        <v>0</v>
      </c>
      <c r="R172" s="2" t="inlineStr"/>
    </row>
    <row r="173" ht="15" customHeight="1">
      <c r="A173" t="inlineStr">
        <is>
          <t>A 18781-2019</t>
        </is>
      </c>
      <c r="B173" s="1" t="n">
        <v>43561</v>
      </c>
      <c r="C173" s="1" t="n">
        <v>45628</v>
      </c>
      <c r="D173" t="inlineStr">
        <is>
          <t>UPPSALA LÄN</t>
        </is>
      </c>
      <c r="E173" t="inlineStr">
        <is>
          <t>ÖSTHAMMAR</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18792-2019</t>
        </is>
      </c>
      <c r="B174" s="1" t="n">
        <v>43562</v>
      </c>
      <c r="C174" s="1" t="n">
        <v>45628</v>
      </c>
      <c r="D174" t="inlineStr">
        <is>
          <t>UPPSALA LÄN</t>
        </is>
      </c>
      <c r="E174" t="inlineStr">
        <is>
          <t>ÖSTHAMMAR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18800-2019</t>
        </is>
      </c>
      <c r="B175" s="1" t="n">
        <v>43562</v>
      </c>
      <c r="C175" s="1" t="n">
        <v>45628</v>
      </c>
      <c r="D175" t="inlineStr">
        <is>
          <t>UPPSALA LÄN</t>
        </is>
      </c>
      <c r="E175" t="inlineStr">
        <is>
          <t>ÖSTHAMMAR</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20683-2019</t>
        </is>
      </c>
      <c r="B176" s="1" t="n">
        <v>43573</v>
      </c>
      <c r="C176" s="1" t="n">
        <v>45628</v>
      </c>
      <c r="D176" t="inlineStr">
        <is>
          <t>UPPSALA LÄN</t>
        </is>
      </c>
      <c r="E176" t="inlineStr">
        <is>
          <t>ÖSTHAMMAR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21471-2019</t>
        </is>
      </c>
      <c r="B177" s="1" t="n">
        <v>43580</v>
      </c>
      <c r="C177" s="1" t="n">
        <v>45628</v>
      </c>
      <c r="D177" t="inlineStr">
        <is>
          <t>UPPSALA LÄN</t>
        </is>
      </c>
      <c r="E177" t="inlineStr">
        <is>
          <t>ÖSTHAMMAR</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22800-2019</t>
        </is>
      </c>
      <c r="B178" s="1" t="n">
        <v>43590</v>
      </c>
      <c r="C178" s="1" t="n">
        <v>45628</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c r="U178">
        <f>HYPERLINK("https://klasma.github.io/Logging_0382/knärot/A 22800-2019 karta knärot.png", "A 22800-2019")</f>
        <v/>
      </c>
      <c r="V178">
        <f>HYPERLINK("https://klasma.github.io/Logging_0382/klagomål/A 22800-2019 FSC-klagomål.docx", "A 22800-2019")</f>
        <v/>
      </c>
      <c r="W178">
        <f>HYPERLINK("https://klasma.github.io/Logging_0382/klagomålsmail/A 22800-2019 FSC-klagomål mail.docx", "A 22800-2019")</f>
        <v/>
      </c>
      <c r="X178">
        <f>HYPERLINK("https://klasma.github.io/Logging_0382/tillsyn/A 22800-2019 tillsynsbegäran.docx", "A 22800-2019")</f>
        <v/>
      </c>
      <c r="Y178">
        <f>HYPERLINK("https://klasma.github.io/Logging_0382/tillsynsmail/A 22800-2019 tillsynsbegäran mail.docx", "A 22800-2019")</f>
        <v/>
      </c>
    </row>
    <row r="179" ht="15" customHeight="1">
      <c r="A179" t="inlineStr">
        <is>
          <t>A 22801-2019</t>
        </is>
      </c>
      <c r="B179" s="1" t="n">
        <v>43590</v>
      </c>
      <c r="C179" s="1" t="n">
        <v>45628</v>
      </c>
      <c r="D179" t="inlineStr">
        <is>
          <t>UPPSALA LÄN</t>
        </is>
      </c>
      <c r="E179" t="inlineStr">
        <is>
          <t>ÖSTHAMMAR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23008-2019</t>
        </is>
      </c>
      <c r="B180" s="1" t="n">
        <v>43591</v>
      </c>
      <c r="C180" s="1" t="n">
        <v>45628</v>
      </c>
      <c r="D180" t="inlineStr">
        <is>
          <t>UPPSALA LÄN</t>
        </is>
      </c>
      <c r="E180" t="inlineStr">
        <is>
          <t>ÖSTHAMMAR</t>
        </is>
      </c>
      <c r="G180" t="n">
        <v>4.5</v>
      </c>
      <c r="H180" t="n">
        <v>0</v>
      </c>
      <c r="I180" t="n">
        <v>0</v>
      </c>
      <c r="J180" t="n">
        <v>0</v>
      </c>
      <c r="K180" t="n">
        <v>0</v>
      </c>
      <c r="L180" t="n">
        <v>0</v>
      </c>
      <c r="M180" t="n">
        <v>0</v>
      </c>
      <c r="N180" t="n">
        <v>0</v>
      </c>
      <c r="O180" t="n">
        <v>0</v>
      </c>
      <c r="P180" t="n">
        <v>0</v>
      </c>
      <c r="Q180" t="n">
        <v>0</v>
      </c>
      <c r="R180" s="2" t="inlineStr"/>
    </row>
    <row r="181" ht="15" customHeight="1">
      <c r="A181" t="inlineStr">
        <is>
          <t>A 25874-2019</t>
        </is>
      </c>
      <c r="B181" s="1" t="n">
        <v>43605</v>
      </c>
      <c r="C181" s="1" t="n">
        <v>45628</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25703-2019</t>
        </is>
      </c>
      <c r="B182" s="1" t="n">
        <v>43607</v>
      </c>
      <c r="C182" s="1" t="n">
        <v>45628</v>
      </c>
      <c r="D182" t="inlineStr">
        <is>
          <t>UPPSALA LÄN</t>
        </is>
      </c>
      <c r="E182" t="inlineStr">
        <is>
          <t>ÖSTHAMMAR</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25708-2019</t>
        </is>
      </c>
      <c r="B183" s="1" t="n">
        <v>43607</v>
      </c>
      <c r="C183" s="1" t="n">
        <v>45628</v>
      </c>
      <c r="D183" t="inlineStr">
        <is>
          <t>UPPSALA LÄN</t>
        </is>
      </c>
      <c r="E183" t="inlineStr">
        <is>
          <t>ÖSTHAMMAR</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25706-2019</t>
        </is>
      </c>
      <c r="B184" s="1" t="n">
        <v>43607</v>
      </c>
      <c r="C184" s="1" t="n">
        <v>45628</v>
      </c>
      <c r="D184" t="inlineStr">
        <is>
          <t>UPPSALA LÄN</t>
        </is>
      </c>
      <c r="E184" t="inlineStr">
        <is>
          <t>ÖSTHAMMAR</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26562-2019</t>
        </is>
      </c>
      <c r="B185" s="1" t="n">
        <v>43612</v>
      </c>
      <c r="C185" s="1" t="n">
        <v>45628</v>
      </c>
      <c r="D185" t="inlineStr">
        <is>
          <t>UPPSALA LÄN</t>
        </is>
      </c>
      <c r="E185" t="inlineStr">
        <is>
          <t>ÖSTHAMMAR</t>
        </is>
      </c>
      <c r="G185" t="n">
        <v>3.2</v>
      </c>
      <c r="H185" t="n">
        <v>0</v>
      </c>
      <c r="I185" t="n">
        <v>0</v>
      </c>
      <c r="J185" t="n">
        <v>0</v>
      </c>
      <c r="K185" t="n">
        <v>0</v>
      </c>
      <c r="L185" t="n">
        <v>0</v>
      </c>
      <c r="M185" t="n">
        <v>0</v>
      </c>
      <c r="N185" t="n">
        <v>0</v>
      </c>
      <c r="O185" t="n">
        <v>0</v>
      </c>
      <c r="P185" t="n">
        <v>0</v>
      </c>
      <c r="Q185" t="n">
        <v>0</v>
      </c>
      <c r="R185" s="2" t="inlineStr"/>
    </row>
    <row r="186" ht="15" customHeight="1">
      <c r="A186" t="inlineStr">
        <is>
          <t>A 26724-2019</t>
        </is>
      </c>
      <c r="B186" s="1" t="n">
        <v>43613</v>
      </c>
      <c r="C186" s="1" t="n">
        <v>45628</v>
      </c>
      <c r="D186" t="inlineStr">
        <is>
          <t>UPPSALA LÄN</t>
        </is>
      </c>
      <c r="E186" t="inlineStr">
        <is>
          <t>ÖSTHAMMAR</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26796-2019</t>
        </is>
      </c>
      <c r="B187" s="1" t="n">
        <v>43613</v>
      </c>
      <c r="C187" s="1" t="n">
        <v>45628</v>
      </c>
      <c r="D187" t="inlineStr">
        <is>
          <t>UPPSALA LÄN</t>
        </is>
      </c>
      <c r="E187" t="inlineStr">
        <is>
          <t>ÖSTHAMMAR</t>
        </is>
      </c>
      <c r="F187" t="inlineStr">
        <is>
          <t>Bergvik skog öst AB</t>
        </is>
      </c>
      <c r="G187" t="n">
        <v>4.4</v>
      </c>
      <c r="H187" t="n">
        <v>0</v>
      </c>
      <c r="I187" t="n">
        <v>0</v>
      </c>
      <c r="J187" t="n">
        <v>0</v>
      </c>
      <c r="K187" t="n">
        <v>0</v>
      </c>
      <c r="L187" t="n">
        <v>0</v>
      </c>
      <c r="M187" t="n">
        <v>0</v>
      </c>
      <c r="N187" t="n">
        <v>0</v>
      </c>
      <c r="O187" t="n">
        <v>0</v>
      </c>
      <c r="P187" t="n">
        <v>0</v>
      </c>
      <c r="Q187" t="n">
        <v>0</v>
      </c>
      <c r="R187" s="2" t="inlineStr"/>
    </row>
    <row r="188" ht="15" customHeight="1">
      <c r="A188" t="inlineStr">
        <is>
          <t>A 27458-2019</t>
        </is>
      </c>
      <c r="B188" s="1" t="n">
        <v>43618</v>
      </c>
      <c r="C188" s="1" t="n">
        <v>45628</v>
      </c>
      <c r="D188" t="inlineStr">
        <is>
          <t>UPPSALA LÄN</t>
        </is>
      </c>
      <c r="E188" t="inlineStr">
        <is>
          <t>ÖSTHAMMAR</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29204-2019</t>
        </is>
      </c>
      <c r="B189" s="1" t="n">
        <v>43623</v>
      </c>
      <c r="C189" s="1" t="n">
        <v>45628</v>
      </c>
      <c r="D189" t="inlineStr">
        <is>
          <t>UPPSALA LÄN</t>
        </is>
      </c>
      <c r="E189" t="inlineStr">
        <is>
          <t>ÖSTHAMMAR</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31106-2019</t>
        </is>
      </c>
      <c r="B190" s="1" t="n">
        <v>43635</v>
      </c>
      <c r="C190" s="1" t="n">
        <v>45628</v>
      </c>
      <c r="D190" t="inlineStr">
        <is>
          <t>UPPSALA LÄN</t>
        </is>
      </c>
      <c r="E190" t="inlineStr">
        <is>
          <t>ÖSTHAMMAR</t>
        </is>
      </c>
      <c r="F190" t="inlineStr">
        <is>
          <t>Övriga statliga verk och myndigheter</t>
        </is>
      </c>
      <c r="G190" t="n">
        <v>1.5</v>
      </c>
      <c r="H190" t="n">
        <v>0</v>
      </c>
      <c r="I190" t="n">
        <v>0</v>
      </c>
      <c r="J190" t="n">
        <v>0</v>
      </c>
      <c r="K190" t="n">
        <v>0</v>
      </c>
      <c r="L190" t="n">
        <v>0</v>
      </c>
      <c r="M190" t="n">
        <v>0</v>
      </c>
      <c r="N190" t="n">
        <v>0</v>
      </c>
      <c r="O190" t="n">
        <v>0</v>
      </c>
      <c r="P190" t="n">
        <v>0</v>
      </c>
      <c r="Q190" t="n">
        <v>0</v>
      </c>
      <c r="R190" s="2" t="inlineStr"/>
    </row>
    <row r="191" ht="15" customHeight="1">
      <c r="A191" t="inlineStr">
        <is>
          <t>A 31716-2019</t>
        </is>
      </c>
      <c r="B191" s="1" t="n">
        <v>43642</v>
      </c>
      <c r="C191" s="1" t="n">
        <v>45628</v>
      </c>
      <c r="D191" t="inlineStr">
        <is>
          <t>UPPSALA LÄN</t>
        </is>
      </c>
      <c r="E191" t="inlineStr">
        <is>
          <t>ÖSTHAMMAR</t>
        </is>
      </c>
      <c r="G191" t="n">
        <v>1.5</v>
      </c>
      <c r="H191" t="n">
        <v>0</v>
      </c>
      <c r="I191" t="n">
        <v>0</v>
      </c>
      <c r="J191" t="n">
        <v>0</v>
      </c>
      <c r="K191" t="n">
        <v>0</v>
      </c>
      <c r="L191" t="n">
        <v>0</v>
      </c>
      <c r="M191" t="n">
        <v>0</v>
      </c>
      <c r="N191" t="n">
        <v>0</v>
      </c>
      <c r="O191" t="n">
        <v>0</v>
      </c>
      <c r="P191" t="n">
        <v>0</v>
      </c>
      <c r="Q191" t="n">
        <v>0</v>
      </c>
      <c r="R191" s="2" t="inlineStr"/>
    </row>
    <row r="192" ht="15" customHeight="1">
      <c r="A192" t="inlineStr">
        <is>
          <t>A 31882-2019</t>
        </is>
      </c>
      <c r="B192" s="1" t="n">
        <v>43642</v>
      </c>
      <c r="C192" s="1" t="n">
        <v>45628</v>
      </c>
      <c r="D192" t="inlineStr">
        <is>
          <t>UPPSALA LÄN</t>
        </is>
      </c>
      <c r="E192" t="inlineStr">
        <is>
          <t>ÖSTHAMMAR</t>
        </is>
      </c>
      <c r="G192" t="n">
        <v>3.5</v>
      </c>
      <c r="H192" t="n">
        <v>0</v>
      </c>
      <c r="I192" t="n">
        <v>0</v>
      </c>
      <c r="J192" t="n">
        <v>0</v>
      </c>
      <c r="K192" t="n">
        <v>0</v>
      </c>
      <c r="L192" t="n">
        <v>0</v>
      </c>
      <c r="M192" t="n">
        <v>0</v>
      </c>
      <c r="N192" t="n">
        <v>0</v>
      </c>
      <c r="O192" t="n">
        <v>0</v>
      </c>
      <c r="P192" t="n">
        <v>0</v>
      </c>
      <c r="Q192" t="n">
        <v>0</v>
      </c>
      <c r="R192" s="2" t="inlineStr"/>
    </row>
    <row r="193" ht="15" customHeight="1">
      <c r="A193" t="inlineStr">
        <is>
          <t>A 32718-2019</t>
        </is>
      </c>
      <c r="B193" s="1" t="n">
        <v>43647</v>
      </c>
      <c r="C193" s="1" t="n">
        <v>45628</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33532-2019</t>
        </is>
      </c>
      <c r="B194" s="1" t="n">
        <v>43651</v>
      </c>
      <c r="C194" s="1" t="n">
        <v>45628</v>
      </c>
      <c r="D194" t="inlineStr">
        <is>
          <t>UPPSALA LÄN</t>
        </is>
      </c>
      <c r="E194" t="inlineStr">
        <is>
          <t>ÖSTHAMMAR</t>
        </is>
      </c>
      <c r="G194" t="n">
        <v>1.6</v>
      </c>
      <c r="H194" t="n">
        <v>0</v>
      </c>
      <c r="I194" t="n">
        <v>0</v>
      </c>
      <c r="J194" t="n">
        <v>0</v>
      </c>
      <c r="K194" t="n">
        <v>0</v>
      </c>
      <c r="L194" t="n">
        <v>0</v>
      </c>
      <c r="M194" t="n">
        <v>0</v>
      </c>
      <c r="N194" t="n">
        <v>0</v>
      </c>
      <c r="O194" t="n">
        <v>0</v>
      </c>
      <c r="P194" t="n">
        <v>0</v>
      </c>
      <c r="Q194" t="n">
        <v>0</v>
      </c>
      <c r="R194" s="2" t="inlineStr"/>
    </row>
    <row r="195" ht="15" customHeight="1">
      <c r="A195" t="inlineStr">
        <is>
          <t>A 33544-2019</t>
        </is>
      </c>
      <c r="B195" s="1" t="n">
        <v>43651</v>
      </c>
      <c r="C195" s="1" t="n">
        <v>45628</v>
      </c>
      <c r="D195" t="inlineStr">
        <is>
          <t>UPPSALA LÄN</t>
        </is>
      </c>
      <c r="E195" t="inlineStr">
        <is>
          <t>ÖSTHAMMAR</t>
        </is>
      </c>
      <c r="G195" t="n">
        <v>4.3</v>
      </c>
      <c r="H195" t="n">
        <v>0</v>
      </c>
      <c r="I195" t="n">
        <v>0</v>
      </c>
      <c r="J195" t="n">
        <v>0</v>
      </c>
      <c r="K195" t="n">
        <v>0</v>
      </c>
      <c r="L195" t="n">
        <v>0</v>
      </c>
      <c r="M195" t="n">
        <v>0</v>
      </c>
      <c r="N195" t="n">
        <v>0</v>
      </c>
      <c r="O195" t="n">
        <v>0</v>
      </c>
      <c r="P195" t="n">
        <v>0</v>
      </c>
      <c r="Q195" t="n">
        <v>0</v>
      </c>
      <c r="R195" s="2" t="inlineStr"/>
    </row>
    <row r="196" ht="15" customHeight="1">
      <c r="A196" t="inlineStr">
        <is>
          <t>A 33539-2019</t>
        </is>
      </c>
      <c r="B196" s="1" t="n">
        <v>43651</v>
      </c>
      <c r="C196" s="1" t="n">
        <v>45628</v>
      </c>
      <c r="D196" t="inlineStr">
        <is>
          <t>UPPSALA LÄN</t>
        </is>
      </c>
      <c r="E196" t="inlineStr">
        <is>
          <t>ÖSTHAMMAR</t>
        </is>
      </c>
      <c r="G196" t="n">
        <v>4.6</v>
      </c>
      <c r="H196" t="n">
        <v>0</v>
      </c>
      <c r="I196" t="n">
        <v>0</v>
      </c>
      <c r="J196" t="n">
        <v>0</v>
      </c>
      <c r="K196" t="n">
        <v>0</v>
      </c>
      <c r="L196" t="n">
        <v>0</v>
      </c>
      <c r="M196" t="n">
        <v>0</v>
      </c>
      <c r="N196" t="n">
        <v>0</v>
      </c>
      <c r="O196" t="n">
        <v>0</v>
      </c>
      <c r="P196" t="n">
        <v>0</v>
      </c>
      <c r="Q196" t="n">
        <v>0</v>
      </c>
      <c r="R196" s="2" t="inlineStr"/>
    </row>
    <row r="197" ht="15" customHeight="1">
      <c r="A197" t="inlineStr">
        <is>
          <t>A 33551-2019</t>
        </is>
      </c>
      <c r="B197" s="1" t="n">
        <v>43651</v>
      </c>
      <c r="C197" s="1" t="n">
        <v>45628</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33784-2019</t>
        </is>
      </c>
      <c r="B198" s="1" t="n">
        <v>43651</v>
      </c>
      <c r="C198" s="1" t="n">
        <v>45628</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39582-2019</t>
        </is>
      </c>
      <c r="B199" s="1" t="n">
        <v>43686</v>
      </c>
      <c r="C199" s="1" t="n">
        <v>45628</v>
      </c>
      <c r="D199" t="inlineStr">
        <is>
          <t>UPPSALA LÄN</t>
        </is>
      </c>
      <c r="E199" t="inlineStr">
        <is>
          <t>ÖSTHAMMAR</t>
        </is>
      </c>
      <c r="G199" t="n">
        <v>12.2</v>
      </c>
      <c r="H199" t="n">
        <v>0</v>
      </c>
      <c r="I199" t="n">
        <v>0</v>
      </c>
      <c r="J199" t="n">
        <v>0</v>
      </c>
      <c r="K199" t="n">
        <v>0</v>
      </c>
      <c r="L199" t="n">
        <v>0</v>
      </c>
      <c r="M199" t="n">
        <v>0</v>
      </c>
      <c r="N199" t="n">
        <v>0</v>
      </c>
      <c r="O199" t="n">
        <v>0</v>
      </c>
      <c r="P199" t="n">
        <v>0</v>
      </c>
      <c r="Q199" t="n">
        <v>0</v>
      </c>
      <c r="R199" s="2" t="inlineStr"/>
    </row>
    <row r="200" ht="15" customHeight="1">
      <c r="A200" t="inlineStr">
        <is>
          <t>A 39910-2019</t>
        </is>
      </c>
      <c r="B200" s="1" t="n">
        <v>43692</v>
      </c>
      <c r="C200" s="1" t="n">
        <v>45628</v>
      </c>
      <c r="D200" t="inlineStr">
        <is>
          <t>UPPSALA LÄN</t>
        </is>
      </c>
      <c r="E200" t="inlineStr">
        <is>
          <t>ÖSTHAMMAR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41697-2019</t>
        </is>
      </c>
      <c r="B201" s="1" t="n">
        <v>43699</v>
      </c>
      <c r="C201" s="1" t="n">
        <v>45628</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41539-2019</t>
        </is>
      </c>
      <c r="B202" s="1" t="n">
        <v>43699</v>
      </c>
      <c r="C202" s="1" t="n">
        <v>45628</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43426-2019</t>
        </is>
      </c>
      <c r="B203" s="1" t="n">
        <v>43706</v>
      </c>
      <c r="C203" s="1" t="n">
        <v>45628</v>
      </c>
      <c r="D203" t="inlineStr">
        <is>
          <t>UPPSALA LÄN</t>
        </is>
      </c>
      <c r="E203" t="inlineStr">
        <is>
          <t>ÖSTHAMMAR</t>
        </is>
      </c>
      <c r="F203" t="inlineStr">
        <is>
          <t>Bergvik skog öst AB</t>
        </is>
      </c>
      <c r="G203" t="n">
        <v>0.5</v>
      </c>
      <c r="H203" t="n">
        <v>0</v>
      </c>
      <c r="I203" t="n">
        <v>0</v>
      </c>
      <c r="J203" t="n">
        <v>0</v>
      </c>
      <c r="K203" t="n">
        <v>0</v>
      </c>
      <c r="L203" t="n">
        <v>0</v>
      </c>
      <c r="M203" t="n">
        <v>0</v>
      </c>
      <c r="N203" t="n">
        <v>0</v>
      </c>
      <c r="O203" t="n">
        <v>0</v>
      </c>
      <c r="P203" t="n">
        <v>0</v>
      </c>
      <c r="Q203" t="n">
        <v>0</v>
      </c>
      <c r="R203" s="2" t="inlineStr"/>
    </row>
    <row r="204" ht="15" customHeight="1">
      <c r="A204" t="inlineStr">
        <is>
          <t>A 45140-2019</t>
        </is>
      </c>
      <c r="B204" s="1" t="n">
        <v>43713</v>
      </c>
      <c r="C204" s="1" t="n">
        <v>45628</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45681-2019</t>
        </is>
      </c>
      <c r="B205" s="1" t="n">
        <v>43717</v>
      </c>
      <c r="C205" s="1" t="n">
        <v>45628</v>
      </c>
      <c r="D205" t="inlineStr">
        <is>
          <t>UPPSALA LÄN</t>
        </is>
      </c>
      <c r="E205" t="inlineStr">
        <is>
          <t>ÖSTHAMMAR</t>
        </is>
      </c>
      <c r="F205" t="inlineStr">
        <is>
          <t>Bergvik skog öst AB</t>
        </is>
      </c>
      <c r="G205" t="n">
        <v>3</v>
      </c>
      <c r="H205" t="n">
        <v>0</v>
      </c>
      <c r="I205" t="n">
        <v>0</v>
      </c>
      <c r="J205" t="n">
        <v>0</v>
      </c>
      <c r="K205" t="n">
        <v>0</v>
      </c>
      <c r="L205" t="n">
        <v>0</v>
      </c>
      <c r="M205" t="n">
        <v>0</v>
      </c>
      <c r="N205" t="n">
        <v>0</v>
      </c>
      <c r="O205" t="n">
        <v>0</v>
      </c>
      <c r="P205" t="n">
        <v>0</v>
      </c>
      <c r="Q205" t="n">
        <v>0</v>
      </c>
      <c r="R205" s="2" t="inlineStr"/>
    </row>
    <row r="206" ht="15" customHeight="1">
      <c r="A206" t="inlineStr">
        <is>
          <t>A 47440-2019</t>
        </is>
      </c>
      <c r="B206" s="1" t="n">
        <v>43723</v>
      </c>
      <c r="C206" s="1" t="n">
        <v>45628</v>
      </c>
      <c r="D206" t="inlineStr">
        <is>
          <t>UPPSALA LÄN</t>
        </is>
      </c>
      <c r="E206" t="inlineStr">
        <is>
          <t>ÖSTHAMMAR</t>
        </is>
      </c>
      <c r="G206" t="n">
        <v>0.1</v>
      </c>
      <c r="H206" t="n">
        <v>0</v>
      </c>
      <c r="I206" t="n">
        <v>0</v>
      </c>
      <c r="J206" t="n">
        <v>0</v>
      </c>
      <c r="K206" t="n">
        <v>0</v>
      </c>
      <c r="L206" t="n">
        <v>0</v>
      </c>
      <c r="M206" t="n">
        <v>0</v>
      </c>
      <c r="N206" t="n">
        <v>0</v>
      </c>
      <c r="O206" t="n">
        <v>0</v>
      </c>
      <c r="P206" t="n">
        <v>0</v>
      </c>
      <c r="Q206" t="n">
        <v>0</v>
      </c>
      <c r="R206" s="2" t="inlineStr"/>
    </row>
    <row r="207" ht="15" customHeight="1">
      <c r="A207" t="inlineStr">
        <is>
          <t>A 47436-2019</t>
        </is>
      </c>
      <c r="B207" s="1" t="n">
        <v>43723</v>
      </c>
      <c r="C207" s="1" t="n">
        <v>45628</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51025-2019</t>
        </is>
      </c>
      <c r="B208" s="1" t="n">
        <v>43739</v>
      </c>
      <c r="C208" s="1" t="n">
        <v>45628</v>
      </c>
      <c r="D208" t="inlineStr">
        <is>
          <t>UPPSALA LÄN</t>
        </is>
      </c>
      <c r="E208" t="inlineStr">
        <is>
          <t>ÖSTHAMMAR</t>
        </is>
      </c>
      <c r="F208" t="inlineStr">
        <is>
          <t>Bergvik skog öst AB</t>
        </is>
      </c>
      <c r="G208" t="n">
        <v>1.4</v>
      </c>
      <c r="H208" t="n">
        <v>0</v>
      </c>
      <c r="I208" t="n">
        <v>0</v>
      </c>
      <c r="J208" t="n">
        <v>0</v>
      </c>
      <c r="K208" t="n">
        <v>0</v>
      </c>
      <c r="L208" t="n">
        <v>0</v>
      </c>
      <c r="M208" t="n">
        <v>0</v>
      </c>
      <c r="N208" t="n">
        <v>0</v>
      </c>
      <c r="O208" t="n">
        <v>0</v>
      </c>
      <c r="P208" t="n">
        <v>0</v>
      </c>
      <c r="Q208" t="n">
        <v>0</v>
      </c>
      <c r="R208" s="2" t="inlineStr"/>
    </row>
    <row r="209" ht="15" customHeight="1">
      <c r="A209" t="inlineStr">
        <is>
          <t>A 53442-2019</t>
        </is>
      </c>
      <c r="B209" s="1" t="n">
        <v>43748</v>
      </c>
      <c r="C209" s="1" t="n">
        <v>45628</v>
      </c>
      <c r="D209" t="inlineStr">
        <is>
          <t>UPPSALA LÄN</t>
        </is>
      </c>
      <c r="E209" t="inlineStr">
        <is>
          <t>ÖSTHAMMAR</t>
        </is>
      </c>
      <c r="F209" t="inlineStr">
        <is>
          <t>Bergvik skog öst AB</t>
        </is>
      </c>
      <c r="G209" t="n">
        <v>1.9</v>
      </c>
      <c r="H209" t="n">
        <v>0</v>
      </c>
      <c r="I209" t="n">
        <v>0</v>
      </c>
      <c r="J209" t="n">
        <v>0</v>
      </c>
      <c r="K209" t="n">
        <v>0</v>
      </c>
      <c r="L209" t="n">
        <v>0</v>
      </c>
      <c r="M209" t="n">
        <v>0</v>
      </c>
      <c r="N209" t="n">
        <v>0</v>
      </c>
      <c r="O209" t="n">
        <v>0</v>
      </c>
      <c r="P209" t="n">
        <v>0</v>
      </c>
      <c r="Q209" t="n">
        <v>0</v>
      </c>
      <c r="R209" s="2" t="inlineStr"/>
    </row>
    <row r="210" ht="15" customHeight="1">
      <c r="A210" t="inlineStr">
        <is>
          <t>A 55382-2019</t>
        </is>
      </c>
      <c r="B210" s="1" t="n">
        <v>43755</v>
      </c>
      <c r="C210" s="1" t="n">
        <v>45628</v>
      </c>
      <c r="D210" t="inlineStr">
        <is>
          <t>UPPSALA LÄN</t>
        </is>
      </c>
      <c r="E210" t="inlineStr">
        <is>
          <t>ÖSTHAMMAR</t>
        </is>
      </c>
      <c r="G210" t="n">
        <v>1.8</v>
      </c>
      <c r="H210" t="n">
        <v>0</v>
      </c>
      <c r="I210" t="n">
        <v>0</v>
      </c>
      <c r="J210" t="n">
        <v>0</v>
      </c>
      <c r="K210" t="n">
        <v>0</v>
      </c>
      <c r="L210" t="n">
        <v>0</v>
      </c>
      <c r="M210" t="n">
        <v>0</v>
      </c>
      <c r="N210" t="n">
        <v>0</v>
      </c>
      <c r="O210" t="n">
        <v>0</v>
      </c>
      <c r="P210" t="n">
        <v>0</v>
      </c>
      <c r="Q210" t="n">
        <v>0</v>
      </c>
      <c r="R210" s="2" t="inlineStr"/>
    </row>
    <row r="211" ht="15" customHeight="1">
      <c r="A211" t="inlineStr">
        <is>
          <t>A 57686-2019</t>
        </is>
      </c>
      <c r="B211" s="1" t="n">
        <v>43761</v>
      </c>
      <c r="C211" s="1" t="n">
        <v>45628</v>
      </c>
      <c r="D211" t="inlineStr">
        <is>
          <t>UPPSALA LÄN</t>
        </is>
      </c>
      <c r="E211" t="inlineStr">
        <is>
          <t>ÖSTHAMMAR</t>
        </is>
      </c>
      <c r="G211" t="n">
        <v>5.7</v>
      </c>
      <c r="H211" t="n">
        <v>0</v>
      </c>
      <c r="I211" t="n">
        <v>0</v>
      </c>
      <c r="J211" t="n">
        <v>0</v>
      </c>
      <c r="K211" t="n">
        <v>0</v>
      </c>
      <c r="L211" t="n">
        <v>0</v>
      </c>
      <c r="M211" t="n">
        <v>0</v>
      </c>
      <c r="N211" t="n">
        <v>0</v>
      </c>
      <c r="O211" t="n">
        <v>0</v>
      </c>
      <c r="P211" t="n">
        <v>0</v>
      </c>
      <c r="Q211" t="n">
        <v>0</v>
      </c>
      <c r="R211" s="2" t="inlineStr"/>
    </row>
    <row r="212" ht="15" customHeight="1">
      <c r="A212" t="inlineStr">
        <is>
          <t>A 57304-2019</t>
        </is>
      </c>
      <c r="B212" s="1" t="n">
        <v>43767</v>
      </c>
      <c r="C212" s="1" t="n">
        <v>45628</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58665-2019</t>
        </is>
      </c>
      <c r="B213" s="1" t="n">
        <v>43773</v>
      </c>
      <c r="C213" s="1" t="n">
        <v>45628</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60977-2019</t>
        </is>
      </c>
      <c r="B214" s="1" t="n">
        <v>43782</v>
      </c>
      <c r="C214" s="1" t="n">
        <v>45628</v>
      </c>
      <c r="D214" t="inlineStr">
        <is>
          <t>UPPSALA LÄN</t>
        </is>
      </c>
      <c r="E214" t="inlineStr">
        <is>
          <t>ÖSTHAMMAR</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61866-2019</t>
        </is>
      </c>
      <c r="B215" s="1" t="n">
        <v>43787</v>
      </c>
      <c r="C215" s="1" t="n">
        <v>45628</v>
      </c>
      <c r="D215" t="inlineStr">
        <is>
          <t>UPPSALA LÄN</t>
        </is>
      </c>
      <c r="E215" t="inlineStr">
        <is>
          <t>ÖSTHAMMAR</t>
        </is>
      </c>
      <c r="F215" t="inlineStr">
        <is>
          <t>Bergvik skog öst AB</t>
        </is>
      </c>
      <c r="G215" t="n">
        <v>6.6</v>
      </c>
      <c r="H215" t="n">
        <v>0</v>
      </c>
      <c r="I215" t="n">
        <v>0</v>
      </c>
      <c r="J215" t="n">
        <v>0</v>
      </c>
      <c r="K215" t="n">
        <v>0</v>
      </c>
      <c r="L215" t="n">
        <v>0</v>
      </c>
      <c r="M215" t="n">
        <v>0</v>
      </c>
      <c r="N215" t="n">
        <v>0</v>
      </c>
      <c r="O215" t="n">
        <v>0</v>
      </c>
      <c r="P215" t="n">
        <v>0</v>
      </c>
      <c r="Q215" t="n">
        <v>0</v>
      </c>
      <c r="R215" s="2" t="inlineStr"/>
    </row>
    <row r="216" ht="15" customHeight="1">
      <c r="A216" t="inlineStr">
        <is>
          <t>A 62808-2019</t>
        </is>
      </c>
      <c r="B216" s="1" t="n">
        <v>43790</v>
      </c>
      <c r="C216" s="1" t="n">
        <v>45628</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63564-2019</t>
        </is>
      </c>
      <c r="B217" s="1" t="n">
        <v>43795</v>
      </c>
      <c r="C217" s="1" t="n">
        <v>45628</v>
      </c>
      <c r="D217" t="inlineStr">
        <is>
          <t>UPPSALA LÄN</t>
        </is>
      </c>
      <c r="E217" t="inlineStr">
        <is>
          <t>ÖSTHAMMAR</t>
        </is>
      </c>
      <c r="F217" t="inlineStr">
        <is>
          <t>Övriga Aktiebolag</t>
        </is>
      </c>
      <c r="G217" t="n">
        <v>4.7</v>
      </c>
      <c r="H217" t="n">
        <v>0</v>
      </c>
      <c r="I217" t="n">
        <v>0</v>
      </c>
      <c r="J217" t="n">
        <v>0</v>
      </c>
      <c r="K217" t="n">
        <v>0</v>
      </c>
      <c r="L217" t="n">
        <v>0</v>
      </c>
      <c r="M217" t="n">
        <v>0</v>
      </c>
      <c r="N217" t="n">
        <v>0</v>
      </c>
      <c r="O217" t="n">
        <v>0</v>
      </c>
      <c r="P217" t="n">
        <v>0</v>
      </c>
      <c r="Q217" t="n">
        <v>0</v>
      </c>
      <c r="R217" s="2" t="inlineStr"/>
    </row>
    <row r="218" ht="15" customHeight="1">
      <c r="A218" t="inlineStr">
        <is>
          <t>A 64344-2019</t>
        </is>
      </c>
      <c r="B218" s="1" t="n">
        <v>43797</v>
      </c>
      <c r="C218" s="1" t="n">
        <v>45628</v>
      </c>
      <c r="D218" t="inlineStr">
        <is>
          <t>UPPSALA LÄN</t>
        </is>
      </c>
      <c r="E218" t="inlineStr">
        <is>
          <t>ÖSTHAMMAR</t>
        </is>
      </c>
      <c r="G218" t="n">
        <v>3.1</v>
      </c>
      <c r="H218" t="n">
        <v>0</v>
      </c>
      <c r="I218" t="n">
        <v>0</v>
      </c>
      <c r="J218" t="n">
        <v>0</v>
      </c>
      <c r="K218" t="n">
        <v>0</v>
      </c>
      <c r="L218" t="n">
        <v>0</v>
      </c>
      <c r="M218" t="n">
        <v>0</v>
      </c>
      <c r="N218" t="n">
        <v>0</v>
      </c>
      <c r="O218" t="n">
        <v>0</v>
      </c>
      <c r="P218" t="n">
        <v>0</v>
      </c>
      <c r="Q218" t="n">
        <v>0</v>
      </c>
      <c r="R218" s="2" t="inlineStr"/>
    </row>
    <row r="219" ht="15" customHeight="1">
      <c r="A219" t="inlineStr">
        <is>
          <t>A 65107-2019</t>
        </is>
      </c>
      <c r="B219" s="1" t="n">
        <v>43802</v>
      </c>
      <c r="C219" s="1" t="n">
        <v>45628</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67647-2019</t>
        </is>
      </c>
      <c r="B220" s="1" t="n">
        <v>43808</v>
      </c>
      <c r="C220" s="1" t="n">
        <v>45628</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66802-2019</t>
        </is>
      </c>
      <c r="B221" s="1" t="n">
        <v>43810</v>
      </c>
      <c r="C221" s="1" t="n">
        <v>45628</v>
      </c>
      <c r="D221" t="inlineStr">
        <is>
          <t>UPPSALA LÄN</t>
        </is>
      </c>
      <c r="E221" t="inlineStr">
        <is>
          <t>ÖSTHAMMAR</t>
        </is>
      </c>
      <c r="F221" t="inlineStr">
        <is>
          <t>Bergvik skog öst AB</t>
        </is>
      </c>
      <c r="G221" t="n">
        <v>34.8</v>
      </c>
      <c r="H221" t="n">
        <v>0</v>
      </c>
      <c r="I221" t="n">
        <v>0</v>
      </c>
      <c r="J221" t="n">
        <v>0</v>
      </c>
      <c r="K221" t="n">
        <v>0</v>
      </c>
      <c r="L221" t="n">
        <v>0</v>
      </c>
      <c r="M221" t="n">
        <v>0</v>
      </c>
      <c r="N221" t="n">
        <v>0</v>
      </c>
      <c r="O221" t="n">
        <v>0</v>
      </c>
      <c r="P221" t="n">
        <v>0</v>
      </c>
      <c r="Q221" t="n">
        <v>0</v>
      </c>
      <c r="R221" s="2" t="inlineStr"/>
    </row>
    <row r="222" ht="15" customHeight="1">
      <c r="A222" t="inlineStr">
        <is>
          <t>A 67254-2019</t>
        </is>
      </c>
      <c r="B222" s="1" t="n">
        <v>43812</v>
      </c>
      <c r="C222" s="1" t="n">
        <v>45628</v>
      </c>
      <c r="D222" t="inlineStr">
        <is>
          <t>UPPSALA LÄN</t>
        </is>
      </c>
      <c r="E222" t="inlineStr">
        <is>
          <t>ÖSTHAMMAR</t>
        </is>
      </c>
      <c r="F222" t="inlineStr">
        <is>
          <t>Allmännings- och besparingsskogar</t>
        </is>
      </c>
      <c r="G222" t="n">
        <v>0.8</v>
      </c>
      <c r="H222" t="n">
        <v>0</v>
      </c>
      <c r="I222" t="n">
        <v>0</v>
      </c>
      <c r="J222" t="n">
        <v>0</v>
      </c>
      <c r="K222" t="n">
        <v>0</v>
      </c>
      <c r="L222" t="n">
        <v>0</v>
      </c>
      <c r="M222" t="n">
        <v>0</v>
      </c>
      <c r="N222" t="n">
        <v>0</v>
      </c>
      <c r="O222" t="n">
        <v>0</v>
      </c>
      <c r="P222" t="n">
        <v>0</v>
      </c>
      <c r="Q222" t="n">
        <v>0</v>
      </c>
      <c r="R222" s="2" t="inlineStr"/>
    </row>
    <row r="223" ht="15" customHeight="1">
      <c r="A223" t="inlineStr">
        <is>
          <t>A 618-2020</t>
        </is>
      </c>
      <c r="B223" s="1" t="n">
        <v>43817</v>
      </c>
      <c r="C223" s="1" t="n">
        <v>45628</v>
      </c>
      <c r="D223" t="inlineStr">
        <is>
          <t>UPPSALA LÄN</t>
        </is>
      </c>
      <c r="E223" t="inlineStr">
        <is>
          <t>ÖSTHAMMAR</t>
        </is>
      </c>
      <c r="G223" t="n">
        <v>3.2</v>
      </c>
      <c r="H223" t="n">
        <v>0</v>
      </c>
      <c r="I223" t="n">
        <v>0</v>
      </c>
      <c r="J223" t="n">
        <v>0</v>
      </c>
      <c r="K223" t="n">
        <v>0</v>
      </c>
      <c r="L223" t="n">
        <v>0</v>
      </c>
      <c r="M223" t="n">
        <v>0</v>
      </c>
      <c r="N223" t="n">
        <v>0</v>
      </c>
      <c r="O223" t="n">
        <v>0</v>
      </c>
      <c r="P223" t="n">
        <v>0</v>
      </c>
      <c r="Q223" t="n">
        <v>0</v>
      </c>
      <c r="R223" s="2" t="inlineStr"/>
    </row>
    <row r="224" ht="15" customHeight="1">
      <c r="A224" t="inlineStr">
        <is>
          <t>A 68870-2019</t>
        </is>
      </c>
      <c r="B224" s="1" t="n">
        <v>43821</v>
      </c>
      <c r="C224" s="1" t="n">
        <v>45628</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68871-2019</t>
        </is>
      </c>
      <c r="B225" s="1" t="n">
        <v>43821</v>
      </c>
      <c r="C225" s="1" t="n">
        <v>45628</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68868-2019</t>
        </is>
      </c>
      <c r="B226" s="1" t="n">
        <v>43821</v>
      </c>
      <c r="C226" s="1" t="n">
        <v>45628</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685-2020</t>
        </is>
      </c>
      <c r="B227" s="1" t="n">
        <v>43838</v>
      </c>
      <c r="C227" s="1" t="n">
        <v>45628</v>
      </c>
      <c r="D227" t="inlineStr">
        <is>
          <t>UPPSALA LÄN</t>
        </is>
      </c>
      <c r="E227" t="inlineStr">
        <is>
          <t>ÖSTHAMMAR</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1685-2020</t>
        </is>
      </c>
      <c r="B228" s="1" t="n">
        <v>43844</v>
      </c>
      <c r="C228" s="1" t="n">
        <v>45628</v>
      </c>
      <c r="D228" t="inlineStr">
        <is>
          <t>UPPSALA LÄN</t>
        </is>
      </c>
      <c r="E228" t="inlineStr">
        <is>
          <t>ÖSTHAMMAR</t>
        </is>
      </c>
      <c r="F228" t="inlineStr">
        <is>
          <t>Övriga Aktiebolag</t>
        </is>
      </c>
      <c r="G228" t="n">
        <v>4.3</v>
      </c>
      <c r="H228" t="n">
        <v>0</v>
      </c>
      <c r="I228" t="n">
        <v>0</v>
      </c>
      <c r="J228" t="n">
        <v>0</v>
      </c>
      <c r="K228" t="n">
        <v>0</v>
      </c>
      <c r="L228" t="n">
        <v>0</v>
      </c>
      <c r="M228" t="n">
        <v>0</v>
      </c>
      <c r="N228" t="n">
        <v>0</v>
      </c>
      <c r="O228" t="n">
        <v>0</v>
      </c>
      <c r="P228" t="n">
        <v>0</v>
      </c>
      <c r="Q228" t="n">
        <v>0</v>
      </c>
      <c r="R228" s="2" t="inlineStr"/>
    </row>
    <row r="229" ht="15" customHeight="1">
      <c r="A229" t="inlineStr">
        <is>
          <t>A 1681-2020</t>
        </is>
      </c>
      <c r="B229" s="1" t="n">
        <v>43844</v>
      </c>
      <c r="C229" s="1" t="n">
        <v>45628</v>
      </c>
      <c r="D229" t="inlineStr">
        <is>
          <t>UPPSALA LÄN</t>
        </is>
      </c>
      <c r="E229" t="inlineStr">
        <is>
          <t>ÖSTHAMMAR</t>
        </is>
      </c>
      <c r="F229" t="inlineStr">
        <is>
          <t>Övriga Aktiebolag</t>
        </is>
      </c>
      <c r="G229" t="n">
        <v>1.6</v>
      </c>
      <c r="H229" t="n">
        <v>0</v>
      </c>
      <c r="I229" t="n">
        <v>0</v>
      </c>
      <c r="J229" t="n">
        <v>0</v>
      </c>
      <c r="K229" t="n">
        <v>0</v>
      </c>
      <c r="L229" t="n">
        <v>0</v>
      </c>
      <c r="M229" t="n">
        <v>0</v>
      </c>
      <c r="N229" t="n">
        <v>0</v>
      </c>
      <c r="O229" t="n">
        <v>0</v>
      </c>
      <c r="P229" t="n">
        <v>0</v>
      </c>
      <c r="Q229" t="n">
        <v>0</v>
      </c>
      <c r="R229" s="2" t="inlineStr"/>
    </row>
    <row r="230" ht="15" customHeight="1">
      <c r="A230" t="inlineStr">
        <is>
          <t>A 4473-2020</t>
        </is>
      </c>
      <c r="B230" s="1" t="n">
        <v>43850</v>
      </c>
      <c r="C230" s="1" t="n">
        <v>45628</v>
      </c>
      <c r="D230" t="inlineStr">
        <is>
          <t>UPPSALA LÄN</t>
        </is>
      </c>
      <c r="E230" t="inlineStr">
        <is>
          <t>ÖSTHAMMAR</t>
        </is>
      </c>
      <c r="G230" t="n">
        <v>1.4</v>
      </c>
      <c r="H230" t="n">
        <v>0</v>
      </c>
      <c r="I230" t="n">
        <v>0</v>
      </c>
      <c r="J230" t="n">
        <v>0</v>
      </c>
      <c r="K230" t="n">
        <v>0</v>
      </c>
      <c r="L230" t="n">
        <v>0</v>
      </c>
      <c r="M230" t="n">
        <v>0</v>
      </c>
      <c r="N230" t="n">
        <v>0</v>
      </c>
      <c r="O230" t="n">
        <v>0</v>
      </c>
      <c r="P230" t="n">
        <v>0</v>
      </c>
      <c r="Q230" t="n">
        <v>0</v>
      </c>
      <c r="R230" s="2" t="inlineStr"/>
    </row>
    <row r="231" ht="15" customHeight="1">
      <c r="A231" t="inlineStr">
        <is>
          <t>A 3334-2020</t>
        </is>
      </c>
      <c r="B231" s="1" t="n">
        <v>43852</v>
      </c>
      <c r="C231" s="1" t="n">
        <v>45628</v>
      </c>
      <c r="D231" t="inlineStr">
        <is>
          <t>UPPSALA LÄN</t>
        </is>
      </c>
      <c r="E231" t="inlineStr">
        <is>
          <t>ÖSTHAMMAR</t>
        </is>
      </c>
      <c r="G231" t="n">
        <v>2.5</v>
      </c>
      <c r="H231" t="n">
        <v>0</v>
      </c>
      <c r="I231" t="n">
        <v>0</v>
      </c>
      <c r="J231" t="n">
        <v>0</v>
      </c>
      <c r="K231" t="n">
        <v>0</v>
      </c>
      <c r="L231" t="n">
        <v>0</v>
      </c>
      <c r="M231" t="n">
        <v>0</v>
      </c>
      <c r="N231" t="n">
        <v>0</v>
      </c>
      <c r="O231" t="n">
        <v>0</v>
      </c>
      <c r="P231" t="n">
        <v>0</v>
      </c>
      <c r="Q231" t="n">
        <v>0</v>
      </c>
      <c r="R231" s="2" t="inlineStr"/>
    </row>
    <row r="232" ht="15" customHeight="1">
      <c r="A232" t="inlineStr">
        <is>
          <t>A 3984-2020</t>
        </is>
      </c>
      <c r="B232" s="1" t="n">
        <v>43855</v>
      </c>
      <c r="C232" s="1" t="n">
        <v>45628</v>
      </c>
      <c r="D232" t="inlineStr">
        <is>
          <t>UPPSALA LÄN</t>
        </is>
      </c>
      <c r="E232" t="inlineStr">
        <is>
          <t>ÖSTHAMMAR</t>
        </is>
      </c>
      <c r="F232" t="inlineStr">
        <is>
          <t>Bergvik skog öst AB</t>
        </is>
      </c>
      <c r="G232" t="n">
        <v>1.1</v>
      </c>
      <c r="H232" t="n">
        <v>0</v>
      </c>
      <c r="I232" t="n">
        <v>0</v>
      </c>
      <c r="J232" t="n">
        <v>0</v>
      </c>
      <c r="K232" t="n">
        <v>0</v>
      </c>
      <c r="L232" t="n">
        <v>0</v>
      </c>
      <c r="M232" t="n">
        <v>0</v>
      </c>
      <c r="N232" t="n">
        <v>0</v>
      </c>
      <c r="O232" t="n">
        <v>0</v>
      </c>
      <c r="P232" t="n">
        <v>0</v>
      </c>
      <c r="Q232" t="n">
        <v>0</v>
      </c>
      <c r="R232" s="2" t="inlineStr"/>
    </row>
    <row r="233" ht="15" customHeight="1">
      <c r="A233" t="inlineStr">
        <is>
          <t>A 6052-2020</t>
        </is>
      </c>
      <c r="B233" s="1" t="n">
        <v>43864</v>
      </c>
      <c r="C233" s="1" t="n">
        <v>45628</v>
      </c>
      <c r="D233" t="inlineStr">
        <is>
          <t>UPPSALA LÄN</t>
        </is>
      </c>
      <c r="E233" t="inlineStr">
        <is>
          <t>ÖSTHAMMAR</t>
        </is>
      </c>
      <c r="G233" t="n">
        <v>0.4</v>
      </c>
      <c r="H233" t="n">
        <v>0</v>
      </c>
      <c r="I233" t="n">
        <v>0</v>
      </c>
      <c r="J233" t="n">
        <v>0</v>
      </c>
      <c r="K233" t="n">
        <v>0</v>
      </c>
      <c r="L233" t="n">
        <v>0</v>
      </c>
      <c r="M233" t="n">
        <v>0</v>
      </c>
      <c r="N233" t="n">
        <v>0</v>
      </c>
      <c r="O233" t="n">
        <v>0</v>
      </c>
      <c r="P233" t="n">
        <v>0</v>
      </c>
      <c r="Q233" t="n">
        <v>0</v>
      </c>
      <c r="R233" s="2" t="inlineStr"/>
    </row>
    <row r="234" ht="15" customHeight="1">
      <c r="A234" t="inlineStr">
        <is>
          <t>A 6026-2020</t>
        </is>
      </c>
      <c r="B234" s="1" t="n">
        <v>43865</v>
      </c>
      <c r="C234" s="1" t="n">
        <v>45628</v>
      </c>
      <c r="D234" t="inlineStr">
        <is>
          <t>UPPSALA LÄN</t>
        </is>
      </c>
      <c r="E234" t="inlineStr">
        <is>
          <t>ÖSTHAMMAR</t>
        </is>
      </c>
      <c r="F234" t="inlineStr">
        <is>
          <t>Övriga Aktiebolag</t>
        </is>
      </c>
      <c r="G234" t="n">
        <v>0.3</v>
      </c>
      <c r="H234" t="n">
        <v>0</v>
      </c>
      <c r="I234" t="n">
        <v>0</v>
      </c>
      <c r="J234" t="n">
        <v>0</v>
      </c>
      <c r="K234" t="n">
        <v>0</v>
      </c>
      <c r="L234" t="n">
        <v>0</v>
      </c>
      <c r="M234" t="n">
        <v>0</v>
      </c>
      <c r="N234" t="n">
        <v>0</v>
      </c>
      <c r="O234" t="n">
        <v>0</v>
      </c>
      <c r="P234" t="n">
        <v>0</v>
      </c>
      <c r="Q234" t="n">
        <v>0</v>
      </c>
      <c r="R234" s="2" t="inlineStr"/>
    </row>
    <row r="235" ht="15" customHeight="1">
      <c r="A235" t="inlineStr">
        <is>
          <t>A 6791-2020</t>
        </is>
      </c>
      <c r="B235" s="1" t="n">
        <v>43867</v>
      </c>
      <c r="C235" s="1" t="n">
        <v>45628</v>
      </c>
      <c r="D235" t="inlineStr">
        <is>
          <t>UPPSALA LÄN</t>
        </is>
      </c>
      <c r="E235" t="inlineStr">
        <is>
          <t>ÖSTHAMMAR</t>
        </is>
      </c>
      <c r="G235" t="n">
        <v>3</v>
      </c>
      <c r="H235" t="n">
        <v>0</v>
      </c>
      <c r="I235" t="n">
        <v>0</v>
      </c>
      <c r="J235" t="n">
        <v>0</v>
      </c>
      <c r="K235" t="n">
        <v>0</v>
      </c>
      <c r="L235" t="n">
        <v>0</v>
      </c>
      <c r="M235" t="n">
        <v>0</v>
      </c>
      <c r="N235" t="n">
        <v>0</v>
      </c>
      <c r="O235" t="n">
        <v>0</v>
      </c>
      <c r="P235" t="n">
        <v>0</v>
      </c>
      <c r="Q235" t="n">
        <v>0</v>
      </c>
      <c r="R235" s="2" t="inlineStr"/>
    </row>
    <row r="236" ht="15" customHeight="1">
      <c r="A236" t="inlineStr">
        <is>
          <t>A 7847-2020</t>
        </is>
      </c>
      <c r="B236" s="1" t="n">
        <v>43873</v>
      </c>
      <c r="C236" s="1" t="n">
        <v>45628</v>
      </c>
      <c r="D236" t="inlineStr">
        <is>
          <t>UPPSALA LÄN</t>
        </is>
      </c>
      <c r="E236" t="inlineStr">
        <is>
          <t>ÖSTHAMMAR</t>
        </is>
      </c>
      <c r="F236" t="inlineStr">
        <is>
          <t>Övriga Aktiebolag</t>
        </is>
      </c>
      <c r="G236" t="n">
        <v>15.3</v>
      </c>
      <c r="H236" t="n">
        <v>0</v>
      </c>
      <c r="I236" t="n">
        <v>0</v>
      </c>
      <c r="J236" t="n">
        <v>0</v>
      </c>
      <c r="K236" t="n">
        <v>0</v>
      </c>
      <c r="L236" t="n">
        <v>0</v>
      </c>
      <c r="M236" t="n">
        <v>0</v>
      </c>
      <c r="N236" t="n">
        <v>0</v>
      </c>
      <c r="O236" t="n">
        <v>0</v>
      </c>
      <c r="P236" t="n">
        <v>0</v>
      </c>
      <c r="Q236" t="n">
        <v>0</v>
      </c>
      <c r="R236" s="2" t="inlineStr"/>
    </row>
    <row r="237" ht="15" customHeight="1">
      <c r="A237" t="inlineStr">
        <is>
          <t>A 10008-2020</t>
        </is>
      </c>
      <c r="B237" s="1" t="n">
        <v>43882</v>
      </c>
      <c r="C237" s="1" t="n">
        <v>45628</v>
      </c>
      <c r="D237" t="inlineStr">
        <is>
          <t>UPPSALA LÄN</t>
        </is>
      </c>
      <c r="E237" t="inlineStr">
        <is>
          <t>ÖSTHAMMAR</t>
        </is>
      </c>
      <c r="G237" t="n">
        <v>1</v>
      </c>
      <c r="H237" t="n">
        <v>0</v>
      </c>
      <c r="I237" t="n">
        <v>0</v>
      </c>
      <c r="J237" t="n">
        <v>0</v>
      </c>
      <c r="K237" t="n">
        <v>0</v>
      </c>
      <c r="L237" t="n">
        <v>0</v>
      </c>
      <c r="M237" t="n">
        <v>0</v>
      </c>
      <c r="N237" t="n">
        <v>0</v>
      </c>
      <c r="O237" t="n">
        <v>0</v>
      </c>
      <c r="P237" t="n">
        <v>0</v>
      </c>
      <c r="Q237" t="n">
        <v>0</v>
      </c>
      <c r="R237" s="2" t="inlineStr"/>
    </row>
    <row r="238" ht="15" customHeight="1">
      <c r="A238" t="inlineStr">
        <is>
          <t>A 10345-2020</t>
        </is>
      </c>
      <c r="B238" s="1" t="n">
        <v>43885</v>
      </c>
      <c r="C238" s="1" t="n">
        <v>45628</v>
      </c>
      <c r="D238" t="inlineStr">
        <is>
          <t>UPPSALA LÄN</t>
        </is>
      </c>
      <c r="E238" t="inlineStr">
        <is>
          <t>ÖSTHAMMAR</t>
        </is>
      </c>
      <c r="F238" t="inlineStr">
        <is>
          <t>Allmännings- och besparingsskogar</t>
        </is>
      </c>
      <c r="G238" t="n">
        <v>1.1</v>
      </c>
      <c r="H238" t="n">
        <v>0</v>
      </c>
      <c r="I238" t="n">
        <v>0</v>
      </c>
      <c r="J238" t="n">
        <v>0</v>
      </c>
      <c r="K238" t="n">
        <v>0</v>
      </c>
      <c r="L238" t="n">
        <v>0</v>
      </c>
      <c r="M238" t="n">
        <v>0</v>
      </c>
      <c r="N238" t="n">
        <v>0</v>
      </c>
      <c r="O238" t="n">
        <v>0</v>
      </c>
      <c r="P238" t="n">
        <v>0</v>
      </c>
      <c r="Q238" t="n">
        <v>0</v>
      </c>
      <c r="R238" s="2" t="inlineStr"/>
    </row>
    <row r="239" ht="15" customHeight="1">
      <c r="A239" t="inlineStr">
        <is>
          <t>A 10347-2020</t>
        </is>
      </c>
      <c r="B239" s="1" t="n">
        <v>43885</v>
      </c>
      <c r="C239" s="1" t="n">
        <v>45628</v>
      </c>
      <c r="D239" t="inlineStr">
        <is>
          <t>UPPSALA LÄN</t>
        </is>
      </c>
      <c r="E239" t="inlineStr">
        <is>
          <t>ÖSTHAMMAR</t>
        </is>
      </c>
      <c r="F239" t="inlineStr">
        <is>
          <t>Allmännings- och besparingsskogar</t>
        </is>
      </c>
      <c r="G239" t="n">
        <v>1.2</v>
      </c>
      <c r="H239" t="n">
        <v>0</v>
      </c>
      <c r="I239" t="n">
        <v>0</v>
      </c>
      <c r="J239" t="n">
        <v>0</v>
      </c>
      <c r="K239" t="n">
        <v>0</v>
      </c>
      <c r="L239" t="n">
        <v>0</v>
      </c>
      <c r="M239" t="n">
        <v>0</v>
      </c>
      <c r="N239" t="n">
        <v>0</v>
      </c>
      <c r="O239" t="n">
        <v>0</v>
      </c>
      <c r="P239" t="n">
        <v>0</v>
      </c>
      <c r="Q239" t="n">
        <v>0</v>
      </c>
      <c r="R239" s="2" t="inlineStr"/>
    </row>
    <row r="240" ht="15" customHeight="1">
      <c r="A240" t="inlineStr">
        <is>
          <t>A 12080-2020</t>
        </is>
      </c>
      <c r="B240" s="1" t="n">
        <v>43895</v>
      </c>
      <c r="C240" s="1" t="n">
        <v>45628</v>
      </c>
      <c r="D240" t="inlineStr">
        <is>
          <t>UPPSALA LÄN</t>
        </is>
      </c>
      <c r="E240" t="inlineStr">
        <is>
          <t>ÖSTHAMMAR</t>
        </is>
      </c>
      <c r="F240" t="inlineStr">
        <is>
          <t>Övriga Aktiebolag</t>
        </is>
      </c>
      <c r="G240" t="n">
        <v>13.9</v>
      </c>
      <c r="H240" t="n">
        <v>0</v>
      </c>
      <c r="I240" t="n">
        <v>0</v>
      </c>
      <c r="J240" t="n">
        <v>0</v>
      </c>
      <c r="K240" t="n">
        <v>0</v>
      </c>
      <c r="L240" t="n">
        <v>0</v>
      </c>
      <c r="M240" t="n">
        <v>0</v>
      </c>
      <c r="N240" t="n">
        <v>0</v>
      </c>
      <c r="O240" t="n">
        <v>0</v>
      </c>
      <c r="P240" t="n">
        <v>0</v>
      </c>
      <c r="Q240" t="n">
        <v>0</v>
      </c>
      <c r="R240" s="2" t="inlineStr"/>
    </row>
    <row r="241" ht="15" customHeight="1">
      <c r="A241" t="inlineStr">
        <is>
          <t>A 13112-2020</t>
        </is>
      </c>
      <c r="B241" s="1" t="n">
        <v>43901</v>
      </c>
      <c r="C241" s="1" t="n">
        <v>45628</v>
      </c>
      <c r="D241" t="inlineStr">
        <is>
          <t>UPPSALA LÄN</t>
        </is>
      </c>
      <c r="E241" t="inlineStr">
        <is>
          <t>ÖSTHAMMAR</t>
        </is>
      </c>
      <c r="F241" t="inlineStr">
        <is>
          <t>Övriga Aktiebolag</t>
        </is>
      </c>
      <c r="G241" t="n">
        <v>6.5</v>
      </c>
      <c r="H241" t="n">
        <v>0</v>
      </c>
      <c r="I241" t="n">
        <v>0</v>
      </c>
      <c r="J241" t="n">
        <v>0</v>
      </c>
      <c r="K241" t="n">
        <v>0</v>
      </c>
      <c r="L241" t="n">
        <v>0</v>
      </c>
      <c r="M241" t="n">
        <v>0</v>
      </c>
      <c r="N241" t="n">
        <v>0</v>
      </c>
      <c r="O241" t="n">
        <v>0</v>
      </c>
      <c r="P241" t="n">
        <v>0</v>
      </c>
      <c r="Q241" t="n">
        <v>0</v>
      </c>
      <c r="R241" s="2" t="inlineStr"/>
    </row>
    <row r="242" ht="15" customHeight="1">
      <c r="A242" t="inlineStr">
        <is>
          <t>A 13310-2020</t>
        </is>
      </c>
      <c r="B242" s="1" t="n">
        <v>43902</v>
      </c>
      <c r="C242" s="1" t="n">
        <v>45628</v>
      </c>
      <c r="D242" t="inlineStr">
        <is>
          <t>UPPSALA LÄN</t>
        </is>
      </c>
      <c r="E242" t="inlineStr">
        <is>
          <t>ÖSTHAMMAR</t>
        </is>
      </c>
      <c r="F242" t="inlineStr">
        <is>
          <t>Bergvik skog öst AB</t>
        </is>
      </c>
      <c r="G242" t="n">
        <v>14.4</v>
      </c>
      <c r="H242" t="n">
        <v>0</v>
      </c>
      <c r="I242" t="n">
        <v>0</v>
      </c>
      <c r="J242" t="n">
        <v>0</v>
      </c>
      <c r="K242" t="n">
        <v>0</v>
      </c>
      <c r="L242" t="n">
        <v>0</v>
      </c>
      <c r="M242" t="n">
        <v>0</v>
      </c>
      <c r="N242" t="n">
        <v>0</v>
      </c>
      <c r="O242" t="n">
        <v>0</v>
      </c>
      <c r="P242" t="n">
        <v>0</v>
      </c>
      <c r="Q242" t="n">
        <v>0</v>
      </c>
      <c r="R242" s="2" t="inlineStr"/>
    </row>
    <row r="243" ht="15" customHeight="1">
      <c r="A243" t="inlineStr">
        <is>
          <t>A 13595-2020</t>
        </is>
      </c>
      <c r="B243" s="1" t="n">
        <v>43903</v>
      </c>
      <c r="C243" s="1" t="n">
        <v>45628</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13945-2020</t>
        </is>
      </c>
      <c r="B244" s="1" t="n">
        <v>43906</v>
      </c>
      <c r="C244" s="1" t="n">
        <v>45628</v>
      </c>
      <c r="D244" t="inlineStr">
        <is>
          <t>UPPSALA LÄN</t>
        </is>
      </c>
      <c r="E244" t="inlineStr">
        <is>
          <t>ÖSTHAMMAR</t>
        </is>
      </c>
      <c r="G244" t="n">
        <v>3.5</v>
      </c>
      <c r="H244" t="n">
        <v>0</v>
      </c>
      <c r="I244" t="n">
        <v>0</v>
      </c>
      <c r="J244" t="n">
        <v>0</v>
      </c>
      <c r="K244" t="n">
        <v>0</v>
      </c>
      <c r="L244" t="n">
        <v>0</v>
      </c>
      <c r="M244" t="n">
        <v>0</v>
      </c>
      <c r="N244" t="n">
        <v>0</v>
      </c>
      <c r="O244" t="n">
        <v>0</v>
      </c>
      <c r="P244" t="n">
        <v>0</v>
      </c>
      <c r="Q244" t="n">
        <v>0</v>
      </c>
      <c r="R244" s="2" t="inlineStr"/>
    </row>
    <row r="245" ht="15" customHeight="1">
      <c r="A245" t="inlineStr">
        <is>
          <t>A 14802-2020</t>
        </is>
      </c>
      <c r="B245" s="1" t="n">
        <v>43909</v>
      </c>
      <c r="C245" s="1" t="n">
        <v>45628</v>
      </c>
      <c r="D245" t="inlineStr">
        <is>
          <t>UPPSALA LÄN</t>
        </is>
      </c>
      <c r="E245" t="inlineStr">
        <is>
          <t>ÖSTHAMMAR</t>
        </is>
      </c>
      <c r="F245" t="inlineStr">
        <is>
          <t>Allmännings- och besparingsskogar</t>
        </is>
      </c>
      <c r="G245" t="n">
        <v>0.9</v>
      </c>
      <c r="H245" t="n">
        <v>0</v>
      </c>
      <c r="I245" t="n">
        <v>0</v>
      </c>
      <c r="J245" t="n">
        <v>0</v>
      </c>
      <c r="K245" t="n">
        <v>0</v>
      </c>
      <c r="L245" t="n">
        <v>0</v>
      </c>
      <c r="M245" t="n">
        <v>0</v>
      </c>
      <c r="N245" t="n">
        <v>0</v>
      </c>
      <c r="O245" t="n">
        <v>0</v>
      </c>
      <c r="P245" t="n">
        <v>0</v>
      </c>
      <c r="Q245" t="n">
        <v>0</v>
      </c>
      <c r="R245" s="2" t="inlineStr"/>
    </row>
    <row r="246" ht="15" customHeight="1">
      <c r="A246" t="inlineStr">
        <is>
          <t>A 14817-2020</t>
        </is>
      </c>
      <c r="B246" s="1" t="n">
        <v>43909</v>
      </c>
      <c r="C246" s="1" t="n">
        <v>45628</v>
      </c>
      <c r="D246" t="inlineStr">
        <is>
          <t>UPPSALA LÄN</t>
        </is>
      </c>
      <c r="E246" t="inlineStr">
        <is>
          <t>ÖSTHAMMAR</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15067-2020</t>
        </is>
      </c>
      <c r="B247" s="1" t="n">
        <v>43910</v>
      </c>
      <c r="C247" s="1" t="n">
        <v>45628</v>
      </c>
      <c r="D247" t="inlineStr">
        <is>
          <t>UPPSALA LÄN</t>
        </is>
      </c>
      <c r="E247" t="inlineStr">
        <is>
          <t>ÖSTHAMMAR</t>
        </is>
      </c>
      <c r="F247" t="inlineStr">
        <is>
          <t>Bergvik skog öst AB</t>
        </is>
      </c>
      <c r="G247" t="n">
        <v>20.5</v>
      </c>
      <c r="H247" t="n">
        <v>0</v>
      </c>
      <c r="I247" t="n">
        <v>0</v>
      </c>
      <c r="J247" t="n">
        <v>0</v>
      </c>
      <c r="K247" t="n">
        <v>0</v>
      </c>
      <c r="L247" t="n">
        <v>0</v>
      </c>
      <c r="M247" t="n">
        <v>0</v>
      </c>
      <c r="N247" t="n">
        <v>0</v>
      </c>
      <c r="O247" t="n">
        <v>0</v>
      </c>
      <c r="P247" t="n">
        <v>0</v>
      </c>
      <c r="Q247" t="n">
        <v>0</v>
      </c>
      <c r="R247" s="2" t="inlineStr"/>
    </row>
    <row r="248" ht="15" customHeight="1">
      <c r="A248" t="inlineStr">
        <is>
          <t>A 17549-2020</t>
        </is>
      </c>
      <c r="B248" s="1" t="n">
        <v>43920</v>
      </c>
      <c r="C248" s="1" t="n">
        <v>45628</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19556-2020</t>
        </is>
      </c>
      <c r="B249" s="1" t="n">
        <v>43936</v>
      </c>
      <c r="C249" s="1" t="n">
        <v>45628</v>
      </c>
      <c r="D249" t="inlineStr">
        <is>
          <t>UPPSALA LÄN</t>
        </is>
      </c>
      <c r="E249" t="inlineStr">
        <is>
          <t>ÖSTHAMMAR</t>
        </is>
      </c>
      <c r="G249" t="n">
        <v>6.3</v>
      </c>
      <c r="H249" t="n">
        <v>0</v>
      </c>
      <c r="I249" t="n">
        <v>0</v>
      </c>
      <c r="J249" t="n">
        <v>0</v>
      </c>
      <c r="K249" t="n">
        <v>0</v>
      </c>
      <c r="L249" t="n">
        <v>0</v>
      </c>
      <c r="M249" t="n">
        <v>0</v>
      </c>
      <c r="N249" t="n">
        <v>0</v>
      </c>
      <c r="O249" t="n">
        <v>0</v>
      </c>
      <c r="P249" t="n">
        <v>0</v>
      </c>
      <c r="Q249" t="n">
        <v>0</v>
      </c>
      <c r="R249" s="2" t="inlineStr"/>
    </row>
    <row r="250" ht="15" customHeight="1">
      <c r="A250" t="inlineStr">
        <is>
          <t>A 23621-2020</t>
        </is>
      </c>
      <c r="B250" s="1" t="n">
        <v>43969</v>
      </c>
      <c r="C250" s="1" t="n">
        <v>45628</v>
      </c>
      <c r="D250" t="inlineStr">
        <is>
          <t>UPPSALA LÄN</t>
        </is>
      </c>
      <c r="E250" t="inlineStr">
        <is>
          <t>ÖSTHAMMAR</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26198-2020</t>
        </is>
      </c>
      <c r="B251" s="1" t="n">
        <v>43986</v>
      </c>
      <c r="C251" s="1" t="n">
        <v>45628</v>
      </c>
      <c r="D251" t="inlineStr">
        <is>
          <t>UPPSALA LÄN</t>
        </is>
      </c>
      <c r="E251" t="inlineStr">
        <is>
          <t>ÖSTHAMMAR</t>
        </is>
      </c>
      <c r="F251" t="inlineStr">
        <is>
          <t>Bergvik skog öst AB</t>
        </is>
      </c>
      <c r="G251" t="n">
        <v>0.3</v>
      </c>
      <c r="H251" t="n">
        <v>0</v>
      </c>
      <c r="I251" t="n">
        <v>0</v>
      </c>
      <c r="J251" t="n">
        <v>0</v>
      </c>
      <c r="K251" t="n">
        <v>0</v>
      </c>
      <c r="L251" t="n">
        <v>0</v>
      </c>
      <c r="M251" t="n">
        <v>0</v>
      </c>
      <c r="N251" t="n">
        <v>0</v>
      </c>
      <c r="O251" t="n">
        <v>0</v>
      </c>
      <c r="P251" t="n">
        <v>0</v>
      </c>
      <c r="Q251" t="n">
        <v>0</v>
      </c>
      <c r="R251" s="2" t="inlineStr"/>
    </row>
    <row r="252" ht="15" customHeight="1">
      <c r="A252" t="inlineStr">
        <is>
          <t>A 30338-2020</t>
        </is>
      </c>
      <c r="B252" s="1" t="n">
        <v>44007</v>
      </c>
      <c r="C252" s="1" t="n">
        <v>45628</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30419-2020</t>
        </is>
      </c>
      <c r="B253" s="1" t="n">
        <v>44007</v>
      </c>
      <c r="C253" s="1" t="n">
        <v>45628</v>
      </c>
      <c r="D253" t="inlineStr">
        <is>
          <t>UPPSALA LÄN</t>
        </is>
      </c>
      <c r="E253" t="inlineStr">
        <is>
          <t>ÖSTHAMMAR</t>
        </is>
      </c>
      <c r="G253" t="n">
        <v>5.6</v>
      </c>
      <c r="H253" t="n">
        <v>0</v>
      </c>
      <c r="I253" t="n">
        <v>0</v>
      </c>
      <c r="J253" t="n">
        <v>0</v>
      </c>
      <c r="K253" t="n">
        <v>0</v>
      </c>
      <c r="L253" t="n">
        <v>0</v>
      </c>
      <c r="M253" t="n">
        <v>0</v>
      </c>
      <c r="N253" t="n">
        <v>0</v>
      </c>
      <c r="O253" t="n">
        <v>0</v>
      </c>
      <c r="P253" t="n">
        <v>0</v>
      </c>
      <c r="Q253" t="n">
        <v>0</v>
      </c>
      <c r="R253" s="2" t="inlineStr"/>
    </row>
    <row r="254" ht="15" customHeight="1">
      <c r="A254" t="inlineStr">
        <is>
          <t>A 32192-2020</t>
        </is>
      </c>
      <c r="B254" s="1" t="n">
        <v>44015</v>
      </c>
      <c r="C254" s="1" t="n">
        <v>45628</v>
      </c>
      <c r="D254" t="inlineStr">
        <is>
          <t>UPPSALA LÄN</t>
        </is>
      </c>
      <c r="E254" t="inlineStr">
        <is>
          <t>ÖSTHAMMAR</t>
        </is>
      </c>
      <c r="G254" t="n">
        <v>1.6</v>
      </c>
      <c r="H254" t="n">
        <v>0</v>
      </c>
      <c r="I254" t="n">
        <v>0</v>
      </c>
      <c r="J254" t="n">
        <v>0</v>
      </c>
      <c r="K254" t="n">
        <v>0</v>
      </c>
      <c r="L254" t="n">
        <v>0</v>
      </c>
      <c r="M254" t="n">
        <v>0</v>
      </c>
      <c r="N254" t="n">
        <v>0</v>
      </c>
      <c r="O254" t="n">
        <v>0</v>
      </c>
      <c r="P254" t="n">
        <v>0</v>
      </c>
      <c r="Q254" t="n">
        <v>0</v>
      </c>
      <c r="R254" s="2" t="inlineStr"/>
    </row>
    <row r="255" ht="15" customHeight="1">
      <c r="A255" t="inlineStr">
        <is>
          <t>A 33098-2020</t>
        </is>
      </c>
      <c r="B255" s="1" t="n">
        <v>44021</v>
      </c>
      <c r="C255" s="1" t="n">
        <v>45628</v>
      </c>
      <c r="D255" t="inlineStr">
        <is>
          <t>UPPSALA LÄN</t>
        </is>
      </c>
      <c r="E255" t="inlineStr">
        <is>
          <t>ÖSTHAMMAR</t>
        </is>
      </c>
      <c r="G255" t="n">
        <v>3.8</v>
      </c>
      <c r="H255" t="n">
        <v>0</v>
      </c>
      <c r="I255" t="n">
        <v>0</v>
      </c>
      <c r="J255" t="n">
        <v>0</v>
      </c>
      <c r="K255" t="n">
        <v>0</v>
      </c>
      <c r="L255" t="n">
        <v>0</v>
      </c>
      <c r="M255" t="n">
        <v>0</v>
      </c>
      <c r="N255" t="n">
        <v>0</v>
      </c>
      <c r="O255" t="n">
        <v>0</v>
      </c>
      <c r="P255" t="n">
        <v>0</v>
      </c>
      <c r="Q255" t="n">
        <v>0</v>
      </c>
      <c r="R255" s="2" t="inlineStr"/>
    </row>
    <row r="256" ht="15" customHeight="1">
      <c r="A256" t="inlineStr">
        <is>
          <t>A 34943-2020</t>
        </is>
      </c>
      <c r="B256" s="1" t="n">
        <v>44038</v>
      </c>
      <c r="C256" s="1" t="n">
        <v>45628</v>
      </c>
      <c r="D256" t="inlineStr">
        <is>
          <t>UPPSALA LÄN</t>
        </is>
      </c>
      <c r="E256" t="inlineStr">
        <is>
          <t>ÖSTHAMMAR</t>
        </is>
      </c>
      <c r="F256" t="inlineStr">
        <is>
          <t>Bergvik skog öst AB</t>
        </is>
      </c>
      <c r="G256" t="n">
        <v>4.2</v>
      </c>
      <c r="H256" t="n">
        <v>0</v>
      </c>
      <c r="I256" t="n">
        <v>0</v>
      </c>
      <c r="J256" t="n">
        <v>0</v>
      </c>
      <c r="K256" t="n">
        <v>0</v>
      </c>
      <c r="L256" t="n">
        <v>0</v>
      </c>
      <c r="M256" t="n">
        <v>0</v>
      </c>
      <c r="N256" t="n">
        <v>0</v>
      </c>
      <c r="O256" t="n">
        <v>0</v>
      </c>
      <c r="P256" t="n">
        <v>0</v>
      </c>
      <c r="Q256" t="n">
        <v>0</v>
      </c>
      <c r="R256" s="2" t="inlineStr"/>
    </row>
    <row r="257" ht="15" customHeight="1">
      <c r="A257" t="inlineStr">
        <is>
          <t>A 34941-2020</t>
        </is>
      </c>
      <c r="B257" s="1" t="n">
        <v>44038</v>
      </c>
      <c r="C257" s="1" t="n">
        <v>45628</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34940-2020</t>
        </is>
      </c>
      <c r="B258" s="1" t="n">
        <v>44038</v>
      </c>
      <c r="C258" s="1" t="n">
        <v>45628</v>
      </c>
      <c r="D258" t="inlineStr">
        <is>
          <t>UPPSALA LÄN</t>
        </is>
      </c>
      <c r="E258" t="inlineStr">
        <is>
          <t>ÖSTHAMMAR</t>
        </is>
      </c>
      <c r="F258" t="inlineStr">
        <is>
          <t>Bergvik skog öst AB</t>
        </is>
      </c>
      <c r="G258" t="n">
        <v>3.5</v>
      </c>
      <c r="H258" t="n">
        <v>0</v>
      </c>
      <c r="I258" t="n">
        <v>0</v>
      </c>
      <c r="J258" t="n">
        <v>0</v>
      </c>
      <c r="K258" t="n">
        <v>0</v>
      </c>
      <c r="L258" t="n">
        <v>0</v>
      </c>
      <c r="M258" t="n">
        <v>0</v>
      </c>
      <c r="N258" t="n">
        <v>0</v>
      </c>
      <c r="O258" t="n">
        <v>0</v>
      </c>
      <c r="P258" t="n">
        <v>0</v>
      </c>
      <c r="Q258" t="n">
        <v>0</v>
      </c>
      <c r="R258" s="2" t="inlineStr"/>
    </row>
    <row r="259" ht="15" customHeight="1">
      <c r="A259" t="inlineStr">
        <is>
          <t>A 35094-2020</t>
        </is>
      </c>
      <c r="B259" s="1" t="n">
        <v>44040</v>
      </c>
      <c r="C259" s="1" t="n">
        <v>45628</v>
      </c>
      <c r="D259" t="inlineStr">
        <is>
          <t>UPPSALA LÄN</t>
        </is>
      </c>
      <c r="E259" t="inlineStr">
        <is>
          <t>ÖSTHAMMAR</t>
        </is>
      </c>
      <c r="F259" t="inlineStr">
        <is>
          <t>Bergvik skog öst AB</t>
        </is>
      </c>
      <c r="G259" t="n">
        <v>14.5</v>
      </c>
      <c r="H259" t="n">
        <v>0</v>
      </c>
      <c r="I259" t="n">
        <v>0</v>
      </c>
      <c r="J259" t="n">
        <v>0</v>
      </c>
      <c r="K259" t="n">
        <v>0</v>
      </c>
      <c r="L259" t="n">
        <v>0</v>
      </c>
      <c r="M259" t="n">
        <v>0</v>
      </c>
      <c r="N259" t="n">
        <v>0</v>
      </c>
      <c r="O259" t="n">
        <v>0</v>
      </c>
      <c r="P259" t="n">
        <v>0</v>
      </c>
      <c r="Q259" t="n">
        <v>0</v>
      </c>
      <c r="R259" s="2" t="inlineStr"/>
    </row>
    <row r="260" ht="15" customHeight="1">
      <c r="A260" t="inlineStr">
        <is>
          <t>A 35096-2020</t>
        </is>
      </c>
      <c r="B260" s="1" t="n">
        <v>44040</v>
      </c>
      <c r="C260" s="1" t="n">
        <v>45628</v>
      </c>
      <c r="D260" t="inlineStr">
        <is>
          <t>UPPSALA LÄN</t>
        </is>
      </c>
      <c r="E260" t="inlineStr">
        <is>
          <t>ÖSTHAMMAR</t>
        </is>
      </c>
      <c r="F260" t="inlineStr">
        <is>
          <t>Bergvik skog öst AB</t>
        </is>
      </c>
      <c r="G260" t="n">
        <v>7.6</v>
      </c>
      <c r="H260" t="n">
        <v>0</v>
      </c>
      <c r="I260" t="n">
        <v>0</v>
      </c>
      <c r="J260" t="n">
        <v>0</v>
      </c>
      <c r="K260" t="n">
        <v>0</v>
      </c>
      <c r="L260" t="n">
        <v>0</v>
      </c>
      <c r="M260" t="n">
        <v>0</v>
      </c>
      <c r="N260" t="n">
        <v>0</v>
      </c>
      <c r="O260" t="n">
        <v>0</v>
      </c>
      <c r="P260" t="n">
        <v>0</v>
      </c>
      <c r="Q260" t="n">
        <v>0</v>
      </c>
      <c r="R260" s="2" t="inlineStr"/>
    </row>
    <row r="261" ht="15" customHeight="1">
      <c r="A261" t="inlineStr">
        <is>
          <t>A 38285-2020</t>
        </is>
      </c>
      <c r="B261" s="1" t="n">
        <v>44060</v>
      </c>
      <c r="C261" s="1" t="n">
        <v>45628</v>
      </c>
      <c r="D261" t="inlineStr">
        <is>
          <t>UPPSALA LÄN</t>
        </is>
      </c>
      <c r="E261" t="inlineStr">
        <is>
          <t>ÖSTHAMMAR</t>
        </is>
      </c>
      <c r="G261" t="n">
        <v>4.7</v>
      </c>
      <c r="H261" t="n">
        <v>0</v>
      </c>
      <c r="I261" t="n">
        <v>0</v>
      </c>
      <c r="J261" t="n">
        <v>0</v>
      </c>
      <c r="K261" t="n">
        <v>0</v>
      </c>
      <c r="L261" t="n">
        <v>0</v>
      </c>
      <c r="M261" t="n">
        <v>0</v>
      </c>
      <c r="N261" t="n">
        <v>0</v>
      </c>
      <c r="O261" t="n">
        <v>0</v>
      </c>
      <c r="P261" t="n">
        <v>0</v>
      </c>
      <c r="Q261" t="n">
        <v>0</v>
      </c>
      <c r="R261" s="2" t="inlineStr"/>
    </row>
    <row r="262" ht="15" customHeight="1">
      <c r="A262" t="inlineStr">
        <is>
          <t>A 38630-2020</t>
        </is>
      </c>
      <c r="B262" s="1" t="n">
        <v>44061</v>
      </c>
      <c r="C262" s="1" t="n">
        <v>45628</v>
      </c>
      <c r="D262" t="inlineStr">
        <is>
          <t>UPPSALA LÄN</t>
        </is>
      </c>
      <c r="E262" t="inlineStr">
        <is>
          <t>ÖSTHAMMAR</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39640-2020</t>
        </is>
      </c>
      <c r="B263" s="1" t="n">
        <v>44064</v>
      </c>
      <c r="C263" s="1" t="n">
        <v>45628</v>
      </c>
      <c r="D263" t="inlineStr">
        <is>
          <t>UPPSALA LÄN</t>
        </is>
      </c>
      <c r="E263" t="inlineStr">
        <is>
          <t>ÖSTHAMMAR</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41849-2020</t>
        </is>
      </c>
      <c r="B264" s="1" t="n">
        <v>44074</v>
      </c>
      <c r="C264" s="1" t="n">
        <v>45628</v>
      </c>
      <c r="D264" t="inlineStr">
        <is>
          <t>UPPSALA LÄN</t>
        </is>
      </c>
      <c r="E264" t="inlineStr">
        <is>
          <t>ÖSTHAMMAR</t>
        </is>
      </c>
      <c r="F264" t="inlineStr">
        <is>
          <t>Bergvik skog öst AB</t>
        </is>
      </c>
      <c r="G264" t="n">
        <v>2.5</v>
      </c>
      <c r="H264" t="n">
        <v>0</v>
      </c>
      <c r="I264" t="n">
        <v>0</v>
      </c>
      <c r="J264" t="n">
        <v>0</v>
      </c>
      <c r="K264" t="n">
        <v>0</v>
      </c>
      <c r="L264" t="n">
        <v>0</v>
      </c>
      <c r="M264" t="n">
        <v>0</v>
      </c>
      <c r="N264" t="n">
        <v>0</v>
      </c>
      <c r="O264" t="n">
        <v>0</v>
      </c>
      <c r="P264" t="n">
        <v>0</v>
      </c>
      <c r="Q264" t="n">
        <v>0</v>
      </c>
      <c r="R264" s="2" t="inlineStr"/>
    </row>
    <row r="265" ht="15" customHeight="1">
      <c r="A265" t="inlineStr">
        <is>
          <t>A 42549-2020</t>
        </is>
      </c>
      <c r="B265" s="1" t="n">
        <v>44077</v>
      </c>
      <c r="C265" s="1" t="n">
        <v>45628</v>
      </c>
      <c r="D265" t="inlineStr">
        <is>
          <t>UPPSALA LÄN</t>
        </is>
      </c>
      <c r="E265" t="inlineStr">
        <is>
          <t>ÖSTHAMMAR</t>
        </is>
      </c>
      <c r="G265" t="n">
        <v>0.4</v>
      </c>
      <c r="H265" t="n">
        <v>0</v>
      </c>
      <c r="I265" t="n">
        <v>0</v>
      </c>
      <c r="J265" t="n">
        <v>0</v>
      </c>
      <c r="K265" t="n">
        <v>0</v>
      </c>
      <c r="L265" t="n">
        <v>0</v>
      </c>
      <c r="M265" t="n">
        <v>0</v>
      </c>
      <c r="N265" t="n">
        <v>0</v>
      </c>
      <c r="O265" t="n">
        <v>0</v>
      </c>
      <c r="P265" t="n">
        <v>0</v>
      </c>
      <c r="Q265" t="n">
        <v>0</v>
      </c>
      <c r="R265" s="2" t="inlineStr"/>
    </row>
    <row r="266" ht="15" customHeight="1">
      <c r="A266" t="inlineStr">
        <is>
          <t>A 46311-2020</t>
        </is>
      </c>
      <c r="B266" s="1" t="n">
        <v>44092</v>
      </c>
      <c r="C266" s="1" t="n">
        <v>45628</v>
      </c>
      <c r="D266" t="inlineStr">
        <is>
          <t>UPPSALA LÄN</t>
        </is>
      </c>
      <c r="E266" t="inlineStr">
        <is>
          <t>ÖSTHAMMAR</t>
        </is>
      </c>
      <c r="F266" t="inlineStr">
        <is>
          <t>Bergvik skog öst AB</t>
        </is>
      </c>
      <c r="G266" t="n">
        <v>4</v>
      </c>
      <c r="H266" t="n">
        <v>0</v>
      </c>
      <c r="I266" t="n">
        <v>0</v>
      </c>
      <c r="J266" t="n">
        <v>0</v>
      </c>
      <c r="K266" t="n">
        <v>0</v>
      </c>
      <c r="L266" t="n">
        <v>0</v>
      </c>
      <c r="M266" t="n">
        <v>0</v>
      </c>
      <c r="N266" t="n">
        <v>0</v>
      </c>
      <c r="O266" t="n">
        <v>0</v>
      </c>
      <c r="P266" t="n">
        <v>0</v>
      </c>
      <c r="Q266" t="n">
        <v>0</v>
      </c>
      <c r="R266" s="2" t="inlineStr"/>
    </row>
    <row r="267" ht="15" customHeight="1">
      <c r="A267" t="inlineStr">
        <is>
          <t>A 46423-2020</t>
        </is>
      </c>
      <c r="B267" s="1" t="n">
        <v>44095</v>
      </c>
      <c r="C267" s="1" t="n">
        <v>45628</v>
      </c>
      <c r="D267" t="inlineStr">
        <is>
          <t>UPPSALA LÄN</t>
        </is>
      </c>
      <c r="E267" t="inlineStr">
        <is>
          <t>ÖSTHAMMAR</t>
        </is>
      </c>
      <c r="G267" t="n">
        <v>3</v>
      </c>
      <c r="H267" t="n">
        <v>0</v>
      </c>
      <c r="I267" t="n">
        <v>0</v>
      </c>
      <c r="J267" t="n">
        <v>0</v>
      </c>
      <c r="K267" t="n">
        <v>0</v>
      </c>
      <c r="L267" t="n">
        <v>0</v>
      </c>
      <c r="M267" t="n">
        <v>0</v>
      </c>
      <c r="N267" t="n">
        <v>0</v>
      </c>
      <c r="O267" t="n">
        <v>0</v>
      </c>
      <c r="P267" t="n">
        <v>0</v>
      </c>
      <c r="Q267" t="n">
        <v>0</v>
      </c>
      <c r="R267" s="2" t="inlineStr"/>
    </row>
    <row r="268" ht="15" customHeight="1">
      <c r="A268" t="inlineStr">
        <is>
          <t>A 47481-2020</t>
        </is>
      </c>
      <c r="B268" s="1" t="n">
        <v>44098</v>
      </c>
      <c r="C268" s="1" t="n">
        <v>45628</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49206-2020</t>
        </is>
      </c>
      <c r="B269" s="1" t="n">
        <v>44105</v>
      </c>
      <c r="C269" s="1" t="n">
        <v>45628</v>
      </c>
      <c r="D269" t="inlineStr">
        <is>
          <t>UPPSALA LÄN</t>
        </is>
      </c>
      <c r="E269" t="inlineStr">
        <is>
          <t>ÖSTHAMMAR</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49336-2020</t>
        </is>
      </c>
      <c r="B270" s="1" t="n">
        <v>44105</v>
      </c>
      <c r="C270" s="1" t="n">
        <v>45628</v>
      </c>
      <c r="D270" t="inlineStr">
        <is>
          <t>UPPSALA LÄN</t>
        </is>
      </c>
      <c r="E270" t="inlineStr">
        <is>
          <t>ÖSTHAMMAR</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52432-2020</t>
        </is>
      </c>
      <c r="B271" s="1" t="n">
        <v>44118</v>
      </c>
      <c r="C271" s="1" t="n">
        <v>45628</v>
      </c>
      <c r="D271" t="inlineStr">
        <is>
          <t>UPPSALA LÄN</t>
        </is>
      </c>
      <c r="E271" t="inlineStr">
        <is>
          <t>ÖSTHAMMAR</t>
        </is>
      </c>
      <c r="G271" t="n">
        <v>2.7</v>
      </c>
      <c r="H271" t="n">
        <v>0</v>
      </c>
      <c r="I271" t="n">
        <v>0</v>
      </c>
      <c r="J271" t="n">
        <v>0</v>
      </c>
      <c r="K271" t="n">
        <v>0</v>
      </c>
      <c r="L271" t="n">
        <v>0</v>
      </c>
      <c r="M271" t="n">
        <v>0</v>
      </c>
      <c r="N271" t="n">
        <v>0</v>
      </c>
      <c r="O271" t="n">
        <v>0</v>
      </c>
      <c r="P271" t="n">
        <v>0</v>
      </c>
      <c r="Q271" t="n">
        <v>0</v>
      </c>
      <c r="R271" s="2" t="inlineStr"/>
    </row>
    <row r="272" ht="15" customHeight="1">
      <c r="A272" t="inlineStr">
        <is>
          <t>A 52434-2020</t>
        </is>
      </c>
      <c r="B272" s="1" t="n">
        <v>44118</v>
      </c>
      <c r="C272" s="1" t="n">
        <v>45628</v>
      </c>
      <c r="D272" t="inlineStr">
        <is>
          <t>UPPSALA LÄN</t>
        </is>
      </c>
      <c r="E272" t="inlineStr">
        <is>
          <t>ÖSTHAMMAR</t>
        </is>
      </c>
      <c r="G272" t="n">
        <v>2.8</v>
      </c>
      <c r="H272" t="n">
        <v>0</v>
      </c>
      <c r="I272" t="n">
        <v>0</v>
      </c>
      <c r="J272" t="n">
        <v>0</v>
      </c>
      <c r="K272" t="n">
        <v>0</v>
      </c>
      <c r="L272" t="n">
        <v>0</v>
      </c>
      <c r="M272" t="n">
        <v>0</v>
      </c>
      <c r="N272" t="n">
        <v>0</v>
      </c>
      <c r="O272" t="n">
        <v>0</v>
      </c>
      <c r="P272" t="n">
        <v>0</v>
      </c>
      <c r="Q272" t="n">
        <v>0</v>
      </c>
      <c r="R272" s="2" t="inlineStr"/>
    </row>
    <row r="273" ht="15" customHeight="1">
      <c r="A273" t="inlineStr">
        <is>
          <t>A 53137-2020</t>
        </is>
      </c>
      <c r="B273" s="1" t="n">
        <v>44120</v>
      </c>
      <c r="C273" s="1" t="n">
        <v>45628</v>
      </c>
      <c r="D273" t="inlineStr">
        <is>
          <t>UPPSALA LÄN</t>
        </is>
      </c>
      <c r="E273" t="inlineStr">
        <is>
          <t>ÖSTHAMMAR</t>
        </is>
      </c>
      <c r="G273" t="n">
        <v>1.9</v>
      </c>
      <c r="H273" t="n">
        <v>0</v>
      </c>
      <c r="I273" t="n">
        <v>0</v>
      </c>
      <c r="J273" t="n">
        <v>0</v>
      </c>
      <c r="K273" t="n">
        <v>0</v>
      </c>
      <c r="L273" t="n">
        <v>0</v>
      </c>
      <c r="M273" t="n">
        <v>0</v>
      </c>
      <c r="N273" t="n">
        <v>0</v>
      </c>
      <c r="O273" t="n">
        <v>0</v>
      </c>
      <c r="P273" t="n">
        <v>0</v>
      </c>
      <c r="Q273" t="n">
        <v>0</v>
      </c>
      <c r="R273" s="2" t="inlineStr"/>
    </row>
    <row r="274" ht="15" customHeight="1">
      <c r="A274" t="inlineStr">
        <is>
          <t>A 55389-2020</t>
        </is>
      </c>
      <c r="B274" s="1" t="n">
        <v>44131</v>
      </c>
      <c r="C274" s="1" t="n">
        <v>45628</v>
      </c>
      <c r="D274" t="inlineStr">
        <is>
          <t>UPPSALA LÄN</t>
        </is>
      </c>
      <c r="E274" t="inlineStr">
        <is>
          <t>ÖSTHAMMAR</t>
        </is>
      </c>
      <c r="G274" t="n">
        <v>1.3</v>
      </c>
      <c r="H274" t="n">
        <v>0</v>
      </c>
      <c r="I274" t="n">
        <v>0</v>
      </c>
      <c r="J274" t="n">
        <v>0</v>
      </c>
      <c r="K274" t="n">
        <v>0</v>
      </c>
      <c r="L274" t="n">
        <v>0</v>
      </c>
      <c r="M274" t="n">
        <v>0</v>
      </c>
      <c r="N274" t="n">
        <v>0</v>
      </c>
      <c r="O274" t="n">
        <v>0</v>
      </c>
      <c r="P274" t="n">
        <v>0</v>
      </c>
      <c r="Q274" t="n">
        <v>0</v>
      </c>
      <c r="R274" s="2" t="inlineStr"/>
    </row>
    <row r="275" ht="15" customHeight="1">
      <c r="A275" t="inlineStr">
        <is>
          <t>A 56041-2020</t>
        </is>
      </c>
      <c r="B275" s="1" t="n">
        <v>44133</v>
      </c>
      <c r="C275" s="1" t="n">
        <v>45628</v>
      </c>
      <c r="D275" t="inlineStr">
        <is>
          <t>UPPSALA LÄN</t>
        </is>
      </c>
      <c r="E275" t="inlineStr">
        <is>
          <t>ÖSTHAMMAR</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56079-2020</t>
        </is>
      </c>
      <c r="B276" s="1" t="n">
        <v>44133</v>
      </c>
      <c r="C276" s="1" t="n">
        <v>45628</v>
      </c>
      <c r="D276" t="inlineStr">
        <is>
          <t>UPPSALA LÄN</t>
        </is>
      </c>
      <c r="E276" t="inlineStr">
        <is>
          <t>ÖSTHAMMAR</t>
        </is>
      </c>
      <c r="F276" t="inlineStr">
        <is>
          <t>Bergvik skog öst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56089-2020</t>
        </is>
      </c>
      <c r="B277" s="1" t="n">
        <v>44133</v>
      </c>
      <c r="C277" s="1" t="n">
        <v>45628</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57408-2020</t>
        </is>
      </c>
      <c r="B278" s="1" t="n">
        <v>44140</v>
      </c>
      <c r="C278" s="1" t="n">
        <v>45628</v>
      </c>
      <c r="D278" t="inlineStr">
        <is>
          <t>UPPSALA LÄN</t>
        </is>
      </c>
      <c r="E278" t="inlineStr">
        <is>
          <t>ÖSTHAMMAR</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59432-2020</t>
        </is>
      </c>
      <c r="B279" s="1" t="n">
        <v>44148</v>
      </c>
      <c r="C279" s="1" t="n">
        <v>45628</v>
      </c>
      <c r="D279" t="inlineStr">
        <is>
          <t>UPPSALA LÄN</t>
        </is>
      </c>
      <c r="E279" t="inlineStr">
        <is>
          <t>ÖSTHAMMAR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59414-2020</t>
        </is>
      </c>
      <c r="B280" s="1" t="n">
        <v>44148</v>
      </c>
      <c r="C280" s="1" t="n">
        <v>45628</v>
      </c>
      <c r="D280" t="inlineStr">
        <is>
          <t>UPPSALA LÄN</t>
        </is>
      </c>
      <c r="E280" t="inlineStr">
        <is>
          <t>ÖSTHAMMAR</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59417-2020</t>
        </is>
      </c>
      <c r="B281" s="1" t="n">
        <v>44148</v>
      </c>
      <c r="C281" s="1" t="n">
        <v>45628</v>
      </c>
      <c r="D281" t="inlineStr">
        <is>
          <t>UPPSALA LÄN</t>
        </is>
      </c>
      <c r="E281" t="inlineStr">
        <is>
          <t>ÖSTHAMMAR</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59714-2020</t>
        </is>
      </c>
      <c r="B282" s="1" t="n">
        <v>44151</v>
      </c>
      <c r="C282" s="1" t="n">
        <v>45628</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59807-2020</t>
        </is>
      </c>
      <c r="B283" s="1" t="n">
        <v>44151</v>
      </c>
      <c r="C283" s="1" t="n">
        <v>45628</v>
      </c>
      <c r="D283" t="inlineStr">
        <is>
          <t>UPPSALA LÄN</t>
        </is>
      </c>
      <c r="E283" t="inlineStr">
        <is>
          <t>ÖSTHAMMAR</t>
        </is>
      </c>
      <c r="G283" t="n">
        <v>3.4</v>
      </c>
      <c r="H283" t="n">
        <v>0</v>
      </c>
      <c r="I283" t="n">
        <v>0</v>
      </c>
      <c r="J283" t="n">
        <v>0</v>
      </c>
      <c r="K283" t="n">
        <v>0</v>
      </c>
      <c r="L283" t="n">
        <v>0</v>
      </c>
      <c r="M283" t="n">
        <v>0</v>
      </c>
      <c r="N283" t="n">
        <v>0</v>
      </c>
      <c r="O283" t="n">
        <v>0</v>
      </c>
      <c r="P283" t="n">
        <v>0</v>
      </c>
      <c r="Q283" t="n">
        <v>0</v>
      </c>
      <c r="R283" s="2" t="inlineStr"/>
    </row>
    <row r="284" ht="15" customHeight="1">
      <c r="A284" t="inlineStr">
        <is>
          <t>A 61193-2020</t>
        </is>
      </c>
      <c r="B284" s="1" t="n">
        <v>44155</v>
      </c>
      <c r="C284" s="1" t="n">
        <v>45628</v>
      </c>
      <c r="D284" t="inlineStr">
        <is>
          <t>UPPSALA LÄN</t>
        </is>
      </c>
      <c r="E284" t="inlineStr">
        <is>
          <t>ÖSTHAMMAR</t>
        </is>
      </c>
      <c r="F284" t="inlineStr">
        <is>
          <t>Övriga Aktiebolag</t>
        </is>
      </c>
      <c r="G284" t="n">
        <v>2.1</v>
      </c>
      <c r="H284" t="n">
        <v>0</v>
      </c>
      <c r="I284" t="n">
        <v>0</v>
      </c>
      <c r="J284" t="n">
        <v>0</v>
      </c>
      <c r="K284" t="n">
        <v>0</v>
      </c>
      <c r="L284" t="n">
        <v>0</v>
      </c>
      <c r="M284" t="n">
        <v>0</v>
      </c>
      <c r="N284" t="n">
        <v>0</v>
      </c>
      <c r="O284" t="n">
        <v>0</v>
      </c>
      <c r="P284" t="n">
        <v>0</v>
      </c>
      <c r="Q284" t="n">
        <v>0</v>
      </c>
      <c r="R284" s="2" t="inlineStr"/>
    </row>
    <row r="285" ht="15" customHeight="1">
      <c r="A285" t="inlineStr">
        <is>
          <t>A 62484-2020</t>
        </is>
      </c>
      <c r="B285" s="1" t="n">
        <v>44160</v>
      </c>
      <c r="C285" s="1" t="n">
        <v>45628</v>
      </c>
      <c r="D285" t="inlineStr">
        <is>
          <t>UPPSALA LÄN</t>
        </is>
      </c>
      <c r="E285" t="inlineStr">
        <is>
          <t>ÖSTHAMMAR</t>
        </is>
      </c>
      <c r="G285" t="n">
        <v>1.4</v>
      </c>
      <c r="H285" t="n">
        <v>0</v>
      </c>
      <c r="I285" t="n">
        <v>0</v>
      </c>
      <c r="J285" t="n">
        <v>0</v>
      </c>
      <c r="K285" t="n">
        <v>0</v>
      </c>
      <c r="L285" t="n">
        <v>0</v>
      </c>
      <c r="M285" t="n">
        <v>0</v>
      </c>
      <c r="N285" t="n">
        <v>0</v>
      </c>
      <c r="O285" t="n">
        <v>0</v>
      </c>
      <c r="P285" t="n">
        <v>0</v>
      </c>
      <c r="Q285" t="n">
        <v>0</v>
      </c>
      <c r="R285" s="2" t="inlineStr"/>
    </row>
    <row r="286" ht="15" customHeight="1">
      <c r="A286" t="inlineStr">
        <is>
          <t>A 63637-2020</t>
        </is>
      </c>
      <c r="B286" s="1" t="n">
        <v>44162</v>
      </c>
      <c r="C286" s="1" t="n">
        <v>45628</v>
      </c>
      <c r="D286" t="inlineStr">
        <is>
          <t>UPPSALA LÄN</t>
        </is>
      </c>
      <c r="E286" t="inlineStr">
        <is>
          <t>ÖSTHAMMAR</t>
        </is>
      </c>
      <c r="G286" t="n">
        <v>4</v>
      </c>
      <c r="H286" t="n">
        <v>0</v>
      </c>
      <c r="I286" t="n">
        <v>0</v>
      </c>
      <c r="J286" t="n">
        <v>0</v>
      </c>
      <c r="K286" t="n">
        <v>0</v>
      </c>
      <c r="L286" t="n">
        <v>0</v>
      </c>
      <c r="M286" t="n">
        <v>0</v>
      </c>
      <c r="N286" t="n">
        <v>0</v>
      </c>
      <c r="O286" t="n">
        <v>0</v>
      </c>
      <c r="P286" t="n">
        <v>0</v>
      </c>
      <c r="Q286" t="n">
        <v>0</v>
      </c>
      <c r="R286" s="2" t="inlineStr"/>
    </row>
    <row r="287" ht="15" customHeight="1">
      <c r="A287" t="inlineStr">
        <is>
          <t>A 63577-2020</t>
        </is>
      </c>
      <c r="B287" s="1" t="n">
        <v>44165</v>
      </c>
      <c r="C287" s="1" t="n">
        <v>45628</v>
      </c>
      <c r="D287" t="inlineStr">
        <is>
          <t>UPPSALA LÄN</t>
        </is>
      </c>
      <c r="E287" t="inlineStr">
        <is>
          <t>ÖSTHAMMAR</t>
        </is>
      </c>
      <c r="G287" t="n">
        <v>0.9</v>
      </c>
      <c r="H287" t="n">
        <v>0</v>
      </c>
      <c r="I287" t="n">
        <v>0</v>
      </c>
      <c r="J287" t="n">
        <v>0</v>
      </c>
      <c r="K287" t="n">
        <v>0</v>
      </c>
      <c r="L287" t="n">
        <v>0</v>
      </c>
      <c r="M287" t="n">
        <v>0</v>
      </c>
      <c r="N287" t="n">
        <v>0</v>
      </c>
      <c r="O287" t="n">
        <v>0</v>
      </c>
      <c r="P287" t="n">
        <v>0</v>
      </c>
      <c r="Q287" t="n">
        <v>0</v>
      </c>
      <c r="R287" s="2" t="inlineStr"/>
    </row>
    <row r="288" ht="15" customHeight="1">
      <c r="A288" t="inlineStr">
        <is>
          <t>A 63987-2020</t>
        </is>
      </c>
      <c r="B288" s="1" t="n">
        <v>44167</v>
      </c>
      <c r="C288" s="1" t="n">
        <v>45628</v>
      </c>
      <c r="D288" t="inlineStr">
        <is>
          <t>UPPSALA LÄN</t>
        </is>
      </c>
      <c r="E288" t="inlineStr">
        <is>
          <t>ÖSTHAMMAR</t>
        </is>
      </c>
      <c r="G288" t="n">
        <v>5.9</v>
      </c>
      <c r="H288" t="n">
        <v>0</v>
      </c>
      <c r="I288" t="n">
        <v>0</v>
      </c>
      <c r="J288" t="n">
        <v>0</v>
      </c>
      <c r="K288" t="n">
        <v>0</v>
      </c>
      <c r="L288" t="n">
        <v>0</v>
      </c>
      <c r="M288" t="n">
        <v>0</v>
      </c>
      <c r="N288" t="n">
        <v>0</v>
      </c>
      <c r="O288" t="n">
        <v>0</v>
      </c>
      <c r="P288" t="n">
        <v>0</v>
      </c>
      <c r="Q288" t="n">
        <v>0</v>
      </c>
      <c r="R288" s="2" t="inlineStr"/>
    </row>
    <row r="289" ht="15" customHeight="1">
      <c r="A289" t="inlineStr">
        <is>
          <t>A 65361-2020</t>
        </is>
      </c>
      <c r="B289" s="1" t="n">
        <v>44173</v>
      </c>
      <c r="C289" s="1" t="n">
        <v>45628</v>
      </c>
      <c r="D289" t="inlineStr">
        <is>
          <t>UPPSALA LÄN</t>
        </is>
      </c>
      <c r="E289" t="inlineStr">
        <is>
          <t>ÖSTHAMMAR</t>
        </is>
      </c>
      <c r="G289" t="n">
        <v>3.6</v>
      </c>
      <c r="H289" t="n">
        <v>0</v>
      </c>
      <c r="I289" t="n">
        <v>0</v>
      </c>
      <c r="J289" t="n">
        <v>0</v>
      </c>
      <c r="K289" t="n">
        <v>0</v>
      </c>
      <c r="L289" t="n">
        <v>0</v>
      </c>
      <c r="M289" t="n">
        <v>0</v>
      </c>
      <c r="N289" t="n">
        <v>0</v>
      </c>
      <c r="O289" t="n">
        <v>0</v>
      </c>
      <c r="P289" t="n">
        <v>0</v>
      </c>
      <c r="Q289" t="n">
        <v>0</v>
      </c>
      <c r="R289" s="2" t="inlineStr"/>
    </row>
    <row r="290" ht="15" customHeight="1">
      <c r="A290" t="inlineStr">
        <is>
          <t>A 68243-2020</t>
        </is>
      </c>
      <c r="B290" s="1" t="n">
        <v>44183</v>
      </c>
      <c r="C290" s="1" t="n">
        <v>45628</v>
      </c>
      <c r="D290" t="inlineStr">
        <is>
          <t>UPPSALA LÄN</t>
        </is>
      </c>
      <c r="E290" t="inlineStr">
        <is>
          <t>ÖSTHAMMAR</t>
        </is>
      </c>
      <c r="G290" t="n">
        <v>8.5</v>
      </c>
      <c r="H290" t="n">
        <v>0</v>
      </c>
      <c r="I290" t="n">
        <v>0</v>
      </c>
      <c r="J290" t="n">
        <v>0</v>
      </c>
      <c r="K290" t="n">
        <v>0</v>
      </c>
      <c r="L290" t="n">
        <v>0</v>
      </c>
      <c r="M290" t="n">
        <v>0</v>
      </c>
      <c r="N290" t="n">
        <v>0</v>
      </c>
      <c r="O290" t="n">
        <v>0</v>
      </c>
      <c r="P290" t="n">
        <v>0</v>
      </c>
      <c r="Q290" t="n">
        <v>0</v>
      </c>
      <c r="R290" s="2" t="inlineStr"/>
    </row>
    <row r="291" ht="15" customHeight="1">
      <c r="A291" t="inlineStr">
        <is>
          <t>A 68828-2020</t>
        </is>
      </c>
      <c r="B291" s="1" t="n">
        <v>44186</v>
      </c>
      <c r="C291" s="1" t="n">
        <v>45628</v>
      </c>
      <c r="D291" t="inlineStr">
        <is>
          <t>UPPSALA LÄN</t>
        </is>
      </c>
      <c r="E291" t="inlineStr">
        <is>
          <t>ÖSTHAMMAR</t>
        </is>
      </c>
      <c r="G291" t="n">
        <v>1.5</v>
      </c>
      <c r="H291" t="n">
        <v>0</v>
      </c>
      <c r="I291" t="n">
        <v>0</v>
      </c>
      <c r="J291" t="n">
        <v>0</v>
      </c>
      <c r="K291" t="n">
        <v>0</v>
      </c>
      <c r="L291" t="n">
        <v>0</v>
      </c>
      <c r="M291" t="n">
        <v>0</v>
      </c>
      <c r="N291" t="n">
        <v>0</v>
      </c>
      <c r="O291" t="n">
        <v>0</v>
      </c>
      <c r="P291" t="n">
        <v>0</v>
      </c>
      <c r="Q291" t="n">
        <v>0</v>
      </c>
      <c r="R291" s="2" t="inlineStr"/>
    </row>
    <row r="292" ht="15" customHeight="1">
      <c r="A292" t="inlineStr">
        <is>
          <t>A 69681-2020</t>
        </is>
      </c>
      <c r="B292" s="1" t="n">
        <v>44196</v>
      </c>
      <c r="C292" s="1" t="n">
        <v>45628</v>
      </c>
      <c r="D292" t="inlineStr">
        <is>
          <t>UPPSALA LÄN</t>
        </is>
      </c>
      <c r="E292" t="inlineStr">
        <is>
          <t>ÖSTHAMMAR</t>
        </is>
      </c>
      <c r="F292" t="inlineStr">
        <is>
          <t>Bergvik skog öst AB</t>
        </is>
      </c>
      <c r="G292" t="n">
        <v>21.9</v>
      </c>
      <c r="H292" t="n">
        <v>0</v>
      </c>
      <c r="I292" t="n">
        <v>0</v>
      </c>
      <c r="J292" t="n">
        <v>0</v>
      </c>
      <c r="K292" t="n">
        <v>0</v>
      </c>
      <c r="L292" t="n">
        <v>0</v>
      </c>
      <c r="M292" t="n">
        <v>0</v>
      </c>
      <c r="N292" t="n">
        <v>0</v>
      </c>
      <c r="O292" t="n">
        <v>0</v>
      </c>
      <c r="P292" t="n">
        <v>0</v>
      </c>
      <c r="Q292" t="n">
        <v>0</v>
      </c>
      <c r="R292" s="2" t="inlineStr"/>
    </row>
    <row r="293" ht="15" customHeight="1">
      <c r="A293" t="inlineStr">
        <is>
          <t>A 3693-2021</t>
        </is>
      </c>
      <c r="B293" s="1" t="n">
        <v>44221</v>
      </c>
      <c r="C293" s="1" t="n">
        <v>45628</v>
      </c>
      <c r="D293" t="inlineStr">
        <is>
          <t>UPPSALA LÄN</t>
        </is>
      </c>
      <c r="E293" t="inlineStr">
        <is>
          <t>ÖSTHAMMAR</t>
        </is>
      </c>
      <c r="G293" t="n">
        <v>0.3</v>
      </c>
      <c r="H293" t="n">
        <v>0</v>
      </c>
      <c r="I293" t="n">
        <v>0</v>
      </c>
      <c r="J293" t="n">
        <v>0</v>
      </c>
      <c r="K293" t="n">
        <v>0</v>
      </c>
      <c r="L293" t="n">
        <v>0</v>
      </c>
      <c r="M293" t="n">
        <v>0</v>
      </c>
      <c r="N293" t="n">
        <v>0</v>
      </c>
      <c r="O293" t="n">
        <v>0</v>
      </c>
      <c r="P293" t="n">
        <v>0</v>
      </c>
      <c r="Q293" t="n">
        <v>0</v>
      </c>
      <c r="R293" s="2" t="inlineStr"/>
    </row>
    <row r="294" ht="15" customHeight="1">
      <c r="A294" t="inlineStr">
        <is>
          <t>A 4151-2021</t>
        </is>
      </c>
      <c r="B294" s="1" t="n">
        <v>44221</v>
      </c>
      <c r="C294" s="1" t="n">
        <v>45628</v>
      </c>
      <c r="D294" t="inlineStr">
        <is>
          <t>UPPSALA LÄN</t>
        </is>
      </c>
      <c r="E294" t="inlineStr">
        <is>
          <t>ÖSTHAMMAR</t>
        </is>
      </c>
      <c r="G294" t="n">
        <v>2.9</v>
      </c>
      <c r="H294" t="n">
        <v>0</v>
      </c>
      <c r="I294" t="n">
        <v>0</v>
      </c>
      <c r="J294" t="n">
        <v>0</v>
      </c>
      <c r="K294" t="n">
        <v>0</v>
      </c>
      <c r="L294" t="n">
        <v>0</v>
      </c>
      <c r="M294" t="n">
        <v>0</v>
      </c>
      <c r="N294" t="n">
        <v>0</v>
      </c>
      <c r="O294" t="n">
        <v>0</v>
      </c>
      <c r="P294" t="n">
        <v>0</v>
      </c>
      <c r="Q294" t="n">
        <v>0</v>
      </c>
      <c r="R294" s="2" t="inlineStr"/>
    </row>
    <row r="295" ht="15" customHeight="1">
      <c r="A295" t="inlineStr">
        <is>
          <t>A 4590-2021</t>
        </is>
      </c>
      <c r="B295" s="1" t="n">
        <v>44224</v>
      </c>
      <c r="C295" s="1" t="n">
        <v>45628</v>
      </c>
      <c r="D295" t="inlineStr">
        <is>
          <t>UPPSALA LÄN</t>
        </is>
      </c>
      <c r="E295" t="inlineStr">
        <is>
          <t>ÖSTHAMMAR</t>
        </is>
      </c>
      <c r="F295" t="inlineStr">
        <is>
          <t>Bergvik skog öst AB</t>
        </is>
      </c>
      <c r="G295" t="n">
        <v>2.4</v>
      </c>
      <c r="H295" t="n">
        <v>0</v>
      </c>
      <c r="I295" t="n">
        <v>0</v>
      </c>
      <c r="J295" t="n">
        <v>0</v>
      </c>
      <c r="K295" t="n">
        <v>0</v>
      </c>
      <c r="L295" t="n">
        <v>0</v>
      </c>
      <c r="M295" t="n">
        <v>0</v>
      </c>
      <c r="N295" t="n">
        <v>0</v>
      </c>
      <c r="O295" t="n">
        <v>0</v>
      </c>
      <c r="P295" t="n">
        <v>0</v>
      </c>
      <c r="Q295" t="n">
        <v>0</v>
      </c>
      <c r="R295" s="2" t="inlineStr"/>
    </row>
    <row r="296" ht="15" customHeight="1">
      <c r="A296" t="inlineStr">
        <is>
          <t>A 6221-2021</t>
        </is>
      </c>
      <c r="B296" s="1" t="n">
        <v>44235</v>
      </c>
      <c r="C296" s="1" t="n">
        <v>45628</v>
      </c>
      <c r="D296" t="inlineStr">
        <is>
          <t>UPPSALA LÄN</t>
        </is>
      </c>
      <c r="E296" t="inlineStr">
        <is>
          <t>ÖSTHAMMAR</t>
        </is>
      </c>
      <c r="G296" t="n">
        <v>0.8</v>
      </c>
      <c r="H296" t="n">
        <v>0</v>
      </c>
      <c r="I296" t="n">
        <v>0</v>
      </c>
      <c r="J296" t="n">
        <v>0</v>
      </c>
      <c r="K296" t="n">
        <v>0</v>
      </c>
      <c r="L296" t="n">
        <v>0</v>
      </c>
      <c r="M296" t="n">
        <v>0</v>
      </c>
      <c r="N296" t="n">
        <v>0</v>
      </c>
      <c r="O296" t="n">
        <v>0</v>
      </c>
      <c r="P296" t="n">
        <v>0</v>
      </c>
      <c r="Q296" t="n">
        <v>0</v>
      </c>
      <c r="R296" s="2" t="inlineStr"/>
    </row>
    <row r="297" ht="15" customHeight="1">
      <c r="A297" t="inlineStr">
        <is>
          <t>A 7113-2021</t>
        </is>
      </c>
      <c r="B297" s="1" t="n">
        <v>44238</v>
      </c>
      <c r="C297" s="1" t="n">
        <v>45628</v>
      </c>
      <c r="D297" t="inlineStr">
        <is>
          <t>UPPSALA LÄN</t>
        </is>
      </c>
      <c r="E297" t="inlineStr">
        <is>
          <t>ÖSTHAMMAR</t>
        </is>
      </c>
      <c r="F297" t="inlineStr">
        <is>
          <t>Bergvik skog öst AB</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8009-2021</t>
        </is>
      </c>
      <c r="B298" s="1" t="n">
        <v>44243</v>
      </c>
      <c r="C298" s="1" t="n">
        <v>45628</v>
      </c>
      <c r="D298" t="inlineStr">
        <is>
          <t>UPPSALA LÄN</t>
        </is>
      </c>
      <c r="E298" t="inlineStr">
        <is>
          <t>ÖSTHAMMAR</t>
        </is>
      </c>
      <c r="G298" t="n">
        <v>9.9</v>
      </c>
      <c r="H298" t="n">
        <v>0</v>
      </c>
      <c r="I298" t="n">
        <v>0</v>
      </c>
      <c r="J298" t="n">
        <v>0</v>
      </c>
      <c r="K298" t="n">
        <v>0</v>
      </c>
      <c r="L298" t="n">
        <v>0</v>
      </c>
      <c r="M298" t="n">
        <v>0</v>
      </c>
      <c r="N298" t="n">
        <v>0</v>
      </c>
      <c r="O298" t="n">
        <v>0</v>
      </c>
      <c r="P298" t="n">
        <v>0</v>
      </c>
      <c r="Q298" t="n">
        <v>0</v>
      </c>
      <c r="R298" s="2" t="inlineStr"/>
    </row>
    <row r="299" ht="15" customHeight="1">
      <c r="A299" t="inlineStr">
        <is>
          <t>A 10316-2021</t>
        </is>
      </c>
      <c r="B299" s="1" t="n">
        <v>44257</v>
      </c>
      <c r="C299" s="1" t="n">
        <v>45628</v>
      </c>
      <c r="D299" t="inlineStr">
        <is>
          <t>UPPSALA LÄN</t>
        </is>
      </c>
      <c r="E299" t="inlineStr">
        <is>
          <t>ÖSTHAMMAR</t>
        </is>
      </c>
      <c r="F299" t="inlineStr">
        <is>
          <t>Övriga Aktiebolag</t>
        </is>
      </c>
      <c r="G299" t="n">
        <v>3.3</v>
      </c>
      <c r="H299" t="n">
        <v>0</v>
      </c>
      <c r="I299" t="n">
        <v>0</v>
      </c>
      <c r="J299" t="n">
        <v>0</v>
      </c>
      <c r="K299" t="n">
        <v>0</v>
      </c>
      <c r="L299" t="n">
        <v>0</v>
      </c>
      <c r="M299" t="n">
        <v>0</v>
      </c>
      <c r="N299" t="n">
        <v>0</v>
      </c>
      <c r="O299" t="n">
        <v>0</v>
      </c>
      <c r="P299" t="n">
        <v>0</v>
      </c>
      <c r="Q299" t="n">
        <v>0</v>
      </c>
      <c r="R299" s="2" t="inlineStr"/>
    </row>
    <row r="300" ht="15" customHeight="1">
      <c r="A300" t="inlineStr">
        <is>
          <t>A 10498-2021</t>
        </is>
      </c>
      <c r="B300" s="1" t="n">
        <v>44258</v>
      </c>
      <c r="C300" s="1" t="n">
        <v>45628</v>
      </c>
      <c r="D300" t="inlineStr">
        <is>
          <t>UPPSALA LÄN</t>
        </is>
      </c>
      <c r="E300" t="inlineStr">
        <is>
          <t>ÖSTHAMMAR</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14248-2021</t>
        </is>
      </c>
      <c r="B301" s="1" t="n">
        <v>44278</v>
      </c>
      <c r="C301" s="1" t="n">
        <v>45628</v>
      </c>
      <c r="D301" t="inlineStr">
        <is>
          <t>UPPSALA LÄN</t>
        </is>
      </c>
      <c r="E301" t="inlineStr">
        <is>
          <t>ÖSTHAMMAR</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14525-2021</t>
        </is>
      </c>
      <c r="B302" s="1" t="n">
        <v>44279</v>
      </c>
      <c r="C302" s="1" t="n">
        <v>45628</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16212-2021</t>
        </is>
      </c>
      <c r="B303" s="1" t="n">
        <v>44287</v>
      </c>
      <c r="C303" s="1" t="n">
        <v>45628</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16209-2021</t>
        </is>
      </c>
      <c r="B304" s="1" t="n">
        <v>44287</v>
      </c>
      <c r="C304" s="1" t="n">
        <v>45628</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17009-2021</t>
        </is>
      </c>
      <c r="B305" s="1" t="n">
        <v>44295</v>
      </c>
      <c r="C305" s="1" t="n">
        <v>45628</v>
      </c>
      <c r="D305" t="inlineStr">
        <is>
          <t>UPPSALA LÄN</t>
        </is>
      </c>
      <c r="E305" t="inlineStr">
        <is>
          <t>ÖSTHAMMAR</t>
        </is>
      </c>
      <c r="F305" t="inlineStr">
        <is>
          <t>Bergvik skog öst AB</t>
        </is>
      </c>
      <c r="G305" t="n">
        <v>3.2</v>
      </c>
      <c r="H305" t="n">
        <v>0</v>
      </c>
      <c r="I305" t="n">
        <v>0</v>
      </c>
      <c r="J305" t="n">
        <v>0</v>
      </c>
      <c r="K305" t="n">
        <v>0</v>
      </c>
      <c r="L305" t="n">
        <v>0</v>
      </c>
      <c r="M305" t="n">
        <v>0</v>
      </c>
      <c r="N305" t="n">
        <v>0</v>
      </c>
      <c r="O305" t="n">
        <v>0</v>
      </c>
      <c r="P305" t="n">
        <v>0</v>
      </c>
      <c r="Q305" t="n">
        <v>0</v>
      </c>
      <c r="R305" s="2" t="inlineStr"/>
    </row>
    <row r="306" ht="15" customHeight="1">
      <c r="A306" t="inlineStr">
        <is>
          <t>A 17022-2021</t>
        </is>
      </c>
      <c r="B306" s="1" t="n">
        <v>44295</v>
      </c>
      <c r="C306" s="1" t="n">
        <v>45628</v>
      </c>
      <c r="D306" t="inlineStr">
        <is>
          <t>UPPSALA LÄN</t>
        </is>
      </c>
      <c r="E306" t="inlineStr">
        <is>
          <t>ÖSTHAMMAR</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17033-2021</t>
        </is>
      </c>
      <c r="B307" s="1" t="n">
        <v>44295</v>
      </c>
      <c r="C307" s="1" t="n">
        <v>45628</v>
      </c>
      <c r="D307" t="inlineStr">
        <is>
          <t>UPPSALA LÄN</t>
        </is>
      </c>
      <c r="E307" t="inlineStr">
        <is>
          <t>ÖSTHAMMAR</t>
        </is>
      </c>
      <c r="F307" t="inlineStr">
        <is>
          <t>Bergvik skog öst AB</t>
        </is>
      </c>
      <c r="G307" t="n">
        <v>4.7</v>
      </c>
      <c r="H307" t="n">
        <v>0</v>
      </c>
      <c r="I307" t="n">
        <v>0</v>
      </c>
      <c r="J307" t="n">
        <v>0</v>
      </c>
      <c r="K307" t="n">
        <v>0</v>
      </c>
      <c r="L307" t="n">
        <v>0</v>
      </c>
      <c r="M307" t="n">
        <v>0</v>
      </c>
      <c r="N307" t="n">
        <v>0</v>
      </c>
      <c r="O307" t="n">
        <v>0</v>
      </c>
      <c r="P307" t="n">
        <v>0</v>
      </c>
      <c r="Q307" t="n">
        <v>0</v>
      </c>
      <c r="R307" s="2" t="inlineStr"/>
    </row>
    <row r="308" ht="15" customHeight="1">
      <c r="A308" t="inlineStr">
        <is>
          <t>A 17349-2021</t>
        </is>
      </c>
      <c r="B308" s="1" t="n">
        <v>44298</v>
      </c>
      <c r="C308" s="1" t="n">
        <v>45628</v>
      </c>
      <c r="D308" t="inlineStr">
        <is>
          <t>UPPSALA LÄN</t>
        </is>
      </c>
      <c r="E308" t="inlineStr">
        <is>
          <t>ÖSTHAMMAR</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18944-2021</t>
        </is>
      </c>
      <c r="B309" s="1" t="n">
        <v>44308</v>
      </c>
      <c r="C309" s="1" t="n">
        <v>45628</v>
      </c>
      <c r="D309" t="inlineStr">
        <is>
          <t>UPPSALA LÄN</t>
        </is>
      </c>
      <c r="E309" t="inlineStr">
        <is>
          <t>ÖSTHAMMAR</t>
        </is>
      </c>
      <c r="F309" t="inlineStr">
        <is>
          <t>Bergvik skog öst AB</t>
        </is>
      </c>
      <c r="G309" t="n">
        <v>12.5</v>
      </c>
      <c r="H309" t="n">
        <v>0</v>
      </c>
      <c r="I309" t="n">
        <v>0</v>
      </c>
      <c r="J309" t="n">
        <v>0</v>
      </c>
      <c r="K309" t="n">
        <v>0</v>
      </c>
      <c r="L309" t="n">
        <v>0</v>
      </c>
      <c r="M309" t="n">
        <v>0</v>
      </c>
      <c r="N309" t="n">
        <v>0</v>
      </c>
      <c r="O309" t="n">
        <v>0</v>
      </c>
      <c r="P309" t="n">
        <v>0</v>
      </c>
      <c r="Q309" t="n">
        <v>0</v>
      </c>
      <c r="R309" s="2" t="inlineStr"/>
    </row>
    <row r="310" ht="15" customHeight="1">
      <c r="A310" t="inlineStr">
        <is>
          <t>A 20326-2021</t>
        </is>
      </c>
      <c r="B310" s="1" t="n">
        <v>44308</v>
      </c>
      <c r="C310" s="1" t="n">
        <v>45628</v>
      </c>
      <c r="D310" t="inlineStr">
        <is>
          <t>UPPSALA LÄN</t>
        </is>
      </c>
      <c r="E310" t="inlineStr">
        <is>
          <t>ÖSTHAMMAR</t>
        </is>
      </c>
      <c r="G310" t="n">
        <v>7.8</v>
      </c>
      <c r="H310" t="n">
        <v>0</v>
      </c>
      <c r="I310" t="n">
        <v>0</v>
      </c>
      <c r="J310" t="n">
        <v>0</v>
      </c>
      <c r="K310" t="n">
        <v>0</v>
      </c>
      <c r="L310" t="n">
        <v>0</v>
      </c>
      <c r="M310" t="n">
        <v>0</v>
      </c>
      <c r="N310" t="n">
        <v>0</v>
      </c>
      <c r="O310" t="n">
        <v>0</v>
      </c>
      <c r="P310" t="n">
        <v>0</v>
      </c>
      <c r="Q310" t="n">
        <v>0</v>
      </c>
      <c r="R310" s="2" t="inlineStr"/>
    </row>
    <row r="311" ht="15" customHeight="1">
      <c r="A311" t="inlineStr">
        <is>
          <t>A 20325-2021</t>
        </is>
      </c>
      <c r="B311" s="1" t="n">
        <v>44308</v>
      </c>
      <c r="C311" s="1" t="n">
        <v>45628</v>
      </c>
      <c r="D311" t="inlineStr">
        <is>
          <t>UPPSALA LÄN</t>
        </is>
      </c>
      <c r="E311" t="inlineStr">
        <is>
          <t>ÖSTHAMMAR</t>
        </is>
      </c>
      <c r="G311" t="n">
        <v>5</v>
      </c>
      <c r="H311" t="n">
        <v>0</v>
      </c>
      <c r="I311" t="n">
        <v>0</v>
      </c>
      <c r="J311" t="n">
        <v>0</v>
      </c>
      <c r="K311" t="n">
        <v>0</v>
      </c>
      <c r="L311" t="n">
        <v>0</v>
      </c>
      <c r="M311" t="n">
        <v>0</v>
      </c>
      <c r="N311" t="n">
        <v>0</v>
      </c>
      <c r="O311" t="n">
        <v>0</v>
      </c>
      <c r="P311" t="n">
        <v>0</v>
      </c>
      <c r="Q311" t="n">
        <v>0</v>
      </c>
      <c r="R311" s="2" t="inlineStr"/>
    </row>
    <row r="312" ht="15" customHeight="1">
      <c r="A312" t="inlineStr">
        <is>
          <t>A 20324-2021</t>
        </is>
      </c>
      <c r="B312" s="1" t="n">
        <v>44308</v>
      </c>
      <c r="C312" s="1" t="n">
        <v>45628</v>
      </c>
      <c r="D312" t="inlineStr">
        <is>
          <t>UPPSALA LÄN</t>
        </is>
      </c>
      <c r="E312" t="inlineStr">
        <is>
          <t>ÖSTHAMMAR</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19214-2021</t>
        </is>
      </c>
      <c r="B313" s="1" t="n">
        <v>44309</v>
      </c>
      <c r="C313" s="1" t="n">
        <v>45628</v>
      </c>
      <c r="D313" t="inlineStr">
        <is>
          <t>UPPSALA LÄN</t>
        </is>
      </c>
      <c r="E313" t="inlineStr">
        <is>
          <t>ÖSTHAMMAR</t>
        </is>
      </c>
      <c r="F313" t="inlineStr">
        <is>
          <t>Bergvik skog öst AB</t>
        </is>
      </c>
      <c r="G313" t="n">
        <v>6</v>
      </c>
      <c r="H313" t="n">
        <v>0</v>
      </c>
      <c r="I313" t="n">
        <v>0</v>
      </c>
      <c r="J313" t="n">
        <v>0</v>
      </c>
      <c r="K313" t="n">
        <v>0</v>
      </c>
      <c r="L313" t="n">
        <v>0</v>
      </c>
      <c r="M313" t="n">
        <v>0</v>
      </c>
      <c r="N313" t="n">
        <v>0</v>
      </c>
      <c r="O313" t="n">
        <v>0</v>
      </c>
      <c r="P313" t="n">
        <v>0</v>
      </c>
      <c r="Q313" t="n">
        <v>0</v>
      </c>
      <c r="R313" s="2" t="inlineStr"/>
    </row>
    <row r="314" ht="15" customHeight="1">
      <c r="A314" t="inlineStr">
        <is>
          <t>A 19552-2021</t>
        </is>
      </c>
      <c r="B314" s="1" t="n">
        <v>44312</v>
      </c>
      <c r="C314" s="1" t="n">
        <v>45628</v>
      </c>
      <c r="D314" t="inlineStr">
        <is>
          <t>UPPSALA LÄN</t>
        </is>
      </c>
      <c r="E314" t="inlineStr">
        <is>
          <t>ÖSTHAMMAR</t>
        </is>
      </c>
      <c r="G314" t="n">
        <v>4.5</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v>
      </c>
      <c r="C315" s="1" t="n">
        <v>45628</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23120-2021</t>
        </is>
      </c>
      <c r="B316" s="1" t="n">
        <v>44330</v>
      </c>
      <c r="C316" s="1" t="n">
        <v>45628</v>
      </c>
      <c r="D316" t="inlineStr">
        <is>
          <t>UPPSALA LÄN</t>
        </is>
      </c>
      <c r="E316" t="inlineStr">
        <is>
          <t>ÖSTHAMMAR</t>
        </is>
      </c>
      <c r="G316" t="n">
        <v>0.5</v>
      </c>
      <c r="H316" t="n">
        <v>0</v>
      </c>
      <c r="I316" t="n">
        <v>0</v>
      </c>
      <c r="J316" t="n">
        <v>0</v>
      </c>
      <c r="K316" t="n">
        <v>0</v>
      </c>
      <c r="L316" t="n">
        <v>0</v>
      </c>
      <c r="M316" t="n">
        <v>0</v>
      </c>
      <c r="N316" t="n">
        <v>0</v>
      </c>
      <c r="O316" t="n">
        <v>0</v>
      </c>
      <c r="P316" t="n">
        <v>0</v>
      </c>
      <c r="Q316" t="n">
        <v>0</v>
      </c>
      <c r="R316" s="2" t="inlineStr"/>
    </row>
    <row r="317" ht="15" customHeight="1">
      <c r="A317" t="inlineStr">
        <is>
          <t>A 24062-2021</t>
        </is>
      </c>
      <c r="B317" s="1" t="n">
        <v>44336</v>
      </c>
      <c r="C317" s="1" t="n">
        <v>45628</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24316-2021</t>
        </is>
      </c>
      <c r="B318" s="1" t="n">
        <v>44337</v>
      </c>
      <c r="C318" s="1" t="n">
        <v>45628</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25033-2021</t>
        </is>
      </c>
      <c r="B319" s="1" t="n">
        <v>44341</v>
      </c>
      <c r="C319" s="1" t="n">
        <v>45628</v>
      </c>
      <c r="D319" t="inlineStr">
        <is>
          <t>UPPSALA LÄN</t>
        </is>
      </c>
      <c r="E319" t="inlineStr">
        <is>
          <t>ÖSTHAMMAR</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25378-2021</t>
        </is>
      </c>
      <c r="B320" s="1" t="n">
        <v>44342</v>
      </c>
      <c r="C320" s="1" t="n">
        <v>45628</v>
      </c>
      <c r="D320" t="inlineStr">
        <is>
          <t>UPPSALA LÄN</t>
        </is>
      </c>
      <c r="E320" t="inlineStr">
        <is>
          <t>ÖSTHAMMAR</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25395-2021</t>
        </is>
      </c>
      <c r="B321" s="1" t="n">
        <v>44342</v>
      </c>
      <c r="C321" s="1" t="n">
        <v>45628</v>
      </c>
      <c r="D321" t="inlineStr">
        <is>
          <t>UPPSALA LÄN</t>
        </is>
      </c>
      <c r="E321" t="inlineStr">
        <is>
          <t>ÖSTHAMMAR</t>
        </is>
      </c>
      <c r="F321" t="inlineStr">
        <is>
          <t>Övriga Aktiebolag</t>
        </is>
      </c>
      <c r="G321" t="n">
        <v>0.5</v>
      </c>
      <c r="H321" t="n">
        <v>0</v>
      </c>
      <c r="I321" t="n">
        <v>0</v>
      </c>
      <c r="J321" t="n">
        <v>0</v>
      </c>
      <c r="K321" t="n">
        <v>0</v>
      </c>
      <c r="L321" t="n">
        <v>0</v>
      </c>
      <c r="M321" t="n">
        <v>0</v>
      </c>
      <c r="N321" t="n">
        <v>0</v>
      </c>
      <c r="O321" t="n">
        <v>0</v>
      </c>
      <c r="P321" t="n">
        <v>0</v>
      </c>
      <c r="Q321" t="n">
        <v>0</v>
      </c>
      <c r="R321" s="2" t="inlineStr"/>
    </row>
    <row r="322" ht="15" customHeight="1">
      <c r="A322" t="inlineStr">
        <is>
          <t>A 26257-2021</t>
        </is>
      </c>
      <c r="B322" s="1" t="n">
        <v>44347</v>
      </c>
      <c r="C322" s="1" t="n">
        <v>45628</v>
      </c>
      <c r="D322" t="inlineStr">
        <is>
          <t>UPPSALA LÄN</t>
        </is>
      </c>
      <c r="E322" t="inlineStr">
        <is>
          <t>ÖSTHAMMAR</t>
        </is>
      </c>
      <c r="G322" t="n">
        <v>3.2</v>
      </c>
      <c r="H322" t="n">
        <v>0</v>
      </c>
      <c r="I322" t="n">
        <v>0</v>
      </c>
      <c r="J322" t="n">
        <v>0</v>
      </c>
      <c r="K322" t="n">
        <v>0</v>
      </c>
      <c r="L322" t="n">
        <v>0</v>
      </c>
      <c r="M322" t="n">
        <v>0</v>
      </c>
      <c r="N322" t="n">
        <v>0</v>
      </c>
      <c r="O322" t="n">
        <v>0</v>
      </c>
      <c r="P322" t="n">
        <v>0</v>
      </c>
      <c r="Q322" t="n">
        <v>0</v>
      </c>
      <c r="R322" s="2" t="inlineStr"/>
    </row>
    <row r="323" ht="15" customHeight="1">
      <c r="A323" t="inlineStr">
        <is>
          <t>A 27939-2021</t>
        </is>
      </c>
      <c r="B323" s="1" t="n">
        <v>44354</v>
      </c>
      <c r="C323" s="1" t="n">
        <v>45628</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27940-2021</t>
        </is>
      </c>
      <c r="B324" s="1" t="n">
        <v>44354</v>
      </c>
      <c r="C324" s="1" t="n">
        <v>45628</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29282-2021</t>
        </is>
      </c>
      <c r="B325" s="1" t="n">
        <v>44361</v>
      </c>
      <c r="C325" s="1" t="n">
        <v>45628</v>
      </c>
      <c r="D325" t="inlineStr">
        <is>
          <t>UPPSALA LÄN</t>
        </is>
      </c>
      <c r="E325" t="inlineStr">
        <is>
          <t>ÖSTHAMMAR</t>
        </is>
      </c>
      <c r="G325" t="n">
        <v>2.4</v>
      </c>
      <c r="H325" t="n">
        <v>0</v>
      </c>
      <c r="I325" t="n">
        <v>0</v>
      </c>
      <c r="J325" t="n">
        <v>0</v>
      </c>
      <c r="K325" t="n">
        <v>0</v>
      </c>
      <c r="L325" t="n">
        <v>0</v>
      </c>
      <c r="M325" t="n">
        <v>0</v>
      </c>
      <c r="N325" t="n">
        <v>0</v>
      </c>
      <c r="O325" t="n">
        <v>0</v>
      </c>
      <c r="P325" t="n">
        <v>0</v>
      </c>
      <c r="Q325" t="n">
        <v>0</v>
      </c>
      <c r="R325" s="2" t="inlineStr"/>
    </row>
    <row r="326" ht="15" customHeight="1">
      <c r="A326" t="inlineStr">
        <is>
          <t>A 30927-2021</t>
        </is>
      </c>
      <c r="B326" s="1" t="n">
        <v>44365</v>
      </c>
      <c r="C326" s="1" t="n">
        <v>45628</v>
      </c>
      <c r="D326" t="inlineStr">
        <is>
          <t>UPPSALA LÄN</t>
        </is>
      </c>
      <c r="E326" t="inlineStr">
        <is>
          <t>ÖSTHAMMAR</t>
        </is>
      </c>
      <c r="F326" t="inlineStr">
        <is>
          <t>Bergvik skog öst AB</t>
        </is>
      </c>
      <c r="G326" t="n">
        <v>1.6</v>
      </c>
      <c r="H326" t="n">
        <v>0</v>
      </c>
      <c r="I326" t="n">
        <v>0</v>
      </c>
      <c r="J326" t="n">
        <v>0</v>
      </c>
      <c r="K326" t="n">
        <v>0</v>
      </c>
      <c r="L326" t="n">
        <v>0</v>
      </c>
      <c r="M326" t="n">
        <v>0</v>
      </c>
      <c r="N326" t="n">
        <v>0</v>
      </c>
      <c r="O326" t="n">
        <v>0</v>
      </c>
      <c r="P326" t="n">
        <v>0</v>
      </c>
      <c r="Q326" t="n">
        <v>0</v>
      </c>
      <c r="R326" s="2" t="inlineStr"/>
    </row>
    <row r="327" ht="15" customHeight="1">
      <c r="A327" t="inlineStr">
        <is>
          <t>A 30931-2021</t>
        </is>
      </c>
      <c r="B327" s="1" t="n">
        <v>44365</v>
      </c>
      <c r="C327" s="1" t="n">
        <v>45628</v>
      </c>
      <c r="D327" t="inlineStr">
        <is>
          <t>UPPSALA LÄN</t>
        </is>
      </c>
      <c r="E327" t="inlineStr">
        <is>
          <t>ÖSTHAMMAR</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31263-2021</t>
        </is>
      </c>
      <c r="B328" s="1" t="n">
        <v>44368</v>
      </c>
      <c r="C328" s="1" t="n">
        <v>45628</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32244-2021</t>
        </is>
      </c>
      <c r="B329" s="1" t="n">
        <v>44371</v>
      </c>
      <c r="C329" s="1" t="n">
        <v>45628</v>
      </c>
      <c r="D329" t="inlineStr">
        <is>
          <t>UPPSALA LÄN</t>
        </is>
      </c>
      <c r="E329" t="inlineStr">
        <is>
          <t>ÖSTHAMMAR</t>
        </is>
      </c>
      <c r="F329" t="inlineStr">
        <is>
          <t>Bergvik skog öst AB</t>
        </is>
      </c>
      <c r="G329" t="n">
        <v>2.6</v>
      </c>
      <c r="H329" t="n">
        <v>0</v>
      </c>
      <c r="I329" t="n">
        <v>0</v>
      </c>
      <c r="J329" t="n">
        <v>0</v>
      </c>
      <c r="K329" t="n">
        <v>0</v>
      </c>
      <c r="L329" t="n">
        <v>0</v>
      </c>
      <c r="M329" t="n">
        <v>0</v>
      </c>
      <c r="N329" t="n">
        <v>0</v>
      </c>
      <c r="O329" t="n">
        <v>0</v>
      </c>
      <c r="P329" t="n">
        <v>0</v>
      </c>
      <c r="Q329" t="n">
        <v>0</v>
      </c>
      <c r="R329" s="2" t="inlineStr"/>
    </row>
    <row r="330" ht="15" customHeight="1">
      <c r="A330" t="inlineStr">
        <is>
          <t>A 32939-2021</t>
        </is>
      </c>
      <c r="B330" s="1" t="n">
        <v>44376</v>
      </c>
      <c r="C330" s="1" t="n">
        <v>45628</v>
      </c>
      <c r="D330" t="inlineStr">
        <is>
          <t>UPPSALA LÄN</t>
        </is>
      </c>
      <c r="E330" t="inlineStr">
        <is>
          <t>ÖSTHAMMAR</t>
        </is>
      </c>
      <c r="F330" t="inlineStr">
        <is>
          <t>Bergvik skog öst AB</t>
        </is>
      </c>
      <c r="G330" t="n">
        <v>0.7</v>
      </c>
      <c r="H330" t="n">
        <v>0</v>
      </c>
      <c r="I330" t="n">
        <v>0</v>
      </c>
      <c r="J330" t="n">
        <v>0</v>
      </c>
      <c r="K330" t="n">
        <v>0</v>
      </c>
      <c r="L330" t="n">
        <v>0</v>
      </c>
      <c r="M330" t="n">
        <v>0</v>
      </c>
      <c r="N330" t="n">
        <v>0</v>
      </c>
      <c r="O330" t="n">
        <v>0</v>
      </c>
      <c r="P330" t="n">
        <v>0</v>
      </c>
      <c r="Q330" t="n">
        <v>0</v>
      </c>
      <c r="R330" s="2" t="inlineStr"/>
    </row>
    <row r="331" ht="15" customHeight="1">
      <c r="A331" t="inlineStr">
        <is>
          <t>A 32948-2021</t>
        </is>
      </c>
      <c r="B331" s="1" t="n">
        <v>44376</v>
      </c>
      <c r="C331" s="1" t="n">
        <v>45628</v>
      </c>
      <c r="D331" t="inlineStr">
        <is>
          <t>UPPSALA LÄN</t>
        </is>
      </c>
      <c r="E331" t="inlineStr">
        <is>
          <t>ÖSTHAMMAR</t>
        </is>
      </c>
      <c r="F331" t="inlineStr">
        <is>
          <t>Bergvik skog öst AB</t>
        </is>
      </c>
      <c r="G331" t="n">
        <v>13.5</v>
      </c>
      <c r="H331" t="n">
        <v>0</v>
      </c>
      <c r="I331" t="n">
        <v>0</v>
      </c>
      <c r="J331" t="n">
        <v>0</v>
      </c>
      <c r="K331" t="n">
        <v>0</v>
      </c>
      <c r="L331" t="n">
        <v>0</v>
      </c>
      <c r="M331" t="n">
        <v>0</v>
      </c>
      <c r="N331" t="n">
        <v>0</v>
      </c>
      <c r="O331" t="n">
        <v>0</v>
      </c>
      <c r="P331" t="n">
        <v>0</v>
      </c>
      <c r="Q331" t="n">
        <v>0</v>
      </c>
      <c r="R331" s="2" t="inlineStr"/>
    </row>
    <row r="332" ht="15" customHeight="1">
      <c r="A332" t="inlineStr">
        <is>
          <t>A 33062-2021</t>
        </is>
      </c>
      <c r="B332" s="1" t="n">
        <v>44376</v>
      </c>
      <c r="C332" s="1" t="n">
        <v>45628</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33056-2021</t>
        </is>
      </c>
      <c r="B333" s="1" t="n">
        <v>44376</v>
      </c>
      <c r="C333" s="1" t="n">
        <v>45628</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33271-2021</t>
        </is>
      </c>
      <c r="B334" s="1" t="n">
        <v>44377</v>
      </c>
      <c r="C334" s="1" t="n">
        <v>45628</v>
      </c>
      <c r="D334" t="inlineStr">
        <is>
          <t>UPPSALA LÄN</t>
        </is>
      </c>
      <c r="E334" t="inlineStr">
        <is>
          <t>ÖSTHAMMAR</t>
        </is>
      </c>
      <c r="F334" t="inlineStr">
        <is>
          <t>Bergvik skog öst AB</t>
        </is>
      </c>
      <c r="G334" t="n">
        <v>3.9</v>
      </c>
      <c r="H334" t="n">
        <v>0</v>
      </c>
      <c r="I334" t="n">
        <v>0</v>
      </c>
      <c r="J334" t="n">
        <v>0</v>
      </c>
      <c r="K334" t="n">
        <v>0</v>
      </c>
      <c r="L334" t="n">
        <v>0</v>
      </c>
      <c r="M334" t="n">
        <v>0</v>
      </c>
      <c r="N334" t="n">
        <v>0</v>
      </c>
      <c r="O334" t="n">
        <v>0</v>
      </c>
      <c r="P334" t="n">
        <v>0</v>
      </c>
      <c r="Q334" t="n">
        <v>0</v>
      </c>
      <c r="R334" s="2" t="inlineStr"/>
    </row>
    <row r="335" ht="15" customHeight="1">
      <c r="A335" t="inlineStr">
        <is>
          <t>A 38411-2021</t>
        </is>
      </c>
      <c r="B335" s="1" t="n">
        <v>44406</v>
      </c>
      <c r="C335" s="1" t="n">
        <v>45628</v>
      </c>
      <c r="D335" t="inlineStr">
        <is>
          <t>UPPSALA LÄN</t>
        </is>
      </c>
      <c r="E335" t="inlineStr">
        <is>
          <t>ÖSTHAMMAR</t>
        </is>
      </c>
      <c r="F335" t="inlineStr">
        <is>
          <t>Bergvik skog öst AB</t>
        </is>
      </c>
      <c r="G335" t="n">
        <v>20.6</v>
      </c>
      <c r="H335" t="n">
        <v>0</v>
      </c>
      <c r="I335" t="n">
        <v>0</v>
      </c>
      <c r="J335" t="n">
        <v>0</v>
      </c>
      <c r="K335" t="n">
        <v>0</v>
      </c>
      <c r="L335" t="n">
        <v>0</v>
      </c>
      <c r="M335" t="n">
        <v>0</v>
      </c>
      <c r="N335" t="n">
        <v>0</v>
      </c>
      <c r="O335" t="n">
        <v>0</v>
      </c>
      <c r="P335" t="n">
        <v>0</v>
      </c>
      <c r="Q335" t="n">
        <v>0</v>
      </c>
      <c r="R335" s="2" t="inlineStr"/>
    </row>
    <row r="336" ht="15" customHeight="1">
      <c r="A336" t="inlineStr">
        <is>
          <t>A 40606-2021</t>
        </is>
      </c>
      <c r="B336" s="1" t="n">
        <v>44420</v>
      </c>
      <c r="C336" s="1" t="n">
        <v>45628</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row>
    <row r="337" ht="15" customHeight="1">
      <c r="A337" t="inlineStr">
        <is>
          <t>A 41531-2021</t>
        </is>
      </c>
      <c r="B337" s="1" t="n">
        <v>44425</v>
      </c>
      <c r="C337" s="1" t="n">
        <v>45628</v>
      </c>
      <c r="D337" t="inlineStr">
        <is>
          <t>UPPSALA LÄN</t>
        </is>
      </c>
      <c r="E337" t="inlineStr">
        <is>
          <t>ÖSTHAMMAR</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41558-2021</t>
        </is>
      </c>
      <c r="B338" s="1" t="n">
        <v>44425</v>
      </c>
      <c r="C338" s="1" t="n">
        <v>45628</v>
      </c>
      <c r="D338" t="inlineStr">
        <is>
          <t>UPPSALA LÄN</t>
        </is>
      </c>
      <c r="E338" t="inlineStr">
        <is>
          <t>ÖSTHAMMAR</t>
        </is>
      </c>
      <c r="F338" t="inlineStr">
        <is>
          <t>Bergvik skog öst AB</t>
        </is>
      </c>
      <c r="G338" t="n">
        <v>1.4</v>
      </c>
      <c r="H338" t="n">
        <v>0</v>
      </c>
      <c r="I338" t="n">
        <v>0</v>
      </c>
      <c r="J338" t="n">
        <v>0</v>
      </c>
      <c r="K338" t="n">
        <v>0</v>
      </c>
      <c r="L338" t="n">
        <v>0</v>
      </c>
      <c r="M338" t="n">
        <v>0</v>
      </c>
      <c r="N338" t="n">
        <v>0</v>
      </c>
      <c r="O338" t="n">
        <v>0</v>
      </c>
      <c r="P338" t="n">
        <v>0</v>
      </c>
      <c r="Q338" t="n">
        <v>0</v>
      </c>
      <c r="R338" s="2" t="inlineStr"/>
    </row>
    <row r="339" ht="15" customHeight="1">
      <c r="A339" t="inlineStr">
        <is>
          <t>A 41538-2021</t>
        </is>
      </c>
      <c r="B339" s="1" t="n">
        <v>44425</v>
      </c>
      <c r="C339" s="1" t="n">
        <v>45628</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41744-2021</t>
        </is>
      </c>
      <c r="B340" s="1" t="n">
        <v>44425</v>
      </c>
      <c r="C340" s="1" t="n">
        <v>45628</v>
      </c>
      <c r="D340" t="inlineStr">
        <is>
          <t>UPPSALA LÄN</t>
        </is>
      </c>
      <c r="E340" t="inlineStr">
        <is>
          <t>ÖSTHAMMAR</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43469-2021</t>
        </is>
      </c>
      <c r="B341" s="1" t="n">
        <v>44432</v>
      </c>
      <c r="C341" s="1" t="n">
        <v>45628</v>
      </c>
      <c r="D341" t="inlineStr">
        <is>
          <t>UPPSALA LÄN</t>
        </is>
      </c>
      <c r="E341" t="inlineStr">
        <is>
          <t>ÖSTHAMMAR</t>
        </is>
      </c>
      <c r="G341" t="n">
        <v>3.9</v>
      </c>
      <c r="H341" t="n">
        <v>0</v>
      </c>
      <c r="I341" t="n">
        <v>0</v>
      </c>
      <c r="J341" t="n">
        <v>0</v>
      </c>
      <c r="K341" t="n">
        <v>0</v>
      </c>
      <c r="L341" t="n">
        <v>0</v>
      </c>
      <c r="M341" t="n">
        <v>0</v>
      </c>
      <c r="N341" t="n">
        <v>0</v>
      </c>
      <c r="O341" t="n">
        <v>0</v>
      </c>
      <c r="P341" t="n">
        <v>0</v>
      </c>
      <c r="Q341" t="n">
        <v>0</v>
      </c>
      <c r="R341" s="2" t="inlineStr"/>
    </row>
    <row r="342" ht="15" customHeight="1">
      <c r="A342" t="inlineStr">
        <is>
          <t>A 48308-2021</t>
        </is>
      </c>
      <c r="B342" s="1" t="n">
        <v>44450</v>
      </c>
      <c r="C342" s="1" t="n">
        <v>45628</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51010-2021</t>
        </is>
      </c>
      <c r="B343" s="1" t="n">
        <v>44460</v>
      </c>
      <c r="C343" s="1" t="n">
        <v>45628</v>
      </c>
      <c r="D343" t="inlineStr">
        <is>
          <t>UPPSALA LÄN</t>
        </is>
      </c>
      <c r="E343" t="inlineStr">
        <is>
          <t>ÖSTHAMMAR</t>
        </is>
      </c>
      <c r="G343" t="n">
        <v>2.3</v>
      </c>
      <c r="H343" t="n">
        <v>0</v>
      </c>
      <c r="I343" t="n">
        <v>0</v>
      </c>
      <c r="J343" t="n">
        <v>0</v>
      </c>
      <c r="K343" t="n">
        <v>0</v>
      </c>
      <c r="L343" t="n">
        <v>0</v>
      </c>
      <c r="M343" t="n">
        <v>0</v>
      </c>
      <c r="N343" t="n">
        <v>0</v>
      </c>
      <c r="O343" t="n">
        <v>0</v>
      </c>
      <c r="P343" t="n">
        <v>0</v>
      </c>
      <c r="Q343" t="n">
        <v>0</v>
      </c>
      <c r="R343" s="2" t="inlineStr"/>
    </row>
    <row r="344" ht="15" customHeight="1">
      <c r="A344" t="inlineStr">
        <is>
          <t>A 51412-2021</t>
        </is>
      </c>
      <c r="B344" s="1" t="n">
        <v>44461</v>
      </c>
      <c r="C344" s="1" t="n">
        <v>45628</v>
      </c>
      <c r="D344" t="inlineStr">
        <is>
          <t>UPPSALA LÄN</t>
        </is>
      </c>
      <c r="E344" t="inlineStr">
        <is>
          <t>ÖSTHAMMAR</t>
        </is>
      </c>
      <c r="G344" t="n">
        <v>1.7</v>
      </c>
      <c r="H344" t="n">
        <v>0</v>
      </c>
      <c r="I344" t="n">
        <v>0</v>
      </c>
      <c r="J344" t="n">
        <v>0</v>
      </c>
      <c r="K344" t="n">
        <v>0</v>
      </c>
      <c r="L344" t="n">
        <v>0</v>
      </c>
      <c r="M344" t="n">
        <v>0</v>
      </c>
      <c r="N344" t="n">
        <v>0</v>
      </c>
      <c r="O344" t="n">
        <v>0</v>
      </c>
      <c r="P344" t="n">
        <v>0</v>
      </c>
      <c r="Q344" t="n">
        <v>0</v>
      </c>
      <c r="R344" s="2" t="inlineStr"/>
    </row>
    <row r="345" ht="15" customHeight="1">
      <c r="A345" t="inlineStr">
        <is>
          <t>A 51364-2021</t>
        </is>
      </c>
      <c r="B345" s="1" t="n">
        <v>44461</v>
      </c>
      <c r="C345" s="1" t="n">
        <v>45628</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51612-2021</t>
        </is>
      </c>
      <c r="B346" s="1" t="n">
        <v>44462</v>
      </c>
      <c r="C346" s="1" t="n">
        <v>45628</v>
      </c>
      <c r="D346" t="inlineStr">
        <is>
          <t>UPPSALA LÄN</t>
        </is>
      </c>
      <c r="E346" t="inlineStr">
        <is>
          <t>ÖSTHAMMAR</t>
        </is>
      </c>
      <c r="G346" t="n">
        <v>2.7</v>
      </c>
      <c r="H346" t="n">
        <v>0</v>
      </c>
      <c r="I346" t="n">
        <v>0</v>
      </c>
      <c r="J346" t="n">
        <v>0</v>
      </c>
      <c r="K346" t="n">
        <v>0</v>
      </c>
      <c r="L346" t="n">
        <v>0</v>
      </c>
      <c r="M346" t="n">
        <v>0</v>
      </c>
      <c r="N346" t="n">
        <v>0</v>
      </c>
      <c r="O346" t="n">
        <v>0</v>
      </c>
      <c r="P346" t="n">
        <v>0</v>
      </c>
      <c r="Q346" t="n">
        <v>0</v>
      </c>
      <c r="R346" s="2" t="inlineStr"/>
    </row>
    <row r="347" ht="15" customHeight="1">
      <c r="A347" t="inlineStr">
        <is>
          <t>A 52659-2021</t>
        </is>
      </c>
      <c r="B347" s="1" t="n">
        <v>44466</v>
      </c>
      <c r="C347" s="1" t="n">
        <v>45628</v>
      </c>
      <c r="D347" t="inlineStr">
        <is>
          <t>UPPSALA LÄN</t>
        </is>
      </c>
      <c r="E347" t="inlineStr">
        <is>
          <t>ÖSTHAMMAR</t>
        </is>
      </c>
      <c r="G347" t="n">
        <v>13</v>
      </c>
      <c r="H347" t="n">
        <v>0</v>
      </c>
      <c r="I347" t="n">
        <v>0</v>
      </c>
      <c r="J347" t="n">
        <v>0</v>
      </c>
      <c r="K347" t="n">
        <v>0</v>
      </c>
      <c r="L347" t="n">
        <v>0</v>
      </c>
      <c r="M347" t="n">
        <v>0</v>
      </c>
      <c r="N347" t="n">
        <v>0</v>
      </c>
      <c r="O347" t="n">
        <v>0</v>
      </c>
      <c r="P347" t="n">
        <v>0</v>
      </c>
      <c r="Q347" t="n">
        <v>0</v>
      </c>
      <c r="R347" s="2" t="inlineStr"/>
    </row>
    <row r="348" ht="15" customHeight="1">
      <c r="A348" t="inlineStr">
        <is>
          <t>A 52544-2021</t>
        </is>
      </c>
      <c r="B348" s="1" t="n">
        <v>44466</v>
      </c>
      <c r="C348" s="1" t="n">
        <v>45628</v>
      </c>
      <c r="D348" t="inlineStr">
        <is>
          <t>UPPSALA LÄN</t>
        </is>
      </c>
      <c r="E348" t="inlineStr">
        <is>
          <t>ÖSTHAMMAR</t>
        </is>
      </c>
      <c r="F348" t="inlineStr">
        <is>
          <t>Bergvik skog väst AB</t>
        </is>
      </c>
      <c r="G348" t="n">
        <v>1.2</v>
      </c>
      <c r="H348" t="n">
        <v>0</v>
      </c>
      <c r="I348" t="n">
        <v>0</v>
      </c>
      <c r="J348" t="n">
        <v>0</v>
      </c>
      <c r="K348" t="n">
        <v>0</v>
      </c>
      <c r="L348" t="n">
        <v>0</v>
      </c>
      <c r="M348" t="n">
        <v>0</v>
      </c>
      <c r="N348" t="n">
        <v>0</v>
      </c>
      <c r="O348" t="n">
        <v>0</v>
      </c>
      <c r="P348" t="n">
        <v>0</v>
      </c>
      <c r="Q348" t="n">
        <v>0</v>
      </c>
      <c r="R348" s="2" t="inlineStr"/>
    </row>
    <row r="349" ht="15" customHeight="1">
      <c r="A349" t="inlineStr">
        <is>
          <t>A 52898-2021</t>
        </is>
      </c>
      <c r="B349" s="1" t="n">
        <v>44467</v>
      </c>
      <c r="C349" s="1" t="n">
        <v>45628</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55646-2021</t>
        </is>
      </c>
      <c r="B350" s="1" t="n">
        <v>44476</v>
      </c>
      <c r="C350" s="1" t="n">
        <v>45628</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55872-2021</t>
        </is>
      </c>
      <c r="B351" s="1" t="n">
        <v>44476</v>
      </c>
      <c r="C351" s="1" t="n">
        <v>45628</v>
      </c>
      <c r="D351" t="inlineStr">
        <is>
          <t>UPPSALA LÄN</t>
        </is>
      </c>
      <c r="E351" t="inlineStr">
        <is>
          <t>ÖSTHAMMAR</t>
        </is>
      </c>
      <c r="F351" t="inlineStr">
        <is>
          <t>Bergvik skog öst AB</t>
        </is>
      </c>
      <c r="G351" t="n">
        <v>13.7</v>
      </c>
      <c r="H351" t="n">
        <v>0</v>
      </c>
      <c r="I351" t="n">
        <v>0</v>
      </c>
      <c r="J351" t="n">
        <v>0</v>
      </c>
      <c r="K351" t="n">
        <v>0</v>
      </c>
      <c r="L351" t="n">
        <v>0</v>
      </c>
      <c r="M351" t="n">
        <v>0</v>
      </c>
      <c r="N351" t="n">
        <v>0</v>
      </c>
      <c r="O351" t="n">
        <v>0</v>
      </c>
      <c r="P351" t="n">
        <v>0</v>
      </c>
      <c r="Q351" t="n">
        <v>0</v>
      </c>
      <c r="R351" s="2" t="inlineStr"/>
    </row>
    <row r="352" ht="15" customHeight="1">
      <c r="A352" t="inlineStr">
        <is>
          <t>A 57003-2021</t>
        </is>
      </c>
      <c r="B352" s="1" t="n">
        <v>44482</v>
      </c>
      <c r="C352" s="1" t="n">
        <v>45628</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57080-2021</t>
        </is>
      </c>
      <c r="B353" s="1" t="n">
        <v>44482</v>
      </c>
      <c r="C353" s="1" t="n">
        <v>45628</v>
      </c>
      <c r="D353" t="inlineStr">
        <is>
          <t>UPPSALA LÄN</t>
        </is>
      </c>
      <c r="E353" t="inlineStr">
        <is>
          <t>ÖSTHAMMAR</t>
        </is>
      </c>
      <c r="F353" t="inlineStr">
        <is>
          <t>Bergvik skog öst AB</t>
        </is>
      </c>
      <c r="G353" t="n">
        <v>13.4</v>
      </c>
      <c r="H353" t="n">
        <v>0</v>
      </c>
      <c r="I353" t="n">
        <v>0</v>
      </c>
      <c r="J353" t="n">
        <v>0</v>
      </c>
      <c r="K353" t="n">
        <v>0</v>
      </c>
      <c r="L353" t="n">
        <v>0</v>
      </c>
      <c r="M353" t="n">
        <v>0</v>
      </c>
      <c r="N353" t="n">
        <v>0</v>
      </c>
      <c r="O353" t="n">
        <v>0</v>
      </c>
      <c r="P353" t="n">
        <v>0</v>
      </c>
      <c r="Q353" t="n">
        <v>0</v>
      </c>
      <c r="R353" s="2" t="inlineStr"/>
    </row>
    <row r="354" ht="15" customHeight="1">
      <c r="A354" t="inlineStr">
        <is>
          <t>A 58334-2021</t>
        </is>
      </c>
      <c r="B354" s="1" t="n">
        <v>44488</v>
      </c>
      <c r="C354" s="1" t="n">
        <v>45628</v>
      </c>
      <c r="D354" t="inlineStr">
        <is>
          <t>UPPSALA LÄN</t>
        </is>
      </c>
      <c r="E354" t="inlineStr">
        <is>
          <t>ÖSTHAMMAR</t>
        </is>
      </c>
      <c r="G354" t="n">
        <v>5.7</v>
      </c>
      <c r="H354" t="n">
        <v>0</v>
      </c>
      <c r="I354" t="n">
        <v>0</v>
      </c>
      <c r="J354" t="n">
        <v>0</v>
      </c>
      <c r="K354" t="n">
        <v>0</v>
      </c>
      <c r="L354" t="n">
        <v>0</v>
      </c>
      <c r="M354" t="n">
        <v>0</v>
      </c>
      <c r="N354" t="n">
        <v>0</v>
      </c>
      <c r="O354" t="n">
        <v>0</v>
      </c>
      <c r="P354" t="n">
        <v>0</v>
      </c>
      <c r="Q354" t="n">
        <v>0</v>
      </c>
      <c r="R354" s="2" t="inlineStr"/>
    </row>
    <row r="355" ht="15" customHeight="1">
      <c r="A355" t="inlineStr">
        <is>
          <t>A 59360-2021</t>
        </is>
      </c>
      <c r="B355" s="1" t="n">
        <v>44491</v>
      </c>
      <c r="C355" s="1" t="n">
        <v>45628</v>
      </c>
      <c r="D355" t="inlineStr">
        <is>
          <t>UPPSALA LÄN</t>
        </is>
      </c>
      <c r="E355" t="inlineStr">
        <is>
          <t>ÖSTHAMMAR</t>
        </is>
      </c>
      <c r="F355" t="inlineStr">
        <is>
          <t>Bergvik skog öst AB</t>
        </is>
      </c>
      <c r="G355" t="n">
        <v>8</v>
      </c>
      <c r="H355" t="n">
        <v>0</v>
      </c>
      <c r="I355" t="n">
        <v>0</v>
      </c>
      <c r="J355" t="n">
        <v>0</v>
      </c>
      <c r="K355" t="n">
        <v>0</v>
      </c>
      <c r="L355" t="n">
        <v>0</v>
      </c>
      <c r="M355" t="n">
        <v>0</v>
      </c>
      <c r="N355" t="n">
        <v>0</v>
      </c>
      <c r="O355" t="n">
        <v>0</v>
      </c>
      <c r="P355" t="n">
        <v>0</v>
      </c>
      <c r="Q355" t="n">
        <v>0</v>
      </c>
      <c r="R355" s="2" t="inlineStr"/>
    </row>
    <row r="356" ht="15" customHeight="1">
      <c r="A356" t="inlineStr">
        <is>
          <t>A 59498-2021</t>
        </is>
      </c>
      <c r="B356" s="1" t="n">
        <v>44491</v>
      </c>
      <c r="C356" s="1" t="n">
        <v>45628</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60047-2021</t>
        </is>
      </c>
      <c r="B357" s="1" t="n">
        <v>44495</v>
      </c>
      <c r="C357" s="1" t="n">
        <v>45628</v>
      </c>
      <c r="D357" t="inlineStr">
        <is>
          <t>UPPSALA LÄN</t>
        </is>
      </c>
      <c r="E357" t="inlineStr">
        <is>
          <t>ÖSTHAMMAR</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60577-2021</t>
        </is>
      </c>
      <c r="B358" s="1" t="n">
        <v>44496</v>
      </c>
      <c r="C358" s="1" t="n">
        <v>45628</v>
      </c>
      <c r="D358" t="inlineStr">
        <is>
          <t>UPPSALA LÄN</t>
        </is>
      </c>
      <c r="E358" t="inlineStr">
        <is>
          <t>ÖSTHAMMAR</t>
        </is>
      </c>
      <c r="G358" t="n">
        <v>0.5</v>
      </c>
      <c r="H358" t="n">
        <v>0</v>
      </c>
      <c r="I358" t="n">
        <v>0</v>
      </c>
      <c r="J358" t="n">
        <v>0</v>
      </c>
      <c r="K358" t="n">
        <v>0</v>
      </c>
      <c r="L358" t="n">
        <v>0</v>
      </c>
      <c r="M358" t="n">
        <v>0</v>
      </c>
      <c r="N358" t="n">
        <v>0</v>
      </c>
      <c r="O358" t="n">
        <v>0</v>
      </c>
      <c r="P358" t="n">
        <v>0</v>
      </c>
      <c r="Q358" t="n">
        <v>0</v>
      </c>
      <c r="R358" s="2" t="inlineStr"/>
    </row>
    <row r="359" ht="15" customHeight="1">
      <c r="A359" t="inlineStr">
        <is>
          <t>A 60584-2021</t>
        </is>
      </c>
      <c r="B359" s="1" t="n">
        <v>44496</v>
      </c>
      <c r="C359" s="1" t="n">
        <v>45628</v>
      </c>
      <c r="D359" t="inlineStr">
        <is>
          <t>UPPSALA LÄN</t>
        </is>
      </c>
      <c r="E359" t="inlineStr">
        <is>
          <t>ÖSTHAMMAR</t>
        </is>
      </c>
      <c r="G359" t="n">
        <v>1.4</v>
      </c>
      <c r="H359" t="n">
        <v>0</v>
      </c>
      <c r="I359" t="n">
        <v>0</v>
      </c>
      <c r="J359" t="n">
        <v>0</v>
      </c>
      <c r="K359" t="n">
        <v>0</v>
      </c>
      <c r="L359" t="n">
        <v>0</v>
      </c>
      <c r="M359" t="n">
        <v>0</v>
      </c>
      <c r="N359" t="n">
        <v>0</v>
      </c>
      <c r="O359" t="n">
        <v>0</v>
      </c>
      <c r="P359" t="n">
        <v>0</v>
      </c>
      <c r="Q359" t="n">
        <v>0</v>
      </c>
      <c r="R359" s="2" t="inlineStr"/>
    </row>
    <row r="360" ht="15" customHeight="1">
      <c r="A360" t="inlineStr">
        <is>
          <t>A 61746-2021</t>
        </is>
      </c>
      <c r="B360" s="1" t="n">
        <v>44498</v>
      </c>
      <c r="C360" s="1" t="n">
        <v>45628</v>
      </c>
      <c r="D360" t="inlineStr">
        <is>
          <t>UPPSALA LÄN</t>
        </is>
      </c>
      <c r="E360" t="inlineStr">
        <is>
          <t>ÖSTHAMMAR</t>
        </is>
      </c>
      <c r="G360" t="n">
        <v>5.6</v>
      </c>
      <c r="H360" t="n">
        <v>0</v>
      </c>
      <c r="I360" t="n">
        <v>0</v>
      </c>
      <c r="J360" t="n">
        <v>0</v>
      </c>
      <c r="K360" t="n">
        <v>0</v>
      </c>
      <c r="L360" t="n">
        <v>0</v>
      </c>
      <c r="M360" t="n">
        <v>0</v>
      </c>
      <c r="N360" t="n">
        <v>0</v>
      </c>
      <c r="O360" t="n">
        <v>0</v>
      </c>
      <c r="P360" t="n">
        <v>0</v>
      </c>
      <c r="Q360" t="n">
        <v>0</v>
      </c>
      <c r="R360" s="2" t="inlineStr"/>
    </row>
    <row r="361" ht="15" customHeight="1">
      <c r="A361" t="inlineStr">
        <is>
          <t>A 61555-2021</t>
        </is>
      </c>
      <c r="B361" s="1" t="n">
        <v>44501</v>
      </c>
      <c r="C361" s="1" t="n">
        <v>45628</v>
      </c>
      <c r="D361" t="inlineStr">
        <is>
          <t>UPPSALA LÄN</t>
        </is>
      </c>
      <c r="E361" t="inlineStr">
        <is>
          <t>ÖSTHAMMAR</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61560-2021</t>
        </is>
      </c>
      <c r="B362" s="1" t="n">
        <v>44501</v>
      </c>
      <c r="C362" s="1" t="n">
        <v>45628</v>
      </c>
      <c r="D362" t="inlineStr">
        <is>
          <t>UPPSALA LÄN</t>
        </is>
      </c>
      <c r="E362" t="inlineStr">
        <is>
          <t>ÖSTHAMMAR</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61817-2021</t>
        </is>
      </c>
      <c r="B363" s="1" t="n">
        <v>44501</v>
      </c>
      <c r="C363" s="1" t="n">
        <v>45628</v>
      </c>
      <c r="D363" t="inlineStr">
        <is>
          <t>UPPSALA LÄN</t>
        </is>
      </c>
      <c r="E363" t="inlineStr">
        <is>
          <t>ÖSTHAMMAR</t>
        </is>
      </c>
      <c r="F363" t="inlineStr">
        <is>
          <t>Bergvik skog öst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62854-2021</t>
        </is>
      </c>
      <c r="B364" s="1" t="n">
        <v>44504</v>
      </c>
      <c r="C364" s="1" t="n">
        <v>45628</v>
      </c>
      <c r="D364" t="inlineStr">
        <is>
          <t>UPPSALA LÄN</t>
        </is>
      </c>
      <c r="E364" t="inlineStr">
        <is>
          <t>ÖSTHAMMAR</t>
        </is>
      </c>
      <c r="F364" t="inlineStr">
        <is>
          <t>Bergvik skog öst AB</t>
        </is>
      </c>
      <c r="G364" t="n">
        <v>10.3</v>
      </c>
      <c r="H364" t="n">
        <v>0</v>
      </c>
      <c r="I364" t="n">
        <v>0</v>
      </c>
      <c r="J364" t="n">
        <v>0</v>
      </c>
      <c r="K364" t="n">
        <v>0</v>
      </c>
      <c r="L364" t="n">
        <v>0</v>
      </c>
      <c r="M364" t="n">
        <v>0</v>
      </c>
      <c r="N364" t="n">
        <v>0</v>
      </c>
      <c r="O364" t="n">
        <v>0</v>
      </c>
      <c r="P364" t="n">
        <v>0</v>
      </c>
      <c r="Q364" t="n">
        <v>0</v>
      </c>
      <c r="R364" s="2" t="inlineStr"/>
    </row>
    <row r="365" ht="15" customHeight="1">
      <c r="A365" t="inlineStr">
        <is>
          <t>A 62782-2021</t>
        </is>
      </c>
      <c r="B365" s="1" t="n">
        <v>44504</v>
      </c>
      <c r="C365" s="1" t="n">
        <v>45628</v>
      </c>
      <c r="D365" t="inlineStr">
        <is>
          <t>UPPSALA LÄN</t>
        </is>
      </c>
      <c r="E365" t="inlineStr">
        <is>
          <t>ÖSTHAMMAR</t>
        </is>
      </c>
      <c r="G365" t="n">
        <v>2.6</v>
      </c>
      <c r="H365" t="n">
        <v>0</v>
      </c>
      <c r="I365" t="n">
        <v>0</v>
      </c>
      <c r="J365" t="n">
        <v>0</v>
      </c>
      <c r="K365" t="n">
        <v>0</v>
      </c>
      <c r="L365" t="n">
        <v>0</v>
      </c>
      <c r="M365" t="n">
        <v>0</v>
      </c>
      <c r="N365" t="n">
        <v>0</v>
      </c>
      <c r="O365" t="n">
        <v>0</v>
      </c>
      <c r="P365" t="n">
        <v>0</v>
      </c>
      <c r="Q365" t="n">
        <v>0</v>
      </c>
      <c r="R365" s="2" t="inlineStr"/>
    </row>
    <row r="366" ht="15" customHeight="1">
      <c r="A366" t="inlineStr">
        <is>
          <t>A 64586-2021</t>
        </is>
      </c>
      <c r="B366" s="1" t="n">
        <v>44511</v>
      </c>
      <c r="C366" s="1" t="n">
        <v>45628</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64811-2021</t>
        </is>
      </c>
      <c r="B367" s="1" t="n">
        <v>44512</v>
      </c>
      <c r="C367" s="1" t="n">
        <v>45628</v>
      </c>
      <c r="D367" t="inlineStr">
        <is>
          <t>UPPSALA LÄN</t>
        </is>
      </c>
      <c r="E367" t="inlineStr">
        <is>
          <t>ÖSTHAMMAR</t>
        </is>
      </c>
      <c r="G367" t="n">
        <v>4.2</v>
      </c>
      <c r="H367" t="n">
        <v>0</v>
      </c>
      <c r="I367" t="n">
        <v>0</v>
      </c>
      <c r="J367" t="n">
        <v>0</v>
      </c>
      <c r="K367" t="n">
        <v>0</v>
      </c>
      <c r="L367" t="n">
        <v>0</v>
      </c>
      <c r="M367" t="n">
        <v>0</v>
      </c>
      <c r="N367" t="n">
        <v>0</v>
      </c>
      <c r="O367" t="n">
        <v>0</v>
      </c>
      <c r="P367" t="n">
        <v>0</v>
      </c>
      <c r="Q367" t="n">
        <v>0</v>
      </c>
      <c r="R367" s="2" t="inlineStr"/>
    </row>
    <row r="368" ht="15" customHeight="1">
      <c r="A368" t="inlineStr">
        <is>
          <t>A 64872-2021</t>
        </is>
      </c>
      <c r="B368" s="1" t="n">
        <v>44512</v>
      </c>
      <c r="C368" s="1" t="n">
        <v>45628</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64885-2021</t>
        </is>
      </c>
      <c r="B369" s="1" t="n">
        <v>44512</v>
      </c>
      <c r="C369" s="1" t="n">
        <v>45628</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65020-2021</t>
        </is>
      </c>
      <c r="B370" s="1" t="n">
        <v>44515</v>
      </c>
      <c r="C370" s="1" t="n">
        <v>45628</v>
      </c>
      <c r="D370" t="inlineStr">
        <is>
          <t>UPPSALA LÄN</t>
        </is>
      </c>
      <c r="E370" t="inlineStr">
        <is>
          <t>ÖSTHAMMAR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65165-2021</t>
        </is>
      </c>
      <c r="B371" s="1" t="n">
        <v>44515</v>
      </c>
      <c r="C371" s="1" t="n">
        <v>45628</v>
      </c>
      <c r="D371" t="inlineStr">
        <is>
          <t>UPPSALA LÄN</t>
        </is>
      </c>
      <c r="E371" t="inlineStr">
        <is>
          <t>ÖSTHAMMAR</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65104-2021</t>
        </is>
      </c>
      <c r="B372" s="1" t="n">
        <v>44515</v>
      </c>
      <c r="C372" s="1" t="n">
        <v>45628</v>
      </c>
      <c r="D372" t="inlineStr">
        <is>
          <t>UPPSALA LÄN</t>
        </is>
      </c>
      <c r="E372" t="inlineStr">
        <is>
          <t>ÖSTHAMMAR</t>
        </is>
      </c>
      <c r="F372" t="inlineStr">
        <is>
          <t>Sveaskog</t>
        </is>
      </c>
      <c r="G372" t="n">
        <v>4.2</v>
      </c>
      <c r="H372" t="n">
        <v>0</v>
      </c>
      <c r="I372" t="n">
        <v>0</v>
      </c>
      <c r="J372" t="n">
        <v>0</v>
      </c>
      <c r="K372" t="n">
        <v>0</v>
      </c>
      <c r="L372" t="n">
        <v>0</v>
      </c>
      <c r="M372" t="n">
        <v>0</v>
      </c>
      <c r="N372" t="n">
        <v>0</v>
      </c>
      <c r="O372" t="n">
        <v>0</v>
      </c>
      <c r="P372" t="n">
        <v>0</v>
      </c>
      <c r="Q372" t="n">
        <v>0</v>
      </c>
      <c r="R372" s="2" t="inlineStr"/>
    </row>
    <row r="373" ht="15" customHeight="1">
      <c r="A373" t="inlineStr">
        <is>
          <t>A 65028-2021</t>
        </is>
      </c>
      <c r="B373" s="1" t="n">
        <v>44515</v>
      </c>
      <c r="C373" s="1" t="n">
        <v>45628</v>
      </c>
      <c r="D373" t="inlineStr">
        <is>
          <t>UPPSALA LÄN</t>
        </is>
      </c>
      <c r="E373" t="inlineStr">
        <is>
          <t>ÖSTHAMMAR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66549-2021</t>
        </is>
      </c>
      <c r="B374" s="1" t="n">
        <v>44519</v>
      </c>
      <c r="C374" s="1" t="n">
        <v>45628</v>
      </c>
      <c r="D374" t="inlineStr">
        <is>
          <t>UPPSALA LÄN</t>
        </is>
      </c>
      <c r="E374" t="inlineStr">
        <is>
          <t>ÖSTHAMMAR</t>
        </is>
      </c>
      <c r="F374" t="inlineStr">
        <is>
          <t>Bergvik skog öst AB</t>
        </is>
      </c>
      <c r="G374" t="n">
        <v>2.8</v>
      </c>
      <c r="H374" t="n">
        <v>0</v>
      </c>
      <c r="I374" t="n">
        <v>0</v>
      </c>
      <c r="J374" t="n">
        <v>0</v>
      </c>
      <c r="K374" t="n">
        <v>0</v>
      </c>
      <c r="L374" t="n">
        <v>0</v>
      </c>
      <c r="M374" t="n">
        <v>0</v>
      </c>
      <c r="N374" t="n">
        <v>0</v>
      </c>
      <c r="O374" t="n">
        <v>0</v>
      </c>
      <c r="P374" t="n">
        <v>0</v>
      </c>
      <c r="Q374" t="n">
        <v>0</v>
      </c>
      <c r="R374" s="2" t="inlineStr"/>
    </row>
    <row r="375" ht="15" customHeight="1">
      <c r="A375" t="inlineStr">
        <is>
          <t>A 66779-2021</t>
        </is>
      </c>
      <c r="B375" s="1" t="n">
        <v>44522</v>
      </c>
      <c r="C375" s="1" t="n">
        <v>45628</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67033-2021</t>
        </is>
      </c>
      <c r="B376" s="1" t="n">
        <v>44522</v>
      </c>
      <c r="C376" s="1" t="n">
        <v>45628</v>
      </c>
      <c r="D376" t="inlineStr">
        <is>
          <t>UPPSALA LÄN</t>
        </is>
      </c>
      <c r="E376" t="inlineStr">
        <is>
          <t>ÖSTHAMMAR</t>
        </is>
      </c>
      <c r="G376" t="n">
        <v>1.5</v>
      </c>
      <c r="H376" t="n">
        <v>0</v>
      </c>
      <c r="I376" t="n">
        <v>0</v>
      </c>
      <c r="J376" t="n">
        <v>0</v>
      </c>
      <c r="K376" t="n">
        <v>0</v>
      </c>
      <c r="L376" t="n">
        <v>0</v>
      </c>
      <c r="M376" t="n">
        <v>0</v>
      </c>
      <c r="N376" t="n">
        <v>0</v>
      </c>
      <c r="O376" t="n">
        <v>0</v>
      </c>
      <c r="P376" t="n">
        <v>0</v>
      </c>
      <c r="Q376" t="n">
        <v>0</v>
      </c>
      <c r="R376" s="2" t="inlineStr"/>
    </row>
    <row r="377" ht="15" customHeight="1">
      <c r="A377" t="inlineStr">
        <is>
          <t>A 67030-2021</t>
        </is>
      </c>
      <c r="B377" s="1" t="n">
        <v>44522</v>
      </c>
      <c r="C377" s="1" t="n">
        <v>45628</v>
      </c>
      <c r="D377" t="inlineStr">
        <is>
          <t>UPPSALA LÄN</t>
        </is>
      </c>
      <c r="E377" t="inlineStr">
        <is>
          <t>ÖSTHAMMAR</t>
        </is>
      </c>
      <c r="G377" t="n">
        <v>8.6</v>
      </c>
      <c r="H377" t="n">
        <v>0</v>
      </c>
      <c r="I377" t="n">
        <v>0</v>
      </c>
      <c r="J377" t="n">
        <v>0</v>
      </c>
      <c r="K377" t="n">
        <v>0</v>
      </c>
      <c r="L377" t="n">
        <v>0</v>
      </c>
      <c r="M377" t="n">
        <v>0</v>
      </c>
      <c r="N377" t="n">
        <v>0</v>
      </c>
      <c r="O377" t="n">
        <v>0</v>
      </c>
      <c r="P377" t="n">
        <v>0</v>
      </c>
      <c r="Q377" t="n">
        <v>0</v>
      </c>
      <c r="R377" s="2" t="inlineStr"/>
    </row>
    <row r="378" ht="15" customHeight="1">
      <c r="A378" t="inlineStr">
        <is>
          <t>A 67151-2021</t>
        </is>
      </c>
      <c r="B378" s="1" t="n">
        <v>44523</v>
      </c>
      <c r="C378" s="1" t="n">
        <v>45628</v>
      </c>
      <c r="D378" t="inlineStr">
        <is>
          <t>UPPSALA LÄN</t>
        </is>
      </c>
      <c r="E378" t="inlineStr">
        <is>
          <t>ÖSTHAMMAR</t>
        </is>
      </c>
      <c r="G378" t="n">
        <v>2.4</v>
      </c>
      <c r="H378" t="n">
        <v>0</v>
      </c>
      <c r="I378" t="n">
        <v>0</v>
      </c>
      <c r="J378" t="n">
        <v>0</v>
      </c>
      <c r="K378" t="n">
        <v>0</v>
      </c>
      <c r="L378" t="n">
        <v>0</v>
      </c>
      <c r="M378" t="n">
        <v>0</v>
      </c>
      <c r="N378" t="n">
        <v>0</v>
      </c>
      <c r="O378" t="n">
        <v>0</v>
      </c>
      <c r="P378" t="n">
        <v>0</v>
      </c>
      <c r="Q378" t="n">
        <v>0</v>
      </c>
      <c r="R378" s="2" t="inlineStr"/>
    </row>
    <row r="379" ht="15" customHeight="1">
      <c r="A379" t="inlineStr">
        <is>
          <t>A 67199-2021</t>
        </is>
      </c>
      <c r="B379" s="1" t="n">
        <v>44523</v>
      </c>
      <c r="C379" s="1" t="n">
        <v>45628</v>
      </c>
      <c r="D379" t="inlineStr">
        <is>
          <t>UPPSALA LÄN</t>
        </is>
      </c>
      <c r="E379" t="inlineStr">
        <is>
          <t>ÖSTHAMMAR</t>
        </is>
      </c>
      <c r="G379" t="n">
        <v>2.3</v>
      </c>
      <c r="H379" t="n">
        <v>0</v>
      </c>
      <c r="I379" t="n">
        <v>0</v>
      </c>
      <c r="J379" t="n">
        <v>0</v>
      </c>
      <c r="K379" t="n">
        <v>0</v>
      </c>
      <c r="L379" t="n">
        <v>0</v>
      </c>
      <c r="M379" t="n">
        <v>0</v>
      </c>
      <c r="N379" t="n">
        <v>0</v>
      </c>
      <c r="O379" t="n">
        <v>0</v>
      </c>
      <c r="P379" t="n">
        <v>0</v>
      </c>
      <c r="Q379" t="n">
        <v>0</v>
      </c>
      <c r="R379" s="2" t="inlineStr"/>
    </row>
    <row r="380" ht="15" customHeight="1">
      <c r="A380" t="inlineStr">
        <is>
          <t>A 67217-2021</t>
        </is>
      </c>
      <c r="B380" s="1" t="n">
        <v>44523</v>
      </c>
      <c r="C380" s="1" t="n">
        <v>45628</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67859-2021</t>
        </is>
      </c>
      <c r="B381" s="1" t="n">
        <v>44525</v>
      </c>
      <c r="C381" s="1" t="n">
        <v>45628</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67848-2021</t>
        </is>
      </c>
      <c r="B382" s="1" t="n">
        <v>44525</v>
      </c>
      <c r="C382" s="1" t="n">
        <v>45628</v>
      </c>
      <c r="D382" t="inlineStr">
        <is>
          <t>UPPSALA LÄN</t>
        </is>
      </c>
      <c r="E382" t="inlineStr">
        <is>
          <t>ÖSTHAMMAR</t>
        </is>
      </c>
      <c r="G382" t="n">
        <v>1</v>
      </c>
      <c r="H382" t="n">
        <v>0</v>
      </c>
      <c r="I382" t="n">
        <v>0</v>
      </c>
      <c r="J382" t="n">
        <v>0</v>
      </c>
      <c r="K382" t="n">
        <v>0</v>
      </c>
      <c r="L382" t="n">
        <v>0</v>
      </c>
      <c r="M382" t="n">
        <v>0</v>
      </c>
      <c r="N382" t="n">
        <v>0</v>
      </c>
      <c r="O382" t="n">
        <v>0</v>
      </c>
      <c r="P382" t="n">
        <v>0</v>
      </c>
      <c r="Q382" t="n">
        <v>0</v>
      </c>
      <c r="R382" s="2" t="inlineStr"/>
    </row>
    <row r="383" ht="15" customHeight="1">
      <c r="A383" t="inlineStr">
        <is>
          <t>A 69505-2021</t>
        </is>
      </c>
      <c r="B383" s="1" t="n">
        <v>44531</v>
      </c>
      <c r="C383" s="1" t="n">
        <v>45628</v>
      </c>
      <c r="D383" t="inlineStr">
        <is>
          <t>UPPSALA LÄN</t>
        </is>
      </c>
      <c r="E383" t="inlineStr">
        <is>
          <t>ÖSTHAMMAR</t>
        </is>
      </c>
      <c r="F383" t="inlineStr">
        <is>
          <t>Bergvik skog öst AB</t>
        </is>
      </c>
      <c r="G383" t="n">
        <v>5.4</v>
      </c>
      <c r="H383" t="n">
        <v>0</v>
      </c>
      <c r="I383" t="n">
        <v>0</v>
      </c>
      <c r="J383" t="n">
        <v>0</v>
      </c>
      <c r="K383" t="n">
        <v>0</v>
      </c>
      <c r="L383" t="n">
        <v>0</v>
      </c>
      <c r="M383" t="n">
        <v>0</v>
      </c>
      <c r="N383" t="n">
        <v>0</v>
      </c>
      <c r="O383" t="n">
        <v>0</v>
      </c>
      <c r="P383" t="n">
        <v>0</v>
      </c>
      <c r="Q383" t="n">
        <v>0</v>
      </c>
      <c r="R383" s="2" t="inlineStr"/>
    </row>
    <row r="384" ht="15" customHeight="1">
      <c r="A384" t="inlineStr">
        <is>
          <t>A 69411-2021</t>
        </is>
      </c>
      <c r="B384" s="1" t="n">
        <v>44531</v>
      </c>
      <c r="C384" s="1" t="n">
        <v>45628</v>
      </c>
      <c r="D384" t="inlineStr">
        <is>
          <t>UPPSALA LÄN</t>
        </is>
      </c>
      <c r="E384" t="inlineStr">
        <is>
          <t>ÖSTHAMMAR</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69518-2021</t>
        </is>
      </c>
      <c r="B385" s="1" t="n">
        <v>44531</v>
      </c>
      <c r="C385" s="1" t="n">
        <v>45628</v>
      </c>
      <c r="D385" t="inlineStr">
        <is>
          <t>UPPSALA LÄN</t>
        </is>
      </c>
      <c r="E385" t="inlineStr">
        <is>
          <t>ÖSTHAMMAR</t>
        </is>
      </c>
      <c r="G385" t="n">
        <v>4.5</v>
      </c>
      <c r="H385" t="n">
        <v>0</v>
      </c>
      <c r="I385" t="n">
        <v>0</v>
      </c>
      <c r="J385" t="n">
        <v>0</v>
      </c>
      <c r="K385" t="n">
        <v>0</v>
      </c>
      <c r="L385" t="n">
        <v>0</v>
      </c>
      <c r="M385" t="n">
        <v>0</v>
      </c>
      <c r="N385" t="n">
        <v>0</v>
      </c>
      <c r="O385" t="n">
        <v>0</v>
      </c>
      <c r="P385" t="n">
        <v>0</v>
      </c>
      <c r="Q385" t="n">
        <v>0</v>
      </c>
      <c r="R385" s="2" t="inlineStr"/>
    </row>
    <row r="386" ht="15" customHeight="1">
      <c r="A386" t="inlineStr">
        <is>
          <t>A 70008-2021</t>
        </is>
      </c>
      <c r="B386" s="1" t="n">
        <v>44533</v>
      </c>
      <c r="C386" s="1" t="n">
        <v>45628</v>
      </c>
      <c r="D386" t="inlineStr">
        <is>
          <t>UPPSALA LÄN</t>
        </is>
      </c>
      <c r="E386" t="inlineStr">
        <is>
          <t>ÖSTHAMMAR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70408-2021</t>
        </is>
      </c>
      <c r="B387" s="1" t="n">
        <v>44536</v>
      </c>
      <c r="C387" s="1" t="n">
        <v>45628</v>
      </c>
      <c r="D387" t="inlineStr">
        <is>
          <t>UPPSALA LÄN</t>
        </is>
      </c>
      <c r="E387" t="inlineStr">
        <is>
          <t>ÖSTHAMMAR</t>
        </is>
      </c>
      <c r="G387" t="n">
        <v>1</v>
      </c>
      <c r="H387" t="n">
        <v>0</v>
      </c>
      <c r="I387" t="n">
        <v>0</v>
      </c>
      <c r="J387" t="n">
        <v>0</v>
      </c>
      <c r="K387" t="n">
        <v>0</v>
      </c>
      <c r="L387" t="n">
        <v>0</v>
      </c>
      <c r="M387" t="n">
        <v>0</v>
      </c>
      <c r="N387" t="n">
        <v>0</v>
      </c>
      <c r="O387" t="n">
        <v>0</v>
      </c>
      <c r="P387" t="n">
        <v>0</v>
      </c>
      <c r="Q387" t="n">
        <v>0</v>
      </c>
      <c r="R387" s="2" t="inlineStr"/>
    </row>
    <row r="388" ht="15" customHeight="1">
      <c r="A388" t="inlineStr">
        <is>
          <t>A 72627-2021</t>
        </is>
      </c>
      <c r="B388" s="1" t="n">
        <v>44546</v>
      </c>
      <c r="C388" s="1" t="n">
        <v>45628</v>
      </c>
      <c r="D388" t="inlineStr">
        <is>
          <t>UPPSALA LÄN</t>
        </is>
      </c>
      <c r="E388" t="inlineStr">
        <is>
          <t>ÖSTHAMMAR</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72637-2021</t>
        </is>
      </c>
      <c r="B389" s="1" t="n">
        <v>44546</v>
      </c>
      <c r="C389" s="1" t="n">
        <v>45628</v>
      </c>
      <c r="D389" t="inlineStr">
        <is>
          <t>UPPSALA LÄN</t>
        </is>
      </c>
      <c r="E389" t="inlineStr">
        <is>
          <t>ÖSTHAMMAR</t>
        </is>
      </c>
      <c r="G389" t="n">
        <v>2.5</v>
      </c>
      <c r="H389" t="n">
        <v>0</v>
      </c>
      <c r="I389" t="n">
        <v>0</v>
      </c>
      <c r="J389" t="n">
        <v>0</v>
      </c>
      <c r="K389" t="n">
        <v>0</v>
      </c>
      <c r="L389" t="n">
        <v>0</v>
      </c>
      <c r="M389" t="n">
        <v>0</v>
      </c>
      <c r="N389" t="n">
        <v>0</v>
      </c>
      <c r="O389" t="n">
        <v>0</v>
      </c>
      <c r="P389" t="n">
        <v>0</v>
      </c>
      <c r="Q389" t="n">
        <v>0</v>
      </c>
      <c r="R389" s="2" t="inlineStr"/>
    </row>
    <row r="390" ht="15" customHeight="1">
      <c r="A390" t="inlineStr">
        <is>
          <t>A 72969-2021</t>
        </is>
      </c>
      <c r="B390" s="1" t="n">
        <v>44548</v>
      </c>
      <c r="C390" s="1" t="n">
        <v>45628</v>
      </c>
      <c r="D390" t="inlineStr">
        <is>
          <t>UPPSALA LÄN</t>
        </is>
      </c>
      <c r="E390" t="inlineStr">
        <is>
          <t>ÖSTHAMMAR</t>
        </is>
      </c>
      <c r="F390" t="inlineStr">
        <is>
          <t>Bergvik skog öst AB</t>
        </is>
      </c>
      <c r="G390" t="n">
        <v>8</v>
      </c>
      <c r="H390" t="n">
        <v>0</v>
      </c>
      <c r="I390" t="n">
        <v>0</v>
      </c>
      <c r="J390" t="n">
        <v>0</v>
      </c>
      <c r="K390" t="n">
        <v>0</v>
      </c>
      <c r="L390" t="n">
        <v>0</v>
      </c>
      <c r="M390" t="n">
        <v>0</v>
      </c>
      <c r="N390" t="n">
        <v>0</v>
      </c>
      <c r="O390" t="n">
        <v>0</v>
      </c>
      <c r="P390" t="n">
        <v>0</v>
      </c>
      <c r="Q390" t="n">
        <v>0</v>
      </c>
      <c r="R390" s="2" t="inlineStr"/>
    </row>
    <row r="391" ht="15" customHeight="1">
      <c r="A391" t="inlineStr">
        <is>
          <t>A 73483-2021</t>
        </is>
      </c>
      <c r="B391" s="1" t="n">
        <v>44550</v>
      </c>
      <c r="C391" s="1" t="n">
        <v>45628</v>
      </c>
      <c r="D391" t="inlineStr">
        <is>
          <t>UPPSALA LÄN</t>
        </is>
      </c>
      <c r="E391" t="inlineStr">
        <is>
          <t>ÖSTHAMMAR</t>
        </is>
      </c>
      <c r="G391" t="n">
        <v>2.8</v>
      </c>
      <c r="H391" t="n">
        <v>0</v>
      </c>
      <c r="I391" t="n">
        <v>0</v>
      </c>
      <c r="J391" t="n">
        <v>0</v>
      </c>
      <c r="K391" t="n">
        <v>0</v>
      </c>
      <c r="L391" t="n">
        <v>0</v>
      </c>
      <c r="M391" t="n">
        <v>0</v>
      </c>
      <c r="N391" t="n">
        <v>0</v>
      </c>
      <c r="O391" t="n">
        <v>0</v>
      </c>
      <c r="P391" t="n">
        <v>0</v>
      </c>
      <c r="Q391" t="n">
        <v>0</v>
      </c>
      <c r="R391" s="2" t="inlineStr"/>
    </row>
    <row r="392" ht="15" customHeight="1">
      <c r="A392" t="inlineStr">
        <is>
          <t>A 73592-2021</t>
        </is>
      </c>
      <c r="B392" s="1" t="n">
        <v>44552</v>
      </c>
      <c r="C392" s="1" t="n">
        <v>45628</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73965-2021</t>
        </is>
      </c>
      <c r="B393" s="1" t="n">
        <v>44553</v>
      </c>
      <c r="C393" s="1" t="n">
        <v>45628</v>
      </c>
      <c r="D393" t="inlineStr">
        <is>
          <t>UPPSALA LÄN</t>
        </is>
      </c>
      <c r="E393" t="inlineStr">
        <is>
          <t>ÖSTHAMMAR</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73982-2021</t>
        </is>
      </c>
      <c r="B394" s="1" t="n">
        <v>44555</v>
      </c>
      <c r="C394" s="1" t="n">
        <v>45628</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73983-2021</t>
        </is>
      </c>
      <c r="B395" s="1" t="n">
        <v>44555</v>
      </c>
      <c r="C395" s="1" t="n">
        <v>45628</v>
      </c>
      <c r="D395" t="inlineStr">
        <is>
          <t>UPPSALA LÄN</t>
        </is>
      </c>
      <c r="E395" t="inlineStr">
        <is>
          <t>ÖSTHAMMAR</t>
        </is>
      </c>
      <c r="G395" t="n">
        <v>0.6</v>
      </c>
      <c r="H395" t="n">
        <v>0</v>
      </c>
      <c r="I395" t="n">
        <v>0</v>
      </c>
      <c r="J395" t="n">
        <v>0</v>
      </c>
      <c r="K395" t="n">
        <v>0</v>
      </c>
      <c r="L395" t="n">
        <v>0</v>
      </c>
      <c r="M395" t="n">
        <v>0</v>
      </c>
      <c r="N395" t="n">
        <v>0</v>
      </c>
      <c r="O395" t="n">
        <v>0</v>
      </c>
      <c r="P395" t="n">
        <v>0</v>
      </c>
      <c r="Q395" t="n">
        <v>0</v>
      </c>
      <c r="R395" s="2" t="inlineStr"/>
    </row>
    <row r="396" ht="15" customHeight="1">
      <c r="A396" t="inlineStr">
        <is>
          <t>A 74429-2021</t>
        </is>
      </c>
      <c r="B396" s="1" t="n">
        <v>44560</v>
      </c>
      <c r="C396" s="1" t="n">
        <v>45628</v>
      </c>
      <c r="D396" t="inlineStr">
        <is>
          <t>UPPSALA LÄN</t>
        </is>
      </c>
      <c r="E396" t="inlineStr">
        <is>
          <t>ÖSTHAMMAR</t>
        </is>
      </c>
      <c r="F396" t="inlineStr">
        <is>
          <t>Bergvik skog öst AB</t>
        </is>
      </c>
      <c r="G396" t="n">
        <v>0.8</v>
      </c>
      <c r="H396" t="n">
        <v>0</v>
      </c>
      <c r="I396" t="n">
        <v>0</v>
      </c>
      <c r="J396" t="n">
        <v>0</v>
      </c>
      <c r="K396" t="n">
        <v>0</v>
      </c>
      <c r="L396" t="n">
        <v>0</v>
      </c>
      <c r="M396" t="n">
        <v>0</v>
      </c>
      <c r="N396" t="n">
        <v>0</v>
      </c>
      <c r="O396" t="n">
        <v>0</v>
      </c>
      <c r="P396" t="n">
        <v>0</v>
      </c>
      <c r="Q396" t="n">
        <v>0</v>
      </c>
      <c r="R396" s="2" t="inlineStr"/>
    </row>
    <row r="397" ht="15" customHeight="1">
      <c r="A397" t="inlineStr">
        <is>
          <t>A 74467-2021</t>
        </is>
      </c>
      <c r="B397" s="1" t="n">
        <v>44560</v>
      </c>
      <c r="C397" s="1" t="n">
        <v>45628</v>
      </c>
      <c r="D397" t="inlineStr">
        <is>
          <t>UPPSALA LÄN</t>
        </is>
      </c>
      <c r="E397" t="inlineStr">
        <is>
          <t>ÖSTHAMMAR</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74428-2021</t>
        </is>
      </c>
      <c r="B398" s="1" t="n">
        <v>44560</v>
      </c>
      <c r="C398" s="1" t="n">
        <v>45628</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74436-2021</t>
        </is>
      </c>
      <c r="B399" s="1" t="n">
        <v>44560</v>
      </c>
      <c r="C399" s="1" t="n">
        <v>45628</v>
      </c>
      <c r="D399" t="inlineStr">
        <is>
          <t>UPPSALA LÄN</t>
        </is>
      </c>
      <c r="E399" t="inlineStr">
        <is>
          <t>ÖSTHAMMAR</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1238-2022</t>
        </is>
      </c>
      <c r="B400" s="1" t="n">
        <v>44572</v>
      </c>
      <c r="C400" s="1" t="n">
        <v>45628</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1609-2022</t>
        </is>
      </c>
      <c r="B401" s="1" t="n">
        <v>44573</v>
      </c>
      <c r="C401" s="1" t="n">
        <v>45628</v>
      </c>
      <c r="D401" t="inlineStr">
        <is>
          <t>UPPSALA LÄN</t>
        </is>
      </c>
      <c r="E401" t="inlineStr">
        <is>
          <t>ÖSTHAMMAR</t>
        </is>
      </c>
      <c r="G401" t="n">
        <v>5.3</v>
      </c>
      <c r="H401" t="n">
        <v>0</v>
      </c>
      <c r="I401" t="n">
        <v>0</v>
      </c>
      <c r="J401" t="n">
        <v>0</v>
      </c>
      <c r="K401" t="n">
        <v>0</v>
      </c>
      <c r="L401" t="n">
        <v>0</v>
      </c>
      <c r="M401" t="n">
        <v>0</v>
      </c>
      <c r="N401" t="n">
        <v>0</v>
      </c>
      <c r="O401" t="n">
        <v>0</v>
      </c>
      <c r="P401" t="n">
        <v>0</v>
      </c>
      <c r="Q401" t="n">
        <v>0</v>
      </c>
      <c r="R401" s="2" t="inlineStr"/>
    </row>
    <row r="402" ht="15" customHeight="1">
      <c r="A402" t="inlineStr">
        <is>
          <t>A 2085-2022</t>
        </is>
      </c>
      <c r="B402" s="1" t="n">
        <v>44576</v>
      </c>
      <c r="C402" s="1" t="n">
        <v>45628</v>
      </c>
      <c r="D402" t="inlineStr">
        <is>
          <t>UPPSALA LÄN</t>
        </is>
      </c>
      <c r="E402" t="inlineStr">
        <is>
          <t>ÖSTHAMMAR</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2108-2022</t>
        </is>
      </c>
      <c r="B403" s="1" t="n">
        <v>44577</v>
      </c>
      <c r="C403" s="1" t="n">
        <v>45628</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2168-2022</t>
        </is>
      </c>
      <c r="B404" s="1" t="n">
        <v>44578</v>
      </c>
      <c r="C404" s="1" t="n">
        <v>45628</v>
      </c>
      <c r="D404" t="inlineStr">
        <is>
          <t>UPPSALA LÄN</t>
        </is>
      </c>
      <c r="E404" t="inlineStr">
        <is>
          <t>ÖSTHAMMAR</t>
        </is>
      </c>
      <c r="G404" t="n">
        <v>2.9</v>
      </c>
      <c r="H404" t="n">
        <v>0</v>
      </c>
      <c r="I404" t="n">
        <v>0</v>
      </c>
      <c r="J404" t="n">
        <v>0</v>
      </c>
      <c r="K404" t="n">
        <v>0</v>
      </c>
      <c r="L404" t="n">
        <v>0</v>
      </c>
      <c r="M404" t="n">
        <v>0</v>
      </c>
      <c r="N404" t="n">
        <v>0</v>
      </c>
      <c r="O404" t="n">
        <v>0</v>
      </c>
      <c r="P404" t="n">
        <v>0</v>
      </c>
      <c r="Q404" t="n">
        <v>0</v>
      </c>
      <c r="R404" s="2" t="inlineStr"/>
    </row>
    <row r="405" ht="15" customHeight="1">
      <c r="A405" t="inlineStr">
        <is>
          <t>A 3638-2022</t>
        </is>
      </c>
      <c r="B405" s="1" t="n">
        <v>44578</v>
      </c>
      <c r="C405" s="1" t="n">
        <v>45628</v>
      </c>
      <c r="D405" t="inlineStr">
        <is>
          <t>UPPSALA LÄN</t>
        </is>
      </c>
      <c r="E405" t="inlineStr">
        <is>
          <t>ÖSTHAMMAR</t>
        </is>
      </c>
      <c r="G405" t="n">
        <v>1.7</v>
      </c>
      <c r="H405" t="n">
        <v>0</v>
      </c>
      <c r="I405" t="n">
        <v>0</v>
      </c>
      <c r="J405" t="n">
        <v>0</v>
      </c>
      <c r="K405" t="n">
        <v>0</v>
      </c>
      <c r="L405" t="n">
        <v>0</v>
      </c>
      <c r="M405" t="n">
        <v>0</v>
      </c>
      <c r="N405" t="n">
        <v>0</v>
      </c>
      <c r="O405" t="n">
        <v>0</v>
      </c>
      <c r="P405" t="n">
        <v>0</v>
      </c>
      <c r="Q405" t="n">
        <v>0</v>
      </c>
      <c r="R405" s="2" t="inlineStr"/>
    </row>
    <row r="406" ht="15" customHeight="1">
      <c r="A406" t="inlineStr">
        <is>
          <t>A 3725-2022</t>
        </is>
      </c>
      <c r="B406" s="1" t="n">
        <v>44586</v>
      </c>
      <c r="C406" s="1" t="n">
        <v>45628</v>
      </c>
      <c r="D406" t="inlineStr">
        <is>
          <t>UPPSALA LÄN</t>
        </is>
      </c>
      <c r="E406" t="inlineStr">
        <is>
          <t>ÖSTHAMMAR</t>
        </is>
      </c>
      <c r="G406" t="n">
        <v>2</v>
      </c>
      <c r="H406" t="n">
        <v>0</v>
      </c>
      <c r="I406" t="n">
        <v>0</v>
      </c>
      <c r="J406" t="n">
        <v>0</v>
      </c>
      <c r="K406" t="n">
        <v>0</v>
      </c>
      <c r="L406" t="n">
        <v>0</v>
      </c>
      <c r="M406" t="n">
        <v>0</v>
      </c>
      <c r="N406" t="n">
        <v>0</v>
      </c>
      <c r="O406" t="n">
        <v>0</v>
      </c>
      <c r="P406" t="n">
        <v>0</v>
      </c>
      <c r="Q406" t="n">
        <v>0</v>
      </c>
      <c r="R406" s="2" t="inlineStr"/>
    </row>
    <row r="407" ht="15" customHeight="1">
      <c r="A407" t="inlineStr">
        <is>
          <t>A 3732-2022</t>
        </is>
      </c>
      <c r="B407" s="1" t="n">
        <v>44586</v>
      </c>
      <c r="C407" s="1" t="n">
        <v>45628</v>
      </c>
      <c r="D407" t="inlineStr">
        <is>
          <t>UPPSALA LÄN</t>
        </is>
      </c>
      <c r="E407" t="inlineStr">
        <is>
          <t>ÖSTHAMMAR</t>
        </is>
      </c>
      <c r="F407" t="inlineStr">
        <is>
          <t>Bergvik skog öst AB</t>
        </is>
      </c>
      <c r="G407" t="n">
        <v>3.6</v>
      </c>
      <c r="H407" t="n">
        <v>0</v>
      </c>
      <c r="I407" t="n">
        <v>0</v>
      </c>
      <c r="J407" t="n">
        <v>0</v>
      </c>
      <c r="K407" t="n">
        <v>0</v>
      </c>
      <c r="L407" t="n">
        <v>0</v>
      </c>
      <c r="M407" t="n">
        <v>0</v>
      </c>
      <c r="N407" t="n">
        <v>0</v>
      </c>
      <c r="O407" t="n">
        <v>0</v>
      </c>
      <c r="P407" t="n">
        <v>0</v>
      </c>
      <c r="Q407" t="n">
        <v>0</v>
      </c>
      <c r="R407" s="2" t="inlineStr"/>
    </row>
    <row r="408" ht="15" customHeight="1">
      <c r="A408" t="inlineStr">
        <is>
          <t>A 3740-2022</t>
        </is>
      </c>
      <c r="B408" s="1" t="n">
        <v>44586</v>
      </c>
      <c r="C408" s="1" t="n">
        <v>45628</v>
      </c>
      <c r="D408" t="inlineStr">
        <is>
          <t>UPPSALA LÄN</t>
        </is>
      </c>
      <c r="E408" t="inlineStr">
        <is>
          <t>ÖSTHAMMAR</t>
        </is>
      </c>
      <c r="F408" t="inlineStr">
        <is>
          <t>Bergvik skog öst AB</t>
        </is>
      </c>
      <c r="G408" t="n">
        <v>7.7</v>
      </c>
      <c r="H408" t="n">
        <v>0</v>
      </c>
      <c r="I408" t="n">
        <v>0</v>
      </c>
      <c r="J408" t="n">
        <v>0</v>
      </c>
      <c r="K408" t="n">
        <v>0</v>
      </c>
      <c r="L408" t="n">
        <v>0</v>
      </c>
      <c r="M408" t="n">
        <v>0</v>
      </c>
      <c r="N408" t="n">
        <v>0</v>
      </c>
      <c r="O408" t="n">
        <v>0</v>
      </c>
      <c r="P408" t="n">
        <v>0</v>
      </c>
      <c r="Q408" t="n">
        <v>0</v>
      </c>
      <c r="R408" s="2" t="inlineStr"/>
    </row>
    <row r="409" ht="15" customHeight="1">
      <c r="A409" t="inlineStr">
        <is>
          <t>A 3991-2022</t>
        </is>
      </c>
      <c r="B409" s="1" t="n">
        <v>44587</v>
      </c>
      <c r="C409" s="1" t="n">
        <v>45628</v>
      </c>
      <c r="D409" t="inlineStr">
        <is>
          <t>UPPSALA LÄN</t>
        </is>
      </c>
      <c r="E409" t="inlineStr">
        <is>
          <t>ÖSTHAMMAR</t>
        </is>
      </c>
      <c r="F409" t="inlineStr">
        <is>
          <t>Bergvik skog öst AB</t>
        </is>
      </c>
      <c r="G409" t="n">
        <v>3.7</v>
      </c>
      <c r="H409" t="n">
        <v>0</v>
      </c>
      <c r="I409" t="n">
        <v>0</v>
      </c>
      <c r="J409" t="n">
        <v>0</v>
      </c>
      <c r="K409" t="n">
        <v>0</v>
      </c>
      <c r="L409" t="n">
        <v>0</v>
      </c>
      <c r="M409" t="n">
        <v>0</v>
      </c>
      <c r="N409" t="n">
        <v>0</v>
      </c>
      <c r="O409" t="n">
        <v>0</v>
      </c>
      <c r="P409" t="n">
        <v>0</v>
      </c>
      <c r="Q409" t="n">
        <v>0</v>
      </c>
      <c r="R409" s="2" t="inlineStr"/>
    </row>
    <row r="410" ht="15" customHeight="1">
      <c r="A410" t="inlineStr">
        <is>
          <t>A 4101-2022</t>
        </is>
      </c>
      <c r="B410" s="1" t="n">
        <v>44588</v>
      </c>
      <c r="C410" s="1" t="n">
        <v>45628</v>
      </c>
      <c r="D410" t="inlineStr">
        <is>
          <t>UPPSALA LÄN</t>
        </is>
      </c>
      <c r="E410" t="inlineStr">
        <is>
          <t>ÖSTHAMMAR</t>
        </is>
      </c>
      <c r="G410" t="n">
        <v>4.4</v>
      </c>
      <c r="H410" t="n">
        <v>0</v>
      </c>
      <c r="I410" t="n">
        <v>0</v>
      </c>
      <c r="J410" t="n">
        <v>0</v>
      </c>
      <c r="K410" t="n">
        <v>0</v>
      </c>
      <c r="L410" t="n">
        <v>0</v>
      </c>
      <c r="M410" t="n">
        <v>0</v>
      </c>
      <c r="N410" t="n">
        <v>0</v>
      </c>
      <c r="O410" t="n">
        <v>0</v>
      </c>
      <c r="P410" t="n">
        <v>0</v>
      </c>
      <c r="Q410" t="n">
        <v>0</v>
      </c>
      <c r="R410" s="2" t="inlineStr"/>
    </row>
    <row r="411" ht="15" customHeight="1">
      <c r="A411" t="inlineStr">
        <is>
          <t>A 4318-2022</t>
        </is>
      </c>
      <c r="B411" s="1" t="n">
        <v>44588</v>
      </c>
      <c r="C411" s="1" t="n">
        <v>45628</v>
      </c>
      <c r="D411" t="inlineStr">
        <is>
          <t>UPPSALA LÄN</t>
        </is>
      </c>
      <c r="E411" t="inlineStr">
        <is>
          <t>ÖSTHAMMAR</t>
        </is>
      </c>
      <c r="F411" t="inlineStr">
        <is>
          <t>Bergvik skog öst AB</t>
        </is>
      </c>
      <c r="G411" t="n">
        <v>9.6</v>
      </c>
      <c r="H411" t="n">
        <v>0</v>
      </c>
      <c r="I411" t="n">
        <v>0</v>
      </c>
      <c r="J411" t="n">
        <v>0</v>
      </c>
      <c r="K411" t="n">
        <v>0</v>
      </c>
      <c r="L411" t="n">
        <v>0</v>
      </c>
      <c r="M411" t="n">
        <v>0</v>
      </c>
      <c r="N411" t="n">
        <v>0</v>
      </c>
      <c r="O411" t="n">
        <v>0</v>
      </c>
      <c r="P411" t="n">
        <v>0</v>
      </c>
      <c r="Q411" t="n">
        <v>0</v>
      </c>
      <c r="R411" s="2" t="inlineStr"/>
    </row>
    <row r="412" ht="15" customHeight="1">
      <c r="A412" t="inlineStr">
        <is>
          <t>A 4315-2022</t>
        </is>
      </c>
      <c r="B412" s="1" t="n">
        <v>44588</v>
      </c>
      <c r="C412" s="1" t="n">
        <v>45628</v>
      </c>
      <c r="D412" t="inlineStr">
        <is>
          <t>UPPSALA LÄN</t>
        </is>
      </c>
      <c r="E412" t="inlineStr">
        <is>
          <t>ÖSTHAMMAR</t>
        </is>
      </c>
      <c r="F412" t="inlineStr">
        <is>
          <t>Bergvik skog öst AB</t>
        </is>
      </c>
      <c r="G412" t="n">
        <v>0.5</v>
      </c>
      <c r="H412" t="n">
        <v>0</v>
      </c>
      <c r="I412" t="n">
        <v>0</v>
      </c>
      <c r="J412" t="n">
        <v>0</v>
      </c>
      <c r="K412" t="n">
        <v>0</v>
      </c>
      <c r="L412" t="n">
        <v>0</v>
      </c>
      <c r="M412" t="n">
        <v>0</v>
      </c>
      <c r="N412" t="n">
        <v>0</v>
      </c>
      <c r="O412" t="n">
        <v>0</v>
      </c>
      <c r="P412" t="n">
        <v>0</v>
      </c>
      <c r="Q412" t="n">
        <v>0</v>
      </c>
      <c r="R412" s="2" t="inlineStr"/>
    </row>
    <row r="413" ht="15" customHeight="1">
      <c r="A413" t="inlineStr">
        <is>
          <t>A 4491-2022</t>
        </is>
      </c>
      <c r="B413" s="1" t="n">
        <v>44589</v>
      </c>
      <c r="C413" s="1" t="n">
        <v>45628</v>
      </c>
      <c r="D413" t="inlineStr">
        <is>
          <t>UPPSALA LÄN</t>
        </is>
      </c>
      <c r="E413" t="inlineStr">
        <is>
          <t>ÖSTHAMMAR</t>
        </is>
      </c>
      <c r="G413" t="n">
        <v>1.4</v>
      </c>
      <c r="H413" t="n">
        <v>0</v>
      </c>
      <c r="I413" t="n">
        <v>0</v>
      </c>
      <c r="J413" t="n">
        <v>0</v>
      </c>
      <c r="K413" t="n">
        <v>0</v>
      </c>
      <c r="L413" t="n">
        <v>0</v>
      </c>
      <c r="M413" t="n">
        <v>0</v>
      </c>
      <c r="N413" t="n">
        <v>0</v>
      </c>
      <c r="O413" t="n">
        <v>0</v>
      </c>
      <c r="P413" t="n">
        <v>0</v>
      </c>
      <c r="Q413" t="n">
        <v>0</v>
      </c>
      <c r="R413" s="2" t="inlineStr"/>
    </row>
    <row r="414" ht="15" customHeight="1">
      <c r="A414" t="inlineStr">
        <is>
          <t>A 4357-2022</t>
        </is>
      </c>
      <c r="B414" s="1" t="n">
        <v>44589</v>
      </c>
      <c r="C414" s="1" t="n">
        <v>45628</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4563-2022</t>
        </is>
      </c>
      <c r="B415" s="1" t="n">
        <v>44591</v>
      </c>
      <c r="C415" s="1" t="n">
        <v>45628</v>
      </c>
      <c r="D415" t="inlineStr">
        <is>
          <t>UPPSALA LÄN</t>
        </is>
      </c>
      <c r="E415" t="inlineStr">
        <is>
          <t>ÖSTHAMMAR</t>
        </is>
      </c>
      <c r="F415" t="inlineStr">
        <is>
          <t>Bergvik skog öst AB</t>
        </is>
      </c>
      <c r="G415" t="n">
        <v>1.9</v>
      </c>
      <c r="H415" t="n">
        <v>0</v>
      </c>
      <c r="I415" t="n">
        <v>0</v>
      </c>
      <c r="J415" t="n">
        <v>0</v>
      </c>
      <c r="K415" t="n">
        <v>0</v>
      </c>
      <c r="L415" t="n">
        <v>0</v>
      </c>
      <c r="M415" t="n">
        <v>0</v>
      </c>
      <c r="N415" t="n">
        <v>0</v>
      </c>
      <c r="O415" t="n">
        <v>0</v>
      </c>
      <c r="P415" t="n">
        <v>0</v>
      </c>
      <c r="Q415" t="n">
        <v>0</v>
      </c>
      <c r="R415" s="2" t="inlineStr"/>
    </row>
    <row r="416" ht="15" customHeight="1">
      <c r="A416" t="inlineStr">
        <is>
          <t>A 4562-2022</t>
        </is>
      </c>
      <c r="B416" s="1" t="n">
        <v>44591</v>
      </c>
      <c r="C416" s="1" t="n">
        <v>45628</v>
      </c>
      <c r="D416" t="inlineStr">
        <is>
          <t>UPPSALA LÄN</t>
        </is>
      </c>
      <c r="E416" t="inlineStr">
        <is>
          <t>ÖSTHAMMAR</t>
        </is>
      </c>
      <c r="G416" t="n">
        <v>3.4</v>
      </c>
      <c r="H416" t="n">
        <v>0</v>
      </c>
      <c r="I416" t="n">
        <v>0</v>
      </c>
      <c r="J416" t="n">
        <v>0</v>
      </c>
      <c r="K416" t="n">
        <v>0</v>
      </c>
      <c r="L416" t="n">
        <v>0</v>
      </c>
      <c r="M416" t="n">
        <v>0</v>
      </c>
      <c r="N416" t="n">
        <v>0</v>
      </c>
      <c r="O416" t="n">
        <v>0</v>
      </c>
      <c r="P416" t="n">
        <v>0</v>
      </c>
      <c r="Q416" t="n">
        <v>0</v>
      </c>
      <c r="R416" s="2" t="inlineStr"/>
    </row>
    <row r="417" ht="15" customHeight="1">
      <c r="A417" t="inlineStr">
        <is>
          <t>A 4561-2022</t>
        </is>
      </c>
      <c r="B417" s="1" t="n">
        <v>44591</v>
      </c>
      <c r="C417" s="1" t="n">
        <v>45628</v>
      </c>
      <c r="D417" t="inlineStr">
        <is>
          <t>UPPSALA LÄN</t>
        </is>
      </c>
      <c r="E417" t="inlineStr">
        <is>
          <t>ÖSTHAMMAR</t>
        </is>
      </c>
      <c r="F417" t="inlineStr">
        <is>
          <t>Bergvik skog öst AB</t>
        </is>
      </c>
      <c r="G417" t="n">
        <v>1.5</v>
      </c>
      <c r="H417" t="n">
        <v>0</v>
      </c>
      <c r="I417" t="n">
        <v>0</v>
      </c>
      <c r="J417" t="n">
        <v>0</v>
      </c>
      <c r="K417" t="n">
        <v>0</v>
      </c>
      <c r="L417" t="n">
        <v>0</v>
      </c>
      <c r="M417" t="n">
        <v>0</v>
      </c>
      <c r="N417" t="n">
        <v>0</v>
      </c>
      <c r="O417" t="n">
        <v>0</v>
      </c>
      <c r="P417" t="n">
        <v>0</v>
      </c>
      <c r="Q417" t="n">
        <v>0</v>
      </c>
      <c r="R417" s="2" t="inlineStr"/>
    </row>
    <row r="418" ht="15" customHeight="1">
      <c r="A418" t="inlineStr">
        <is>
          <t>A 4559-2022</t>
        </is>
      </c>
      <c r="B418" s="1" t="n">
        <v>44591</v>
      </c>
      <c r="C418" s="1" t="n">
        <v>45628</v>
      </c>
      <c r="D418" t="inlineStr">
        <is>
          <t>UPPSALA LÄN</t>
        </is>
      </c>
      <c r="E418" t="inlineStr">
        <is>
          <t>ÖSTHAMMAR</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4565-2022</t>
        </is>
      </c>
      <c r="B419" s="1" t="n">
        <v>44591</v>
      </c>
      <c r="C419" s="1" t="n">
        <v>45628</v>
      </c>
      <c r="D419" t="inlineStr">
        <is>
          <t>UPPSALA LÄN</t>
        </is>
      </c>
      <c r="E419" t="inlineStr">
        <is>
          <t>ÖSTHAMMAR</t>
        </is>
      </c>
      <c r="F419" t="inlineStr">
        <is>
          <t>Bergvik skog öst AB</t>
        </is>
      </c>
      <c r="G419" t="n">
        <v>5.3</v>
      </c>
      <c r="H419" t="n">
        <v>0</v>
      </c>
      <c r="I419" t="n">
        <v>0</v>
      </c>
      <c r="J419" t="n">
        <v>0</v>
      </c>
      <c r="K419" t="n">
        <v>0</v>
      </c>
      <c r="L419" t="n">
        <v>0</v>
      </c>
      <c r="M419" t="n">
        <v>0</v>
      </c>
      <c r="N419" t="n">
        <v>0</v>
      </c>
      <c r="O419" t="n">
        <v>0</v>
      </c>
      <c r="P419" t="n">
        <v>0</v>
      </c>
      <c r="Q419" t="n">
        <v>0</v>
      </c>
      <c r="R419" s="2" t="inlineStr"/>
    </row>
    <row r="420" ht="15" customHeight="1">
      <c r="A420" t="inlineStr">
        <is>
          <t>A 5855-2022</t>
        </is>
      </c>
      <c r="B420" s="1" t="n">
        <v>44596</v>
      </c>
      <c r="C420" s="1" t="n">
        <v>45628</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5974-2022</t>
        </is>
      </c>
      <c r="B421" s="1" t="n">
        <v>44597</v>
      </c>
      <c r="C421" s="1" t="n">
        <v>45628</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5933-2022</t>
        </is>
      </c>
      <c r="B422" s="1" t="n">
        <v>44598</v>
      </c>
      <c r="C422" s="1" t="n">
        <v>45628</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5934-2022</t>
        </is>
      </c>
      <c r="B423" s="1" t="n">
        <v>44598</v>
      </c>
      <c r="C423" s="1" t="n">
        <v>45628</v>
      </c>
      <c r="D423" t="inlineStr">
        <is>
          <t>UPPSALA LÄN</t>
        </is>
      </c>
      <c r="E423" t="inlineStr">
        <is>
          <t>ÖSTHAMMAR</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5932-2022</t>
        </is>
      </c>
      <c r="B424" s="1" t="n">
        <v>44598</v>
      </c>
      <c r="C424" s="1" t="n">
        <v>45628</v>
      </c>
      <c r="D424" t="inlineStr">
        <is>
          <t>UPPSALA LÄN</t>
        </is>
      </c>
      <c r="E424" t="inlineStr">
        <is>
          <t>ÖSTHAMMAR</t>
        </is>
      </c>
      <c r="F424" t="inlineStr">
        <is>
          <t>Bergvik skog öst AB</t>
        </is>
      </c>
      <c r="G424" t="n">
        <v>0.3</v>
      </c>
      <c r="H424" t="n">
        <v>0</v>
      </c>
      <c r="I424" t="n">
        <v>0</v>
      </c>
      <c r="J424" t="n">
        <v>0</v>
      </c>
      <c r="K424" t="n">
        <v>0</v>
      </c>
      <c r="L424" t="n">
        <v>0</v>
      </c>
      <c r="M424" t="n">
        <v>0</v>
      </c>
      <c r="N424" t="n">
        <v>0</v>
      </c>
      <c r="O424" t="n">
        <v>0</v>
      </c>
      <c r="P424" t="n">
        <v>0</v>
      </c>
      <c r="Q424" t="n">
        <v>0</v>
      </c>
      <c r="R424" s="2" t="inlineStr"/>
    </row>
    <row r="425" ht="15" customHeight="1">
      <c r="A425" t="inlineStr">
        <is>
          <t>A 5931-2022</t>
        </is>
      </c>
      <c r="B425" s="1" t="n">
        <v>44598</v>
      </c>
      <c r="C425" s="1" t="n">
        <v>45628</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6143-2022</t>
        </is>
      </c>
      <c r="B426" s="1" t="n">
        <v>44599</v>
      </c>
      <c r="C426" s="1" t="n">
        <v>45628</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6153-2022</t>
        </is>
      </c>
      <c r="B427" s="1" t="n">
        <v>44599</v>
      </c>
      <c r="C427" s="1" t="n">
        <v>45628</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6206-2022</t>
        </is>
      </c>
      <c r="B428" s="1" t="n">
        <v>44600</v>
      </c>
      <c r="C428" s="1" t="n">
        <v>45628</v>
      </c>
      <c r="D428" t="inlineStr">
        <is>
          <t>UPPSALA LÄN</t>
        </is>
      </c>
      <c r="E428" t="inlineStr">
        <is>
          <t>ÖSTHAMMAR</t>
        </is>
      </c>
      <c r="G428" t="n">
        <v>7.4</v>
      </c>
      <c r="H428" t="n">
        <v>0</v>
      </c>
      <c r="I428" t="n">
        <v>0</v>
      </c>
      <c r="J428" t="n">
        <v>0</v>
      </c>
      <c r="K428" t="n">
        <v>0</v>
      </c>
      <c r="L428" t="n">
        <v>0</v>
      </c>
      <c r="M428" t="n">
        <v>0</v>
      </c>
      <c r="N428" t="n">
        <v>0</v>
      </c>
      <c r="O428" t="n">
        <v>0</v>
      </c>
      <c r="P428" t="n">
        <v>0</v>
      </c>
      <c r="Q428" t="n">
        <v>0</v>
      </c>
      <c r="R428" s="2" t="inlineStr"/>
    </row>
    <row r="429" ht="15" customHeight="1">
      <c r="A429" t="inlineStr">
        <is>
          <t>A 6313-2022</t>
        </is>
      </c>
      <c r="B429" s="1" t="n">
        <v>44600</v>
      </c>
      <c r="C429" s="1" t="n">
        <v>45628</v>
      </c>
      <c r="D429" t="inlineStr">
        <is>
          <t>UPPSALA LÄN</t>
        </is>
      </c>
      <c r="E429" t="inlineStr">
        <is>
          <t>ÖSTHAMMAR</t>
        </is>
      </c>
      <c r="G429" t="n">
        <v>4</v>
      </c>
      <c r="H429" t="n">
        <v>0</v>
      </c>
      <c r="I429" t="n">
        <v>0</v>
      </c>
      <c r="J429" t="n">
        <v>0</v>
      </c>
      <c r="K429" t="n">
        <v>0</v>
      </c>
      <c r="L429" t="n">
        <v>0</v>
      </c>
      <c r="M429" t="n">
        <v>0</v>
      </c>
      <c r="N429" t="n">
        <v>0</v>
      </c>
      <c r="O429" t="n">
        <v>0</v>
      </c>
      <c r="P429" t="n">
        <v>0</v>
      </c>
      <c r="Q429" t="n">
        <v>0</v>
      </c>
      <c r="R429" s="2" t="inlineStr"/>
    </row>
    <row r="430" ht="15" customHeight="1">
      <c r="A430" t="inlineStr">
        <is>
          <t>A 6892-2022</t>
        </is>
      </c>
      <c r="B430" s="1" t="n">
        <v>44602</v>
      </c>
      <c r="C430" s="1" t="n">
        <v>45628</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7181-2022</t>
        </is>
      </c>
      <c r="B431" s="1" t="n">
        <v>44605</v>
      </c>
      <c r="C431" s="1" t="n">
        <v>45628</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7302-2022</t>
        </is>
      </c>
      <c r="B432" s="1" t="n">
        <v>44606</v>
      </c>
      <c r="C432" s="1" t="n">
        <v>45628</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7475-2022</t>
        </is>
      </c>
      <c r="B433" s="1" t="n">
        <v>44607</v>
      </c>
      <c r="C433" s="1" t="n">
        <v>45628</v>
      </c>
      <c r="D433" t="inlineStr">
        <is>
          <t>UPPSALA LÄN</t>
        </is>
      </c>
      <c r="E433" t="inlineStr">
        <is>
          <t>ÖSTHAMMAR</t>
        </is>
      </c>
      <c r="G433" t="n">
        <v>2.2</v>
      </c>
      <c r="H433" t="n">
        <v>0</v>
      </c>
      <c r="I433" t="n">
        <v>0</v>
      </c>
      <c r="J433" t="n">
        <v>0</v>
      </c>
      <c r="K433" t="n">
        <v>0</v>
      </c>
      <c r="L433" t="n">
        <v>0</v>
      </c>
      <c r="M433" t="n">
        <v>0</v>
      </c>
      <c r="N433" t="n">
        <v>0</v>
      </c>
      <c r="O433" t="n">
        <v>0</v>
      </c>
      <c r="P433" t="n">
        <v>0</v>
      </c>
      <c r="Q433" t="n">
        <v>0</v>
      </c>
      <c r="R433" s="2" t="inlineStr"/>
    </row>
    <row r="434" ht="15" customHeight="1">
      <c r="A434" t="inlineStr">
        <is>
          <t>A 7488-2022</t>
        </is>
      </c>
      <c r="B434" s="1" t="n">
        <v>44607</v>
      </c>
      <c r="C434" s="1" t="n">
        <v>45628</v>
      </c>
      <c r="D434" t="inlineStr">
        <is>
          <t>UPPSALA LÄN</t>
        </is>
      </c>
      <c r="E434" t="inlineStr">
        <is>
          <t>ÖSTHAMMAR</t>
        </is>
      </c>
      <c r="G434" t="n">
        <v>2.3</v>
      </c>
      <c r="H434" t="n">
        <v>0</v>
      </c>
      <c r="I434" t="n">
        <v>0</v>
      </c>
      <c r="J434" t="n">
        <v>0</v>
      </c>
      <c r="K434" t="n">
        <v>0</v>
      </c>
      <c r="L434" t="n">
        <v>0</v>
      </c>
      <c r="M434" t="n">
        <v>0</v>
      </c>
      <c r="N434" t="n">
        <v>0</v>
      </c>
      <c r="O434" t="n">
        <v>0</v>
      </c>
      <c r="P434" t="n">
        <v>0</v>
      </c>
      <c r="Q434" t="n">
        <v>0</v>
      </c>
      <c r="R434" s="2" t="inlineStr"/>
    </row>
    <row r="435" ht="15" customHeight="1">
      <c r="A435" t="inlineStr">
        <is>
          <t>A 7858-2022</t>
        </is>
      </c>
      <c r="B435" s="1" t="n">
        <v>44608</v>
      </c>
      <c r="C435" s="1" t="n">
        <v>45628</v>
      </c>
      <c r="D435" t="inlineStr">
        <is>
          <t>UPPSALA LÄN</t>
        </is>
      </c>
      <c r="E435" t="inlineStr">
        <is>
          <t>ÖSTHAMMAR</t>
        </is>
      </c>
      <c r="G435" t="n">
        <v>1.6</v>
      </c>
      <c r="H435" t="n">
        <v>0</v>
      </c>
      <c r="I435" t="n">
        <v>0</v>
      </c>
      <c r="J435" t="n">
        <v>0</v>
      </c>
      <c r="K435" t="n">
        <v>0</v>
      </c>
      <c r="L435" t="n">
        <v>0</v>
      </c>
      <c r="M435" t="n">
        <v>0</v>
      </c>
      <c r="N435" t="n">
        <v>0</v>
      </c>
      <c r="O435" t="n">
        <v>0</v>
      </c>
      <c r="P435" t="n">
        <v>0</v>
      </c>
      <c r="Q435" t="n">
        <v>0</v>
      </c>
      <c r="R435" s="2" t="inlineStr"/>
    </row>
    <row r="436" ht="15" customHeight="1">
      <c r="A436" t="inlineStr">
        <is>
          <t>A 7871-2022</t>
        </is>
      </c>
      <c r="B436" s="1" t="n">
        <v>44608</v>
      </c>
      <c r="C436" s="1" t="n">
        <v>45628</v>
      </c>
      <c r="D436" t="inlineStr">
        <is>
          <t>UPPSALA LÄN</t>
        </is>
      </c>
      <c r="E436" t="inlineStr">
        <is>
          <t>ÖSTHAMMAR</t>
        </is>
      </c>
      <c r="G436" t="n">
        <v>1.1</v>
      </c>
      <c r="H436" t="n">
        <v>0</v>
      </c>
      <c r="I436" t="n">
        <v>0</v>
      </c>
      <c r="J436" t="n">
        <v>0</v>
      </c>
      <c r="K436" t="n">
        <v>0</v>
      </c>
      <c r="L436" t="n">
        <v>0</v>
      </c>
      <c r="M436" t="n">
        <v>0</v>
      </c>
      <c r="N436" t="n">
        <v>0</v>
      </c>
      <c r="O436" t="n">
        <v>0</v>
      </c>
      <c r="P436" t="n">
        <v>0</v>
      </c>
      <c r="Q436" t="n">
        <v>0</v>
      </c>
      <c r="R436" s="2" t="inlineStr"/>
    </row>
    <row r="437" ht="15" customHeight="1">
      <c r="A437" t="inlineStr">
        <is>
          <t>A 7997-2022</t>
        </is>
      </c>
      <c r="B437" s="1" t="n">
        <v>44609</v>
      </c>
      <c r="C437" s="1" t="n">
        <v>45628</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8283-2022</t>
        </is>
      </c>
      <c r="B438" s="1" t="n">
        <v>44610</v>
      </c>
      <c r="C438" s="1" t="n">
        <v>45628</v>
      </c>
      <c r="D438" t="inlineStr">
        <is>
          <t>UPPSALA LÄN</t>
        </is>
      </c>
      <c r="E438" t="inlineStr">
        <is>
          <t>ÖSTHAMMAR</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8592-2022</t>
        </is>
      </c>
      <c r="B439" s="1" t="n">
        <v>44613</v>
      </c>
      <c r="C439" s="1" t="n">
        <v>45628</v>
      </c>
      <c r="D439" t="inlineStr">
        <is>
          <t>UPPSALA LÄN</t>
        </is>
      </c>
      <c r="E439" t="inlineStr">
        <is>
          <t>ÖSTHAMMAR</t>
        </is>
      </c>
      <c r="G439" t="n">
        <v>1.4</v>
      </c>
      <c r="H439" t="n">
        <v>0</v>
      </c>
      <c r="I439" t="n">
        <v>0</v>
      </c>
      <c r="J439" t="n">
        <v>0</v>
      </c>
      <c r="K439" t="n">
        <v>0</v>
      </c>
      <c r="L439" t="n">
        <v>0</v>
      </c>
      <c r="M439" t="n">
        <v>0</v>
      </c>
      <c r="N439" t="n">
        <v>0</v>
      </c>
      <c r="O439" t="n">
        <v>0</v>
      </c>
      <c r="P439" t="n">
        <v>0</v>
      </c>
      <c r="Q439" t="n">
        <v>0</v>
      </c>
      <c r="R439" s="2" t="inlineStr"/>
    </row>
    <row r="440" ht="15" customHeight="1">
      <c r="A440" t="inlineStr">
        <is>
          <t>A 8708-2022</t>
        </is>
      </c>
      <c r="B440" s="1" t="n">
        <v>44613</v>
      </c>
      <c r="C440" s="1" t="n">
        <v>45628</v>
      </c>
      <c r="D440" t="inlineStr">
        <is>
          <t>UPPSALA LÄN</t>
        </is>
      </c>
      <c r="E440" t="inlineStr">
        <is>
          <t>ÖSTHAMMAR</t>
        </is>
      </c>
      <c r="G440" t="n">
        <v>4.3</v>
      </c>
      <c r="H440" t="n">
        <v>0</v>
      </c>
      <c r="I440" t="n">
        <v>0</v>
      </c>
      <c r="J440" t="n">
        <v>0</v>
      </c>
      <c r="K440" t="n">
        <v>0</v>
      </c>
      <c r="L440" t="n">
        <v>0</v>
      </c>
      <c r="M440" t="n">
        <v>0</v>
      </c>
      <c r="N440" t="n">
        <v>0</v>
      </c>
      <c r="O440" t="n">
        <v>0</v>
      </c>
      <c r="P440" t="n">
        <v>0</v>
      </c>
      <c r="Q440" t="n">
        <v>0</v>
      </c>
      <c r="R440" s="2" t="inlineStr"/>
    </row>
    <row r="441" ht="15" customHeight="1">
      <c r="A441" t="inlineStr">
        <is>
          <t>A 8710-2022</t>
        </is>
      </c>
      <c r="B441" s="1" t="n">
        <v>44613</v>
      </c>
      <c r="C441" s="1" t="n">
        <v>45628</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8537-2022</t>
        </is>
      </c>
      <c r="B442" s="1" t="n">
        <v>44613</v>
      </c>
      <c r="C442" s="1" t="n">
        <v>45628</v>
      </c>
      <c r="D442" t="inlineStr">
        <is>
          <t>UPPSALA LÄN</t>
        </is>
      </c>
      <c r="E442" t="inlineStr">
        <is>
          <t>ÖSTHAMMAR</t>
        </is>
      </c>
      <c r="G442" t="n">
        <v>1.2</v>
      </c>
      <c r="H442" t="n">
        <v>0</v>
      </c>
      <c r="I442" t="n">
        <v>0</v>
      </c>
      <c r="J442" t="n">
        <v>0</v>
      </c>
      <c r="K442" t="n">
        <v>0</v>
      </c>
      <c r="L442" t="n">
        <v>0</v>
      </c>
      <c r="M442" t="n">
        <v>0</v>
      </c>
      <c r="N442" t="n">
        <v>0</v>
      </c>
      <c r="O442" t="n">
        <v>0</v>
      </c>
      <c r="P442" t="n">
        <v>0</v>
      </c>
      <c r="Q442" t="n">
        <v>0</v>
      </c>
      <c r="R442" s="2" t="inlineStr"/>
    </row>
    <row r="443" ht="15" customHeight="1">
      <c r="A443" t="inlineStr">
        <is>
          <t>A 8554-2022</t>
        </is>
      </c>
      <c r="B443" s="1" t="n">
        <v>44613</v>
      </c>
      <c r="C443" s="1" t="n">
        <v>45628</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8556-2022</t>
        </is>
      </c>
      <c r="B444" s="1" t="n">
        <v>44613</v>
      </c>
      <c r="C444" s="1" t="n">
        <v>45628</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8775-2022</t>
        </is>
      </c>
      <c r="B445" s="1" t="n">
        <v>44614</v>
      </c>
      <c r="C445" s="1" t="n">
        <v>45628</v>
      </c>
      <c r="D445" t="inlineStr">
        <is>
          <t>UPPSALA LÄN</t>
        </is>
      </c>
      <c r="E445" t="inlineStr">
        <is>
          <t>ÖSTHAMMAR</t>
        </is>
      </c>
      <c r="G445" t="n">
        <v>0.3</v>
      </c>
      <c r="H445" t="n">
        <v>0</v>
      </c>
      <c r="I445" t="n">
        <v>0</v>
      </c>
      <c r="J445" t="n">
        <v>0</v>
      </c>
      <c r="K445" t="n">
        <v>0</v>
      </c>
      <c r="L445" t="n">
        <v>0</v>
      </c>
      <c r="M445" t="n">
        <v>0</v>
      </c>
      <c r="N445" t="n">
        <v>0</v>
      </c>
      <c r="O445" t="n">
        <v>0</v>
      </c>
      <c r="P445" t="n">
        <v>0</v>
      </c>
      <c r="Q445" t="n">
        <v>0</v>
      </c>
      <c r="R445" s="2" t="inlineStr"/>
    </row>
    <row r="446" ht="15" customHeight="1">
      <c r="A446" t="inlineStr">
        <is>
          <t>A 8750-2022</t>
        </is>
      </c>
      <c r="B446" s="1" t="n">
        <v>44614</v>
      </c>
      <c r="C446" s="1" t="n">
        <v>45628</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9755-2022</t>
        </is>
      </c>
      <c r="B447" s="1" t="n">
        <v>44618</v>
      </c>
      <c r="C447" s="1" t="n">
        <v>45628</v>
      </c>
      <c r="D447" t="inlineStr">
        <is>
          <t>UPPSALA LÄN</t>
        </is>
      </c>
      <c r="E447" t="inlineStr">
        <is>
          <t>ÖSTHAMMAR</t>
        </is>
      </c>
      <c r="F447" t="inlineStr">
        <is>
          <t>Bergvik skog öst AB</t>
        </is>
      </c>
      <c r="G447" t="n">
        <v>13.9</v>
      </c>
      <c r="H447" t="n">
        <v>0</v>
      </c>
      <c r="I447" t="n">
        <v>0</v>
      </c>
      <c r="J447" t="n">
        <v>0</v>
      </c>
      <c r="K447" t="n">
        <v>0</v>
      </c>
      <c r="L447" t="n">
        <v>0</v>
      </c>
      <c r="M447" t="n">
        <v>0</v>
      </c>
      <c r="N447" t="n">
        <v>0</v>
      </c>
      <c r="O447" t="n">
        <v>0</v>
      </c>
      <c r="P447" t="n">
        <v>0</v>
      </c>
      <c r="Q447" t="n">
        <v>0</v>
      </c>
      <c r="R447" s="2" t="inlineStr"/>
    </row>
    <row r="448" ht="15" customHeight="1">
      <c r="A448" t="inlineStr">
        <is>
          <t>A 9789-2022</t>
        </is>
      </c>
      <c r="B448" s="1" t="n">
        <v>44620</v>
      </c>
      <c r="C448" s="1" t="n">
        <v>45628</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9795-2022</t>
        </is>
      </c>
      <c r="B449" s="1" t="n">
        <v>44620</v>
      </c>
      <c r="C449" s="1" t="n">
        <v>45628</v>
      </c>
      <c r="D449" t="inlineStr">
        <is>
          <t>UPPSALA LÄN</t>
        </is>
      </c>
      <c r="E449" t="inlineStr">
        <is>
          <t>ÖSTHAMMAR</t>
        </is>
      </c>
      <c r="G449" t="n">
        <v>1.3</v>
      </c>
      <c r="H449" t="n">
        <v>0</v>
      </c>
      <c r="I449" t="n">
        <v>0</v>
      </c>
      <c r="J449" t="n">
        <v>0</v>
      </c>
      <c r="K449" t="n">
        <v>0</v>
      </c>
      <c r="L449" t="n">
        <v>0</v>
      </c>
      <c r="M449" t="n">
        <v>0</v>
      </c>
      <c r="N449" t="n">
        <v>0</v>
      </c>
      <c r="O449" t="n">
        <v>0</v>
      </c>
      <c r="P449" t="n">
        <v>0</v>
      </c>
      <c r="Q449" t="n">
        <v>0</v>
      </c>
      <c r="R449" s="2" t="inlineStr"/>
    </row>
    <row r="450" ht="15" customHeight="1">
      <c r="A450" t="inlineStr">
        <is>
          <t>A 10287-2022</t>
        </is>
      </c>
      <c r="B450" s="1" t="n">
        <v>44622</v>
      </c>
      <c r="C450" s="1" t="n">
        <v>45628</v>
      </c>
      <c r="D450" t="inlineStr">
        <is>
          <t>UPPSALA LÄN</t>
        </is>
      </c>
      <c r="E450" t="inlineStr">
        <is>
          <t>ÖSTHAMMAR</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10294-2022</t>
        </is>
      </c>
      <c r="B451" s="1" t="n">
        <v>44622</v>
      </c>
      <c r="C451" s="1" t="n">
        <v>45628</v>
      </c>
      <c r="D451" t="inlineStr">
        <is>
          <t>UPPSALA LÄN</t>
        </is>
      </c>
      <c r="E451" t="inlineStr">
        <is>
          <t>ÖSTHAMMAR</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10288-2022</t>
        </is>
      </c>
      <c r="B452" s="1" t="n">
        <v>44622</v>
      </c>
      <c r="C452" s="1" t="n">
        <v>45628</v>
      </c>
      <c r="D452" t="inlineStr">
        <is>
          <t>UPPSALA LÄN</t>
        </is>
      </c>
      <c r="E452" t="inlineStr">
        <is>
          <t>ÖSTHAMMAR</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10298-2022</t>
        </is>
      </c>
      <c r="B453" s="1" t="n">
        <v>44622</v>
      </c>
      <c r="C453" s="1" t="n">
        <v>45628</v>
      </c>
      <c r="D453" t="inlineStr">
        <is>
          <t>UPPSALA LÄN</t>
        </is>
      </c>
      <c r="E453" t="inlineStr">
        <is>
          <t>ÖSTHAMMAR</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10980-2022</t>
        </is>
      </c>
      <c r="B454" s="1" t="n">
        <v>44628</v>
      </c>
      <c r="C454" s="1" t="n">
        <v>45628</v>
      </c>
      <c r="D454" t="inlineStr">
        <is>
          <t>UPPSALA LÄN</t>
        </is>
      </c>
      <c r="E454" t="inlineStr">
        <is>
          <t>ÖSTHAMMAR</t>
        </is>
      </c>
      <c r="G454" t="n">
        <v>7.4</v>
      </c>
      <c r="H454" t="n">
        <v>0</v>
      </c>
      <c r="I454" t="n">
        <v>0</v>
      </c>
      <c r="J454" t="n">
        <v>0</v>
      </c>
      <c r="K454" t="n">
        <v>0</v>
      </c>
      <c r="L454" t="n">
        <v>0</v>
      </c>
      <c r="M454" t="n">
        <v>0</v>
      </c>
      <c r="N454" t="n">
        <v>0</v>
      </c>
      <c r="O454" t="n">
        <v>0</v>
      </c>
      <c r="P454" t="n">
        <v>0</v>
      </c>
      <c r="Q454" t="n">
        <v>0</v>
      </c>
      <c r="R454" s="2" t="inlineStr"/>
    </row>
    <row r="455" ht="15" customHeight="1">
      <c r="A455" t="inlineStr">
        <is>
          <t>A 11547-2022</t>
        </is>
      </c>
      <c r="B455" s="1" t="n">
        <v>44631</v>
      </c>
      <c r="C455" s="1" t="n">
        <v>45628</v>
      </c>
      <c r="D455" t="inlineStr">
        <is>
          <t>UPPSALA LÄN</t>
        </is>
      </c>
      <c r="E455" t="inlineStr">
        <is>
          <t>ÖSTHAMMAR</t>
        </is>
      </c>
      <c r="G455" t="n">
        <v>4.4</v>
      </c>
      <c r="H455" t="n">
        <v>0</v>
      </c>
      <c r="I455" t="n">
        <v>0</v>
      </c>
      <c r="J455" t="n">
        <v>0</v>
      </c>
      <c r="K455" t="n">
        <v>0</v>
      </c>
      <c r="L455" t="n">
        <v>0</v>
      </c>
      <c r="M455" t="n">
        <v>0</v>
      </c>
      <c r="N455" t="n">
        <v>0</v>
      </c>
      <c r="O455" t="n">
        <v>0</v>
      </c>
      <c r="P455" t="n">
        <v>0</v>
      </c>
      <c r="Q455" t="n">
        <v>0</v>
      </c>
      <c r="R455" s="2" t="inlineStr"/>
    </row>
    <row r="456" ht="15" customHeight="1">
      <c r="A456" t="inlineStr">
        <is>
          <t>A 11643-2022</t>
        </is>
      </c>
      <c r="B456" s="1" t="n">
        <v>44631</v>
      </c>
      <c r="C456" s="1" t="n">
        <v>45628</v>
      </c>
      <c r="D456" t="inlineStr">
        <is>
          <t>UPPSALA LÄN</t>
        </is>
      </c>
      <c r="E456" t="inlineStr">
        <is>
          <t>ÖSTHAMMAR</t>
        </is>
      </c>
      <c r="F456" t="inlineStr">
        <is>
          <t>Bergvik skog öst AB</t>
        </is>
      </c>
      <c r="G456" t="n">
        <v>1.1</v>
      </c>
      <c r="H456" t="n">
        <v>0</v>
      </c>
      <c r="I456" t="n">
        <v>0</v>
      </c>
      <c r="J456" t="n">
        <v>0</v>
      </c>
      <c r="K456" t="n">
        <v>0</v>
      </c>
      <c r="L456" t="n">
        <v>0</v>
      </c>
      <c r="M456" t="n">
        <v>0</v>
      </c>
      <c r="N456" t="n">
        <v>0</v>
      </c>
      <c r="O456" t="n">
        <v>0</v>
      </c>
      <c r="P456" t="n">
        <v>0</v>
      </c>
      <c r="Q456" t="n">
        <v>0</v>
      </c>
      <c r="R456" s="2" t="inlineStr"/>
    </row>
    <row r="457" ht="15" customHeight="1">
      <c r="A457" t="inlineStr">
        <is>
          <t>A 11884-2022</t>
        </is>
      </c>
      <c r="B457" s="1" t="n">
        <v>44635</v>
      </c>
      <c r="C457" s="1" t="n">
        <v>45628</v>
      </c>
      <c r="D457" t="inlineStr">
        <is>
          <t>UPPSALA LÄN</t>
        </is>
      </c>
      <c r="E457" t="inlineStr">
        <is>
          <t>ÖSTHAMMAR</t>
        </is>
      </c>
      <c r="G457" t="n">
        <v>0.8</v>
      </c>
      <c r="H457" t="n">
        <v>0</v>
      </c>
      <c r="I457" t="n">
        <v>0</v>
      </c>
      <c r="J457" t="n">
        <v>0</v>
      </c>
      <c r="K457" t="n">
        <v>0</v>
      </c>
      <c r="L457" t="n">
        <v>0</v>
      </c>
      <c r="M457" t="n">
        <v>0</v>
      </c>
      <c r="N457" t="n">
        <v>0</v>
      </c>
      <c r="O457" t="n">
        <v>0</v>
      </c>
      <c r="P457" t="n">
        <v>0</v>
      </c>
      <c r="Q457" t="n">
        <v>0</v>
      </c>
      <c r="R457" s="2" t="inlineStr"/>
    </row>
    <row r="458" ht="15" customHeight="1">
      <c r="A458" t="inlineStr">
        <is>
          <t>A 11987-2022</t>
        </is>
      </c>
      <c r="B458" s="1" t="n">
        <v>44635</v>
      </c>
      <c r="C458" s="1" t="n">
        <v>45628</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11986-2022</t>
        </is>
      </c>
      <c r="B459" s="1" t="n">
        <v>44635</v>
      </c>
      <c r="C459" s="1" t="n">
        <v>45628</v>
      </c>
      <c r="D459" t="inlineStr">
        <is>
          <t>UPPSALA LÄN</t>
        </is>
      </c>
      <c r="E459" t="inlineStr">
        <is>
          <t>ÖSTHAMMAR</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12176-2022</t>
        </is>
      </c>
      <c r="B460" s="1" t="n">
        <v>44636</v>
      </c>
      <c r="C460" s="1" t="n">
        <v>45628</v>
      </c>
      <c r="D460" t="inlineStr">
        <is>
          <t>UPPSALA LÄN</t>
        </is>
      </c>
      <c r="E460" t="inlineStr">
        <is>
          <t>ÖSTHAMMAR</t>
        </is>
      </c>
      <c r="G460" t="n">
        <v>3.5</v>
      </c>
      <c r="H460" t="n">
        <v>0</v>
      </c>
      <c r="I460" t="n">
        <v>0</v>
      </c>
      <c r="J460" t="n">
        <v>0</v>
      </c>
      <c r="K460" t="n">
        <v>0</v>
      </c>
      <c r="L460" t="n">
        <v>0</v>
      </c>
      <c r="M460" t="n">
        <v>0</v>
      </c>
      <c r="N460" t="n">
        <v>0</v>
      </c>
      <c r="O460" t="n">
        <v>0</v>
      </c>
      <c r="P460" t="n">
        <v>0</v>
      </c>
      <c r="Q460" t="n">
        <v>0</v>
      </c>
      <c r="R460" s="2" t="inlineStr"/>
    </row>
    <row r="461" ht="15" customHeight="1">
      <c r="A461" t="inlineStr">
        <is>
          <t>A 12999-2022</t>
        </is>
      </c>
      <c r="B461" s="1" t="n">
        <v>44643</v>
      </c>
      <c r="C461" s="1" t="n">
        <v>45628</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13044-2022</t>
        </is>
      </c>
      <c r="B462" s="1" t="n">
        <v>44643</v>
      </c>
      <c r="C462" s="1" t="n">
        <v>45628</v>
      </c>
      <c r="D462" t="inlineStr">
        <is>
          <t>UPPSALA LÄN</t>
        </is>
      </c>
      <c r="E462" t="inlineStr">
        <is>
          <t>ÖSTHAMMAR</t>
        </is>
      </c>
      <c r="G462" t="n">
        <v>2.5</v>
      </c>
      <c r="H462" t="n">
        <v>0</v>
      </c>
      <c r="I462" t="n">
        <v>0</v>
      </c>
      <c r="J462" t="n">
        <v>0</v>
      </c>
      <c r="K462" t="n">
        <v>0</v>
      </c>
      <c r="L462" t="n">
        <v>0</v>
      </c>
      <c r="M462" t="n">
        <v>0</v>
      </c>
      <c r="N462" t="n">
        <v>0</v>
      </c>
      <c r="O462" t="n">
        <v>0</v>
      </c>
      <c r="P462" t="n">
        <v>0</v>
      </c>
      <c r="Q462" t="n">
        <v>0</v>
      </c>
      <c r="R462" s="2" t="inlineStr"/>
    </row>
    <row r="463" ht="15" customHeight="1">
      <c r="A463" t="inlineStr">
        <is>
          <t>A 13093-2022</t>
        </is>
      </c>
      <c r="B463" s="1" t="n">
        <v>44643</v>
      </c>
      <c r="C463" s="1" t="n">
        <v>45628</v>
      </c>
      <c r="D463" t="inlineStr">
        <is>
          <t>UPPSALA LÄN</t>
        </is>
      </c>
      <c r="E463" t="inlineStr">
        <is>
          <t>ÖSTHAMMAR</t>
        </is>
      </c>
      <c r="F463" t="inlineStr">
        <is>
          <t>Bergvik skog öst AB</t>
        </is>
      </c>
      <c r="G463" t="n">
        <v>3.2</v>
      </c>
      <c r="H463" t="n">
        <v>0</v>
      </c>
      <c r="I463" t="n">
        <v>0</v>
      </c>
      <c r="J463" t="n">
        <v>0</v>
      </c>
      <c r="K463" t="n">
        <v>0</v>
      </c>
      <c r="L463" t="n">
        <v>0</v>
      </c>
      <c r="M463" t="n">
        <v>0</v>
      </c>
      <c r="N463" t="n">
        <v>0</v>
      </c>
      <c r="O463" t="n">
        <v>0</v>
      </c>
      <c r="P463" t="n">
        <v>0</v>
      </c>
      <c r="Q463" t="n">
        <v>0</v>
      </c>
      <c r="R463" s="2" t="inlineStr"/>
    </row>
    <row r="464" ht="15" customHeight="1">
      <c r="A464" t="inlineStr">
        <is>
          <t>A 13238-2022</t>
        </is>
      </c>
      <c r="B464" s="1" t="n">
        <v>44644</v>
      </c>
      <c r="C464" s="1" t="n">
        <v>45628</v>
      </c>
      <c r="D464" t="inlineStr">
        <is>
          <t>UPPSALA LÄN</t>
        </is>
      </c>
      <c r="E464" t="inlineStr">
        <is>
          <t>ÖSTHAMMAR</t>
        </is>
      </c>
      <c r="G464" t="n">
        <v>6.5</v>
      </c>
      <c r="H464" t="n">
        <v>0</v>
      </c>
      <c r="I464" t="n">
        <v>0</v>
      </c>
      <c r="J464" t="n">
        <v>0</v>
      </c>
      <c r="K464" t="n">
        <v>0</v>
      </c>
      <c r="L464" t="n">
        <v>0</v>
      </c>
      <c r="M464" t="n">
        <v>0</v>
      </c>
      <c r="N464" t="n">
        <v>0</v>
      </c>
      <c r="O464" t="n">
        <v>0</v>
      </c>
      <c r="P464" t="n">
        <v>0</v>
      </c>
      <c r="Q464" t="n">
        <v>0</v>
      </c>
      <c r="R464" s="2" t="inlineStr"/>
    </row>
    <row r="465" ht="15" customHeight="1">
      <c r="A465" t="inlineStr">
        <is>
          <t>A 13279-2022</t>
        </is>
      </c>
      <c r="B465" s="1" t="n">
        <v>44644</v>
      </c>
      <c r="C465" s="1" t="n">
        <v>45628</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13867-2022</t>
        </is>
      </c>
      <c r="B466" s="1" t="n">
        <v>44649</v>
      </c>
      <c r="C466" s="1" t="n">
        <v>45628</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14272-2022</t>
        </is>
      </c>
      <c r="B467" s="1" t="n">
        <v>44651</v>
      </c>
      <c r="C467" s="1" t="n">
        <v>45628</v>
      </c>
      <c r="D467" t="inlineStr">
        <is>
          <t>UPPSALA LÄN</t>
        </is>
      </c>
      <c r="E467" t="inlineStr">
        <is>
          <t>ÖSTHAMMAR</t>
        </is>
      </c>
      <c r="F467" t="inlineStr">
        <is>
          <t>Bergvik skog öst AB</t>
        </is>
      </c>
      <c r="G467" t="n">
        <v>3.1</v>
      </c>
      <c r="H467" t="n">
        <v>0</v>
      </c>
      <c r="I467" t="n">
        <v>0</v>
      </c>
      <c r="J467" t="n">
        <v>0</v>
      </c>
      <c r="K467" t="n">
        <v>0</v>
      </c>
      <c r="L467" t="n">
        <v>0</v>
      </c>
      <c r="M467" t="n">
        <v>0</v>
      </c>
      <c r="N467" t="n">
        <v>0</v>
      </c>
      <c r="O467" t="n">
        <v>0</v>
      </c>
      <c r="P467" t="n">
        <v>0</v>
      </c>
      <c r="Q467" t="n">
        <v>0</v>
      </c>
      <c r="R467" s="2" t="inlineStr"/>
    </row>
    <row r="468" ht="15" customHeight="1">
      <c r="A468" t="inlineStr">
        <is>
          <t>A 14124-2022</t>
        </is>
      </c>
      <c r="B468" s="1" t="n">
        <v>44651</v>
      </c>
      <c r="C468" s="1" t="n">
        <v>45628</v>
      </c>
      <c r="D468" t="inlineStr">
        <is>
          <t>UPPSALA LÄN</t>
        </is>
      </c>
      <c r="E468" t="inlineStr">
        <is>
          <t>ÖSTHAMMAR</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14187-2022</t>
        </is>
      </c>
      <c r="B469" s="1" t="n">
        <v>44651</v>
      </c>
      <c r="C469" s="1" t="n">
        <v>45628</v>
      </c>
      <c r="D469" t="inlineStr">
        <is>
          <t>UPPSALA LÄN</t>
        </is>
      </c>
      <c r="E469" t="inlineStr">
        <is>
          <t>ÖSTHAMMAR</t>
        </is>
      </c>
      <c r="F469" t="inlineStr">
        <is>
          <t>Övriga Aktiebolag</t>
        </is>
      </c>
      <c r="G469" t="n">
        <v>14.1</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v>
      </c>
      <c r="C470" s="1" t="n">
        <v>45628</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14671-2022</t>
        </is>
      </c>
      <c r="B471" s="1" t="n">
        <v>44655</v>
      </c>
      <c r="C471" s="1" t="n">
        <v>45628</v>
      </c>
      <c r="D471" t="inlineStr">
        <is>
          <t>UPPSALA LÄN</t>
        </is>
      </c>
      <c r="E471" t="inlineStr">
        <is>
          <t>ÖSTHAMMAR</t>
        </is>
      </c>
      <c r="G471" t="n">
        <v>1.9</v>
      </c>
      <c r="H471" t="n">
        <v>0</v>
      </c>
      <c r="I471" t="n">
        <v>0</v>
      </c>
      <c r="J471" t="n">
        <v>0</v>
      </c>
      <c r="K471" t="n">
        <v>0</v>
      </c>
      <c r="L471" t="n">
        <v>0</v>
      </c>
      <c r="M471" t="n">
        <v>0</v>
      </c>
      <c r="N471" t="n">
        <v>0</v>
      </c>
      <c r="O471" t="n">
        <v>0</v>
      </c>
      <c r="P471" t="n">
        <v>0</v>
      </c>
      <c r="Q471" t="n">
        <v>0</v>
      </c>
      <c r="R471" s="2" t="inlineStr"/>
    </row>
    <row r="472" ht="15" customHeight="1">
      <c r="A472" t="inlineStr">
        <is>
          <t>A 15064-2022</t>
        </is>
      </c>
      <c r="B472" s="1" t="n">
        <v>44657</v>
      </c>
      <c r="C472" s="1" t="n">
        <v>45628</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15311-2022</t>
        </is>
      </c>
      <c r="B473" s="1" t="n">
        <v>44659</v>
      </c>
      <c r="C473" s="1" t="n">
        <v>45628</v>
      </c>
      <c r="D473" t="inlineStr">
        <is>
          <t>UPPSALA LÄN</t>
        </is>
      </c>
      <c r="E473" t="inlineStr">
        <is>
          <t>ÖSTHAMMAR</t>
        </is>
      </c>
      <c r="G473" t="n">
        <v>5.5</v>
      </c>
      <c r="H473" t="n">
        <v>0</v>
      </c>
      <c r="I473" t="n">
        <v>0</v>
      </c>
      <c r="J473" t="n">
        <v>0</v>
      </c>
      <c r="K473" t="n">
        <v>0</v>
      </c>
      <c r="L473" t="n">
        <v>0</v>
      </c>
      <c r="M473" t="n">
        <v>0</v>
      </c>
      <c r="N473" t="n">
        <v>0</v>
      </c>
      <c r="O473" t="n">
        <v>0</v>
      </c>
      <c r="P473" t="n">
        <v>0</v>
      </c>
      <c r="Q473" t="n">
        <v>0</v>
      </c>
      <c r="R473" s="2" t="inlineStr"/>
    </row>
    <row r="474" ht="15" customHeight="1">
      <c r="A474" t="inlineStr">
        <is>
          <t>A 15334-2022</t>
        </is>
      </c>
      <c r="B474" s="1" t="n">
        <v>44659</v>
      </c>
      <c r="C474" s="1" t="n">
        <v>45628</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15447-2022</t>
        </is>
      </c>
      <c r="B475" s="1" t="n">
        <v>44660</v>
      </c>
      <c r="C475" s="1" t="n">
        <v>45628</v>
      </c>
      <c r="D475" t="inlineStr">
        <is>
          <t>UPPSALA LÄN</t>
        </is>
      </c>
      <c r="E475" t="inlineStr">
        <is>
          <t>ÖSTHAMMAR</t>
        </is>
      </c>
      <c r="F475" t="inlineStr">
        <is>
          <t>Bergvik skog öst AB</t>
        </is>
      </c>
      <c r="G475" t="n">
        <v>2.2</v>
      </c>
      <c r="H475" t="n">
        <v>0</v>
      </c>
      <c r="I475" t="n">
        <v>0</v>
      </c>
      <c r="J475" t="n">
        <v>0</v>
      </c>
      <c r="K475" t="n">
        <v>0</v>
      </c>
      <c r="L475" t="n">
        <v>0</v>
      </c>
      <c r="M475" t="n">
        <v>0</v>
      </c>
      <c r="N475" t="n">
        <v>0</v>
      </c>
      <c r="O475" t="n">
        <v>0</v>
      </c>
      <c r="P475" t="n">
        <v>0</v>
      </c>
      <c r="Q475" t="n">
        <v>0</v>
      </c>
      <c r="R475" s="2" t="inlineStr"/>
    </row>
    <row r="476" ht="15" customHeight="1">
      <c r="A476" t="inlineStr">
        <is>
          <t>A 15445-2022</t>
        </is>
      </c>
      <c r="B476" s="1" t="n">
        <v>44660</v>
      </c>
      <c r="C476" s="1" t="n">
        <v>45628</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15449-2022</t>
        </is>
      </c>
      <c r="B477" s="1" t="n">
        <v>44660</v>
      </c>
      <c r="C477" s="1" t="n">
        <v>45628</v>
      </c>
      <c r="D477" t="inlineStr">
        <is>
          <t>UPPSALA LÄN</t>
        </is>
      </c>
      <c r="E477" t="inlineStr">
        <is>
          <t>ÖSTHAMMAR</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15456-2022</t>
        </is>
      </c>
      <c r="B478" s="1" t="n">
        <v>44661</v>
      </c>
      <c r="C478" s="1" t="n">
        <v>45628</v>
      </c>
      <c r="D478" t="inlineStr">
        <is>
          <t>UPPSALA LÄN</t>
        </is>
      </c>
      <c r="E478" t="inlineStr">
        <is>
          <t>ÖSTHAMMAR</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15457-2022</t>
        </is>
      </c>
      <c r="B479" s="1" t="n">
        <v>44661</v>
      </c>
      <c r="C479" s="1" t="n">
        <v>45628</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15847-2022</t>
        </is>
      </c>
      <c r="B480" s="1" t="n">
        <v>44664</v>
      </c>
      <c r="C480" s="1" t="n">
        <v>45628</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15845-2022</t>
        </is>
      </c>
      <c r="B481" s="1" t="n">
        <v>44664</v>
      </c>
      <c r="C481" s="1" t="n">
        <v>45628</v>
      </c>
      <c r="D481" t="inlineStr">
        <is>
          <t>UPPSALA LÄN</t>
        </is>
      </c>
      <c r="E481" t="inlineStr">
        <is>
          <t>ÖSTHAMMAR</t>
        </is>
      </c>
      <c r="G481" t="n">
        <v>4.5</v>
      </c>
      <c r="H481" t="n">
        <v>0</v>
      </c>
      <c r="I481" t="n">
        <v>0</v>
      </c>
      <c r="J481" t="n">
        <v>0</v>
      </c>
      <c r="K481" t="n">
        <v>0</v>
      </c>
      <c r="L481" t="n">
        <v>0</v>
      </c>
      <c r="M481" t="n">
        <v>0</v>
      </c>
      <c r="N481" t="n">
        <v>0</v>
      </c>
      <c r="O481" t="n">
        <v>0</v>
      </c>
      <c r="P481" t="n">
        <v>0</v>
      </c>
      <c r="Q481" t="n">
        <v>0</v>
      </c>
      <c r="R481" s="2" t="inlineStr"/>
    </row>
    <row r="482" ht="15" customHeight="1">
      <c r="A482" t="inlineStr">
        <is>
          <t>A 15928-2022</t>
        </is>
      </c>
      <c r="B482" s="1" t="n">
        <v>44664</v>
      </c>
      <c r="C482" s="1" t="n">
        <v>45628</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16141-2022</t>
        </is>
      </c>
      <c r="B483" s="1" t="n">
        <v>44665</v>
      </c>
      <c r="C483" s="1" t="n">
        <v>45628</v>
      </c>
      <c r="D483" t="inlineStr">
        <is>
          <t>UPPSALA LÄN</t>
        </is>
      </c>
      <c r="E483" t="inlineStr">
        <is>
          <t>ÖSTHAMMAR</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16142-2022</t>
        </is>
      </c>
      <c r="B484" s="1" t="n">
        <v>44665</v>
      </c>
      <c r="C484" s="1" t="n">
        <v>45628</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16167-2022</t>
        </is>
      </c>
      <c r="B485" s="1" t="n">
        <v>44667</v>
      </c>
      <c r="C485" s="1" t="n">
        <v>45628</v>
      </c>
      <c r="D485" t="inlineStr">
        <is>
          <t>UPPSALA LÄN</t>
        </is>
      </c>
      <c r="E485" t="inlineStr">
        <is>
          <t>ÖSTHAMMAR</t>
        </is>
      </c>
      <c r="F485" t="inlineStr">
        <is>
          <t>Bergvik skog öst AB</t>
        </is>
      </c>
      <c r="G485" t="n">
        <v>18.7</v>
      </c>
      <c r="H485" t="n">
        <v>0</v>
      </c>
      <c r="I485" t="n">
        <v>0</v>
      </c>
      <c r="J485" t="n">
        <v>0</v>
      </c>
      <c r="K485" t="n">
        <v>0</v>
      </c>
      <c r="L485" t="n">
        <v>0</v>
      </c>
      <c r="M485" t="n">
        <v>0</v>
      </c>
      <c r="N485" t="n">
        <v>0</v>
      </c>
      <c r="O485" t="n">
        <v>0</v>
      </c>
      <c r="P485" t="n">
        <v>0</v>
      </c>
      <c r="Q485" t="n">
        <v>0</v>
      </c>
      <c r="R485" s="2" t="inlineStr"/>
    </row>
    <row r="486" ht="15" customHeight="1">
      <c r="A486" t="inlineStr">
        <is>
          <t>A 16185-2022</t>
        </is>
      </c>
      <c r="B486" s="1" t="n">
        <v>44669</v>
      </c>
      <c r="C486" s="1" t="n">
        <v>45628</v>
      </c>
      <c r="D486" t="inlineStr">
        <is>
          <t>UPPSALA LÄN</t>
        </is>
      </c>
      <c r="E486" t="inlineStr">
        <is>
          <t>ÖSTHAMMAR</t>
        </is>
      </c>
      <c r="F486" t="inlineStr">
        <is>
          <t>Bergvik skog öst AB</t>
        </is>
      </c>
      <c r="G486" t="n">
        <v>0.3</v>
      </c>
      <c r="H486" t="n">
        <v>0</v>
      </c>
      <c r="I486" t="n">
        <v>0</v>
      </c>
      <c r="J486" t="n">
        <v>0</v>
      </c>
      <c r="K486" t="n">
        <v>0</v>
      </c>
      <c r="L486" t="n">
        <v>0</v>
      </c>
      <c r="M486" t="n">
        <v>0</v>
      </c>
      <c r="N486" t="n">
        <v>0</v>
      </c>
      <c r="O486" t="n">
        <v>0</v>
      </c>
      <c r="P486" t="n">
        <v>0</v>
      </c>
      <c r="Q486" t="n">
        <v>0</v>
      </c>
      <c r="R486" s="2" t="inlineStr"/>
    </row>
    <row r="487" ht="15" customHeight="1">
      <c r="A487" t="inlineStr">
        <is>
          <t>A 16184-2022</t>
        </is>
      </c>
      <c r="B487" s="1" t="n">
        <v>44669</v>
      </c>
      <c r="C487" s="1" t="n">
        <v>45628</v>
      </c>
      <c r="D487" t="inlineStr">
        <is>
          <t>UPPSALA LÄN</t>
        </is>
      </c>
      <c r="E487" t="inlineStr">
        <is>
          <t>ÖSTHAMMAR</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16254-2022</t>
        </is>
      </c>
      <c r="B488" s="1" t="n">
        <v>44670</v>
      </c>
      <c r="C488" s="1" t="n">
        <v>45628</v>
      </c>
      <c r="D488" t="inlineStr">
        <is>
          <t>UPPSALA LÄN</t>
        </is>
      </c>
      <c r="E488" t="inlineStr">
        <is>
          <t>ÖSTHAMMAR</t>
        </is>
      </c>
      <c r="G488" t="n">
        <v>0.7</v>
      </c>
      <c r="H488" t="n">
        <v>0</v>
      </c>
      <c r="I488" t="n">
        <v>0</v>
      </c>
      <c r="J488" t="n">
        <v>0</v>
      </c>
      <c r="K488" t="n">
        <v>0</v>
      </c>
      <c r="L488" t="n">
        <v>0</v>
      </c>
      <c r="M488" t="n">
        <v>0</v>
      </c>
      <c r="N488" t="n">
        <v>0</v>
      </c>
      <c r="O488" t="n">
        <v>0</v>
      </c>
      <c r="P488" t="n">
        <v>0</v>
      </c>
      <c r="Q488" t="n">
        <v>0</v>
      </c>
      <c r="R488" s="2" t="inlineStr"/>
    </row>
    <row r="489" ht="15" customHeight="1">
      <c r="A489" t="inlineStr">
        <is>
          <t>A 16933-2022</t>
        </is>
      </c>
      <c r="B489" s="1" t="n">
        <v>44676</v>
      </c>
      <c r="C489" s="1" t="n">
        <v>45628</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17013-2022</t>
        </is>
      </c>
      <c r="B490" s="1" t="n">
        <v>44676</v>
      </c>
      <c r="C490" s="1" t="n">
        <v>45628</v>
      </c>
      <c r="D490" t="inlineStr">
        <is>
          <t>UPPSALA LÄN</t>
        </is>
      </c>
      <c r="E490" t="inlineStr">
        <is>
          <t>ÖSTHAMMAR</t>
        </is>
      </c>
      <c r="F490" t="inlineStr">
        <is>
          <t>Bergvik skog öst AB</t>
        </is>
      </c>
      <c r="G490" t="n">
        <v>0.2</v>
      </c>
      <c r="H490" t="n">
        <v>0</v>
      </c>
      <c r="I490" t="n">
        <v>0</v>
      </c>
      <c r="J490" t="n">
        <v>0</v>
      </c>
      <c r="K490" t="n">
        <v>0</v>
      </c>
      <c r="L490" t="n">
        <v>0</v>
      </c>
      <c r="M490" t="n">
        <v>0</v>
      </c>
      <c r="N490" t="n">
        <v>0</v>
      </c>
      <c r="O490" t="n">
        <v>0</v>
      </c>
      <c r="P490" t="n">
        <v>0</v>
      </c>
      <c r="Q490" t="n">
        <v>0</v>
      </c>
      <c r="R490" s="2" t="inlineStr"/>
    </row>
    <row r="491" ht="15" customHeight="1">
      <c r="A491" t="inlineStr">
        <is>
          <t>A 17947-2022</t>
        </is>
      </c>
      <c r="B491" s="1" t="n">
        <v>44683</v>
      </c>
      <c r="C491" s="1" t="n">
        <v>45628</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18183-2022</t>
        </is>
      </c>
      <c r="B492" s="1" t="n">
        <v>44684</v>
      </c>
      <c r="C492" s="1" t="n">
        <v>45628</v>
      </c>
      <c r="D492" t="inlineStr">
        <is>
          <t>UPPSALA LÄN</t>
        </is>
      </c>
      <c r="E492" t="inlineStr">
        <is>
          <t>ÖSTHAMMAR</t>
        </is>
      </c>
      <c r="G492" t="n">
        <v>0.2</v>
      </c>
      <c r="H492" t="n">
        <v>0</v>
      </c>
      <c r="I492" t="n">
        <v>0</v>
      </c>
      <c r="J492" t="n">
        <v>0</v>
      </c>
      <c r="K492" t="n">
        <v>0</v>
      </c>
      <c r="L492" t="n">
        <v>0</v>
      </c>
      <c r="M492" t="n">
        <v>0</v>
      </c>
      <c r="N492" t="n">
        <v>0</v>
      </c>
      <c r="O492" t="n">
        <v>0</v>
      </c>
      <c r="P492" t="n">
        <v>0</v>
      </c>
      <c r="Q492" t="n">
        <v>0</v>
      </c>
      <c r="R492" s="2" t="inlineStr"/>
    </row>
    <row r="493" ht="15" customHeight="1">
      <c r="A493" t="inlineStr">
        <is>
          <t>A 18732-2022</t>
        </is>
      </c>
      <c r="B493" s="1" t="n">
        <v>44687</v>
      </c>
      <c r="C493" s="1" t="n">
        <v>45628</v>
      </c>
      <c r="D493" t="inlineStr">
        <is>
          <t>UPPSALA LÄN</t>
        </is>
      </c>
      <c r="E493" t="inlineStr">
        <is>
          <t>ÖSTHAMMAR</t>
        </is>
      </c>
      <c r="G493" t="n">
        <v>10.5</v>
      </c>
      <c r="H493" t="n">
        <v>0</v>
      </c>
      <c r="I493" t="n">
        <v>0</v>
      </c>
      <c r="J493" t="n">
        <v>0</v>
      </c>
      <c r="K493" t="n">
        <v>0</v>
      </c>
      <c r="L493" t="n">
        <v>0</v>
      </c>
      <c r="M493" t="n">
        <v>0</v>
      </c>
      <c r="N493" t="n">
        <v>0</v>
      </c>
      <c r="O493" t="n">
        <v>0</v>
      </c>
      <c r="P493" t="n">
        <v>0</v>
      </c>
      <c r="Q493" t="n">
        <v>0</v>
      </c>
      <c r="R493" s="2" t="inlineStr"/>
    </row>
    <row r="494" ht="15" customHeight="1">
      <c r="A494" t="inlineStr">
        <is>
          <t>A 18727-2022</t>
        </is>
      </c>
      <c r="B494" s="1" t="n">
        <v>44687</v>
      </c>
      <c r="C494" s="1" t="n">
        <v>45628</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18728-2022</t>
        </is>
      </c>
      <c r="B495" s="1" t="n">
        <v>44687</v>
      </c>
      <c r="C495" s="1" t="n">
        <v>45628</v>
      </c>
      <c r="D495" t="inlineStr">
        <is>
          <t>UPPSALA LÄN</t>
        </is>
      </c>
      <c r="E495" t="inlineStr">
        <is>
          <t>ÖSTHAMMAR</t>
        </is>
      </c>
      <c r="G495" t="n">
        <v>8.1</v>
      </c>
      <c r="H495" t="n">
        <v>0</v>
      </c>
      <c r="I495" t="n">
        <v>0</v>
      </c>
      <c r="J495" t="n">
        <v>0</v>
      </c>
      <c r="K495" t="n">
        <v>0</v>
      </c>
      <c r="L495" t="n">
        <v>0</v>
      </c>
      <c r="M495" t="n">
        <v>0</v>
      </c>
      <c r="N495" t="n">
        <v>0</v>
      </c>
      <c r="O495" t="n">
        <v>0</v>
      </c>
      <c r="P495" t="n">
        <v>0</v>
      </c>
      <c r="Q495" t="n">
        <v>0</v>
      </c>
      <c r="R495" s="2" t="inlineStr"/>
    </row>
    <row r="496" ht="15" customHeight="1">
      <c r="A496" t="inlineStr">
        <is>
          <t>A 18734-2022</t>
        </is>
      </c>
      <c r="B496" s="1" t="n">
        <v>44687</v>
      </c>
      <c r="C496" s="1" t="n">
        <v>45628</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18731-2022</t>
        </is>
      </c>
      <c r="B497" s="1" t="n">
        <v>44687</v>
      </c>
      <c r="C497" s="1" t="n">
        <v>45628</v>
      </c>
      <c r="D497" t="inlineStr">
        <is>
          <t>UPPSALA LÄN</t>
        </is>
      </c>
      <c r="E497" t="inlineStr">
        <is>
          <t>ÖSTHAMMAR</t>
        </is>
      </c>
      <c r="G497" t="n">
        <v>4.9</v>
      </c>
      <c r="H497" t="n">
        <v>0</v>
      </c>
      <c r="I497" t="n">
        <v>0</v>
      </c>
      <c r="J497" t="n">
        <v>0</v>
      </c>
      <c r="K497" t="n">
        <v>0</v>
      </c>
      <c r="L497" t="n">
        <v>0</v>
      </c>
      <c r="M497" t="n">
        <v>0</v>
      </c>
      <c r="N497" t="n">
        <v>0</v>
      </c>
      <c r="O497" t="n">
        <v>0</v>
      </c>
      <c r="P497" t="n">
        <v>0</v>
      </c>
      <c r="Q497" t="n">
        <v>0</v>
      </c>
      <c r="R497" s="2" t="inlineStr"/>
    </row>
    <row r="498" ht="15" customHeight="1">
      <c r="A498" t="inlineStr">
        <is>
          <t>A 18736-2022</t>
        </is>
      </c>
      <c r="B498" s="1" t="n">
        <v>44687</v>
      </c>
      <c r="C498" s="1" t="n">
        <v>45628</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19174-2022</t>
        </is>
      </c>
      <c r="B499" s="1" t="n">
        <v>44691</v>
      </c>
      <c r="C499" s="1" t="n">
        <v>45628</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19181-2022</t>
        </is>
      </c>
      <c r="B500" s="1" t="n">
        <v>44691</v>
      </c>
      <c r="C500" s="1" t="n">
        <v>45628</v>
      </c>
      <c r="D500" t="inlineStr">
        <is>
          <t>UPPSALA LÄN</t>
        </is>
      </c>
      <c r="E500" t="inlineStr">
        <is>
          <t>ÖSTHAMMAR</t>
        </is>
      </c>
      <c r="G500" t="n">
        <v>0.6</v>
      </c>
      <c r="H500" t="n">
        <v>0</v>
      </c>
      <c r="I500" t="n">
        <v>0</v>
      </c>
      <c r="J500" t="n">
        <v>0</v>
      </c>
      <c r="K500" t="n">
        <v>0</v>
      </c>
      <c r="L500" t="n">
        <v>0</v>
      </c>
      <c r="M500" t="n">
        <v>0</v>
      </c>
      <c r="N500" t="n">
        <v>0</v>
      </c>
      <c r="O500" t="n">
        <v>0</v>
      </c>
      <c r="P500" t="n">
        <v>0</v>
      </c>
      <c r="Q500" t="n">
        <v>0</v>
      </c>
      <c r="R500" s="2" t="inlineStr"/>
    </row>
    <row r="501" ht="15" customHeight="1">
      <c r="A501" t="inlineStr">
        <is>
          <t>A 19287-2022</t>
        </is>
      </c>
      <c r="B501" s="1" t="n">
        <v>44692</v>
      </c>
      <c r="C501" s="1" t="n">
        <v>45628</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19707-2022</t>
        </is>
      </c>
      <c r="B502" s="1" t="n">
        <v>44694</v>
      </c>
      <c r="C502" s="1" t="n">
        <v>45628</v>
      </c>
      <c r="D502" t="inlineStr">
        <is>
          <t>UPPSALA LÄN</t>
        </is>
      </c>
      <c r="E502" t="inlineStr">
        <is>
          <t>ÖSTHAMMAR</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20468-2022</t>
        </is>
      </c>
      <c r="B503" s="1" t="n">
        <v>44699</v>
      </c>
      <c r="C503" s="1" t="n">
        <v>45628</v>
      </c>
      <c r="D503" t="inlineStr">
        <is>
          <t>UPPSALA LÄN</t>
        </is>
      </c>
      <c r="E503" t="inlineStr">
        <is>
          <t>ÖSTHAMMAR</t>
        </is>
      </c>
      <c r="G503" t="n">
        <v>3.7</v>
      </c>
      <c r="H503" t="n">
        <v>0</v>
      </c>
      <c r="I503" t="n">
        <v>0</v>
      </c>
      <c r="J503" t="n">
        <v>0</v>
      </c>
      <c r="K503" t="n">
        <v>0</v>
      </c>
      <c r="L503" t="n">
        <v>0</v>
      </c>
      <c r="M503" t="n">
        <v>0</v>
      </c>
      <c r="N503" t="n">
        <v>0</v>
      </c>
      <c r="O503" t="n">
        <v>0</v>
      </c>
      <c r="P503" t="n">
        <v>0</v>
      </c>
      <c r="Q503" t="n">
        <v>0</v>
      </c>
      <c r="R503" s="2" t="inlineStr"/>
    </row>
    <row r="504" ht="15" customHeight="1">
      <c r="A504" t="inlineStr">
        <is>
          <t>A 21522-2022</t>
        </is>
      </c>
      <c r="B504" s="1" t="n">
        <v>44706</v>
      </c>
      <c r="C504" s="1" t="n">
        <v>45628</v>
      </c>
      <c r="D504" t="inlineStr">
        <is>
          <t>UPPSALA LÄN</t>
        </is>
      </c>
      <c r="E504" t="inlineStr">
        <is>
          <t>ÖSTHAMMAR</t>
        </is>
      </c>
      <c r="G504" t="n">
        <v>1.8</v>
      </c>
      <c r="H504" t="n">
        <v>0</v>
      </c>
      <c r="I504" t="n">
        <v>0</v>
      </c>
      <c r="J504" t="n">
        <v>0</v>
      </c>
      <c r="K504" t="n">
        <v>0</v>
      </c>
      <c r="L504" t="n">
        <v>0</v>
      </c>
      <c r="M504" t="n">
        <v>0</v>
      </c>
      <c r="N504" t="n">
        <v>0</v>
      </c>
      <c r="O504" t="n">
        <v>0</v>
      </c>
      <c r="P504" t="n">
        <v>0</v>
      </c>
      <c r="Q504" t="n">
        <v>0</v>
      </c>
      <c r="R504" s="2" t="inlineStr"/>
    </row>
    <row r="505" ht="15" customHeight="1">
      <c r="A505" t="inlineStr">
        <is>
          <t>A 21830-2022</t>
        </is>
      </c>
      <c r="B505" s="1" t="n">
        <v>44710</v>
      </c>
      <c r="C505" s="1" t="n">
        <v>45628</v>
      </c>
      <c r="D505" t="inlineStr">
        <is>
          <t>UPPSALA LÄN</t>
        </is>
      </c>
      <c r="E505" t="inlineStr">
        <is>
          <t>ÖSTHAMMAR</t>
        </is>
      </c>
      <c r="F505" t="inlineStr">
        <is>
          <t>Bergvik skog öst AB</t>
        </is>
      </c>
      <c r="G505" t="n">
        <v>3.6</v>
      </c>
      <c r="H505" t="n">
        <v>0</v>
      </c>
      <c r="I505" t="n">
        <v>0</v>
      </c>
      <c r="J505" t="n">
        <v>0</v>
      </c>
      <c r="K505" t="n">
        <v>0</v>
      </c>
      <c r="L505" t="n">
        <v>0</v>
      </c>
      <c r="M505" t="n">
        <v>0</v>
      </c>
      <c r="N505" t="n">
        <v>0</v>
      </c>
      <c r="O505" t="n">
        <v>0</v>
      </c>
      <c r="P505" t="n">
        <v>0</v>
      </c>
      <c r="Q505" t="n">
        <v>0</v>
      </c>
      <c r="R505" s="2" t="inlineStr"/>
    </row>
    <row r="506" ht="15" customHeight="1">
      <c r="A506" t="inlineStr">
        <is>
          <t>A 21829-2022</t>
        </is>
      </c>
      <c r="B506" s="1" t="n">
        <v>44710</v>
      </c>
      <c r="C506" s="1" t="n">
        <v>45628</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22207-2022</t>
        </is>
      </c>
      <c r="B507" s="1" t="n">
        <v>44712</v>
      </c>
      <c r="C507" s="1" t="n">
        <v>45628</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22619-2022</t>
        </is>
      </c>
      <c r="B508" s="1" t="n">
        <v>44714</v>
      </c>
      <c r="C508" s="1" t="n">
        <v>45628</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22804-2022</t>
        </is>
      </c>
      <c r="B509" s="1" t="n">
        <v>44715</v>
      </c>
      <c r="C509" s="1" t="n">
        <v>45628</v>
      </c>
      <c r="D509" t="inlineStr">
        <is>
          <t>UPPSALA LÄN</t>
        </is>
      </c>
      <c r="E509" t="inlineStr">
        <is>
          <t>ÖSTHAMMAR</t>
        </is>
      </c>
      <c r="G509" t="n">
        <v>2.7</v>
      </c>
      <c r="H509" t="n">
        <v>0</v>
      </c>
      <c r="I509" t="n">
        <v>0</v>
      </c>
      <c r="J509" t="n">
        <v>0</v>
      </c>
      <c r="K509" t="n">
        <v>0</v>
      </c>
      <c r="L509" t="n">
        <v>0</v>
      </c>
      <c r="M509" t="n">
        <v>0</v>
      </c>
      <c r="N509" t="n">
        <v>0</v>
      </c>
      <c r="O509" t="n">
        <v>0</v>
      </c>
      <c r="P509" t="n">
        <v>0</v>
      </c>
      <c r="Q509" t="n">
        <v>0</v>
      </c>
      <c r="R509" s="2" t="inlineStr"/>
    </row>
    <row r="510" ht="15" customHeight="1">
      <c r="A510" t="inlineStr">
        <is>
          <t>A 22887-2022</t>
        </is>
      </c>
      <c r="B510" s="1" t="n">
        <v>44715</v>
      </c>
      <c r="C510" s="1" t="n">
        <v>45628</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22945-2022</t>
        </is>
      </c>
      <c r="B511" s="1" t="n">
        <v>44715</v>
      </c>
      <c r="C511" s="1" t="n">
        <v>45628</v>
      </c>
      <c r="D511" t="inlineStr">
        <is>
          <t>UPPSALA LÄN</t>
        </is>
      </c>
      <c r="E511" t="inlineStr">
        <is>
          <t>ÖSTHAMMAR</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22993-2022</t>
        </is>
      </c>
      <c r="B512" s="1" t="n">
        <v>44718</v>
      </c>
      <c r="C512" s="1" t="n">
        <v>45628</v>
      </c>
      <c r="D512" t="inlineStr">
        <is>
          <t>UPPSALA LÄN</t>
        </is>
      </c>
      <c r="E512" t="inlineStr">
        <is>
          <t>ÖSTHAMMAR</t>
        </is>
      </c>
      <c r="F512" t="inlineStr">
        <is>
          <t>Bergvik skog öst AB</t>
        </is>
      </c>
      <c r="G512" t="n">
        <v>4.8</v>
      </c>
      <c r="H512" t="n">
        <v>0</v>
      </c>
      <c r="I512" t="n">
        <v>0</v>
      </c>
      <c r="J512" t="n">
        <v>0</v>
      </c>
      <c r="K512" t="n">
        <v>0</v>
      </c>
      <c r="L512" t="n">
        <v>0</v>
      </c>
      <c r="M512" t="n">
        <v>0</v>
      </c>
      <c r="N512" t="n">
        <v>0</v>
      </c>
      <c r="O512" t="n">
        <v>0</v>
      </c>
      <c r="P512" t="n">
        <v>0</v>
      </c>
      <c r="Q512" t="n">
        <v>0</v>
      </c>
      <c r="R512" s="2" t="inlineStr"/>
    </row>
    <row r="513" ht="15" customHeight="1">
      <c r="A513" t="inlineStr">
        <is>
          <t>A 22994-2022</t>
        </is>
      </c>
      <c r="B513" s="1" t="n">
        <v>44718</v>
      </c>
      <c r="C513" s="1" t="n">
        <v>45628</v>
      </c>
      <c r="D513" t="inlineStr">
        <is>
          <t>UPPSALA LÄN</t>
        </is>
      </c>
      <c r="E513" t="inlineStr">
        <is>
          <t>ÖSTHAMMAR</t>
        </is>
      </c>
      <c r="F513" t="inlineStr">
        <is>
          <t>Bergvik skog öst AB</t>
        </is>
      </c>
      <c r="G513" t="n">
        <v>29.9</v>
      </c>
      <c r="H513" t="n">
        <v>0</v>
      </c>
      <c r="I513" t="n">
        <v>0</v>
      </c>
      <c r="J513" t="n">
        <v>0</v>
      </c>
      <c r="K513" t="n">
        <v>0</v>
      </c>
      <c r="L513" t="n">
        <v>0</v>
      </c>
      <c r="M513" t="n">
        <v>0</v>
      </c>
      <c r="N513" t="n">
        <v>0</v>
      </c>
      <c r="O513" t="n">
        <v>0</v>
      </c>
      <c r="P513" t="n">
        <v>0</v>
      </c>
      <c r="Q513" t="n">
        <v>0</v>
      </c>
      <c r="R513" s="2" t="inlineStr"/>
    </row>
    <row r="514" ht="15" customHeight="1">
      <c r="A514" t="inlineStr">
        <is>
          <t>A 23603-2022</t>
        </is>
      </c>
      <c r="B514" s="1" t="n">
        <v>44721</v>
      </c>
      <c r="C514" s="1" t="n">
        <v>45628</v>
      </c>
      <c r="D514" t="inlineStr">
        <is>
          <t>UPPSALA LÄN</t>
        </is>
      </c>
      <c r="E514" t="inlineStr">
        <is>
          <t>ÖSTHAMMAR</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24138-2022</t>
        </is>
      </c>
      <c r="B515" s="1" t="n">
        <v>44725</v>
      </c>
      <c r="C515" s="1" t="n">
        <v>45628</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24149-2022</t>
        </is>
      </c>
      <c r="B516" s="1" t="n">
        <v>44725</v>
      </c>
      <c r="C516" s="1" t="n">
        <v>45628</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24181-2022</t>
        </is>
      </c>
      <c r="B517" s="1" t="n">
        <v>44725</v>
      </c>
      <c r="C517" s="1" t="n">
        <v>45628</v>
      </c>
      <c r="D517" t="inlineStr">
        <is>
          <t>UPPSALA LÄN</t>
        </is>
      </c>
      <c r="E517" t="inlineStr">
        <is>
          <t>ÖSTHAMMAR</t>
        </is>
      </c>
      <c r="G517" t="n">
        <v>1.4</v>
      </c>
      <c r="H517" t="n">
        <v>0</v>
      </c>
      <c r="I517" t="n">
        <v>0</v>
      </c>
      <c r="J517" t="n">
        <v>0</v>
      </c>
      <c r="K517" t="n">
        <v>0</v>
      </c>
      <c r="L517" t="n">
        <v>0</v>
      </c>
      <c r="M517" t="n">
        <v>0</v>
      </c>
      <c r="N517" t="n">
        <v>0</v>
      </c>
      <c r="O517" t="n">
        <v>0</v>
      </c>
      <c r="P517" t="n">
        <v>0</v>
      </c>
      <c r="Q517" t="n">
        <v>0</v>
      </c>
      <c r="R517" s="2" t="inlineStr"/>
    </row>
    <row r="518" ht="15" customHeight="1">
      <c r="A518" t="inlineStr">
        <is>
          <t>A 24259-2022</t>
        </is>
      </c>
      <c r="B518" s="1" t="n">
        <v>44725</v>
      </c>
      <c r="C518" s="1" t="n">
        <v>45628</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24447-2022</t>
        </is>
      </c>
      <c r="B519" s="1" t="n">
        <v>44726</v>
      </c>
      <c r="C519" s="1" t="n">
        <v>45628</v>
      </c>
      <c r="D519" t="inlineStr">
        <is>
          <t>UPPSALA LÄN</t>
        </is>
      </c>
      <c r="E519" t="inlineStr">
        <is>
          <t>ÖSTHAMMAR</t>
        </is>
      </c>
      <c r="G519" t="n">
        <v>5.5</v>
      </c>
      <c r="H519" t="n">
        <v>0</v>
      </c>
      <c r="I519" t="n">
        <v>0</v>
      </c>
      <c r="J519" t="n">
        <v>0</v>
      </c>
      <c r="K519" t="n">
        <v>0</v>
      </c>
      <c r="L519" t="n">
        <v>0</v>
      </c>
      <c r="M519" t="n">
        <v>0</v>
      </c>
      <c r="N519" t="n">
        <v>0</v>
      </c>
      <c r="O519" t="n">
        <v>0</v>
      </c>
      <c r="P519" t="n">
        <v>0</v>
      </c>
      <c r="Q519" t="n">
        <v>0</v>
      </c>
      <c r="R519" s="2" t="inlineStr"/>
    </row>
    <row r="520" ht="15" customHeight="1">
      <c r="A520" t="inlineStr">
        <is>
          <t>A 24367-2022</t>
        </is>
      </c>
      <c r="B520" s="1" t="n">
        <v>44726</v>
      </c>
      <c r="C520" s="1" t="n">
        <v>45628</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24817-2022</t>
        </is>
      </c>
      <c r="B521" s="1" t="n">
        <v>44728</v>
      </c>
      <c r="C521" s="1" t="n">
        <v>45628</v>
      </c>
      <c r="D521" t="inlineStr">
        <is>
          <t>UPPSALA LÄN</t>
        </is>
      </c>
      <c r="E521" t="inlineStr">
        <is>
          <t>ÖSTHAMMAR</t>
        </is>
      </c>
      <c r="F521" t="inlineStr">
        <is>
          <t>Sveaskog</t>
        </is>
      </c>
      <c r="G521" t="n">
        <v>0.2</v>
      </c>
      <c r="H521" t="n">
        <v>0</v>
      </c>
      <c r="I521" t="n">
        <v>0</v>
      </c>
      <c r="J521" t="n">
        <v>0</v>
      </c>
      <c r="K521" t="n">
        <v>0</v>
      </c>
      <c r="L521" t="n">
        <v>0</v>
      </c>
      <c r="M521" t="n">
        <v>0</v>
      </c>
      <c r="N521" t="n">
        <v>0</v>
      </c>
      <c r="O521" t="n">
        <v>0</v>
      </c>
      <c r="P521" t="n">
        <v>0</v>
      </c>
      <c r="Q521" t="n">
        <v>0</v>
      </c>
      <c r="R521" s="2" t="inlineStr"/>
    </row>
    <row r="522" ht="15" customHeight="1">
      <c r="A522" t="inlineStr">
        <is>
          <t>A 25076-2022</t>
        </is>
      </c>
      <c r="B522" s="1" t="n">
        <v>44729</v>
      </c>
      <c r="C522" s="1" t="n">
        <v>45628</v>
      </c>
      <c r="D522" t="inlineStr">
        <is>
          <t>UPPSALA LÄN</t>
        </is>
      </c>
      <c r="E522" t="inlineStr">
        <is>
          <t>ÖSTHAMMAR</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25418-2022</t>
        </is>
      </c>
      <c r="B523" s="1" t="n">
        <v>44732</v>
      </c>
      <c r="C523" s="1" t="n">
        <v>45628</v>
      </c>
      <c r="D523" t="inlineStr">
        <is>
          <t>UPPSALA LÄN</t>
        </is>
      </c>
      <c r="E523" t="inlineStr">
        <is>
          <t>ÖSTHAMMAR</t>
        </is>
      </c>
      <c r="G523" t="n">
        <v>2.8</v>
      </c>
      <c r="H523" t="n">
        <v>0</v>
      </c>
      <c r="I523" t="n">
        <v>0</v>
      </c>
      <c r="J523" t="n">
        <v>0</v>
      </c>
      <c r="K523" t="n">
        <v>0</v>
      </c>
      <c r="L523" t="n">
        <v>0</v>
      </c>
      <c r="M523" t="n">
        <v>0</v>
      </c>
      <c r="N523" t="n">
        <v>0</v>
      </c>
      <c r="O523" t="n">
        <v>0</v>
      </c>
      <c r="P523" t="n">
        <v>0</v>
      </c>
      <c r="Q523" t="n">
        <v>0</v>
      </c>
      <c r="R523" s="2" t="inlineStr"/>
    </row>
    <row r="524" ht="15" customHeight="1">
      <c r="A524" t="inlineStr">
        <is>
          <t>A 25434-2022</t>
        </is>
      </c>
      <c r="B524" s="1" t="n">
        <v>44732</v>
      </c>
      <c r="C524" s="1" t="n">
        <v>45628</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26008-2022</t>
        </is>
      </c>
      <c r="B525" s="1" t="n">
        <v>44734</v>
      </c>
      <c r="C525" s="1" t="n">
        <v>45628</v>
      </c>
      <c r="D525" t="inlineStr">
        <is>
          <t>UPPSALA LÄN</t>
        </is>
      </c>
      <c r="E525" t="inlineStr">
        <is>
          <t>ÖSTHAMMAR</t>
        </is>
      </c>
      <c r="F525" t="inlineStr">
        <is>
          <t>Bergvik skog öst AB</t>
        </is>
      </c>
      <c r="G525" t="n">
        <v>8.4</v>
      </c>
      <c r="H525" t="n">
        <v>0</v>
      </c>
      <c r="I525" t="n">
        <v>0</v>
      </c>
      <c r="J525" t="n">
        <v>0</v>
      </c>
      <c r="K525" t="n">
        <v>0</v>
      </c>
      <c r="L525" t="n">
        <v>0</v>
      </c>
      <c r="M525" t="n">
        <v>0</v>
      </c>
      <c r="N525" t="n">
        <v>0</v>
      </c>
      <c r="O525" t="n">
        <v>0</v>
      </c>
      <c r="P525" t="n">
        <v>0</v>
      </c>
      <c r="Q525" t="n">
        <v>0</v>
      </c>
      <c r="R525" s="2" t="inlineStr"/>
    </row>
    <row r="526" ht="15" customHeight="1">
      <c r="A526" t="inlineStr">
        <is>
          <t>A 25987-2022</t>
        </is>
      </c>
      <c r="B526" s="1" t="n">
        <v>44734</v>
      </c>
      <c r="C526" s="1" t="n">
        <v>45628</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25983-2022</t>
        </is>
      </c>
      <c r="B527" s="1" t="n">
        <v>44734</v>
      </c>
      <c r="C527" s="1" t="n">
        <v>45628</v>
      </c>
      <c r="D527" t="inlineStr">
        <is>
          <t>UPPSALA LÄN</t>
        </is>
      </c>
      <c r="E527" t="inlineStr">
        <is>
          <t>ÖSTHAMMAR</t>
        </is>
      </c>
      <c r="G527" t="n">
        <v>4.7</v>
      </c>
      <c r="H527" t="n">
        <v>0</v>
      </c>
      <c r="I527" t="n">
        <v>0</v>
      </c>
      <c r="J527" t="n">
        <v>0</v>
      </c>
      <c r="K527" t="n">
        <v>0</v>
      </c>
      <c r="L527" t="n">
        <v>0</v>
      </c>
      <c r="M527" t="n">
        <v>0</v>
      </c>
      <c r="N527" t="n">
        <v>0</v>
      </c>
      <c r="O527" t="n">
        <v>0</v>
      </c>
      <c r="P527" t="n">
        <v>0</v>
      </c>
      <c r="Q527" t="n">
        <v>0</v>
      </c>
      <c r="R527" s="2" t="inlineStr"/>
    </row>
    <row r="528" ht="15" customHeight="1">
      <c r="A528" t="inlineStr">
        <is>
          <t>A 26004-2022</t>
        </is>
      </c>
      <c r="B528" s="1" t="n">
        <v>44734</v>
      </c>
      <c r="C528" s="1" t="n">
        <v>45628</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26534-2022</t>
        </is>
      </c>
      <c r="B529" s="1" t="n">
        <v>44739</v>
      </c>
      <c r="C529" s="1" t="n">
        <v>45628</v>
      </c>
      <c r="D529" t="inlineStr">
        <is>
          <t>UPPSALA LÄN</t>
        </is>
      </c>
      <c r="E529" t="inlineStr">
        <is>
          <t>ÖSTHAMMAR</t>
        </is>
      </c>
      <c r="F529" t="inlineStr">
        <is>
          <t>Övriga statliga verk och myndigheter</t>
        </is>
      </c>
      <c r="G529" t="n">
        <v>0.6</v>
      </c>
      <c r="H529" t="n">
        <v>0</v>
      </c>
      <c r="I529" t="n">
        <v>0</v>
      </c>
      <c r="J529" t="n">
        <v>0</v>
      </c>
      <c r="K529" t="n">
        <v>0</v>
      </c>
      <c r="L529" t="n">
        <v>0</v>
      </c>
      <c r="M529" t="n">
        <v>0</v>
      </c>
      <c r="N529" t="n">
        <v>0</v>
      </c>
      <c r="O529" t="n">
        <v>0</v>
      </c>
      <c r="P529" t="n">
        <v>0</v>
      </c>
      <c r="Q529" t="n">
        <v>0</v>
      </c>
      <c r="R529" s="2" t="inlineStr"/>
    </row>
    <row r="530" ht="15" customHeight="1">
      <c r="A530" t="inlineStr">
        <is>
          <t>A 26552-2022</t>
        </is>
      </c>
      <c r="B530" s="1" t="n">
        <v>44739</v>
      </c>
      <c r="C530" s="1" t="n">
        <v>45628</v>
      </c>
      <c r="D530" t="inlineStr">
        <is>
          <t>UPPSALA LÄN</t>
        </is>
      </c>
      <c r="E530" t="inlineStr">
        <is>
          <t>ÖSTHAMMAR</t>
        </is>
      </c>
      <c r="G530" t="n">
        <v>2.2</v>
      </c>
      <c r="H530" t="n">
        <v>0</v>
      </c>
      <c r="I530" t="n">
        <v>0</v>
      </c>
      <c r="J530" t="n">
        <v>0</v>
      </c>
      <c r="K530" t="n">
        <v>0</v>
      </c>
      <c r="L530" t="n">
        <v>0</v>
      </c>
      <c r="M530" t="n">
        <v>0</v>
      </c>
      <c r="N530" t="n">
        <v>0</v>
      </c>
      <c r="O530" t="n">
        <v>0</v>
      </c>
      <c r="P530" t="n">
        <v>0</v>
      </c>
      <c r="Q530" t="n">
        <v>0</v>
      </c>
      <c r="R530" s="2" t="inlineStr"/>
    </row>
    <row r="531" ht="15" customHeight="1">
      <c r="A531" t="inlineStr">
        <is>
          <t>A 26561-2022</t>
        </is>
      </c>
      <c r="B531" s="1" t="n">
        <v>44739</v>
      </c>
      <c r="C531" s="1" t="n">
        <v>45628</v>
      </c>
      <c r="D531" t="inlineStr">
        <is>
          <t>UPPSALA LÄN</t>
        </is>
      </c>
      <c r="E531" t="inlineStr">
        <is>
          <t>ÖSTHAMMAR</t>
        </is>
      </c>
      <c r="G531" t="n">
        <v>3.7</v>
      </c>
      <c r="H531" t="n">
        <v>0</v>
      </c>
      <c r="I531" t="n">
        <v>0</v>
      </c>
      <c r="J531" t="n">
        <v>0</v>
      </c>
      <c r="K531" t="n">
        <v>0</v>
      </c>
      <c r="L531" t="n">
        <v>0</v>
      </c>
      <c r="M531" t="n">
        <v>0</v>
      </c>
      <c r="N531" t="n">
        <v>0</v>
      </c>
      <c r="O531" t="n">
        <v>0</v>
      </c>
      <c r="P531" t="n">
        <v>0</v>
      </c>
      <c r="Q531" t="n">
        <v>0</v>
      </c>
      <c r="R531" s="2" t="inlineStr"/>
    </row>
    <row r="532" ht="15" customHeight="1">
      <c r="A532" t="inlineStr">
        <is>
          <t>A 28228-2022</t>
        </is>
      </c>
      <c r="B532" s="1" t="n">
        <v>44746</v>
      </c>
      <c r="C532" s="1" t="n">
        <v>45628</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29753-2022</t>
        </is>
      </c>
      <c r="B533" s="1" t="n">
        <v>44755</v>
      </c>
      <c r="C533" s="1" t="n">
        <v>45628</v>
      </c>
      <c r="D533" t="inlineStr">
        <is>
          <t>UPPSALA LÄN</t>
        </is>
      </c>
      <c r="E533" t="inlineStr">
        <is>
          <t>ÖSTHAMMAR</t>
        </is>
      </c>
      <c r="G533" t="n">
        <v>9.4</v>
      </c>
      <c r="H533" t="n">
        <v>0</v>
      </c>
      <c r="I533" t="n">
        <v>0</v>
      </c>
      <c r="J533" t="n">
        <v>0</v>
      </c>
      <c r="K533" t="n">
        <v>0</v>
      </c>
      <c r="L533" t="n">
        <v>0</v>
      </c>
      <c r="M533" t="n">
        <v>0</v>
      </c>
      <c r="N533" t="n">
        <v>0</v>
      </c>
      <c r="O533" t="n">
        <v>0</v>
      </c>
      <c r="P533" t="n">
        <v>0</v>
      </c>
      <c r="Q533" t="n">
        <v>0</v>
      </c>
      <c r="R533" s="2" t="inlineStr"/>
    </row>
    <row r="534" ht="15" customHeight="1">
      <c r="A534" t="inlineStr">
        <is>
          <t>A 30212-2022</t>
        </is>
      </c>
      <c r="B534" s="1" t="n">
        <v>44757</v>
      </c>
      <c r="C534" s="1" t="n">
        <v>45628</v>
      </c>
      <c r="D534" t="inlineStr">
        <is>
          <t>UPPSALA LÄN</t>
        </is>
      </c>
      <c r="E534" t="inlineStr">
        <is>
          <t>ÖSTHAMMAR</t>
        </is>
      </c>
      <c r="F534" t="inlineStr">
        <is>
          <t>Bergvik skog öst AB</t>
        </is>
      </c>
      <c r="G534" t="n">
        <v>13.6</v>
      </c>
      <c r="H534" t="n">
        <v>0</v>
      </c>
      <c r="I534" t="n">
        <v>0</v>
      </c>
      <c r="J534" t="n">
        <v>0</v>
      </c>
      <c r="K534" t="n">
        <v>0</v>
      </c>
      <c r="L534" t="n">
        <v>0</v>
      </c>
      <c r="M534" t="n">
        <v>0</v>
      </c>
      <c r="N534" t="n">
        <v>0</v>
      </c>
      <c r="O534" t="n">
        <v>0</v>
      </c>
      <c r="P534" t="n">
        <v>0</v>
      </c>
      <c r="Q534" t="n">
        <v>0</v>
      </c>
      <c r="R534" s="2" t="inlineStr"/>
    </row>
    <row r="535" ht="15" customHeight="1">
      <c r="A535" t="inlineStr">
        <is>
          <t>A 30209-2022</t>
        </is>
      </c>
      <c r="B535" s="1" t="n">
        <v>44757</v>
      </c>
      <c r="C535" s="1" t="n">
        <v>45628</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30549-2022</t>
        </is>
      </c>
      <c r="B536" s="1" t="n">
        <v>44762</v>
      </c>
      <c r="C536" s="1" t="n">
        <v>45628</v>
      </c>
      <c r="D536" t="inlineStr">
        <is>
          <t>UPPSALA LÄN</t>
        </is>
      </c>
      <c r="E536" t="inlineStr">
        <is>
          <t>ÖSTHAMMAR</t>
        </is>
      </c>
      <c r="F536" t="inlineStr">
        <is>
          <t>Bergvik skog öst AB</t>
        </is>
      </c>
      <c r="G536" t="n">
        <v>6.2</v>
      </c>
      <c r="H536" t="n">
        <v>0</v>
      </c>
      <c r="I536" t="n">
        <v>0</v>
      </c>
      <c r="J536" t="n">
        <v>0</v>
      </c>
      <c r="K536" t="n">
        <v>0</v>
      </c>
      <c r="L536" t="n">
        <v>0</v>
      </c>
      <c r="M536" t="n">
        <v>0</v>
      </c>
      <c r="N536" t="n">
        <v>0</v>
      </c>
      <c r="O536" t="n">
        <v>0</v>
      </c>
      <c r="P536" t="n">
        <v>0</v>
      </c>
      <c r="Q536" t="n">
        <v>0</v>
      </c>
      <c r="R536" s="2" t="inlineStr"/>
    </row>
    <row r="537" ht="15" customHeight="1">
      <c r="A537" t="inlineStr">
        <is>
          <t>A 31027-2022</t>
        </is>
      </c>
      <c r="B537" s="1" t="n">
        <v>44768</v>
      </c>
      <c r="C537" s="1" t="n">
        <v>45628</v>
      </c>
      <c r="D537" t="inlineStr">
        <is>
          <t>UPPSALA LÄN</t>
        </is>
      </c>
      <c r="E537" t="inlineStr">
        <is>
          <t>ÖSTHAMMAR</t>
        </is>
      </c>
      <c r="F537" t="inlineStr">
        <is>
          <t>Bergvik skog öst AB</t>
        </is>
      </c>
      <c r="G537" t="n">
        <v>2.4</v>
      </c>
      <c r="H537" t="n">
        <v>0</v>
      </c>
      <c r="I537" t="n">
        <v>0</v>
      </c>
      <c r="J537" t="n">
        <v>0</v>
      </c>
      <c r="K537" t="n">
        <v>0</v>
      </c>
      <c r="L537" t="n">
        <v>0</v>
      </c>
      <c r="M537" t="n">
        <v>0</v>
      </c>
      <c r="N537" t="n">
        <v>0</v>
      </c>
      <c r="O537" t="n">
        <v>0</v>
      </c>
      <c r="P537" t="n">
        <v>0</v>
      </c>
      <c r="Q537" t="n">
        <v>0</v>
      </c>
      <c r="R537" s="2" t="inlineStr"/>
    </row>
    <row r="538" ht="15" customHeight="1">
      <c r="A538" t="inlineStr">
        <is>
          <t>A 31035-2022</t>
        </is>
      </c>
      <c r="B538" s="1" t="n">
        <v>44768</v>
      </c>
      <c r="C538" s="1" t="n">
        <v>45628</v>
      </c>
      <c r="D538" t="inlineStr">
        <is>
          <t>UPPSALA LÄN</t>
        </is>
      </c>
      <c r="E538" t="inlineStr">
        <is>
          <t>ÖSTHAMMAR</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31026-2022</t>
        </is>
      </c>
      <c r="B539" s="1" t="n">
        <v>44768</v>
      </c>
      <c r="C539" s="1" t="n">
        <v>45628</v>
      </c>
      <c r="D539" t="inlineStr">
        <is>
          <t>UPPSALA LÄN</t>
        </is>
      </c>
      <c r="E539" t="inlineStr">
        <is>
          <t>ÖSTHAMMAR</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31182-2022</t>
        </is>
      </c>
      <c r="B540" s="1" t="n">
        <v>44770</v>
      </c>
      <c r="C540" s="1" t="n">
        <v>45628</v>
      </c>
      <c r="D540" t="inlineStr">
        <is>
          <t>UPPSALA LÄN</t>
        </is>
      </c>
      <c r="E540" t="inlineStr">
        <is>
          <t>ÖSTHAMMAR</t>
        </is>
      </c>
      <c r="F540" t="inlineStr">
        <is>
          <t>Bergvik skog öst AB</t>
        </is>
      </c>
      <c r="G540" t="n">
        <v>0.3</v>
      </c>
      <c r="H540" t="n">
        <v>0</v>
      </c>
      <c r="I540" t="n">
        <v>0</v>
      </c>
      <c r="J540" t="n">
        <v>0</v>
      </c>
      <c r="K540" t="n">
        <v>0</v>
      </c>
      <c r="L540" t="n">
        <v>0</v>
      </c>
      <c r="M540" t="n">
        <v>0</v>
      </c>
      <c r="N540" t="n">
        <v>0</v>
      </c>
      <c r="O540" t="n">
        <v>0</v>
      </c>
      <c r="P540" t="n">
        <v>0</v>
      </c>
      <c r="Q540" t="n">
        <v>0</v>
      </c>
      <c r="R540" s="2" t="inlineStr"/>
    </row>
    <row r="541" ht="15" customHeight="1">
      <c r="A541" t="inlineStr">
        <is>
          <t>A 31140-2022</t>
        </is>
      </c>
      <c r="B541" s="1" t="n">
        <v>44770</v>
      </c>
      <c r="C541" s="1" t="n">
        <v>45628</v>
      </c>
      <c r="D541" t="inlineStr">
        <is>
          <t>UPPSALA LÄN</t>
        </is>
      </c>
      <c r="E541" t="inlineStr">
        <is>
          <t>ÖSTHAMMAR</t>
        </is>
      </c>
      <c r="F541" t="inlineStr">
        <is>
          <t>Bergvik skog öst AB</t>
        </is>
      </c>
      <c r="G541" t="n">
        <v>3</v>
      </c>
      <c r="H541" t="n">
        <v>0</v>
      </c>
      <c r="I541" t="n">
        <v>0</v>
      </c>
      <c r="J541" t="n">
        <v>0</v>
      </c>
      <c r="K541" t="n">
        <v>0</v>
      </c>
      <c r="L541" t="n">
        <v>0</v>
      </c>
      <c r="M541" t="n">
        <v>0</v>
      </c>
      <c r="N541" t="n">
        <v>0</v>
      </c>
      <c r="O541" t="n">
        <v>0</v>
      </c>
      <c r="P541" t="n">
        <v>0</v>
      </c>
      <c r="Q541" t="n">
        <v>0</v>
      </c>
      <c r="R541" s="2" t="inlineStr"/>
    </row>
    <row r="542" ht="15" customHeight="1">
      <c r="A542" t="inlineStr">
        <is>
          <t>A 31137-2022</t>
        </is>
      </c>
      <c r="B542" s="1" t="n">
        <v>44770</v>
      </c>
      <c r="C542" s="1" t="n">
        <v>45628</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31282-2022</t>
        </is>
      </c>
      <c r="B543" s="1" t="n">
        <v>44771</v>
      </c>
      <c r="C543" s="1" t="n">
        <v>45628</v>
      </c>
      <c r="D543" t="inlineStr">
        <is>
          <t>UPPSALA LÄN</t>
        </is>
      </c>
      <c r="E543" t="inlineStr">
        <is>
          <t>ÖSTHAMMAR</t>
        </is>
      </c>
      <c r="F543" t="inlineStr">
        <is>
          <t>Bergvik skog öst AB</t>
        </is>
      </c>
      <c r="G543" t="n">
        <v>3.8</v>
      </c>
      <c r="H543" t="n">
        <v>0</v>
      </c>
      <c r="I543" t="n">
        <v>0</v>
      </c>
      <c r="J543" t="n">
        <v>0</v>
      </c>
      <c r="K543" t="n">
        <v>0</v>
      </c>
      <c r="L543" t="n">
        <v>0</v>
      </c>
      <c r="M543" t="n">
        <v>0</v>
      </c>
      <c r="N543" t="n">
        <v>0</v>
      </c>
      <c r="O543" t="n">
        <v>0</v>
      </c>
      <c r="P543" t="n">
        <v>0</v>
      </c>
      <c r="Q543" t="n">
        <v>0</v>
      </c>
      <c r="R543" s="2" t="inlineStr"/>
    </row>
    <row r="544" ht="15" customHeight="1">
      <c r="A544" t="inlineStr">
        <is>
          <t>A 31574-2022</t>
        </is>
      </c>
      <c r="B544" s="1" t="n">
        <v>44775</v>
      </c>
      <c r="C544" s="1" t="n">
        <v>45628</v>
      </c>
      <c r="D544" t="inlineStr">
        <is>
          <t>UPPSALA LÄN</t>
        </is>
      </c>
      <c r="E544" t="inlineStr">
        <is>
          <t>ÖSTHAMMAR</t>
        </is>
      </c>
      <c r="G544" t="n">
        <v>29.7</v>
      </c>
      <c r="H544" t="n">
        <v>0</v>
      </c>
      <c r="I544" t="n">
        <v>0</v>
      </c>
      <c r="J544" t="n">
        <v>0</v>
      </c>
      <c r="K544" t="n">
        <v>0</v>
      </c>
      <c r="L544" t="n">
        <v>0</v>
      </c>
      <c r="M544" t="n">
        <v>0</v>
      </c>
      <c r="N544" t="n">
        <v>0</v>
      </c>
      <c r="O544" t="n">
        <v>0</v>
      </c>
      <c r="P544" t="n">
        <v>0</v>
      </c>
      <c r="Q544" t="n">
        <v>0</v>
      </c>
      <c r="R544" s="2" t="inlineStr"/>
    </row>
    <row r="545" ht="15" customHeight="1">
      <c r="A545" t="inlineStr">
        <is>
          <t>A 31549-2022</t>
        </is>
      </c>
      <c r="B545" s="1" t="n">
        <v>44775</v>
      </c>
      <c r="C545" s="1" t="n">
        <v>45628</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31669-2022</t>
        </is>
      </c>
      <c r="B546" s="1" t="n">
        <v>44775</v>
      </c>
      <c r="C546" s="1" t="n">
        <v>45628</v>
      </c>
      <c r="D546" t="inlineStr">
        <is>
          <t>UPPSALA LÄN</t>
        </is>
      </c>
      <c r="E546" t="inlineStr">
        <is>
          <t>ÖSTHAMMAR</t>
        </is>
      </c>
      <c r="G546" t="n">
        <v>6</v>
      </c>
      <c r="H546" t="n">
        <v>0</v>
      </c>
      <c r="I546" t="n">
        <v>0</v>
      </c>
      <c r="J546" t="n">
        <v>0</v>
      </c>
      <c r="K546" t="n">
        <v>0</v>
      </c>
      <c r="L546" t="n">
        <v>0</v>
      </c>
      <c r="M546" t="n">
        <v>0</v>
      </c>
      <c r="N546" t="n">
        <v>0</v>
      </c>
      <c r="O546" t="n">
        <v>0</v>
      </c>
      <c r="P546" t="n">
        <v>0</v>
      </c>
      <c r="Q546" t="n">
        <v>0</v>
      </c>
      <c r="R546" s="2" t="inlineStr"/>
    </row>
    <row r="547" ht="15" customHeight="1">
      <c r="A547" t="inlineStr">
        <is>
          <t>A 32678-2022</t>
        </is>
      </c>
      <c r="B547" s="1" t="n">
        <v>44783</v>
      </c>
      <c r="C547" s="1" t="n">
        <v>45628</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32742-2022</t>
        </is>
      </c>
      <c r="B548" s="1" t="n">
        <v>44783</v>
      </c>
      <c r="C548" s="1" t="n">
        <v>45628</v>
      </c>
      <c r="D548" t="inlineStr">
        <is>
          <t>UPPSALA LÄN</t>
        </is>
      </c>
      <c r="E548" t="inlineStr">
        <is>
          <t>ÖSTHAMMAR</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32744-2022</t>
        </is>
      </c>
      <c r="B549" s="1" t="n">
        <v>44783</v>
      </c>
      <c r="C549" s="1" t="n">
        <v>45628</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34418-2022</t>
        </is>
      </c>
      <c r="B550" s="1" t="n">
        <v>44792</v>
      </c>
      <c r="C550" s="1" t="n">
        <v>45628</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34742-2022</t>
        </is>
      </c>
      <c r="B551" s="1" t="n">
        <v>44795</v>
      </c>
      <c r="C551" s="1" t="n">
        <v>45628</v>
      </c>
      <c r="D551" t="inlineStr">
        <is>
          <t>UPPSALA LÄN</t>
        </is>
      </c>
      <c r="E551" t="inlineStr">
        <is>
          <t>ÖSTHAMMAR</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34971-2022</t>
        </is>
      </c>
      <c r="B552" s="1" t="n">
        <v>44796</v>
      </c>
      <c r="C552" s="1" t="n">
        <v>45628</v>
      </c>
      <c r="D552" t="inlineStr">
        <is>
          <t>UPPSALA LÄN</t>
        </is>
      </c>
      <c r="E552" t="inlineStr">
        <is>
          <t>ÖSTHAMMAR</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34994-2022</t>
        </is>
      </c>
      <c r="B553" s="1" t="n">
        <v>44796</v>
      </c>
      <c r="C553" s="1" t="n">
        <v>45628</v>
      </c>
      <c r="D553" t="inlineStr">
        <is>
          <t>UPPSALA LÄN</t>
        </is>
      </c>
      <c r="E553" t="inlineStr">
        <is>
          <t>ÖSTHAMMAR</t>
        </is>
      </c>
      <c r="F553" t="inlineStr">
        <is>
          <t>Bergvik skog öst AB</t>
        </is>
      </c>
      <c r="G553" t="n">
        <v>3.7</v>
      </c>
      <c r="H553" t="n">
        <v>0</v>
      </c>
      <c r="I553" t="n">
        <v>0</v>
      </c>
      <c r="J553" t="n">
        <v>0</v>
      </c>
      <c r="K553" t="n">
        <v>0</v>
      </c>
      <c r="L553" t="n">
        <v>0</v>
      </c>
      <c r="M553" t="n">
        <v>0</v>
      </c>
      <c r="N553" t="n">
        <v>0</v>
      </c>
      <c r="O553" t="n">
        <v>0</v>
      </c>
      <c r="P553" t="n">
        <v>0</v>
      </c>
      <c r="Q553" t="n">
        <v>0</v>
      </c>
      <c r="R553" s="2" t="inlineStr"/>
    </row>
    <row r="554" ht="15" customHeight="1">
      <c r="A554" t="inlineStr">
        <is>
          <t>A 36343-2022</t>
        </is>
      </c>
      <c r="B554" s="1" t="n">
        <v>44803</v>
      </c>
      <c r="C554" s="1" t="n">
        <v>45628</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36873-2022</t>
        </is>
      </c>
      <c r="B555" s="1" t="n">
        <v>44805</v>
      </c>
      <c r="C555" s="1" t="n">
        <v>45628</v>
      </c>
      <c r="D555" t="inlineStr">
        <is>
          <t>UPPSALA LÄN</t>
        </is>
      </c>
      <c r="E555" t="inlineStr">
        <is>
          <t>ÖSTHAMMAR</t>
        </is>
      </c>
      <c r="G555" t="n">
        <v>2.5</v>
      </c>
      <c r="H555" t="n">
        <v>0</v>
      </c>
      <c r="I555" t="n">
        <v>0</v>
      </c>
      <c r="J555" t="n">
        <v>0</v>
      </c>
      <c r="K555" t="n">
        <v>0</v>
      </c>
      <c r="L555" t="n">
        <v>0</v>
      </c>
      <c r="M555" t="n">
        <v>0</v>
      </c>
      <c r="N555" t="n">
        <v>0</v>
      </c>
      <c r="O555" t="n">
        <v>0</v>
      </c>
      <c r="P555" t="n">
        <v>0</v>
      </c>
      <c r="Q555" t="n">
        <v>0</v>
      </c>
      <c r="R555" s="2" t="inlineStr"/>
    </row>
    <row r="556" ht="15" customHeight="1">
      <c r="A556" t="inlineStr">
        <is>
          <t>A 37545-2022</t>
        </is>
      </c>
      <c r="B556" s="1" t="n">
        <v>44809</v>
      </c>
      <c r="C556" s="1" t="n">
        <v>45628</v>
      </c>
      <c r="D556" t="inlineStr">
        <is>
          <t>UPPSALA LÄN</t>
        </is>
      </c>
      <c r="E556" t="inlineStr">
        <is>
          <t>ÖSTHAMMAR</t>
        </is>
      </c>
      <c r="G556" t="n">
        <v>3.1</v>
      </c>
      <c r="H556" t="n">
        <v>0</v>
      </c>
      <c r="I556" t="n">
        <v>0</v>
      </c>
      <c r="J556" t="n">
        <v>0</v>
      </c>
      <c r="K556" t="n">
        <v>0</v>
      </c>
      <c r="L556" t="n">
        <v>0</v>
      </c>
      <c r="M556" t="n">
        <v>0</v>
      </c>
      <c r="N556" t="n">
        <v>0</v>
      </c>
      <c r="O556" t="n">
        <v>0</v>
      </c>
      <c r="P556" t="n">
        <v>0</v>
      </c>
      <c r="Q556" t="n">
        <v>0</v>
      </c>
      <c r="R556" s="2" t="inlineStr"/>
    </row>
    <row r="557" ht="15" customHeight="1">
      <c r="A557" t="inlineStr">
        <is>
          <t>A 37570-2022</t>
        </is>
      </c>
      <c r="B557" s="1" t="n">
        <v>44809</v>
      </c>
      <c r="C557" s="1" t="n">
        <v>45628</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37813-2022</t>
        </is>
      </c>
      <c r="B558" s="1" t="n">
        <v>44810</v>
      </c>
      <c r="C558" s="1" t="n">
        <v>45628</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37812-2022</t>
        </is>
      </c>
      <c r="B559" s="1" t="n">
        <v>44810</v>
      </c>
      <c r="C559" s="1" t="n">
        <v>45628</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38442-2022</t>
        </is>
      </c>
      <c r="B560" s="1" t="n">
        <v>44813</v>
      </c>
      <c r="C560" s="1" t="n">
        <v>45628</v>
      </c>
      <c r="D560" t="inlineStr">
        <is>
          <t>UPPSALA LÄN</t>
        </is>
      </c>
      <c r="E560" t="inlineStr">
        <is>
          <t>ÖSTHAMMAR</t>
        </is>
      </c>
      <c r="F560" t="inlineStr">
        <is>
          <t>Kyrkan</t>
        </is>
      </c>
      <c r="G560" t="n">
        <v>2.9</v>
      </c>
      <c r="H560" t="n">
        <v>0</v>
      </c>
      <c r="I560" t="n">
        <v>0</v>
      </c>
      <c r="J560" t="n">
        <v>0</v>
      </c>
      <c r="K560" t="n">
        <v>0</v>
      </c>
      <c r="L560" t="n">
        <v>0</v>
      </c>
      <c r="M560" t="n">
        <v>0</v>
      </c>
      <c r="N560" t="n">
        <v>0</v>
      </c>
      <c r="O560" t="n">
        <v>0</v>
      </c>
      <c r="P560" t="n">
        <v>0</v>
      </c>
      <c r="Q560" t="n">
        <v>0</v>
      </c>
      <c r="R560" s="2" t="inlineStr"/>
    </row>
    <row r="561" ht="15" customHeight="1">
      <c r="A561" t="inlineStr">
        <is>
          <t>A 38501-2022</t>
        </is>
      </c>
      <c r="B561" s="1" t="n">
        <v>44813</v>
      </c>
      <c r="C561" s="1" t="n">
        <v>45628</v>
      </c>
      <c r="D561" t="inlineStr">
        <is>
          <t>UPPSALA LÄN</t>
        </is>
      </c>
      <c r="E561" t="inlineStr">
        <is>
          <t>ÖSTHAMMAR</t>
        </is>
      </c>
      <c r="F561" t="inlineStr">
        <is>
          <t>Bergvik skog öst AB</t>
        </is>
      </c>
      <c r="G561" t="n">
        <v>2.2</v>
      </c>
      <c r="H561" t="n">
        <v>0</v>
      </c>
      <c r="I561" t="n">
        <v>0</v>
      </c>
      <c r="J561" t="n">
        <v>0</v>
      </c>
      <c r="K561" t="n">
        <v>0</v>
      </c>
      <c r="L561" t="n">
        <v>0</v>
      </c>
      <c r="M561" t="n">
        <v>0</v>
      </c>
      <c r="N561" t="n">
        <v>0</v>
      </c>
      <c r="O561" t="n">
        <v>0</v>
      </c>
      <c r="P561" t="n">
        <v>0</v>
      </c>
      <c r="Q561" t="n">
        <v>0</v>
      </c>
      <c r="R561" s="2" t="inlineStr"/>
    </row>
    <row r="562" ht="15" customHeight="1">
      <c r="A562" t="inlineStr">
        <is>
          <t>A 38702-2022</t>
        </is>
      </c>
      <c r="B562" s="1" t="n">
        <v>44814</v>
      </c>
      <c r="C562" s="1" t="n">
        <v>45628</v>
      </c>
      <c r="D562" t="inlineStr">
        <is>
          <t>UPPSALA LÄN</t>
        </is>
      </c>
      <c r="E562" t="inlineStr">
        <is>
          <t>ÖSTHAMMAR</t>
        </is>
      </c>
      <c r="G562" t="n">
        <v>1.2</v>
      </c>
      <c r="H562" t="n">
        <v>0</v>
      </c>
      <c r="I562" t="n">
        <v>0</v>
      </c>
      <c r="J562" t="n">
        <v>0</v>
      </c>
      <c r="K562" t="n">
        <v>0</v>
      </c>
      <c r="L562" t="n">
        <v>0</v>
      </c>
      <c r="M562" t="n">
        <v>0</v>
      </c>
      <c r="N562" t="n">
        <v>0</v>
      </c>
      <c r="O562" t="n">
        <v>0</v>
      </c>
      <c r="P562" t="n">
        <v>0</v>
      </c>
      <c r="Q562" t="n">
        <v>0</v>
      </c>
      <c r="R562" s="2" t="inlineStr"/>
    </row>
    <row r="563" ht="15" customHeight="1">
      <c r="A563" t="inlineStr">
        <is>
          <t>A 39480-2022</t>
        </is>
      </c>
      <c r="B563" s="1" t="n">
        <v>44818</v>
      </c>
      <c r="C563" s="1" t="n">
        <v>45628</v>
      </c>
      <c r="D563" t="inlineStr">
        <is>
          <t>UPPSALA LÄN</t>
        </is>
      </c>
      <c r="E563" t="inlineStr">
        <is>
          <t>ÖSTHAMMAR</t>
        </is>
      </c>
      <c r="F563" t="inlineStr">
        <is>
          <t>Bergvik skog öst AB</t>
        </is>
      </c>
      <c r="G563" t="n">
        <v>2.4</v>
      </c>
      <c r="H563" t="n">
        <v>0</v>
      </c>
      <c r="I563" t="n">
        <v>0</v>
      </c>
      <c r="J563" t="n">
        <v>0</v>
      </c>
      <c r="K563" t="n">
        <v>0</v>
      </c>
      <c r="L563" t="n">
        <v>0</v>
      </c>
      <c r="M563" t="n">
        <v>0</v>
      </c>
      <c r="N563" t="n">
        <v>0</v>
      </c>
      <c r="O563" t="n">
        <v>0</v>
      </c>
      <c r="P563" t="n">
        <v>0</v>
      </c>
      <c r="Q563" t="n">
        <v>0</v>
      </c>
      <c r="R563" s="2" t="inlineStr"/>
    </row>
    <row r="564" ht="15" customHeight="1">
      <c r="A564" t="inlineStr">
        <is>
          <t>A 40336-2022</t>
        </is>
      </c>
      <c r="B564" s="1" t="n">
        <v>44823</v>
      </c>
      <c r="C564" s="1" t="n">
        <v>45628</v>
      </c>
      <c r="D564" t="inlineStr">
        <is>
          <t>UPPSALA LÄN</t>
        </is>
      </c>
      <c r="E564" t="inlineStr">
        <is>
          <t>ÖSTHAMMAR</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40637-2022</t>
        </is>
      </c>
      <c r="B565" s="1" t="n">
        <v>44824</v>
      </c>
      <c r="C565" s="1" t="n">
        <v>45628</v>
      </c>
      <c r="D565" t="inlineStr">
        <is>
          <t>UPPSALA LÄN</t>
        </is>
      </c>
      <c r="E565" t="inlineStr">
        <is>
          <t>ÖSTHAMMAR</t>
        </is>
      </c>
      <c r="F565" t="inlineStr">
        <is>
          <t>Övriga Aktiebolag</t>
        </is>
      </c>
      <c r="G565" t="n">
        <v>3.7</v>
      </c>
      <c r="H565" t="n">
        <v>0</v>
      </c>
      <c r="I565" t="n">
        <v>0</v>
      </c>
      <c r="J565" t="n">
        <v>0</v>
      </c>
      <c r="K565" t="n">
        <v>0</v>
      </c>
      <c r="L565" t="n">
        <v>0</v>
      </c>
      <c r="M565" t="n">
        <v>0</v>
      </c>
      <c r="N565" t="n">
        <v>0</v>
      </c>
      <c r="O565" t="n">
        <v>0</v>
      </c>
      <c r="P565" t="n">
        <v>0</v>
      </c>
      <c r="Q565" t="n">
        <v>0</v>
      </c>
      <c r="R565" s="2" t="inlineStr"/>
    </row>
    <row r="566" ht="15" customHeight="1">
      <c r="A566" t="inlineStr">
        <is>
          <t>A 40681-2022</t>
        </is>
      </c>
      <c r="B566" s="1" t="n">
        <v>44824</v>
      </c>
      <c r="C566" s="1" t="n">
        <v>45628</v>
      </c>
      <c r="D566" t="inlineStr">
        <is>
          <t>UPPSALA LÄN</t>
        </is>
      </c>
      <c r="E566" t="inlineStr">
        <is>
          <t>ÖSTHAMMAR</t>
        </is>
      </c>
      <c r="G566" t="n">
        <v>1.7</v>
      </c>
      <c r="H566" t="n">
        <v>0</v>
      </c>
      <c r="I566" t="n">
        <v>0</v>
      </c>
      <c r="J566" t="n">
        <v>0</v>
      </c>
      <c r="K566" t="n">
        <v>0</v>
      </c>
      <c r="L566" t="n">
        <v>0</v>
      </c>
      <c r="M566" t="n">
        <v>0</v>
      </c>
      <c r="N566" t="n">
        <v>0</v>
      </c>
      <c r="O566" t="n">
        <v>0</v>
      </c>
      <c r="P566" t="n">
        <v>0</v>
      </c>
      <c r="Q566" t="n">
        <v>0</v>
      </c>
      <c r="R566" s="2" t="inlineStr"/>
    </row>
    <row r="567" ht="15" customHeight="1">
      <c r="A567" t="inlineStr">
        <is>
          <t>A 41033-2022</t>
        </is>
      </c>
      <c r="B567" s="1" t="n">
        <v>44825</v>
      </c>
      <c r="C567" s="1" t="n">
        <v>45628</v>
      </c>
      <c r="D567" t="inlineStr">
        <is>
          <t>UPPSALA LÄN</t>
        </is>
      </c>
      <c r="E567" t="inlineStr">
        <is>
          <t>ÖSTHAMMAR</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41423-2022</t>
        </is>
      </c>
      <c r="B568" s="1" t="n">
        <v>44826</v>
      </c>
      <c r="C568" s="1" t="n">
        <v>45628</v>
      </c>
      <c r="D568" t="inlineStr">
        <is>
          <t>UPPSALA LÄN</t>
        </is>
      </c>
      <c r="E568" t="inlineStr">
        <is>
          <t>ÖSTHAMMAR</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44020-2022</t>
        </is>
      </c>
      <c r="B569" s="1" t="n">
        <v>44838</v>
      </c>
      <c r="C569" s="1" t="n">
        <v>45628</v>
      </c>
      <c r="D569" t="inlineStr">
        <is>
          <t>UPPSALA LÄN</t>
        </is>
      </c>
      <c r="E569" t="inlineStr">
        <is>
          <t>ÖSTHAMMAR</t>
        </is>
      </c>
      <c r="F569" t="inlineStr">
        <is>
          <t>Bergvik skog öst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44019-2022</t>
        </is>
      </c>
      <c r="B570" s="1" t="n">
        <v>44838</v>
      </c>
      <c r="C570" s="1" t="n">
        <v>45628</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44354-2022</t>
        </is>
      </c>
      <c r="B571" s="1" t="n">
        <v>44839</v>
      </c>
      <c r="C571" s="1" t="n">
        <v>45628</v>
      </c>
      <c r="D571" t="inlineStr">
        <is>
          <t>UPPSALA LÄN</t>
        </is>
      </c>
      <c r="E571" t="inlineStr">
        <is>
          <t>ÖSTHAMMAR</t>
        </is>
      </c>
      <c r="G571" t="n">
        <v>5.4</v>
      </c>
      <c r="H571" t="n">
        <v>0</v>
      </c>
      <c r="I571" t="n">
        <v>0</v>
      </c>
      <c r="J571" t="n">
        <v>0</v>
      </c>
      <c r="K571" t="n">
        <v>0</v>
      </c>
      <c r="L571" t="n">
        <v>0</v>
      </c>
      <c r="M571" t="n">
        <v>0</v>
      </c>
      <c r="N571" t="n">
        <v>0</v>
      </c>
      <c r="O571" t="n">
        <v>0</v>
      </c>
      <c r="P571" t="n">
        <v>0</v>
      </c>
      <c r="Q571" t="n">
        <v>0</v>
      </c>
      <c r="R571" s="2" t="inlineStr"/>
    </row>
    <row r="572" ht="15" customHeight="1">
      <c r="A572" t="inlineStr">
        <is>
          <t>A 44366-2022</t>
        </is>
      </c>
      <c r="B572" s="1" t="n">
        <v>44839</v>
      </c>
      <c r="C572" s="1" t="n">
        <v>45628</v>
      </c>
      <c r="D572" t="inlineStr">
        <is>
          <t>UPPSALA LÄN</t>
        </is>
      </c>
      <c r="E572" t="inlineStr">
        <is>
          <t>ÖSTHAMMAR</t>
        </is>
      </c>
      <c r="G572" t="n">
        <v>8.1</v>
      </c>
      <c r="H572" t="n">
        <v>0</v>
      </c>
      <c r="I572" t="n">
        <v>0</v>
      </c>
      <c r="J572" t="n">
        <v>0</v>
      </c>
      <c r="K572" t="n">
        <v>0</v>
      </c>
      <c r="L572" t="n">
        <v>0</v>
      </c>
      <c r="M572" t="n">
        <v>0</v>
      </c>
      <c r="N572" t="n">
        <v>0</v>
      </c>
      <c r="O572" t="n">
        <v>0</v>
      </c>
      <c r="P572" t="n">
        <v>0</v>
      </c>
      <c r="Q572" t="n">
        <v>0</v>
      </c>
      <c r="R572" s="2" t="inlineStr"/>
    </row>
    <row r="573" ht="15" customHeight="1">
      <c r="A573" t="inlineStr">
        <is>
          <t>A 44184-2022</t>
        </is>
      </c>
      <c r="B573" s="1" t="n">
        <v>44839</v>
      </c>
      <c r="C573" s="1" t="n">
        <v>45628</v>
      </c>
      <c r="D573" t="inlineStr">
        <is>
          <t>UPPSALA LÄN</t>
        </is>
      </c>
      <c r="E573" t="inlineStr">
        <is>
          <t>ÖSTHAMMAR</t>
        </is>
      </c>
      <c r="G573" t="n">
        <v>4.2</v>
      </c>
      <c r="H573" t="n">
        <v>0</v>
      </c>
      <c r="I573" t="n">
        <v>0</v>
      </c>
      <c r="J573" t="n">
        <v>0</v>
      </c>
      <c r="K573" t="n">
        <v>0</v>
      </c>
      <c r="L573" t="n">
        <v>0</v>
      </c>
      <c r="M573" t="n">
        <v>0</v>
      </c>
      <c r="N573" t="n">
        <v>0</v>
      </c>
      <c r="O573" t="n">
        <v>0</v>
      </c>
      <c r="P573" t="n">
        <v>0</v>
      </c>
      <c r="Q573" t="n">
        <v>0</v>
      </c>
      <c r="R573" s="2" t="inlineStr"/>
    </row>
    <row r="574" ht="15" customHeight="1">
      <c r="A574" t="inlineStr">
        <is>
          <t>A 44617-2022</t>
        </is>
      </c>
      <c r="B574" s="1" t="n">
        <v>44840</v>
      </c>
      <c r="C574" s="1" t="n">
        <v>45628</v>
      </c>
      <c r="D574" t="inlineStr">
        <is>
          <t>UPPSALA LÄN</t>
        </is>
      </c>
      <c r="E574" t="inlineStr">
        <is>
          <t>ÖSTHAMMAR</t>
        </is>
      </c>
      <c r="G574" t="n">
        <v>1.3</v>
      </c>
      <c r="H574" t="n">
        <v>0</v>
      </c>
      <c r="I574" t="n">
        <v>0</v>
      </c>
      <c r="J574" t="n">
        <v>0</v>
      </c>
      <c r="K574" t="n">
        <v>0</v>
      </c>
      <c r="L574" t="n">
        <v>0</v>
      </c>
      <c r="M574" t="n">
        <v>0</v>
      </c>
      <c r="N574" t="n">
        <v>0</v>
      </c>
      <c r="O574" t="n">
        <v>0</v>
      </c>
      <c r="P574" t="n">
        <v>0</v>
      </c>
      <c r="Q574" t="n">
        <v>0</v>
      </c>
      <c r="R574" s="2" t="inlineStr"/>
    </row>
    <row r="575" ht="15" customHeight="1">
      <c r="A575" t="inlineStr">
        <is>
          <t>A 44945-2022</t>
        </is>
      </c>
      <c r="B575" s="1" t="n">
        <v>44841</v>
      </c>
      <c r="C575" s="1" t="n">
        <v>45628</v>
      </c>
      <c r="D575" t="inlineStr">
        <is>
          <t>UPPSALA LÄN</t>
        </is>
      </c>
      <c r="E575" t="inlineStr">
        <is>
          <t>ÖSTHAMMAR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44815-2022</t>
        </is>
      </c>
      <c r="B576" s="1" t="n">
        <v>44841</v>
      </c>
      <c r="C576" s="1" t="n">
        <v>45628</v>
      </c>
      <c r="D576" t="inlineStr">
        <is>
          <t>UPPSALA LÄN</t>
        </is>
      </c>
      <c r="E576" t="inlineStr">
        <is>
          <t>ÖSTHAMMAR</t>
        </is>
      </c>
      <c r="G576" t="n">
        <v>1.8</v>
      </c>
      <c r="H576" t="n">
        <v>0</v>
      </c>
      <c r="I576" t="n">
        <v>0</v>
      </c>
      <c r="J576" t="n">
        <v>0</v>
      </c>
      <c r="K576" t="n">
        <v>0</v>
      </c>
      <c r="L576" t="n">
        <v>0</v>
      </c>
      <c r="M576" t="n">
        <v>0</v>
      </c>
      <c r="N576" t="n">
        <v>0</v>
      </c>
      <c r="O576" t="n">
        <v>0</v>
      </c>
      <c r="P576" t="n">
        <v>0</v>
      </c>
      <c r="Q576" t="n">
        <v>0</v>
      </c>
      <c r="R576" s="2" t="inlineStr"/>
    </row>
    <row r="577" ht="15" customHeight="1">
      <c r="A577" t="inlineStr">
        <is>
          <t>A 45788-2022</t>
        </is>
      </c>
      <c r="B577" s="1" t="n">
        <v>44846</v>
      </c>
      <c r="C577" s="1" t="n">
        <v>45628</v>
      </c>
      <c r="D577" t="inlineStr">
        <is>
          <t>UPPSALA LÄN</t>
        </is>
      </c>
      <c r="E577" t="inlineStr">
        <is>
          <t>ÖSTHAMMAR</t>
        </is>
      </c>
      <c r="F577" t="inlineStr">
        <is>
          <t>Övriga Aktiebolag</t>
        </is>
      </c>
      <c r="G577" t="n">
        <v>3.3</v>
      </c>
      <c r="H577" t="n">
        <v>0</v>
      </c>
      <c r="I577" t="n">
        <v>0</v>
      </c>
      <c r="J577" t="n">
        <v>0</v>
      </c>
      <c r="K577" t="n">
        <v>0</v>
      </c>
      <c r="L577" t="n">
        <v>0</v>
      </c>
      <c r="M577" t="n">
        <v>0</v>
      </c>
      <c r="N577" t="n">
        <v>0</v>
      </c>
      <c r="O577" t="n">
        <v>0</v>
      </c>
      <c r="P577" t="n">
        <v>0</v>
      </c>
      <c r="Q577" t="n">
        <v>0</v>
      </c>
      <c r="R577" s="2" t="inlineStr"/>
    </row>
    <row r="578" ht="15" customHeight="1">
      <c r="A578" t="inlineStr">
        <is>
          <t>A 46448-2022</t>
        </is>
      </c>
      <c r="B578" s="1" t="n">
        <v>44848</v>
      </c>
      <c r="C578" s="1" t="n">
        <v>45628</v>
      </c>
      <c r="D578" t="inlineStr">
        <is>
          <t>UPPSALA LÄN</t>
        </is>
      </c>
      <c r="E578" t="inlineStr">
        <is>
          <t>ÖSTHAMMAR</t>
        </is>
      </c>
      <c r="G578" t="n">
        <v>2.6</v>
      </c>
      <c r="H578" t="n">
        <v>0</v>
      </c>
      <c r="I578" t="n">
        <v>0</v>
      </c>
      <c r="J578" t="n">
        <v>0</v>
      </c>
      <c r="K578" t="n">
        <v>0</v>
      </c>
      <c r="L578" t="n">
        <v>0</v>
      </c>
      <c r="M578" t="n">
        <v>0</v>
      </c>
      <c r="N578" t="n">
        <v>0</v>
      </c>
      <c r="O578" t="n">
        <v>0</v>
      </c>
      <c r="P578" t="n">
        <v>0</v>
      </c>
      <c r="Q578" t="n">
        <v>0</v>
      </c>
      <c r="R578" s="2" t="inlineStr"/>
    </row>
    <row r="579" ht="15" customHeight="1">
      <c r="A579" t="inlineStr">
        <is>
          <t>A 46915-2022</t>
        </is>
      </c>
      <c r="B579" s="1" t="n">
        <v>44851</v>
      </c>
      <c r="C579" s="1" t="n">
        <v>45628</v>
      </c>
      <c r="D579" t="inlineStr">
        <is>
          <t>UPPSALA LÄN</t>
        </is>
      </c>
      <c r="E579" t="inlineStr">
        <is>
          <t>ÖSTHAMMAR</t>
        </is>
      </c>
      <c r="F579" t="inlineStr">
        <is>
          <t>Bergvik skog öst AB</t>
        </is>
      </c>
      <c r="G579" t="n">
        <v>7.9</v>
      </c>
      <c r="H579" t="n">
        <v>0</v>
      </c>
      <c r="I579" t="n">
        <v>0</v>
      </c>
      <c r="J579" t="n">
        <v>0</v>
      </c>
      <c r="K579" t="n">
        <v>0</v>
      </c>
      <c r="L579" t="n">
        <v>0</v>
      </c>
      <c r="M579" t="n">
        <v>0</v>
      </c>
      <c r="N579" t="n">
        <v>0</v>
      </c>
      <c r="O579" t="n">
        <v>0</v>
      </c>
      <c r="P579" t="n">
        <v>0</v>
      </c>
      <c r="Q579" t="n">
        <v>0</v>
      </c>
      <c r="R579" s="2" t="inlineStr"/>
    </row>
    <row r="580" ht="15" customHeight="1">
      <c r="A580" t="inlineStr">
        <is>
          <t>A 47163-2022</t>
        </is>
      </c>
      <c r="B580" s="1" t="n">
        <v>44852</v>
      </c>
      <c r="C580" s="1" t="n">
        <v>45628</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48191-2022</t>
        </is>
      </c>
      <c r="B581" s="1" t="n">
        <v>44858</v>
      </c>
      <c r="C581" s="1" t="n">
        <v>45628</v>
      </c>
      <c r="D581" t="inlineStr">
        <is>
          <t>UPPSALA LÄN</t>
        </is>
      </c>
      <c r="E581" t="inlineStr">
        <is>
          <t>ÖSTHAMMAR</t>
        </is>
      </c>
      <c r="G581" t="n">
        <v>3.4</v>
      </c>
      <c r="H581" t="n">
        <v>0</v>
      </c>
      <c r="I581" t="n">
        <v>0</v>
      </c>
      <c r="J581" t="n">
        <v>0</v>
      </c>
      <c r="K581" t="n">
        <v>0</v>
      </c>
      <c r="L581" t="n">
        <v>0</v>
      </c>
      <c r="M581" t="n">
        <v>0</v>
      </c>
      <c r="N581" t="n">
        <v>0</v>
      </c>
      <c r="O581" t="n">
        <v>0</v>
      </c>
      <c r="P581" t="n">
        <v>0</v>
      </c>
      <c r="Q581" t="n">
        <v>0</v>
      </c>
      <c r="R581" s="2" t="inlineStr"/>
    </row>
    <row r="582" ht="15" customHeight="1">
      <c r="A582" t="inlineStr">
        <is>
          <t>A 48231-2022</t>
        </is>
      </c>
      <c r="B582" s="1" t="n">
        <v>44858</v>
      </c>
      <c r="C582" s="1" t="n">
        <v>45628</v>
      </c>
      <c r="D582" t="inlineStr">
        <is>
          <t>UPPSALA LÄN</t>
        </is>
      </c>
      <c r="E582" t="inlineStr">
        <is>
          <t>ÖSTHAMMAR</t>
        </is>
      </c>
      <c r="G582" t="n">
        <v>1.1</v>
      </c>
      <c r="H582" t="n">
        <v>0</v>
      </c>
      <c r="I582" t="n">
        <v>0</v>
      </c>
      <c r="J582" t="n">
        <v>0</v>
      </c>
      <c r="K582" t="n">
        <v>0</v>
      </c>
      <c r="L582" t="n">
        <v>0</v>
      </c>
      <c r="M582" t="n">
        <v>0</v>
      </c>
      <c r="N582" t="n">
        <v>0</v>
      </c>
      <c r="O582" t="n">
        <v>0</v>
      </c>
      <c r="P582" t="n">
        <v>0</v>
      </c>
      <c r="Q582" t="n">
        <v>0</v>
      </c>
      <c r="R582" s="2" t="inlineStr"/>
    </row>
    <row r="583" ht="15" customHeight="1">
      <c r="A583" t="inlineStr">
        <is>
          <t>A 49097-2022</t>
        </is>
      </c>
      <c r="B583" s="1" t="n">
        <v>44860</v>
      </c>
      <c r="C583" s="1" t="n">
        <v>45628</v>
      </c>
      <c r="D583" t="inlineStr">
        <is>
          <t>UPPSALA LÄN</t>
        </is>
      </c>
      <c r="E583" t="inlineStr">
        <is>
          <t>ÖSTHAMMAR</t>
        </is>
      </c>
      <c r="G583" t="n">
        <v>6.9</v>
      </c>
      <c r="H583" t="n">
        <v>0</v>
      </c>
      <c r="I583" t="n">
        <v>0</v>
      </c>
      <c r="J583" t="n">
        <v>0</v>
      </c>
      <c r="K583" t="n">
        <v>0</v>
      </c>
      <c r="L583" t="n">
        <v>0</v>
      </c>
      <c r="M583" t="n">
        <v>0</v>
      </c>
      <c r="N583" t="n">
        <v>0</v>
      </c>
      <c r="O583" t="n">
        <v>0</v>
      </c>
      <c r="P583" t="n">
        <v>0</v>
      </c>
      <c r="Q583" t="n">
        <v>0</v>
      </c>
      <c r="R583" s="2" t="inlineStr"/>
    </row>
    <row r="584" ht="15" customHeight="1">
      <c r="A584" t="inlineStr">
        <is>
          <t>A 49334-2022</t>
        </is>
      </c>
      <c r="B584" s="1" t="n">
        <v>44861</v>
      </c>
      <c r="C584" s="1" t="n">
        <v>45628</v>
      </c>
      <c r="D584" t="inlineStr">
        <is>
          <t>UPPSALA LÄN</t>
        </is>
      </c>
      <c r="E584" t="inlineStr">
        <is>
          <t>ÖSTHAMMAR</t>
        </is>
      </c>
      <c r="G584" t="n">
        <v>3.5</v>
      </c>
      <c r="H584" t="n">
        <v>0</v>
      </c>
      <c r="I584" t="n">
        <v>0</v>
      </c>
      <c r="J584" t="n">
        <v>0</v>
      </c>
      <c r="K584" t="n">
        <v>0</v>
      </c>
      <c r="L584" t="n">
        <v>0</v>
      </c>
      <c r="M584" t="n">
        <v>0</v>
      </c>
      <c r="N584" t="n">
        <v>0</v>
      </c>
      <c r="O584" t="n">
        <v>0</v>
      </c>
      <c r="P584" t="n">
        <v>0</v>
      </c>
      <c r="Q584" t="n">
        <v>0</v>
      </c>
      <c r="R584" s="2" t="inlineStr"/>
    </row>
    <row r="585" ht="15" customHeight="1">
      <c r="A585" t="inlineStr">
        <is>
          <t>A 49914-2022</t>
        </is>
      </c>
      <c r="B585" s="1" t="n">
        <v>44865</v>
      </c>
      <c r="C585" s="1" t="n">
        <v>45628</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50576-2022</t>
        </is>
      </c>
      <c r="B586" s="1" t="n">
        <v>44866</v>
      </c>
      <c r="C586" s="1" t="n">
        <v>45628</v>
      </c>
      <c r="D586" t="inlineStr">
        <is>
          <t>UPPSALA LÄN</t>
        </is>
      </c>
      <c r="E586" t="inlineStr">
        <is>
          <t>ÖSTHAMMAR</t>
        </is>
      </c>
      <c r="G586" t="n">
        <v>1.3</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45628</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51696-2022</t>
        </is>
      </c>
      <c r="B588" s="1" t="n">
        <v>44872</v>
      </c>
      <c r="C588" s="1" t="n">
        <v>45628</v>
      </c>
      <c r="D588" t="inlineStr">
        <is>
          <t>UPPSALA LÄN</t>
        </is>
      </c>
      <c r="E588" t="inlineStr">
        <is>
          <t>ÖSTHAMMAR</t>
        </is>
      </c>
      <c r="G588" t="n">
        <v>0.6</v>
      </c>
      <c r="H588" t="n">
        <v>0</v>
      </c>
      <c r="I588" t="n">
        <v>0</v>
      </c>
      <c r="J588" t="n">
        <v>0</v>
      </c>
      <c r="K588" t="n">
        <v>0</v>
      </c>
      <c r="L588" t="n">
        <v>0</v>
      </c>
      <c r="M588" t="n">
        <v>0</v>
      </c>
      <c r="N588" t="n">
        <v>0</v>
      </c>
      <c r="O588" t="n">
        <v>0</v>
      </c>
      <c r="P588" t="n">
        <v>0</v>
      </c>
      <c r="Q588" t="n">
        <v>0</v>
      </c>
      <c r="R588" s="2" t="inlineStr"/>
    </row>
    <row r="589" ht="15" customHeight="1">
      <c r="A589" t="inlineStr">
        <is>
          <t>A 51906-2022</t>
        </is>
      </c>
      <c r="B589" s="1" t="n">
        <v>44872</v>
      </c>
      <c r="C589" s="1" t="n">
        <v>45628</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52265-2022</t>
        </is>
      </c>
      <c r="B590" s="1" t="n">
        <v>44873</v>
      </c>
      <c r="C590" s="1" t="n">
        <v>45628</v>
      </c>
      <c r="D590" t="inlineStr">
        <is>
          <t>UPPSALA LÄN</t>
        </is>
      </c>
      <c r="E590" t="inlineStr">
        <is>
          <t>ÖSTHAMMAR</t>
        </is>
      </c>
      <c r="G590" t="n">
        <v>1</v>
      </c>
      <c r="H590" t="n">
        <v>0</v>
      </c>
      <c r="I590" t="n">
        <v>0</v>
      </c>
      <c r="J590" t="n">
        <v>0</v>
      </c>
      <c r="K590" t="n">
        <v>0</v>
      </c>
      <c r="L590" t="n">
        <v>0</v>
      </c>
      <c r="M590" t="n">
        <v>0</v>
      </c>
      <c r="N590" t="n">
        <v>0</v>
      </c>
      <c r="O590" t="n">
        <v>0</v>
      </c>
      <c r="P590" t="n">
        <v>0</v>
      </c>
      <c r="Q590" t="n">
        <v>0</v>
      </c>
      <c r="R590" s="2" t="inlineStr"/>
    </row>
    <row r="591" ht="15" customHeight="1">
      <c r="A591" t="inlineStr">
        <is>
          <t>A 52255-2022</t>
        </is>
      </c>
      <c r="B591" s="1" t="n">
        <v>44873</v>
      </c>
      <c r="C591" s="1" t="n">
        <v>45628</v>
      </c>
      <c r="D591" t="inlineStr">
        <is>
          <t>UPPSALA LÄN</t>
        </is>
      </c>
      <c r="E591" t="inlineStr">
        <is>
          <t>ÖSTHAMMAR</t>
        </is>
      </c>
      <c r="G591" t="n">
        <v>1.2</v>
      </c>
      <c r="H591" t="n">
        <v>0</v>
      </c>
      <c r="I591" t="n">
        <v>0</v>
      </c>
      <c r="J591" t="n">
        <v>0</v>
      </c>
      <c r="K591" t="n">
        <v>0</v>
      </c>
      <c r="L591" t="n">
        <v>0</v>
      </c>
      <c r="M591" t="n">
        <v>0</v>
      </c>
      <c r="N591" t="n">
        <v>0</v>
      </c>
      <c r="O591" t="n">
        <v>0</v>
      </c>
      <c r="P591" t="n">
        <v>0</v>
      </c>
      <c r="Q591" t="n">
        <v>0</v>
      </c>
      <c r="R591" s="2" t="inlineStr"/>
    </row>
    <row r="592" ht="15" customHeight="1">
      <c r="A592" t="inlineStr">
        <is>
          <t>A 52295-2022</t>
        </is>
      </c>
      <c r="B592" s="1" t="n">
        <v>44873</v>
      </c>
      <c r="C592" s="1" t="n">
        <v>45628</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52652-2022</t>
        </is>
      </c>
      <c r="B593" s="1" t="n">
        <v>44874</v>
      </c>
      <c r="C593" s="1" t="n">
        <v>45628</v>
      </c>
      <c r="D593" t="inlineStr">
        <is>
          <t>UPPSALA LÄN</t>
        </is>
      </c>
      <c r="E593" t="inlineStr">
        <is>
          <t>ÖSTHAMMAR</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52389-2022</t>
        </is>
      </c>
      <c r="B594" s="1" t="n">
        <v>44874</v>
      </c>
      <c r="C594" s="1" t="n">
        <v>45628</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52663-2022</t>
        </is>
      </c>
      <c r="B595" s="1" t="n">
        <v>44874</v>
      </c>
      <c r="C595" s="1" t="n">
        <v>45628</v>
      </c>
      <c r="D595" t="inlineStr">
        <is>
          <t>UPPSALA LÄN</t>
        </is>
      </c>
      <c r="E595" t="inlineStr">
        <is>
          <t>ÖSTHAMMAR</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52650-2022</t>
        </is>
      </c>
      <c r="B596" s="1" t="n">
        <v>44874</v>
      </c>
      <c r="C596" s="1" t="n">
        <v>45628</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52661-2022</t>
        </is>
      </c>
      <c r="B597" s="1" t="n">
        <v>44874</v>
      </c>
      <c r="C597" s="1" t="n">
        <v>45628</v>
      </c>
      <c r="D597" t="inlineStr">
        <is>
          <t>UPPSALA LÄN</t>
        </is>
      </c>
      <c r="E597" t="inlineStr">
        <is>
          <t>ÖSTHAMMAR</t>
        </is>
      </c>
      <c r="F597" t="inlineStr">
        <is>
          <t>Bergvik skog öst AB</t>
        </is>
      </c>
      <c r="G597" t="n">
        <v>0.2</v>
      </c>
      <c r="H597" t="n">
        <v>0</v>
      </c>
      <c r="I597" t="n">
        <v>0</v>
      </c>
      <c r="J597" t="n">
        <v>0</v>
      </c>
      <c r="K597" t="n">
        <v>0</v>
      </c>
      <c r="L597" t="n">
        <v>0</v>
      </c>
      <c r="M597" t="n">
        <v>0</v>
      </c>
      <c r="N597" t="n">
        <v>0</v>
      </c>
      <c r="O597" t="n">
        <v>0</v>
      </c>
      <c r="P597" t="n">
        <v>0</v>
      </c>
      <c r="Q597" t="n">
        <v>0</v>
      </c>
      <c r="R597" s="2" t="inlineStr"/>
    </row>
    <row r="598" ht="15" customHeight="1">
      <c r="A598" t="inlineStr">
        <is>
          <t>A 53180-2022</t>
        </is>
      </c>
      <c r="B598" s="1" t="n">
        <v>44876</v>
      </c>
      <c r="C598" s="1" t="n">
        <v>45628</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54666-2022</t>
        </is>
      </c>
      <c r="B599" s="1" t="n">
        <v>44883</v>
      </c>
      <c r="C599" s="1" t="n">
        <v>45628</v>
      </c>
      <c r="D599" t="inlineStr">
        <is>
          <t>UPPSALA LÄN</t>
        </is>
      </c>
      <c r="E599" t="inlineStr">
        <is>
          <t>ÖSTHAMMAR</t>
        </is>
      </c>
      <c r="G599" t="n">
        <v>14.3</v>
      </c>
      <c r="H599" t="n">
        <v>0</v>
      </c>
      <c r="I599" t="n">
        <v>0</v>
      </c>
      <c r="J599" t="n">
        <v>0</v>
      </c>
      <c r="K599" t="n">
        <v>0</v>
      </c>
      <c r="L599" t="n">
        <v>0</v>
      </c>
      <c r="M599" t="n">
        <v>0</v>
      </c>
      <c r="N599" t="n">
        <v>0</v>
      </c>
      <c r="O599" t="n">
        <v>0</v>
      </c>
      <c r="P599" t="n">
        <v>0</v>
      </c>
      <c r="Q599" t="n">
        <v>0</v>
      </c>
      <c r="R599" s="2" t="inlineStr"/>
    </row>
    <row r="600" ht="15" customHeight="1">
      <c r="A600" t="inlineStr">
        <is>
          <t>A 56260-2022</t>
        </is>
      </c>
      <c r="B600" s="1" t="n">
        <v>44890</v>
      </c>
      <c r="C600" s="1" t="n">
        <v>45628</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56969-2022</t>
        </is>
      </c>
      <c r="B601" s="1" t="n">
        <v>44894</v>
      </c>
      <c r="C601" s="1" t="n">
        <v>45628</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57462-2022</t>
        </is>
      </c>
      <c r="B602" s="1" t="n">
        <v>44896</v>
      </c>
      <c r="C602" s="1" t="n">
        <v>45628</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57453-2022</t>
        </is>
      </c>
      <c r="B603" s="1" t="n">
        <v>44896</v>
      </c>
      <c r="C603" s="1" t="n">
        <v>45628</v>
      </c>
      <c r="D603" t="inlineStr">
        <is>
          <t>UPPSALA LÄN</t>
        </is>
      </c>
      <c r="E603" t="inlineStr">
        <is>
          <t>ÖSTHAMMAR</t>
        </is>
      </c>
      <c r="G603" t="n">
        <v>1.7</v>
      </c>
      <c r="H603" t="n">
        <v>0</v>
      </c>
      <c r="I603" t="n">
        <v>0</v>
      </c>
      <c r="J603" t="n">
        <v>0</v>
      </c>
      <c r="K603" t="n">
        <v>0</v>
      </c>
      <c r="L603" t="n">
        <v>0</v>
      </c>
      <c r="M603" t="n">
        <v>0</v>
      </c>
      <c r="N603" t="n">
        <v>0</v>
      </c>
      <c r="O603" t="n">
        <v>0</v>
      </c>
      <c r="P603" t="n">
        <v>0</v>
      </c>
      <c r="Q603" t="n">
        <v>0</v>
      </c>
      <c r="R603" s="2" t="inlineStr"/>
    </row>
    <row r="604" ht="15" customHeight="1">
      <c r="A604" t="inlineStr">
        <is>
          <t>A 58127-2022</t>
        </is>
      </c>
      <c r="B604" s="1" t="n">
        <v>44900</v>
      </c>
      <c r="C604" s="1" t="n">
        <v>45628</v>
      </c>
      <c r="D604" t="inlineStr">
        <is>
          <t>UPPSALA LÄN</t>
        </is>
      </c>
      <c r="E604" t="inlineStr">
        <is>
          <t>ÖSTHAMMAR</t>
        </is>
      </c>
      <c r="F604" t="inlineStr">
        <is>
          <t>Bergvik skog öst AB</t>
        </is>
      </c>
      <c r="G604" t="n">
        <v>6.4</v>
      </c>
      <c r="H604" t="n">
        <v>0</v>
      </c>
      <c r="I604" t="n">
        <v>0</v>
      </c>
      <c r="J604" t="n">
        <v>0</v>
      </c>
      <c r="K604" t="n">
        <v>0</v>
      </c>
      <c r="L604" t="n">
        <v>0</v>
      </c>
      <c r="M604" t="n">
        <v>0</v>
      </c>
      <c r="N604" t="n">
        <v>0</v>
      </c>
      <c r="O604" t="n">
        <v>0</v>
      </c>
      <c r="P604" t="n">
        <v>0</v>
      </c>
      <c r="Q604" t="n">
        <v>0</v>
      </c>
      <c r="R604" s="2" t="inlineStr"/>
    </row>
    <row r="605" ht="15" customHeight="1">
      <c r="A605" t="inlineStr">
        <is>
          <t>A 58367-2022</t>
        </is>
      </c>
      <c r="B605" s="1" t="n">
        <v>44901</v>
      </c>
      <c r="C605" s="1" t="n">
        <v>45628</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58878-2022</t>
        </is>
      </c>
      <c r="B606" s="1" t="n">
        <v>44903</v>
      </c>
      <c r="C606" s="1" t="n">
        <v>45628</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60258-2022</t>
        </is>
      </c>
      <c r="B607" s="1" t="n">
        <v>44903</v>
      </c>
      <c r="C607" s="1" t="n">
        <v>45628</v>
      </c>
      <c r="D607" t="inlineStr">
        <is>
          <t>UPPSALA LÄN</t>
        </is>
      </c>
      <c r="E607" t="inlineStr">
        <is>
          <t>ÖSTHAMMAR</t>
        </is>
      </c>
      <c r="G607" t="n">
        <v>2.5</v>
      </c>
      <c r="H607" t="n">
        <v>0</v>
      </c>
      <c r="I607" t="n">
        <v>0</v>
      </c>
      <c r="J607" t="n">
        <v>0</v>
      </c>
      <c r="K607" t="n">
        <v>0</v>
      </c>
      <c r="L607" t="n">
        <v>0</v>
      </c>
      <c r="M607" t="n">
        <v>0</v>
      </c>
      <c r="N607" t="n">
        <v>0</v>
      </c>
      <c r="O607" t="n">
        <v>0</v>
      </c>
      <c r="P607" t="n">
        <v>0</v>
      </c>
      <c r="Q607" t="n">
        <v>0</v>
      </c>
      <c r="R607" s="2" t="inlineStr"/>
    </row>
    <row r="608" ht="15" customHeight="1">
      <c r="A608" t="inlineStr">
        <is>
          <t>A 59382-2022</t>
        </is>
      </c>
      <c r="B608" s="1" t="n">
        <v>44905</v>
      </c>
      <c r="C608" s="1" t="n">
        <v>45628</v>
      </c>
      <c r="D608" t="inlineStr">
        <is>
          <t>UPPSALA LÄN</t>
        </is>
      </c>
      <c r="E608" t="inlineStr">
        <is>
          <t>ÖSTHAMMAR</t>
        </is>
      </c>
      <c r="G608" t="n">
        <v>2.9</v>
      </c>
      <c r="H608" t="n">
        <v>0</v>
      </c>
      <c r="I608" t="n">
        <v>0</v>
      </c>
      <c r="J608" t="n">
        <v>0</v>
      </c>
      <c r="K608" t="n">
        <v>0</v>
      </c>
      <c r="L608" t="n">
        <v>0</v>
      </c>
      <c r="M608" t="n">
        <v>0</v>
      </c>
      <c r="N608" t="n">
        <v>0</v>
      </c>
      <c r="O608" t="n">
        <v>0</v>
      </c>
      <c r="P608" t="n">
        <v>0</v>
      </c>
      <c r="Q608" t="n">
        <v>0</v>
      </c>
      <c r="R608" s="2" t="inlineStr"/>
    </row>
    <row r="609" ht="15" customHeight="1">
      <c r="A609" t="inlineStr">
        <is>
          <t>A 59563-2022</t>
        </is>
      </c>
      <c r="B609" s="1" t="n">
        <v>44907</v>
      </c>
      <c r="C609" s="1" t="n">
        <v>45628</v>
      </c>
      <c r="D609" t="inlineStr">
        <is>
          <t>UPPSALA LÄN</t>
        </is>
      </c>
      <c r="E609" t="inlineStr">
        <is>
          <t>ÖSTHAMMAR</t>
        </is>
      </c>
      <c r="G609" t="n">
        <v>2.8</v>
      </c>
      <c r="H609" t="n">
        <v>0</v>
      </c>
      <c r="I609" t="n">
        <v>0</v>
      </c>
      <c r="J609" t="n">
        <v>0</v>
      </c>
      <c r="K609" t="n">
        <v>0</v>
      </c>
      <c r="L609" t="n">
        <v>0</v>
      </c>
      <c r="M609" t="n">
        <v>0</v>
      </c>
      <c r="N609" t="n">
        <v>0</v>
      </c>
      <c r="O609" t="n">
        <v>0</v>
      </c>
      <c r="P609" t="n">
        <v>0</v>
      </c>
      <c r="Q609" t="n">
        <v>0</v>
      </c>
      <c r="R609" s="2" t="inlineStr"/>
    </row>
    <row r="610" ht="15" customHeight="1">
      <c r="A610" t="inlineStr">
        <is>
          <t>A 59880-2022</t>
        </is>
      </c>
      <c r="B610" s="1" t="n">
        <v>44908</v>
      </c>
      <c r="C610" s="1" t="n">
        <v>45628</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60079-2022</t>
        </is>
      </c>
      <c r="B611" s="1" t="n">
        <v>44909</v>
      </c>
      <c r="C611" s="1" t="n">
        <v>45628</v>
      </c>
      <c r="D611" t="inlineStr">
        <is>
          <t>UPPSALA LÄN</t>
        </is>
      </c>
      <c r="E611" t="inlineStr">
        <is>
          <t>ÖSTHAMMAR</t>
        </is>
      </c>
      <c r="G611" t="n">
        <v>9.6</v>
      </c>
      <c r="H611" t="n">
        <v>0</v>
      </c>
      <c r="I611" t="n">
        <v>0</v>
      </c>
      <c r="J611" t="n">
        <v>0</v>
      </c>
      <c r="K611" t="n">
        <v>0</v>
      </c>
      <c r="L611" t="n">
        <v>0</v>
      </c>
      <c r="M611" t="n">
        <v>0</v>
      </c>
      <c r="N611" t="n">
        <v>0</v>
      </c>
      <c r="O611" t="n">
        <v>0</v>
      </c>
      <c r="P611" t="n">
        <v>0</v>
      </c>
      <c r="Q611" t="n">
        <v>0</v>
      </c>
      <c r="R611" s="2" t="inlineStr"/>
    </row>
    <row r="612" ht="15" customHeight="1">
      <c r="A612" t="inlineStr">
        <is>
          <t>A 60597-2022</t>
        </is>
      </c>
      <c r="B612" s="1" t="n">
        <v>44911</v>
      </c>
      <c r="C612" s="1" t="n">
        <v>45628</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61261-2022</t>
        </is>
      </c>
      <c r="B613" s="1" t="n">
        <v>44915</v>
      </c>
      <c r="C613" s="1" t="n">
        <v>45628</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61216-2022</t>
        </is>
      </c>
      <c r="B614" s="1" t="n">
        <v>44915</v>
      </c>
      <c r="C614" s="1" t="n">
        <v>45628</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61257-2022</t>
        </is>
      </c>
      <c r="B615" s="1" t="n">
        <v>44915</v>
      </c>
      <c r="C615" s="1" t="n">
        <v>45628</v>
      </c>
      <c r="D615" t="inlineStr">
        <is>
          <t>UPPSALA LÄN</t>
        </is>
      </c>
      <c r="E615" t="inlineStr">
        <is>
          <t>ÖSTHAMMAR</t>
        </is>
      </c>
      <c r="G615" t="n">
        <v>1</v>
      </c>
      <c r="H615" t="n">
        <v>0</v>
      </c>
      <c r="I615" t="n">
        <v>0</v>
      </c>
      <c r="J615" t="n">
        <v>0</v>
      </c>
      <c r="K615" t="n">
        <v>0</v>
      </c>
      <c r="L615" t="n">
        <v>0</v>
      </c>
      <c r="M615" t="n">
        <v>0</v>
      </c>
      <c r="N615" t="n">
        <v>0</v>
      </c>
      <c r="O615" t="n">
        <v>0</v>
      </c>
      <c r="P615" t="n">
        <v>0</v>
      </c>
      <c r="Q615" t="n">
        <v>0</v>
      </c>
      <c r="R615" s="2" t="inlineStr"/>
    </row>
    <row r="616" ht="15" customHeight="1">
      <c r="A616" t="inlineStr">
        <is>
          <t>A 62295-2022</t>
        </is>
      </c>
      <c r="B616" s="1" t="n">
        <v>44916</v>
      </c>
      <c r="C616" s="1" t="n">
        <v>45628</v>
      </c>
      <c r="D616" t="inlineStr">
        <is>
          <t>UPPSALA LÄN</t>
        </is>
      </c>
      <c r="E616" t="inlineStr">
        <is>
          <t>ÖSTHAMMAR</t>
        </is>
      </c>
      <c r="G616" t="n">
        <v>3.3</v>
      </c>
      <c r="H616" t="n">
        <v>0</v>
      </c>
      <c r="I616" t="n">
        <v>0</v>
      </c>
      <c r="J616" t="n">
        <v>0</v>
      </c>
      <c r="K616" t="n">
        <v>0</v>
      </c>
      <c r="L616" t="n">
        <v>0</v>
      </c>
      <c r="M616" t="n">
        <v>0</v>
      </c>
      <c r="N616" t="n">
        <v>0</v>
      </c>
      <c r="O616" t="n">
        <v>0</v>
      </c>
      <c r="P616" t="n">
        <v>0</v>
      </c>
      <c r="Q616" t="n">
        <v>0</v>
      </c>
      <c r="R616" s="2" t="inlineStr"/>
    </row>
    <row r="617" ht="15" customHeight="1">
      <c r="A617" t="inlineStr">
        <is>
          <t>A 62394-2022</t>
        </is>
      </c>
      <c r="B617" s="1" t="n">
        <v>44923</v>
      </c>
      <c r="C617" s="1" t="n">
        <v>45628</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62393-2022</t>
        </is>
      </c>
      <c r="B618" s="1" t="n">
        <v>44923</v>
      </c>
      <c r="C618" s="1" t="n">
        <v>45628</v>
      </c>
      <c r="D618" t="inlineStr">
        <is>
          <t>UPPSALA LÄN</t>
        </is>
      </c>
      <c r="E618" t="inlineStr">
        <is>
          <t>ÖSTHAMMAR</t>
        </is>
      </c>
      <c r="F618" t="inlineStr">
        <is>
          <t>Bergvik skog öst AB</t>
        </is>
      </c>
      <c r="G618" t="n">
        <v>2.7</v>
      </c>
      <c r="H618" t="n">
        <v>0</v>
      </c>
      <c r="I618" t="n">
        <v>0</v>
      </c>
      <c r="J618" t="n">
        <v>0</v>
      </c>
      <c r="K618" t="n">
        <v>0</v>
      </c>
      <c r="L618" t="n">
        <v>0</v>
      </c>
      <c r="M618" t="n">
        <v>0</v>
      </c>
      <c r="N618" t="n">
        <v>0</v>
      </c>
      <c r="O618" t="n">
        <v>0</v>
      </c>
      <c r="P618" t="n">
        <v>0</v>
      </c>
      <c r="Q618" t="n">
        <v>0</v>
      </c>
      <c r="R618" s="2" t="inlineStr"/>
    </row>
    <row r="619" ht="15" customHeight="1">
      <c r="A619" t="inlineStr">
        <is>
          <t>A 62392-2022</t>
        </is>
      </c>
      <c r="B619" s="1" t="n">
        <v>44923</v>
      </c>
      <c r="C619" s="1" t="n">
        <v>45628</v>
      </c>
      <c r="D619" t="inlineStr">
        <is>
          <t>UPPSALA LÄN</t>
        </is>
      </c>
      <c r="E619" t="inlineStr">
        <is>
          <t>ÖSTHAMMAR</t>
        </is>
      </c>
      <c r="F619" t="inlineStr">
        <is>
          <t>Bergvik skog öst AB</t>
        </is>
      </c>
      <c r="G619" t="n">
        <v>1.7</v>
      </c>
      <c r="H619" t="n">
        <v>0</v>
      </c>
      <c r="I619" t="n">
        <v>0</v>
      </c>
      <c r="J619" t="n">
        <v>0</v>
      </c>
      <c r="K619" t="n">
        <v>0</v>
      </c>
      <c r="L619" t="n">
        <v>0</v>
      </c>
      <c r="M619" t="n">
        <v>0</v>
      </c>
      <c r="N619" t="n">
        <v>0</v>
      </c>
      <c r="O619" t="n">
        <v>0</v>
      </c>
      <c r="P619" t="n">
        <v>0</v>
      </c>
      <c r="Q619" t="n">
        <v>0</v>
      </c>
      <c r="R619" s="2" t="inlineStr"/>
    </row>
    <row r="620" ht="15" customHeight="1">
      <c r="A620" t="inlineStr">
        <is>
          <t>A 62391-2022</t>
        </is>
      </c>
      <c r="B620" s="1" t="n">
        <v>44923</v>
      </c>
      <c r="C620" s="1" t="n">
        <v>45628</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57-2023</t>
        </is>
      </c>
      <c r="B621" s="1" t="n">
        <v>44928</v>
      </c>
      <c r="C621" s="1" t="n">
        <v>45628</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59-2023</t>
        </is>
      </c>
      <c r="B622" s="1" t="n">
        <v>44928</v>
      </c>
      <c r="C622" s="1" t="n">
        <v>45628</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390-2023</t>
        </is>
      </c>
      <c r="B623" s="1" t="n">
        <v>44929</v>
      </c>
      <c r="C623" s="1" t="n">
        <v>45628</v>
      </c>
      <c r="D623" t="inlineStr">
        <is>
          <t>UPPSALA LÄN</t>
        </is>
      </c>
      <c r="E623" t="inlineStr">
        <is>
          <t>ÖSTHAMMAR</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1791-2023</t>
        </is>
      </c>
      <c r="B624" s="1" t="n">
        <v>44938</v>
      </c>
      <c r="C624" s="1" t="n">
        <v>45628</v>
      </c>
      <c r="D624" t="inlineStr">
        <is>
          <t>UPPSALA LÄN</t>
        </is>
      </c>
      <c r="E624" t="inlineStr">
        <is>
          <t>ÖSTHAMMAR</t>
        </is>
      </c>
      <c r="G624" t="n">
        <v>2</v>
      </c>
      <c r="H624" t="n">
        <v>0</v>
      </c>
      <c r="I624" t="n">
        <v>0</v>
      </c>
      <c r="J624" t="n">
        <v>0</v>
      </c>
      <c r="K624" t="n">
        <v>0</v>
      </c>
      <c r="L624" t="n">
        <v>0</v>
      </c>
      <c r="M624" t="n">
        <v>0</v>
      </c>
      <c r="N624" t="n">
        <v>0</v>
      </c>
      <c r="O624" t="n">
        <v>0</v>
      </c>
      <c r="P624" t="n">
        <v>0</v>
      </c>
      <c r="Q624" t="n">
        <v>0</v>
      </c>
      <c r="R624" s="2" t="inlineStr"/>
    </row>
    <row r="625" ht="15" customHeight="1">
      <c r="A625" t="inlineStr">
        <is>
          <t>A 1800-2023</t>
        </is>
      </c>
      <c r="B625" s="1" t="n">
        <v>44938</v>
      </c>
      <c r="C625" s="1" t="n">
        <v>45628</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1796-2023</t>
        </is>
      </c>
      <c r="B626" s="1" t="n">
        <v>44938</v>
      </c>
      <c r="C626" s="1" t="n">
        <v>45628</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2733-2023</t>
        </is>
      </c>
      <c r="B627" s="1" t="n">
        <v>44943</v>
      </c>
      <c r="C627" s="1" t="n">
        <v>45628</v>
      </c>
      <c r="D627" t="inlineStr">
        <is>
          <t>UPPSALA LÄN</t>
        </is>
      </c>
      <c r="E627" t="inlineStr">
        <is>
          <t>ÖSTHAMMAR</t>
        </is>
      </c>
      <c r="G627" t="n">
        <v>2.6</v>
      </c>
      <c r="H627" t="n">
        <v>0</v>
      </c>
      <c r="I627" t="n">
        <v>0</v>
      </c>
      <c r="J627" t="n">
        <v>0</v>
      </c>
      <c r="K627" t="n">
        <v>0</v>
      </c>
      <c r="L627" t="n">
        <v>0</v>
      </c>
      <c r="M627" t="n">
        <v>0</v>
      </c>
      <c r="N627" t="n">
        <v>0</v>
      </c>
      <c r="O627" t="n">
        <v>0</v>
      </c>
      <c r="P627" t="n">
        <v>0</v>
      </c>
      <c r="Q627" t="n">
        <v>0</v>
      </c>
      <c r="R627" s="2" t="inlineStr"/>
    </row>
    <row r="628" ht="15" customHeight="1">
      <c r="A628" t="inlineStr">
        <is>
          <t>A 2967-2023</t>
        </is>
      </c>
      <c r="B628" s="1" t="n">
        <v>44945</v>
      </c>
      <c r="C628" s="1" t="n">
        <v>45628</v>
      </c>
      <c r="D628" t="inlineStr">
        <is>
          <t>UPPSALA LÄN</t>
        </is>
      </c>
      <c r="E628" t="inlineStr">
        <is>
          <t>ÖSTHAMMAR</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3005-2023</t>
        </is>
      </c>
      <c r="B629" s="1" t="n">
        <v>44945</v>
      </c>
      <c r="C629" s="1" t="n">
        <v>45628</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3743-2023</t>
        </is>
      </c>
      <c r="B630" s="1" t="n">
        <v>44948</v>
      </c>
      <c r="C630" s="1" t="n">
        <v>45628</v>
      </c>
      <c r="D630" t="inlineStr">
        <is>
          <t>UPPSALA LÄN</t>
        </is>
      </c>
      <c r="E630" t="inlineStr">
        <is>
          <t>ÖSTHAMMAR</t>
        </is>
      </c>
      <c r="G630" t="n">
        <v>3.1</v>
      </c>
      <c r="H630" t="n">
        <v>0</v>
      </c>
      <c r="I630" t="n">
        <v>0</v>
      </c>
      <c r="J630" t="n">
        <v>0</v>
      </c>
      <c r="K630" t="n">
        <v>0</v>
      </c>
      <c r="L630" t="n">
        <v>0</v>
      </c>
      <c r="M630" t="n">
        <v>0</v>
      </c>
      <c r="N630" t="n">
        <v>0</v>
      </c>
      <c r="O630" t="n">
        <v>0</v>
      </c>
      <c r="P630" t="n">
        <v>0</v>
      </c>
      <c r="Q630" t="n">
        <v>0</v>
      </c>
      <c r="R630" s="2" t="inlineStr"/>
    </row>
    <row r="631" ht="15" customHeight="1">
      <c r="A631" t="inlineStr">
        <is>
          <t>A 3327-2023</t>
        </is>
      </c>
      <c r="B631" s="1" t="n">
        <v>44949</v>
      </c>
      <c r="C631" s="1" t="n">
        <v>45628</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3514-2023</t>
        </is>
      </c>
      <c r="B632" s="1" t="n">
        <v>44950</v>
      </c>
      <c r="C632" s="1" t="n">
        <v>45628</v>
      </c>
      <c r="D632" t="inlineStr">
        <is>
          <t>UPPSALA LÄN</t>
        </is>
      </c>
      <c r="E632" t="inlineStr">
        <is>
          <t>ÖSTHAMMAR</t>
        </is>
      </c>
      <c r="F632" t="inlineStr">
        <is>
          <t>Övriga Aktiebolag</t>
        </is>
      </c>
      <c r="G632" t="n">
        <v>1.9</v>
      </c>
      <c r="H632" t="n">
        <v>0</v>
      </c>
      <c r="I632" t="n">
        <v>0</v>
      </c>
      <c r="J632" t="n">
        <v>0</v>
      </c>
      <c r="K632" t="n">
        <v>0</v>
      </c>
      <c r="L632" t="n">
        <v>0</v>
      </c>
      <c r="M632" t="n">
        <v>0</v>
      </c>
      <c r="N632" t="n">
        <v>0</v>
      </c>
      <c r="O632" t="n">
        <v>0</v>
      </c>
      <c r="P632" t="n">
        <v>0</v>
      </c>
      <c r="Q632" t="n">
        <v>0</v>
      </c>
      <c r="R632" s="2" t="inlineStr"/>
    </row>
    <row r="633" ht="15" customHeight="1">
      <c r="A633" t="inlineStr">
        <is>
          <t>A 4004-2023</t>
        </is>
      </c>
      <c r="B633" s="1" t="n">
        <v>44952</v>
      </c>
      <c r="C633" s="1" t="n">
        <v>45628</v>
      </c>
      <c r="D633" t="inlineStr">
        <is>
          <t>UPPSALA LÄN</t>
        </is>
      </c>
      <c r="E633" t="inlineStr">
        <is>
          <t>ÖSTHAMMAR</t>
        </is>
      </c>
      <c r="G633" t="n">
        <v>4.1</v>
      </c>
      <c r="H633" t="n">
        <v>0</v>
      </c>
      <c r="I633" t="n">
        <v>0</v>
      </c>
      <c r="J633" t="n">
        <v>0</v>
      </c>
      <c r="K633" t="n">
        <v>0</v>
      </c>
      <c r="L633" t="n">
        <v>0</v>
      </c>
      <c r="M633" t="n">
        <v>0</v>
      </c>
      <c r="N633" t="n">
        <v>0</v>
      </c>
      <c r="O633" t="n">
        <v>0</v>
      </c>
      <c r="P633" t="n">
        <v>0</v>
      </c>
      <c r="Q633" t="n">
        <v>0</v>
      </c>
      <c r="R633" s="2" t="inlineStr"/>
    </row>
    <row r="634" ht="15" customHeight="1">
      <c r="A634" t="inlineStr">
        <is>
          <t>A 4054-2023</t>
        </is>
      </c>
      <c r="B634" s="1" t="n">
        <v>44952</v>
      </c>
      <c r="C634" s="1" t="n">
        <v>45628</v>
      </c>
      <c r="D634" t="inlineStr">
        <is>
          <t>UPPSALA LÄN</t>
        </is>
      </c>
      <c r="E634" t="inlineStr">
        <is>
          <t>ÖSTHAMMAR</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4233-2023</t>
        </is>
      </c>
      <c r="B635" s="1" t="n">
        <v>44953</v>
      </c>
      <c r="C635" s="1" t="n">
        <v>45628</v>
      </c>
      <c r="D635" t="inlineStr">
        <is>
          <t>UPPSALA LÄN</t>
        </is>
      </c>
      <c r="E635" t="inlineStr">
        <is>
          <t>ÖSTHAMMAR</t>
        </is>
      </c>
      <c r="G635" t="n">
        <v>0.9</v>
      </c>
      <c r="H635" t="n">
        <v>0</v>
      </c>
      <c r="I635" t="n">
        <v>0</v>
      </c>
      <c r="J635" t="n">
        <v>0</v>
      </c>
      <c r="K635" t="n">
        <v>0</v>
      </c>
      <c r="L635" t="n">
        <v>0</v>
      </c>
      <c r="M635" t="n">
        <v>0</v>
      </c>
      <c r="N635" t="n">
        <v>0</v>
      </c>
      <c r="O635" t="n">
        <v>0</v>
      </c>
      <c r="P635" t="n">
        <v>0</v>
      </c>
      <c r="Q635" t="n">
        <v>0</v>
      </c>
      <c r="R635" s="2" t="inlineStr"/>
    </row>
    <row r="636" ht="15" customHeight="1">
      <c r="A636" t="inlineStr">
        <is>
          <t>A 4228-2023</t>
        </is>
      </c>
      <c r="B636" s="1" t="n">
        <v>44953</v>
      </c>
      <c r="C636" s="1" t="n">
        <v>45628</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4361-2023</t>
        </is>
      </c>
      <c r="B637" s="1" t="n">
        <v>44954</v>
      </c>
      <c r="C637" s="1" t="n">
        <v>45628</v>
      </c>
      <c r="D637" t="inlineStr">
        <is>
          <t>UPPSALA LÄN</t>
        </is>
      </c>
      <c r="E637" t="inlineStr">
        <is>
          <t>ÖSTHAMMAR</t>
        </is>
      </c>
      <c r="F637" t="inlineStr">
        <is>
          <t>Bergvik skog öst AB</t>
        </is>
      </c>
      <c r="G637" t="n">
        <v>18.3</v>
      </c>
      <c r="H637" t="n">
        <v>0</v>
      </c>
      <c r="I637" t="n">
        <v>0</v>
      </c>
      <c r="J637" t="n">
        <v>0</v>
      </c>
      <c r="K637" t="n">
        <v>0</v>
      </c>
      <c r="L637" t="n">
        <v>0</v>
      </c>
      <c r="M637" t="n">
        <v>0</v>
      </c>
      <c r="N637" t="n">
        <v>0</v>
      </c>
      <c r="O637" t="n">
        <v>0</v>
      </c>
      <c r="P637" t="n">
        <v>0</v>
      </c>
      <c r="Q637" t="n">
        <v>0</v>
      </c>
      <c r="R637" s="2" t="inlineStr"/>
    </row>
    <row r="638" ht="15" customHeight="1">
      <c r="A638" t="inlineStr">
        <is>
          <t>A 5404-2023</t>
        </is>
      </c>
      <c r="B638" s="1" t="n">
        <v>44957</v>
      </c>
      <c r="C638" s="1" t="n">
        <v>45628</v>
      </c>
      <c r="D638" t="inlineStr">
        <is>
          <t>UPPSALA LÄN</t>
        </is>
      </c>
      <c r="E638" t="inlineStr">
        <is>
          <t>ÖSTHAMMAR</t>
        </is>
      </c>
      <c r="G638" t="n">
        <v>2.5</v>
      </c>
      <c r="H638" t="n">
        <v>0</v>
      </c>
      <c r="I638" t="n">
        <v>0</v>
      </c>
      <c r="J638" t="n">
        <v>0</v>
      </c>
      <c r="K638" t="n">
        <v>0</v>
      </c>
      <c r="L638" t="n">
        <v>0</v>
      </c>
      <c r="M638" t="n">
        <v>0</v>
      </c>
      <c r="N638" t="n">
        <v>0</v>
      </c>
      <c r="O638" t="n">
        <v>0</v>
      </c>
      <c r="P638" t="n">
        <v>0</v>
      </c>
      <c r="Q638" t="n">
        <v>0</v>
      </c>
      <c r="R638" s="2" t="inlineStr"/>
    </row>
    <row r="639" ht="15" customHeight="1">
      <c r="A639" t="inlineStr">
        <is>
          <t>A 5429-2023</t>
        </is>
      </c>
      <c r="B639" s="1" t="n">
        <v>44959</v>
      </c>
      <c r="C639" s="1" t="n">
        <v>45628</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5430-2023</t>
        </is>
      </c>
      <c r="B640" s="1" t="n">
        <v>44959</v>
      </c>
      <c r="C640" s="1" t="n">
        <v>45628</v>
      </c>
      <c r="D640" t="inlineStr">
        <is>
          <t>UPPSALA LÄN</t>
        </is>
      </c>
      <c r="E640" t="inlineStr">
        <is>
          <t>ÖSTHAMMAR</t>
        </is>
      </c>
      <c r="F640" t="inlineStr">
        <is>
          <t>Bergvik skog öst AB</t>
        </is>
      </c>
      <c r="G640" t="n">
        <v>18.4</v>
      </c>
      <c r="H640" t="n">
        <v>0</v>
      </c>
      <c r="I640" t="n">
        <v>0</v>
      </c>
      <c r="J640" t="n">
        <v>0</v>
      </c>
      <c r="K640" t="n">
        <v>0</v>
      </c>
      <c r="L640" t="n">
        <v>0</v>
      </c>
      <c r="M640" t="n">
        <v>0</v>
      </c>
      <c r="N640" t="n">
        <v>0</v>
      </c>
      <c r="O640" t="n">
        <v>0</v>
      </c>
      <c r="P640" t="n">
        <v>0</v>
      </c>
      <c r="Q640" t="n">
        <v>0</v>
      </c>
      <c r="R640" s="2" t="inlineStr"/>
    </row>
    <row r="641" ht="15" customHeight="1">
      <c r="A641" t="inlineStr">
        <is>
          <t>A 5643-2023</t>
        </is>
      </c>
      <c r="B641" s="1" t="n">
        <v>44960</v>
      </c>
      <c r="C641" s="1" t="n">
        <v>45628</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6629-2023</t>
        </is>
      </c>
      <c r="B642" s="1" t="n">
        <v>44960</v>
      </c>
      <c r="C642" s="1" t="n">
        <v>45628</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6635-2023</t>
        </is>
      </c>
      <c r="B643" s="1" t="n">
        <v>44960</v>
      </c>
      <c r="C643" s="1" t="n">
        <v>45628</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5832-2023</t>
        </is>
      </c>
      <c r="B644" s="1" t="n">
        <v>44963</v>
      </c>
      <c r="C644" s="1" t="n">
        <v>45628</v>
      </c>
      <c r="D644" t="inlineStr">
        <is>
          <t>UPPSALA LÄN</t>
        </is>
      </c>
      <c r="E644" t="inlineStr">
        <is>
          <t>ÖSTHAMMAR</t>
        </is>
      </c>
      <c r="G644" t="n">
        <v>3.1</v>
      </c>
      <c r="H644" t="n">
        <v>0</v>
      </c>
      <c r="I644" t="n">
        <v>0</v>
      </c>
      <c r="J644" t="n">
        <v>0</v>
      </c>
      <c r="K644" t="n">
        <v>0</v>
      </c>
      <c r="L644" t="n">
        <v>0</v>
      </c>
      <c r="M644" t="n">
        <v>0</v>
      </c>
      <c r="N644" t="n">
        <v>0</v>
      </c>
      <c r="O644" t="n">
        <v>0</v>
      </c>
      <c r="P644" t="n">
        <v>0</v>
      </c>
      <c r="Q644" t="n">
        <v>0</v>
      </c>
      <c r="R644" s="2" t="inlineStr"/>
    </row>
    <row r="645" ht="15" customHeight="1">
      <c r="A645" t="inlineStr">
        <is>
          <t>A 5836-2023</t>
        </is>
      </c>
      <c r="B645" s="1" t="n">
        <v>44963</v>
      </c>
      <c r="C645" s="1" t="n">
        <v>45628</v>
      </c>
      <c r="D645" t="inlineStr">
        <is>
          <t>UPPSALA LÄN</t>
        </is>
      </c>
      <c r="E645" t="inlineStr">
        <is>
          <t>ÖSTHAMMAR</t>
        </is>
      </c>
      <c r="G645" t="n">
        <v>1.7</v>
      </c>
      <c r="H645" t="n">
        <v>0</v>
      </c>
      <c r="I645" t="n">
        <v>0</v>
      </c>
      <c r="J645" t="n">
        <v>0</v>
      </c>
      <c r="K645" t="n">
        <v>0</v>
      </c>
      <c r="L645" t="n">
        <v>0</v>
      </c>
      <c r="M645" t="n">
        <v>0</v>
      </c>
      <c r="N645" t="n">
        <v>0</v>
      </c>
      <c r="O645" t="n">
        <v>0</v>
      </c>
      <c r="P645" t="n">
        <v>0</v>
      </c>
      <c r="Q645" t="n">
        <v>0</v>
      </c>
      <c r="R645" s="2" t="inlineStr"/>
    </row>
    <row r="646" ht="15" customHeight="1">
      <c r="A646" t="inlineStr">
        <is>
          <t>A 5831-2023</t>
        </is>
      </c>
      <c r="B646" s="1" t="n">
        <v>44963</v>
      </c>
      <c r="C646" s="1" t="n">
        <v>45628</v>
      </c>
      <c r="D646" t="inlineStr">
        <is>
          <t>UPPSALA LÄN</t>
        </is>
      </c>
      <c r="E646" t="inlineStr">
        <is>
          <t>ÖSTHAMMAR</t>
        </is>
      </c>
      <c r="G646" t="n">
        <v>8.1</v>
      </c>
      <c r="H646" t="n">
        <v>0</v>
      </c>
      <c r="I646" t="n">
        <v>0</v>
      </c>
      <c r="J646" t="n">
        <v>0</v>
      </c>
      <c r="K646" t="n">
        <v>0</v>
      </c>
      <c r="L646" t="n">
        <v>0</v>
      </c>
      <c r="M646" t="n">
        <v>0</v>
      </c>
      <c r="N646" t="n">
        <v>0</v>
      </c>
      <c r="O646" t="n">
        <v>0</v>
      </c>
      <c r="P646" t="n">
        <v>0</v>
      </c>
      <c r="Q646" t="n">
        <v>0</v>
      </c>
      <c r="R646" s="2" t="inlineStr"/>
    </row>
    <row r="647" ht="15" customHeight="1">
      <c r="A647" t="inlineStr">
        <is>
          <t>A 5857-2023</t>
        </is>
      </c>
      <c r="B647" s="1" t="n">
        <v>44963</v>
      </c>
      <c r="C647" s="1" t="n">
        <v>45628</v>
      </c>
      <c r="D647" t="inlineStr">
        <is>
          <t>UPPSALA LÄN</t>
        </is>
      </c>
      <c r="E647" t="inlineStr">
        <is>
          <t>ÖSTHAMMAR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5884-2023</t>
        </is>
      </c>
      <c r="B648" s="1" t="n">
        <v>44963</v>
      </c>
      <c r="C648" s="1" t="n">
        <v>45628</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5877-2023</t>
        </is>
      </c>
      <c r="B649" s="1" t="n">
        <v>44963</v>
      </c>
      <c r="C649" s="1" t="n">
        <v>45628</v>
      </c>
      <c r="D649" t="inlineStr">
        <is>
          <t>UPPSALA LÄN</t>
        </is>
      </c>
      <c r="E649" t="inlineStr">
        <is>
          <t>ÖSTHAMMAR</t>
        </is>
      </c>
      <c r="G649" t="n">
        <v>0.7</v>
      </c>
      <c r="H649" t="n">
        <v>0</v>
      </c>
      <c r="I649" t="n">
        <v>0</v>
      </c>
      <c r="J649" t="n">
        <v>0</v>
      </c>
      <c r="K649" t="n">
        <v>0</v>
      </c>
      <c r="L649" t="n">
        <v>0</v>
      </c>
      <c r="M649" t="n">
        <v>0</v>
      </c>
      <c r="N649" t="n">
        <v>0</v>
      </c>
      <c r="O649" t="n">
        <v>0</v>
      </c>
      <c r="P649" t="n">
        <v>0</v>
      </c>
      <c r="Q649" t="n">
        <v>0</v>
      </c>
      <c r="R649" s="2" t="inlineStr"/>
    </row>
    <row r="650" ht="15" customHeight="1">
      <c r="A650" t="inlineStr">
        <is>
          <t>A 7195-2023</t>
        </is>
      </c>
      <c r="B650" s="1" t="n">
        <v>44970</v>
      </c>
      <c r="C650" s="1" t="n">
        <v>45628</v>
      </c>
      <c r="D650" t="inlineStr">
        <is>
          <t>UPPSALA LÄN</t>
        </is>
      </c>
      <c r="E650" t="inlineStr">
        <is>
          <t>ÖSTHAMMAR</t>
        </is>
      </c>
      <c r="G650" t="n">
        <v>1.3</v>
      </c>
      <c r="H650" t="n">
        <v>0</v>
      </c>
      <c r="I650" t="n">
        <v>0</v>
      </c>
      <c r="J650" t="n">
        <v>0</v>
      </c>
      <c r="K650" t="n">
        <v>0</v>
      </c>
      <c r="L650" t="n">
        <v>0</v>
      </c>
      <c r="M650" t="n">
        <v>0</v>
      </c>
      <c r="N650" t="n">
        <v>0</v>
      </c>
      <c r="O650" t="n">
        <v>0</v>
      </c>
      <c r="P650" t="n">
        <v>0</v>
      </c>
      <c r="Q650" t="n">
        <v>0</v>
      </c>
      <c r="R650" s="2" t="inlineStr"/>
    </row>
    <row r="651" ht="15" customHeight="1">
      <c r="A651" t="inlineStr">
        <is>
          <t>A 7206-2023</t>
        </is>
      </c>
      <c r="B651" s="1" t="n">
        <v>44970</v>
      </c>
      <c r="C651" s="1" t="n">
        <v>45628</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7118-2023</t>
        </is>
      </c>
      <c r="B652" s="1" t="n">
        <v>44970</v>
      </c>
      <c r="C652" s="1" t="n">
        <v>45628</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7546-2023</t>
        </is>
      </c>
      <c r="B653" s="1" t="n">
        <v>44972</v>
      </c>
      <c r="C653" s="1" t="n">
        <v>45628</v>
      </c>
      <c r="D653" t="inlineStr">
        <is>
          <t>UPPSALA LÄN</t>
        </is>
      </c>
      <c r="E653" t="inlineStr">
        <is>
          <t>ÖSTHAMMAR</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7543-2023</t>
        </is>
      </c>
      <c r="B654" s="1" t="n">
        <v>44972</v>
      </c>
      <c r="C654" s="1" t="n">
        <v>45628</v>
      </c>
      <c r="D654" t="inlineStr">
        <is>
          <t>UPPSALA LÄN</t>
        </is>
      </c>
      <c r="E654" t="inlineStr">
        <is>
          <t>ÖSTHAMMAR</t>
        </is>
      </c>
      <c r="F654" t="inlineStr">
        <is>
          <t>Bergvik skog öst AB</t>
        </is>
      </c>
      <c r="G654" t="n">
        <v>13.3</v>
      </c>
      <c r="H654" t="n">
        <v>0</v>
      </c>
      <c r="I654" t="n">
        <v>0</v>
      </c>
      <c r="J654" t="n">
        <v>0</v>
      </c>
      <c r="K654" t="n">
        <v>0</v>
      </c>
      <c r="L654" t="n">
        <v>0</v>
      </c>
      <c r="M654" t="n">
        <v>0</v>
      </c>
      <c r="N654" t="n">
        <v>0</v>
      </c>
      <c r="O654" t="n">
        <v>0</v>
      </c>
      <c r="P654" t="n">
        <v>0</v>
      </c>
      <c r="Q654" t="n">
        <v>0</v>
      </c>
      <c r="R654" s="2" t="inlineStr"/>
    </row>
    <row r="655" ht="15" customHeight="1">
      <c r="A655" t="inlineStr">
        <is>
          <t>A 7560-2023</t>
        </is>
      </c>
      <c r="B655" s="1" t="n">
        <v>44972</v>
      </c>
      <c r="C655" s="1" t="n">
        <v>45628</v>
      </c>
      <c r="D655" t="inlineStr">
        <is>
          <t>UPPSALA LÄN</t>
        </is>
      </c>
      <c r="E655" t="inlineStr">
        <is>
          <t>ÖSTHAMMAR</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7876-2023</t>
        </is>
      </c>
      <c r="B656" s="1" t="n">
        <v>44973</v>
      </c>
      <c r="C656" s="1" t="n">
        <v>45628</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7944-2023</t>
        </is>
      </c>
      <c r="B657" s="1" t="n">
        <v>44973</v>
      </c>
      <c r="C657" s="1" t="n">
        <v>45628</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7975-2023</t>
        </is>
      </c>
      <c r="B658" s="1" t="n">
        <v>44973</v>
      </c>
      <c r="C658" s="1" t="n">
        <v>45628</v>
      </c>
      <c r="D658" t="inlineStr">
        <is>
          <t>UPPSALA LÄN</t>
        </is>
      </c>
      <c r="E658" t="inlineStr">
        <is>
          <t>ÖSTHAMMAR</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8006-2023</t>
        </is>
      </c>
      <c r="B659" s="1" t="n">
        <v>44973</v>
      </c>
      <c r="C659" s="1" t="n">
        <v>45628</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8616-2023</t>
        </is>
      </c>
      <c r="B660" s="1" t="n">
        <v>44977</v>
      </c>
      <c r="C660" s="1" t="n">
        <v>45628</v>
      </c>
      <c r="D660" t="inlineStr">
        <is>
          <t>UPPSALA LÄN</t>
        </is>
      </c>
      <c r="E660" t="inlineStr">
        <is>
          <t>ÖSTHAMMAR</t>
        </is>
      </c>
      <c r="F660" t="inlineStr">
        <is>
          <t>Bergvik skog öst AB</t>
        </is>
      </c>
      <c r="G660" t="n">
        <v>0.2</v>
      </c>
      <c r="H660" t="n">
        <v>0</v>
      </c>
      <c r="I660" t="n">
        <v>0</v>
      </c>
      <c r="J660" t="n">
        <v>0</v>
      </c>
      <c r="K660" t="n">
        <v>0</v>
      </c>
      <c r="L660" t="n">
        <v>0</v>
      </c>
      <c r="M660" t="n">
        <v>0</v>
      </c>
      <c r="N660" t="n">
        <v>0</v>
      </c>
      <c r="O660" t="n">
        <v>0</v>
      </c>
      <c r="P660" t="n">
        <v>0</v>
      </c>
      <c r="Q660" t="n">
        <v>0</v>
      </c>
      <c r="R660" s="2" t="inlineStr"/>
    </row>
    <row r="661" ht="15" customHeight="1">
      <c r="A661" t="inlineStr">
        <is>
          <t>A 8826-2023</t>
        </is>
      </c>
      <c r="B661" s="1" t="n">
        <v>44978</v>
      </c>
      <c r="C661" s="1" t="n">
        <v>45628</v>
      </c>
      <c r="D661" t="inlineStr">
        <is>
          <t>UPPSALA LÄN</t>
        </is>
      </c>
      <c r="E661" t="inlineStr">
        <is>
          <t>ÖSTHAMMAR</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8830-2023</t>
        </is>
      </c>
      <c r="B662" s="1" t="n">
        <v>44978</v>
      </c>
      <c r="C662" s="1" t="n">
        <v>45628</v>
      </c>
      <c r="D662" t="inlineStr">
        <is>
          <t>UPPSALA LÄN</t>
        </is>
      </c>
      <c r="E662" t="inlineStr">
        <is>
          <t>ÖSTHAMMAR</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9052-2023</t>
        </is>
      </c>
      <c r="B663" s="1" t="n">
        <v>44979</v>
      </c>
      <c r="C663" s="1" t="n">
        <v>45628</v>
      </c>
      <c r="D663" t="inlineStr">
        <is>
          <t>UPPSALA LÄN</t>
        </is>
      </c>
      <c r="E663" t="inlineStr">
        <is>
          <t>ÖSTHAMMAR</t>
        </is>
      </c>
      <c r="F663" t="inlineStr">
        <is>
          <t>Kyrkan</t>
        </is>
      </c>
      <c r="G663" t="n">
        <v>0.2</v>
      </c>
      <c r="H663" t="n">
        <v>0</v>
      </c>
      <c r="I663" t="n">
        <v>0</v>
      </c>
      <c r="J663" t="n">
        <v>0</v>
      </c>
      <c r="K663" t="n">
        <v>0</v>
      </c>
      <c r="L663" t="n">
        <v>0</v>
      </c>
      <c r="M663" t="n">
        <v>0</v>
      </c>
      <c r="N663" t="n">
        <v>0</v>
      </c>
      <c r="O663" t="n">
        <v>0</v>
      </c>
      <c r="P663" t="n">
        <v>0</v>
      </c>
      <c r="Q663" t="n">
        <v>0</v>
      </c>
      <c r="R663" s="2" t="inlineStr"/>
    </row>
    <row r="664" ht="15" customHeight="1">
      <c r="A664" t="inlineStr">
        <is>
          <t>A 9543-2023</t>
        </is>
      </c>
      <c r="B664" s="1" t="n">
        <v>44981</v>
      </c>
      <c r="C664" s="1" t="n">
        <v>45628</v>
      </c>
      <c r="D664" t="inlineStr">
        <is>
          <t>UPPSALA LÄN</t>
        </is>
      </c>
      <c r="E664" t="inlineStr">
        <is>
          <t>ÖSTHAMMAR</t>
        </is>
      </c>
      <c r="F664" t="inlineStr">
        <is>
          <t>Bergvik skog öst AB</t>
        </is>
      </c>
      <c r="G664" t="n">
        <v>5.9</v>
      </c>
      <c r="H664" t="n">
        <v>0</v>
      </c>
      <c r="I664" t="n">
        <v>0</v>
      </c>
      <c r="J664" t="n">
        <v>0</v>
      </c>
      <c r="K664" t="n">
        <v>0</v>
      </c>
      <c r="L664" t="n">
        <v>0</v>
      </c>
      <c r="M664" t="n">
        <v>0</v>
      </c>
      <c r="N664" t="n">
        <v>0</v>
      </c>
      <c r="O664" t="n">
        <v>0</v>
      </c>
      <c r="P664" t="n">
        <v>0</v>
      </c>
      <c r="Q664" t="n">
        <v>0</v>
      </c>
      <c r="R664" s="2" t="inlineStr"/>
    </row>
    <row r="665" ht="15" customHeight="1">
      <c r="A665" t="inlineStr">
        <is>
          <t>A 9542-2023</t>
        </is>
      </c>
      <c r="B665" s="1" t="n">
        <v>44981</v>
      </c>
      <c r="C665" s="1" t="n">
        <v>45628</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10034-2023</t>
        </is>
      </c>
      <c r="B666" s="1" t="n">
        <v>44985</v>
      </c>
      <c r="C666" s="1" t="n">
        <v>45628</v>
      </c>
      <c r="D666" t="inlineStr">
        <is>
          <t>UPPSALA LÄN</t>
        </is>
      </c>
      <c r="E666" t="inlineStr">
        <is>
          <t>ÖSTHAMMAR</t>
        </is>
      </c>
      <c r="G666" t="n">
        <v>2.1</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45628</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45628</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45628</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45628</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45628</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45628</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45628</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45628</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45628</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45628</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45628</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45628</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45628</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45628</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45628</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45628</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45628</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45628</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45628</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45628</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45628</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45628</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45628</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45628</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45628</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45628</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45628</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45628</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45628</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45628</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45628</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45628</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45628</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45628</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45628</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45628</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45628</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45628</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45628</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45628</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45628</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45628</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45628</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45628</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45628</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45628</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45628</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45628</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45628</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45628</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45628</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45628</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45628</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45628</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45628</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45628</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45628</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45628</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45628</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45628</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45628</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45628</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45628</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45628</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45628</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45628</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45628</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45628</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45628</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45628</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45628</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45628</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45628</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45628</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45628</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45628</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45628</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45628</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45628</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45628</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45628</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45628</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45628</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45628</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45628</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45628</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45628</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45628</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45628</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45628</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45628</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45628</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45628</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45628</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45628</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45628</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45628</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45628</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45628</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45628</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45628</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45628</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45628</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45628</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45628</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45628</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45628</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45628</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45628</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45628</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45628</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45628</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45628</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45628</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45628</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45628</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45628</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45628</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45628</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45628</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45628</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45628</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45628</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45628</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45628</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45628</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45628</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45628</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45628</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45628</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45628</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45628</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45628</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45628</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45628</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45628</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45628</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45628</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45628</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45628</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45628</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45628</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45628</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45628</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45628</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45628</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45628</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45628</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45628</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45628</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45628</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45628</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45628</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45628</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45628</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45628</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45628</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45628</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45628</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45628</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45628</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45628</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45628</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45628</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45628</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45628</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45628</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45628</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45628</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45628</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45628</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45628</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45628</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45628</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45628</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45628</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45628</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45628</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45628</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45628</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45628</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45628</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45628</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45628</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45628</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45628</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45628</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45628</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45628</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45628</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45628</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45628</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45628</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45628</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45628</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45628</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45628</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45628</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45628</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45628</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45628</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45628</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45628</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45628</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45628</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45628</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45628</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45628</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45628</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45628</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45628</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45628</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45628</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45628</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45628</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45628</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45628</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45628</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45628</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45628</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45628</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45628</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45628</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45628</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45628</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45628</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45628</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45628</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45628</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45628</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45628</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45628</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45628</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45628</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45628</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45628</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45628</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45628</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45628</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45628</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45628</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45628</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45628</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45628</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45628</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45628</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45628</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45628</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45628</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45628</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45628</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45628</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45628</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45628</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45628</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45628</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45628</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45628</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45628</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45628</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45628</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45628</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45628</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45628</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45628</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45628</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45628</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45628</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45628</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45628</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45628</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45628</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45628</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45628</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45628</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45628</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45628</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45628</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45628</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45628</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45628</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45628</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45628</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45628</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45628</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45628</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45628</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45628</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45628</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45628</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45628</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45628</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45628</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45628</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45628</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45628</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45628</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45628</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45628</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45628</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45628</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45628</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45628</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45628</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45628</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45628</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45628</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45628</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45628</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45628</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45628</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45628</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45628</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45628</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45628</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45628</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45628</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45628</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45628</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45628</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45628</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45628</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45628</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45628</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45628</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45628</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45628</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45628</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45628</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45628</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45628</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45628</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45628</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45628</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45628</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45628</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45628</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45628</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45628</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45628</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45628</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45628</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45628</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45628</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45628</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45628</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45628</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45628</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45628</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45628</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45628</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45628</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45628</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45628</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45628</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45628</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45628</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45628</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45628</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45628</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45628</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45628</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45628</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45628</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45628</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45628</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45628</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45628</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45628</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45628</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45628</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45628</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45628</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45628</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45628</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45628</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45628</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45628</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45628</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45628</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45628</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45628</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45628</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45628</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45628</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45628</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45628</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45628</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45628</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45628</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45628</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45628</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45628</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45628</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45628</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45628</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45628</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45628</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45628</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45628</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45628</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45628</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45628</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45628</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45628</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45628</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45628</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45628</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45628</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45628</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45628</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45628</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45628</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45628</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45628</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45628</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45628</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45628</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45628</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45628</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45628</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45628</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45628</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45628</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45628</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45628</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45628</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45628</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45628</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45628</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45628</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45628</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45628</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45628</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45628</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45628</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45628</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45628</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45628</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45628</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45628</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45628</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45628</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45628</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45628</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45628</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45628</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45628</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45628</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45628</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45628</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45628</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45628</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45628</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45628</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45628</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45628</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45628</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45628</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45628</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45628</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45628</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45628</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45628</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45628</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45628</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45628</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45628</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45628</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45628</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45628</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45628</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45628</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45628</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45628</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45628</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45628</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45628</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45628</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45628</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45628</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45628</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45628</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45628</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45628</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45628</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45628</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45628</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45628</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45628</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45628</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45628</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45628</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45628</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45628</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45628</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45628</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45628</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45628</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45628</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45628</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45628</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45628</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45628</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45628</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45628</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45628</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45628</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45628</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45628</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45628</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45628</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45628</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45628</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45628</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45628</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45628</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45628</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45628</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45628</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45628</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45628</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45628</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45628</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45628</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45628</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45628</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45628</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45628</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45628</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45628</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45628</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45628</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45628</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45628</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45628</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45628</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45628</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45628</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45628</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45628</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45628</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45628</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45628</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45628</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45628</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45628</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45628</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45628</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45628</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45628</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45628</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45628</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45628</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45628</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45628</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45628</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45628</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45628</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45628</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45628</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45628</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45628</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45628</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45628</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45628</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45628</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45628</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45628</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45628</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45628</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45628</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45628</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45628</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45628</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45628</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45628</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45628</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45628</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45628</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45628</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45628</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45628</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45628</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45628</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45628</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45628</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45628</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45628</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45628</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45628</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45628</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45628</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45628</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45628</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45628</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45628</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45628</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45628</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45628</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45628</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45628</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45628</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45628</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45628</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45628</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50844-2024</t>
        </is>
      </c>
      <c r="B1273" s="1" t="n">
        <v>45602</v>
      </c>
      <c r="C1273" s="1" t="n">
        <v>45628</v>
      </c>
      <c r="D1273" t="inlineStr">
        <is>
          <t>UPPSALA LÄN</t>
        </is>
      </c>
      <c r="E1273" t="inlineStr">
        <is>
          <t>ÖSTHAMMAR</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50853-2024</t>
        </is>
      </c>
      <c r="B1274" s="1" t="n">
        <v>45602</v>
      </c>
      <c r="C1274" s="1" t="n">
        <v>45628</v>
      </c>
      <c r="D1274" t="inlineStr">
        <is>
          <t>UPPSALA LÄN</t>
        </is>
      </c>
      <c r="E1274" t="inlineStr">
        <is>
          <t>ÖSTHAMMAR</t>
        </is>
      </c>
      <c r="F1274" t="inlineStr">
        <is>
          <t>Övriga Aktiebolag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50924-2024</t>
        </is>
      </c>
      <c r="B1275" s="1" t="n">
        <v>45602</v>
      </c>
      <c r="C1275" s="1" t="n">
        <v>45628</v>
      </c>
      <c r="D1275" t="inlineStr">
        <is>
          <t>UPPSALA LÄN</t>
        </is>
      </c>
      <c r="E1275" t="inlineStr">
        <is>
          <t>ÖSTHAMMAR</t>
        </is>
      </c>
      <c r="F1275" t="inlineStr">
        <is>
          <t>Bergvik skog öst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50849-2024</t>
        </is>
      </c>
      <c r="B1276" s="1" t="n">
        <v>45602</v>
      </c>
      <c r="C1276" s="1" t="n">
        <v>45628</v>
      </c>
      <c r="D1276" t="inlineStr">
        <is>
          <t>UPPSALA LÄN</t>
        </is>
      </c>
      <c r="E1276" t="inlineStr">
        <is>
          <t>ÖSTHAMMAR</t>
        </is>
      </c>
      <c r="F1276" t="inlineStr">
        <is>
          <t>Övriga Aktiebolag</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50875-2024</t>
        </is>
      </c>
      <c r="B1277" s="1" t="n">
        <v>45602</v>
      </c>
      <c r="C1277" s="1" t="n">
        <v>45628</v>
      </c>
      <c r="D1277" t="inlineStr">
        <is>
          <t>UPPSALA LÄN</t>
        </is>
      </c>
      <c r="E1277" t="inlineStr">
        <is>
          <t>ÖSTHAMMAR</t>
        </is>
      </c>
      <c r="F1277" t="inlineStr">
        <is>
          <t>Övriga Aktiebolag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50927-2024</t>
        </is>
      </c>
      <c r="B1278" s="1" t="n">
        <v>45602</v>
      </c>
      <c r="C1278" s="1" t="n">
        <v>45628</v>
      </c>
      <c r="D1278" t="inlineStr">
        <is>
          <t>UPPSALA LÄN</t>
        </is>
      </c>
      <c r="E1278" t="inlineStr">
        <is>
          <t>ÖSTHAMMAR</t>
        </is>
      </c>
      <c r="F1278" t="inlineStr">
        <is>
          <t>Bergvik skog öst AB</t>
        </is>
      </c>
      <c r="G1278" t="n">
        <v>45.4</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45628</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52440-2024</t>
        </is>
      </c>
      <c r="B1280" s="1" t="n">
        <v>45609</v>
      </c>
      <c r="C1280" s="1" t="n">
        <v>45628</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52468-2024</t>
        </is>
      </c>
      <c r="B1281" s="1" t="n">
        <v>45609</v>
      </c>
      <c r="C1281" s="1" t="n">
        <v>45628</v>
      </c>
      <c r="D1281" t="inlineStr">
        <is>
          <t>UPPSALA LÄN</t>
        </is>
      </c>
      <c r="E1281" t="inlineStr">
        <is>
          <t>ÖSTHAMMAR</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52470-2024</t>
        </is>
      </c>
      <c r="B1282" s="1" t="n">
        <v>45609</v>
      </c>
      <c r="C1282" s="1" t="n">
        <v>45628</v>
      </c>
      <c r="D1282" t="inlineStr">
        <is>
          <t>UPPSALA LÄN</t>
        </is>
      </c>
      <c r="E1282" t="inlineStr">
        <is>
          <t>ÖSTHAMMAR</t>
        </is>
      </c>
      <c r="F1282" t="inlineStr">
        <is>
          <t>Bergvik skog väst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52478-2024</t>
        </is>
      </c>
      <c r="B1283" s="1" t="n">
        <v>45609</v>
      </c>
      <c r="C1283" s="1" t="n">
        <v>45628</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52469-2024</t>
        </is>
      </c>
      <c r="B1284" s="1" t="n">
        <v>45609</v>
      </c>
      <c r="C1284" s="1" t="n">
        <v>45628</v>
      </c>
      <c r="D1284" t="inlineStr">
        <is>
          <t>UPPSALA LÄN</t>
        </is>
      </c>
      <c r="E1284" t="inlineStr">
        <is>
          <t>ÖSTHAMMAR</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52485-2024</t>
        </is>
      </c>
      <c r="B1285" s="1" t="n">
        <v>45609</v>
      </c>
      <c r="C1285" s="1" t="n">
        <v>45628</v>
      </c>
      <c r="D1285" t="inlineStr">
        <is>
          <t>UPPSALA LÄN</t>
        </is>
      </c>
      <c r="E1285" t="inlineStr">
        <is>
          <t>ÖSTHAMMAR</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52534-2024</t>
        </is>
      </c>
      <c r="B1286" s="1" t="n">
        <v>45609</v>
      </c>
      <c r="C1286" s="1" t="n">
        <v>45628</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45628</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45628</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45628</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45628</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45628</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45628</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45628</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54825-2024</t>
        </is>
      </c>
      <c r="B1294" s="1" t="n">
        <v>45618</v>
      </c>
      <c r="C1294" s="1" t="n">
        <v>45628</v>
      </c>
      <c r="D1294" t="inlineStr">
        <is>
          <t>UPPSALA LÄN</t>
        </is>
      </c>
      <c r="E1294" t="inlineStr">
        <is>
          <t>ÖSTHAMMAR</t>
        </is>
      </c>
      <c r="F1294" t="inlineStr">
        <is>
          <t>Bergvik skog öst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45628</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54935-2024</t>
        </is>
      </c>
      <c r="B1296" s="1" t="n">
        <v>45618</v>
      </c>
      <c r="C1296" s="1" t="n">
        <v>45628</v>
      </c>
      <c r="D1296" t="inlineStr">
        <is>
          <t>UPPSALA LÄN</t>
        </is>
      </c>
      <c r="E1296" t="inlineStr">
        <is>
          <t>ÖSTHAMMAR</t>
        </is>
      </c>
      <c r="F1296" t="inlineStr">
        <is>
          <t>Bergvik skog öst AB</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54934-2024</t>
        </is>
      </c>
      <c r="B1297" s="1" t="n">
        <v>45618</v>
      </c>
      <c r="C1297" s="1" t="n">
        <v>45628</v>
      </c>
      <c r="D1297" t="inlineStr">
        <is>
          <t>UPPSALA LÄN</t>
        </is>
      </c>
      <c r="E1297" t="inlineStr">
        <is>
          <t>ÖSTHAMMAR</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55097-2024</t>
        </is>
      </c>
      <c r="B1298" s="1" t="n">
        <v>45621</v>
      </c>
      <c r="C1298" s="1" t="n">
        <v>45628</v>
      </c>
      <c r="D1298" t="inlineStr">
        <is>
          <t>UPPSALA LÄN</t>
        </is>
      </c>
      <c r="E1298" t="inlineStr">
        <is>
          <t>ÖSTHAMMAR</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v>
      </c>
      <c r="C1299" s="1" t="n">
        <v>45628</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55090-2024</t>
        </is>
      </c>
      <c r="B1300" s="1" t="n">
        <v>45621</v>
      </c>
      <c r="C1300" s="1" t="n">
        <v>45628</v>
      </c>
      <c r="D1300" t="inlineStr">
        <is>
          <t>UPPSALA LÄN</t>
        </is>
      </c>
      <c r="E1300" t="inlineStr">
        <is>
          <t>ÖSTHAMMAR</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55100-2024</t>
        </is>
      </c>
      <c r="B1301" s="1" t="n">
        <v>45621</v>
      </c>
      <c r="C1301" s="1" t="n">
        <v>45628</v>
      </c>
      <c r="D1301" t="inlineStr">
        <is>
          <t>UPPSALA LÄN</t>
        </is>
      </c>
      <c r="E1301" t="inlineStr">
        <is>
          <t>ÖSTHAMMAR</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55079-2024</t>
        </is>
      </c>
      <c r="B1302" s="1" t="n">
        <v>45621</v>
      </c>
      <c r="C1302" s="1" t="n">
        <v>45628</v>
      </c>
      <c r="D1302" t="inlineStr">
        <is>
          <t>UPPSALA LÄN</t>
        </is>
      </c>
      <c r="E1302" t="inlineStr">
        <is>
          <t>ÖSTHAMMAR</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c r="A1303" t="inlineStr">
        <is>
          <t>A 55093-2024</t>
        </is>
      </c>
      <c r="B1303" s="1" t="n">
        <v>45621</v>
      </c>
      <c r="C1303" s="1" t="n">
        <v>45628</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2024-12-02T14:45:42Z</dcterms:created>
  <dcterms:modified xmlns:dcterms="http://purl.org/dc/terms/" xmlns:xsi="http://www.w3.org/2001/XMLSchema-instance" xsi:type="dcterms:W3CDTF">2024-12-02T14:45:43Z</dcterms:modified>
</cp:coreProperties>
</file>