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46104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46104</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46104</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46104</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46104</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46104</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46104</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46104</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46104</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46104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46104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46104</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46104</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46104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63054-2025</t>
        </is>
      </c>
      <c r="B23" s="1" t="n">
        <v>46009</v>
      </c>
      <c r="C23" s="1" t="n">
        <v>46104</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46104</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49910-2022</t>
        </is>
      </c>
      <c r="B25" s="1" t="n">
        <v>44865</v>
      </c>
      <c r="C25" s="1" t="n">
        <v>46104</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16239-2025</t>
        </is>
      </c>
      <c r="B26" s="1" t="n">
        <v>45746</v>
      </c>
      <c r="C26" s="1" t="n">
        <v>46104</v>
      </c>
      <c r="D26" t="inlineStr">
        <is>
          <t>UPPSALA LÄN</t>
        </is>
      </c>
      <c r="E26" t="inlineStr">
        <is>
          <t>ÖSTHAMMAR</t>
        </is>
      </c>
      <c r="G26" t="n">
        <v>6.9</v>
      </c>
      <c r="H26" t="n">
        <v>5</v>
      </c>
      <c r="I26" t="n">
        <v>3</v>
      </c>
      <c r="J26" t="n">
        <v>2</v>
      </c>
      <c r="K26" t="n">
        <v>1</v>
      </c>
      <c r="L26" t="n">
        <v>0</v>
      </c>
      <c r="M26" t="n">
        <v>0</v>
      </c>
      <c r="N26" t="n">
        <v>0</v>
      </c>
      <c r="O26" t="n">
        <v>3</v>
      </c>
      <c r="P26" t="n">
        <v>1</v>
      </c>
      <c r="Q26" t="n">
        <v>7</v>
      </c>
      <c r="R26" s="2" t="inlineStr">
        <is>
          <t>Knärot
Talltita
Ullticka
Grön sköldmossa
Grönpyrola
Nästrot
Blåsippa</t>
        </is>
      </c>
      <c r="S26">
        <f>HYPERLINK("https://klasma.github.io/Logging_0382/artfynd/A 16239-2025 artfynd.xlsx", "A 16239-2025")</f>
        <v/>
      </c>
      <c r="T26">
        <f>HYPERLINK("https://klasma.github.io/Logging_0382/kartor/A 16239-2025 karta.png", "A 16239-2025")</f>
        <v/>
      </c>
      <c r="U26">
        <f>HYPERLINK("https://klasma.github.io/Logging_0382/knärot/A 16239-2025 karta knärot.png", "A 16239-2025")</f>
        <v/>
      </c>
      <c r="V26">
        <f>HYPERLINK("https://klasma.github.io/Logging_0382/klagomål/A 16239-2025 FSC-klagomål.docx", "A 16239-2025")</f>
        <v/>
      </c>
      <c r="W26">
        <f>HYPERLINK("https://klasma.github.io/Logging_0382/klagomålsmail/A 16239-2025 FSC-klagomål mail.docx", "A 16239-2025")</f>
        <v/>
      </c>
      <c r="X26">
        <f>HYPERLINK("https://klasma.github.io/Logging_0382/tillsyn/A 16239-2025 tillsynsbegäran.docx", "A 16239-2025")</f>
        <v/>
      </c>
      <c r="Y26">
        <f>HYPERLINK("https://klasma.github.io/Logging_0382/tillsynsmail/A 16239-2025 tillsynsbegäran mail.docx", "A 16239-2025")</f>
        <v/>
      </c>
      <c r="Z26">
        <f>HYPERLINK("https://klasma.github.io/Logging_0382/fåglar/A 16239-2025 prioriterade fågelarter.docx", "A 16239-2025")</f>
        <v/>
      </c>
    </row>
    <row r="27" ht="15" customHeight="1">
      <c r="A27" t="inlineStr">
        <is>
          <t>A 16242-2025</t>
        </is>
      </c>
      <c r="B27" s="1" t="n">
        <v>45746</v>
      </c>
      <c r="C27" s="1" t="n">
        <v>46104</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46104</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46104</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46104</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46104</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46104</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46104</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46104</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46104</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46104</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46104</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46104</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1101-2026</t>
        </is>
      </c>
      <c r="B39" s="1" t="n">
        <v>46030.66722222222</v>
      </c>
      <c r="C39" s="1" t="n">
        <v>46104</v>
      </c>
      <c r="D39" t="inlineStr">
        <is>
          <t>UPPSALA LÄN</t>
        </is>
      </c>
      <c r="E39" t="inlineStr">
        <is>
          <t>ÖSTHAMMAR</t>
        </is>
      </c>
      <c r="G39" t="n">
        <v>4.1</v>
      </c>
      <c r="H39" t="n">
        <v>2</v>
      </c>
      <c r="I39" t="n">
        <v>3</v>
      </c>
      <c r="J39" t="n">
        <v>1</v>
      </c>
      <c r="K39" t="n">
        <v>0</v>
      </c>
      <c r="L39" t="n">
        <v>1</v>
      </c>
      <c r="M39" t="n">
        <v>0</v>
      </c>
      <c r="N39" t="n">
        <v>0</v>
      </c>
      <c r="O39" t="n">
        <v>2</v>
      </c>
      <c r="P39" t="n">
        <v>1</v>
      </c>
      <c r="Q39" t="n">
        <v>5</v>
      </c>
      <c r="R39" s="2" t="inlineStr">
        <is>
          <t>Bredgentiana
Loppstarr
Fjällig taggsvamp s.str.
Nästrot
Tjockfotad fingersvamp</t>
        </is>
      </c>
      <c r="S39">
        <f>HYPERLINK("https://klasma.github.io/Logging_0382/artfynd/A 1101-2026 artfynd.xlsx", "A 1101-2026")</f>
        <v/>
      </c>
      <c r="T39">
        <f>HYPERLINK("https://klasma.github.io/Logging_0382/kartor/A 1101-2026 karta.png", "A 1101-2026")</f>
        <v/>
      </c>
      <c r="U39">
        <f>HYPERLINK("https://klasma.github.io/Logging_0382/knärot/A 1101-2026 karta knärot.png", "A 1101-2026")</f>
        <v/>
      </c>
      <c r="V39">
        <f>HYPERLINK("https://klasma.github.io/Logging_0382/klagomål/A 1101-2026 FSC-klagomål.docx", "A 1101-2026")</f>
        <v/>
      </c>
      <c r="W39">
        <f>HYPERLINK("https://klasma.github.io/Logging_0382/klagomålsmail/A 1101-2026 FSC-klagomål mail.docx", "A 1101-2026")</f>
        <v/>
      </c>
      <c r="X39">
        <f>HYPERLINK("https://klasma.github.io/Logging_0382/tillsyn/A 1101-2026 tillsynsbegäran.docx", "A 1101-2026")</f>
        <v/>
      </c>
      <c r="Y39">
        <f>HYPERLINK("https://klasma.github.io/Logging_0382/tillsynsmail/A 1101-2026 tillsynsbegäran mail.docx", "A 1101-2026")</f>
        <v/>
      </c>
    </row>
    <row r="40" ht="15" customHeight="1">
      <c r="A40" t="inlineStr">
        <is>
          <t>A 51154-2025</t>
        </is>
      </c>
      <c r="B40" s="1" t="n">
        <v>45947.57583333334</v>
      </c>
      <c r="C40" s="1" t="n">
        <v>46104</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26056-2025</t>
        </is>
      </c>
      <c r="B41" s="1" t="n">
        <v>45804.79280092593</v>
      </c>
      <c r="C41" s="1" t="n">
        <v>46104</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24563-2022</t>
        </is>
      </c>
      <c r="B42" s="1" t="n">
        <v>44727</v>
      </c>
      <c r="C42" s="1" t="n">
        <v>46104</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43992-2022</t>
        </is>
      </c>
      <c r="B43" s="1" t="n">
        <v>44837</v>
      </c>
      <c r="C43" s="1" t="n">
        <v>46104</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23498-2023</t>
        </is>
      </c>
      <c r="B44" s="1" t="n">
        <v>45076</v>
      </c>
      <c r="C44" s="1" t="n">
        <v>46104</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74364-2021</t>
        </is>
      </c>
      <c r="B45" s="1" t="n">
        <v>44559</v>
      </c>
      <c r="C45" s="1" t="n">
        <v>46104</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46104</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46104</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46104</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46104</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26279-2024</t>
        </is>
      </c>
      <c r="B50" s="1" t="n">
        <v>45468</v>
      </c>
      <c r="C50" s="1" t="n">
        <v>46104</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46104</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46104</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46104</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25044-2025</t>
        </is>
      </c>
      <c r="B54" s="1" t="n">
        <v>45799.66607638889</v>
      </c>
      <c r="C54" s="1" t="n">
        <v>46104</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46104</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9683-2023</t>
        </is>
      </c>
      <c r="B56" s="1" t="n">
        <v>44984.43856481482</v>
      </c>
      <c r="C56" s="1" t="n">
        <v>46104</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46104</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6567-2026</t>
        </is>
      </c>
      <c r="B58" s="1" t="n">
        <v>46056.44011574074</v>
      </c>
      <c r="C58" s="1" t="n">
        <v>46104</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9715-2024</t>
        </is>
      </c>
      <c r="B59" s="1" t="n">
        <v>45362.53928240741</v>
      </c>
      <c r="C59" s="1" t="n">
        <v>46104</v>
      </c>
      <c r="D59" t="inlineStr">
        <is>
          <t>UPPSALA LÄN</t>
        </is>
      </c>
      <c r="E59" t="inlineStr">
        <is>
          <t>ÖSTHAMMAR</t>
        </is>
      </c>
      <c r="G59" t="n">
        <v>4.7</v>
      </c>
      <c r="H59" t="n">
        <v>2</v>
      </c>
      <c r="I59" t="n">
        <v>2</v>
      </c>
      <c r="J59" t="n">
        <v>0</v>
      </c>
      <c r="K59" t="n">
        <v>1</v>
      </c>
      <c r="L59" t="n">
        <v>0</v>
      </c>
      <c r="M59" t="n">
        <v>0</v>
      </c>
      <c r="N59" t="n">
        <v>0</v>
      </c>
      <c r="O59" t="n">
        <v>1</v>
      </c>
      <c r="P59" t="n">
        <v>1</v>
      </c>
      <c r="Q59" t="n">
        <v>3</v>
      </c>
      <c r="R59" s="2" t="inlineStr">
        <is>
          <t>Knärot
Skogsknipprot
Vedticka</t>
        </is>
      </c>
      <c r="S59">
        <f>HYPERLINK("https://klasma.github.io/Logging_0382/artfynd/A 9715-2024 artfynd.xlsx", "A 9715-2024")</f>
        <v/>
      </c>
      <c r="T59">
        <f>HYPERLINK("https://klasma.github.io/Logging_0382/kartor/A 9715-2024 karta.png", "A 9715-2024")</f>
        <v/>
      </c>
      <c r="U59">
        <f>HYPERLINK("https://klasma.github.io/Logging_0382/knärot/A 9715-2024 karta knärot.png", "A 9715-2024")</f>
        <v/>
      </c>
      <c r="V59">
        <f>HYPERLINK("https://klasma.github.io/Logging_0382/klagomål/A 9715-2024 FSC-klagomål.docx", "A 9715-2024")</f>
        <v/>
      </c>
      <c r="W59">
        <f>HYPERLINK("https://klasma.github.io/Logging_0382/klagomålsmail/A 9715-2024 FSC-klagomål mail.docx", "A 9715-2024")</f>
        <v/>
      </c>
      <c r="X59">
        <f>HYPERLINK("https://klasma.github.io/Logging_0382/tillsyn/A 9715-2024 tillsynsbegäran.docx", "A 9715-2024")</f>
        <v/>
      </c>
      <c r="Y59">
        <f>HYPERLINK("https://klasma.github.io/Logging_0382/tillsynsmail/A 9715-2024 tillsynsbegäran mail.docx", "A 9715-2024")</f>
        <v/>
      </c>
    </row>
    <row r="60" ht="15" customHeight="1">
      <c r="A60" t="inlineStr">
        <is>
          <t>A 46204-2023</t>
        </is>
      </c>
      <c r="B60" s="1" t="n">
        <v>45190</v>
      </c>
      <c r="C60" s="1" t="n">
        <v>46104</v>
      </c>
      <c r="D60" t="inlineStr">
        <is>
          <t>UPPSALA LÄN</t>
        </is>
      </c>
      <c r="E60" t="inlineStr">
        <is>
          <t>ÖSTHAMMAR</t>
        </is>
      </c>
      <c r="F60" t="inlineStr">
        <is>
          <t>Övriga statliga verk och myndigheter</t>
        </is>
      </c>
      <c r="G60" t="n">
        <v>3.5</v>
      </c>
      <c r="H60" t="n">
        <v>3</v>
      </c>
      <c r="I60" t="n">
        <v>0</v>
      </c>
      <c r="J60" t="n">
        <v>3</v>
      </c>
      <c r="K60" t="n">
        <v>0</v>
      </c>
      <c r="L60" t="n">
        <v>0</v>
      </c>
      <c r="M60" t="n">
        <v>0</v>
      </c>
      <c r="N60" t="n">
        <v>0</v>
      </c>
      <c r="O60" t="n">
        <v>3</v>
      </c>
      <c r="P60" t="n">
        <v>0</v>
      </c>
      <c r="Q60" t="n">
        <v>3</v>
      </c>
      <c r="R60" s="2" t="inlineStr">
        <is>
          <t>Grönsångare
Gulsparv
Ärtsångare</t>
        </is>
      </c>
      <c r="S60">
        <f>HYPERLINK("https://klasma.github.io/Logging_0382/artfynd/A 46204-2023 artfynd.xlsx", "A 46204-2023")</f>
        <v/>
      </c>
      <c r="T60">
        <f>HYPERLINK("https://klasma.github.io/Logging_0382/kartor/A 46204-2023 karta.png", "A 46204-2023")</f>
        <v/>
      </c>
      <c r="V60">
        <f>HYPERLINK("https://klasma.github.io/Logging_0382/klagomål/A 46204-2023 FSC-klagomål.docx", "A 46204-2023")</f>
        <v/>
      </c>
      <c r="W60">
        <f>HYPERLINK("https://klasma.github.io/Logging_0382/klagomålsmail/A 46204-2023 FSC-klagomål mail.docx", "A 46204-2023")</f>
        <v/>
      </c>
      <c r="X60">
        <f>HYPERLINK("https://klasma.github.io/Logging_0382/tillsyn/A 46204-2023 tillsynsbegäran.docx", "A 46204-2023")</f>
        <v/>
      </c>
      <c r="Y60">
        <f>HYPERLINK("https://klasma.github.io/Logging_0382/tillsynsmail/A 46204-2023 tillsynsbegäran mail.docx", "A 46204-2023")</f>
        <v/>
      </c>
      <c r="Z60">
        <f>HYPERLINK("https://klasma.github.io/Logging_0382/fåglar/A 46204-2023 prioriterade fågelarter.docx", "A 46204-2023")</f>
        <v/>
      </c>
    </row>
    <row r="61" ht="15" customHeight="1">
      <c r="A61" t="inlineStr">
        <is>
          <t>A 26557-2022</t>
        </is>
      </c>
      <c r="B61" s="1" t="n">
        <v>44739</v>
      </c>
      <c r="C61" s="1" t="n">
        <v>46104</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60078-2021</t>
        </is>
      </c>
      <c r="B62" s="1" t="n">
        <v>44495</v>
      </c>
      <c r="C62" s="1" t="n">
        <v>46104</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46104</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46104</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56669-2025</t>
        </is>
      </c>
      <c r="B65" s="1" t="n">
        <v>45975.69306712963</v>
      </c>
      <c r="C65" s="1" t="n">
        <v>46104</v>
      </c>
      <c r="D65" t="inlineStr">
        <is>
          <t>UPPSALA LÄN</t>
        </is>
      </c>
      <c r="E65" t="inlineStr">
        <is>
          <t>ÖSTHAMMAR</t>
        </is>
      </c>
      <c r="G65" t="n">
        <v>2.1</v>
      </c>
      <c r="H65" t="n">
        <v>0</v>
      </c>
      <c r="I65" t="n">
        <v>2</v>
      </c>
      <c r="J65" t="n">
        <v>0</v>
      </c>
      <c r="K65" t="n">
        <v>0</v>
      </c>
      <c r="L65" t="n">
        <v>0</v>
      </c>
      <c r="M65" t="n">
        <v>0</v>
      </c>
      <c r="N65" t="n">
        <v>0</v>
      </c>
      <c r="O65" t="n">
        <v>0</v>
      </c>
      <c r="P65" t="n">
        <v>0</v>
      </c>
      <c r="Q65" t="n">
        <v>2</v>
      </c>
      <c r="R65" s="2" t="inlineStr">
        <is>
          <t>Anisspindling
Svavelriska</t>
        </is>
      </c>
      <c r="S65">
        <f>HYPERLINK("https://klasma.github.io/Logging_0382/artfynd/A 56669-2025 artfynd.xlsx", "A 56669-2025")</f>
        <v/>
      </c>
      <c r="T65">
        <f>HYPERLINK("https://klasma.github.io/Logging_0382/kartor/A 56669-2025 karta.png", "A 56669-2025")</f>
        <v/>
      </c>
      <c r="V65">
        <f>HYPERLINK("https://klasma.github.io/Logging_0382/klagomål/A 56669-2025 FSC-klagomål.docx", "A 56669-2025")</f>
        <v/>
      </c>
      <c r="W65">
        <f>HYPERLINK("https://klasma.github.io/Logging_0382/klagomålsmail/A 56669-2025 FSC-klagomål mail.docx", "A 56669-2025")</f>
        <v/>
      </c>
      <c r="X65">
        <f>HYPERLINK("https://klasma.github.io/Logging_0382/tillsyn/A 56669-2025 tillsynsbegäran.docx", "A 56669-2025")</f>
        <v/>
      </c>
      <c r="Y65">
        <f>HYPERLINK("https://klasma.github.io/Logging_0382/tillsynsmail/A 56669-2025 tillsynsbegäran mail.docx", "A 56669-2025")</f>
        <v/>
      </c>
    </row>
    <row r="66" ht="15" customHeight="1">
      <c r="A66" t="inlineStr">
        <is>
          <t>A 41303-2025</t>
        </is>
      </c>
      <c r="B66" s="1" t="n">
        <v>45898.69215277778</v>
      </c>
      <c r="C66" s="1" t="n">
        <v>46104</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60898-2025</t>
        </is>
      </c>
      <c r="B67" s="1" t="n">
        <v>45999.58256944444</v>
      </c>
      <c r="C67" s="1" t="n">
        <v>46104</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61400-2025</t>
        </is>
      </c>
      <c r="B68" s="1" t="n">
        <v>46001.47858796296</v>
      </c>
      <c r="C68" s="1" t="n">
        <v>46104</v>
      </c>
      <c r="D68" t="inlineStr">
        <is>
          <t>UPPSALA LÄN</t>
        </is>
      </c>
      <c r="E68" t="inlineStr">
        <is>
          <t>ÖSTHAMMAR</t>
        </is>
      </c>
      <c r="F68" t="inlineStr">
        <is>
          <t>Naturvårdsverket</t>
        </is>
      </c>
      <c r="G68" t="n">
        <v>10.9</v>
      </c>
      <c r="H68" t="n">
        <v>0</v>
      </c>
      <c r="I68" t="n">
        <v>2</v>
      </c>
      <c r="J68" t="n">
        <v>0</v>
      </c>
      <c r="K68" t="n">
        <v>0</v>
      </c>
      <c r="L68" t="n">
        <v>0</v>
      </c>
      <c r="M68" t="n">
        <v>0</v>
      </c>
      <c r="N68" t="n">
        <v>0</v>
      </c>
      <c r="O68" t="n">
        <v>0</v>
      </c>
      <c r="P68" t="n">
        <v>0</v>
      </c>
      <c r="Q68" t="n">
        <v>2</v>
      </c>
      <c r="R68" s="2" t="inlineStr">
        <is>
          <t>Granbarkgnagare
Kattfotslav</t>
        </is>
      </c>
      <c r="S68">
        <f>HYPERLINK("https://klasma.github.io/Logging_0382/artfynd/A 61400-2025 artfynd.xlsx", "A 61400-2025")</f>
        <v/>
      </c>
      <c r="T68">
        <f>HYPERLINK("https://klasma.github.io/Logging_0382/kartor/A 61400-2025 karta.png", "A 61400-2025")</f>
        <v/>
      </c>
      <c r="V68">
        <f>HYPERLINK("https://klasma.github.io/Logging_0382/klagomål/A 61400-2025 FSC-klagomål.docx", "A 61400-2025")</f>
        <v/>
      </c>
      <c r="W68">
        <f>HYPERLINK("https://klasma.github.io/Logging_0382/klagomålsmail/A 61400-2025 FSC-klagomål mail.docx", "A 61400-2025")</f>
        <v/>
      </c>
      <c r="X68">
        <f>HYPERLINK("https://klasma.github.io/Logging_0382/tillsyn/A 61400-2025 tillsynsbegäran.docx", "A 61400-2025")</f>
        <v/>
      </c>
      <c r="Y68">
        <f>HYPERLINK("https://klasma.github.io/Logging_0382/tillsynsmail/A 61400-2025 tillsynsbegäran mail.docx", "A 61400-2025")</f>
        <v/>
      </c>
    </row>
    <row r="69" ht="15" customHeight="1">
      <c r="A69" t="inlineStr">
        <is>
          <t>A 18539-2024</t>
        </is>
      </c>
      <c r="B69" s="1" t="n">
        <v>45425.63697916667</v>
      </c>
      <c r="C69" s="1" t="n">
        <v>46104</v>
      </c>
      <c r="D69" t="inlineStr">
        <is>
          <t>UPPSALA LÄN</t>
        </is>
      </c>
      <c r="E69" t="inlineStr">
        <is>
          <t>ÖSTHAMMAR</t>
        </is>
      </c>
      <c r="G69" t="n">
        <v>4.7</v>
      </c>
      <c r="H69" t="n">
        <v>0</v>
      </c>
      <c r="I69" t="n">
        <v>2</v>
      </c>
      <c r="J69" t="n">
        <v>0</v>
      </c>
      <c r="K69" t="n">
        <v>0</v>
      </c>
      <c r="L69" t="n">
        <v>0</v>
      </c>
      <c r="M69" t="n">
        <v>0</v>
      </c>
      <c r="N69" t="n">
        <v>0</v>
      </c>
      <c r="O69" t="n">
        <v>0</v>
      </c>
      <c r="P69" t="n">
        <v>0</v>
      </c>
      <c r="Q69" t="n">
        <v>2</v>
      </c>
      <c r="R69" s="2" t="inlineStr">
        <is>
          <t>Bronshjon
Vågbandad barkbock</t>
        </is>
      </c>
      <c r="S69">
        <f>HYPERLINK("https://klasma.github.io/Logging_0382/artfynd/A 18539-2024 artfynd.xlsx", "A 18539-2024")</f>
        <v/>
      </c>
      <c r="T69">
        <f>HYPERLINK("https://klasma.github.io/Logging_0382/kartor/A 18539-2024 karta.png", "A 18539-2024")</f>
        <v/>
      </c>
      <c r="V69">
        <f>HYPERLINK("https://klasma.github.io/Logging_0382/klagomål/A 18539-2024 FSC-klagomål.docx", "A 18539-2024")</f>
        <v/>
      </c>
      <c r="W69">
        <f>HYPERLINK("https://klasma.github.io/Logging_0382/klagomålsmail/A 18539-2024 FSC-klagomål mail.docx", "A 18539-2024")</f>
        <v/>
      </c>
      <c r="X69">
        <f>HYPERLINK("https://klasma.github.io/Logging_0382/tillsyn/A 18539-2024 tillsynsbegäran.docx", "A 18539-2024")</f>
        <v/>
      </c>
      <c r="Y69">
        <f>HYPERLINK("https://klasma.github.io/Logging_0382/tillsynsmail/A 18539-2024 tillsynsbegäran mail.docx", "A 18539-2024")</f>
        <v/>
      </c>
    </row>
    <row r="70" ht="15" customHeight="1">
      <c r="A70" t="inlineStr">
        <is>
          <t>A 20553-2025</t>
        </is>
      </c>
      <c r="B70" s="1" t="n">
        <v>45775.63983796296</v>
      </c>
      <c r="C70" s="1" t="n">
        <v>46104</v>
      </c>
      <c r="D70" t="inlineStr">
        <is>
          <t>UPPSALA LÄN</t>
        </is>
      </c>
      <c r="E70" t="inlineStr">
        <is>
          <t>ÖSTHAMMAR</t>
        </is>
      </c>
      <c r="G70" t="n">
        <v>0.4</v>
      </c>
      <c r="H70" t="n">
        <v>0</v>
      </c>
      <c r="I70" t="n">
        <v>2</v>
      </c>
      <c r="J70" t="n">
        <v>0</v>
      </c>
      <c r="K70" t="n">
        <v>0</v>
      </c>
      <c r="L70" t="n">
        <v>0</v>
      </c>
      <c r="M70" t="n">
        <v>0</v>
      </c>
      <c r="N70" t="n">
        <v>0</v>
      </c>
      <c r="O70" t="n">
        <v>0</v>
      </c>
      <c r="P70" t="n">
        <v>0</v>
      </c>
      <c r="Q70" t="n">
        <v>2</v>
      </c>
      <c r="R70" s="2" t="inlineStr">
        <is>
          <t>Jättesvampmal
Robust tickgnagare</t>
        </is>
      </c>
      <c r="S70">
        <f>HYPERLINK("https://klasma.github.io/Logging_0382/artfynd/A 20553-2025 artfynd.xlsx", "A 20553-2025")</f>
        <v/>
      </c>
      <c r="T70">
        <f>HYPERLINK("https://klasma.github.io/Logging_0382/kartor/A 20553-2025 karta.png", "A 20553-2025")</f>
        <v/>
      </c>
      <c r="V70">
        <f>HYPERLINK("https://klasma.github.io/Logging_0382/klagomål/A 20553-2025 FSC-klagomål.docx", "A 20553-2025")</f>
        <v/>
      </c>
      <c r="W70">
        <f>HYPERLINK("https://klasma.github.io/Logging_0382/klagomålsmail/A 20553-2025 FSC-klagomål mail.docx", "A 20553-2025")</f>
        <v/>
      </c>
      <c r="X70">
        <f>HYPERLINK("https://klasma.github.io/Logging_0382/tillsyn/A 20553-2025 tillsynsbegäran.docx", "A 20553-2025")</f>
        <v/>
      </c>
      <c r="Y70">
        <f>HYPERLINK("https://klasma.github.io/Logging_0382/tillsynsmail/A 20553-2025 tillsynsbegäran mail.docx", "A 20553-2025")</f>
        <v/>
      </c>
    </row>
    <row r="71" ht="15" customHeight="1">
      <c r="A71" t="inlineStr">
        <is>
          <t>A 2916-2025</t>
        </is>
      </c>
      <c r="B71" s="1" t="n">
        <v>45677</v>
      </c>
      <c r="C71" s="1" t="n">
        <v>46104</v>
      </c>
      <c r="D71" t="inlineStr">
        <is>
          <t>UPPSALA LÄN</t>
        </is>
      </c>
      <c r="E71" t="inlineStr">
        <is>
          <t>ÖSTHAMMAR</t>
        </is>
      </c>
      <c r="F71" t="inlineStr">
        <is>
          <t>Allmännings- och besparingsskogar</t>
        </is>
      </c>
      <c r="G71" t="n">
        <v>10.5</v>
      </c>
      <c r="H71" t="n">
        <v>2</v>
      </c>
      <c r="I71" t="n">
        <v>0</v>
      </c>
      <c r="J71" t="n">
        <v>0</v>
      </c>
      <c r="K71" t="n">
        <v>0</v>
      </c>
      <c r="L71" t="n">
        <v>0</v>
      </c>
      <c r="M71" t="n">
        <v>0</v>
      </c>
      <c r="N71" t="n">
        <v>0</v>
      </c>
      <c r="O71" t="n">
        <v>0</v>
      </c>
      <c r="P71" t="n">
        <v>0</v>
      </c>
      <c r="Q71" t="n">
        <v>2</v>
      </c>
      <c r="R71" s="2" t="inlineStr">
        <is>
          <t>Grönvit nattviol
Ängsnycklar × fläcknycklar</t>
        </is>
      </c>
      <c r="S71">
        <f>HYPERLINK("https://klasma.github.io/Logging_0382/artfynd/A 2916-2025 artfynd.xlsx", "A 2916-2025")</f>
        <v/>
      </c>
      <c r="T71">
        <f>HYPERLINK("https://klasma.github.io/Logging_0382/kartor/A 2916-2025 karta.png", "A 2916-2025")</f>
        <v/>
      </c>
      <c r="V71">
        <f>HYPERLINK("https://klasma.github.io/Logging_0382/klagomål/A 2916-2025 FSC-klagomål.docx", "A 2916-2025")</f>
        <v/>
      </c>
      <c r="W71">
        <f>HYPERLINK("https://klasma.github.io/Logging_0382/klagomålsmail/A 2916-2025 FSC-klagomål mail.docx", "A 2916-2025")</f>
        <v/>
      </c>
      <c r="X71">
        <f>HYPERLINK("https://klasma.github.io/Logging_0382/tillsyn/A 2916-2025 tillsynsbegäran.docx", "A 2916-2025")</f>
        <v/>
      </c>
      <c r="Y71">
        <f>HYPERLINK("https://klasma.github.io/Logging_0382/tillsynsmail/A 2916-2025 tillsynsbegäran mail.docx", "A 2916-2025")</f>
        <v/>
      </c>
    </row>
    <row r="72" ht="15" customHeight="1">
      <c r="A72" t="inlineStr">
        <is>
          <t>A 13287-2022</t>
        </is>
      </c>
      <c r="B72" s="1" t="n">
        <v>44644</v>
      </c>
      <c r="C72" s="1" t="n">
        <v>46104</v>
      </c>
      <c r="D72" t="inlineStr">
        <is>
          <t>UPPSALA LÄN</t>
        </is>
      </c>
      <c r="E72" t="inlineStr">
        <is>
          <t>ÖSTHAMMAR</t>
        </is>
      </c>
      <c r="G72" t="n">
        <v>14.6</v>
      </c>
      <c r="H72" t="n">
        <v>0</v>
      </c>
      <c r="I72" t="n">
        <v>1</v>
      </c>
      <c r="J72" t="n">
        <v>0</v>
      </c>
      <c r="K72" t="n">
        <v>1</v>
      </c>
      <c r="L72" t="n">
        <v>0</v>
      </c>
      <c r="M72" t="n">
        <v>0</v>
      </c>
      <c r="N72" t="n">
        <v>0</v>
      </c>
      <c r="O72" t="n">
        <v>1</v>
      </c>
      <c r="P72" t="n">
        <v>1</v>
      </c>
      <c r="Q72" t="n">
        <v>2</v>
      </c>
      <c r="R72" s="2" t="inlineStr">
        <is>
          <t>Bullspindling
Olivspindling</t>
        </is>
      </c>
      <c r="S72">
        <f>HYPERLINK("https://klasma.github.io/Logging_0382/artfynd/A 13287-2022 artfynd.xlsx", "A 13287-2022")</f>
        <v/>
      </c>
      <c r="T72">
        <f>HYPERLINK("https://klasma.github.io/Logging_0382/kartor/A 13287-2022 karta.png", "A 13287-2022")</f>
        <v/>
      </c>
      <c r="V72">
        <f>HYPERLINK("https://klasma.github.io/Logging_0382/klagomål/A 13287-2022 FSC-klagomål.docx", "A 13287-2022")</f>
        <v/>
      </c>
      <c r="W72">
        <f>HYPERLINK("https://klasma.github.io/Logging_0382/klagomålsmail/A 13287-2022 FSC-klagomål mail.docx", "A 13287-2022")</f>
        <v/>
      </c>
      <c r="X72">
        <f>HYPERLINK("https://klasma.github.io/Logging_0382/tillsyn/A 13287-2022 tillsynsbegäran.docx", "A 13287-2022")</f>
        <v/>
      </c>
      <c r="Y72">
        <f>HYPERLINK("https://klasma.github.io/Logging_0382/tillsynsmail/A 13287-2022 tillsynsbegäran mail.docx", "A 13287-2022")</f>
        <v/>
      </c>
    </row>
    <row r="73" ht="15" customHeight="1">
      <c r="A73" t="inlineStr">
        <is>
          <t>A 30943-2024</t>
        </is>
      </c>
      <c r="B73" s="1" t="n">
        <v>45499</v>
      </c>
      <c r="C73" s="1" t="n">
        <v>46104</v>
      </c>
      <c r="D73" t="inlineStr">
        <is>
          <t>UPPSALA LÄN</t>
        </is>
      </c>
      <c r="E73" t="inlineStr">
        <is>
          <t>ÖSTHAMMAR</t>
        </is>
      </c>
      <c r="G73" t="n">
        <v>4.5</v>
      </c>
      <c r="H73" t="n">
        <v>0</v>
      </c>
      <c r="I73" t="n">
        <v>2</v>
      </c>
      <c r="J73" t="n">
        <v>0</v>
      </c>
      <c r="K73" t="n">
        <v>0</v>
      </c>
      <c r="L73" t="n">
        <v>0</v>
      </c>
      <c r="M73" t="n">
        <v>0</v>
      </c>
      <c r="N73" t="n">
        <v>0</v>
      </c>
      <c r="O73" t="n">
        <v>0</v>
      </c>
      <c r="P73" t="n">
        <v>0</v>
      </c>
      <c r="Q73" t="n">
        <v>2</v>
      </c>
      <c r="R73" s="2" t="inlineStr">
        <is>
          <t>Tibast
Underviol</t>
        </is>
      </c>
      <c r="S73">
        <f>HYPERLINK("https://klasma.github.io/Logging_0382/artfynd/A 30943-2024 artfynd.xlsx", "A 30943-2024")</f>
        <v/>
      </c>
      <c r="T73">
        <f>HYPERLINK("https://klasma.github.io/Logging_0382/kartor/A 30943-2024 karta.png", "A 30943-2024")</f>
        <v/>
      </c>
      <c r="V73">
        <f>HYPERLINK("https://klasma.github.io/Logging_0382/klagomål/A 30943-2024 FSC-klagomål.docx", "A 30943-2024")</f>
        <v/>
      </c>
      <c r="W73">
        <f>HYPERLINK("https://klasma.github.io/Logging_0382/klagomålsmail/A 30943-2024 FSC-klagomål mail.docx", "A 30943-2024")</f>
        <v/>
      </c>
      <c r="X73">
        <f>HYPERLINK("https://klasma.github.io/Logging_0382/tillsyn/A 30943-2024 tillsynsbegäran.docx", "A 30943-2024")</f>
        <v/>
      </c>
      <c r="Y73">
        <f>HYPERLINK("https://klasma.github.io/Logging_0382/tillsynsmail/A 30943-2024 tillsynsbegäran mail.docx", "A 30943-2024")</f>
        <v/>
      </c>
    </row>
    <row r="74" ht="15" customHeight="1">
      <c r="A74" t="inlineStr">
        <is>
          <t>A 9646-2024</t>
        </is>
      </c>
      <c r="B74" s="1" t="n">
        <v>45362.37055555556</v>
      </c>
      <c r="C74" s="1" t="n">
        <v>46104</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33269-2025</t>
        </is>
      </c>
      <c r="B75" s="1" t="n">
        <v>45840.68208333333</v>
      </c>
      <c r="C75" s="1" t="n">
        <v>46104</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37768-2025</t>
        </is>
      </c>
      <c r="B76" s="1" t="n">
        <v>45880</v>
      </c>
      <c r="C76" s="1" t="n">
        <v>46104</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26277-2024</t>
        </is>
      </c>
      <c r="B77" s="1" t="n">
        <v>45468</v>
      </c>
      <c r="C77" s="1" t="n">
        <v>46104</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46104</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46104</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46104</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46104</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46104</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38442-2022</t>
        </is>
      </c>
      <c r="B83" s="1" t="n">
        <v>44813</v>
      </c>
      <c r="C83" s="1" t="n">
        <v>46104</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46104</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46104</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46104</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46104</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63615-2021</t>
        </is>
      </c>
      <c r="B88" s="1" t="n">
        <v>44509</v>
      </c>
      <c r="C88" s="1" t="n">
        <v>46104</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46104</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7446-2022</t>
        </is>
      </c>
      <c r="B90" s="1" t="n">
        <v>44606</v>
      </c>
      <c r="C90" s="1" t="n">
        <v>46104</v>
      </c>
      <c r="D90" t="inlineStr">
        <is>
          <t>UPPSALA LÄN</t>
        </is>
      </c>
      <c r="E90" t="inlineStr">
        <is>
          <t>ÖSTHAMMAR</t>
        </is>
      </c>
      <c r="G90" t="n">
        <v>5</v>
      </c>
      <c r="H90" t="n">
        <v>1</v>
      </c>
      <c r="I90" t="n">
        <v>0</v>
      </c>
      <c r="J90" t="n">
        <v>0</v>
      </c>
      <c r="K90" t="n">
        <v>0</v>
      </c>
      <c r="L90" t="n">
        <v>0</v>
      </c>
      <c r="M90" t="n">
        <v>0</v>
      </c>
      <c r="N90" t="n">
        <v>0</v>
      </c>
      <c r="O90" t="n">
        <v>0</v>
      </c>
      <c r="P90" t="n">
        <v>0</v>
      </c>
      <c r="Q90" t="n">
        <v>1</v>
      </c>
      <c r="R90" s="2" t="inlineStr">
        <is>
          <t>Mattlummer</t>
        </is>
      </c>
      <c r="S90">
        <f>HYPERLINK("https://klasma.github.io/Logging_0382/artfynd/A 7446-2022 artfynd.xlsx", "A 7446-2022")</f>
        <v/>
      </c>
      <c r="T90">
        <f>HYPERLINK("https://klasma.github.io/Logging_0382/kartor/A 7446-2022 karta.png", "A 7446-2022")</f>
        <v/>
      </c>
      <c r="V90">
        <f>HYPERLINK("https://klasma.github.io/Logging_0382/klagomål/A 7446-2022 FSC-klagomål.docx", "A 7446-2022")</f>
        <v/>
      </c>
      <c r="W90">
        <f>HYPERLINK("https://klasma.github.io/Logging_0382/klagomålsmail/A 7446-2022 FSC-klagomål mail.docx", "A 7446-2022")</f>
        <v/>
      </c>
      <c r="X90">
        <f>HYPERLINK("https://klasma.github.io/Logging_0382/tillsyn/A 7446-2022 tillsynsbegäran.docx", "A 7446-2022")</f>
        <v/>
      </c>
      <c r="Y90">
        <f>HYPERLINK("https://klasma.github.io/Logging_0382/tillsynsmail/A 7446-2022 tillsynsbegäran mail.docx", "A 7446-2022")</f>
        <v/>
      </c>
    </row>
    <row r="91" ht="15" customHeight="1">
      <c r="A91" t="inlineStr">
        <is>
          <t>A 41220-2025</t>
        </is>
      </c>
      <c r="B91" s="1" t="n">
        <v>45898.58630787037</v>
      </c>
      <c r="C91" s="1" t="n">
        <v>46104</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61410-2025</t>
        </is>
      </c>
      <c r="B92" s="1" t="n">
        <v>46001.51974537037</v>
      </c>
      <c r="C92" s="1" t="n">
        <v>46104</v>
      </c>
      <c r="D92" t="inlineStr">
        <is>
          <t>UPPSALA LÄN</t>
        </is>
      </c>
      <c r="E92" t="inlineStr">
        <is>
          <t>ÖSTHAMMAR</t>
        </is>
      </c>
      <c r="G92" t="n">
        <v>3.5</v>
      </c>
      <c r="H92" t="n">
        <v>0</v>
      </c>
      <c r="I92" t="n">
        <v>1</v>
      </c>
      <c r="J92" t="n">
        <v>0</v>
      </c>
      <c r="K92" t="n">
        <v>0</v>
      </c>
      <c r="L92" t="n">
        <v>0</v>
      </c>
      <c r="M92" t="n">
        <v>0</v>
      </c>
      <c r="N92" t="n">
        <v>0</v>
      </c>
      <c r="O92" t="n">
        <v>0</v>
      </c>
      <c r="P92" t="n">
        <v>0</v>
      </c>
      <c r="Q92" t="n">
        <v>1</v>
      </c>
      <c r="R92" s="2" t="inlineStr">
        <is>
          <t>Trådticka</t>
        </is>
      </c>
      <c r="S92">
        <f>HYPERLINK("https://klasma.github.io/Logging_0382/artfynd/A 61410-2025 artfynd.xlsx", "A 61410-2025")</f>
        <v/>
      </c>
      <c r="T92">
        <f>HYPERLINK("https://klasma.github.io/Logging_0382/kartor/A 61410-2025 karta.png", "A 61410-2025")</f>
        <v/>
      </c>
      <c r="V92">
        <f>HYPERLINK("https://klasma.github.io/Logging_0382/klagomål/A 61410-2025 FSC-klagomål.docx", "A 61410-2025")</f>
        <v/>
      </c>
      <c r="W92">
        <f>HYPERLINK("https://klasma.github.io/Logging_0382/klagomålsmail/A 61410-2025 FSC-klagomål mail.docx", "A 61410-2025")</f>
        <v/>
      </c>
      <c r="X92">
        <f>HYPERLINK("https://klasma.github.io/Logging_0382/tillsyn/A 61410-2025 tillsynsbegäran.docx", "A 61410-2025")</f>
        <v/>
      </c>
      <c r="Y92">
        <f>HYPERLINK("https://klasma.github.io/Logging_0382/tillsynsmail/A 61410-2025 tillsynsbegäran mail.docx", "A 61410-2025")</f>
        <v/>
      </c>
    </row>
    <row r="93" ht="15" customHeight="1">
      <c r="A93" t="inlineStr">
        <is>
          <t>A 22287-2023</t>
        </is>
      </c>
      <c r="B93" s="1" t="n">
        <v>45070</v>
      </c>
      <c r="C93" s="1" t="n">
        <v>46104</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61574-2025</t>
        </is>
      </c>
      <c r="B94" s="1" t="n">
        <v>46002</v>
      </c>
      <c r="C94" s="1" t="n">
        <v>46104</v>
      </c>
      <c r="D94" t="inlineStr">
        <is>
          <t>UPPSALA LÄN</t>
        </is>
      </c>
      <c r="E94" t="inlineStr">
        <is>
          <t>ÖSTHAMMAR</t>
        </is>
      </c>
      <c r="F94" t="inlineStr">
        <is>
          <t>Övriga Aktiebolag</t>
        </is>
      </c>
      <c r="G94" t="n">
        <v>16.6</v>
      </c>
      <c r="H94" t="n">
        <v>1</v>
      </c>
      <c r="I94" t="n">
        <v>0</v>
      </c>
      <c r="J94" t="n">
        <v>0</v>
      </c>
      <c r="K94" t="n">
        <v>1</v>
      </c>
      <c r="L94" t="n">
        <v>0</v>
      </c>
      <c r="M94" t="n">
        <v>0</v>
      </c>
      <c r="N94" t="n">
        <v>0</v>
      </c>
      <c r="O94" t="n">
        <v>1</v>
      </c>
      <c r="P94" t="n">
        <v>1</v>
      </c>
      <c r="Q94" t="n">
        <v>1</v>
      </c>
      <c r="R94" s="2" t="inlineStr">
        <is>
          <t>Hällebräcka</t>
        </is>
      </c>
      <c r="S94">
        <f>HYPERLINK("https://klasma.github.io/Logging_0382/artfynd/A 61574-2025 artfynd.xlsx", "A 61574-2025")</f>
        <v/>
      </c>
      <c r="T94">
        <f>HYPERLINK("https://klasma.github.io/Logging_0382/kartor/A 61574-2025 karta.png", "A 61574-2025")</f>
        <v/>
      </c>
      <c r="V94">
        <f>HYPERLINK("https://klasma.github.io/Logging_0382/klagomål/A 61574-2025 FSC-klagomål.docx", "A 61574-2025")</f>
        <v/>
      </c>
      <c r="W94">
        <f>HYPERLINK("https://klasma.github.io/Logging_0382/klagomålsmail/A 61574-2025 FSC-klagomål mail.docx", "A 61574-2025")</f>
        <v/>
      </c>
      <c r="X94">
        <f>HYPERLINK("https://klasma.github.io/Logging_0382/tillsyn/A 61574-2025 tillsynsbegäran.docx", "A 61574-2025")</f>
        <v/>
      </c>
      <c r="Y94">
        <f>HYPERLINK("https://klasma.github.io/Logging_0382/tillsynsmail/A 61574-2025 tillsynsbegäran mail.docx", "A 61574-2025")</f>
        <v/>
      </c>
    </row>
    <row r="95" ht="15" customHeight="1">
      <c r="A95" t="inlineStr">
        <is>
          <t>A 46629-2024</t>
        </is>
      </c>
      <c r="B95" s="1" t="n">
        <v>45583.33221064815</v>
      </c>
      <c r="C95" s="1" t="n">
        <v>46104</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52879-2025</t>
        </is>
      </c>
      <c r="B96" s="1" t="n">
        <v>45957.544375</v>
      </c>
      <c r="C96" s="1" t="n">
        <v>46104</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10034-2023</t>
        </is>
      </c>
      <c r="B97" s="1" t="n">
        <v>44985</v>
      </c>
      <c r="C97" s="1" t="n">
        <v>46104</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4714-2026</t>
        </is>
      </c>
      <c r="B98" s="1" t="n">
        <v>46048.46175925926</v>
      </c>
      <c r="C98" s="1" t="n">
        <v>46104</v>
      </c>
      <c r="D98" t="inlineStr">
        <is>
          <t>UPPSALA LÄN</t>
        </is>
      </c>
      <c r="E98" t="inlineStr">
        <is>
          <t>ÖSTHAMMAR</t>
        </is>
      </c>
      <c r="G98" t="n">
        <v>6.3</v>
      </c>
      <c r="H98" t="n">
        <v>1</v>
      </c>
      <c r="I98" t="n">
        <v>0</v>
      </c>
      <c r="J98" t="n">
        <v>1</v>
      </c>
      <c r="K98" t="n">
        <v>0</v>
      </c>
      <c r="L98" t="n">
        <v>0</v>
      </c>
      <c r="M98" t="n">
        <v>0</v>
      </c>
      <c r="N98" t="n">
        <v>0</v>
      </c>
      <c r="O98" t="n">
        <v>1</v>
      </c>
      <c r="P98" t="n">
        <v>0</v>
      </c>
      <c r="Q98" t="n">
        <v>1</v>
      </c>
      <c r="R98" s="2" t="inlineStr">
        <is>
          <t>Nordfladdermus</t>
        </is>
      </c>
      <c r="S98">
        <f>HYPERLINK("https://klasma.github.io/Logging_0382/artfynd/A 4714-2026 artfynd.xlsx", "A 4714-2026")</f>
        <v/>
      </c>
      <c r="T98">
        <f>HYPERLINK("https://klasma.github.io/Logging_0382/kartor/A 4714-2026 karta.png", "A 4714-2026")</f>
        <v/>
      </c>
      <c r="V98">
        <f>HYPERLINK("https://klasma.github.io/Logging_0382/klagomål/A 4714-2026 FSC-klagomål.docx", "A 4714-2026")</f>
        <v/>
      </c>
      <c r="W98">
        <f>HYPERLINK("https://klasma.github.io/Logging_0382/klagomålsmail/A 4714-2026 FSC-klagomål mail.docx", "A 4714-2026")</f>
        <v/>
      </c>
      <c r="X98">
        <f>HYPERLINK("https://klasma.github.io/Logging_0382/tillsyn/A 4714-2026 tillsynsbegäran.docx", "A 4714-2026")</f>
        <v/>
      </c>
      <c r="Y98">
        <f>HYPERLINK("https://klasma.github.io/Logging_0382/tillsynsmail/A 4714-2026 tillsynsbegäran mail.docx", "A 4714-2026")</f>
        <v/>
      </c>
    </row>
    <row r="99" ht="15" customHeight="1">
      <c r="A99" t="inlineStr">
        <is>
          <t>A 7470-2022</t>
        </is>
      </c>
      <c r="B99" s="1" t="n">
        <v>44607</v>
      </c>
      <c r="C99" s="1" t="n">
        <v>46104</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6507-2026</t>
        </is>
      </c>
      <c r="B100" s="1" t="n">
        <v>46056.38474537037</v>
      </c>
      <c r="C100" s="1" t="n">
        <v>46104</v>
      </c>
      <c r="D100" t="inlineStr">
        <is>
          <t>UPPSALA LÄN</t>
        </is>
      </c>
      <c r="E100" t="inlineStr">
        <is>
          <t>ÖSTHAMMAR</t>
        </is>
      </c>
      <c r="F100" t="inlineStr">
        <is>
          <t>Bergvik skog öst AB</t>
        </is>
      </c>
      <c r="G100" t="n">
        <v>1.5</v>
      </c>
      <c r="H100" t="n">
        <v>0</v>
      </c>
      <c r="I100" t="n">
        <v>1</v>
      </c>
      <c r="J100" t="n">
        <v>0</v>
      </c>
      <c r="K100" t="n">
        <v>0</v>
      </c>
      <c r="L100" t="n">
        <v>0</v>
      </c>
      <c r="M100" t="n">
        <v>0</v>
      </c>
      <c r="N100" t="n">
        <v>0</v>
      </c>
      <c r="O100" t="n">
        <v>0</v>
      </c>
      <c r="P100" t="n">
        <v>0</v>
      </c>
      <c r="Q100" t="n">
        <v>1</v>
      </c>
      <c r="R100" s="2" t="inlineStr">
        <is>
          <t>Tibast</t>
        </is>
      </c>
      <c r="S100">
        <f>HYPERLINK("https://klasma.github.io/Logging_0382/artfynd/A 6507-2026 artfynd.xlsx", "A 6507-2026")</f>
        <v/>
      </c>
      <c r="T100">
        <f>HYPERLINK("https://klasma.github.io/Logging_0382/kartor/A 6507-2026 karta.png", "A 6507-2026")</f>
        <v/>
      </c>
      <c r="V100">
        <f>HYPERLINK("https://klasma.github.io/Logging_0382/klagomål/A 6507-2026 FSC-klagomål.docx", "A 6507-2026")</f>
        <v/>
      </c>
      <c r="W100">
        <f>HYPERLINK("https://klasma.github.io/Logging_0382/klagomålsmail/A 6507-2026 FSC-klagomål mail.docx", "A 6507-2026")</f>
        <v/>
      </c>
      <c r="X100">
        <f>HYPERLINK("https://klasma.github.io/Logging_0382/tillsyn/A 6507-2026 tillsynsbegäran.docx", "A 6507-2026")</f>
        <v/>
      </c>
      <c r="Y100">
        <f>HYPERLINK("https://klasma.github.io/Logging_0382/tillsynsmail/A 6507-2026 tillsynsbegäran mail.docx", "A 6507-2026")</f>
        <v/>
      </c>
    </row>
    <row r="101" ht="15" customHeight="1">
      <c r="A101" t="inlineStr">
        <is>
          <t>A 22209-2022</t>
        </is>
      </c>
      <c r="B101" s="1" t="n">
        <v>44712</v>
      </c>
      <c r="C101" s="1" t="n">
        <v>46104</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12753-2024</t>
        </is>
      </c>
      <c r="B102" s="1" t="n">
        <v>45384</v>
      </c>
      <c r="C102" s="1" t="n">
        <v>46104</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46104</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30605-2025</t>
        </is>
      </c>
      <c r="B104" s="1" t="n">
        <v>45831.45510416666</v>
      </c>
      <c r="C104" s="1" t="n">
        <v>46104</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25179-2023</t>
        </is>
      </c>
      <c r="B105" s="1" t="n">
        <v>45078</v>
      </c>
      <c r="C105" s="1" t="n">
        <v>46104</v>
      </c>
      <c r="D105" t="inlineStr">
        <is>
          <t>UPPSALA LÄN</t>
        </is>
      </c>
      <c r="E105" t="inlineStr">
        <is>
          <t>ÖSTHAMMAR</t>
        </is>
      </c>
      <c r="G105" t="n">
        <v>3.2</v>
      </c>
      <c r="H105" t="n">
        <v>0</v>
      </c>
      <c r="I105" t="n">
        <v>0</v>
      </c>
      <c r="J105" t="n">
        <v>1</v>
      </c>
      <c r="K105" t="n">
        <v>0</v>
      </c>
      <c r="L105" t="n">
        <v>0</v>
      </c>
      <c r="M105" t="n">
        <v>0</v>
      </c>
      <c r="N105" t="n">
        <v>0</v>
      </c>
      <c r="O105" t="n">
        <v>1</v>
      </c>
      <c r="P105" t="n">
        <v>0</v>
      </c>
      <c r="Q105" t="n">
        <v>1</v>
      </c>
      <c r="R105" s="2" t="inlineStr">
        <is>
          <t>Grantaggsvamp</t>
        </is>
      </c>
      <c r="S105">
        <f>HYPERLINK("https://klasma.github.io/Logging_0382/artfynd/A 25179-2023 artfynd.xlsx", "A 25179-2023")</f>
        <v/>
      </c>
      <c r="T105">
        <f>HYPERLINK("https://klasma.github.io/Logging_0382/kartor/A 25179-2023 karta.png", "A 25179-2023")</f>
        <v/>
      </c>
      <c r="V105">
        <f>HYPERLINK("https://klasma.github.io/Logging_0382/klagomål/A 25179-2023 FSC-klagomål.docx", "A 25179-2023")</f>
        <v/>
      </c>
      <c r="W105">
        <f>HYPERLINK("https://klasma.github.io/Logging_0382/klagomålsmail/A 25179-2023 FSC-klagomål mail.docx", "A 25179-2023")</f>
        <v/>
      </c>
      <c r="X105">
        <f>HYPERLINK("https://klasma.github.io/Logging_0382/tillsyn/A 25179-2023 tillsynsbegäran.docx", "A 25179-2023")</f>
        <v/>
      </c>
      <c r="Y105">
        <f>HYPERLINK("https://klasma.github.io/Logging_0382/tillsynsmail/A 25179-2023 tillsynsbegäran mail.docx", "A 25179-2023")</f>
        <v/>
      </c>
    </row>
    <row r="106" ht="15" customHeight="1">
      <c r="A106" t="inlineStr">
        <is>
          <t>A 33800-2024</t>
        </is>
      </c>
      <c r="B106" s="1" t="n">
        <v>45520</v>
      </c>
      <c r="C106" s="1" t="n">
        <v>46104</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14706-2023</t>
        </is>
      </c>
      <c r="B107" s="1" t="n">
        <v>45013</v>
      </c>
      <c r="C107" s="1" t="n">
        <v>46104</v>
      </c>
      <c r="D107" t="inlineStr">
        <is>
          <t>UPPSALA LÄN</t>
        </is>
      </c>
      <c r="E107" t="inlineStr">
        <is>
          <t>ÖSTHAMMAR</t>
        </is>
      </c>
      <c r="G107" t="n">
        <v>0.9</v>
      </c>
      <c r="H107" t="n">
        <v>0</v>
      </c>
      <c r="I107" t="n">
        <v>1</v>
      </c>
      <c r="J107" t="n">
        <v>0</v>
      </c>
      <c r="K107" t="n">
        <v>0</v>
      </c>
      <c r="L107" t="n">
        <v>0</v>
      </c>
      <c r="M107" t="n">
        <v>0</v>
      </c>
      <c r="N107" t="n">
        <v>0</v>
      </c>
      <c r="O107" t="n">
        <v>0</v>
      </c>
      <c r="P107" t="n">
        <v>0</v>
      </c>
      <c r="Q107" t="n">
        <v>1</v>
      </c>
      <c r="R107" s="2" t="inlineStr">
        <is>
          <t>Olivspindling</t>
        </is>
      </c>
      <c r="S107">
        <f>HYPERLINK("https://klasma.github.io/Logging_0382/artfynd/A 14706-2023 artfynd.xlsx", "A 14706-2023")</f>
        <v/>
      </c>
      <c r="T107">
        <f>HYPERLINK("https://klasma.github.io/Logging_0382/kartor/A 14706-2023 karta.png", "A 14706-2023")</f>
        <v/>
      </c>
      <c r="V107">
        <f>HYPERLINK("https://klasma.github.io/Logging_0382/klagomål/A 14706-2023 FSC-klagomål.docx", "A 14706-2023")</f>
        <v/>
      </c>
      <c r="W107">
        <f>HYPERLINK("https://klasma.github.io/Logging_0382/klagomålsmail/A 14706-2023 FSC-klagomål mail.docx", "A 14706-2023")</f>
        <v/>
      </c>
      <c r="X107">
        <f>HYPERLINK("https://klasma.github.io/Logging_0382/tillsyn/A 14706-2023 tillsynsbegäran.docx", "A 14706-2023")</f>
        <v/>
      </c>
      <c r="Y107">
        <f>HYPERLINK("https://klasma.github.io/Logging_0382/tillsynsmail/A 14706-2023 tillsynsbegäran mail.docx", "A 14706-2023")</f>
        <v/>
      </c>
    </row>
    <row r="108" ht="15" customHeight="1">
      <c r="A108" t="inlineStr">
        <is>
          <t>A 1227-2022</t>
        </is>
      </c>
      <c r="B108" s="1" t="n">
        <v>44572.57641203704</v>
      </c>
      <c r="C108" s="1" t="n">
        <v>46104</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46104</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11017-2023</t>
        </is>
      </c>
      <c r="B110" s="1" t="n">
        <v>44991</v>
      </c>
      <c r="C110" s="1" t="n">
        <v>46104</v>
      </c>
      <c r="D110" t="inlineStr">
        <is>
          <t>UPPSALA LÄN</t>
        </is>
      </c>
      <c r="E110" t="inlineStr">
        <is>
          <t>ÖSTHAMMAR</t>
        </is>
      </c>
      <c r="G110" t="n">
        <v>1.9</v>
      </c>
      <c r="H110" t="n">
        <v>1</v>
      </c>
      <c r="I110" t="n">
        <v>0</v>
      </c>
      <c r="J110" t="n">
        <v>1</v>
      </c>
      <c r="K110" t="n">
        <v>0</v>
      </c>
      <c r="L110" t="n">
        <v>0</v>
      </c>
      <c r="M110" t="n">
        <v>0</v>
      </c>
      <c r="N110" t="n">
        <v>0</v>
      </c>
      <c r="O110" t="n">
        <v>1</v>
      </c>
      <c r="P110" t="n">
        <v>0</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52818-2022</t>
        </is>
      </c>
      <c r="B111" s="1" t="n">
        <v>44875</v>
      </c>
      <c r="C111" s="1" t="n">
        <v>46104</v>
      </c>
      <c r="D111" t="inlineStr">
        <is>
          <t>UPPSALA LÄN</t>
        </is>
      </c>
      <c r="E111" t="inlineStr">
        <is>
          <t>ÖSTHAMMAR</t>
        </is>
      </c>
      <c r="G111" t="n">
        <v>0.9</v>
      </c>
      <c r="H111" t="n">
        <v>1</v>
      </c>
      <c r="I111" t="n">
        <v>1</v>
      </c>
      <c r="J111" t="n">
        <v>0</v>
      </c>
      <c r="K111" t="n">
        <v>0</v>
      </c>
      <c r="L111" t="n">
        <v>0</v>
      </c>
      <c r="M111" t="n">
        <v>0</v>
      </c>
      <c r="N111" t="n">
        <v>0</v>
      </c>
      <c r="O111" t="n">
        <v>0</v>
      </c>
      <c r="P111" t="n">
        <v>0</v>
      </c>
      <c r="Q111" t="n">
        <v>1</v>
      </c>
      <c r="R111" s="2" t="inlineStr">
        <is>
          <t>Guckusko</t>
        </is>
      </c>
      <c r="S111">
        <f>HYPERLINK("https://klasma.github.io/Logging_0382/artfynd/A 52818-2022 artfynd.xlsx", "A 52818-2022")</f>
        <v/>
      </c>
      <c r="T111">
        <f>HYPERLINK("https://klasma.github.io/Logging_0382/kartor/A 52818-2022 karta.png", "A 52818-2022")</f>
        <v/>
      </c>
      <c r="V111">
        <f>HYPERLINK("https://klasma.github.io/Logging_0382/klagomål/A 52818-2022 FSC-klagomål.docx", "A 52818-2022")</f>
        <v/>
      </c>
      <c r="W111">
        <f>HYPERLINK("https://klasma.github.io/Logging_0382/klagomålsmail/A 52818-2022 FSC-klagomål mail.docx", "A 52818-2022")</f>
        <v/>
      </c>
      <c r="X111">
        <f>HYPERLINK("https://klasma.github.io/Logging_0382/tillsyn/A 52818-2022 tillsynsbegäran.docx", "A 52818-2022")</f>
        <v/>
      </c>
      <c r="Y111">
        <f>HYPERLINK("https://klasma.github.io/Logging_0382/tillsynsmail/A 52818-2022 tillsynsbegäran mail.docx", "A 52818-2022")</f>
        <v/>
      </c>
    </row>
    <row r="112" ht="15" customHeight="1">
      <c r="A112" t="inlineStr">
        <is>
          <t>A 37296-2023</t>
        </is>
      </c>
      <c r="B112" s="1" t="n">
        <v>45156</v>
      </c>
      <c r="C112" s="1" t="n">
        <v>46104</v>
      </c>
      <c r="D112" t="inlineStr">
        <is>
          <t>UPPSALA LÄN</t>
        </is>
      </c>
      <c r="E112" t="inlineStr">
        <is>
          <t>ÖSTHAMMAR</t>
        </is>
      </c>
      <c r="G112" t="n">
        <v>4.7</v>
      </c>
      <c r="H112" t="n">
        <v>1</v>
      </c>
      <c r="I112" t="n">
        <v>0</v>
      </c>
      <c r="J112" t="n">
        <v>0</v>
      </c>
      <c r="K112" t="n">
        <v>1</v>
      </c>
      <c r="L112" t="n">
        <v>0</v>
      </c>
      <c r="M112" t="n">
        <v>0</v>
      </c>
      <c r="N112" t="n">
        <v>0</v>
      </c>
      <c r="O112" t="n">
        <v>1</v>
      </c>
      <c r="P112" t="n">
        <v>1</v>
      </c>
      <c r="Q112" t="n">
        <v>1</v>
      </c>
      <c r="R112" s="2" t="inlineStr">
        <is>
          <t>Backsippa</t>
        </is>
      </c>
      <c r="S112">
        <f>HYPERLINK("https://klasma.github.io/Logging_0382/artfynd/A 37296-2023 artfynd.xlsx", "A 37296-2023")</f>
        <v/>
      </c>
      <c r="T112">
        <f>HYPERLINK("https://klasma.github.io/Logging_0382/kartor/A 37296-2023 karta.png", "A 37296-2023")</f>
        <v/>
      </c>
      <c r="V112">
        <f>HYPERLINK("https://klasma.github.io/Logging_0382/klagomål/A 37296-2023 FSC-klagomål.docx", "A 37296-2023")</f>
        <v/>
      </c>
      <c r="W112">
        <f>HYPERLINK("https://klasma.github.io/Logging_0382/klagomålsmail/A 37296-2023 FSC-klagomål mail.docx", "A 37296-2023")</f>
        <v/>
      </c>
      <c r="X112">
        <f>HYPERLINK("https://klasma.github.io/Logging_0382/tillsyn/A 37296-2023 tillsynsbegäran.docx", "A 37296-2023")</f>
        <v/>
      </c>
      <c r="Y112">
        <f>HYPERLINK("https://klasma.github.io/Logging_0382/tillsynsmail/A 37296-2023 tillsynsbegäran mail.docx", "A 37296-2023")</f>
        <v/>
      </c>
    </row>
    <row r="113" ht="15" customHeight="1">
      <c r="A113" t="inlineStr">
        <is>
          <t>A 65989-2021</t>
        </is>
      </c>
      <c r="B113" s="1" t="n">
        <v>44517</v>
      </c>
      <c r="C113" s="1" t="n">
        <v>46104</v>
      </c>
      <c r="D113" t="inlineStr">
        <is>
          <t>UPPSALA LÄN</t>
        </is>
      </c>
      <c r="E113" t="inlineStr">
        <is>
          <t>ÖSTHAMMAR</t>
        </is>
      </c>
      <c r="G113" t="n">
        <v>6.9</v>
      </c>
      <c r="H113" t="n">
        <v>1</v>
      </c>
      <c r="I113" t="n">
        <v>1</v>
      </c>
      <c r="J113" t="n">
        <v>0</v>
      </c>
      <c r="K113" t="n">
        <v>0</v>
      </c>
      <c r="L113" t="n">
        <v>0</v>
      </c>
      <c r="M113" t="n">
        <v>0</v>
      </c>
      <c r="N113" t="n">
        <v>0</v>
      </c>
      <c r="O113" t="n">
        <v>0</v>
      </c>
      <c r="P113" t="n">
        <v>0</v>
      </c>
      <c r="Q113" t="n">
        <v>1</v>
      </c>
      <c r="R113" s="2" t="inlineStr">
        <is>
          <t>Skogsknipprot</t>
        </is>
      </c>
      <c r="S113">
        <f>HYPERLINK("https://klasma.github.io/Logging_0382/artfynd/A 65989-2021 artfynd.xlsx", "A 65989-2021")</f>
        <v/>
      </c>
      <c r="T113">
        <f>HYPERLINK("https://klasma.github.io/Logging_0382/kartor/A 65989-2021 karta.png", "A 65989-2021")</f>
        <v/>
      </c>
      <c r="V113">
        <f>HYPERLINK("https://klasma.github.io/Logging_0382/klagomål/A 65989-2021 FSC-klagomål.docx", "A 65989-2021")</f>
        <v/>
      </c>
      <c r="W113">
        <f>HYPERLINK("https://klasma.github.io/Logging_0382/klagomålsmail/A 65989-2021 FSC-klagomål mail.docx", "A 65989-2021")</f>
        <v/>
      </c>
      <c r="X113">
        <f>HYPERLINK("https://klasma.github.io/Logging_0382/tillsyn/A 65989-2021 tillsynsbegäran.docx", "A 65989-2021")</f>
        <v/>
      </c>
      <c r="Y113">
        <f>HYPERLINK("https://klasma.github.io/Logging_0382/tillsynsmail/A 65989-2021 tillsynsbegäran mail.docx", "A 65989-2021")</f>
        <v/>
      </c>
    </row>
    <row r="114" ht="15" customHeight="1">
      <c r="A114" t="inlineStr">
        <is>
          <t>A 22375-2024</t>
        </is>
      </c>
      <c r="B114" s="1" t="n">
        <v>45446</v>
      </c>
      <c r="C114" s="1" t="n">
        <v>46104</v>
      </c>
      <c r="D114" t="inlineStr">
        <is>
          <t>UPPSALA LÄN</t>
        </is>
      </c>
      <c r="E114" t="inlineStr">
        <is>
          <t>ÖSTHAMMAR</t>
        </is>
      </c>
      <c r="F114" t="inlineStr">
        <is>
          <t>Bergvik skog öst AB</t>
        </is>
      </c>
      <c r="G114" t="n">
        <v>2.2</v>
      </c>
      <c r="H114" t="n">
        <v>0</v>
      </c>
      <c r="I114" t="n">
        <v>0</v>
      </c>
      <c r="J114" t="n">
        <v>1</v>
      </c>
      <c r="K114" t="n">
        <v>0</v>
      </c>
      <c r="L114" t="n">
        <v>0</v>
      </c>
      <c r="M114" t="n">
        <v>0</v>
      </c>
      <c r="N114" t="n">
        <v>0</v>
      </c>
      <c r="O114" t="n">
        <v>1</v>
      </c>
      <c r="P114" t="n">
        <v>0</v>
      </c>
      <c r="Q114" t="n">
        <v>1</v>
      </c>
      <c r="R114" s="2" t="inlineStr">
        <is>
          <t>Slåtterfibbla</t>
        </is>
      </c>
      <c r="S114">
        <f>HYPERLINK("https://klasma.github.io/Logging_0382/artfynd/A 22375-2024 artfynd.xlsx", "A 22375-2024")</f>
        <v/>
      </c>
      <c r="T114">
        <f>HYPERLINK("https://klasma.github.io/Logging_0382/kartor/A 22375-2024 karta.png", "A 22375-2024")</f>
        <v/>
      </c>
      <c r="V114">
        <f>HYPERLINK("https://klasma.github.io/Logging_0382/klagomål/A 22375-2024 FSC-klagomål.docx", "A 22375-2024")</f>
        <v/>
      </c>
      <c r="W114">
        <f>HYPERLINK("https://klasma.github.io/Logging_0382/klagomålsmail/A 22375-2024 FSC-klagomål mail.docx", "A 22375-2024")</f>
        <v/>
      </c>
      <c r="X114">
        <f>HYPERLINK("https://klasma.github.io/Logging_0382/tillsyn/A 22375-2024 tillsynsbegäran.docx", "A 22375-2024")</f>
        <v/>
      </c>
      <c r="Y114">
        <f>HYPERLINK("https://klasma.github.io/Logging_0382/tillsynsmail/A 22375-2024 tillsynsbegäran mail.docx", "A 22375-2024")</f>
        <v/>
      </c>
    </row>
    <row r="115" ht="15" customHeight="1">
      <c r="A115" t="inlineStr">
        <is>
          <t>A 70495-2021</t>
        </is>
      </c>
      <c r="B115" s="1" t="n">
        <v>44536</v>
      </c>
      <c r="C115" s="1" t="n">
        <v>46104</v>
      </c>
      <c r="D115" t="inlineStr">
        <is>
          <t>UPPSALA LÄN</t>
        </is>
      </c>
      <c r="E115" t="inlineStr">
        <is>
          <t>ÖSTHAMMAR</t>
        </is>
      </c>
      <c r="G115" t="n">
        <v>1</v>
      </c>
      <c r="H115" t="n">
        <v>1</v>
      </c>
      <c r="I115" t="n">
        <v>0</v>
      </c>
      <c r="J115" t="n">
        <v>1</v>
      </c>
      <c r="K115" t="n">
        <v>0</v>
      </c>
      <c r="L115" t="n">
        <v>0</v>
      </c>
      <c r="M115" t="n">
        <v>0</v>
      </c>
      <c r="N115" t="n">
        <v>0</v>
      </c>
      <c r="O115" t="n">
        <v>1</v>
      </c>
      <c r="P115" t="n">
        <v>0</v>
      </c>
      <c r="Q115" t="n">
        <v>1</v>
      </c>
      <c r="R115" s="2" t="inlineStr">
        <is>
          <t>Slaguggla</t>
        </is>
      </c>
      <c r="S115">
        <f>HYPERLINK("https://klasma.github.io/Logging_0382/artfynd/A 70495-2021 artfynd.xlsx", "A 70495-2021")</f>
        <v/>
      </c>
      <c r="T115">
        <f>HYPERLINK("https://klasma.github.io/Logging_0382/kartor/A 70495-2021 karta.png", "A 70495-2021")</f>
        <v/>
      </c>
      <c r="V115">
        <f>HYPERLINK("https://klasma.github.io/Logging_0382/klagomål/A 70495-2021 FSC-klagomål.docx", "A 70495-2021")</f>
        <v/>
      </c>
      <c r="W115">
        <f>HYPERLINK("https://klasma.github.io/Logging_0382/klagomålsmail/A 70495-2021 FSC-klagomål mail.docx", "A 70495-2021")</f>
        <v/>
      </c>
      <c r="X115">
        <f>HYPERLINK("https://klasma.github.io/Logging_0382/tillsyn/A 70495-2021 tillsynsbegäran.docx", "A 70495-2021")</f>
        <v/>
      </c>
      <c r="Y115">
        <f>HYPERLINK("https://klasma.github.io/Logging_0382/tillsynsmail/A 70495-2021 tillsynsbegäran mail.docx", "A 70495-2021")</f>
        <v/>
      </c>
      <c r="Z115">
        <f>HYPERLINK("https://klasma.github.io/Logging_0382/fåglar/A 70495-2021 prioriterade fågelarter.docx", "A 70495-2021")</f>
        <v/>
      </c>
    </row>
    <row r="116" ht="15" customHeight="1">
      <c r="A116" t="inlineStr">
        <is>
          <t>A 29679-2023</t>
        </is>
      </c>
      <c r="B116" s="1" t="n">
        <v>45107</v>
      </c>
      <c r="C116" s="1" t="n">
        <v>46104</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73983-2021</t>
        </is>
      </c>
      <c r="B117" s="1" t="n">
        <v>44555.80506944445</v>
      </c>
      <c r="C117" s="1" t="n">
        <v>46104</v>
      </c>
      <c r="D117" t="inlineStr">
        <is>
          <t>UPPSALA LÄN</t>
        </is>
      </c>
      <c r="E117" t="inlineStr">
        <is>
          <t>ÖSTHAMMAR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46104</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46104</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46104</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8775-2022</t>
        </is>
      </c>
      <c r="B121" s="1" t="n">
        <v>44614</v>
      </c>
      <c r="C121" s="1" t="n">
        <v>46104</v>
      </c>
      <c r="D121" t="inlineStr">
        <is>
          <t>UPPSALA LÄN</t>
        </is>
      </c>
      <c r="E121" t="inlineStr">
        <is>
          <t>ÖSTHAMMAR</t>
        </is>
      </c>
      <c r="G121" t="n">
        <v>0.3</v>
      </c>
      <c r="H121" t="n">
        <v>0</v>
      </c>
      <c r="I121" t="n">
        <v>0</v>
      </c>
      <c r="J121" t="n">
        <v>0</v>
      </c>
      <c r="K121" t="n">
        <v>0</v>
      </c>
      <c r="L121" t="n">
        <v>0</v>
      </c>
      <c r="M121" t="n">
        <v>0</v>
      </c>
      <c r="N121" t="n">
        <v>0</v>
      </c>
      <c r="O121" t="n">
        <v>0</v>
      </c>
      <c r="P121" t="n">
        <v>0</v>
      </c>
      <c r="Q121" t="n">
        <v>0</v>
      </c>
      <c r="R121" s="2" t="inlineStr"/>
    </row>
    <row r="122" ht="15" customHeight="1">
      <c r="A122" t="inlineStr">
        <is>
          <t>A 10287-2022</t>
        </is>
      </c>
      <c r="B122" s="1" t="n">
        <v>44622</v>
      </c>
      <c r="C122" s="1" t="n">
        <v>46104</v>
      </c>
      <c r="D122" t="inlineStr">
        <is>
          <t>UPPSALA LÄN</t>
        </is>
      </c>
      <c r="E122" t="inlineStr">
        <is>
          <t>ÖSTHAMMAR</t>
        </is>
      </c>
      <c r="F122" t="inlineStr">
        <is>
          <t>Bergvik skog öst AB</t>
        </is>
      </c>
      <c r="G122" t="n">
        <v>0.2</v>
      </c>
      <c r="H122" t="n">
        <v>0</v>
      </c>
      <c r="I122" t="n">
        <v>0</v>
      </c>
      <c r="J122" t="n">
        <v>0</v>
      </c>
      <c r="K122" t="n">
        <v>0</v>
      </c>
      <c r="L122" t="n">
        <v>0</v>
      </c>
      <c r="M122" t="n">
        <v>0</v>
      </c>
      <c r="N122" t="n">
        <v>0</v>
      </c>
      <c r="O122" t="n">
        <v>0</v>
      </c>
      <c r="P122" t="n">
        <v>0</v>
      </c>
      <c r="Q122" t="n">
        <v>0</v>
      </c>
      <c r="R122" s="2" t="inlineStr"/>
    </row>
    <row r="123" ht="15" customHeight="1">
      <c r="A123" t="inlineStr">
        <is>
          <t>A 61555-2021</t>
        </is>
      </c>
      <c r="B123" s="1" t="n">
        <v>44501.4250462963</v>
      </c>
      <c r="C123" s="1" t="n">
        <v>46104</v>
      </c>
      <c r="D123" t="inlineStr">
        <is>
          <t>UPPSALA LÄN</t>
        </is>
      </c>
      <c r="E123" t="inlineStr">
        <is>
          <t>ÖSTHAMMAR</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46104</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46104</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46104</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15847-2022</t>
        </is>
      </c>
      <c r="B127" s="1" t="n">
        <v>44664</v>
      </c>
      <c r="C127" s="1" t="n">
        <v>46104</v>
      </c>
      <c r="D127" t="inlineStr">
        <is>
          <t>UPPSALA LÄN</t>
        </is>
      </c>
      <c r="E127" t="inlineStr">
        <is>
          <t>ÖSTHAMMAR</t>
        </is>
      </c>
      <c r="G127" t="n">
        <v>0.3</v>
      </c>
      <c r="H127" t="n">
        <v>0</v>
      </c>
      <c r="I127" t="n">
        <v>0</v>
      </c>
      <c r="J127" t="n">
        <v>0</v>
      </c>
      <c r="K127" t="n">
        <v>0</v>
      </c>
      <c r="L127" t="n">
        <v>0</v>
      </c>
      <c r="M127" t="n">
        <v>0</v>
      </c>
      <c r="N127" t="n">
        <v>0</v>
      </c>
      <c r="O127" t="n">
        <v>0</v>
      </c>
      <c r="P127" t="n">
        <v>0</v>
      </c>
      <c r="Q127" t="n">
        <v>0</v>
      </c>
      <c r="R127" s="2" t="inlineStr"/>
    </row>
    <row r="128" ht="15" customHeight="1">
      <c r="A128" t="inlineStr">
        <is>
          <t>A 14271-2022</t>
        </is>
      </c>
      <c r="B128" s="1" t="n">
        <v>44651.88756944444</v>
      </c>
      <c r="C128" s="1" t="n">
        <v>46104</v>
      </c>
      <c r="D128" t="inlineStr">
        <is>
          <t>UPPSALA LÄN</t>
        </is>
      </c>
      <c r="E128" t="inlineStr">
        <is>
          <t>ÖSTHAMMAR</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13238-2022</t>
        </is>
      </c>
      <c r="B129" s="1" t="n">
        <v>44644</v>
      </c>
      <c r="C129" s="1" t="n">
        <v>46104</v>
      </c>
      <c r="D129" t="inlineStr">
        <is>
          <t>UPPSALA LÄN</t>
        </is>
      </c>
      <c r="E129" t="inlineStr">
        <is>
          <t>ÖSTHAMMAR</t>
        </is>
      </c>
      <c r="G129" t="n">
        <v>6.5</v>
      </c>
      <c r="H129" t="n">
        <v>0</v>
      </c>
      <c r="I129" t="n">
        <v>0</v>
      </c>
      <c r="J129" t="n">
        <v>0</v>
      </c>
      <c r="K129" t="n">
        <v>0</v>
      </c>
      <c r="L129" t="n">
        <v>0</v>
      </c>
      <c r="M129" t="n">
        <v>0</v>
      </c>
      <c r="N129" t="n">
        <v>0</v>
      </c>
      <c r="O129" t="n">
        <v>0</v>
      </c>
      <c r="P129" t="n">
        <v>0</v>
      </c>
      <c r="Q129" t="n">
        <v>0</v>
      </c>
      <c r="R129" s="2" t="inlineStr"/>
    </row>
    <row r="130" ht="15" customHeight="1">
      <c r="A130" t="inlineStr">
        <is>
          <t>A 51055-2022</t>
        </is>
      </c>
      <c r="B130" s="1" t="n">
        <v>44868</v>
      </c>
      <c r="C130" s="1" t="n">
        <v>46104</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46104</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59498-2021</t>
        </is>
      </c>
      <c r="B132" s="1" t="n">
        <v>44491.53787037037</v>
      </c>
      <c r="C132" s="1" t="n">
        <v>46104</v>
      </c>
      <c r="D132" t="inlineStr">
        <is>
          <t>UPPSALA LÄN</t>
        </is>
      </c>
      <c r="E132" t="inlineStr">
        <is>
          <t>ÖSTHAMMAR</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44019-2022</t>
        </is>
      </c>
      <c r="B133" s="1" t="n">
        <v>44838.82126157408</v>
      </c>
      <c r="C133" s="1" t="n">
        <v>46104</v>
      </c>
      <c r="D133" t="inlineStr">
        <is>
          <t>UPPSALA LÄN</t>
        </is>
      </c>
      <c r="E133" t="inlineStr">
        <is>
          <t>ÖSTHAMMAR</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46104</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24062-2021</t>
        </is>
      </c>
      <c r="B135" s="1" t="n">
        <v>44336</v>
      </c>
      <c r="C135" s="1" t="n">
        <v>46104</v>
      </c>
      <c r="D135" t="inlineStr">
        <is>
          <t>UPPSALA LÄN</t>
        </is>
      </c>
      <c r="E135" t="inlineStr">
        <is>
          <t>ÖSTHAMMAR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46104</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19174-2022</t>
        </is>
      </c>
      <c r="B137" s="1" t="n">
        <v>44691</v>
      </c>
      <c r="C137" s="1" t="n">
        <v>46104</v>
      </c>
      <c r="D137" t="inlineStr">
        <is>
          <t>UPPSALA LÄN</t>
        </is>
      </c>
      <c r="E137" t="inlineStr">
        <is>
          <t>ÖSTHAMMAR</t>
        </is>
      </c>
      <c r="G137" t="n">
        <v>0.8</v>
      </c>
      <c r="H137" t="n">
        <v>0</v>
      </c>
      <c r="I137" t="n">
        <v>0</v>
      </c>
      <c r="J137" t="n">
        <v>0</v>
      </c>
      <c r="K137" t="n">
        <v>0</v>
      </c>
      <c r="L137" t="n">
        <v>0</v>
      </c>
      <c r="M137" t="n">
        <v>0</v>
      </c>
      <c r="N137" t="n">
        <v>0</v>
      </c>
      <c r="O137" t="n">
        <v>0</v>
      </c>
      <c r="P137" t="n">
        <v>0</v>
      </c>
      <c r="Q137" t="n">
        <v>0</v>
      </c>
      <c r="R137" s="2" t="inlineStr"/>
    </row>
    <row r="138" ht="15" customHeight="1">
      <c r="A138" t="inlineStr">
        <is>
          <t>A 31263-2021</t>
        </is>
      </c>
      <c r="B138" s="1" t="n">
        <v>44368</v>
      </c>
      <c r="C138" s="1" t="n">
        <v>46104</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46104</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46104</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13867-2022</t>
        </is>
      </c>
      <c r="B141" s="1" t="n">
        <v>44649.90252314815</v>
      </c>
      <c r="C141" s="1" t="n">
        <v>46104</v>
      </c>
      <c r="D141" t="inlineStr">
        <is>
          <t>UPPSALA LÄN</t>
        </is>
      </c>
      <c r="E141" t="inlineStr">
        <is>
          <t>ÖSTHAMMAR</t>
        </is>
      </c>
      <c r="F141" t="inlineStr">
        <is>
          <t>Bergvik skog öst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26257-2021</t>
        </is>
      </c>
      <c r="B142" s="1" t="n">
        <v>44347</v>
      </c>
      <c r="C142" s="1" t="n">
        <v>46104</v>
      </c>
      <c r="D142" t="inlineStr">
        <is>
          <t>UPPSALA LÄN</t>
        </is>
      </c>
      <c r="E142" t="inlineStr">
        <is>
          <t>ÖSTHAMMAR</t>
        </is>
      </c>
      <c r="G142" t="n">
        <v>3.2</v>
      </c>
      <c r="H142" t="n">
        <v>0</v>
      </c>
      <c r="I142" t="n">
        <v>0</v>
      </c>
      <c r="J142" t="n">
        <v>0</v>
      </c>
      <c r="K142" t="n">
        <v>0</v>
      </c>
      <c r="L142" t="n">
        <v>0</v>
      </c>
      <c r="M142" t="n">
        <v>0</v>
      </c>
      <c r="N142" t="n">
        <v>0</v>
      </c>
      <c r="O142" t="n">
        <v>0</v>
      </c>
      <c r="P142" t="n">
        <v>0</v>
      </c>
      <c r="Q142" t="n">
        <v>0</v>
      </c>
      <c r="R142" s="2" t="inlineStr"/>
    </row>
    <row r="143" ht="15" customHeight="1">
      <c r="A143" t="inlineStr">
        <is>
          <t>A 10294-2022</t>
        </is>
      </c>
      <c r="B143" s="1" t="n">
        <v>44622</v>
      </c>
      <c r="C143" s="1" t="n">
        <v>46104</v>
      </c>
      <c r="D143" t="inlineStr">
        <is>
          <t>UPPSALA LÄN</t>
        </is>
      </c>
      <c r="E143" t="inlineStr">
        <is>
          <t>ÖSTHAMMAR</t>
        </is>
      </c>
      <c r="F143" t="inlineStr">
        <is>
          <t>Bergvik skog öst AB</t>
        </is>
      </c>
      <c r="G143" t="n">
        <v>1</v>
      </c>
      <c r="H143" t="n">
        <v>0</v>
      </c>
      <c r="I143" t="n">
        <v>0</v>
      </c>
      <c r="J143" t="n">
        <v>0</v>
      </c>
      <c r="K143" t="n">
        <v>0</v>
      </c>
      <c r="L143" t="n">
        <v>0</v>
      </c>
      <c r="M143" t="n">
        <v>0</v>
      </c>
      <c r="N143" t="n">
        <v>0</v>
      </c>
      <c r="O143" t="n">
        <v>0</v>
      </c>
      <c r="P143" t="n">
        <v>0</v>
      </c>
      <c r="Q143" t="n">
        <v>0</v>
      </c>
      <c r="R143" s="2" t="inlineStr"/>
    </row>
    <row r="144" ht="15" customHeight="1">
      <c r="A144" t="inlineStr">
        <is>
          <t>A 25378-2021</t>
        </is>
      </c>
      <c r="B144" s="1" t="n">
        <v>44342.59954861111</v>
      </c>
      <c r="C144" s="1" t="n">
        <v>46104</v>
      </c>
      <c r="D144" t="inlineStr">
        <is>
          <t>UPPSALA LÄN</t>
        </is>
      </c>
      <c r="E144" t="inlineStr">
        <is>
          <t>ÖSTHAMMAR</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25395-2021</t>
        </is>
      </c>
      <c r="B145" s="1" t="n">
        <v>44342.62907407407</v>
      </c>
      <c r="C145" s="1" t="n">
        <v>46104</v>
      </c>
      <c r="D145" t="inlineStr">
        <is>
          <t>UPPSALA LÄN</t>
        </is>
      </c>
      <c r="E145" t="inlineStr">
        <is>
          <t>ÖSTHAMMAR</t>
        </is>
      </c>
      <c r="F145" t="inlineStr">
        <is>
          <t>Övriga Aktiebolag</t>
        </is>
      </c>
      <c r="G145" t="n">
        <v>0.5</v>
      </c>
      <c r="H145" t="n">
        <v>0</v>
      </c>
      <c r="I145" t="n">
        <v>0</v>
      </c>
      <c r="J145" t="n">
        <v>0</v>
      </c>
      <c r="K145" t="n">
        <v>0</v>
      </c>
      <c r="L145" t="n">
        <v>0</v>
      </c>
      <c r="M145" t="n">
        <v>0</v>
      </c>
      <c r="N145" t="n">
        <v>0</v>
      </c>
      <c r="O145" t="n">
        <v>0</v>
      </c>
      <c r="P145" t="n">
        <v>0</v>
      </c>
      <c r="Q145" t="n">
        <v>0</v>
      </c>
      <c r="R145" s="2" t="inlineStr"/>
    </row>
    <row r="146" ht="15" customHeight="1">
      <c r="A146" t="inlineStr">
        <is>
          <t>A 10298-2022</t>
        </is>
      </c>
      <c r="B146" s="1" t="n">
        <v>44622</v>
      </c>
      <c r="C146" s="1" t="n">
        <v>46104</v>
      </c>
      <c r="D146" t="inlineStr">
        <is>
          <t>UPPSALA LÄN</t>
        </is>
      </c>
      <c r="E146" t="inlineStr">
        <is>
          <t>ÖSTHAMMAR</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8556-2022</t>
        </is>
      </c>
      <c r="B147" s="1" t="n">
        <v>44613.51798611111</v>
      </c>
      <c r="C147" s="1" t="n">
        <v>46104</v>
      </c>
      <c r="D147" t="inlineStr">
        <is>
          <t>UPPSALA LÄN</t>
        </is>
      </c>
      <c r="E147" t="inlineStr">
        <is>
          <t>ÖSTHAMMAR</t>
        </is>
      </c>
      <c r="G147" t="n">
        <v>0.5</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46104</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14248-2021</t>
        </is>
      </c>
      <c r="B149" s="1" t="n">
        <v>44278</v>
      </c>
      <c r="C149" s="1" t="n">
        <v>46104</v>
      </c>
      <c r="D149" t="inlineStr">
        <is>
          <t>UPPSALA LÄN</t>
        </is>
      </c>
      <c r="E149" t="inlineStr">
        <is>
          <t>ÖSTHAMMAR</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46104</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46104</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46104</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47163-2022</t>
        </is>
      </c>
      <c r="B153" s="1" t="n">
        <v>44852.59962962963</v>
      </c>
      <c r="C153" s="1" t="n">
        <v>46104</v>
      </c>
      <c r="D153" t="inlineStr">
        <is>
          <t>UPPSALA LÄN</t>
        </is>
      </c>
      <c r="E153" t="inlineStr">
        <is>
          <t>ÖSTHAMMAR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46104</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5932-2022</t>
        </is>
      </c>
      <c r="B155" s="1" t="n">
        <v>44598.8281712963</v>
      </c>
      <c r="C155" s="1" t="n">
        <v>46104</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46104</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46104</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51612-2021</t>
        </is>
      </c>
      <c r="B158" s="1" t="n">
        <v>44462</v>
      </c>
      <c r="C158" s="1" t="n">
        <v>46104</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19181-2022</t>
        </is>
      </c>
      <c r="B159" s="1" t="n">
        <v>44691</v>
      </c>
      <c r="C159" s="1" t="n">
        <v>46104</v>
      </c>
      <c r="D159" t="inlineStr">
        <is>
          <t>UPPSALA LÄN</t>
        </is>
      </c>
      <c r="E159" t="inlineStr">
        <is>
          <t>ÖSTHAMMAR</t>
        </is>
      </c>
      <c r="G159" t="n">
        <v>0.6</v>
      </c>
      <c r="H159" t="n">
        <v>0</v>
      </c>
      <c r="I159" t="n">
        <v>0</v>
      </c>
      <c r="J159" t="n">
        <v>0</v>
      </c>
      <c r="K159" t="n">
        <v>0</v>
      </c>
      <c r="L159" t="n">
        <v>0</v>
      </c>
      <c r="M159" t="n">
        <v>0</v>
      </c>
      <c r="N159" t="n">
        <v>0</v>
      </c>
      <c r="O159" t="n">
        <v>0</v>
      </c>
      <c r="P159" t="n">
        <v>0</v>
      </c>
      <c r="Q159" t="n">
        <v>0</v>
      </c>
      <c r="R159" s="2" t="inlineStr"/>
    </row>
    <row r="160" ht="15" customHeight="1">
      <c r="A160" t="inlineStr">
        <is>
          <t>A 19707-2022</t>
        </is>
      </c>
      <c r="B160" s="1" t="n">
        <v>44694</v>
      </c>
      <c r="C160" s="1" t="n">
        <v>46104</v>
      </c>
      <c r="D160" t="inlineStr">
        <is>
          <t>UPPSALA LÄN</t>
        </is>
      </c>
      <c r="E160" t="inlineStr">
        <is>
          <t>ÖSTHAMMAR</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15334-2022</t>
        </is>
      </c>
      <c r="B161" s="1" t="n">
        <v>44659</v>
      </c>
      <c r="C161" s="1" t="n">
        <v>46104</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64872-2021</t>
        </is>
      </c>
      <c r="B162" s="1" t="n">
        <v>44512.6108912037</v>
      </c>
      <c r="C162" s="1" t="n">
        <v>46104</v>
      </c>
      <c r="D162" t="inlineStr">
        <is>
          <t>UPPSALA LÄN</t>
        </is>
      </c>
      <c r="E162" t="inlineStr">
        <is>
          <t>ÖSTHAMMAR</t>
        </is>
      </c>
      <c r="G162" t="n">
        <v>0.5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46104</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46104</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46104</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46104</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46104</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46104</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46104</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46104</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46104</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46104</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46104</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46104</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46104</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46104</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46104</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46104</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46104</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46104</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46104</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46104</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46104</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46104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46104</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46104</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46104</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46104</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46104</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46104</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46104</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46104</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46104</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46104</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46104</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46104</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46104</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46104</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46104</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46104</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46104</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37568-2022</t>
        </is>
      </c>
      <c r="B202" s="1" t="n">
        <v>44809</v>
      </c>
      <c r="C202" s="1" t="n">
        <v>46104</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2085-2022</t>
        </is>
      </c>
      <c r="B203" s="1" t="n">
        <v>44576.78626157407</v>
      </c>
      <c r="C203" s="1" t="n">
        <v>46104</v>
      </c>
      <c r="D203" t="inlineStr">
        <is>
          <t>UPPSALA LÄN</t>
        </is>
      </c>
      <c r="E203" t="inlineStr">
        <is>
          <t>ÖSTHAMMAR</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46104</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46104</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29824-2023</t>
        </is>
      </c>
      <c r="B206" s="1" t="n">
        <v>45107</v>
      </c>
      <c r="C206" s="1" t="n">
        <v>46104</v>
      </c>
      <c r="D206" t="inlineStr">
        <is>
          <t>UPPSALA LÄN</t>
        </is>
      </c>
      <c r="E206" t="inlineStr">
        <is>
          <t>ÖSTHAMMAR</t>
        </is>
      </c>
      <c r="F206" t="inlineStr">
        <is>
          <t>Naturvårdsverket</t>
        </is>
      </c>
      <c r="G206" t="n">
        <v>1.6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46104</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46104</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46104</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46104</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46104</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46104</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22884-2024</t>
        </is>
      </c>
      <c r="B213" s="1" t="n">
        <v>45448</v>
      </c>
      <c r="C213" s="1" t="n">
        <v>46104</v>
      </c>
      <c r="D213" t="inlineStr">
        <is>
          <t>UPPSALA LÄN</t>
        </is>
      </c>
      <c r="E213" t="inlineStr">
        <is>
          <t>ÖSTHAMMAR</t>
        </is>
      </c>
      <c r="G213" t="n">
        <v>3.3</v>
      </c>
      <c r="H213" t="n">
        <v>0</v>
      </c>
      <c r="I213" t="n">
        <v>0</v>
      </c>
      <c r="J213" t="n">
        <v>0</v>
      </c>
      <c r="K213" t="n">
        <v>0</v>
      </c>
      <c r="L213" t="n">
        <v>0</v>
      </c>
      <c r="M213" t="n">
        <v>0</v>
      </c>
      <c r="N213" t="n">
        <v>0</v>
      </c>
      <c r="O213" t="n">
        <v>0</v>
      </c>
      <c r="P213" t="n">
        <v>0</v>
      </c>
      <c r="Q213" t="n">
        <v>0</v>
      </c>
      <c r="R213" s="2" t="inlineStr"/>
    </row>
    <row r="214" ht="15" customHeight="1">
      <c r="A214" t="inlineStr">
        <is>
          <t>A 20385-2025</t>
        </is>
      </c>
      <c r="B214" s="1" t="n">
        <v>45775.44483796296</v>
      </c>
      <c r="C214" s="1" t="n">
        <v>46104</v>
      </c>
      <c r="D214" t="inlineStr">
        <is>
          <t>UPPSALA LÄN</t>
        </is>
      </c>
      <c r="E214" t="inlineStr">
        <is>
          <t>ÖSTHAMMAR</t>
        </is>
      </c>
      <c r="G214" t="n">
        <v>1.9</v>
      </c>
      <c r="H214" t="n">
        <v>0</v>
      </c>
      <c r="I214" t="n">
        <v>0</v>
      </c>
      <c r="J214" t="n">
        <v>0</v>
      </c>
      <c r="K214" t="n">
        <v>0</v>
      </c>
      <c r="L214" t="n">
        <v>0</v>
      </c>
      <c r="M214" t="n">
        <v>0</v>
      </c>
      <c r="N214" t="n">
        <v>0</v>
      </c>
      <c r="O214" t="n">
        <v>0</v>
      </c>
      <c r="P214" t="n">
        <v>0</v>
      </c>
      <c r="Q214" t="n">
        <v>0</v>
      </c>
      <c r="R214" s="2" t="inlineStr"/>
    </row>
    <row r="215" ht="15" customHeight="1">
      <c r="A215" t="inlineStr">
        <is>
          <t>A 26552-2022</t>
        </is>
      </c>
      <c r="B215" s="1" t="n">
        <v>44739</v>
      </c>
      <c r="C215" s="1" t="n">
        <v>46104</v>
      </c>
      <c r="D215" t="inlineStr">
        <is>
          <t>UPPSALA LÄN</t>
        </is>
      </c>
      <c r="E215" t="inlineStr">
        <is>
          <t>ÖSTHAMMAR</t>
        </is>
      </c>
      <c r="G215" t="n">
        <v>2.2</v>
      </c>
      <c r="H215" t="n">
        <v>0</v>
      </c>
      <c r="I215" t="n">
        <v>0</v>
      </c>
      <c r="J215" t="n">
        <v>0</v>
      </c>
      <c r="K215" t="n">
        <v>0</v>
      </c>
      <c r="L215" t="n">
        <v>0</v>
      </c>
      <c r="M215" t="n">
        <v>0</v>
      </c>
      <c r="N215" t="n">
        <v>0</v>
      </c>
      <c r="O215" t="n">
        <v>0</v>
      </c>
      <c r="P215" t="n">
        <v>0</v>
      </c>
      <c r="Q215" t="n">
        <v>0</v>
      </c>
      <c r="R215" s="2" t="inlineStr"/>
    </row>
    <row r="216" ht="15" customHeight="1">
      <c r="A216" t="inlineStr">
        <is>
          <t>A 30086-2023</t>
        </is>
      </c>
      <c r="B216" s="1" t="n">
        <v>45110.43907407407</v>
      </c>
      <c r="C216" s="1" t="n">
        <v>46104</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46104</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46104</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46104</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46104</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61261-2022</t>
        </is>
      </c>
      <c r="B221" s="1" t="n">
        <v>44915.59645833333</v>
      </c>
      <c r="C221" s="1" t="n">
        <v>46104</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46104</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8624-2025</t>
        </is>
      </c>
      <c r="B223" s="1" t="n">
        <v>45711.52333333333</v>
      </c>
      <c r="C223" s="1" t="n">
        <v>46104</v>
      </c>
      <c r="D223" t="inlineStr">
        <is>
          <t>UPPSALA LÄN</t>
        </is>
      </c>
      <c r="E223" t="inlineStr">
        <is>
          <t>ÖSTHAMMAR</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14187-2022</t>
        </is>
      </c>
      <c r="B224" s="1" t="n">
        <v>44651.5625</v>
      </c>
      <c r="C224" s="1" t="n">
        <v>46104</v>
      </c>
      <c r="D224" t="inlineStr">
        <is>
          <t>UPPSALA LÄN</t>
        </is>
      </c>
      <c r="E224" t="inlineStr">
        <is>
          <t>ÖSTHAMMAR</t>
        </is>
      </c>
      <c r="F224" t="inlineStr">
        <is>
          <t>Övriga Aktiebolag</t>
        </is>
      </c>
      <c r="G224" t="n">
        <v>14.1</v>
      </c>
      <c r="H224" t="n">
        <v>0</v>
      </c>
      <c r="I224" t="n">
        <v>0</v>
      </c>
      <c r="J224" t="n">
        <v>0</v>
      </c>
      <c r="K224" t="n">
        <v>0</v>
      </c>
      <c r="L224" t="n">
        <v>0</v>
      </c>
      <c r="M224" t="n">
        <v>0</v>
      </c>
      <c r="N224" t="n">
        <v>0</v>
      </c>
      <c r="O224" t="n">
        <v>0</v>
      </c>
      <c r="P224" t="n">
        <v>0</v>
      </c>
      <c r="Q224" t="n">
        <v>0</v>
      </c>
      <c r="R224" s="2" t="inlineStr"/>
    </row>
    <row r="225" ht="15" customHeight="1">
      <c r="A225" t="inlineStr">
        <is>
          <t>A 31479-2023</t>
        </is>
      </c>
      <c r="B225" s="1" t="n">
        <v>45114.79793981482</v>
      </c>
      <c r="C225" s="1" t="n">
        <v>46104</v>
      </c>
      <c r="D225" t="inlineStr">
        <is>
          <t>UPPSALA LÄN</t>
        </is>
      </c>
      <c r="E225" t="inlineStr">
        <is>
          <t>ÖSTHAMMAR</t>
        </is>
      </c>
      <c r="F225" t="inlineStr">
        <is>
          <t>Bergvik skog öst AB</t>
        </is>
      </c>
      <c r="G225" t="n">
        <v>1.9</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46104</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46104</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46104</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74436-2021</t>
        </is>
      </c>
      <c r="B229" s="1" t="n">
        <v>44560.4502199074</v>
      </c>
      <c r="C229" s="1" t="n">
        <v>46104</v>
      </c>
      <c r="D229" t="inlineStr">
        <is>
          <t>UPPSALA LÄN</t>
        </is>
      </c>
      <c r="E229" t="inlineStr">
        <is>
          <t>ÖSTHAMMAR</t>
        </is>
      </c>
      <c r="F229" t="inlineStr">
        <is>
          <t>Bergvik skog öst AB</t>
        </is>
      </c>
      <c r="G229" t="n">
        <v>1</v>
      </c>
      <c r="H229" t="n">
        <v>0</v>
      </c>
      <c r="I229" t="n">
        <v>0</v>
      </c>
      <c r="J229" t="n">
        <v>0</v>
      </c>
      <c r="K229" t="n">
        <v>0</v>
      </c>
      <c r="L229" t="n">
        <v>0</v>
      </c>
      <c r="M229" t="n">
        <v>0</v>
      </c>
      <c r="N229" t="n">
        <v>0</v>
      </c>
      <c r="O229" t="n">
        <v>0</v>
      </c>
      <c r="P229" t="n">
        <v>0</v>
      </c>
      <c r="Q229" t="n">
        <v>0</v>
      </c>
      <c r="R229" s="2" t="inlineStr"/>
    </row>
    <row r="230" ht="15" customHeight="1">
      <c r="A230" t="inlineStr">
        <is>
          <t>A 36954-2024</t>
        </is>
      </c>
      <c r="B230" s="1" t="n">
        <v>45538.71109953704</v>
      </c>
      <c r="C230" s="1" t="n">
        <v>46104</v>
      </c>
      <c r="D230" t="inlineStr">
        <is>
          <t>UPPSALA LÄN</t>
        </is>
      </c>
      <c r="E230" t="inlineStr">
        <is>
          <t>ÖSTHAMMAR</t>
        </is>
      </c>
      <c r="F230" t="inlineStr">
        <is>
          <t>Bergvik skog öst AB</t>
        </is>
      </c>
      <c r="G230" t="n">
        <v>5.1</v>
      </c>
      <c r="H230" t="n">
        <v>0</v>
      </c>
      <c r="I230" t="n">
        <v>0</v>
      </c>
      <c r="J230" t="n">
        <v>0</v>
      </c>
      <c r="K230" t="n">
        <v>0</v>
      </c>
      <c r="L230" t="n">
        <v>0</v>
      </c>
      <c r="M230" t="n">
        <v>0</v>
      </c>
      <c r="N230" t="n">
        <v>0</v>
      </c>
      <c r="O230" t="n">
        <v>0</v>
      </c>
      <c r="P230" t="n">
        <v>0</v>
      </c>
      <c r="Q230" t="n">
        <v>0</v>
      </c>
      <c r="R230" s="2" t="inlineStr"/>
    </row>
    <row r="231" ht="15" customHeight="1">
      <c r="A231" t="inlineStr">
        <is>
          <t>A 33685-2024</t>
        </is>
      </c>
      <c r="B231" s="1" t="n">
        <v>45520.51063657407</v>
      </c>
      <c r="C231" s="1" t="n">
        <v>46104</v>
      </c>
      <c r="D231" t="inlineStr">
        <is>
          <t>UPPSALA LÄN</t>
        </is>
      </c>
      <c r="E231" t="inlineStr">
        <is>
          <t>ÖSTHAMMAR</t>
        </is>
      </c>
      <c r="F231" t="inlineStr">
        <is>
          <t>Bergvik skog öst AB</t>
        </is>
      </c>
      <c r="G231" t="n">
        <v>3.8</v>
      </c>
      <c r="H231" t="n">
        <v>0</v>
      </c>
      <c r="I231" t="n">
        <v>0</v>
      </c>
      <c r="J231" t="n">
        <v>0</v>
      </c>
      <c r="K231" t="n">
        <v>0</v>
      </c>
      <c r="L231" t="n">
        <v>0</v>
      </c>
      <c r="M231" t="n">
        <v>0</v>
      </c>
      <c r="N231" t="n">
        <v>0</v>
      </c>
      <c r="O231" t="n">
        <v>0</v>
      </c>
      <c r="P231" t="n">
        <v>0</v>
      </c>
      <c r="Q231" t="n">
        <v>0</v>
      </c>
      <c r="R231" s="2" t="inlineStr"/>
    </row>
    <row r="232" ht="15" customHeight="1">
      <c r="A232" t="inlineStr">
        <is>
          <t>A 43655-2024</t>
        </is>
      </c>
      <c r="B232" s="1" t="n">
        <v>45569</v>
      </c>
      <c r="C232" s="1" t="n">
        <v>46104</v>
      </c>
      <c r="D232" t="inlineStr">
        <is>
          <t>UPPSALA LÄN</t>
        </is>
      </c>
      <c r="E232" t="inlineStr">
        <is>
          <t>ÖSTHAMMAR</t>
        </is>
      </c>
      <c r="G232" t="n">
        <v>2.1</v>
      </c>
      <c r="H232" t="n">
        <v>0</v>
      </c>
      <c r="I232" t="n">
        <v>0</v>
      </c>
      <c r="J232" t="n">
        <v>0</v>
      </c>
      <c r="K232" t="n">
        <v>0</v>
      </c>
      <c r="L232" t="n">
        <v>0</v>
      </c>
      <c r="M232" t="n">
        <v>0</v>
      </c>
      <c r="N232" t="n">
        <v>0</v>
      </c>
      <c r="O232" t="n">
        <v>0</v>
      </c>
      <c r="P232" t="n">
        <v>0</v>
      </c>
      <c r="Q232" t="n">
        <v>0</v>
      </c>
      <c r="R232" s="2" t="inlineStr"/>
    </row>
    <row r="233" ht="15" customHeight="1">
      <c r="A233" t="inlineStr">
        <is>
          <t>A 22488-2025</t>
        </is>
      </c>
      <c r="B233" s="1" t="n">
        <v>45786.64865740741</v>
      </c>
      <c r="C233" s="1" t="n">
        <v>46104</v>
      </c>
      <c r="D233" t="inlineStr">
        <is>
          <t>UPPSALA LÄN</t>
        </is>
      </c>
      <c r="E233" t="inlineStr">
        <is>
          <t>ÖSTHAMMAR</t>
        </is>
      </c>
      <c r="F233" t="inlineStr">
        <is>
          <t>Bergvik skog öst AB</t>
        </is>
      </c>
      <c r="G233" t="n">
        <v>14.9</v>
      </c>
      <c r="H233" t="n">
        <v>0</v>
      </c>
      <c r="I233" t="n">
        <v>0</v>
      </c>
      <c r="J233" t="n">
        <v>0</v>
      </c>
      <c r="K233" t="n">
        <v>0</v>
      </c>
      <c r="L233" t="n">
        <v>0</v>
      </c>
      <c r="M233" t="n">
        <v>0</v>
      </c>
      <c r="N233" t="n">
        <v>0</v>
      </c>
      <c r="O233" t="n">
        <v>0</v>
      </c>
      <c r="P233" t="n">
        <v>0</v>
      </c>
      <c r="Q233" t="n">
        <v>0</v>
      </c>
      <c r="R233" s="2" t="inlineStr"/>
    </row>
    <row r="234" ht="15" customHeight="1">
      <c r="A234" t="inlineStr">
        <is>
          <t>A 6153-2022</t>
        </is>
      </c>
      <c r="B234" s="1" t="n">
        <v>44599</v>
      </c>
      <c r="C234" s="1" t="n">
        <v>46104</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14595-2023</t>
        </is>
      </c>
      <c r="B235" s="1" t="n">
        <v>45013.57858796296</v>
      </c>
      <c r="C235" s="1" t="n">
        <v>46104</v>
      </c>
      <c r="D235" t="inlineStr">
        <is>
          <t>UPPSALA LÄN</t>
        </is>
      </c>
      <c r="E235" t="inlineStr">
        <is>
          <t>ÖSTHAMMAR</t>
        </is>
      </c>
      <c r="G235" t="n">
        <v>5</v>
      </c>
      <c r="H235" t="n">
        <v>0</v>
      </c>
      <c r="I235" t="n">
        <v>0</v>
      </c>
      <c r="J235" t="n">
        <v>0</v>
      </c>
      <c r="K235" t="n">
        <v>0</v>
      </c>
      <c r="L235" t="n">
        <v>0</v>
      </c>
      <c r="M235" t="n">
        <v>0</v>
      </c>
      <c r="N235" t="n">
        <v>0</v>
      </c>
      <c r="O235" t="n">
        <v>0</v>
      </c>
      <c r="P235" t="n">
        <v>0</v>
      </c>
      <c r="Q235" t="n">
        <v>0</v>
      </c>
      <c r="R235" s="2" t="inlineStr"/>
    </row>
    <row r="236" ht="15" customHeight="1">
      <c r="A236" t="inlineStr">
        <is>
          <t>A 32483-2024</t>
        </is>
      </c>
      <c r="B236" s="1" t="n">
        <v>45513.36644675926</v>
      </c>
      <c r="C236" s="1" t="n">
        <v>46104</v>
      </c>
      <c r="D236" t="inlineStr">
        <is>
          <t>UPPSALA LÄN</t>
        </is>
      </c>
      <c r="E236" t="inlineStr">
        <is>
          <t>ÖSTHAMMAR</t>
        </is>
      </c>
      <c r="F236" t="inlineStr">
        <is>
          <t>Kyrkan</t>
        </is>
      </c>
      <c r="G236" t="n">
        <v>4.7</v>
      </c>
      <c r="H236" t="n">
        <v>0</v>
      </c>
      <c r="I236" t="n">
        <v>0</v>
      </c>
      <c r="J236" t="n">
        <v>0</v>
      </c>
      <c r="K236" t="n">
        <v>0</v>
      </c>
      <c r="L236" t="n">
        <v>0</v>
      </c>
      <c r="M236" t="n">
        <v>0</v>
      </c>
      <c r="N236" t="n">
        <v>0</v>
      </c>
      <c r="O236" t="n">
        <v>0</v>
      </c>
      <c r="P236" t="n">
        <v>0</v>
      </c>
      <c r="Q236" t="n">
        <v>0</v>
      </c>
      <c r="R236" s="2" t="inlineStr"/>
    </row>
    <row r="237" ht="15" customHeight="1">
      <c r="A237" t="inlineStr">
        <is>
          <t>A 38575-2024</t>
        </is>
      </c>
      <c r="B237" s="1" t="n">
        <v>45546.64221064815</v>
      </c>
      <c r="C237" s="1" t="n">
        <v>46104</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43685-2024</t>
        </is>
      </c>
      <c r="B238" s="1" t="n">
        <v>45569</v>
      </c>
      <c r="C238" s="1" t="n">
        <v>46104</v>
      </c>
      <c r="D238" t="inlineStr">
        <is>
          <t>UPPSALA LÄN</t>
        </is>
      </c>
      <c r="E238" t="inlineStr">
        <is>
          <t>ÖSTHAMMAR</t>
        </is>
      </c>
      <c r="G238" t="n">
        <v>1.1</v>
      </c>
      <c r="H238" t="n">
        <v>0</v>
      </c>
      <c r="I238" t="n">
        <v>0</v>
      </c>
      <c r="J238" t="n">
        <v>0</v>
      </c>
      <c r="K238" t="n">
        <v>0</v>
      </c>
      <c r="L238" t="n">
        <v>0</v>
      </c>
      <c r="M238" t="n">
        <v>0</v>
      </c>
      <c r="N238" t="n">
        <v>0</v>
      </c>
      <c r="O238" t="n">
        <v>0</v>
      </c>
      <c r="P238" t="n">
        <v>0</v>
      </c>
      <c r="Q238" t="n">
        <v>0</v>
      </c>
      <c r="R238" s="2" t="inlineStr"/>
    </row>
    <row r="239" ht="15" customHeight="1">
      <c r="A239" t="inlineStr">
        <is>
          <t>A 44796-2024</t>
        </is>
      </c>
      <c r="B239" s="1" t="n">
        <v>45574</v>
      </c>
      <c r="C239" s="1" t="n">
        <v>46104</v>
      </c>
      <c r="D239" t="inlineStr">
        <is>
          <t>UPPSALA LÄN</t>
        </is>
      </c>
      <c r="E239" t="inlineStr">
        <is>
          <t>ÖSTHAMMAR</t>
        </is>
      </c>
      <c r="G239" t="n">
        <v>4.7</v>
      </c>
      <c r="H239" t="n">
        <v>0</v>
      </c>
      <c r="I239" t="n">
        <v>0</v>
      </c>
      <c r="J239" t="n">
        <v>0</v>
      </c>
      <c r="K239" t="n">
        <v>0</v>
      </c>
      <c r="L239" t="n">
        <v>0</v>
      </c>
      <c r="M239" t="n">
        <v>0</v>
      </c>
      <c r="N239" t="n">
        <v>0</v>
      </c>
      <c r="O239" t="n">
        <v>0</v>
      </c>
      <c r="P239" t="n">
        <v>0</v>
      </c>
      <c r="Q239" t="n">
        <v>0</v>
      </c>
      <c r="R239" s="2" t="inlineStr"/>
    </row>
    <row r="240" ht="15" customHeight="1">
      <c r="A240" t="inlineStr">
        <is>
          <t>A 44027-2024</t>
        </is>
      </c>
      <c r="B240" s="1" t="n">
        <v>45572</v>
      </c>
      <c r="C240" s="1" t="n">
        <v>46104</v>
      </c>
      <c r="D240" t="inlineStr">
        <is>
          <t>UPPSALA LÄN</t>
        </is>
      </c>
      <c r="E240" t="inlineStr">
        <is>
          <t>ÖSTHAMMAR</t>
        </is>
      </c>
      <c r="G240" t="n">
        <v>6</v>
      </c>
      <c r="H240" t="n">
        <v>0</v>
      </c>
      <c r="I240" t="n">
        <v>0</v>
      </c>
      <c r="J240" t="n">
        <v>0</v>
      </c>
      <c r="K240" t="n">
        <v>0</v>
      </c>
      <c r="L240" t="n">
        <v>0</v>
      </c>
      <c r="M240" t="n">
        <v>0</v>
      </c>
      <c r="N240" t="n">
        <v>0</v>
      </c>
      <c r="O240" t="n">
        <v>0</v>
      </c>
      <c r="P240" t="n">
        <v>0</v>
      </c>
      <c r="Q240" t="n">
        <v>0</v>
      </c>
      <c r="R240" s="2" t="inlineStr"/>
    </row>
    <row r="241" ht="15" customHeight="1">
      <c r="A241" t="inlineStr">
        <is>
          <t>A 55163-2025</t>
        </is>
      </c>
      <c r="B241" s="1" t="n">
        <v>45968.48032407407</v>
      </c>
      <c r="C241" s="1" t="n">
        <v>46104</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5931-2022</t>
        </is>
      </c>
      <c r="B242" s="1" t="n">
        <v>44598.82700231481</v>
      </c>
      <c r="C242" s="1" t="n">
        <v>46104</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55798-2025</t>
        </is>
      </c>
      <c r="B243" s="1" t="n">
        <v>45972.66209490741</v>
      </c>
      <c r="C243" s="1" t="n">
        <v>46104</v>
      </c>
      <c r="D243" t="inlineStr">
        <is>
          <t>UPPSALA LÄN</t>
        </is>
      </c>
      <c r="E243" t="inlineStr">
        <is>
          <t>ÖSTHAMMAR</t>
        </is>
      </c>
      <c r="F243" t="inlineStr">
        <is>
          <t>Bergvik skog öst AB</t>
        </is>
      </c>
      <c r="G243" t="n">
        <v>3.9</v>
      </c>
      <c r="H243" t="n">
        <v>0</v>
      </c>
      <c r="I243" t="n">
        <v>0</v>
      </c>
      <c r="J243" t="n">
        <v>0</v>
      </c>
      <c r="K243" t="n">
        <v>0</v>
      </c>
      <c r="L243" t="n">
        <v>0</v>
      </c>
      <c r="M243" t="n">
        <v>0</v>
      </c>
      <c r="N243" t="n">
        <v>0</v>
      </c>
      <c r="O243" t="n">
        <v>0</v>
      </c>
      <c r="P243" t="n">
        <v>0</v>
      </c>
      <c r="Q243" t="n">
        <v>0</v>
      </c>
      <c r="R243" s="2" t="inlineStr"/>
    </row>
    <row r="244" ht="15" customHeight="1">
      <c r="A244" t="inlineStr">
        <is>
          <t>A 43683-2024</t>
        </is>
      </c>
      <c r="B244" s="1" t="n">
        <v>45569.57518518518</v>
      </c>
      <c r="C244" s="1" t="n">
        <v>46104</v>
      </c>
      <c r="D244" t="inlineStr">
        <is>
          <t>UPPSALA LÄN</t>
        </is>
      </c>
      <c r="E244" t="inlineStr">
        <is>
          <t>ÖSTHAMMAR</t>
        </is>
      </c>
      <c r="G244" t="n">
        <v>4.7</v>
      </c>
      <c r="H244" t="n">
        <v>0</v>
      </c>
      <c r="I244" t="n">
        <v>0</v>
      </c>
      <c r="J244" t="n">
        <v>0</v>
      </c>
      <c r="K244" t="n">
        <v>0</v>
      </c>
      <c r="L244" t="n">
        <v>0</v>
      </c>
      <c r="M244" t="n">
        <v>0</v>
      </c>
      <c r="N244" t="n">
        <v>0</v>
      </c>
      <c r="O244" t="n">
        <v>0</v>
      </c>
      <c r="P244" t="n">
        <v>0</v>
      </c>
      <c r="Q244" t="n">
        <v>0</v>
      </c>
      <c r="R244" s="2" t="inlineStr"/>
    </row>
    <row r="245" ht="15" customHeight="1">
      <c r="A245" t="inlineStr">
        <is>
          <t>A 43993-2024</t>
        </is>
      </c>
      <c r="B245" s="1" t="n">
        <v>45572.52690972222</v>
      </c>
      <c r="C245" s="1" t="n">
        <v>46104</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56518-2025</t>
        </is>
      </c>
      <c r="B246" s="1" t="n">
        <v>45975.4581712963</v>
      </c>
      <c r="C246" s="1" t="n">
        <v>46104</v>
      </c>
      <c r="D246" t="inlineStr">
        <is>
          <t>UPPSALA LÄN</t>
        </is>
      </c>
      <c r="E246" t="inlineStr">
        <is>
          <t>ÖSTHAMMAR</t>
        </is>
      </c>
      <c r="G246" t="n">
        <v>2.7</v>
      </c>
      <c r="H246" t="n">
        <v>0</v>
      </c>
      <c r="I246" t="n">
        <v>0</v>
      </c>
      <c r="J246" t="n">
        <v>0</v>
      </c>
      <c r="K246" t="n">
        <v>0</v>
      </c>
      <c r="L246" t="n">
        <v>0</v>
      </c>
      <c r="M246" t="n">
        <v>0</v>
      </c>
      <c r="N246" t="n">
        <v>0</v>
      </c>
      <c r="O246" t="n">
        <v>0</v>
      </c>
      <c r="P246" t="n">
        <v>0</v>
      </c>
      <c r="Q246" t="n">
        <v>0</v>
      </c>
      <c r="R246" s="2" t="inlineStr"/>
    </row>
    <row r="247" ht="15" customHeight="1">
      <c r="A247" t="inlineStr">
        <is>
          <t>A 56682-2025</t>
        </is>
      </c>
      <c r="B247" s="1" t="n">
        <v>45975</v>
      </c>
      <c r="C247" s="1" t="n">
        <v>46104</v>
      </c>
      <c r="D247" t="inlineStr">
        <is>
          <t>UPPSALA LÄN</t>
        </is>
      </c>
      <c r="E247" t="inlineStr">
        <is>
          <t>ÖSTHAMMAR</t>
        </is>
      </c>
      <c r="G247" t="n">
        <v>3.9</v>
      </c>
      <c r="H247" t="n">
        <v>0</v>
      </c>
      <c r="I247" t="n">
        <v>0</v>
      </c>
      <c r="J247" t="n">
        <v>0</v>
      </c>
      <c r="K247" t="n">
        <v>0</v>
      </c>
      <c r="L247" t="n">
        <v>0</v>
      </c>
      <c r="M247" t="n">
        <v>0</v>
      </c>
      <c r="N247" t="n">
        <v>0</v>
      </c>
      <c r="O247" t="n">
        <v>0</v>
      </c>
      <c r="P247" t="n">
        <v>0</v>
      </c>
      <c r="Q247" t="n">
        <v>0</v>
      </c>
      <c r="R247" s="2" t="inlineStr"/>
    </row>
    <row r="248" ht="15" customHeight="1">
      <c r="A248" t="inlineStr">
        <is>
          <t>A 56582-2025</t>
        </is>
      </c>
      <c r="B248" s="1" t="n">
        <v>45975.54730324074</v>
      </c>
      <c r="C248" s="1" t="n">
        <v>46104</v>
      </c>
      <c r="D248" t="inlineStr">
        <is>
          <t>UPPSALA LÄN</t>
        </is>
      </c>
      <c r="E248" t="inlineStr">
        <is>
          <t>ÖSTHAMMAR</t>
        </is>
      </c>
      <c r="G248" t="n">
        <v>4.1</v>
      </c>
      <c r="H248" t="n">
        <v>0</v>
      </c>
      <c r="I248" t="n">
        <v>0</v>
      </c>
      <c r="J248" t="n">
        <v>0</v>
      </c>
      <c r="K248" t="n">
        <v>0</v>
      </c>
      <c r="L248" t="n">
        <v>0</v>
      </c>
      <c r="M248" t="n">
        <v>0</v>
      </c>
      <c r="N248" t="n">
        <v>0</v>
      </c>
      <c r="O248" t="n">
        <v>0</v>
      </c>
      <c r="P248" t="n">
        <v>0</v>
      </c>
      <c r="Q248" t="n">
        <v>0</v>
      </c>
      <c r="R248" s="2" t="inlineStr"/>
    </row>
    <row r="249" ht="15" customHeight="1">
      <c r="A249" t="inlineStr">
        <is>
          <t>A 56653-2025</t>
        </is>
      </c>
      <c r="B249" s="1" t="n">
        <v>45975.64628472222</v>
      </c>
      <c r="C249" s="1" t="n">
        <v>46104</v>
      </c>
      <c r="D249" t="inlineStr">
        <is>
          <t>UPPSALA LÄN</t>
        </is>
      </c>
      <c r="E249" t="inlineStr">
        <is>
          <t>ÖSTHAMMAR</t>
        </is>
      </c>
      <c r="G249" t="n">
        <v>1.7</v>
      </c>
      <c r="H249" t="n">
        <v>0</v>
      </c>
      <c r="I249" t="n">
        <v>0</v>
      </c>
      <c r="J249" t="n">
        <v>0</v>
      </c>
      <c r="K249" t="n">
        <v>0</v>
      </c>
      <c r="L249" t="n">
        <v>0</v>
      </c>
      <c r="M249" t="n">
        <v>0</v>
      </c>
      <c r="N249" t="n">
        <v>0</v>
      </c>
      <c r="O249" t="n">
        <v>0</v>
      </c>
      <c r="P249" t="n">
        <v>0</v>
      </c>
      <c r="Q249" t="n">
        <v>0</v>
      </c>
      <c r="R249" s="2" t="inlineStr"/>
    </row>
    <row r="250" ht="15" customHeight="1">
      <c r="A250" t="inlineStr">
        <is>
          <t>A 22492-2025</t>
        </is>
      </c>
      <c r="B250" s="1" t="n">
        <v>45786.65072916666</v>
      </c>
      <c r="C250" s="1" t="n">
        <v>46104</v>
      </c>
      <c r="D250" t="inlineStr">
        <is>
          <t>UPPSALA LÄN</t>
        </is>
      </c>
      <c r="E250" t="inlineStr">
        <is>
          <t>ÖSTHAMMAR</t>
        </is>
      </c>
      <c r="F250" t="inlineStr">
        <is>
          <t>Bergvik skog öst AB</t>
        </is>
      </c>
      <c r="G250" t="n">
        <v>16.6</v>
      </c>
      <c r="H250" t="n">
        <v>0</v>
      </c>
      <c r="I250" t="n">
        <v>0</v>
      </c>
      <c r="J250" t="n">
        <v>0</v>
      </c>
      <c r="K250" t="n">
        <v>0</v>
      </c>
      <c r="L250" t="n">
        <v>0</v>
      </c>
      <c r="M250" t="n">
        <v>0</v>
      </c>
      <c r="N250" t="n">
        <v>0</v>
      </c>
      <c r="O250" t="n">
        <v>0</v>
      </c>
      <c r="P250" t="n">
        <v>0</v>
      </c>
      <c r="Q250" t="n">
        <v>0</v>
      </c>
      <c r="R250" s="2" t="inlineStr"/>
    </row>
    <row r="251" ht="15" customHeight="1">
      <c r="A251" t="inlineStr">
        <is>
          <t>A 21522-2022</t>
        </is>
      </c>
      <c r="B251" s="1" t="n">
        <v>44706</v>
      </c>
      <c r="C251" s="1" t="n">
        <v>46104</v>
      </c>
      <c r="D251" t="inlineStr">
        <is>
          <t>UPPSALA LÄN</t>
        </is>
      </c>
      <c r="E251" t="inlineStr">
        <is>
          <t>ÖSTHAMMAR</t>
        </is>
      </c>
      <c r="G251" t="n">
        <v>1.8</v>
      </c>
      <c r="H251" t="n">
        <v>0</v>
      </c>
      <c r="I251" t="n">
        <v>0</v>
      </c>
      <c r="J251" t="n">
        <v>0</v>
      </c>
      <c r="K251" t="n">
        <v>0</v>
      </c>
      <c r="L251" t="n">
        <v>0</v>
      </c>
      <c r="M251" t="n">
        <v>0</v>
      </c>
      <c r="N251" t="n">
        <v>0</v>
      </c>
      <c r="O251" t="n">
        <v>0</v>
      </c>
      <c r="P251" t="n">
        <v>0</v>
      </c>
      <c r="Q251" t="n">
        <v>0</v>
      </c>
      <c r="R251" s="2" t="inlineStr"/>
    </row>
    <row r="252" ht="15" customHeight="1">
      <c r="A252" t="inlineStr">
        <is>
          <t>A 56658-2025</t>
        </is>
      </c>
      <c r="B252" s="1" t="n">
        <v>45975.65431712963</v>
      </c>
      <c r="C252" s="1" t="n">
        <v>46104</v>
      </c>
      <c r="D252" t="inlineStr">
        <is>
          <t>UPPSALA LÄN</t>
        </is>
      </c>
      <c r="E252" t="inlineStr">
        <is>
          <t>ÖSTHAMMAR</t>
        </is>
      </c>
      <c r="G252" t="n">
        <v>1.3</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46104</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56757-2025</t>
        </is>
      </c>
      <c r="B254" s="1" t="n">
        <v>45978.37162037037</v>
      </c>
      <c r="C254" s="1" t="n">
        <v>46104</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22483-2025</t>
        </is>
      </c>
      <c r="B255" s="1" t="n">
        <v>45786.64141203704</v>
      </c>
      <c r="C255" s="1" t="n">
        <v>46104</v>
      </c>
      <c r="D255" t="inlineStr">
        <is>
          <t>UPPSALA LÄN</t>
        </is>
      </c>
      <c r="E255" t="inlineStr">
        <is>
          <t>ÖSTHAMMAR</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56942-2025</t>
        </is>
      </c>
      <c r="B256" s="1" t="n">
        <v>45978.62611111111</v>
      </c>
      <c r="C256" s="1" t="n">
        <v>46104</v>
      </c>
      <c r="D256" t="inlineStr">
        <is>
          <t>UPPSALA LÄN</t>
        </is>
      </c>
      <c r="E256" t="inlineStr">
        <is>
          <t>ÖSTHAMMAR</t>
        </is>
      </c>
      <c r="G256" t="n">
        <v>3.2</v>
      </c>
      <c r="H256" t="n">
        <v>0</v>
      </c>
      <c r="I256" t="n">
        <v>0</v>
      </c>
      <c r="J256" t="n">
        <v>0</v>
      </c>
      <c r="K256" t="n">
        <v>0</v>
      </c>
      <c r="L256" t="n">
        <v>0</v>
      </c>
      <c r="M256" t="n">
        <v>0</v>
      </c>
      <c r="N256" t="n">
        <v>0</v>
      </c>
      <c r="O256" t="n">
        <v>0</v>
      </c>
      <c r="P256" t="n">
        <v>0</v>
      </c>
      <c r="Q256" t="n">
        <v>0</v>
      </c>
      <c r="R256" s="2" t="inlineStr"/>
    </row>
    <row r="257" ht="15" customHeight="1">
      <c r="A257" t="inlineStr">
        <is>
          <t>A 56748-2025</t>
        </is>
      </c>
      <c r="B257" s="1" t="n">
        <v>45978.36412037037</v>
      </c>
      <c r="C257" s="1" t="n">
        <v>46104</v>
      </c>
      <c r="D257" t="inlineStr">
        <is>
          <t>UPPSALA LÄN</t>
        </is>
      </c>
      <c r="E257" t="inlineStr">
        <is>
          <t>ÖSTHAMMAR</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59291-2023</t>
        </is>
      </c>
      <c r="B258" s="1" t="n">
        <v>45253.57559027777</v>
      </c>
      <c r="C258" s="1" t="n">
        <v>46104</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56745-2025</t>
        </is>
      </c>
      <c r="B259" s="1" t="n">
        <v>45978.36157407407</v>
      </c>
      <c r="C259" s="1" t="n">
        <v>46104</v>
      </c>
      <c r="D259" t="inlineStr">
        <is>
          <t>UPPSALA LÄN</t>
        </is>
      </c>
      <c r="E259" t="inlineStr">
        <is>
          <t>ÖSTHAMMAR</t>
        </is>
      </c>
      <c r="G259" t="n">
        <v>2.6</v>
      </c>
      <c r="H259" t="n">
        <v>0</v>
      </c>
      <c r="I259" t="n">
        <v>0</v>
      </c>
      <c r="J259" t="n">
        <v>0</v>
      </c>
      <c r="K259" t="n">
        <v>0</v>
      </c>
      <c r="L259" t="n">
        <v>0</v>
      </c>
      <c r="M259" t="n">
        <v>0</v>
      </c>
      <c r="N259" t="n">
        <v>0</v>
      </c>
      <c r="O259" t="n">
        <v>0</v>
      </c>
      <c r="P259" t="n">
        <v>0</v>
      </c>
      <c r="Q259" t="n">
        <v>0</v>
      </c>
      <c r="R259" s="2" t="inlineStr"/>
    </row>
    <row r="260" ht="15" customHeight="1">
      <c r="A260" t="inlineStr">
        <is>
          <t>A 57257-2025</t>
        </is>
      </c>
      <c r="B260" s="1" t="n">
        <v>45979.65149305556</v>
      </c>
      <c r="C260" s="1" t="n">
        <v>46104</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57248-2025</t>
        </is>
      </c>
      <c r="B261" s="1" t="n">
        <v>45979.635625</v>
      </c>
      <c r="C261" s="1" t="n">
        <v>46104</v>
      </c>
      <c r="D261" t="inlineStr">
        <is>
          <t>UPPSALA LÄN</t>
        </is>
      </c>
      <c r="E261" t="inlineStr">
        <is>
          <t>ÖSTHAMMAR</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56754-2025</t>
        </is>
      </c>
      <c r="B262" s="1" t="n">
        <v>45978.36700231482</v>
      </c>
      <c r="C262" s="1" t="n">
        <v>46104</v>
      </c>
      <c r="D262" t="inlineStr">
        <is>
          <t>UPPSALA LÄN</t>
        </is>
      </c>
      <c r="E262" t="inlineStr">
        <is>
          <t>ÖSTHAMMAR</t>
        </is>
      </c>
      <c r="G262" t="n">
        <v>0.9</v>
      </c>
      <c r="H262" t="n">
        <v>0</v>
      </c>
      <c r="I262" t="n">
        <v>0</v>
      </c>
      <c r="J262" t="n">
        <v>0</v>
      </c>
      <c r="K262" t="n">
        <v>0</v>
      </c>
      <c r="L262" t="n">
        <v>0</v>
      </c>
      <c r="M262" t="n">
        <v>0</v>
      </c>
      <c r="N262" t="n">
        <v>0</v>
      </c>
      <c r="O262" t="n">
        <v>0</v>
      </c>
      <c r="P262" t="n">
        <v>0</v>
      </c>
      <c r="Q262" t="n">
        <v>0</v>
      </c>
      <c r="R262" s="2" t="inlineStr"/>
    </row>
    <row r="263" ht="15" customHeight="1">
      <c r="A263" t="inlineStr">
        <is>
          <t>A 56753-2025</t>
        </is>
      </c>
      <c r="B263" s="1" t="n">
        <v>45978.36677083333</v>
      </c>
      <c r="C263" s="1" t="n">
        <v>46104</v>
      </c>
      <c r="D263" t="inlineStr">
        <is>
          <t>UPPSALA LÄN</t>
        </is>
      </c>
      <c r="E263" t="inlineStr">
        <is>
          <t>ÖSTHAMMAR</t>
        </is>
      </c>
      <c r="F263" t="inlineStr">
        <is>
          <t>Sveaskog</t>
        </is>
      </c>
      <c r="G263" t="n">
        <v>8.6</v>
      </c>
      <c r="H263" t="n">
        <v>0</v>
      </c>
      <c r="I263" t="n">
        <v>0</v>
      </c>
      <c r="J263" t="n">
        <v>0</v>
      </c>
      <c r="K263" t="n">
        <v>0</v>
      </c>
      <c r="L263" t="n">
        <v>0</v>
      </c>
      <c r="M263" t="n">
        <v>0</v>
      </c>
      <c r="N263" t="n">
        <v>0</v>
      </c>
      <c r="O263" t="n">
        <v>0</v>
      </c>
      <c r="P263" t="n">
        <v>0</v>
      </c>
      <c r="Q263" t="n">
        <v>0</v>
      </c>
      <c r="R263" s="2" t="inlineStr"/>
    </row>
    <row r="264" ht="15" customHeight="1">
      <c r="A264" t="inlineStr">
        <is>
          <t>A 35474-2023</t>
        </is>
      </c>
      <c r="B264" s="1" t="n">
        <v>45146.68921296296</v>
      </c>
      <c r="C264" s="1" t="n">
        <v>46104</v>
      </c>
      <c r="D264" t="inlineStr">
        <is>
          <t>UPPSALA LÄN</t>
        </is>
      </c>
      <c r="E264" t="inlineStr">
        <is>
          <t>ÖSTHAMMAR</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56823-2025</t>
        </is>
      </c>
      <c r="B265" s="1" t="n">
        <v>45978.46484953703</v>
      </c>
      <c r="C265" s="1" t="n">
        <v>46104</v>
      </c>
      <c r="D265" t="inlineStr">
        <is>
          <t>UPPSALA LÄN</t>
        </is>
      </c>
      <c r="E265" t="inlineStr">
        <is>
          <t>ÖSTHAMMAR</t>
        </is>
      </c>
      <c r="G265" t="n">
        <v>0.1</v>
      </c>
      <c r="H265" t="n">
        <v>0</v>
      </c>
      <c r="I265" t="n">
        <v>0</v>
      </c>
      <c r="J265" t="n">
        <v>0</v>
      </c>
      <c r="K265" t="n">
        <v>0</v>
      </c>
      <c r="L265" t="n">
        <v>0</v>
      </c>
      <c r="M265" t="n">
        <v>0</v>
      </c>
      <c r="N265" t="n">
        <v>0</v>
      </c>
      <c r="O265" t="n">
        <v>0</v>
      </c>
      <c r="P265" t="n">
        <v>0</v>
      </c>
      <c r="Q265" t="n">
        <v>0</v>
      </c>
      <c r="R265" s="2" t="inlineStr"/>
    </row>
    <row r="266" ht="15" customHeight="1">
      <c r="A266" t="inlineStr">
        <is>
          <t>A 57154-2025</t>
        </is>
      </c>
      <c r="B266" s="1" t="n">
        <v>45979.51086805556</v>
      </c>
      <c r="C266" s="1" t="n">
        <v>46104</v>
      </c>
      <c r="D266" t="inlineStr">
        <is>
          <t>UPPSALA LÄN</t>
        </is>
      </c>
      <c r="E266" t="inlineStr">
        <is>
          <t>ÖSTHAMMAR</t>
        </is>
      </c>
      <c r="G266" t="n">
        <v>1.9</v>
      </c>
      <c r="H266" t="n">
        <v>0</v>
      </c>
      <c r="I266" t="n">
        <v>0</v>
      </c>
      <c r="J266" t="n">
        <v>0</v>
      </c>
      <c r="K266" t="n">
        <v>0</v>
      </c>
      <c r="L266" t="n">
        <v>0</v>
      </c>
      <c r="M266" t="n">
        <v>0</v>
      </c>
      <c r="N266" t="n">
        <v>0</v>
      </c>
      <c r="O266" t="n">
        <v>0</v>
      </c>
      <c r="P266" t="n">
        <v>0</v>
      </c>
      <c r="Q266" t="n">
        <v>0</v>
      </c>
      <c r="R266" s="2" t="inlineStr"/>
    </row>
    <row r="267" ht="15" customHeight="1">
      <c r="A267" t="inlineStr">
        <is>
          <t>A 31035-2022</t>
        </is>
      </c>
      <c r="B267" s="1" t="n">
        <v>44768.88685185185</v>
      </c>
      <c r="C267" s="1" t="n">
        <v>46104</v>
      </c>
      <c r="D267" t="inlineStr">
        <is>
          <t>UPPSALA LÄN</t>
        </is>
      </c>
      <c r="E267" t="inlineStr">
        <is>
          <t>ÖSTHAMMAR</t>
        </is>
      </c>
      <c r="F267" t="inlineStr">
        <is>
          <t>Bergvik skog öst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14124-2022</t>
        </is>
      </c>
      <c r="B268" s="1" t="n">
        <v>44651.40924768519</v>
      </c>
      <c r="C268" s="1" t="n">
        <v>46104</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58324-2023</t>
        </is>
      </c>
      <c r="B269" s="1" t="n">
        <v>45250.58635416667</v>
      </c>
      <c r="C269" s="1" t="n">
        <v>46104</v>
      </c>
      <c r="D269" t="inlineStr">
        <is>
          <t>UPPSALA LÄN</t>
        </is>
      </c>
      <c r="E269" t="inlineStr">
        <is>
          <t>ÖSTHAMMAR</t>
        </is>
      </c>
      <c r="G269" t="n">
        <v>5.1</v>
      </c>
      <c r="H269" t="n">
        <v>0</v>
      </c>
      <c r="I269" t="n">
        <v>0</v>
      </c>
      <c r="J269" t="n">
        <v>0</v>
      </c>
      <c r="K269" t="n">
        <v>0</v>
      </c>
      <c r="L269" t="n">
        <v>0</v>
      </c>
      <c r="M269" t="n">
        <v>0</v>
      </c>
      <c r="N269" t="n">
        <v>0</v>
      </c>
      <c r="O269" t="n">
        <v>0</v>
      </c>
      <c r="P269" t="n">
        <v>0</v>
      </c>
      <c r="Q269" t="n">
        <v>0</v>
      </c>
      <c r="R269" s="2" t="inlineStr"/>
    </row>
    <row r="270" ht="15" customHeight="1">
      <c r="A270" t="inlineStr">
        <is>
          <t>A 4099-2025</t>
        </is>
      </c>
      <c r="B270" s="1" t="n">
        <v>45684</v>
      </c>
      <c r="C270" s="1" t="n">
        <v>46104</v>
      </c>
      <c r="D270" t="inlineStr">
        <is>
          <t>UPPSALA LÄN</t>
        </is>
      </c>
      <c r="E270" t="inlineStr">
        <is>
          <t>ÖSTHAMMAR</t>
        </is>
      </c>
      <c r="G270" t="n">
        <v>0.7</v>
      </c>
      <c r="H270" t="n">
        <v>0</v>
      </c>
      <c r="I270" t="n">
        <v>0</v>
      </c>
      <c r="J270" t="n">
        <v>0</v>
      </c>
      <c r="K270" t="n">
        <v>0</v>
      </c>
      <c r="L270" t="n">
        <v>0</v>
      </c>
      <c r="M270" t="n">
        <v>0</v>
      </c>
      <c r="N270" t="n">
        <v>0</v>
      </c>
      <c r="O270" t="n">
        <v>0</v>
      </c>
      <c r="P270" t="n">
        <v>0</v>
      </c>
      <c r="Q270" t="n">
        <v>0</v>
      </c>
      <c r="R270" s="2" t="inlineStr"/>
    </row>
    <row r="271" ht="15" customHeight="1">
      <c r="A271" t="inlineStr">
        <is>
          <t>A 57907-2025</t>
        </is>
      </c>
      <c r="B271" s="1" t="n">
        <v>45981.78840277778</v>
      </c>
      <c r="C271" s="1" t="n">
        <v>46104</v>
      </c>
      <c r="D271" t="inlineStr">
        <is>
          <t>UPPSALA LÄN</t>
        </is>
      </c>
      <c r="E271" t="inlineStr">
        <is>
          <t>ÖSTHAMMAR</t>
        </is>
      </c>
      <c r="F271" t="inlineStr">
        <is>
          <t>Bergvik skog öst AB</t>
        </is>
      </c>
      <c r="G271" t="n">
        <v>2.9</v>
      </c>
      <c r="H271" t="n">
        <v>0</v>
      </c>
      <c r="I271" t="n">
        <v>0</v>
      </c>
      <c r="J271" t="n">
        <v>0</v>
      </c>
      <c r="K271" t="n">
        <v>0</v>
      </c>
      <c r="L271" t="n">
        <v>0</v>
      </c>
      <c r="M271" t="n">
        <v>0</v>
      </c>
      <c r="N271" t="n">
        <v>0</v>
      </c>
      <c r="O271" t="n">
        <v>0</v>
      </c>
      <c r="P271" t="n">
        <v>0</v>
      </c>
      <c r="Q271" t="n">
        <v>0</v>
      </c>
      <c r="R271" s="2" t="inlineStr"/>
    </row>
    <row r="272" ht="15" customHeight="1">
      <c r="A272" t="inlineStr">
        <is>
          <t>A 57908-2025</t>
        </is>
      </c>
      <c r="B272" s="1" t="n">
        <v>45981.78886574074</v>
      </c>
      <c r="C272" s="1" t="n">
        <v>46104</v>
      </c>
      <c r="D272" t="inlineStr">
        <is>
          <t>UPPSALA LÄN</t>
        </is>
      </c>
      <c r="E272" t="inlineStr">
        <is>
          <t>ÖSTHAMMAR</t>
        </is>
      </c>
      <c r="F272" t="inlineStr">
        <is>
          <t>Bergvik skog öst AB</t>
        </is>
      </c>
      <c r="G272" t="n">
        <v>2</v>
      </c>
      <c r="H272" t="n">
        <v>0</v>
      </c>
      <c r="I272" t="n">
        <v>0</v>
      </c>
      <c r="J272" t="n">
        <v>0</v>
      </c>
      <c r="K272" t="n">
        <v>0</v>
      </c>
      <c r="L272" t="n">
        <v>0</v>
      </c>
      <c r="M272" t="n">
        <v>0</v>
      </c>
      <c r="N272" t="n">
        <v>0</v>
      </c>
      <c r="O272" t="n">
        <v>0</v>
      </c>
      <c r="P272" t="n">
        <v>0</v>
      </c>
      <c r="Q272" t="n">
        <v>0</v>
      </c>
      <c r="R272" s="2" t="inlineStr"/>
    </row>
    <row r="273" ht="15" customHeight="1">
      <c r="A273" t="inlineStr">
        <is>
          <t>A 58399-2025</t>
        </is>
      </c>
      <c r="B273" s="1" t="n">
        <v>45985.56244212963</v>
      </c>
      <c r="C273" s="1" t="n">
        <v>46104</v>
      </c>
      <c r="D273" t="inlineStr">
        <is>
          <t>UPPSALA LÄN</t>
        </is>
      </c>
      <c r="E273" t="inlineStr">
        <is>
          <t>ÖSTHAMMAR</t>
        </is>
      </c>
      <c r="G273" t="n">
        <v>2.6</v>
      </c>
      <c r="H273" t="n">
        <v>0</v>
      </c>
      <c r="I273" t="n">
        <v>0</v>
      </c>
      <c r="J273" t="n">
        <v>0</v>
      </c>
      <c r="K273" t="n">
        <v>0</v>
      </c>
      <c r="L273" t="n">
        <v>0</v>
      </c>
      <c r="M273" t="n">
        <v>0</v>
      </c>
      <c r="N273" t="n">
        <v>0</v>
      </c>
      <c r="O273" t="n">
        <v>0</v>
      </c>
      <c r="P273" t="n">
        <v>0</v>
      </c>
      <c r="Q273" t="n">
        <v>0</v>
      </c>
      <c r="R273" s="2" t="inlineStr"/>
    </row>
    <row r="274" ht="15" customHeight="1">
      <c r="A274" t="inlineStr">
        <is>
          <t>A 49097-2022</t>
        </is>
      </c>
      <c r="B274" s="1" t="n">
        <v>44860</v>
      </c>
      <c r="C274" s="1" t="n">
        <v>46104</v>
      </c>
      <c r="D274" t="inlineStr">
        <is>
          <t>UPPSALA LÄN</t>
        </is>
      </c>
      <c r="E274" t="inlineStr">
        <is>
          <t>ÖSTHAMMAR</t>
        </is>
      </c>
      <c r="G274" t="n">
        <v>6.9</v>
      </c>
      <c r="H274" t="n">
        <v>0</v>
      </c>
      <c r="I274" t="n">
        <v>0</v>
      </c>
      <c r="J274" t="n">
        <v>0</v>
      </c>
      <c r="K274" t="n">
        <v>0</v>
      </c>
      <c r="L274" t="n">
        <v>0</v>
      </c>
      <c r="M274" t="n">
        <v>0</v>
      </c>
      <c r="N274" t="n">
        <v>0</v>
      </c>
      <c r="O274" t="n">
        <v>0</v>
      </c>
      <c r="P274" t="n">
        <v>0</v>
      </c>
      <c r="Q274" t="n">
        <v>0</v>
      </c>
      <c r="R274" s="2" t="inlineStr"/>
    </row>
    <row r="275" ht="15" customHeight="1">
      <c r="A275" t="inlineStr">
        <is>
          <t>A 23305-2025</t>
        </is>
      </c>
      <c r="B275" s="1" t="n">
        <v>45791.60127314815</v>
      </c>
      <c r="C275" s="1" t="n">
        <v>46104</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10449-2023</t>
        </is>
      </c>
      <c r="B276" s="1" t="n">
        <v>44987</v>
      </c>
      <c r="C276" s="1" t="n">
        <v>46104</v>
      </c>
      <c r="D276" t="inlineStr">
        <is>
          <t>UPPSALA LÄN</t>
        </is>
      </c>
      <c r="E276" t="inlineStr">
        <is>
          <t>ÖSTHAMMAR</t>
        </is>
      </c>
      <c r="G276" t="n">
        <v>3.1</v>
      </c>
      <c r="H276" t="n">
        <v>0</v>
      </c>
      <c r="I276" t="n">
        <v>0</v>
      </c>
      <c r="J276" t="n">
        <v>0</v>
      </c>
      <c r="K276" t="n">
        <v>0</v>
      </c>
      <c r="L276" t="n">
        <v>0</v>
      </c>
      <c r="M276" t="n">
        <v>0</v>
      </c>
      <c r="N276" t="n">
        <v>0</v>
      </c>
      <c r="O276" t="n">
        <v>0</v>
      </c>
      <c r="P276" t="n">
        <v>0</v>
      </c>
      <c r="Q276" t="n">
        <v>0</v>
      </c>
      <c r="R276" s="2" t="inlineStr"/>
    </row>
    <row r="277" ht="15" customHeight="1">
      <c r="A277" t="inlineStr">
        <is>
          <t>A 40384-2025</t>
        </is>
      </c>
      <c r="B277" s="1" t="n">
        <v>45895.54085648148</v>
      </c>
      <c r="C277" s="1" t="n">
        <v>46104</v>
      </c>
      <c r="D277" t="inlineStr">
        <is>
          <t>UPPSALA LÄN</t>
        </is>
      </c>
      <c r="E277" t="inlineStr">
        <is>
          <t>ÖSTHAMMAR</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835-2025</t>
        </is>
      </c>
      <c r="B278" s="1" t="n">
        <v>45665.58465277778</v>
      </c>
      <c r="C278" s="1" t="n">
        <v>46104</v>
      </c>
      <c r="D278" t="inlineStr">
        <is>
          <t>UPPSALA LÄN</t>
        </is>
      </c>
      <c r="E278" t="inlineStr">
        <is>
          <t>ÖSTHAMMAR</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40377-2025</t>
        </is>
      </c>
      <c r="B279" s="1" t="n">
        <v>45895.53020833333</v>
      </c>
      <c r="C279" s="1" t="n">
        <v>46104</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40382-2025</t>
        </is>
      </c>
      <c r="B280" s="1" t="n">
        <v>45895.53689814815</v>
      </c>
      <c r="C280" s="1" t="n">
        <v>46104</v>
      </c>
      <c r="D280" t="inlineStr">
        <is>
          <t>UPPSALA LÄN</t>
        </is>
      </c>
      <c r="E280" t="inlineStr">
        <is>
          <t>ÖSTHAMMAR</t>
        </is>
      </c>
      <c r="G280" t="n">
        <v>2.2</v>
      </c>
      <c r="H280" t="n">
        <v>0</v>
      </c>
      <c r="I280" t="n">
        <v>0</v>
      </c>
      <c r="J280" t="n">
        <v>0</v>
      </c>
      <c r="K280" t="n">
        <v>0</v>
      </c>
      <c r="L280" t="n">
        <v>0</v>
      </c>
      <c r="M280" t="n">
        <v>0</v>
      </c>
      <c r="N280" t="n">
        <v>0</v>
      </c>
      <c r="O280" t="n">
        <v>0</v>
      </c>
      <c r="P280" t="n">
        <v>0</v>
      </c>
      <c r="Q280" t="n">
        <v>0</v>
      </c>
      <c r="R280" s="2" t="inlineStr"/>
    </row>
    <row r="281" ht="15" customHeight="1">
      <c r="A281" t="inlineStr">
        <is>
          <t>A 40460-2025</t>
        </is>
      </c>
      <c r="B281" s="1" t="n">
        <v>45895.65013888889</v>
      </c>
      <c r="C281" s="1" t="n">
        <v>46104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40462-2025</t>
        </is>
      </c>
      <c r="B282" s="1" t="n">
        <v>45895.65179398148</v>
      </c>
      <c r="C282" s="1" t="n">
        <v>46104</v>
      </c>
      <c r="D282" t="inlineStr">
        <is>
          <t>UPPSALA LÄN</t>
        </is>
      </c>
      <c r="E282" t="inlineStr">
        <is>
          <t>ÖSTHAMMAR</t>
        </is>
      </c>
      <c r="G282" t="n">
        <v>4.5</v>
      </c>
      <c r="H282" t="n">
        <v>0</v>
      </c>
      <c r="I282" t="n">
        <v>0</v>
      </c>
      <c r="J282" t="n">
        <v>0</v>
      </c>
      <c r="K282" t="n">
        <v>0</v>
      </c>
      <c r="L282" t="n">
        <v>0</v>
      </c>
      <c r="M282" t="n">
        <v>0</v>
      </c>
      <c r="N282" t="n">
        <v>0</v>
      </c>
      <c r="O282" t="n">
        <v>0</v>
      </c>
      <c r="P282" t="n">
        <v>0</v>
      </c>
      <c r="Q282" t="n">
        <v>0</v>
      </c>
      <c r="R282" s="2" t="inlineStr"/>
    </row>
    <row r="283" ht="15" customHeight="1">
      <c r="A283" t="inlineStr">
        <is>
          <t>A 36904-2023</t>
        </is>
      </c>
      <c r="B283" s="1" t="n">
        <v>45154</v>
      </c>
      <c r="C283" s="1" t="n">
        <v>46104</v>
      </c>
      <c r="D283" t="inlineStr">
        <is>
          <t>UPPSALA LÄN</t>
        </is>
      </c>
      <c r="E283" t="inlineStr">
        <is>
          <t>ÖSTHAMMAR</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13248-2025</t>
        </is>
      </c>
      <c r="B284" s="1" t="n">
        <v>45735</v>
      </c>
      <c r="C284" s="1" t="n">
        <v>46104</v>
      </c>
      <c r="D284" t="inlineStr">
        <is>
          <t>UPPSALA LÄN</t>
        </is>
      </c>
      <c r="E284" t="inlineStr">
        <is>
          <t>ÖSTHAMMAR</t>
        </is>
      </c>
      <c r="F284" t="inlineStr">
        <is>
          <t>Kyrkan</t>
        </is>
      </c>
      <c r="G284" t="n">
        <v>12.2</v>
      </c>
      <c r="H284" t="n">
        <v>0</v>
      </c>
      <c r="I284" t="n">
        <v>0</v>
      </c>
      <c r="J284" t="n">
        <v>0</v>
      </c>
      <c r="K284" t="n">
        <v>0</v>
      </c>
      <c r="L284" t="n">
        <v>0</v>
      </c>
      <c r="M284" t="n">
        <v>0</v>
      </c>
      <c r="N284" t="n">
        <v>0</v>
      </c>
      <c r="O284" t="n">
        <v>0</v>
      </c>
      <c r="P284" t="n">
        <v>0</v>
      </c>
      <c r="Q284" t="n">
        <v>0</v>
      </c>
      <c r="R284" s="2" t="inlineStr"/>
    </row>
    <row r="285" ht="15" customHeight="1">
      <c r="A285" t="inlineStr">
        <is>
          <t>A 1527-2025</t>
        </is>
      </c>
      <c r="B285" s="1" t="n">
        <v>45670</v>
      </c>
      <c r="C285" s="1" t="n">
        <v>46104</v>
      </c>
      <c r="D285" t="inlineStr">
        <is>
          <t>UPPSALA LÄN</t>
        </is>
      </c>
      <c r="E285" t="inlineStr">
        <is>
          <t>ÖSTHAMMAR</t>
        </is>
      </c>
      <c r="F285" t="inlineStr">
        <is>
          <t>Bergvik skog öst AB</t>
        </is>
      </c>
      <c r="G285" t="n">
        <v>7.7</v>
      </c>
      <c r="H285" t="n">
        <v>0</v>
      </c>
      <c r="I285" t="n">
        <v>0</v>
      </c>
      <c r="J285" t="n">
        <v>0</v>
      </c>
      <c r="K285" t="n">
        <v>0</v>
      </c>
      <c r="L285" t="n">
        <v>0</v>
      </c>
      <c r="M285" t="n">
        <v>0</v>
      </c>
      <c r="N285" t="n">
        <v>0</v>
      </c>
      <c r="O285" t="n">
        <v>0</v>
      </c>
      <c r="P285" t="n">
        <v>0</v>
      </c>
      <c r="Q285" t="n">
        <v>0</v>
      </c>
      <c r="R285" s="2" t="inlineStr"/>
    </row>
    <row r="286" ht="15" customHeight="1">
      <c r="A286" t="inlineStr">
        <is>
          <t>A 40016-2025</t>
        </is>
      </c>
      <c r="B286" s="1" t="n">
        <v>45894.34747685185</v>
      </c>
      <c r="C286" s="1" t="n">
        <v>46104</v>
      </c>
      <c r="D286" t="inlineStr">
        <is>
          <t>UPPSALA LÄN</t>
        </is>
      </c>
      <c r="E286" t="inlineStr">
        <is>
          <t>ÖSTHAMMAR</t>
        </is>
      </c>
      <c r="F286" t="inlineStr">
        <is>
          <t>Kyrkan</t>
        </is>
      </c>
      <c r="G286" t="n">
        <v>6.6</v>
      </c>
      <c r="H286" t="n">
        <v>0</v>
      </c>
      <c r="I286" t="n">
        <v>0</v>
      </c>
      <c r="J286" t="n">
        <v>0</v>
      </c>
      <c r="K286" t="n">
        <v>0</v>
      </c>
      <c r="L286" t="n">
        <v>0</v>
      </c>
      <c r="M286" t="n">
        <v>0</v>
      </c>
      <c r="N286" t="n">
        <v>0</v>
      </c>
      <c r="O286" t="n">
        <v>0</v>
      </c>
      <c r="P286" t="n">
        <v>0</v>
      </c>
      <c r="Q286" t="n">
        <v>0</v>
      </c>
      <c r="R286" s="2" t="inlineStr"/>
    </row>
    <row r="287" ht="15" customHeight="1">
      <c r="A287" t="inlineStr">
        <is>
          <t>A 4304-2025</t>
        </is>
      </c>
      <c r="B287" s="1" t="n">
        <v>45685.68193287037</v>
      </c>
      <c r="C287" s="1" t="n">
        <v>46104</v>
      </c>
      <c r="D287" t="inlineStr">
        <is>
          <t>UPPSALA LÄN</t>
        </is>
      </c>
      <c r="E287" t="inlineStr">
        <is>
          <t>ÖSTHAMMAR</t>
        </is>
      </c>
      <c r="G287" t="n">
        <v>1.2</v>
      </c>
      <c r="H287" t="n">
        <v>0</v>
      </c>
      <c r="I287" t="n">
        <v>0</v>
      </c>
      <c r="J287" t="n">
        <v>0</v>
      </c>
      <c r="K287" t="n">
        <v>0</v>
      </c>
      <c r="L287" t="n">
        <v>0</v>
      </c>
      <c r="M287" t="n">
        <v>0</v>
      </c>
      <c r="N287" t="n">
        <v>0</v>
      </c>
      <c r="O287" t="n">
        <v>0</v>
      </c>
      <c r="P287" t="n">
        <v>0</v>
      </c>
      <c r="Q287" t="n">
        <v>0</v>
      </c>
      <c r="R287" s="2" t="inlineStr"/>
    </row>
    <row r="288" ht="15" customHeight="1">
      <c r="A288" t="inlineStr">
        <is>
          <t>A 40044-2025</t>
        </is>
      </c>
      <c r="B288" s="1" t="n">
        <v>45894.40133101852</v>
      </c>
      <c r="C288" s="1" t="n">
        <v>46104</v>
      </c>
      <c r="D288" t="inlineStr">
        <is>
          <t>UPPSALA LÄN</t>
        </is>
      </c>
      <c r="E288" t="inlineStr">
        <is>
          <t>ÖSTHAMMAR</t>
        </is>
      </c>
      <c r="F288" t="inlineStr">
        <is>
          <t>Kyrkan</t>
        </is>
      </c>
      <c r="G288" t="n">
        <v>8.9</v>
      </c>
      <c r="H288" t="n">
        <v>0</v>
      </c>
      <c r="I288" t="n">
        <v>0</v>
      </c>
      <c r="J288" t="n">
        <v>0</v>
      </c>
      <c r="K288" t="n">
        <v>0</v>
      </c>
      <c r="L288" t="n">
        <v>0</v>
      </c>
      <c r="M288" t="n">
        <v>0</v>
      </c>
      <c r="N288" t="n">
        <v>0</v>
      </c>
      <c r="O288" t="n">
        <v>0</v>
      </c>
      <c r="P288" t="n">
        <v>0</v>
      </c>
      <c r="Q288" t="n">
        <v>0</v>
      </c>
      <c r="R288" s="2" t="inlineStr"/>
    </row>
    <row r="289" ht="15" customHeight="1">
      <c r="A289" t="inlineStr">
        <is>
          <t>A 40416-2025</t>
        </is>
      </c>
      <c r="B289" s="1" t="n">
        <v>45895.57736111111</v>
      </c>
      <c r="C289" s="1" t="n">
        <v>46104</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53735-2023</t>
        </is>
      </c>
      <c r="B290" s="1" t="n">
        <v>45230.77258101852</v>
      </c>
      <c r="C290" s="1" t="n">
        <v>46104</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38702-2022</t>
        </is>
      </c>
      <c r="B291" s="1" t="n">
        <v>44814.5991087963</v>
      </c>
      <c r="C291" s="1" t="n">
        <v>46104</v>
      </c>
      <c r="D291" t="inlineStr">
        <is>
          <t>UPPSALA LÄN</t>
        </is>
      </c>
      <c r="E291" t="inlineStr">
        <is>
          <t>ÖSTHAMMAR</t>
        </is>
      </c>
      <c r="G291" t="n">
        <v>1.2</v>
      </c>
      <c r="H291" t="n">
        <v>0</v>
      </c>
      <c r="I291" t="n">
        <v>0</v>
      </c>
      <c r="J291" t="n">
        <v>0</v>
      </c>
      <c r="K291" t="n">
        <v>0</v>
      </c>
      <c r="L291" t="n">
        <v>0</v>
      </c>
      <c r="M291" t="n">
        <v>0</v>
      </c>
      <c r="N291" t="n">
        <v>0</v>
      </c>
      <c r="O291" t="n">
        <v>0</v>
      </c>
      <c r="P291" t="n">
        <v>0</v>
      </c>
      <c r="Q291" t="n">
        <v>0</v>
      </c>
      <c r="R291" s="2" t="inlineStr"/>
    </row>
    <row r="292" ht="15" customHeight="1">
      <c r="A292" t="inlineStr">
        <is>
          <t>A 40570-2025</t>
        </is>
      </c>
      <c r="B292" s="1" t="n">
        <v>45896.47878472223</v>
      </c>
      <c r="C292" s="1" t="n">
        <v>46104</v>
      </c>
      <c r="D292" t="inlineStr">
        <is>
          <t>UPPSALA LÄN</t>
        </is>
      </c>
      <c r="E292" t="inlineStr">
        <is>
          <t>ÖSTHAMMAR</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1439-2025</t>
        </is>
      </c>
      <c r="B293" s="1" t="n">
        <v>45669.69075231482</v>
      </c>
      <c r="C293" s="1" t="n">
        <v>46104</v>
      </c>
      <c r="D293" t="inlineStr">
        <is>
          <t>UPPSALA LÄN</t>
        </is>
      </c>
      <c r="E293" t="inlineStr">
        <is>
          <t>ÖSTHAMMAR</t>
        </is>
      </c>
      <c r="G293" t="n">
        <v>1</v>
      </c>
      <c r="H293" t="n">
        <v>0</v>
      </c>
      <c r="I293" t="n">
        <v>0</v>
      </c>
      <c r="J293" t="n">
        <v>0</v>
      </c>
      <c r="K293" t="n">
        <v>0</v>
      </c>
      <c r="L293" t="n">
        <v>0</v>
      </c>
      <c r="M293" t="n">
        <v>0</v>
      </c>
      <c r="N293" t="n">
        <v>0</v>
      </c>
      <c r="O293" t="n">
        <v>0</v>
      </c>
      <c r="P293" t="n">
        <v>0</v>
      </c>
      <c r="Q293" t="n">
        <v>0</v>
      </c>
      <c r="R293" s="2" t="inlineStr"/>
    </row>
    <row r="294" ht="15" customHeight="1">
      <c r="A294" t="inlineStr">
        <is>
          <t>A 1575-2025</t>
        </is>
      </c>
      <c r="B294" s="1" t="n">
        <v>45670</v>
      </c>
      <c r="C294" s="1" t="n">
        <v>46104</v>
      </c>
      <c r="D294" t="inlineStr">
        <is>
          <t>UPPSALA LÄN</t>
        </is>
      </c>
      <c r="E294" t="inlineStr">
        <is>
          <t>ÖSTHAMMAR</t>
        </is>
      </c>
      <c r="G294" t="n">
        <v>0.4</v>
      </c>
      <c r="H294" t="n">
        <v>0</v>
      </c>
      <c r="I294" t="n">
        <v>0</v>
      </c>
      <c r="J294" t="n">
        <v>0</v>
      </c>
      <c r="K294" t="n">
        <v>0</v>
      </c>
      <c r="L294" t="n">
        <v>0</v>
      </c>
      <c r="M294" t="n">
        <v>0</v>
      </c>
      <c r="N294" t="n">
        <v>0</v>
      </c>
      <c r="O294" t="n">
        <v>0</v>
      </c>
      <c r="P294" t="n">
        <v>0</v>
      </c>
      <c r="Q294" t="n">
        <v>0</v>
      </c>
      <c r="R294" s="2" t="inlineStr"/>
    </row>
    <row r="295" ht="15" customHeight="1">
      <c r="A295" t="inlineStr">
        <is>
          <t>A 59745-2025</t>
        </is>
      </c>
      <c r="B295" s="1" t="n">
        <v>45992.57708333333</v>
      </c>
      <c r="C295" s="1" t="n">
        <v>46104</v>
      </c>
      <c r="D295" t="inlineStr">
        <is>
          <t>UPPSALA LÄN</t>
        </is>
      </c>
      <c r="E295" t="inlineStr">
        <is>
          <t>ÖSTHAMMAR</t>
        </is>
      </c>
      <c r="F295" t="inlineStr">
        <is>
          <t>Bergvik skog öst AB</t>
        </is>
      </c>
      <c r="G295" t="n">
        <v>3.3</v>
      </c>
      <c r="H295" t="n">
        <v>0</v>
      </c>
      <c r="I295" t="n">
        <v>0</v>
      </c>
      <c r="J295" t="n">
        <v>0</v>
      </c>
      <c r="K295" t="n">
        <v>0</v>
      </c>
      <c r="L295" t="n">
        <v>0</v>
      </c>
      <c r="M295" t="n">
        <v>0</v>
      </c>
      <c r="N295" t="n">
        <v>0</v>
      </c>
      <c r="O295" t="n">
        <v>0</v>
      </c>
      <c r="P295" t="n">
        <v>0</v>
      </c>
      <c r="Q295" t="n">
        <v>0</v>
      </c>
      <c r="R295" s="2" t="inlineStr"/>
    </row>
    <row r="296" ht="15" customHeight="1">
      <c r="A296" t="inlineStr">
        <is>
          <t>A 59706-2025</t>
        </is>
      </c>
      <c r="B296" s="1" t="n">
        <v>45992.50333333333</v>
      </c>
      <c r="C296" s="1" t="n">
        <v>46104</v>
      </c>
      <c r="D296" t="inlineStr">
        <is>
          <t>UPPSALA LÄN</t>
        </is>
      </c>
      <c r="E296" t="inlineStr">
        <is>
          <t>ÖSTHAMMAR</t>
        </is>
      </c>
      <c r="F296" t="inlineStr">
        <is>
          <t>Bergvik skog öst AB</t>
        </is>
      </c>
      <c r="G296" t="n">
        <v>1.6</v>
      </c>
      <c r="H296" t="n">
        <v>0</v>
      </c>
      <c r="I296" t="n">
        <v>0</v>
      </c>
      <c r="J296" t="n">
        <v>0</v>
      </c>
      <c r="K296" t="n">
        <v>0</v>
      </c>
      <c r="L296" t="n">
        <v>0</v>
      </c>
      <c r="M296" t="n">
        <v>0</v>
      </c>
      <c r="N296" t="n">
        <v>0</v>
      </c>
      <c r="O296" t="n">
        <v>0</v>
      </c>
      <c r="P296" t="n">
        <v>0</v>
      </c>
      <c r="Q296" t="n">
        <v>0</v>
      </c>
      <c r="R296" s="2" t="inlineStr"/>
    </row>
    <row r="297" ht="15" customHeight="1">
      <c r="A297" t="inlineStr">
        <is>
          <t>A 59708-2025</t>
        </is>
      </c>
      <c r="B297" s="1" t="n">
        <v>45992.50802083333</v>
      </c>
      <c r="C297" s="1" t="n">
        <v>46104</v>
      </c>
      <c r="D297" t="inlineStr">
        <is>
          <t>UPPSALA LÄN</t>
        </is>
      </c>
      <c r="E297" t="inlineStr">
        <is>
          <t>ÖSTHAMMAR</t>
        </is>
      </c>
      <c r="F297" t="inlineStr">
        <is>
          <t>Bergvik skog öst AB</t>
        </is>
      </c>
      <c r="G297" t="n">
        <v>3.2</v>
      </c>
      <c r="H297" t="n">
        <v>0</v>
      </c>
      <c r="I297" t="n">
        <v>0</v>
      </c>
      <c r="J297" t="n">
        <v>0</v>
      </c>
      <c r="K297" t="n">
        <v>0</v>
      </c>
      <c r="L297" t="n">
        <v>0</v>
      </c>
      <c r="M297" t="n">
        <v>0</v>
      </c>
      <c r="N297" t="n">
        <v>0</v>
      </c>
      <c r="O297" t="n">
        <v>0</v>
      </c>
      <c r="P297" t="n">
        <v>0</v>
      </c>
      <c r="Q297" t="n">
        <v>0</v>
      </c>
      <c r="R297" s="2" t="inlineStr"/>
    </row>
    <row r="298" ht="15" customHeight="1">
      <c r="A298" t="inlineStr">
        <is>
          <t>A 59743-2025</t>
        </is>
      </c>
      <c r="B298" s="1" t="n">
        <v>45992.57668981481</v>
      </c>
      <c r="C298" s="1" t="n">
        <v>46104</v>
      </c>
      <c r="D298" t="inlineStr">
        <is>
          <t>UPPSALA LÄN</t>
        </is>
      </c>
      <c r="E298" t="inlineStr">
        <is>
          <t>ÖSTHAMMAR</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41519-2025</t>
        </is>
      </c>
      <c r="B299" s="1" t="n">
        <v>45901.54751157408</v>
      </c>
      <c r="C299" s="1" t="n">
        <v>46104</v>
      </c>
      <c r="D299" t="inlineStr">
        <is>
          <t>UPPSALA LÄN</t>
        </is>
      </c>
      <c r="E299" t="inlineStr">
        <is>
          <t>ÖSTHAMMAR</t>
        </is>
      </c>
      <c r="F299" t="inlineStr">
        <is>
          <t>Övriga Aktiebolag</t>
        </is>
      </c>
      <c r="G299" t="n">
        <v>17.1</v>
      </c>
      <c r="H299" t="n">
        <v>0</v>
      </c>
      <c r="I299" t="n">
        <v>0</v>
      </c>
      <c r="J299" t="n">
        <v>0</v>
      </c>
      <c r="K299" t="n">
        <v>0</v>
      </c>
      <c r="L299" t="n">
        <v>0</v>
      </c>
      <c r="M299" t="n">
        <v>0</v>
      </c>
      <c r="N299" t="n">
        <v>0</v>
      </c>
      <c r="O299" t="n">
        <v>0</v>
      </c>
      <c r="P299" t="n">
        <v>0</v>
      </c>
      <c r="Q299" t="n">
        <v>0</v>
      </c>
      <c r="R299" s="2" t="inlineStr"/>
    </row>
    <row r="300" ht="15" customHeight="1">
      <c r="A300" t="inlineStr">
        <is>
          <t>A 38571-2023</t>
        </is>
      </c>
      <c r="B300" s="1" t="n">
        <v>45162.6177662037</v>
      </c>
      <c r="C300" s="1" t="n">
        <v>46104</v>
      </c>
      <c r="D300" t="inlineStr">
        <is>
          <t>UPPSALA LÄN</t>
        </is>
      </c>
      <c r="E300" t="inlineStr">
        <is>
          <t>ÖSTHAMMAR</t>
        </is>
      </c>
      <c r="F300" t="inlineStr">
        <is>
          <t>Bergvik skog öst AB</t>
        </is>
      </c>
      <c r="G300" t="n">
        <v>1.1</v>
      </c>
      <c r="H300" t="n">
        <v>0</v>
      </c>
      <c r="I300" t="n">
        <v>0</v>
      </c>
      <c r="J300" t="n">
        <v>0</v>
      </c>
      <c r="K300" t="n">
        <v>0</v>
      </c>
      <c r="L300" t="n">
        <v>0</v>
      </c>
      <c r="M300" t="n">
        <v>0</v>
      </c>
      <c r="N300" t="n">
        <v>0</v>
      </c>
      <c r="O300" t="n">
        <v>0</v>
      </c>
      <c r="P300" t="n">
        <v>0</v>
      </c>
      <c r="Q300" t="n">
        <v>0</v>
      </c>
      <c r="R300" s="2" t="inlineStr"/>
    </row>
    <row r="301" ht="15" customHeight="1">
      <c r="A301" t="inlineStr">
        <is>
          <t>A 8908-2025</t>
        </is>
      </c>
      <c r="B301" s="1" t="n">
        <v>45713.4196875</v>
      </c>
      <c r="C301" s="1" t="n">
        <v>46104</v>
      </c>
      <c r="D301" t="inlineStr">
        <is>
          <t>UPPSALA LÄN</t>
        </is>
      </c>
      <c r="E301" t="inlineStr">
        <is>
          <t>ÖSTHAMMAR</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5884-2023</t>
        </is>
      </c>
      <c r="B302" s="1" t="n">
        <v>44963</v>
      </c>
      <c r="C302" s="1" t="n">
        <v>46104</v>
      </c>
      <c r="D302" t="inlineStr">
        <is>
          <t>UPPSALA LÄN</t>
        </is>
      </c>
      <c r="E302" t="inlineStr">
        <is>
          <t>ÖSTHAMMAR</t>
        </is>
      </c>
      <c r="G302" t="n">
        <v>0.6</v>
      </c>
      <c r="H302" t="n">
        <v>0</v>
      </c>
      <c r="I302" t="n">
        <v>0</v>
      </c>
      <c r="J302" t="n">
        <v>0</v>
      </c>
      <c r="K302" t="n">
        <v>0</v>
      </c>
      <c r="L302" t="n">
        <v>0</v>
      </c>
      <c r="M302" t="n">
        <v>0</v>
      </c>
      <c r="N302" t="n">
        <v>0</v>
      </c>
      <c r="O302" t="n">
        <v>0</v>
      </c>
      <c r="P302" t="n">
        <v>0</v>
      </c>
      <c r="Q302" t="n">
        <v>0</v>
      </c>
      <c r="R302" s="2" t="inlineStr"/>
    </row>
    <row r="303" ht="15" customHeight="1">
      <c r="A303" t="inlineStr">
        <is>
          <t>A 57156-2025</t>
        </is>
      </c>
      <c r="B303" s="1" t="n">
        <v>45979.51591435185</v>
      </c>
      <c r="C303" s="1" t="n">
        <v>46104</v>
      </c>
      <c r="D303" t="inlineStr">
        <is>
          <t>UPPSALA LÄN</t>
        </is>
      </c>
      <c r="E303" t="inlineStr">
        <is>
          <t>ÖSTHAMMAR</t>
        </is>
      </c>
      <c r="G303" t="n">
        <v>1.8</v>
      </c>
      <c r="H303" t="n">
        <v>0</v>
      </c>
      <c r="I303" t="n">
        <v>0</v>
      </c>
      <c r="J303" t="n">
        <v>0</v>
      </c>
      <c r="K303" t="n">
        <v>0</v>
      </c>
      <c r="L303" t="n">
        <v>0</v>
      </c>
      <c r="M303" t="n">
        <v>0</v>
      </c>
      <c r="N303" t="n">
        <v>0</v>
      </c>
      <c r="O303" t="n">
        <v>0</v>
      </c>
      <c r="P303" t="n">
        <v>0</v>
      </c>
      <c r="Q303" t="n">
        <v>0</v>
      </c>
      <c r="R303" s="2" t="inlineStr"/>
    </row>
    <row r="304" ht="15" customHeight="1">
      <c r="A304" t="inlineStr">
        <is>
          <t>A 12654-2025</t>
        </is>
      </c>
      <c r="B304" s="1" t="n">
        <v>45733.41601851852</v>
      </c>
      <c r="C304" s="1" t="n">
        <v>46104</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60738-2025</t>
        </is>
      </c>
      <c r="B305" s="1" t="n">
        <v>45996.83506944445</v>
      </c>
      <c r="C305" s="1" t="n">
        <v>46104</v>
      </c>
      <c r="D305" t="inlineStr">
        <is>
          <t>UPPSALA LÄN</t>
        </is>
      </c>
      <c r="E305" t="inlineStr">
        <is>
          <t>ÖSTHAMMAR</t>
        </is>
      </c>
      <c r="G305" t="n">
        <v>1.8</v>
      </c>
      <c r="H305" t="n">
        <v>0</v>
      </c>
      <c r="I305" t="n">
        <v>0</v>
      </c>
      <c r="J305" t="n">
        <v>0</v>
      </c>
      <c r="K305" t="n">
        <v>0</v>
      </c>
      <c r="L305" t="n">
        <v>0</v>
      </c>
      <c r="M305" t="n">
        <v>0</v>
      </c>
      <c r="N305" t="n">
        <v>0</v>
      </c>
      <c r="O305" t="n">
        <v>0</v>
      </c>
      <c r="P305" t="n">
        <v>0</v>
      </c>
      <c r="Q305" t="n">
        <v>0</v>
      </c>
      <c r="R305" s="2" t="inlineStr"/>
    </row>
    <row r="306" ht="15" customHeight="1">
      <c r="A306" t="inlineStr">
        <is>
          <t>A 60603-2025</t>
        </is>
      </c>
      <c r="B306" s="1" t="n">
        <v>45996.3543287037</v>
      </c>
      <c r="C306" s="1" t="n">
        <v>46104</v>
      </c>
      <c r="D306" t="inlineStr">
        <is>
          <t>UPPSALA LÄN</t>
        </is>
      </c>
      <c r="E306" t="inlineStr">
        <is>
          <t>ÖSTHAMMAR</t>
        </is>
      </c>
      <c r="G306" t="n">
        <v>4.7</v>
      </c>
      <c r="H306" t="n">
        <v>0</v>
      </c>
      <c r="I306" t="n">
        <v>0</v>
      </c>
      <c r="J306" t="n">
        <v>0</v>
      </c>
      <c r="K306" t="n">
        <v>0</v>
      </c>
      <c r="L306" t="n">
        <v>0</v>
      </c>
      <c r="M306" t="n">
        <v>0</v>
      </c>
      <c r="N306" t="n">
        <v>0</v>
      </c>
      <c r="O306" t="n">
        <v>0</v>
      </c>
      <c r="P306" t="n">
        <v>0</v>
      </c>
      <c r="Q306" t="n">
        <v>0</v>
      </c>
      <c r="R306" s="2" t="inlineStr"/>
    </row>
    <row r="307" ht="15" customHeight="1">
      <c r="A307" t="inlineStr">
        <is>
          <t>A 60910-2025</t>
        </is>
      </c>
      <c r="B307" s="1" t="n">
        <v>45999.59837962963</v>
      </c>
      <c r="C307" s="1" t="n">
        <v>46104</v>
      </c>
      <c r="D307" t="inlineStr">
        <is>
          <t>UPPSALA LÄN</t>
        </is>
      </c>
      <c r="E307" t="inlineStr">
        <is>
          <t>ÖSTHAMMAR</t>
        </is>
      </c>
      <c r="G307" t="n">
        <v>3.5</v>
      </c>
      <c r="H307" t="n">
        <v>0</v>
      </c>
      <c r="I307" t="n">
        <v>0</v>
      </c>
      <c r="J307" t="n">
        <v>0</v>
      </c>
      <c r="K307" t="n">
        <v>0</v>
      </c>
      <c r="L307" t="n">
        <v>0</v>
      </c>
      <c r="M307" t="n">
        <v>0</v>
      </c>
      <c r="N307" t="n">
        <v>0</v>
      </c>
      <c r="O307" t="n">
        <v>0</v>
      </c>
      <c r="P307" t="n">
        <v>0</v>
      </c>
      <c r="Q307" t="n">
        <v>0</v>
      </c>
      <c r="R307" s="2" t="inlineStr"/>
    </row>
    <row r="308" ht="15" customHeight="1">
      <c r="A308" t="inlineStr">
        <is>
          <t>A 24401-2025</t>
        </is>
      </c>
      <c r="B308" s="1" t="n">
        <v>45797.64908564815</v>
      </c>
      <c r="C308" s="1" t="n">
        <v>46104</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24408-2025</t>
        </is>
      </c>
      <c r="B309" s="1" t="n">
        <v>45797.65774305556</v>
      </c>
      <c r="C309" s="1" t="n">
        <v>46104</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52650-2022</t>
        </is>
      </c>
      <c r="B310" s="1" t="n">
        <v>44874</v>
      </c>
      <c r="C310" s="1" t="n">
        <v>46104</v>
      </c>
      <c r="D310" t="inlineStr">
        <is>
          <t>UPPSALA LÄN</t>
        </is>
      </c>
      <c r="E310" t="inlineStr">
        <is>
          <t>ÖSTHAMMAR</t>
        </is>
      </c>
      <c r="F310" t="inlineStr">
        <is>
          <t>Bergvik skog öst AB</t>
        </is>
      </c>
      <c r="G310" t="n">
        <v>0.4</v>
      </c>
      <c r="H310" t="n">
        <v>0</v>
      </c>
      <c r="I310" t="n">
        <v>0</v>
      </c>
      <c r="J310" t="n">
        <v>0</v>
      </c>
      <c r="K310" t="n">
        <v>0</v>
      </c>
      <c r="L310" t="n">
        <v>0</v>
      </c>
      <c r="M310" t="n">
        <v>0</v>
      </c>
      <c r="N310" t="n">
        <v>0</v>
      </c>
      <c r="O310" t="n">
        <v>0</v>
      </c>
      <c r="P310" t="n">
        <v>0</v>
      </c>
      <c r="Q310" t="n">
        <v>0</v>
      </c>
      <c r="R310" s="2" t="inlineStr"/>
    </row>
    <row r="311" ht="15" customHeight="1">
      <c r="A311" t="inlineStr">
        <is>
          <t>A 61250-2025</t>
        </is>
      </c>
      <c r="B311" s="1" t="n">
        <v>46000.66645833333</v>
      </c>
      <c r="C311" s="1" t="n">
        <v>46104</v>
      </c>
      <c r="D311" t="inlineStr">
        <is>
          <t>UPPSALA LÄN</t>
        </is>
      </c>
      <c r="E311" t="inlineStr">
        <is>
          <t>ÖSTHAMMAR</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61251-2025</t>
        </is>
      </c>
      <c r="B312" s="1" t="n">
        <v>46000.6669675926</v>
      </c>
      <c r="C312" s="1" t="n">
        <v>46104</v>
      </c>
      <c r="D312" t="inlineStr">
        <is>
          <t>UPPSALA LÄN</t>
        </is>
      </c>
      <c r="E312" t="inlineStr">
        <is>
          <t>ÖSTHAMMAR</t>
        </is>
      </c>
      <c r="F312" t="inlineStr">
        <is>
          <t>Bergvik skog öst AB</t>
        </is>
      </c>
      <c r="G312" t="n">
        <v>22.2</v>
      </c>
      <c r="H312" t="n">
        <v>0</v>
      </c>
      <c r="I312" t="n">
        <v>0</v>
      </c>
      <c r="J312" t="n">
        <v>0</v>
      </c>
      <c r="K312" t="n">
        <v>0</v>
      </c>
      <c r="L312" t="n">
        <v>0</v>
      </c>
      <c r="M312" t="n">
        <v>0</v>
      </c>
      <c r="N312" t="n">
        <v>0</v>
      </c>
      <c r="O312" t="n">
        <v>0</v>
      </c>
      <c r="P312" t="n">
        <v>0</v>
      </c>
      <c r="Q312" t="n">
        <v>0</v>
      </c>
      <c r="R312" s="2" t="inlineStr"/>
    </row>
    <row r="313" ht="15" customHeight="1">
      <c r="A313" t="inlineStr">
        <is>
          <t>A 44807-2024</t>
        </is>
      </c>
      <c r="B313" s="1" t="n">
        <v>45574.65427083334</v>
      </c>
      <c r="C313" s="1" t="n">
        <v>46104</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1584-2025</t>
        </is>
      </c>
      <c r="B314" s="1" t="n">
        <v>45670</v>
      </c>
      <c r="C314" s="1" t="n">
        <v>46104</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30972-2024</t>
        </is>
      </c>
      <c r="B315" s="1" t="n">
        <v>45499.47106481482</v>
      </c>
      <c r="C315" s="1" t="n">
        <v>46104</v>
      </c>
      <c r="D315" t="inlineStr">
        <is>
          <t>UPPSALA LÄN</t>
        </is>
      </c>
      <c r="E315" t="inlineStr">
        <is>
          <t>ÖSTHAMMAR</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24160-2024</t>
        </is>
      </c>
      <c r="B316" s="1" t="n">
        <v>45456</v>
      </c>
      <c r="C316" s="1" t="n">
        <v>46104</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24389-2025</t>
        </is>
      </c>
      <c r="B317" s="1" t="n">
        <v>45797.63553240741</v>
      </c>
      <c r="C317" s="1" t="n">
        <v>46104</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27384-2025</t>
        </is>
      </c>
      <c r="B318" s="1" t="n">
        <v>45812.6672337963</v>
      </c>
      <c r="C318" s="1" t="n">
        <v>46104</v>
      </c>
      <c r="D318" t="inlineStr">
        <is>
          <t>UPPSALA LÄN</t>
        </is>
      </c>
      <c r="E318" t="inlineStr">
        <is>
          <t>ÖSTHAMMAR</t>
        </is>
      </c>
      <c r="G318" t="n">
        <v>1.6</v>
      </c>
      <c r="H318" t="n">
        <v>0</v>
      </c>
      <c r="I318" t="n">
        <v>0</v>
      </c>
      <c r="J318" t="n">
        <v>0</v>
      </c>
      <c r="K318" t="n">
        <v>0</v>
      </c>
      <c r="L318" t="n">
        <v>0</v>
      </c>
      <c r="M318" t="n">
        <v>0</v>
      </c>
      <c r="N318" t="n">
        <v>0</v>
      </c>
      <c r="O318" t="n">
        <v>0</v>
      </c>
      <c r="P318" t="n">
        <v>0</v>
      </c>
      <c r="Q318" t="n">
        <v>0</v>
      </c>
      <c r="R318" s="2" t="inlineStr"/>
    </row>
    <row r="319" ht="15" customHeight="1">
      <c r="A319" t="inlineStr">
        <is>
          <t>A 24415-2025</t>
        </is>
      </c>
      <c r="B319" s="1" t="n">
        <v>45797.67381944445</v>
      </c>
      <c r="C319" s="1" t="n">
        <v>46104</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28099-2025</t>
        </is>
      </c>
      <c r="B320" s="1" t="n">
        <v>45817.82967592592</v>
      </c>
      <c r="C320" s="1" t="n">
        <v>46104</v>
      </c>
      <c r="D320" t="inlineStr">
        <is>
          <t>UPPSALA LÄN</t>
        </is>
      </c>
      <c r="E320" t="inlineStr">
        <is>
          <t>ÖSTHAMMAR</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59731-2023</t>
        </is>
      </c>
      <c r="B321" s="1" t="n">
        <v>45257</v>
      </c>
      <c r="C321" s="1" t="n">
        <v>46104</v>
      </c>
      <c r="D321" t="inlineStr">
        <is>
          <t>UPPSALA LÄN</t>
        </is>
      </c>
      <c r="E321" t="inlineStr">
        <is>
          <t>ÖSTHAMMAR</t>
        </is>
      </c>
      <c r="G321" t="n">
        <v>0.7</v>
      </c>
      <c r="H321" t="n">
        <v>0</v>
      </c>
      <c r="I321" t="n">
        <v>0</v>
      </c>
      <c r="J321" t="n">
        <v>0</v>
      </c>
      <c r="K321" t="n">
        <v>0</v>
      </c>
      <c r="L321" t="n">
        <v>0</v>
      </c>
      <c r="M321" t="n">
        <v>0</v>
      </c>
      <c r="N321" t="n">
        <v>0</v>
      </c>
      <c r="O321" t="n">
        <v>0</v>
      </c>
      <c r="P321" t="n">
        <v>0</v>
      </c>
      <c r="Q321" t="n">
        <v>0</v>
      </c>
      <c r="R321" s="2" t="inlineStr"/>
    </row>
    <row r="322" ht="15" customHeight="1">
      <c r="A322" t="inlineStr">
        <is>
          <t>A 43011-2025</t>
        </is>
      </c>
      <c r="B322" s="1" t="n">
        <v>45909.48989583334</v>
      </c>
      <c r="C322" s="1" t="n">
        <v>46104</v>
      </c>
      <c r="D322" t="inlineStr">
        <is>
          <t>UPPSALA LÄN</t>
        </is>
      </c>
      <c r="E322" t="inlineStr">
        <is>
          <t>ÖSTHAMMAR</t>
        </is>
      </c>
      <c r="F322" t="inlineStr">
        <is>
          <t>Övriga Aktiebolag</t>
        </is>
      </c>
      <c r="G322" t="n">
        <v>4.7</v>
      </c>
      <c r="H322" t="n">
        <v>0</v>
      </c>
      <c r="I322" t="n">
        <v>0</v>
      </c>
      <c r="J322" t="n">
        <v>0</v>
      </c>
      <c r="K322" t="n">
        <v>0</v>
      </c>
      <c r="L322" t="n">
        <v>0</v>
      </c>
      <c r="M322" t="n">
        <v>0</v>
      </c>
      <c r="N322" t="n">
        <v>0</v>
      </c>
      <c r="O322" t="n">
        <v>0</v>
      </c>
      <c r="P322" t="n">
        <v>0</v>
      </c>
      <c r="Q322" t="n">
        <v>0</v>
      </c>
      <c r="R322" s="2" t="inlineStr"/>
    </row>
    <row r="323" ht="15" customHeight="1">
      <c r="A323" t="inlineStr">
        <is>
          <t>A 61143-2025</t>
        </is>
      </c>
      <c r="B323" s="1" t="n">
        <v>46000.53084490741</v>
      </c>
      <c r="C323" s="1" t="n">
        <v>46104</v>
      </c>
      <c r="D323" t="inlineStr">
        <is>
          <t>UPPSALA LÄN</t>
        </is>
      </c>
      <c r="E323" t="inlineStr">
        <is>
          <t>ÖSTHAMMAR</t>
        </is>
      </c>
      <c r="F323" t="inlineStr">
        <is>
          <t>Bergvik skog öst AB</t>
        </is>
      </c>
      <c r="G323" t="n">
        <v>3.3</v>
      </c>
      <c r="H323" t="n">
        <v>0</v>
      </c>
      <c r="I323" t="n">
        <v>0</v>
      </c>
      <c r="J323" t="n">
        <v>0</v>
      </c>
      <c r="K323" t="n">
        <v>0</v>
      </c>
      <c r="L323" t="n">
        <v>0</v>
      </c>
      <c r="M323" t="n">
        <v>0</v>
      </c>
      <c r="N323" t="n">
        <v>0</v>
      </c>
      <c r="O323" t="n">
        <v>0</v>
      </c>
      <c r="P323" t="n">
        <v>0</v>
      </c>
      <c r="Q323" t="n">
        <v>0</v>
      </c>
      <c r="R323" s="2" t="inlineStr"/>
    </row>
    <row r="324" ht="15" customHeight="1">
      <c r="A324" t="inlineStr">
        <is>
          <t>A 5076-2025</t>
        </is>
      </c>
      <c r="B324" s="1" t="n">
        <v>45691</v>
      </c>
      <c r="C324" s="1" t="n">
        <v>46104</v>
      </c>
      <c r="D324" t="inlineStr">
        <is>
          <t>UPPSALA LÄN</t>
        </is>
      </c>
      <c r="E324" t="inlineStr">
        <is>
          <t>ÖSTHAMMAR</t>
        </is>
      </c>
      <c r="G324" t="n">
        <v>5.8</v>
      </c>
      <c r="H324" t="n">
        <v>0</v>
      </c>
      <c r="I324" t="n">
        <v>0</v>
      </c>
      <c r="J324" t="n">
        <v>0</v>
      </c>
      <c r="K324" t="n">
        <v>0</v>
      </c>
      <c r="L324" t="n">
        <v>0</v>
      </c>
      <c r="M324" t="n">
        <v>0</v>
      </c>
      <c r="N324" t="n">
        <v>0</v>
      </c>
      <c r="O324" t="n">
        <v>0</v>
      </c>
      <c r="P324" t="n">
        <v>0</v>
      </c>
      <c r="Q324" t="n">
        <v>0</v>
      </c>
      <c r="R324" s="2" t="inlineStr"/>
    </row>
    <row r="325" ht="15" customHeight="1">
      <c r="A325" t="inlineStr">
        <is>
          <t>A 42940-2025</t>
        </is>
      </c>
      <c r="B325" s="1" t="n">
        <v>45909.33440972222</v>
      </c>
      <c r="C325" s="1" t="n">
        <v>46104</v>
      </c>
      <c r="D325" t="inlineStr">
        <is>
          <t>UPPSALA LÄN</t>
        </is>
      </c>
      <c r="E325" t="inlineStr">
        <is>
          <t>ÖSTHAMMAR</t>
        </is>
      </c>
      <c r="G325" t="n">
        <v>2.1</v>
      </c>
      <c r="H325" t="n">
        <v>0</v>
      </c>
      <c r="I325" t="n">
        <v>0</v>
      </c>
      <c r="J325" t="n">
        <v>0</v>
      </c>
      <c r="K325" t="n">
        <v>0</v>
      </c>
      <c r="L325" t="n">
        <v>0</v>
      </c>
      <c r="M325" t="n">
        <v>0</v>
      </c>
      <c r="N325" t="n">
        <v>0</v>
      </c>
      <c r="O325" t="n">
        <v>0</v>
      </c>
      <c r="P325" t="n">
        <v>0</v>
      </c>
      <c r="Q325" t="n">
        <v>0</v>
      </c>
      <c r="R325" s="2" t="inlineStr"/>
    </row>
    <row r="326" ht="15" customHeight="1">
      <c r="A326" t="inlineStr">
        <is>
          <t>A 61147-2025</t>
        </is>
      </c>
      <c r="B326" s="1" t="n">
        <v>46000.53493055556</v>
      </c>
      <c r="C326" s="1" t="n">
        <v>46104</v>
      </c>
      <c r="D326" t="inlineStr">
        <is>
          <t>UPPSALA LÄN</t>
        </is>
      </c>
      <c r="E326" t="inlineStr">
        <is>
          <t>ÖSTHAMMAR</t>
        </is>
      </c>
      <c r="F326" t="inlineStr">
        <is>
          <t>Bergvik skog öst AB</t>
        </is>
      </c>
      <c r="G326" t="n">
        <v>10.4</v>
      </c>
      <c r="H326" t="n">
        <v>0</v>
      </c>
      <c r="I326" t="n">
        <v>0</v>
      </c>
      <c r="J326" t="n">
        <v>0</v>
      </c>
      <c r="K326" t="n">
        <v>0</v>
      </c>
      <c r="L326" t="n">
        <v>0</v>
      </c>
      <c r="M326" t="n">
        <v>0</v>
      </c>
      <c r="N326" t="n">
        <v>0</v>
      </c>
      <c r="O326" t="n">
        <v>0</v>
      </c>
      <c r="P326" t="n">
        <v>0</v>
      </c>
      <c r="Q326" t="n">
        <v>0</v>
      </c>
      <c r="R326" s="2" t="inlineStr"/>
    </row>
    <row r="327" ht="15" customHeight="1">
      <c r="A327" t="inlineStr">
        <is>
          <t>A 28228-2022</t>
        </is>
      </c>
      <c r="B327" s="1" t="n">
        <v>44746.65873842593</v>
      </c>
      <c r="C327" s="1" t="n">
        <v>46104</v>
      </c>
      <c r="D327" t="inlineStr">
        <is>
          <t>UPPSALA LÄN</t>
        </is>
      </c>
      <c r="E327" t="inlineStr">
        <is>
          <t>ÖSTHAMMAR</t>
        </is>
      </c>
      <c r="G327" t="n">
        <v>2.7</v>
      </c>
      <c r="H327" t="n">
        <v>0</v>
      </c>
      <c r="I327" t="n">
        <v>0</v>
      </c>
      <c r="J327" t="n">
        <v>0</v>
      </c>
      <c r="K327" t="n">
        <v>0</v>
      </c>
      <c r="L327" t="n">
        <v>0</v>
      </c>
      <c r="M327" t="n">
        <v>0</v>
      </c>
      <c r="N327" t="n">
        <v>0</v>
      </c>
      <c r="O327" t="n">
        <v>0</v>
      </c>
      <c r="P327" t="n">
        <v>0</v>
      </c>
      <c r="Q327" t="n">
        <v>0</v>
      </c>
      <c r="R327" s="2" t="inlineStr"/>
    </row>
    <row r="328" ht="15" customHeight="1">
      <c r="A328" t="inlineStr">
        <is>
          <t>A 33927-2025</t>
        </is>
      </c>
      <c r="B328" s="1" t="n">
        <v>45842.62363425926</v>
      </c>
      <c r="C328" s="1" t="n">
        <v>46104</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43604-2025</t>
        </is>
      </c>
      <c r="B329" s="1" t="n">
        <v>45911.66671296296</v>
      </c>
      <c r="C329" s="1" t="n">
        <v>46104</v>
      </c>
      <c r="D329" t="inlineStr">
        <is>
          <t>UPPSALA LÄN</t>
        </is>
      </c>
      <c r="E329" t="inlineStr">
        <is>
          <t>ÖSTHAMMAR</t>
        </is>
      </c>
      <c r="G329" t="n">
        <v>8.5</v>
      </c>
      <c r="H329" t="n">
        <v>0</v>
      </c>
      <c r="I329" t="n">
        <v>0</v>
      </c>
      <c r="J329" t="n">
        <v>0</v>
      </c>
      <c r="K329" t="n">
        <v>0</v>
      </c>
      <c r="L329" t="n">
        <v>0</v>
      </c>
      <c r="M329" t="n">
        <v>0</v>
      </c>
      <c r="N329" t="n">
        <v>0</v>
      </c>
      <c r="O329" t="n">
        <v>0</v>
      </c>
      <c r="P329" t="n">
        <v>0</v>
      </c>
      <c r="Q329" t="n">
        <v>0</v>
      </c>
      <c r="R329" s="2" t="inlineStr"/>
    </row>
    <row r="330" ht="15" customHeight="1">
      <c r="A330" t="inlineStr">
        <is>
          <t>A 61838-2025</t>
        </is>
      </c>
      <c r="B330" s="1" t="n">
        <v>46003.35675925926</v>
      </c>
      <c r="C330" s="1" t="n">
        <v>46104</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49831-2023</t>
        </is>
      </c>
      <c r="B331" s="1" t="n">
        <v>45212.71241898148</v>
      </c>
      <c r="C331" s="1" t="n">
        <v>46104</v>
      </c>
      <c r="D331" t="inlineStr">
        <is>
          <t>UPPSALA LÄN</t>
        </is>
      </c>
      <c r="E331" t="inlineStr">
        <is>
          <t>ÖSTHAMMAR</t>
        </is>
      </c>
      <c r="F331" t="inlineStr">
        <is>
          <t>Bergvik skog öst AB</t>
        </is>
      </c>
      <c r="G331" t="n">
        <v>0.4</v>
      </c>
      <c r="H331" t="n">
        <v>0</v>
      </c>
      <c r="I331" t="n">
        <v>0</v>
      </c>
      <c r="J331" t="n">
        <v>0</v>
      </c>
      <c r="K331" t="n">
        <v>0</v>
      </c>
      <c r="L331" t="n">
        <v>0</v>
      </c>
      <c r="M331" t="n">
        <v>0</v>
      </c>
      <c r="N331" t="n">
        <v>0</v>
      </c>
      <c r="O331" t="n">
        <v>0</v>
      </c>
      <c r="P331" t="n">
        <v>0</v>
      </c>
      <c r="Q331" t="n">
        <v>0</v>
      </c>
      <c r="R331" s="2" t="inlineStr"/>
    </row>
    <row r="332" ht="15" customHeight="1">
      <c r="A332" t="inlineStr">
        <is>
          <t>A 35316-2024</t>
        </is>
      </c>
      <c r="B332" s="1" t="n">
        <v>45530.68873842592</v>
      </c>
      <c r="C332" s="1" t="n">
        <v>46104</v>
      </c>
      <c r="D332" t="inlineStr">
        <is>
          <t>UPPSALA LÄN</t>
        </is>
      </c>
      <c r="E332" t="inlineStr">
        <is>
          <t>ÖSTHAMMAR</t>
        </is>
      </c>
      <c r="F332" t="inlineStr">
        <is>
          <t>Bergvik skog öst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20072-2025</t>
        </is>
      </c>
      <c r="B333" s="1" t="n">
        <v>45772</v>
      </c>
      <c r="C333" s="1" t="n">
        <v>46104</v>
      </c>
      <c r="D333" t="inlineStr">
        <is>
          <t>UPPSALA LÄN</t>
        </is>
      </c>
      <c r="E333" t="inlineStr">
        <is>
          <t>ÖSTHAMMAR</t>
        </is>
      </c>
      <c r="G333" t="n">
        <v>3.1</v>
      </c>
      <c r="H333" t="n">
        <v>0</v>
      </c>
      <c r="I333" t="n">
        <v>0</v>
      </c>
      <c r="J333" t="n">
        <v>0</v>
      </c>
      <c r="K333" t="n">
        <v>0</v>
      </c>
      <c r="L333" t="n">
        <v>0</v>
      </c>
      <c r="M333" t="n">
        <v>0</v>
      </c>
      <c r="N333" t="n">
        <v>0</v>
      </c>
      <c r="O333" t="n">
        <v>0</v>
      </c>
      <c r="P333" t="n">
        <v>0</v>
      </c>
      <c r="Q333" t="n">
        <v>0</v>
      </c>
      <c r="R333" s="2" t="inlineStr"/>
    </row>
    <row r="334" ht="15" customHeight="1">
      <c r="A334" t="inlineStr">
        <is>
          <t>A 43622-2025</t>
        </is>
      </c>
      <c r="B334" s="1" t="n">
        <v>45911.68295138889</v>
      </c>
      <c r="C334" s="1" t="n">
        <v>46104</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45561-2023</t>
        </is>
      </c>
      <c r="B335" s="1" t="n">
        <v>45194.59335648148</v>
      </c>
      <c r="C335" s="1" t="n">
        <v>46104</v>
      </c>
      <c r="D335" t="inlineStr">
        <is>
          <t>UPPSALA LÄN</t>
        </is>
      </c>
      <c r="E335" t="inlineStr">
        <is>
          <t>ÖSTHAMMAR</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16212-2021</t>
        </is>
      </c>
      <c r="B336" s="1" t="n">
        <v>44287</v>
      </c>
      <c r="C336" s="1" t="n">
        <v>46104</v>
      </c>
      <c r="D336" t="inlineStr">
        <is>
          <t>UPPSALA LÄN</t>
        </is>
      </c>
      <c r="E336" t="inlineStr">
        <is>
          <t>ÖSTHAMMAR</t>
        </is>
      </c>
      <c r="G336" t="n">
        <v>1.6</v>
      </c>
      <c r="H336" t="n">
        <v>0</v>
      </c>
      <c r="I336" t="n">
        <v>0</v>
      </c>
      <c r="J336" t="n">
        <v>0</v>
      </c>
      <c r="K336" t="n">
        <v>0</v>
      </c>
      <c r="L336" t="n">
        <v>0</v>
      </c>
      <c r="M336" t="n">
        <v>0</v>
      </c>
      <c r="N336" t="n">
        <v>0</v>
      </c>
      <c r="O336" t="n">
        <v>0</v>
      </c>
      <c r="P336" t="n">
        <v>0</v>
      </c>
      <c r="Q336" t="n">
        <v>0</v>
      </c>
      <c r="R336" s="2" t="inlineStr"/>
    </row>
    <row r="337" ht="15" customHeight="1">
      <c r="A337" t="inlineStr">
        <is>
          <t>A 23968-2025</t>
        </is>
      </c>
      <c r="B337" s="1" t="n">
        <v>45796</v>
      </c>
      <c r="C337" s="1" t="n">
        <v>46104</v>
      </c>
      <c r="D337" t="inlineStr">
        <is>
          <t>UPPSALA LÄN</t>
        </is>
      </c>
      <c r="E337" t="inlineStr">
        <is>
          <t>ÖSTHAMMAR</t>
        </is>
      </c>
      <c r="F337" t="inlineStr">
        <is>
          <t>Bergvik skog öst AB</t>
        </is>
      </c>
      <c r="G337" t="n">
        <v>7.5</v>
      </c>
      <c r="H337" t="n">
        <v>0</v>
      </c>
      <c r="I337" t="n">
        <v>0</v>
      </c>
      <c r="J337" t="n">
        <v>0</v>
      </c>
      <c r="K337" t="n">
        <v>0</v>
      </c>
      <c r="L337" t="n">
        <v>0</v>
      </c>
      <c r="M337" t="n">
        <v>0</v>
      </c>
      <c r="N337" t="n">
        <v>0</v>
      </c>
      <c r="O337" t="n">
        <v>0</v>
      </c>
      <c r="P337" t="n">
        <v>0</v>
      </c>
      <c r="Q337" t="n">
        <v>0</v>
      </c>
      <c r="R337" s="2" t="inlineStr"/>
    </row>
    <row r="338" ht="15" customHeight="1">
      <c r="A338" t="inlineStr">
        <is>
          <t>A 11036-2023</t>
        </is>
      </c>
      <c r="B338" s="1" t="n">
        <v>44991.9321412037</v>
      </c>
      <c r="C338" s="1" t="n">
        <v>46104</v>
      </c>
      <c r="D338" t="inlineStr">
        <is>
          <t>UPPSALA LÄN</t>
        </is>
      </c>
      <c r="E338" t="inlineStr">
        <is>
          <t>ÖSTHAMMAR</t>
        </is>
      </c>
      <c r="F338" t="inlineStr">
        <is>
          <t>Bergvik skog öst AB</t>
        </is>
      </c>
      <c r="G338" t="n">
        <v>3</v>
      </c>
      <c r="H338" t="n">
        <v>0</v>
      </c>
      <c r="I338" t="n">
        <v>0</v>
      </c>
      <c r="J338" t="n">
        <v>0</v>
      </c>
      <c r="K338" t="n">
        <v>0</v>
      </c>
      <c r="L338" t="n">
        <v>0</v>
      </c>
      <c r="M338" t="n">
        <v>0</v>
      </c>
      <c r="N338" t="n">
        <v>0</v>
      </c>
      <c r="O338" t="n">
        <v>0</v>
      </c>
      <c r="P338" t="n">
        <v>0</v>
      </c>
      <c r="Q338" t="n">
        <v>0</v>
      </c>
      <c r="R338" s="2" t="inlineStr"/>
    </row>
    <row r="339" ht="15" customHeight="1">
      <c r="A339" t="inlineStr">
        <is>
          <t>A 24174-2025</t>
        </is>
      </c>
      <c r="B339" s="1" t="n">
        <v>45796.69207175926</v>
      </c>
      <c r="C339" s="1" t="n">
        <v>46104</v>
      </c>
      <c r="D339" t="inlineStr">
        <is>
          <t>UPPSALA LÄN</t>
        </is>
      </c>
      <c r="E339" t="inlineStr">
        <is>
          <t>ÖSTHAMMAR</t>
        </is>
      </c>
      <c r="G339" t="n">
        <v>4.9</v>
      </c>
      <c r="H339" t="n">
        <v>0</v>
      </c>
      <c r="I339" t="n">
        <v>0</v>
      </c>
      <c r="J339" t="n">
        <v>0</v>
      </c>
      <c r="K339" t="n">
        <v>0</v>
      </c>
      <c r="L339" t="n">
        <v>0</v>
      </c>
      <c r="M339" t="n">
        <v>0</v>
      </c>
      <c r="N339" t="n">
        <v>0</v>
      </c>
      <c r="O339" t="n">
        <v>0</v>
      </c>
      <c r="P339" t="n">
        <v>0</v>
      </c>
      <c r="Q339" t="n">
        <v>0</v>
      </c>
      <c r="R339" s="2" t="inlineStr"/>
    </row>
    <row r="340" ht="15" customHeight="1">
      <c r="A340" t="inlineStr">
        <is>
          <t>A 21478-2023</t>
        </is>
      </c>
      <c r="B340" s="1" t="n">
        <v>45063.47773148148</v>
      </c>
      <c r="C340" s="1" t="n">
        <v>46104</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32884-2024</t>
        </is>
      </c>
      <c r="B341" s="1" t="n">
        <v>45516.72097222223</v>
      </c>
      <c r="C341" s="1" t="n">
        <v>46104</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46104</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24606-2024</t>
        </is>
      </c>
      <c r="B343" s="1" t="n">
        <v>45460</v>
      </c>
      <c r="C343" s="1" t="n">
        <v>46104</v>
      </c>
      <c r="D343" t="inlineStr">
        <is>
          <t>UPPSALA LÄN</t>
        </is>
      </c>
      <c r="E343" t="inlineStr">
        <is>
          <t>ÖSTHAMMAR</t>
        </is>
      </c>
      <c r="F343" t="inlineStr">
        <is>
          <t>Bergvik skog öst AB</t>
        </is>
      </c>
      <c r="G343" t="n">
        <v>2.9</v>
      </c>
      <c r="H343" t="n">
        <v>0</v>
      </c>
      <c r="I343" t="n">
        <v>0</v>
      </c>
      <c r="J343" t="n">
        <v>0</v>
      </c>
      <c r="K343" t="n">
        <v>0</v>
      </c>
      <c r="L343" t="n">
        <v>0</v>
      </c>
      <c r="M343" t="n">
        <v>0</v>
      </c>
      <c r="N343" t="n">
        <v>0</v>
      </c>
      <c r="O343" t="n">
        <v>0</v>
      </c>
      <c r="P343" t="n">
        <v>0</v>
      </c>
      <c r="Q343" t="n">
        <v>0</v>
      </c>
      <c r="R343" s="2" t="inlineStr"/>
    </row>
    <row r="344" ht="15" customHeight="1">
      <c r="A344" t="inlineStr">
        <is>
          <t>A 44491-2025</t>
        </is>
      </c>
      <c r="B344" s="1" t="n">
        <v>45916.66152777777</v>
      </c>
      <c r="C344" s="1" t="n">
        <v>46104</v>
      </c>
      <c r="D344" t="inlineStr">
        <is>
          <t>UPPSALA LÄN</t>
        </is>
      </c>
      <c r="E344" t="inlineStr">
        <is>
          <t>ÖSTHAMMAR</t>
        </is>
      </c>
      <c r="F344" t="inlineStr">
        <is>
          <t>Bergvik skog öst AB</t>
        </is>
      </c>
      <c r="G344" t="n">
        <v>4.3</v>
      </c>
      <c r="H344" t="n">
        <v>0</v>
      </c>
      <c r="I344" t="n">
        <v>0</v>
      </c>
      <c r="J344" t="n">
        <v>0</v>
      </c>
      <c r="K344" t="n">
        <v>0</v>
      </c>
      <c r="L344" t="n">
        <v>0</v>
      </c>
      <c r="M344" t="n">
        <v>0</v>
      </c>
      <c r="N344" t="n">
        <v>0</v>
      </c>
      <c r="O344" t="n">
        <v>0</v>
      </c>
      <c r="P344" t="n">
        <v>0</v>
      </c>
      <c r="Q344" t="n">
        <v>0</v>
      </c>
      <c r="R344" s="2" t="inlineStr"/>
    </row>
    <row r="345" ht="15" customHeight="1">
      <c r="A345" t="inlineStr">
        <is>
          <t>A 62745-2025</t>
        </is>
      </c>
      <c r="B345" s="1" t="n">
        <v>46008.57596064815</v>
      </c>
      <c r="C345" s="1" t="n">
        <v>46104</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6206-2022</t>
        </is>
      </c>
      <c r="B346" s="1" t="n">
        <v>44600.35755787037</v>
      </c>
      <c r="C346" s="1" t="n">
        <v>46104</v>
      </c>
      <c r="D346" t="inlineStr">
        <is>
          <t>UPPSALA LÄN</t>
        </is>
      </c>
      <c r="E346" t="inlineStr">
        <is>
          <t>ÖSTHAMMAR</t>
        </is>
      </c>
      <c r="G346" t="n">
        <v>7.4</v>
      </c>
      <c r="H346" t="n">
        <v>0</v>
      </c>
      <c r="I346" t="n">
        <v>0</v>
      </c>
      <c r="J346" t="n">
        <v>0</v>
      </c>
      <c r="K346" t="n">
        <v>0</v>
      </c>
      <c r="L346" t="n">
        <v>0</v>
      </c>
      <c r="M346" t="n">
        <v>0</v>
      </c>
      <c r="N346" t="n">
        <v>0</v>
      </c>
      <c r="O346" t="n">
        <v>0</v>
      </c>
      <c r="P346" t="n">
        <v>0</v>
      </c>
      <c r="Q346" t="n">
        <v>0</v>
      </c>
      <c r="R346" s="2" t="inlineStr"/>
    </row>
    <row r="347" ht="15" customHeight="1">
      <c r="A347" t="inlineStr">
        <is>
          <t>A 45102-2025</t>
        </is>
      </c>
      <c r="B347" s="1" t="n">
        <v>45919.39731481481</v>
      </c>
      <c r="C347" s="1" t="n">
        <v>46104</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70008-2021</t>
        </is>
      </c>
      <c r="B348" s="1" t="n">
        <v>44533.44887731481</v>
      </c>
      <c r="C348" s="1" t="n">
        <v>46104</v>
      </c>
      <c r="D348" t="inlineStr">
        <is>
          <t>UPPSALA LÄN</t>
        </is>
      </c>
      <c r="E348" t="inlineStr">
        <is>
          <t>ÖSTHAMMAR</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73982-2021</t>
        </is>
      </c>
      <c r="B349" s="1" t="n">
        <v>44555.80339120371</v>
      </c>
      <c r="C349" s="1" t="n">
        <v>46104</v>
      </c>
      <c r="D349" t="inlineStr">
        <is>
          <t>UPPSALA LÄN</t>
        </is>
      </c>
      <c r="E349" t="inlineStr">
        <is>
          <t>ÖSTHAMMAR</t>
        </is>
      </c>
      <c r="G349" t="n">
        <v>0.9</v>
      </c>
      <c r="H349" t="n">
        <v>0</v>
      </c>
      <c r="I349" t="n">
        <v>0</v>
      </c>
      <c r="J349" t="n">
        <v>0</v>
      </c>
      <c r="K349" t="n">
        <v>0</v>
      </c>
      <c r="L349" t="n">
        <v>0</v>
      </c>
      <c r="M349" t="n">
        <v>0</v>
      </c>
      <c r="N349" t="n">
        <v>0</v>
      </c>
      <c r="O349" t="n">
        <v>0</v>
      </c>
      <c r="P349" t="n">
        <v>0</v>
      </c>
      <c r="Q349" t="n">
        <v>0</v>
      </c>
      <c r="R349" s="2" t="inlineStr"/>
    </row>
    <row r="350" ht="15" customHeight="1">
      <c r="A350" t="inlineStr">
        <is>
          <t>A 25049-2025</t>
        </is>
      </c>
      <c r="B350" s="1" t="n">
        <v>45799.66876157407</v>
      </c>
      <c r="C350" s="1" t="n">
        <v>46104</v>
      </c>
      <c r="D350" t="inlineStr">
        <is>
          <t>UPPSALA LÄN</t>
        </is>
      </c>
      <c r="E350" t="inlineStr">
        <is>
          <t>ÖSTHAMMAR</t>
        </is>
      </c>
      <c r="F350" t="inlineStr">
        <is>
          <t>Bergvik skog öst AB</t>
        </is>
      </c>
      <c r="G350" t="n">
        <v>3.8</v>
      </c>
      <c r="H350" t="n">
        <v>0</v>
      </c>
      <c r="I350" t="n">
        <v>0</v>
      </c>
      <c r="J350" t="n">
        <v>0</v>
      </c>
      <c r="K350" t="n">
        <v>0</v>
      </c>
      <c r="L350" t="n">
        <v>0</v>
      </c>
      <c r="M350" t="n">
        <v>0</v>
      </c>
      <c r="N350" t="n">
        <v>0</v>
      </c>
      <c r="O350" t="n">
        <v>0</v>
      </c>
      <c r="P350" t="n">
        <v>0</v>
      </c>
      <c r="Q350" t="n">
        <v>0</v>
      </c>
      <c r="R350" s="2" t="inlineStr"/>
    </row>
    <row r="351" ht="15" customHeight="1">
      <c r="A351" t="inlineStr">
        <is>
          <t>A 44917-2025</t>
        </is>
      </c>
      <c r="B351" s="1" t="n">
        <v>45918.54903935185</v>
      </c>
      <c r="C351" s="1" t="n">
        <v>46104</v>
      </c>
      <c r="D351" t="inlineStr">
        <is>
          <t>UPPSALA LÄN</t>
        </is>
      </c>
      <c r="E351" t="inlineStr">
        <is>
          <t>ÖSTHAMMAR</t>
        </is>
      </c>
      <c r="F351" t="inlineStr">
        <is>
          <t>Allmännings- och besparingsskogar</t>
        </is>
      </c>
      <c r="G351" t="n">
        <v>16</v>
      </c>
      <c r="H351" t="n">
        <v>0</v>
      </c>
      <c r="I351" t="n">
        <v>0</v>
      </c>
      <c r="J351" t="n">
        <v>0</v>
      </c>
      <c r="K351" t="n">
        <v>0</v>
      </c>
      <c r="L351" t="n">
        <v>0</v>
      </c>
      <c r="M351" t="n">
        <v>0</v>
      </c>
      <c r="N351" t="n">
        <v>0</v>
      </c>
      <c r="O351" t="n">
        <v>0</v>
      </c>
      <c r="P351" t="n">
        <v>0</v>
      </c>
      <c r="Q351" t="n">
        <v>0</v>
      </c>
      <c r="R351" s="2" t="inlineStr"/>
    </row>
    <row r="352" ht="15" customHeight="1">
      <c r="A352" t="inlineStr">
        <is>
          <t>A 45105-2025</t>
        </is>
      </c>
      <c r="B352" s="1" t="n">
        <v>45919.40252314815</v>
      </c>
      <c r="C352" s="1" t="n">
        <v>46104</v>
      </c>
      <c r="D352" t="inlineStr">
        <is>
          <t>UPPSALA LÄN</t>
        </is>
      </c>
      <c r="E352" t="inlineStr">
        <is>
          <t>ÖSTHAMMAR</t>
        </is>
      </c>
      <c r="G352" t="n">
        <v>0.8</v>
      </c>
      <c r="H352" t="n">
        <v>0</v>
      </c>
      <c r="I352" t="n">
        <v>0</v>
      </c>
      <c r="J352" t="n">
        <v>0</v>
      </c>
      <c r="K352" t="n">
        <v>0</v>
      </c>
      <c r="L352" t="n">
        <v>0</v>
      </c>
      <c r="M352" t="n">
        <v>0</v>
      </c>
      <c r="N352" t="n">
        <v>0</v>
      </c>
      <c r="O352" t="n">
        <v>0</v>
      </c>
      <c r="P352" t="n">
        <v>0</v>
      </c>
      <c r="Q352" t="n">
        <v>0</v>
      </c>
      <c r="R352" s="2" t="inlineStr"/>
    </row>
    <row r="353" ht="15" customHeight="1">
      <c r="A353" t="inlineStr">
        <is>
          <t>A 4984-2024</t>
        </is>
      </c>
      <c r="B353" s="1" t="n">
        <v>45329</v>
      </c>
      <c r="C353" s="1" t="n">
        <v>46104</v>
      </c>
      <c r="D353" t="inlineStr">
        <is>
          <t>UPPSALA LÄN</t>
        </is>
      </c>
      <c r="E353" t="inlineStr">
        <is>
          <t>ÖSTHAMMAR</t>
        </is>
      </c>
      <c r="G353" t="n">
        <v>2.2</v>
      </c>
      <c r="H353" t="n">
        <v>0</v>
      </c>
      <c r="I353" t="n">
        <v>0</v>
      </c>
      <c r="J353" t="n">
        <v>0</v>
      </c>
      <c r="K353" t="n">
        <v>0</v>
      </c>
      <c r="L353" t="n">
        <v>0</v>
      </c>
      <c r="M353" t="n">
        <v>0</v>
      </c>
      <c r="N353" t="n">
        <v>0</v>
      </c>
      <c r="O353" t="n">
        <v>0</v>
      </c>
      <c r="P353" t="n">
        <v>0</v>
      </c>
      <c r="Q353" t="n">
        <v>0</v>
      </c>
      <c r="R353" s="2" t="inlineStr"/>
    </row>
    <row r="354" ht="15" customHeight="1">
      <c r="A354" t="inlineStr">
        <is>
          <t>A 21624-2023</t>
        </is>
      </c>
      <c r="B354" s="1" t="n">
        <v>45063.65543981481</v>
      </c>
      <c r="C354" s="1" t="n">
        <v>46104</v>
      </c>
      <c r="D354" t="inlineStr">
        <is>
          <t>UPPSALA LÄN</t>
        </is>
      </c>
      <c r="E354" t="inlineStr">
        <is>
          <t>ÖSTHAMMAR</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41996-2024</t>
        </is>
      </c>
      <c r="B355" s="1" t="n">
        <v>45561</v>
      </c>
      <c r="C355" s="1" t="n">
        <v>46104</v>
      </c>
      <c r="D355" t="inlineStr">
        <is>
          <t>UPPSALA LÄN</t>
        </is>
      </c>
      <c r="E355" t="inlineStr">
        <is>
          <t>ÖSTHAMMAR</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20326-2021</t>
        </is>
      </c>
      <c r="B356" s="1" t="n">
        <v>44308</v>
      </c>
      <c r="C356" s="1" t="n">
        <v>46104</v>
      </c>
      <c r="D356" t="inlineStr">
        <is>
          <t>UPPSALA LÄN</t>
        </is>
      </c>
      <c r="E356" t="inlineStr">
        <is>
          <t>ÖSTHAMMAR</t>
        </is>
      </c>
      <c r="G356" t="n">
        <v>7</v>
      </c>
      <c r="H356" t="n">
        <v>0</v>
      </c>
      <c r="I356" t="n">
        <v>0</v>
      </c>
      <c r="J356" t="n">
        <v>0</v>
      </c>
      <c r="K356" t="n">
        <v>0</v>
      </c>
      <c r="L356" t="n">
        <v>0</v>
      </c>
      <c r="M356" t="n">
        <v>0</v>
      </c>
      <c r="N356" t="n">
        <v>0</v>
      </c>
      <c r="O356" t="n">
        <v>0</v>
      </c>
      <c r="P356" t="n">
        <v>0</v>
      </c>
      <c r="Q356" t="n">
        <v>0</v>
      </c>
      <c r="R356" s="2" t="inlineStr"/>
    </row>
    <row r="357" ht="15" customHeight="1">
      <c r="A357" t="inlineStr">
        <is>
          <t>A 23742-2024</t>
        </is>
      </c>
      <c r="B357" s="1" t="n">
        <v>45455</v>
      </c>
      <c r="C357" s="1" t="n">
        <v>46104</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46104</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46104</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6106-2024</t>
        </is>
      </c>
      <c r="B360" s="1" t="n">
        <v>45337.36831018519</v>
      </c>
      <c r="C360" s="1" t="n">
        <v>46104</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45715-2025</t>
        </is>
      </c>
      <c r="B361" s="1" t="n">
        <v>45923.44094907407</v>
      </c>
      <c r="C361" s="1" t="n">
        <v>46104</v>
      </c>
      <c r="D361" t="inlineStr">
        <is>
          <t>UPPSALA LÄN</t>
        </is>
      </c>
      <c r="E361" t="inlineStr">
        <is>
          <t>ÖSTHAMMAR</t>
        </is>
      </c>
      <c r="F361" t="inlineStr">
        <is>
          <t>Övriga Aktiebolag</t>
        </is>
      </c>
      <c r="G361" t="n">
        <v>3.4</v>
      </c>
      <c r="H361" t="n">
        <v>0</v>
      </c>
      <c r="I361" t="n">
        <v>0</v>
      </c>
      <c r="J361" t="n">
        <v>0</v>
      </c>
      <c r="K361" t="n">
        <v>0</v>
      </c>
      <c r="L361" t="n">
        <v>0</v>
      </c>
      <c r="M361" t="n">
        <v>0</v>
      </c>
      <c r="N361" t="n">
        <v>0</v>
      </c>
      <c r="O361" t="n">
        <v>0</v>
      </c>
      <c r="P361" t="n">
        <v>0</v>
      </c>
      <c r="Q361" t="n">
        <v>0</v>
      </c>
      <c r="R361" s="2" t="inlineStr"/>
    </row>
    <row r="362" ht="15" customHeight="1">
      <c r="A362" t="inlineStr">
        <is>
          <t>A 65020-2021</t>
        </is>
      </c>
      <c r="B362" s="1" t="n">
        <v>44515</v>
      </c>
      <c r="C362" s="1" t="n">
        <v>46104</v>
      </c>
      <c r="D362" t="inlineStr">
        <is>
          <t>UPPSALA LÄN</t>
        </is>
      </c>
      <c r="E362" t="inlineStr">
        <is>
          <t>ÖSTHAMMAR</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8014-2026</t>
        </is>
      </c>
      <c r="B363" s="1" t="n">
        <v>46063.54009259259</v>
      </c>
      <c r="C363" s="1" t="n">
        <v>46104</v>
      </c>
      <c r="D363" t="inlineStr">
        <is>
          <t>UPPSALA LÄN</t>
        </is>
      </c>
      <c r="E363" t="inlineStr">
        <is>
          <t>ÖSTHAMMAR</t>
        </is>
      </c>
      <c r="G363" t="n">
        <v>15.2</v>
      </c>
      <c r="H363" t="n">
        <v>0</v>
      </c>
      <c r="I363" t="n">
        <v>0</v>
      </c>
      <c r="J363" t="n">
        <v>0</v>
      </c>
      <c r="K363" t="n">
        <v>0</v>
      </c>
      <c r="L363" t="n">
        <v>0</v>
      </c>
      <c r="M363" t="n">
        <v>0</v>
      </c>
      <c r="N363" t="n">
        <v>0</v>
      </c>
      <c r="O363" t="n">
        <v>0</v>
      </c>
      <c r="P363" t="n">
        <v>0</v>
      </c>
      <c r="Q363" t="n">
        <v>0</v>
      </c>
      <c r="R363" s="2" t="inlineStr"/>
    </row>
    <row r="364" ht="15" customHeight="1">
      <c r="A364" t="inlineStr">
        <is>
          <t>A 45993-2025</t>
        </is>
      </c>
      <c r="B364" s="1" t="n">
        <v>45924.39706018518</v>
      </c>
      <c r="C364" s="1" t="n">
        <v>46104</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8030-2026</t>
        </is>
      </c>
      <c r="B365" s="1" t="n">
        <v>46063.57956018519</v>
      </c>
      <c r="C365" s="1" t="n">
        <v>46104</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46089-2025</t>
        </is>
      </c>
      <c r="B366" s="1" t="n">
        <v>45924.52100694444</v>
      </c>
      <c r="C366" s="1" t="n">
        <v>46104</v>
      </c>
      <c r="D366" t="inlineStr">
        <is>
          <t>UPPSALA LÄN</t>
        </is>
      </c>
      <c r="E366" t="inlineStr">
        <is>
          <t>ÖSTHAMMAR</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46088-2025</t>
        </is>
      </c>
      <c r="B367" s="1" t="n">
        <v>45924.52010416667</v>
      </c>
      <c r="C367" s="1" t="n">
        <v>46104</v>
      </c>
      <c r="D367" t="inlineStr">
        <is>
          <t>UPPSALA LÄN</t>
        </is>
      </c>
      <c r="E367" t="inlineStr">
        <is>
          <t>ÖSTHAMMAR</t>
        </is>
      </c>
      <c r="F367" t="inlineStr">
        <is>
          <t>Bergvik skog öst AB</t>
        </is>
      </c>
      <c r="G367" t="n">
        <v>2.7</v>
      </c>
      <c r="H367" t="n">
        <v>0</v>
      </c>
      <c r="I367" t="n">
        <v>0</v>
      </c>
      <c r="J367" t="n">
        <v>0</v>
      </c>
      <c r="K367" t="n">
        <v>0</v>
      </c>
      <c r="L367" t="n">
        <v>0</v>
      </c>
      <c r="M367" t="n">
        <v>0</v>
      </c>
      <c r="N367" t="n">
        <v>0</v>
      </c>
      <c r="O367" t="n">
        <v>0</v>
      </c>
      <c r="P367" t="n">
        <v>0</v>
      </c>
      <c r="Q367" t="n">
        <v>0</v>
      </c>
      <c r="R367" s="2" t="inlineStr"/>
    </row>
    <row r="368" ht="15" customHeight="1">
      <c r="A368" t="inlineStr">
        <is>
          <t>A 7855-2026</t>
        </is>
      </c>
      <c r="B368" s="1" t="n">
        <v>46062.67241898148</v>
      </c>
      <c r="C368" s="1" t="n">
        <v>46104</v>
      </c>
      <c r="D368" t="inlineStr">
        <is>
          <t>UPPSALA LÄN</t>
        </is>
      </c>
      <c r="E368" t="inlineStr">
        <is>
          <t>ÖSTHAMMAR</t>
        </is>
      </c>
      <c r="G368" t="n">
        <v>3.8</v>
      </c>
      <c r="H368" t="n">
        <v>0</v>
      </c>
      <c r="I368" t="n">
        <v>0</v>
      </c>
      <c r="J368" t="n">
        <v>0</v>
      </c>
      <c r="K368" t="n">
        <v>0</v>
      </c>
      <c r="L368" t="n">
        <v>0</v>
      </c>
      <c r="M368" t="n">
        <v>0</v>
      </c>
      <c r="N368" t="n">
        <v>0</v>
      </c>
      <c r="O368" t="n">
        <v>0</v>
      </c>
      <c r="P368" t="n">
        <v>0</v>
      </c>
      <c r="Q368" t="n">
        <v>0</v>
      </c>
      <c r="R368" s="2" t="inlineStr"/>
    </row>
    <row r="369" ht="15" customHeight="1">
      <c r="A369" t="inlineStr">
        <is>
          <t>A 1238-2022</t>
        </is>
      </c>
      <c r="B369" s="1" t="n">
        <v>44572.5827662037</v>
      </c>
      <c r="C369" s="1" t="n">
        <v>46104</v>
      </c>
      <c r="D369" t="inlineStr">
        <is>
          <t>UPPSALA LÄN</t>
        </is>
      </c>
      <c r="E369" t="inlineStr">
        <is>
          <t>ÖSTHAMMAR</t>
        </is>
      </c>
      <c r="G369" t="n">
        <v>1.1</v>
      </c>
      <c r="H369" t="n">
        <v>0</v>
      </c>
      <c r="I369" t="n">
        <v>0</v>
      </c>
      <c r="J369" t="n">
        <v>0</v>
      </c>
      <c r="K369" t="n">
        <v>0</v>
      </c>
      <c r="L369" t="n">
        <v>0</v>
      </c>
      <c r="M369" t="n">
        <v>0</v>
      </c>
      <c r="N369" t="n">
        <v>0</v>
      </c>
      <c r="O369" t="n">
        <v>0</v>
      </c>
      <c r="P369" t="n">
        <v>0</v>
      </c>
      <c r="Q369" t="n">
        <v>0</v>
      </c>
      <c r="R369" s="2" t="inlineStr"/>
    </row>
    <row r="370" ht="15" customHeight="1">
      <c r="A370" t="inlineStr">
        <is>
          <t>A 8086-2026</t>
        </is>
      </c>
      <c r="B370" s="1" t="n">
        <v>46063.70094907407</v>
      </c>
      <c r="C370" s="1" t="n">
        <v>46104</v>
      </c>
      <c r="D370" t="inlineStr">
        <is>
          <t>UPPSALA LÄN</t>
        </is>
      </c>
      <c r="E370" t="inlineStr">
        <is>
          <t>ÖSTHAMMAR</t>
        </is>
      </c>
      <c r="G370" t="n">
        <v>3.8</v>
      </c>
      <c r="H370" t="n">
        <v>0</v>
      </c>
      <c r="I370" t="n">
        <v>0</v>
      </c>
      <c r="J370" t="n">
        <v>0</v>
      </c>
      <c r="K370" t="n">
        <v>0</v>
      </c>
      <c r="L370" t="n">
        <v>0</v>
      </c>
      <c r="M370" t="n">
        <v>0</v>
      </c>
      <c r="N370" t="n">
        <v>0</v>
      </c>
      <c r="O370" t="n">
        <v>0</v>
      </c>
      <c r="P370" t="n">
        <v>0</v>
      </c>
      <c r="Q370" t="n">
        <v>0</v>
      </c>
      <c r="R370" s="2" t="inlineStr"/>
    </row>
    <row r="371" ht="15" customHeight="1">
      <c r="A371" t="inlineStr">
        <is>
          <t>A 46826-2025</t>
        </is>
      </c>
      <c r="B371" s="1" t="n">
        <v>45927.00606481481</v>
      </c>
      <c r="C371" s="1" t="n">
        <v>46104</v>
      </c>
      <c r="D371" t="inlineStr">
        <is>
          <t>UPPSALA LÄN</t>
        </is>
      </c>
      <c r="E371" t="inlineStr">
        <is>
          <t>ÖSTHAMMAR</t>
        </is>
      </c>
      <c r="G371" t="n">
        <v>9</v>
      </c>
      <c r="H371" t="n">
        <v>0</v>
      </c>
      <c r="I371" t="n">
        <v>0</v>
      </c>
      <c r="J371" t="n">
        <v>0</v>
      </c>
      <c r="K371" t="n">
        <v>0</v>
      </c>
      <c r="L371" t="n">
        <v>0</v>
      </c>
      <c r="M371" t="n">
        <v>0</v>
      </c>
      <c r="N371" t="n">
        <v>0</v>
      </c>
      <c r="O371" t="n">
        <v>0</v>
      </c>
      <c r="P371" t="n">
        <v>0</v>
      </c>
      <c r="Q371" t="n">
        <v>0</v>
      </c>
      <c r="R371" s="2" t="inlineStr"/>
    </row>
    <row r="372" ht="15" customHeight="1">
      <c r="A372" t="inlineStr">
        <is>
          <t>A 38003-2024</t>
        </is>
      </c>
      <c r="B372" s="1" t="n">
        <v>45544</v>
      </c>
      <c r="C372" s="1" t="n">
        <v>46104</v>
      </c>
      <c r="D372" t="inlineStr">
        <is>
          <t>UPPSALA LÄN</t>
        </is>
      </c>
      <c r="E372" t="inlineStr">
        <is>
          <t>ÖSTHAMMAR</t>
        </is>
      </c>
      <c r="F372" t="inlineStr">
        <is>
          <t>Naturvårdsverket</t>
        </is>
      </c>
      <c r="G372" t="n">
        <v>4.2</v>
      </c>
      <c r="H372" t="n">
        <v>0</v>
      </c>
      <c r="I372" t="n">
        <v>0</v>
      </c>
      <c r="J372" t="n">
        <v>0</v>
      </c>
      <c r="K372" t="n">
        <v>0</v>
      </c>
      <c r="L372" t="n">
        <v>0</v>
      </c>
      <c r="M372" t="n">
        <v>0</v>
      </c>
      <c r="N372" t="n">
        <v>0</v>
      </c>
      <c r="O372" t="n">
        <v>0</v>
      </c>
      <c r="P372" t="n">
        <v>0</v>
      </c>
      <c r="Q372" t="n">
        <v>0</v>
      </c>
      <c r="R372" s="2" t="inlineStr"/>
    </row>
    <row r="373" ht="15" customHeight="1">
      <c r="A373" t="inlineStr">
        <is>
          <t>A 25252-2024</t>
        </is>
      </c>
      <c r="B373" s="1" t="n">
        <v>45462</v>
      </c>
      <c r="C373" s="1" t="n">
        <v>46104</v>
      </c>
      <c r="D373" t="inlineStr">
        <is>
          <t>UPPSALA LÄN</t>
        </is>
      </c>
      <c r="E373" t="inlineStr">
        <is>
          <t>ÖSTHAMMAR</t>
        </is>
      </c>
      <c r="G373" t="n">
        <v>4.3</v>
      </c>
      <c r="H373" t="n">
        <v>0</v>
      </c>
      <c r="I373" t="n">
        <v>0</v>
      </c>
      <c r="J373" t="n">
        <v>0</v>
      </c>
      <c r="K373" t="n">
        <v>0</v>
      </c>
      <c r="L373" t="n">
        <v>0</v>
      </c>
      <c r="M373" t="n">
        <v>0</v>
      </c>
      <c r="N373" t="n">
        <v>0</v>
      </c>
      <c r="O373" t="n">
        <v>0</v>
      </c>
      <c r="P373" t="n">
        <v>0</v>
      </c>
      <c r="Q373" t="n">
        <v>0</v>
      </c>
      <c r="R373" s="2" t="inlineStr"/>
    </row>
    <row r="374" ht="15" customHeight="1">
      <c r="A374" t="inlineStr">
        <is>
          <t>A 16531-2025</t>
        </is>
      </c>
      <c r="B374" s="1" t="n">
        <v>45751</v>
      </c>
      <c r="C374" s="1" t="n">
        <v>46104</v>
      </c>
      <c r="D374" t="inlineStr">
        <is>
          <t>UPPSALA LÄN</t>
        </is>
      </c>
      <c r="E374" t="inlineStr">
        <is>
          <t>ÖSTHAMMAR</t>
        </is>
      </c>
      <c r="G374" t="n">
        <v>3.3</v>
      </c>
      <c r="H374" t="n">
        <v>0</v>
      </c>
      <c r="I374" t="n">
        <v>0</v>
      </c>
      <c r="J374" t="n">
        <v>0</v>
      </c>
      <c r="K374" t="n">
        <v>0</v>
      </c>
      <c r="L374" t="n">
        <v>0</v>
      </c>
      <c r="M374" t="n">
        <v>0</v>
      </c>
      <c r="N374" t="n">
        <v>0</v>
      </c>
      <c r="O374" t="n">
        <v>0</v>
      </c>
      <c r="P374" t="n">
        <v>0</v>
      </c>
      <c r="Q374" t="n">
        <v>0</v>
      </c>
      <c r="R374" s="2" t="inlineStr"/>
    </row>
    <row r="375" ht="15" customHeight="1">
      <c r="A375" t="inlineStr">
        <is>
          <t>A 8269-2026</t>
        </is>
      </c>
      <c r="B375" s="1" t="n">
        <v>46064.54721064815</v>
      </c>
      <c r="C375" s="1" t="n">
        <v>46104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8291-2026</t>
        </is>
      </c>
      <c r="B376" s="1" t="n">
        <v>46064.56945601852</v>
      </c>
      <c r="C376" s="1" t="n">
        <v>46104</v>
      </c>
      <c r="D376" t="inlineStr">
        <is>
          <t>UPPSALA LÄN</t>
        </is>
      </c>
      <c r="E376" t="inlineStr">
        <is>
          <t>ÖSTHAMMAR</t>
        </is>
      </c>
      <c r="G376" t="n">
        <v>4.5</v>
      </c>
      <c r="H376" t="n">
        <v>0</v>
      </c>
      <c r="I376" t="n">
        <v>0</v>
      </c>
      <c r="J376" t="n">
        <v>0</v>
      </c>
      <c r="K376" t="n">
        <v>0</v>
      </c>
      <c r="L376" t="n">
        <v>0</v>
      </c>
      <c r="M376" t="n">
        <v>0</v>
      </c>
      <c r="N376" t="n">
        <v>0</v>
      </c>
      <c r="O376" t="n">
        <v>0</v>
      </c>
      <c r="P376" t="n">
        <v>0</v>
      </c>
      <c r="Q376" t="n">
        <v>0</v>
      </c>
      <c r="R376" s="2" t="inlineStr"/>
    </row>
    <row r="377" ht="15" customHeight="1">
      <c r="A377" t="inlineStr">
        <is>
          <t>A 8525-2026</t>
        </is>
      </c>
      <c r="B377" s="1" t="n">
        <v>46065.58760416666</v>
      </c>
      <c r="C377" s="1" t="n">
        <v>46104</v>
      </c>
      <c r="D377" t="inlineStr">
        <is>
          <t>UPPSALA LÄN</t>
        </is>
      </c>
      <c r="E377" t="inlineStr">
        <is>
          <t>ÖSTHAMMAR</t>
        </is>
      </c>
      <c r="F377" t="inlineStr">
        <is>
          <t>Övriga Aktiebolag</t>
        </is>
      </c>
      <c r="G377" t="n">
        <v>4.8</v>
      </c>
      <c r="H377" t="n">
        <v>0</v>
      </c>
      <c r="I377" t="n">
        <v>0</v>
      </c>
      <c r="J377" t="n">
        <v>0</v>
      </c>
      <c r="K377" t="n">
        <v>0</v>
      </c>
      <c r="L377" t="n">
        <v>0</v>
      </c>
      <c r="M377" t="n">
        <v>0</v>
      </c>
      <c r="N377" t="n">
        <v>0</v>
      </c>
      <c r="O377" t="n">
        <v>0</v>
      </c>
      <c r="P377" t="n">
        <v>0</v>
      </c>
      <c r="Q377" t="n">
        <v>0</v>
      </c>
      <c r="R377" s="2" t="inlineStr"/>
    </row>
    <row r="378" ht="15" customHeight="1">
      <c r="A378" t="inlineStr">
        <is>
          <t>A 8530-2026</t>
        </is>
      </c>
      <c r="B378" s="1" t="n">
        <v>46065.60075231481</v>
      </c>
      <c r="C378" s="1" t="n">
        <v>46104</v>
      </c>
      <c r="D378" t="inlineStr">
        <is>
          <t>UPPSALA LÄN</t>
        </is>
      </c>
      <c r="E378" t="inlineStr">
        <is>
          <t>ÖSTHAMMAR</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47338-2025</t>
        </is>
      </c>
      <c r="B379" s="1" t="n">
        <v>45930.56626157407</v>
      </c>
      <c r="C379" s="1" t="n">
        <v>46104</v>
      </c>
      <c r="D379" t="inlineStr">
        <is>
          <t>UPPSALA LÄN</t>
        </is>
      </c>
      <c r="E379" t="inlineStr">
        <is>
          <t>ÖSTHAMMAR</t>
        </is>
      </c>
      <c r="G379" t="n">
        <v>2.4</v>
      </c>
      <c r="H379" t="n">
        <v>0</v>
      </c>
      <c r="I379" t="n">
        <v>0</v>
      </c>
      <c r="J379" t="n">
        <v>0</v>
      </c>
      <c r="K379" t="n">
        <v>0</v>
      </c>
      <c r="L379" t="n">
        <v>0</v>
      </c>
      <c r="M379" t="n">
        <v>0</v>
      </c>
      <c r="N379" t="n">
        <v>0</v>
      </c>
      <c r="O379" t="n">
        <v>0</v>
      </c>
      <c r="P379" t="n">
        <v>0</v>
      </c>
      <c r="Q379" t="n">
        <v>0</v>
      </c>
      <c r="R379" s="2" t="inlineStr"/>
    </row>
    <row r="380" ht="15" customHeight="1">
      <c r="A380" t="inlineStr">
        <is>
          <t>A 223-2026</t>
        </is>
      </c>
      <c r="B380" s="1" t="n">
        <v>46026.84339120371</v>
      </c>
      <c r="C380" s="1" t="n">
        <v>46104</v>
      </c>
      <c r="D380" t="inlineStr">
        <is>
          <t>UPPSALA LÄN</t>
        </is>
      </c>
      <c r="E380" t="inlineStr">
        <is>
          <t>ÖSTHAMMAR</t>
        </is>
      </c>
      <c r="G380" t="n">
        <v>39.2</v>
      </c>
      <c r="H380" t="n">
        <v>0</v>
      </c>
      <c r="I380" t="n">
        <v>0</v>
      </c>
      <c r="J380" t="n">
        <v>0</v>
      </c>
      <c r="K380" t="n">
        <v>0</v>
      </c>
      <c r="L380" t="n">
        <v>0</v>
      </c>
      <c r="M380" t="n">
        <v>0</v>
      </c>
      <c r="N380" t="n">
        <v>0</v>
      </c>
      <c r="O380" t="n">
        <v>0</v>
      </c>
      <c r="P380" t="n">
        <v>0</v>
      </c>
      <c r="Q380" t="n">
        <v>0</v>
      </c>
      <c r="R380" s="2" t="inlineStr"/>
    </row>
    <row r="381" ht="15" customHeight="1">
      <c r="A381" t="inlineStr">
        <is>
          <t>A 47336-2025</t>
        </is>
      </c>
      <c r="B381" s="1" t="n">
        <v>45930.56592592593</v>
      </c>
      <c r="C381" s="1" t="n">
        <v>46104</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47337-2025</t>
        </is>
      </c>
      <c r="B382" s="1" t="n">
        <v>45930.56607638889</v>
      </c>
      <c r="C382" s="1" t="n">
        <v>46104</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31137-2022</t>
        </is>
      </c>
      <c r="B383" s="1" t="n">
        <v>44770.42166666667</v>
      </c>
      <c r="C383" s="1" t="n">
        <v>46104</v>
      </c>
      <c r="D383" t="inlineStr">
        <is>
          <t>UPPSALA LÄN</t>
        </is>
      </c>
      <c r="E383" t="inlineStr">
        <is>
          <t>ÖSTHAMMAR</t>
        </is>
      </c>
      <c r="F383" t="inlineStr">
        <is>
          <t>Bergvik skog öst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360-2026</t>
        </is>
      </c>
      <c r="B384" s="1" t="n">
        <v>46027.66442129629</v>
      </c>
      <c r="C384" s="1" t="n">
        <v>46104</v>
      </c>
      <c r="D384" t="inlineStr">
        <is>
          <t>UPPSALA LÄN</t>
        </is>
      </c>
      <c r="E384" t="inlineStr">
        <is>
          <t>ÖSTHAMMAR</t>
        </is>
      </c>
      <c r="F384" t="inlineStr">
        <is>
          <t>Bergvik skog öst AB</t>
        </is>
      </c>
      <c r="G384" t="n">
        <v>7.9</v>
      </c>
      <c r="H384" t="n">
        <v>0</v>
      </c>
      <c r="I384" t="n">
        <v>0</v>
      </c>
      <c r="J384" t="n">
        <v>0</v>
      </c>
      <c r="K384" t="n">
        <v>0</v>
      </c>
      <c r="L384" t="n">
        <v>0</v>
      </c>
      <c r="M384" t="n">
        <v>0</v>
      </c>
      <c r="N384" t="n">
        <v>0</v>
      </c>
      <c r="O384" t="n">
        <v>0</v>
      </c>
      <c r="P384" t="n">
        <v>0</v>
      </c>
      <c r="Q384" t="n">
        <v>0</v>
      </c>
      <c r="R384" s="2" t="inlineStr"/>
    </row>
    <row r="385" ht="15" customHeight="1">
      <c r="A385" t="inlineStr">
        <is>
          <t>A 24944-2025</t>
        </is>
      </c>
      <c r="B385" s="1" t="n">
        <v>45799.56347222222</v>
      </c>
      <c r="C385" s="1" t="n">
        <v>46104</v>
      </c>
      <c r="D385" t="inlineStr">
        <is>
          <t>UPPSALA LÄN</t>
        </is>
      </c>
      <c r="E385" t="inlineStr">
        <is>
          <t>ÖSTHAMMAR</t>
        </is>
      </c>
      <c r="G385" t="n">
        <v>7.3</v>
      </c>
      <c r="H385" t="n">
        <v>0</v>
      </c>
      <c r="I385" t="n">
        <v>0</v>
      </c>
      <c r="J385" t="n">
        <v>0</v>
      </c>
      <c r="K385" t="n">
        <v>0</v>
      </c>
      <c r="L385" t="n">
        <v>0</v>
      </c>
      <c r="M385" t="n">
        <v>0</v>
      </c>
      <c r="N385" t="n">
        <v>0</v>
      </c>
      <c r="O385" t="n">
        <v>0</v>
      </c>
      <c r="P385" t="n">
        <v>0</v>
      </c>
      <c r="Q385" t="n">
        <v>0</v>
      </c>
      <c r="R385" s="2" t="inlineStr"/>
    </row>
    <row r="386" ht="15" customHeight="1">
      <c r="A386" t="inlineStr">
        <is>
          <t>A 285-2026</t>
        </is>
      </c>
      <c r="B386" s="1" t="n">
        <v>46027.49130787037</v>
      </c>
      <c r="C386" s="1" t="n">
        <v>46104</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8789-2026</t>
        </is>
      </c>
      <c r="B387" s="1" t="n">
        <v>46066.58792824074</v>
      </c>
      <c r="C387" s="1" t="n">
        <v>46104</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362-2026</t>
        </is>
      </c>
      <c r="B388" s="1" t="n">
        <v>46027.6659375</v>
      </c>
      <c r="C388" s="1" t="n">
        <v>46104</v>
      </c>
      <c r="D388" t="inlineStr">
        <is>
          <t>UPPSALA LÄN</t>
        </is>
      </c>
      <c r="E388" t="inlineStr">
        <is>
          <t>ÖSTHAMMAR</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74429-2021</t>
        </is>
      </c>
      <c r="B389" s="1" t="n">
        <v>44560.43136574074</v>
      </c>
      <c r="C389" s="1" t="n">
        <v>46104</v>
      </c>
      <c r="D389" t="inlineStr">
        <is>
          <t>UPPSALA LÄN</t>
        </is>
      </c>
      <c r="E389" t="inlineStr">
        <is>
          <t>ÖSTHAMMAR</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47614-2025</t>
        </is>
      </c>
      <c r="B390" s="1" t="n">
        <v>45931.47211805556</v>
      </c>
      <c r="C390" s="1" t="n">
        <v>46104</v>
      </c>
      <c r="D390" t="inlineStr">
        <is>
          <t>UPPSALA LÄN</t>
        </is>
      </c>
      <c r="E390" t="inlineStr">
        <is>
          <t>ÖSTHAMMAR</t>
        </is>
      </c>
      <c r="G390" t="n">
        <v>22.8</v>
      </c>
      <c r="H390" t="n">
        <v>0</v>
      </c>
      <c r="I390" t="n">
        <v>0</v>
      </c>
      <c r="J390" t="n">
        <v>0</v>
      </c>
      <c r="K390" t="n">
        <v>0</v>
      </c>
      <c r="L390" t="n">
        <v>0</v>
      </c>
      <c r="M390" t="n">
        <v>0</v>
      </c>
      <c r="N390" t="n">
        <v>0</v>
      </c>
      <c r="O390" t="n">
        <v>0</v>
      </c>
      <c r="P390" t="n">
        <v>0</v>
      </c>
      <c r="Q390" t="n">
        <v>0</v>
      </c>
      <c r="R390" s="2" t="inlineStr"/>
    </row>
    <row r="391" ht="15" customHeight="1">
      <c r="A391" t="inlineStr">
        <is>
          <t>A 47615-2025</t>
        </is>
      </c>
      <c r="B391" s="1" t="n">
        <v>45931.47542824074</v>
      </c>
      <c r="C391" s="1" t="n">
        <v>46104</v>
      </c>
      <c r="D391" t="inlineStr">
        <is>
          <t>UPPSALA LÄN</t>
        </is>
      </c>
      <c r="E391" t="inlineStr">
        <is>
          <t>ÖSTHAMMAR</t>
        </is>
      </c>
      <c r="G391" t="n">
        <v>7</v>
      </c>
      <c r="H391" t="n">
        <v>0</v>
      </c>
      <c r="I391" t="n">
        <v>0</v>
      </c>
      <c r="J391" t="n">
        <v>0</v>
      </c>
      <c r="K391" t="n">
        <v>0</v>
      </c>
      <c r="L391" t="n">
        <v>0</v>
      </c>
      <c r="M391" t="n">
        <v>0</v>
      </c>
      <c r="N391" t="n">
        <v>0</v>
      </c>
      <c r="O391" t="n">
        <v>0</v>
      </c>
      <c r="P391" t="n">
        <v>0</v>
      </c>
      <c r="Q391" t="n">
        <v>0</v>
      </c>
      <c r="R391" s="2" t="inlineStr"/>
    </row>
    <row r="392" ht="15" customHeight="1">
      <c r="A392" t="inlineStr">
        <is>
          <t>A 30931-2021</t>
        </is>
      </c>
      <c r="B392" s="1" t="n">
        <v>44365</v>
      </c>
      <c r="C392" s="1" t="n">
        <v>46104</v>
      </c>
      <c r="D392" t="inlineStr">
        <is>
          <t>UPPSALA LÄN</t>
        </is>
      </c>
      <c r="E392" t="inlineStr">
        <is>
          <t>ÖSTHAMMAR</t>
        </is>
      </c>
      <c r="F392" t="inlineStr">
        <is>
          <t>Bergvik skog öst AB</t>
        </is>
      </c>
      <c r="G392" t="n">
        <v>2.3</v>
      </c>
      <c r="H392" t="n">
        <v>0</v>
      </c>
      <c r="I392" t="n">
        <v>0</v>
      </c>
      <c r="J392" t="n">
        <v>0</v>
      </c>
      <c r="K392" t="n">
        <v>0</v>
      </c>
      <c r="L392" t="n">
        <v>0</v>
      </c>
      <c r="M392" t="n">
        <v>0</v>
      </c>
      <c r="N392" t="n">
        <v>0</v>
      </c>
      <c r="O392" t="n">
        <v>0</v>
      </c>
      <c r="P392" t="n">
        <v>0</v>
      </c>
      <c r="Q392" t="n">
        <v>0</v>
      </c>
      <c r="R392" s="2" t="inlineStr"/>
    </row>
    <row r="393" ht="15" customHeight="1">
      <c r="A393" t="inlineStr">
        <is>
          <t>A 638-2026</t>
        </is>
      </c>
      <c r="B393" s="1" t="n">
        <v>46029.56026620371</v>
      </c>
      <c r="C393" s="1" t="n">
        <v>46104</v>
      </c>
      <c r="D393" t="inlineStr">
        <is>
          <t>UPPSALA LÄN</t>
        </is>
      </c>
      <c r="E393" t="inlineStr">
        <is>
          <t>ÖSTHAMMAR</t>
        </is>
      </c>
      <c r="F393" t="inlineStr">
        <is>
          <t>Bergvik skog öst AB</t>
        </is>
      </c>
      <c r="G393" t="n">
        <v>6.1</v>
      </c>
      <c r="H393" t="n">
        <v>0</v>
      </c>
      <c r="I393" t="n">
        <v>0</v>
      </c>
      <c r="J393" t="n">
        <v>0</v>
      </c>
      <c r="K393" t="n">
        <v>0</v>
      </c>
      <c r="L393" t="n">
        <v>0</v>
      </c>
      <c r="M393" t="n">
        <v>0</v>
      </c>
      <c r="N393" t="n">
        <v>0</v>
      </c>
      <c r="O393" t="n">
        <v>0</v>
      </c>
      <c r="P393" t="n">
        <v>0</v>
      </c>
      <c r="Q393" t="n">
        <v>0</v>
      </c>
      <c r="R393" s="2" t="inlineStr"/>
    </row>
    <row r="394" ht="15" customHeight="1">
      <c r="A394" t="inlineStr">
        <is>
          <t>A 31896-2025</t>
        </is>
      </c>
      <c r="B394" s="1" t="n">
        <v>45834.67556712963</v>
      </c>
      <c r="C394" s="1" t="n">
        <v>46104</v>
      </c>
      <c r="D394" t="inlineStr">
        <is>
          <t>UPPSALA LÄN</t>
        </is>
      </c>
      <c r="E394" t="inlineStr">
        <is>
          <t>ÖSTHAMMAR</t>
        </is>
      </c>
      <c r="G394" t="n">
        <v>4.1</v>
      </c>
      <c r="H394" t="n">
        <v>0</v>
      </c>
      <c r="I394" t="n">
        <v>0</v>
      </c>
      <c r="J394" t="n">
        <v>0</v>
      </c>
      <c r="K394" t="n">
        <v>0</v>
      </c>
      <c r="L394" t="n">
        <v>0</v>
      </c>
      <c r="M394" t="n">
        <v>0</v>
      </c>
      <c r="N394" t="n">
        <v>0</v>
      </c>
      <c r="O394" t="n">
        <v>0</v>
      </c>
      <c r="P394" t="n">
        <v>0</v>
      </c>
      <c r="Q394" t="n">
        <v>0</v>
      </c>
      <c r="R394" s="2" t="inlineStr"/>
    </row>
    <row r="395" ht="15" customHeight="1">
      <c r="A395" t="inlineStr">
        <is>
          <t>A 17867-2024</t>
        </is>
      </c>
      <c r="B395" s="1" t="n">
        <v>45419.44106481481</v>
      </c>
      <c r="C395" s="1" t="n">
        <v>46104</v>
      </c>
      <c r="D395" t="inlineStr">
        <is>
          <t>UPPSALA LÄN</t>
        </is>
      </c>
      <c r="E395" t="inlineStr">
        <is>
          <t>ÖSTHAMMAR</t>
        </is>
      </c>
      <c r="G395" t="n">
        <v>7.2</v>
      </c>
      <c r="H395" t="n">
        <v>0</v>
      </c>
      <c r="I395" t="n">
        <v>0</v>
      </c>
      <c r="J395" t="n">
        <v>0</v>
      </c>
      <c r="K395" t="n">
        <v>0</v>
      </c>
      <c r="L395" t="n">
        <v>0</v>
      </c>
      <c r="M395" t="n">
        <v>0</v>
      </c>
      <c r="N395" t="n">
        <v>0</v>
      </c>
      <c r="O395" t="n">
        <v>0</v>
      </c>
      <c r="P395" t="n">
        <v>0</v>
      </c>
      <c r="Q395" t="n">
        <v>0</v>
      </c>
      <c r="R395" s="2" t="inlineStr"/>
    </row>
    <row r="396" ht="15" customHeight="1">
      <c r="A396" t="inlineStr">
        <is>
          <t>A 12945-2025</t>
        </is>
      </c>
      <c r="B396" s="1" t="n">
        <v>45734.38159722222</v>
      </c>
      <c r="C396" s="1" t="n">
        <v>46104</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4228-2023</t>
        </is>
      </c>
      <c r="B397" s="1" t="n">
        <v>44953.48179398148</v>
      </c>
      <c r="C397" s="1" t="n">
        <v>46104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34185-2024</t>
        </is>
      </c>
      <c r="B398" s="1" t="n">
        <v>45524</v>
      </c>
      <c r="C398" s="1" t="n">
        <v>46104</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653-2026</t>
        </is>
      </c>
      <c r="B399" s="1" t="n">
        <v>46029.57829861111</v>
      </c>
      <c r="C399" s="1" t="n">
        <v>46104</v>
      </c>
      <c r="D399" t="inlineStr">
        <is>
          <t>UPPSALA LÄN</t>
        </is>
      </c>
      <c r="E399" t="inlineStr">
        <is>
          <t>ÖSTHAMMAR</t>
        </is>
      </c>
      <c r="F399" t="inlineStr">
        <is>
          <t>Bergvik skog öst AB</t>
        </is>
      </c>
      <c r="G399" t="n">
        <v>1.1</v>
      </c>
      <c r="H399" t="n">
        <v>0</v>
      </c>
      <c r="I399" t="n">
        <v>0</v>
      </c>
      <c r="J399" t="n">
        <v>0</v>
      </c>
      <c r="K399" t="n">
        <v>0</v>
      </c>
      <c r="L399" t="n">
        <v>0</v>
      </c>
      <c r="M399" t="n">
        <v>0</v>
      </c>
      <c r="N399" t="n">
        <v>0</v>
      </c>
      <c r="O399" t="n">
        <v>0</v>
      </c>
      <c r="P399" t="n">
        <v>0</v>
      </c>
      <c r="Q399" t="n">
        <v>0</v>
      </c>
      <c r="R399" s="2" t="inlineStr"/>
    </row>
    <row r="400" ht="15" customHeight="1">
      <c r="A400" t="inlineStr">
        <is>
          <t>A 48654-2025</t>
        </is>
      </c>
      <c r="B400" s="1" t="n">
        <v>45936.55887731481</v>
      </c>
      <c r="C400" s="1" t="n">
        <v>46104</v>
      </c>
      <c r="D400" t="inlineStr">
        <is>
          <t>UPPSALA LÄN</t>
        </is>
      </c>
      <c r="E400" t="inlineStr">
        <is>
          <t>ÖSTHAMMAR</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36301-2023</t>
        </is>
      </c>
      <c r="B401" s="1" t="n">
        <v>45152.37296296296</v>
      </c>
      <c r="C401" s="1" t="n">
        <v>46104</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48977-2025</t>
        </is>
      </c>
      <c r="B402" s="1" t="n">
        <v>45936</v>
      </c>
      <c r="C402" s="1" t="n">
        <v>46104</v>
      </c>
      <c r="D402" t="inlineStr">
        <is>
          <t>UPPSALA LÄN</t>
        </is>
      </c>
      <c r="E402" t="inlineStr">
        <is>
          <t>ÖSTHAMMAR</t>
        </is>
      </c>
      <c r="G402" t="n">
        <v>21.1</v>
      </c>
      <c r="H402" t="n">
        <v>0</v>
      </c>
      <c r="I402" t="n">
        <v>0</v>
      </c>
      <c r="J402" t="n">
        <v>0</v>
      </c>
      <c r="K402" t="n">
        <v>0</v>
      </c>
      <c r="L402" t="n">
        <v>0</v>
      </c>
      <c r="M402" t="n">
        <v>0</v>
      </c>
      <c r="N402" t="n">
        <v>0</v>
      </c>
      <c r="O402" t="n">
        <v>0</v>
      </c>
      <c r="P402" t="n">
        <v>0</v>
      </c>
      <c r="Q402" t="n">
        <v>0</v>
      </c>
      <c r="R402" s="2" t="inlineStr"/>
    </row>
    <row r="403" ht="15" customHeight="1">
      <c r="A403" t="inlineStr">
        <is>
          <t>A 7195-2023</t>
        </is>
      </c>
      <c r="B403" s="1" t="n">
        <v>44970</v>
      </c>
      <c r="C403" s="1" t="n">
        <v>46104</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16089-2025</t>
        </is>
      </c>
      <c r="B404" s="1" t="n">
        <v>45749.84232638889</v>
      </c>
      <c r="C404" s="1" t="n">
        <v>46104</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26774-2023</t>
        </is>
      </c>
      <c r="B405" s="1" t="n">
        <v>45093.47947916666</v>
      </c>
      <c r="C405" s="1" t="n">
        <v>46104</v>
      </c>
      <c r="D405" t="inlineStr">
        <is>
          <t>UPPSALA LÄN</t>
        </is>
      </c>
      <c r="E405" t="inlineStr">
        <is>
          <t>ÖSTHAMMAR</t>
        </is>
      </c>
      <c r="F405" t="inlineStr">
        <is>
          <t>Bergvik skog öst AB</t>
        </is>
      </c>
      <c r="G405" t="n">
        <v>2.1</v>
      </c>
      <c r="H405" t="n">
        <v>0</v>
      </c>
      <c r="I405" t="n">
        <v>0</v>
      </c>
      <c r="J405" t="n">
        <v>0</v>
      </c>
      <c r="K405" t="n">
        <v>0</v>
      </c>
      <c r="L405" t="n">
        <v>0</v>
      </c>
      <c r="M405" t="n">
        <v>0</v>
      </c>
      <c r="N405" t="n">
        <v>0</v>
      </c>
      <c r="O405" t="n">
        <v>0</v>
      </c>
      <c r="P405" t="n">
        <v>0</v>
      </c>
      <c r="Q405" t="n">
        <v>0</v>
      </c>
      <c r="R405" s="2" t="inlineStr"/>
    </row>
    <row r="406" ht="15" customHeight="1">
      <c r="A406" t="inlineStr">
        <is>
          <t>A 985-2026</t>
        </is>
      </c>
      <c r="B406" s="1" t="n">
        <v>46030.58104166666</v>
      </c>
      <c r="C406" s="1" t="n">
        <v>46104</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9666-2026</t>
        </is>
      </c>
      <c r="B407" s="1" t="n">
        <v>46072.36847222222</v>
      </c>
      <c r="C407" s="1" t="n">
        <v>46104</v>
      </c>
      <c r="D407" t="inlineStr">
        <is>
          <t>UPPSALA LÄN</t>
        </is>
      </c>
      <c r="E407" t="inlineStr">
        <is>
          <t>ÖSTHAMMAR</t>
        </is>
      </c>
      <c r="F407" t="inlineStr">
        <is>
          <t>Bergvik skog öst AB</t>
        </is>
      </c>
      <c r="G407" t="n">
        <v>12.8</v>
      </c>
      <c r="H407" t="n">
        <v>0</v>
      </c>
      <c r="I407" t="n">
        <v>0</v>
      </c>
      <c r="J407" t="n">
        <v>0</v>
      </c>
      <c r="K407" t="n">
        <v>0</v>
      </c>
      <c r="L407" t="n">
        <v>0</v>
      </c>
      <c r="M407" t="n">
        <v>0</v>
      </c>
      <c r="N407" t="n">
        <v>0</v>
      </c>
      <c r="O407" t="n">
        <v>0</v>
      </c>
      <c r="P407" t="n">
        <v>0</v>
      </c>
      <c r="Q407" t="n">
        <v>0</v>
      </c>
      <c r="R407" s="2" t="inlineStr"/>
    </row>
    <row r="408" ht="15" customHeight="1">
      <c r="A408" t="inlineStr">
        <is>
          <t>A 9664-2026</t>
        </is>
      </c>
      <c r="B408" s="1" t="n">
        <v>46072.36732638889</v>
      </c>
      <c r="C408" s="1" t="n">
        <v>46104</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48857-2025</t>
        </is>
      </c>
      <c r="B409" s="1" t="n">
        <v>45937.43621527778</v>
      </c>
      <c r="C409" s="1" t="n">
        <v>46104</v>
      </c>
      <c r="D409" t="inlineStr">
        <is>
          <t>UPPSALA LÄN</t>
        </is>
      </c>
      <c r="E409" t="inlineStr">
        <is>
          <t>ÖSTHAMMAR</t>
        </is>
      </c>
      <c r="F409" t="inlineStr">
        <is>
          <t>Övriga Aktiebolag</t>
        </is>
      </c>
      <c r="G409" t="n">
        <v>1.1</v>
      </c>
      <c r="H409" t="n">
        <v>0</v>
      </c>
      <c r="I409" t="n">
        <v>0</v>
      </c>
      <c r="J409" t="n">
        <v>0</v>
      </c>
      <c r="K409" t="n">
        <v>0</v>
      </c>
      <c r="L409" t="n">
        <v>0</v>
      </c>
      <c r="M409" t="n">
        <v>0</v>
      </c>
      <c r="N409" t="n">
        <v>0</v>
      </c>
      <c r="O409" t="n">
        <v>0</v>
      </c>
      <c r="P409" t="n">
        <v>0</v>
      </c>
      <c r="Q409" t="n">
        <v>0</v>
      </c>
      <c r="R409" s="2" t="inlineStr"/>
    </row>
    <row r="410" ht="15" customHeight="1">
      <c r="A410" t="inlineStr">
        <is>
          <t>A 17644-2025</t>
        </is>
      </c>
      <c r="B410" s="1" t="n">
        <v>45758.32645833334</v>
      </c>
      <c r="C410" s="1" t="n">
        <v>46104</v>
      </c>
      <c r="D410" t="inlineStr">
        <is>
          <t>UPPSALA LÄN</t>
        </is>
      </c>
      <c r="E410" t="inlineStr">
        <is>
          <t>ÖSTHAMMAR</t>
        </is>
      </c>
      <c r="F410" t="inlineStr">
        <is>
          <t>Bergvik skog väst AB</t>
        </is>
      </c>
      <c r="G410" t="n">
        <v>6.1</v>
      </c>
      <c r="H410" t="n">
        <v>0</v>
      </c>
      <c r="I410" t="n">
        <v>0</v>
      </c>
      <c r="J410" t="n">
        <v>0</v>
      </c>
      <c r="K410" t="n">
        <v>0</v>
      </c>
      <c r="L410" t="n">
        <v>0</v>
      </c>
      <c r="M410" t="n">
        <v>0</v>
      </c>
      <c r="N410" t="n">
        <v>0</v>
      </c>
      <c r="O410" t="n">
        <v>0</v>
      </c>
      <c r="P410" t="n">
        <v>0</v>
      </c>
      <c r="Q410" t="n">
        <v>0</v>
      </c>
      <c r="R410" s="2" t="inlineStr"/>
    </row>
    <row r="411" ht="15" customHeight="1">
      <c r="A411" t="inlineStr">
        <is>
          <t>A 48854-2025</t>
        </is>
      </c>
      <c r="B411" s="1" t="n">
        <v>45937.43274305556</v>
      </c>
      <c r="C411" s="1" t="n">
        <v>46104</v>
      </c>
      <c r="D411" t="inlineStr">
        <is>
          <t>UPPSALA LÄN</t>
        </is>
      </c>
      <c r="E411" t="inlineStr">
        <is>
          <t>ÖSTHAMMAR</t>
        </is>
      </c>
      <c r="F411" t="inlineStr">
        <is>
          <t>Övriga Aktiebolag</t>
        </is>
      </c>
      <c r="G411" t="n">
        <v>18.9</v>
      </c>
      <c r="H411" t="n">
        <v>0</v>
      </c>
      <c r="I411" t="n">
        <v>0</v>
      </c>
      <c r="J411" t="n">
        <v>0</v>
      </c>
      <c r="K411" t="n">
        <v>0</v>
      </c>
      <c r="L411" t="n">
        <v>0</v>
      </c>
      <c r="M411" t="n">
        <v>0</v>
      </c>
      <c r="N411" t="n">
        <v>0</v>
      </c>
      <c r="O411" t="n">
        <v>0</v>
      </c>
      <c r="P411" t="n">
        <v>0</v>
      </c>
      <c r="Q411" t="n">
        <v>0</v>
      </c>
      <c r="R411" s="2" t="inlineStr"/>
    </row>
    <row r="412" ht="15" customHeight="1">
      <c r="A412" t="inlineStr">
        <is>
          <t>A 20324-2021</t>
        </is>
      </c>
      <c r="B412" s="1" t="n">
        <v>44308</v>
      </c>
      <c r="C412" s="1" t="n">
        <v>46104</v>
      </c>
      <c r="D412" t="inlineStr">
        <is>
          <t>UPPSALA LÄN</t>
        </is>
      </c>
      <c r="E412" t="inlineStr">
        <is>
          <t>ÖSTHAMMAR</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49620-2025</t>
        </is>
      </c>
      <c r="B413" s="1" t="n">
        <v>45939.58928240741</v>
      </c>
      <c r="C413" s="1" t="n">
        <v>46104</v>
      </c>
      <c r="D413" t="inlineStr">
        <is>
          <t>UPPSALA LÄN</t>
        </is>
      </c>
      <c r="E413" t="inlineStr">
        <is>
          <t>ÖSTHAMMAR</t>
        </is>
      </c>
      <c r="G413" t="n">
        <v>1.5</v>
      </c>
      <c r="H413" t="n">
        <v>0</v>
      </c>
      <c r="I413" t="n">
        <v>0</v>
      </c>
      <c r="J413" t="n">
        <v>0</v>
      </c>
      <c r="K413" t="n">
        <v>0</v>
      </c>
      <c r="L413" t="n">
        <v>0</v>
      </c>
      <c r="M413" t="n">
        <v>0</v>
      </c>
      <c r="N413" t="n">
        <v>0</v>
      </c>
      <c r="O413" t="n">
        <v>0</v>
      </c>
      <c r="P413" t="n">
        <v>0</v>
      </c>
      <c r="Q413" t="n">
        <v>0</v>
      </c>
      <c r="R413" s="2" t="inlineStr"/>
    </row>
    <row r="414" ht="15" customHeight="1">
      <c r="A414" t="inlineStr">
        <is>
          <t>A 17652-2025</t>
        </is>
      </c>
      <c r="B414" s="1" t="n">
        <v>45758.33583333333</v>
      </c>
      <c r="C414" s="1" t="n">
        <v>46104</v>
      </c>
      <c r="D414" t="inlineStr">
        <is>
          <t>UPPSALA LÄN</t>
        </is>
      </c>
      <c r="E414" t="inlineStr">
        <is>
          <t>ÖSTHAMMAR</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1271-2026</t>
        </is>
      </c>
      <c r="B415" s="1" t="n">
        <v>46031.46616898148</v>
      </c>
      <c r="C415" s="1" t="n">
        <v>46104</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47020-2025</t>
        </is>
      </c>
      <c r="B416" s="1" t="n">
        <v>45929.5775</v>
      </c>
      <c r="C416" s="1" t="n">
        <v>46104</v>
      </c>
      <c r="D416" t="inlineStr">
        <is>
          <t>UPPSALA LÄN</t>
        </is>
      </c>
      <c r="E416" t="inlineStr">
        <is>
          <t>ÖSTHAMMAR</t>
        </is>
      </c>
      <c r="G416" t="n">
        <v>2.1</v>
      </c>
      <c r="H416" t="n">
        <v>0</v>
      </c>
      <c r="I416" t="n">
        <v>0</v>
      </c>
      <c r="J416" t="n">
        <v>0</v>
      </c>
      <c r="K416" t="n">
        <v>0</v>
      </c>
      <c r="L416" t="n">
        <v>0</v>
      </c>
      <c r="M416" t="n">
        <v>0</v>
      </c>
      <c r="N416" t="n">
        <v>0</v>
      </c>
      <c r="O416" t="n">
        <v>0</v>
      </c>
      <c r="P416" t="n">
        <v>0</v>
      </c>
      <c r="Q416" t="n">
        <v>0</v>
      </c>
      <c r="R416" s="2" t="inlineStr"/>
    </row>
    <row r="417" ht="15" customHeight="1">
      <c r="A417" t="inlineStr">
        <is>
          <t>A 1393-2026</t>
        </is>
      </c>
      <c r="B417" s="1" t="n">
        <v>46031.63748842593</v>
      </c>
      <c r="C417" s="1" t="n">
        <v>46104</v>
      </c>
      <c r="D417" t="inlineStr">
        <is>
          <t>UPPSALA LÄN</t>
        </is>
      </c>
      <c r="E417" t="inlineStr">
        <is>
          <t>ÖSTHAMMAR</t>
        </is>
      </c>
      <c r="F417" t="inlineStr">
        <is>
          <t>Bergvik skog öst AB</t>
        </is>
      </c>
      <c r="G417" t="n">
        <v>4</v>
      </c>
      <c r="H417" t="n">
        <v>0</v>
      </c>
      <c r="I417" t="n">
        <v>0</v>
      </c>
      <c r="J417" t="n">
        <v>0</v>
      </c>
      <c r="K417" t="n">
        <v>0</v>
      </c>
      <c r="L417" t="n">
        <v>0</v>
      </c>
      <c r="M417" t="n">
        <v>0</v>
      </c>
      <c r="N417" t="n">
        <v>0</v>
      </c>
      <c r="O417" t="n">
        <v>0</v>
      </c>
      <c r="P417" t="n">
        <v>0</v>
      </c>
      <c r="Q417" t="n">
        <v>0</v>
      </c>
      <c r="R417" s="2" t="inlineStr"/>
    </row>
    <row r="418" ht="15" customHeight="1">
      <c r="A418" t="inlineStr">
        <is>
          <t>A 6120-2024</t>
        </is>
      </c>
      <c r="B418" s="1" t="n">
        <v>45337.41784722222</v>
      </c>
      <c r="C418" s="1" t="n">
        <v>46104</v>
      </c>
      <c r="D418" t="inlineStr">
        <is>
          <t>UPPSALA LÄN</t>
        </is>
      </c>
      <c r="E418" t="inlineStr">
        <is>
          <t>ÖSTHAMMAR</t>
        </is>
      </c>
      <c r="G418" t="n">
        <v>0.7</v>
      </c>
      <c r="H418" t="n">
        <v>0</v>
      </c>
      <c r="I418" t="n">
        <v>0</v>
      </c>
      <c r="J418" t="n">
        <v>0</v>
      </c>
      <c r="K418" t="n">
        <v>0</v>
      </c>
      <c r="L418" t="n">
        <v>0</v>
      </c>
      <c r="M418" t="n">
        <v>0</v>
      </c>
      <c r="N418" t="n">
        <v>0</v>
      </c>
      <c r="O418" t="n">
        <v>0</v>
      </c>
      <c r="P418" t="n">
        <v>0</v>
      </c>
      <c r="Q418" t="n">
        <v>0</v>
      </c>
      <c r="R418" s="2" t="inlineStr"/>
    </row>
    <row r="419" ht="15" customHeight="1">
      <c r="A419" t="inlineStr">
        <is>
          <t>A 12528-2024</t>
        </is>
      </c>
      <c r="B419" s="1" t="n">
        <v>45379.61878472222</v>
      </c>
      <c r="C419" s="1" t="n">
        <v>46104</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14170-2025</t>
        </is>
      </c>
      <c r="B420" s="1" t="n">
        <v>45740.51895833333</v>
      </c>
      <c r="C420" s="1" t="n">
        <v>46104</v>
      </c>
      <c r="D420" t="inlineStr">
        <is>
          <t>UPPSALA LÄN</t>
        </is>
      </c>
      <c r="E420" t="inlineStr">
        <is>
          <t>ÖSTHAMMAR</t>
        </is>
      </c>
      <c r="G420" t="n">
        <v>1.2</v>
      </c>
      <c r="H420" t="n">
        <v>0</v>
      </c>
      <c r="I420" t="n">
        <v>0</v>
      </c>
      <c r="J420" t="n">
        <v>0</v>
      </c>
      <c r="K420" t="n">
        <v>0</v>
      </c>
      <c r="L420" t="n">
        <v>0</v>
      </c>
      <c r="M420" t="n">
        <v>0</v>
      </c>
      <c r="N420" t="n">
        <v>0</v>
      </c>
      <c r="O420" t="n">
        <v>0</v>
      </c>
      <c r="P420" t="n">
        <v>0</v>
      </c>
      <c r="Q420" t="n">
        <v>0</v>
      </c>
      <c r="R420" s="2" t="inlineStr"/>
    </row>
    <row r="421" ht="15" customHeight="1">
      <c r="A421" t="inlineStr">
        <is>
          <t>A 2358-2026</t>
        </is>
      </c>
      <c r="B421" s="1" t="n">
        <v>46034</v>
      </c>
      <c r="C421" s="1" t="n">
        <v>46104</v>
      </c>
      <c r="D421" t="inlineStr">
        <is>
          <t>UPPSALA LÄN</t>
        </is>
      </c>
      <c r="E421" t="inlineStr">
        <is>
          <t>ÖSTHAMMAR</t>
        </is>
      </c>
      <c r="G421" t="n">
        <v>3.6</v>
      </c>
      <c r="H421" t="n">
        <v>0</v>
      </c>
      <c r="I421" t="n">
        <v>0</v>
      </c>
      <c r="J421" t="n">
        <v>0</v>
      </c>
      <c r="K421" t="n">
        <v>0</v>
      </c>
      <c r="L421" t="n">
        <v>0</v>
      </c>
      <c r="M421" t="n">
        <v>0</v>
      </c>
      <c r="N421" t="n">
        <v>0</v>
      </c>
      <c r="O421" t="n">
        <v>0</v>
      </c>
      <c r="P421" t="n">
        <v>0</v>
      </c>
      <c r="Q421" t="n">
        <v>0</v>
      </c>
      <c r="R421" s="2" t="inlineStr"/>
    </row>
    <row r="422" ht="15" customHeight="1">
      <c r="A422" t="inlineStr">
        <is>
          <t>A 49773-2025</t>
        </is>
      </c>
      <c r="B422" s="1" t="n">
        <v>45940.37303240741</v>
      </c>
      <c r="C422" s="1" t="n">
        <v>46104</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46104</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1906-2026</t>
        </is>
      </c>
      <c r="B424" s="1" t="n">
        <v>46035.55158564815</v>
      </c>
      <c r="C424" s="1" t="n">
        <v>46104</v>
      </c>
      <c r="D424" t="inlineStr">
        <is>
          <t>UPPSALA LÄN</t>
        </is>
      </c>
      <c r="E424" t="inlineStr">
        <is>
          <t>ÖSTHAMMAR</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9267-2024</t>
        </is>
      </c>
      <c r="B425" s="1" t="n">
        <v>45358</v>
      </c>
      <c r="C425" s="1" t="n">
        <v>46104</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33601-2024</t>
        </is>
      </c>
      <c r="B426" s="1" t="n">
        <v>45520</v>
      </c>
      <c r="C426" s="1" t="n">
        <v>46104</v>
      </c>
      <c r="D426" t="inlineStr">
        <is>
          <t>UPPSALA LÄN</t>
        </is>
      </c>
      <c r="E426" t="inlineStr">
        <is>
          <t>ÖSTHAMMAR</t>
        </is>
      </c>
      <c r="F426" t="inlineStr">
        <is>
          <t>Övriga Aktiebolag</t>
        </is>
      </c>
      <c r="G426" t="n">
        <v>2.5</v>
      </c>
      <c r="H426" t="n">
        <v>0</v>
      </c>
      <c r="I426" t="n">
        <v>0</v>
      </c>
      <c r="J426" t="n">
        <v>0</v>
      </c>
      <c r="K426" t="n">
        <v>0</v>
      </c>
      <c r="L426" t="n">
        <v>0</v>
      </c>
      <c r="M426" t="n">
        <v>0</v>
      </c>
      <c r="N426" t="n">
        <v>0</v>
      </c>
      <c r="O426" t="n">
        <v>0</v>
      </c>
      <c r="P426" t="n">
        <v>0</v>
      </c>
      <c r="Q426" t="n">
        <v>0</v>
      </c>
      <c r="R426" s="2" t="inlineStr"/>
    </row>
    <row r="427" ht="15" customHeight="1">
      <c r="A427" t="inlineStr">
        <is>
          <t>A 2352-2026</t>
        </is>
      </c>
      <c r="B427" s="1" t="n">
        <v>46034</v>
      </c>
      <c r="C427" s="1" t="n">
        <v>46104</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58297-2024</t>
        </is>
      </c>
      <c r="B428" s="1" t="n">
        <v>45632.59780092593</v>
      </c>
      <c r="C428" s="1" t="n">
        <v>46104</v>
      </c>
      <c r="D428" t="inlineStr">
        <is>
          <t>UPPSALA LÄN</t>
        </is>
      </c>
      <c r="E428" t="inlineStr">
        <is>
          <t>ÖSTHAMMAR</t>
        </is>
      </c>
      <c r="G428" t="n">
        <v>5.1</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46104</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52478-2024</t>
        </is>
      </c>
      <c r="B430" s="1" t="n">
        <v>45609.55065972222</v>
      </c>
      <c r="C430" s="1" t="n">
        <v>46104</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13044-2022</t>
        </is>
      </c>
      <c r="B431" s="1" t="n">
        <v>44643</v>
      </c>
      <c r="C431" s="1" t="n">
        <v>46104</v>
      </c>
      <c r="D431" t="inlineStr">
        <is>
          <t>UPPSALA LÄN</t>
        </is>
      </c>
      <c r="E431" t="inlineStr">
        <is>
          <t>ÖSTHAMMAR</t>
        </is>
      </c>
      <c r="G431" t="n">
        <v>2.5</v>
      </c>
      <c r="H431" t="n">
        <v>0</v>
      </c>
      <c r="I431" t="n">
        <v>0</v>
      </c>
      <c r="J431" t="n">
        <v>0</v>
      </c>
      <c r="K431" t="n">
        <v>0</v>
      </c>
      <c r="L431" t="n">
        <v>0</v>
      </c>
      <c r="M431" t="n">
        <v>0</v>
      </c>
      <c r="N431" t="n">
        <v>0</v>
      </c>
      <c r="O431" t="n">
        <v>0</v>
      </c>
      <c r="P431" t="n">
        <v>0</v>
      </c>
      <c r="Q431" t="n">
        <v>0</v>
      </c>
      <c r="R431" s="2" t="inlineStr"/>
    </row>
    <row r="432" ht="15" customHeight="1">
      <c r="A432" t="inlineStr">
        <is>
          <t>A 2947-2025</t>
        </is>
      </c>
      <c r="B432" s="1" t="n">
        <v>45678</v>
      </c>
      <c r="C432" s="1" t="n">
        <v>46104</v>
      </c>
      <c r="D432" t="inlineStr">
        <is>
          <t>UPPSALA LÄN</t>
        </is>
      </c>
      <c r="E432" t="inlineStr">
        <is>
          <t>ÖSTHAMMAR</t>
        </is>
      </c>
      <c r="G432" t="n">
        <v>3.6</v>
      </c>
      <c r="H432" t="n">
        <v>0</v>
      </c>
      <c r="I432" t="n">
        <v>0</v>
      </c>
      <c r="J432" t="n">
        <v>0</v>
      </c>
      <c r="K432" t="n">
        <v>0</v>
      </c>
      <c r="L432" t="n">
        <v>0</v>
      </c>
      <c r="M432" t="n">
        <v>0</v>
      </c>
      <c r="N432" t="n">
        <v>0</v>
      </c>
      <c r="O432" t="n">
        <v>0</v>
      </c>
      <c r="P432" t="n">
        <v>0</v>
      </c>
      <c r="Q432" t="n">
        <v>0</v>
      </c>
      <c r="R432" s="2" t="inlineStr"/>
    </row>
    <row r="433" ht="15" customHeight="1">
      <c r="A433" t="inlineStr">
        <is>
          <t>A 17433-2025</t>
        </is>
      </c>
      <c r="B433" s="1" t="n">
        <v>45757.40733796296</v>
      </c>
      <c r="C433" s="1" t="n">
        <v>46104</v>
      </c>
      <c r="D433" t="inlineStr">
        <is>
          <t>UPPSALA LÄN</t>
        </is>
      </c>
      <c r="E433" t="inlineStr">
        <is>
          <t>ÖSTHAMMAR</t>
        </is>
      </c>
      <c r="F433" t="inlineStr">
        <is>
          <t>Övriga Aktiebolag</t>
        </is>
      </c>
      <c r="G433" t="n">
        <v>0.5</v>
      </c>
      <c r="H433" t="n">
        <v>0</v>
      </c>
      <c r="I433" t="n">
        <v>0</v>
      </c>
      <c r="J433" t="n">
        <v>0</v>
      </c>
      <c r="K433" t="n">
        <v>0</v>
      </c>
      <c r="L433" t="n">
        <v>0</v>
      </c>
      <c r="M433" t="n">
        <v>0</v>
      </c>
      <c r="N433" t="n">
        <v>0</v>
      </c>
      <c r="O433" t="n">
        <v>0</v>
      </c>
      <c r="P433" t="n">
        <v>0</v>
      </c>
      <c r="Q433" t="n">
        <v>0</v>
      </c>
      <c r="R433" s="2" t="inlineStr"/>
    </row>
    <row r="434" ht="15" customHeight="1">
      <c r="A434" t="inlineStr">
        <is>
          <t>A 51156-2025</t>
        </is>
      </c>
      <c r="B434" s="1" t="n">
        <v>45947.57833333333</v>
      </c>
      <c r="C434" s="1" t="n">
        <v>46104</v>
      </c>
      <c r="D434" t="inlineStr">
        <is>
          <t>UPPSALA LÄN</t>
        </is>
      </c>
      <c r="E434" t="inlineStr">
        <is>
          <t>ÖSTHAMMAR</t>
        </is>
      </c>
      <c r="F434" t="inlineStr">
        <is>
          <t>Allmännings- och besparingsskogar</t>
        </is>
      </c>
      <c r="G434" t="n">
        <v>2.8</v>
      </c>
      <c r="H434" t="n">
        <v>0</v>
      </c>
      <c r="I434" t="n">
        <v>0</v>
      </c>
      <c r="J434" t="n">
        <v>0</v>
      </c>
      <c r="K434" t="n">
        <v>0</v>
      </c>
      <c r="L434" t="n">
        <v>0</v>
      </c>
      <c r="M434" t="n">
        <v>0</v>
      </c>
      <c r="N434" t="n">
        <v>0</v>
      </c>
      <c r="O434" t="n">
        <v>0</v>
      </c>
      <c r="P434" t="n">
        <v>0</v>
      </c>
      <c r="Q434" t="n">
        <v>0</v>
      </c>
      <c r="R434" s="2" t="inlineStr"/>
    </row>
    <row r="435" ht="15" customHeight="1">
      <c r="A435" t="inlineStr">
        <is>
          <t>A 12756-2024</t>
        </is>
      </c>
      <c r="B435" s="1" t="n">
        <v>45384</v>
      </c>
      <c r="C435" s="1" t="n">
        <v>46104</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15928-2022</t>
        </is>
      </c>
      <c r="B436" s="1" t="n">
        <v>44664</v>
      </c>
      <c r="C436" s="1" t="n">
        <v>46104</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8708-2022</t>
        </is>
      </c>
      <c r="B437" s="1" t="n">
        <v>44613.77238425926</v>
      </c>
      <c r="C437" s="1" t="n">
        <v>46104</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2615-2026</t>
        </is>
      </c>
      <c r="B438" s="1" t="n">
        <v>46037.58893518519</v>
      </c>
      <c r="C438" s="1" t="n">
        <v>46104</v>
      </c>
      <c r="D438" t="inlineStr">
        <is>
          <t>UPPSALA LÄN</t>
        </is>
      </c>
      <c r="E438" t="inlineStr">
        <is>
          <t>ÖSTHAMMAR</t>
        </is>
      </c>
      <c r="G438" t="n">
        <v>3.2</v>
      </c>
      <c r="H438" t="n">
        <v>0</v>
      </c>
      <c r="I438" t="n">
        <v>0</v>
      </c>
      <c r="J438" t="n">
        <v>0</v>
      </c>
      <c r="K438" t="n">
        <v>0</v>
      </c>
      <c r="L438" t="n">
        <v>0</v>
      </c>
      <c r="M438" t="n">
        <v>0</v>
      </c>
      <c r="N438" t="n">
        <v>0</v>
      </c>
      <c r="O438" t="n">
        <v>0</v>
      </c>
      <c r="P438" t="n">
        <v>0</v>
      </c>
      <c r="Q438" t="n">
        <v>0</v>
      </c>
      <c r="R438" s="2" t="inlineStr"/>
    </row>
    <row r="439" ht="15" customHeight="1">
      <c r="A439" t="inlineStr">
        <is>
          <t>A 2620-2026</t>
        </is>
      </c>
      <c r="B439" s="1" t="n">
        <v>46037.59137731481</v>
      </c>
      <c r="C439" s="1" t="n">
        <v>46104</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51379-2025</t>
        </is>
      </c>
      <c r="B440" s="1" t="n">
        <v>45950.45677083333</v>
      </c>
      <c r="C440" s="1" t="n">
        <v>46104</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1063-2025</t>
        </is>
      </c>
      <c r="B441" s="1" t="n">
        <v>45666</v>
      </c>
      <c r="C441" s="1" t="n">
        <v>46104</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26330-2025</t>
        </is>
      </c>
      <c r="B442" s="1" t="n">
        <v>45805.68263888889</v>
      </c>
      <c r="C442" s="1" t="n">
        <v>46104</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51255-2025</t>
        </is>
      </c>
      <c r="B443" s="1" t="n">
        <v>45949.00917824074</v>
      </c>
      <c r="C443" s="1" t="n">
        <v>46104</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51708-2025</t>
        </is>
      </c>
      <c r="B444" s="1" t="n">
        <v>45951.56679398148</v>
      </c>
      <c r="C444" s="1" t="n">
        <v>46104</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51266-2025</t>
        </is>
      </c>
      <c r="B445" s="1" t="n">
        <v>45949.71568287037</v>
      </c>
      <c r="C445" s="1" t="n">
        <v>46104</v>
      </c>
      <c r="D445" t="inlineStr">
        <is>
          <t>UPPSALA LÄN</t>
        </is>
      </c>
      <c r="E445" t="inlineStr">
        <is>
          <t>ÖSTHAMMAR</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33760-2024</t>
        </is>
      </c>
      <c r="B446" s="1" t="n">
        <v>45520</v>
      </c>
      <c r="C446" s="1" t="n">
        <v>46104</v>
      </c>
      <c r="D446" t="inlineStr">
        <is>
          <t>UPPSALA LÄN</t>
        </is>
      </c>
      <c r="E446" t="inlineStr">
        <is>
          <t>ÖSTHAMMAR</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46104</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46104</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35918-2023</t>
        </is>
      </c>
      <c r="B449" s="1" t="n">
        <v>45148.64976851852</v>
      </c>
      <c r="C449" s="1" t="n">
        <v>46104</v>
      </c>
      <c r="D449" t="inlineStr">
        <is>
          <t>UPPSALA LÄN</t>
        </is>
      </c>
      <c r="E449" t="inlineStr">
        <is>
          <t>ÖSTHAMMAR</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51254-2025</t>
        </is>
      </c>
      <c r="B450" s="1" t="n">
        <v>45948.99313657408</v>
      </c>
      <c r="C450" s="1" t="n">
        <v>46104</v>
      </c>
      <c r="D450" t="inlineStr">
        <is>
          <t>UPPSALA LÄN</t>
        </is>
      </c>
      <c r="E450" t="inlineStr">
        <is>
          <t>ÖSTHAMMAR</t>
        </is>
      </c>
      <c r="G450" t="n">
        <v>8.9</v>
      </c>
      <c r="H450" t="n">
        <v>0</v>
      </c>
      <c r="I450" t="n">
        <v>0</v>
      </c>
      <c r="J450" t="n">
        <v>0</v>
      </c>
      <c r="K450" t="n">
        <v>0</v>
      </c>
      <c r="L450" t="n">
        <v>0</v>
      </c>
      <c r="M450" t="n">
        <v>0</v>
      </c>
      <c r="N450" t="n">
        <v>0</v>
      </c>
      <c r="O450" t="n">
        <v>0</v>
      </c>
      <c r="P450" t="n">
        <v>0</v>
      </c>
      <c r="Q450" t="n">
        <v>0</v>
      </c>
      <c r="R450" s="2" t="inlineStr"/>
    </row>
    <row r="451" ht="15" customHeight="1">
      <c r="A451" t="inlineStr">
        <is>
          <t>A 51265-2025</t>
        </is>
      </c>
      <c r="B451" s="1" t="n">
        <v>45949.70971064815</v>
      </c>
      <c r="C451" s="1" t="n">
        <v>46104</v>
      </c>
      <c r="D451" t="inlineStr">
        <is>
          <t>UPPSALA LÄN</t>
        </is>
      </c>
      <c r="E451" t="inlineStr">
        <is>
          <t>ÖSTHAMMAR</t>
        </is>
      </c>
      <c r="F451" t="inlineStr">
        <is>
          <t>Bergvik skog öst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4292-2025</t>
        </is>
      </c>
      <c r="B452" s="1" t="n">
        <v>45685.66459490741</v>
      </c>
      <c r="C452" s="1" t="n">
        <v>46104</v>
      </c>
      <c r="D452" t="inlineStr">
        <is>
          <t>UPPSALA LÄN</t>
        </is>
      </c>
      <c r="E452" t="inlineStr">
        <is>
          <t>ÖSTHAMMAR</t>
        </is>
      </c>
      <c r="G452" t="n">
        <v>0.8</v>
      </c>
      <c r="H452" t="n">
        <v>0</v>
      </c>
      <c r="I452" t="n">
        <v>0</v>
      </c>
      <c r="J452" t="n">
        <v>0</v>
      </c>
      <c r="K452" t="n">
        <v>0</v>
      </c>
      <c r="L452" t="n">
        <v>0</v>
      </c>
      <c r="M452" t="n">
        <v>0</v>
      </c>
      <c r="N452" t="n">
        <v>0</v>
      </c>
      <c r="O452" t="n">
        <v>0</v>
      </c>
      <c r="P452" t="n">
        <v>0</v>
      </c>
      <c r="Q452" t="n">
        <v>0</v>
      </c>
      <c r="R452" s="2" t="inlineStr"/>
    </row>
    <row r="453" ht="15" customHeight="1">
      <c r="A453" t="inlineStr">
        <is>
          <t>A 4356-2025</t>
        </is>
      </c>
      <c r="B453" s="1" t="n">
        <v>45686</v>
      </c>
      <c r="C453" s="1" t="n">
        <v>46104</v>
      </c>
      <c r="D453" t="inlineStr">
        <is>
          <t>UPPSALA LÄN</t>
        </is>
      </c>
      <c r="E453" t="inlineStr">
        <is>
          <t>ÖSTHAMMAR</t>
        </is>
      </c>
      <c r="F453" t="inlineStr">
        <is>
          <t>Övriga Aktiebolag</t>
        </is>
      </c>
      <c r="G453" t="n">
        <v>24.6</v>
      </c>
      <c r="H453" t="n">
        <v>0</v>
      </c>
      <c r="I453" t="n">
        <v>0</v>
      </c>
      <c r="J453" t="n">
        <v>0</v>
      </c>
      <c r="K453" t="n">
        <v>0</v>
      </c>
      <c r="L453" t="n">
        <v>0</v>
      </c>
      <c r="M453" t="n">
        <v>0</v>
      </c>
      <c r="N453" t="n">
        <v>0</v>
      </c>
      <c r="O453" t="n">
        <v>0</v>
      </c>
      <c r="P453" t="n">
        <v>0</v>
      </c>
      <c r="Q453" t="n">
        <v>0</v>
      </c>
      <c r="R453" s="2" t="inlineStr"/>
    </row>
    <row r="454" ht="15" customHeight="1">
      <c r="A454" t="inlineStr">
        <is>
          <t>A 52332-2025</t>
        </is>
      </c>
      <c r="B454" s="1" t="n">
        <v>45953.67853009259</v>
      </c>
      <c r="C454" s="1" t="n">
        <v>46104</v>
      </c>
      <c r="D454" t="inlineStr">
        <is>
          <t>UPPSALA LÄN</t>
        </is>
      </c>
      <c r="E454" t="inlineStr">
        <is>
          <t>ÖSTHAMMAR</t>
        </is>
      </c>
      <c r="F454" t="inlineStr">
        <is>
          <t>Bergvik skog öst AB</t>
        </is>
      </c>
      <c r="G454" t="n">
        <v>3.8</v>
      </c>
      <c r="H454" t="n">
        <v>0</v>
      </c>
      <c r="I454" t="n">
        <v>0</v>
      </c>
      <c r="J454" t="n">
        <v>0</v>
      </c>
      <c r="K454" t="n">
        <v>0</v>
      </c>
      <c r="L454" t="n">
        <v>0</v>
      </c>
      <c r="M454" t="n">
        <v>0</v>
      </c>
      <c r="N454" t="n">
        <v>0</v>
      </c>
      <c r="O454" t="n">
        <v>0</v>
      </c>
      <c r="P454" t="n">
        <v>0</v>
      </c>
      <c r="Q454" t="n">
        <v>0</v>
      </c>
      <c r="R454" s="2" t="inlineStr"/>
    </row>
    <row r="455" ht="15" customHeight="1">
      <c r="A455" t="inlineStr">
        <is>
          <t>A 6661-2024</t>
        </is>
      </c>
      <c r="B455" s="1" t="n">
        <v>45341.70582175926</v>
      </c>
      <c r="C455" s="1" t="n">
        <v>46104</v>
      </c>
      <c r="D455" t="inlineStr">
        <is>
          <t>UPPSALA LÄN</t>
        </is>
      </c>
      <c r="E455" t="inlineStr">
        <is>
          <t>ÖSTHAMMAR</t>
        </is>
      </c>
      <c r="G455" t="n">
        <v>0.2</v>
      </c>
      <c r="H455" t="n">
        <v>0</v>
      </c>
      <c r="I455" t="n">
        <v>0</v>
      </c>
      <c r="J455" t="n">
        <v>0</v>
      </c>
      <c r="K455" t="n">
        <v>0</v>
      </c>
      <c r="L455" t="n">
        <v>0</v>
      </c>
      <c r="M455" t="n">
        <v>0</v>
      </c>
      <c r="N455" t="n">
        <v>0</v>
      </c>
      <c r="O455" t="n">
        <v>0</v>
      </c>
      <c r="P455" t="n">
        <v>0</v>
      </c>
      <c r="Q455" t="n">
        <v>0</v>
      </c>
      <c r="R455" s="2" t="inlineStr"/>
    </row>
    <row r="456" ht="15" customHeight="1">
      <c r="A456" t="inlineStr">
        <is>
          <t>A 17646-2025</t>
        </is>
      </c>
      <c r="B456" s="1" t="n">
        <v>45758.32872685185</v>
      </c>
      <c r="C456" s="1" t="n">
        <v>46104</v>
      </c>
      <c r="D456" t="inlineStr">
        <is>
          <t>UPPSALA LÄN</t>
        </is>
      </c>
      <c r="E456" t="inlineStr">
        <is>
          <t>ÖSTHAMMAR</t>
        </is>
      </c>
      <c r="F456" t="inlineStr">
        <is>
          <t>Bergvik skog väst AB</t>
        </is>
      </c>
      <c r="G456" t="n">
        <v>3.4</v>
      </c>
      <c r="H456" t="n">
        <v>0</v>
      </c>
      <c r="I456" t="n">
        <v>0</v>
      </c>
      <c r="J456" t="n">
        <v>0</v>
      </c>
      <c r="K456" t="n">
        <v>0</v>
      </c>
      <c r="L456" t="n">
        <v>0</v>
      </c>
      <c r="M456" t="n">
        <v>0</v>
      </c>
      <c r="N456" t="n">
        <v>0</v>
      </c>
      <c r="O456" t="n">
        <v>0</v>
      </c>
      <c r="P456" t="n">
        <v>0</v>
      </c>
      <c r="Q456" t="n">
        <v>0</v>
      </c>
      <c r="R456" s="2" t="inlineStr"/>
    </row>
    <row r="457" ht="15" customHeight="1">
      <c r="A457" t="inlineStr">
        <is>
          <t>A 17648-2025</t>
        </is>
      </c>
      <c r="B457" s="1" t="n">
        <v>45758.33064814815</v>
      </c>
      <c r="C457" s="1" t="n">
        <v>46104</v>
      </c>
      <c r="D457" t="inlineStr">
        <is>
          <t>UPPSALA LÄN</t>
        </is>
      </c>
      <c r="E457" t="inlineStr">
        <is>
          <t>ÖSTHAMMAR</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56903-2023</t>
        </is>
      </c>
      <c r="B458" s="1" t="n">
        <v>45244.56943287037</v>
      </c>
      <c r="C458" s="1" t="n">
        <v>46104</v>
      </c>
      <c r="D458" t="inlineStr">
        <is>
          <t>UPPSALA LÄN</t>
        </is>
      </c>
      <c r="E458" t="inlineStr">
        <is>
          <t>ÖSTHAMMAR</t>
        </is>
      </c>
      <c r="G458" t="n">
        <v>3.1</v>
      </c>
      <c r="H458" t="n">
        <v>0</v>
      </c>
      <c r="I458" t="n">
        <v>0</v>
      </c>
      <c r="J458" t="n">
        <v>0</v>
      </c>
      <c r="K458" t="n">
        <v>0</v>
      </c>
      <c r="L458" t="n">
        <v>0</v>
      </c>
      <c r="M458" t="n">
        <v>0</v>
      </c>
      <c r="N458" t="n">
        <v>0</v>
      </c>
      <c r="O458" t="n">
        <v>0</v>
      </c>
      <c r="P458" t="n">
        <v>0</v>
      </c>
      <c r="Q458" t="n">
        <v>0</v>
      </c>
      <c r="R458" s="2" t="inlineStr"/>
    </row>
    <row r="459" ht="15" customHeight="1">
      <c r="A459" t="inlineStr">
        <is>
          <t>A 42213-2025</t>
        </is>
      </c>
      <c r="B459" s="1" t="n">
        <v>45904.50652777778</v>
      </c>
      <c r="C459" s="1" t="n">
        <v>46104</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28420-2023</t>
        </is>
      </c>
      <c r="B460" s="1" t="n">
        <v>45102.33054398148</v>
      </c>
      <c r="C460" s="1" t="n">
        <v>46104</v>
      </c>
      <c r="D460" t="inlineStr">
        <is>
          <t>UPPSALA LÄN</t>
        </is>
      </c>
      <c r="E460" t="inlineStr">
        <is>
          <t>ÖSTHAMMAR</t>
        </is>
      </c>
      <c r="F460" t="inlineStr">
        <is>
          <t>Bergvik skog öst AB</t>
        </is>
      </c>
      <c r="G460" t="n">
        <v>3.2</v>
      </c>
      <c r="H460" t="n">
        <v>0</v>
      </c>
      <c r="I460" t="n">
        <v>0</v>
      </c>
      <c r="J460" t="n">
        <v>0</v>
      </c>
      <c r="K460" t="n">
        <v>0</v>
      </c>
      <c r="L460" t="n">
        <v>0</v>
      </c>
      <c r="M460" t="n">
        <v>0</v>
      </c>
      <c r="N460" t="n">
        <v>0</v>
      </c>
      <c r="O460" t="n">
        <v>0</v>
      </c>
      <c r="P460" t="n">
        <v>0</v>
      </c>
      <c r="Q460" t="n">
        <v>0</v>
      </c>
      <c r="R460" s="2" t="inlineStr"/>
    </row>
    <row r="461" ht="15" customHeight="1">
      <c r="A461" t="inlineStr">
        <is>
          <t>A 28432-2023</t>
        </is>
      </c>
      <c r="B461" s="1" t="n">
        <v>45102.59896990741</v>
      </c>
      <c r="C461" s="1" t="n">
        <v>46104</v>
      </c>
      <c r="D461" t="inlineStr">
        <is>
          <t>UPPSALA LÄN</t>
        </is>
      </c>
      <c r="E461" t="inlineStr">
        <is>
          <t>ÖSTHAMMAR</t>
        </is>
      </c>
      <c r="F461" t="inlineStr">
        <is>
          <t>Bergvik skog öst AB</t>
        </is>
      </c>
      <c r="G461" t="n">
        <v>3.9</v>
      </c>
      <c r="H461" t="n">
        <v>0</v>
      </c>
      <c r="I461" t="n">
        <v>0</v>
      </c>
      <c r="J461" t="n">
        <v>0</v>
      </c>
      <c r="K461" t="n">
        <v>0</v>
      </c>
      <c r="L461" t="n">
        <v>0</v>
      </c>
      <c r="M461" t="n">
        <v>0</v>
      </c>
      <c r="N461" t="n">
        <v>0</v>
      </c>
      <c r="O461" t="n">
        <v>0</v>
      </c>
      <c r="P461" t="n">
        <v>0</v>
      </c>
      <c r="Q461" t="n">
        <v>0</v>
      </c>
      <c r="R461" s="2" t="inlineStr"/>
    </row>
    <row r="462" ht="15" customHeight="1">
      <c r="A462" t="inlineStr">
        <is>
          <t>A 3095-2026</t>
        </is>
      </c>
      <c r="B462" s="1" t="n">
        <v>46040.90493055555</v>
      </c>
      <c r="C462" s="1" t="n">
        <v>46104</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3055-2026</t>
        </is>
      </c>
      <c r="B463" s="1" t="n">
        <v>46039.39636574074</v>
      </c>
      <c r="C463" s="1" t="n">
        <v>46104</v>
      </c>
      <c r="D463" t="inlineStr">
        <is>
          <t>UPPSALA LÄN</t>
        </is>
      </c>
      <c r="E463" t="inlineStr">
        <is>
          <t>ÖSTHAMMAR</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56969-2022</t>
        </is>
      </c>
      <c r="B464" s="1" t="n">
        <v>44894.68043981482</v>
      </c>
      <c r="C464" s="1" t="n">
        <v>46104</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60584-2021</t>
        </is>
      </c>
      <c r="B465" s="1" t="n">
        <v>44496</v>
      </c>
      <c r="C465" s="1" t="n">
        <v>46104</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44152-2024</t>
        </is>
      </c>
      <c r="B466" s="1" t="n">
        <v>45572</v>
      </c>
      <c r="C466" s="1" t="n">
        <v>46104</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48856-2024</t>
        </is>
      </c>
      <c r="B467" s="1" t="n">
        <v>45593</v>
      </c>
      <c r="C467" s="1" t="n">
        <v>46104</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47390-2023</t>
        </is>
      </c>
      <c r="B468" s="1" t="n">
        <v>45202</v>
      </c>
      <c r="C468" s="1" t="n">
        <v>46104</v>
      </c>
      <c r="D468" t="inlineStr">
        <is>
          <t>UPPSALA LÄN</t>
        </is>
      </c>
      <c r="E468" t="inlineStr">
        <is>
          <t>ÖSTHAMMAR</t>
        </is>
      </c>
      <c r="G468" t="n">
        <v>3.7</v>
      </c>
      <c r="H468" t="n">
        <v>0</v>
      </c>
      <c r="I468" t="n">
        <v>0</v>
      </c>
      <c r="J468" t="n">
        <v>0</v>
      </c>
      <c r="K468" t="n">
        <v>0</v>
      </c>
      <c r="L468" t="n">
        <v>0</v>
      </c>
      <c r="M468" t="n">
        <v>0</v>
      </c>
      <c r="N468" t="n">
        <v>0</v>
      </c>
      <c r="O468" t="n">
        <v>0</v>
      </c>
      <c r="P468" t="n">
        <v>0</v>
      </c>
      <c r="Q468" t="n">
        <v>0</v>
      </c>
      <c r="R468" s="2" t="inlineStr"/>
    </row>
    <row r="469" ht="15" customHeight="1">
      <c r="A469" t="inlineStr">
        <is>
          <t>A 5877-2023</t>
        </is>
      </c>
      <c r="B469" s="1" t="n">
        <v>44963.62001157407</v>
      </c>
      <c r="C469" s="1" t="n">
        <v>46104</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52389-2022</t>
        </is>
      </c>
      <c r="B470" s="1" t="n">
        <v>44874.38325231482</v>
      </c>
      <c r="C470" s="1" t="n">
        <v>46104</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25033-2021</t>
        </is>
      </c>
      <c r="B471" s="1" t="n">
        <v>44341.590625</v>
      </c>
      <c r="C471" s="1" t="n">
        <v>46104</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26319-2025</t>
        </is>
      </c>
      <c r="B472" s="1" t="n">
        <v>45805.65960648148</v>
      </c>
      <c r="C472" s="1" t="n">
        <v>46104</v>
      </c>
      <c r="D472" t="inlineStr">
        <is>
          <t>UPPSALA LÄN</t>
        </is>
      </c>
      <c r="E472" t="inlineStr">
        <is>
          <t>ÖSTHAMMAR</t>
        </is>
      </c>
      <c r="G472" t="n">
        <v>1</v>
      </c>
      <c r="H472" t="n">
        <v>0</v>
      </c>
      <c r="I472" t="n">
        <v>0</v>
      </c>
      <c r="J472" t="n">
        <v>0</v>
      </c>
      <c r="K472" t="n">
        <v>0</v>
      </c>
      <c r="L472" t="n">
        <v>0</v>
      </c>
      <c r="M472" t="n">
        <v>0</v>
      </c>
      <c r="N472" t="n">
        <v>0</v>
      </c>
      <c r="O472" t="n">
        <v>0</v>
      </c>
      <c r="P472" t="n">
        <v>0</v>
      </c>
      <c r="Q472" t="n">
        <v>0</v>
      </c>
      <c r="R472" s="2" t="inlineStr"/>
    </row>
    <row r="473" ht="15" customHeight="1">
      <c r="A473" t="inlineStr">
        <is>
          <t>A 3642-2026</t>
        </is>
      </c>
      <c r="B473" s="1" t="n">
        <v>46043.35760416667</v>
      </c>
      <c r="C473" s="1" t="n">
        <v>46104</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3668-2026</t>
        </is>
      </c>
      <c r="B474" s="1" t="n">
        <v>46043.41212962963</v>
      </c>
      <c r="C474" s="1" t="n">
        <v>46104</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57453-2022</t>
        </is>
      </c>
      <c r="B475" s="1" t="n">
        <v>44896.56266203704</v>
      </c>
      <c r="C475" s="1" t="n">
        <v>46104</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57462-2022</t>
        </is>
      </c>
      <c r="B476" s="1" t="n">
        <v>44896.57527777777</v>
      </c>
      <c r="C476" s="1" t="n">
        <v>46104</v>
      </c>
      <c r="D476" t="inlineStr">
        <is>
          <t>UPPSALA LÄN</t>
        </is>
      </c>
      <c r="E476" t="inlineStr">
        <is>
          <t>ÖSTHAMMAR</t>
        </is>
      </c>
      <c r="G476" t="n">
        <v>1.9</v>
      </c>
      <c r="H476" t="n">
        <v>0</v>
      </c>
      <c r="I476" t="n">
        <v>0</v>
      </c>
      <c r="J476" t="n">
        <v>0</v>
      </c>
      <c r="K476" t="n">
        <v>0</v>
      </c>
      <c r="L476" t="n">
        <v>0</v>
      </c>
      <c r="M476" t="n">
        <v>0</v>
      </c>
      <c r="N476" t="n">
        <v>0</v>
      </c>
      <c r="O476" t="n">
        <v>0</v>
      </c>
      <c r="P476" t="n">
        <v>0</v>
      </c>
      <c r="Q476" t="n">
        <v>0</v>
      </c>
      <c r="R476" s="2" t="inlineStr"/>
    </row>
    <row r="477" ht="15" customHeight="1">
      <c r="A477" t="inlineStr">
        <is>
          <t>A 53567-2025</t>
        </is>
      </c>
      <c r="B477" s="1" t="n">
        <v>45960</v>
      </c>
      <c r="C477" s="1" t="n">
        <v>46104</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53656-2025</t>
        </is>
      </c>
      <c r="B478" s="1" t="n">
        <v>45960</v>
      </c>
      <c r="C478" s="1" t="n">
        <v>46104</v>
      </c>
      <c r="D478" t="inlineStr">
        <is>
          <t>UPPSALA LÄN</t>
        </is>
      </c>
      <c r="E478" t="inlineStr">
        <is>
          <t>ÖSTHAMMAR</t>
        </is>
      </c>
      <c r="G478" t="n">
        <v>3.1</v>
      </c>
      <c r="H478" t="n">
        <v>0</v>
      </c>
      <c r="I478" t="n">
        <v>0</v>
      </c>
      <c r="J478" t="n">
        <v>0</v>
      </c>
      <c r="K478" t="n">
        <v>0</v>
      </c>
      <c r="L478" t="n">
        <v>0</v>
      </c>
      <c r="M478" t="n">
        <v>0</v>
      </c>
      <c r="N478" t="n">
        <v>0</v>
      </c>
      <c r="O478" t="n">
        <v>0</v>
      </c>
      <c r="P478" t="n">
        <v>0</v>
      </c>
      <c r="Q478" t="n">
        <v>0</v>
      </c>
      <c r="R478" s="2" t="inlineStr"/>
    </row>
    <row r="479" ht="15" customHeight="1">
      <c r="A479" t="inlineStr">
        <is>
          <t>A 6039-2025</t>
        </is>
      </c>
      <c r="B479" s="1" t="n">
        <v>45695</v>
      </c>
      <c r="C479" s="1" t="n">
        <v>46104</v>
      </c>
      <c r="D479" t="inlineStr">
        <is>
          <t>UPPSALA LÄN</t>
        </is>
      </c>
      <c r="E479" t="inlineStr">
        <is>
          <t>ÖSTHAMMAR</t>
        </is>
      </c>
      <c r="G479" t="n">
        <v>2.3</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46104</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53961-2025</t>
        </is>
      </c>
      <c r="B481" s="1" t="n">
        <v>45961</v>
      </c>
      <c r="C481" s="1" t="n">
        <v>46104</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53735-2025</t>
        </is>
      </c>
      <c r="B482" s="1" t="n">
        <v>45960.64431712963</v>
      </c>
      <c r="C482" s="1" t="n">
        <v>46104</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53737-2025</t>
        </is>
      </c>
      <c r="B483" s="1" t="n">
        <v>45960.64520833334</v>
      </c>
      <c r="C483" s="1" t="n">
        <v>46104</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12150-2026</t>
        </is>
      </c>
      <c r="B484" s="1" t="n">
        <v>46086.59512731482</v>
      </c>
      <c r="C484" s="1" t="n">
        <v>46104</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54242-2025</t>
        </is>
      </c>
      <c r="B485" s="1" t="n">
        <v>45964.63251157408</v>
      </c>
      <c r="C485" s="1" t="n">
        <v>46104</v>
      </c>
      <c r="D485" t="inlineStr">
        <is>
          <t>UPPSALA LÄN</t>
        </is>
      </c>
      <c r="E485" t="inlineStr">
        <is>
          <t>ÖSTHAMMAR</t>
        </is>
      </c>
      <c r="G485" t="n">
        <v>4.7</v>
      </c>
      <c r="H485" t="n">
        <v>0</v>
      </c>
      <c r="I485" t="n">
        <v>0</v>
      </c>
      <c r="J485" t="n">
        <v>0</v>
      </c>
      <c r="K485" t="n">
        <v>0</v>
      </c>
      <c r="L485" t="n">
        <v>0</v>
      </c>
      <c r="M485" t="n">
        <v>0</v>
      </c>
      <c r="N485" t="n">
        <v>0</v>
      </c>
      <c r="O485" t="n">
        <v>0</v>
      </c>
      <c r="P485" t="n">
        <v>0</v>
      </c>
      <c r="Q485" t="n">
        <v>0</v>
      </c>
      <c r="R485" s="2" t="inlineStr"/>
    </row>
    <row r="486" ht="15" customHeight="1">
      <c r="A486" t="inlineStr">
        <is>
          <t>A 12151-2026</t>
        </is>
      </c>
      <c r="B486" s="1" t="n">
        <v>46086.5972800926</v>
      </c>
      <c r="C486" s="1" t="n">
        <v>46104</v>
      </c>
      <c r="D486" t="inlineStr">
        <is>
          <t>UPPSALA LÄN</t>
        </is>
      </c>
      <c r="E486" t="inlineStr">
        <is>
          <t>ÖSTHAMMAR</t>
        </is>
      </c>
      <c r="F486" t="inlineStr">
        <is>
          <t>Bergvik skog öst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46104</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51364-2021</t>
        </is>
      </c>
      <c r="B488" s="1" t="n">
        <v>44461</v>
      </c>
      <c r="C488" s="1" t="n">
        <v>46104</v>
      </c>
      <c r="D488" t="inlineStr">
        <is>
          <t>UPPSALA LÄN</t>
        </is>
      </c>
      <c r="E488" t="inlineStr">
        <is>
          <t>ÖSTHAMMAR</t>
        </is>
      </c>
      <c r="G488" t="n">
        <v>2.4</v>
      </c>
      <c r="H488" t="n">
        <v>0</v>
      </c>
      <c r="I488" t="n">
        <v>0</v>
      </c>
      <c r="J488" t="n">
        <v>0</v>
      </c>
      <c r="K488" t="n">
        <v>0</v>
      </c>
      <c r="L488" t="n">
        <v>0</v>
      </c>
      <c r="M488" t="n">
        <v>0</v>
      </c>
      <c r="N488" t="n">
        <v>0</v>
      </c>
      <c r="O488" t="n">
        <v>0</v>
      </c>
      <c r="P488" t="n">
        <v>0</v>
      </c>
      <c r="Q488" t="n">
        <v>0</v>
      </c>
      <c r="R488" s="2" t="inlineStr"/>
    </row>
    <row r="489" ht="15" customHeight="1">
      <c r="A489" t="inlineStr">
        <is>
          <t>A 12172-2026</t>
        </is>
      </c>
      <c r="B489" s="1" t="n">
        <v>46086.6590625</v>
      </c>
      <c r="C489" s="1" t="n">
        <v>46104</v>
      </c>
      <c r="D489" t="inlineStr">
        <is>
          <t>UPPSALA LÄN</t>
        </is>
      </c>
      <c r="E489" t="inlineStr">
        <is>
          <t>ÖSTHAMMAR</t>
        </is>
      </c>
      <c r="F489" t="inlineStr">
        <is>
          <t>Bergvik skog öst AB</t>
        </is>
      </c>
      <c r="G489" t="n">
        <v>5.4</v>
      </c>
      <c r="H489" t="n">
        <v>0</v>
      </c>
      <c r="I489" t="n">
        <v>0</v>
      </c>
      <c r="J489" t="n">
        <v>0</v>
      </c>
      <c r="K489" t="n">
        <v>0</v>
      </c>
      <c r="L489" t="n">
        <v>0</v>
      </c>
      <c r="M489" t="n">
        <v>0</v>
      </c>
      <c r="N489" t="n">
        <v>0</v>
      </c>
      <c r="O489" t="n">
        <v>0</v>
      </c>
      <c r="P489" t="n">
        <v>0</v>
      </c>
      <c r="Q489" t="n">
        <v>0</v>
      </c>
      <c r="R489" s="2" t="inlineStr"/>
    </row>
    <row r="490" ht="15" customHeight="1">
      <c r="A490" t="inlineStr">
        <is>
          <t>A 3926-2026</t>
        </is>
      </c>
      <c r="B490" s="1" t="n">
        <v>46043.781875</v>
      </c>
      <c r="C490" s="1" t="n">
        <v>46104</v>
      </c>
      <c r="D490" t="inlineStr">
        <is>
          <t>UPPSALA LÄN</t>
        </is>
      </c>
      <c r="E490" t="inlineStr">
        <is>
          <t>ÖSTHAMMAR</t>
        </is>
      </c>
      <c r="G490" t="n">
        <v>3.3</v>
      </c>
      <c r="H490" t="n">
        <v>0</v>
      </c>
      <c r="I490" t="n">
        <v>0</v>
      </c>
      <c r="J490" t="n">
        <v>0</v>
      </c>
      <c r="K490" t="n">
        <v>0</v>
      </c>
      <c r="L490" t="n">
        <v>0</v>
      </c>
      <c r="M490" t="n">
        <v>0</v>
      </c>
      <c r="N490" t="n">
        <v>0</v>
      </c>
      <c r="O490" t="n">
        <v>0</v>
      </c>
      <c r="P490" t="n">
        <v>0</v>
      </c>
      <c r="Q490" t="n">
        <v>0</v>
      </c>
      <c r="R490" s="2" t="inlineStr"/>
    </row>
    <row r="491" ht="15" customHeight="1">
      <c r="A491" t="inlineStr">
        <is>
          <t>A 12263-2026</t>
        </is>
      </c>
      <c r="B491" s="1" t="n">
        <v>46087.49299768519</v>
      </c>
      <c r="C491" s="1" t="n">
        <v>46104</v>
      </c>
      <c r="D491" t="inlineStr">
        <is>
          <t>UPPSALA LÄN</t>
        </is>
      </c>
      <c r="E491" t="inlineStr">
        <is>
          <t>ÖSTHAMMAR</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43915-2023</t>
        </is>
      </c>
      <c r="B492" s="1" t="n">
        <v>45187.71274305556</v>
      </c>
      <c r="C492" s="1" t="n">
        <v>46104</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19501-2025</t>
        </is>
      </c>
      <c r="B493" s="1" t="n">
        <v>45770.4015625</v>
      </c>
      <c r="C493" s="1" t="n">
        <v>46104</v>
      </c>
      <c r="D493" t="inlineStr">
        <is>
          <t>UPPSALA LÄN</t>
        </is>
      </c>
      <c r="E493" t="inlineStr">
        <is>
          <t>ÖSTHAMMAR</t>
        </is>
      </c>
      <c r="F493" t="inlineStr">
        <is>
          <t>Övriga Aktiebolag</t>
        </is>
      </c>
      <c r="G493" t="n">
        <v>17.3</v>
      </c>
      <c r="H493" t="n">
        <v>0</v>
      </c>
      <c r="I493" t="n">
        <v>0</v>
      </c>
      <c r="J493" t="n">
        <v>0</v>
      </c>
      <c r="K493" t="n">
        <v>0</v>
      </c>
      <c r="L493" t="n">
        <v>0</v>
      </c>
      <c r="M493" t="n">
        <v>0</v>
      </c>
      <c r="N493" t="n">
        <v>0</v>
      </c>
      <c r="O493" t="n">
        <v>0</v>
      </c>
      <c r="P493" t="n">
        <v>0</v>
      </c>
      <c r="Q493" t="n">
        <v>0</v>
      </c>
      <c r="R493" s="2" t="inlineStr"/>
    </row>
    <row r="494" ht="15" customHeight="1">
      <c r="A494" t="inlineStr">
        <is>
          <t>A 12261-2026</t>
        </is>
      </c>
      <c r="B494" s="1" t="n">
        <v>46087.48739583333</v>
      </c>
      <c r="C494" s="1" t="n">
        <v>46104</v>
      </c>
      <c r="D494" t="inlineStr">
        <is>
          <t>UPPSALA LÄN</t>
        </is>
      </c>
      <c r="E494" t="inlineStr">
        <is>
          <t>ÖSTHAMMAR</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12262-2026</t>
        </is>
      </c>
      <c r="B495" s="1" t="n">
        <v>46087.4896875</v>
      </c>
      <c r="C495" s="1" t="n">
        <v>46104</v>
      </c>
      <c r="D495" t="inlineStr">
        <is>
          <t>UPPSALA LÄN</t>
        </is>
      </c>
      <c r="E495" t="inlineStr">
        <is>
          <t>ÖSTHAMMAR</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3119-2025</t>
        </is>
      </c>
      <c r="B496" s="1" t="n">
        <v>45678</v>
      </c>
      <c r="C496" s="1" t="n">
        <v>46104</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3959-2026</t>
        </is>
      </c>
      <c r="B497" s="1" t="n">
        <v>46044.33802083333</v>
      </c>
      <c r="C497" s="1" t="n">
        <v>46104</v>
      </c>
      <c r="D497" t="inlineStr">
        <is>
          <t>UPPSALA LÄN</t>
        </is>
      </c>
      <c r="E497" t="inlineStr">
        <is>
          <t>ÖSTHAMMAR</t>
        </is>
      </c>
      <c r="F497" t="inlineStr">
        <is>
          <t>Övriga Aktiebolag</t>
        </is>
      </c>
      <c r="G497" t="n">
        <v>3.4</v>
      </c>
      <c r="H497" t="n">
        <v>0</v>
      </c>
      <c r="I497" t="n">
        <v>0</v>
      </c>
      <c r="J497" t="n">
        <v>0</v>
      </c>
      <c r="K497" t="n">
        <v>0</v>
      </c>
      <c r="L497" t="n">
        <v>0</v>
      </c>
      <c r="M497" t="n">
        <v>0</v>
      </c>
      <c r="N497" t="n">
        <v>0</v>
      </c>
      <c r="O497" t="n">
        <v>0</v>
      </c>
      <c r="P497" t="n">
        <v>0</v>
      </c>
      <c r="Q497" t="n">
        <v>0</v>
      </c>
      <c r="R497" s="2" t="inlineStr"/>
    </row>
    <row r="498" ht="15" customHeight="1">
      <c r="A498" t="inlineStr">
        <is>
          <t>A 54647-2025</t>
        </is>
      </c>
      <c r="B498" s="1" t="n">
        <v>45966.37258101852</v>
      </c>
      <c r="C498" s="1" t="n">
        <v>46104</v>
      </c>
      <c r="D498" t="inlineStr">
        <is>
          <t>UPPSALA LÄN</t>
        </is>
      </c>
      <c r="E498" t="inlineStr">
        <is>
          <t>ÖSTHAMMAR</t>
        </is>
      </c>
      <c r="G498" t="n">
        <v>4.3</v>
      </c>
      <c r="H498" t="n">
        <v>0</v>
      </c>
      <c r="I498" t="n">
        <v>0</v>
      </c>
      <c r="J498" t="n">
        <v>0</v>
      </c>
      <c r="K498" t="n">
        <v>0</v>
      </c>
      <c r="L498" t="n">
        <v>0</v>
      </c>
      <c r="M498" t="n">
        <v>0</v>
      </c>
      <c r="N498" t="n">
        <v>0</v>
      </c>
      <c r="O498" t="n">
        <v>0</v>
      </c>
      <c r="P498" t="n">
        <v>0</v>
      </c>
      <c r="Q498" t="n">
        <v>0</v>
      </c>
      <c r="R498" s="2" t="inlineStr"/>
    </row>
    <row r="499" ht="15" customHeight="1">
      <c r="A499" t="inlineStr">
        <is>
          <t>A 12387-2026</t>
        </is>
      </c>
      <c r="B499" s="1" t="n">
        <v>46090</v>
      </c>
      <c r="C499" s="1" t="n">
        <v>46104</v>
      </c>
      <c r="D499" t="inlineStr">
        <is>
          <t>UPPSALA LÄN</t>
        </is>
      </c>
      <c r="E499" t="inlineStr">
        <is>
          <t>ÖSTHAMMAR</t>
        </is>
      </c>
      <c r="G499" t="n">
        <v>1.2</v>
      </c>
      <c r="H499" t="n">
        <v>0</v>
      </c>
      <c r="I499" t="n">
        <v>0</v>
      </c>
      <c r="J499" t="n">
        <v>0</v>
      </c>
      <c r="K499" t="n">
        <v>0</v>
      </c>
      <c r="L499" t="n">
        <v>0</v>
      </c>
      <c r="M499" t="n">
        <v>0</v>
      </c>
      <c r="N499" t="n">
        <v>0</v>
      </c>
      <c r="O499" t="n">
        <v>0</v>
      </c>
      <c r="P499" t="n">
        <v>0</v>
      </c>
      <c r="Q499" t="n">
        <v>0</v>
      </c>
      <c r="R499" s="2" t="inlineStr"/>
    </row>
    <row r="500" ht="15" customHeight="1">
      <c r="A500" t="inlineStr">
        <is>
          <t>A 54649-2025</t>
        </is>
      </c>
      <c r="B500" s="1" t="n">
        <v>45966.37548611111</v>
      </c>
      <c r="C500" s="1" t="n">
        <v>46104</v>
      </c>
      <c r="D500" t="inlineStr">
        <is>
          <t>UPPSALA LÄN</t>
        </is>
      </c>
      <c r="E500" t="inlineStr">
        <is>
          <t>ÖSTHAMMAR</t>
        </is>
      </c>
      <c r="G500" t="n">
        <v>0.5</v>
      </c>
      <c r="H500" t="n">
        <v>0</v>
      </c>
      <c r="I500" t="n">
        <v>0</v>
      </c>
      <c r="J500" t="n">
        <v>0</v>
      </c>
      <c r="K500" t="n">
        <v>0</v>
      </c>
      <c r="L500" t="n">
        <v>0</v>
      </c>
      <c r="M500" t="n">
        <v>0</v>
      </c>
      <c r="N500" t="n">
        <v>0</v>
      </c>
      <c r="O500" t="n">
        <v>0</v>
      </c>
      <c r="P500" t="n">
        <v>0</v>
      </c>
      <c r="Q500" t="n">
        <v>0</v>
      </c>
      <c r="R500" s="2" t="inlineStr"/>
    </row>
    <row r="501" ht="15" customHeight="1">
      <c r="A501" t="inlineStr">
        <is>
          <t>A 28421-2023</t>
        </is>
      </c>
      <c r="B501" s="1" t="n">
        <v>45102</v>
      </c>
      <c r="C501" s="1" t="n">
        <v>46104</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17931-2025</t>
        </is>
      </c>
      <c r="B502" s="1" t="n">
        <v>45759.56894675926</v>
      </c>
      <c r="C502" s="1" t="n">
        <v>46104</v>
      </c>
      <c r="D502" t="inlineStr">
        <is>
          <t>UPPSALA LÄN</t>
        </is>
      </c>
      <c r="E502" t="inlineStr">
        <is>
          <t>ÖSTHAMMAR</t>
        </is>
      </c>
      <c r="G502" t="n">
        <v>2.1</v>
      </c>
      <c r="H502" t="n">
        <v>0</v>
      </c>
      <c r="I502" t="n">
        <v>0</v>
      </c>
      <c r="J502" t="n">
        <v>0</v>
      </c>
      <c r="K502" t="n">
        <v>0</v>
      </c>
      <c r="L502" t="n">
        <v>0</v>
      </c>
      <c r="M502" t="n">
        <v>0</v>
      </c>
      <c r="N502" t="n">
        <v>0</v>
      </c>
      <c r="O502" t="n">
        <v>0</v>
      </c>
      <c r="P502" t="n">
        <v>0</v>
      </c>
      <c r="Q502" t="n">
        <v>0</v>
      </c>
      <c r="R502" s="2" t="inlineStr"/>
    </row>
    <row r="503" ht="15" customHeight="1">
      <c r="A503" t="inlineStr">
        <is>
          <t>A 17938-2025</t>
        </is>
      </c>
      <c r="B503" s="1" t="n">
        <v>45760.55626157407</v>
      </c>
      <c r="C503" s="1" t="n">
        <v>46104</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8763-2025</t>
        </is>
      </c>
      <c r="B504" s="1" t="n">
        <v>45712.57872685185</v>
      </c>
      <c r="C504" s="1" t="n">
        <v>46104</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55298-2025</t>
        </is>
      </c>
      <c r="B505" s="1" t="n">
        <v>45969.76908564815</v>
      </c>
      <c r="C505" s="1" t="n">
        <v>46104</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54368-2023</t>
        </is>
      </c>
      <c r="B506" s="1" t="n">
        <v>45233.33221064815</v>
      </c>
      <c r="C506" s="1" t="n">
        <v>46104</v>
      </c>
      <c r="D506" t="inlineStr">
        <is>
          <t>UPPSALA LÄN</t>
        </is>
      </c>
      <c r="E506" t="inlineStr">
        <is>
          <t>ÖSTHAMMAR</t>
        </is>
      </c>
      <c r="F506" t="inlineStr">
        <is>
          <t>Bergvik skog öst AB</t>
        </is>
      </c>
      <c r="G506" t="n">
        <v>3</v>
      </c>
      <c r="H506" t="n">
        <v>0</v>
      </c>
      <c r="I506" t="n">
        <v>0</v>
      </c>
      <c r="J506" t="n">
        <v>0</v>
      </c>
      <c r="K506" t="n">
        <v>0</v>
      </c>
      <c r="L506" t="n">
        <v>0</v>
      </c>
      <c r="M506" t="n">
        <v>0</v>
      </c>
      <c r="N506" t="n">
        <v>0</v>
      </c>
      <c r="O506" t="n">
        <v>0</v>
      </c>
      <c r="P506" t="n">
        <v>0</v>
      </c>
      <c r="Q506" t="n">
        <v>0</v>
      </c>
      <c r="R506" s="2" t="inlineStr"/>
    </row>
    <row r="507" ht="15" customHeight="1">
      <c r="A507" t="inlineStr">
        <is>
          <t>A 32815-2024</t>
        </is>
      </c>
      <c r="B507" s="1" t="n">
        <v>45516.57682870371</v>
      </c>
      <c r="C507" s="1" t="n">
        <v>46104</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4570-2026</t>
        </is>
      </c>
      <c r="B508" s="1" t="n">
        <v>46048.00856481482</v>
      </c>
      <c r="C508" s="1" t="n">
        <v>46104</v>
      </c>
      <c r="D508" t="inlineStr">
        <is>
          <t>UPPSALA LÄN</t>
        </is>
      </c>
      <c r="E508" t="inlineStr">
        <is>
          <t>ÖSTHAMMAR</t>
        </is>
      </c>
      <c r="F508" t="inlineStr">
        <is>
          <t>Allmännings- och besparingsskogar</t>
        </is>
      </c>
      <c r="G508" t="n">
        <v>7.1</v>
      </c>
      <c r="H508" t="n">
        <v>0</v>
      </c>
      <c r="I508" t="n">
        <v>0</v>
      </c>
      <c r="J508" t="n">
        <v>0</v>
      </c>
      <c r="K508" t="n">
        <v>0</v>
      </c>
      <c r="L508" t="n">
        <v>0</v>
      </c>
      <c r="M508" t="n">
        <v>0</v>
      </c>
      <c r="N508" t="n">
        <v>0</v>
      </c>
      <c r="O508" t="n">
        <v>0</v>
      </c>
      <c r="P508" t="n">
        <v>0</v>
      </c>
      <c r="Q508" t="n">
        <v>0</v>
      </c>
      <c r="R508" s="2" t="inlineStr"/>
    </row>
    <row r="509" ht="15" customHeight="1">
      <c r="A509" t="inlineStr">
        <is>
          <t>A 26055-2025</t>
        </is>
      </c>
      <c r="B509" s="1" t="n">
        <v>45804.77559027778</v>
      </c>
      <c r="C509" s="1" t="n">
        <v>46104</v>
      </c>
      <c r="D509" t="inlineStr">
        <is>
          <t>UPPSALA LÄN</t>
        </is>
      </c>
      <c r="E509" t="inlineStr">
        <is>
          <t>ÖSTHAMMAR</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5429-2023</t>
        </is>
      </c>
      <c r="B510" s="1" t="n">
        <v>44959.83037037037</v>
      </c>
      <c r="C510" s="1" t="n">
        <v>46104</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11008-2023</t>
        </is>
      </c>
      <c r="B511" s="1" t="n">
        <v>44991</v>
      </c>
      <c r="C511" s="1" t="n">
        <v>46104</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60047-2021</t>
        </is>
      </c>
      <c r="B512" s="1" t="n">
        <v>44495</v>
      </c>
      <c r="C512" s="1" t="n">
        <v>46104</v>
      </c>
      <c r="D512" t="inlineStr">
        <is>
          <t>UPPSALA LÄN</t>
        </is>
      </c>
      <c r="E512" t="inlineStr">
        <is>
          <t>ÖSTHAMMAR</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8623-2025</t>
        </is>
      </c>
      <c r="B513" s="1" t="n">
        <v>45711.51902777778</v>
      </c>
      <c r="C513" s="1" t="n">
        <v>46104</v>
      </c>
      <c r="D513" t="inlineStr">
        <is>
          <t>UPPSALA LÄN</t>
        </is>
      </c>
      <c r="E513" t="inlineStr">
        <is>
          <t>ÖSTHAMMAR</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8626-2025</t>
        </is>
      </c>
      <c r="B514" s="1" t="n">
        <v>45711.53565972222</v>
      </c>
      <c r="C514" s="1" t="n">
        <v>46104</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3514-2023</t>
        </is>
      </c>
      <c r="B515" s="1" t="n">
        <v>44950</v>
      </c>
      <c r="C515" s="1" t="n">
        <v>46104</v>
      </c>
      <c r="D515" t="inlineStr">
        <is>
          <t>UPPSALA LÄN</t>
        </is>
      </c>
      <c r="E515" t="inlineStr">
        <is>
          <t>ÖSTHAMMAR</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5469-2026</t>
        </is>
      </c>
      <c r="B516" s="1" t="n">
        <v>46050</v>
      </c>
      <c r="C516" s="1" t="n">
        <v>46104</v>
      </c>
      <c r="D516" t="inlineStr">
        <is>
          <t>UPPSALA LÄN</t>
        </is>
      </c>
      <c r="E516" t="inlineStr">
        <is>
          <t>ÖSTHAMMAR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24128-2023</t>
        </is>
      </c>
      <c r="B517" s="1" t="n">
        <v>45079.50289351852</v>
      </c>
      <c r="C517" s="1" t="n">
        <v>46104</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33552-2024</t>
        </is>
      </c>
      <c r="B518" s="1" t="n">
        <v>45519</v>
      </c>
      <c r="C518" s="1" t="n">
        <v>46104</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33553-2024</t>
        </is>
      </c>
      <c r="B519" s="1" t="n">
        <v>45519</v>
      </c>
      <c r="C519" s="1" t="n">
        <v>46104</v>
      </c>
      <c r="D519" t="inlineStr">
        <is>
          <t>UPPSALA LÄN</t>
        </is>
      </c>
      <c r="E519" t="inlineStr">
        <is>
          <t>ÖSTHAMMAR</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46104</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12913-2026</t>
        </is>
      </c>
      <c r="B521" s="1" t="n">
        <v>46092.58787037037</v>
      </c>
      <c r="C521" s="1" t="n">
        <v>46104</v>
      </c>
      <c r="D521" t="inlineStr">
        <is>
          <t>UPPSALA LÄN</t>
        </is>
      </c>
      <c r="E521" t="inlineStr">
        <is>
          <t>ÖSTHAMMAR</t>
        </is>
      </c>
      <c r="F521" t="inlineStr">
        <is>
          <t>Övriga Aktiebolag</t>
        </is>
      </c>
      <c r="G521" t="n">
        <v>9</v>
      </c>
      <c r="H521" t="n">
        <v>0</v>
      </c>
      <c r="I521" t="n">
        <v>0</v>
      </c>
      <c r="J521" t="n">
        <v>0</v>
      </c>
      <c r="K521" t="n">
        <v>0</v>
      </c>
      <c r="L521" t="n">
        <v>0</v>
      </c>
      <c r="M521" t="n">
        <v>0</v>
      </c>
      <c r="N521" t="n">
        <v>0</v>
      </c>
      <c r="O521" t="n">
        <v>0</v>
      </c>
      <c r="P521" t="n">
        <v>0</v>
      </c>
      <c r="Q521" t="n">
        <v>0</v>
      </c>
      <c r="R521" s="2" t="inlineStr"/>
    </row>
    <row r="522" ht="15" customHeight="1">
      <c r="A522" t="inlineStr">
        <is>
          <t>A 19947-2024</t>
        </is>
      </c>
      <c r="B522" s="1" t="n">
        <v>45433</v>
      </c>
      <c r="C522" s="1" t="n">
        <v>46104</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6238-2026</t>
        </is>
      </c>
      <c r="B523" s="1" t="n">
        <v>46055.45547453704</v>
      </c>
      <c r="C523" s="1" t="n">
        <v>46104</v>
      </c>
      <c r="D523" t="inlineStr">
        <is>
          <t>UPPSALA LÄN</t>
        </is>
      </c>
      <c r="E523" t="inlineStr">
        <is>
          <t>ÖSTHAMMAR</t>
        </is>
      </c>
      <c r="F523" t="inlineStr">
        <is>
          <t>Övriga Aktiebolag</t>
        </is>
      </c>
      <c r="G523" t="n">
        <v>26.7</v>
      </c>
      <c r="H523" t="n">
        <v>0</v>
      </c>
      <c r="I523" t="n">
        <v>0</v>
      </c>
      <c r="J523" t="n">
        <v>0</v>
      </c>
      <c r="K523" t="n">
        <v>0</v>
      </c>
      <c r="L523" t="n">
        <v>0</v>
      </c>
      <c r="M523" t="n">
        <v>0</v>
      </c>
      <c r="N523" t="n">
        <v>0</v>
      </c>
      <c r="O523" t="n">
        <v>0</v>
      </c>
      <c r="P523" t="n">
        <v>0</v>
      </c>
      <c r="Q523" t="n">
        <v>0</v>
      </c>
      <c r="R523" s="2" t="inlineStr"/>
    </row>
    <row r="524" ht="15" customHeight="1">
      <c r="A524" t="inlineStr">
        <is>
          <t>A 16240-2025</t>
        </is>
      </c>
      <c r="B524" s="1" t="n">
        <v>45746</v>
      </c>
      <c r="C524" s="1" t="n">
        <v>46104</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26521-2025</t>
        </is>
      </c>
      <c r="B525" s="1" t="n">
        <v>45807.56275462963</v>
      </c>
      <c r="C525" s="1" t="n">
        <v>46104</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26526-2025</t>
        </is>
      </c>
      <c r="B526" s="1" t="n">
        <v>45807.56612268519</v>
      </c>
      <c r="C526" s="1" t="n">
        <v>46104</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57-2023</t>
        </is>
      </c>
      <c r="B527" s="1" t="n">
        <v>44928.40917824074</v>
      </c>
      <c r="C527" s="1" t="n">
        <v>46104</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59-2023</t>
        </is>
      </c>
      <c r="B528" s="1" t="n">
        <v>44928.41822916667</v>
      </c>
      <c r="C528" s="1" t="n">
        <v>46104</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55079-2024</t>
        </is>
      </c>
      <c r="B529" s="1" t="n">
        <v>45621.42747685185</v>
      </c>
      <c r="C529" s="1" t="n">
        <v>46104</v>
      </c>
      <c r="D529" t="inlineStr">
        <is>
          <t>UPPSALA LÄN</t>
        </is>
      </c>
      <c r="E529" t="inlineStr">
        <is>
          <t>ÖSTHAMMAR</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13472-2026</t>
        </is>
      </c>
      <c r="B530" s="1" t="n">
        <v>46094</v>
      </c>
      <c r="C530" s="1" t="n">
        <v>46104</v>
      </c>
      <c r="D530" t="inlineStr">
        <is>
          <t>UPPSALA LÄN</t>
        </is>
      </c>
      <c r="E530" t="inlineStr">
        <is>
          <t>ÖSTHAMMAR</t>
        </is>
      </c>
      <c r="F530" t="inlineStr">
        <is>
          <t>Övriga Aktiebolag</t>
        </is>
      </c>
      <c r="G530" t="n">
        <v>4</v>
      </c>
      <c r="H530" t="n">
        <v>0</v>
      </c>
      <c r="I530" t="n">
        <v>0</v>
      </c>
      <c r="J530" t="n">
        <v>0</v>
      </c>
      <c r="K530" t="n">
        <v>0</v>
      </c>
      <c r="L530" t="n">
        <v>0</v>
      </c>
      <c r="M530" t="n">
        <v>0</v>
      </c>
      <c r="N530" t="n">
        <v>0</v>
      </c>
      <c r="O530" t="n">
        <v>0</v>
      </c>
      <c r="P530" t="n">
        <v>0</v>
      </c>
      <c r="Q530" t="n">
        <v>0</v>
      </c>
      <c r="R530" s="2" t="inlineStr"/>
    </row>
    <row r="531" ht="15" customHeight="1">
      <c r="A531" t="inlineStr">
        <is>
          <t>A 33680-2024</t>
        </is>
      </c>
      <c r="B531" s="1" t="n">
        <v>45520.50712962963</v>
      </c>
      <c r="C531" s="1" t="n">
        <v>46104</v>
      </c>
      <c r="D531" t="inlineStr">
        <is>
          <t>UPPSALA LÄN</t>
        </is>
      </c>
      <c r="E531" t="inlineStr">
        <is>
          <t>ÖSTHAMMAR</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33550-2024</t>
        </is>
      </c>
      <c r="B532" s="1" t="n">
        <v>45519.81043981481</v>
      </c>
      <c r="C532" s="1" t="n">
        <v>46104</v>
      </c>
      <c r="D532" t="inlineStr">
        <is>
          <t>UPPSALA LÄN</t>
        </is>
      </c>
      <c r="E532" t="inlineStr">
        <is>
          <t>ÖSTHAMMAR</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30811-2023</t>
        </is>
      </c>
      <c r="B533" s="1" t="n">
        <v>45112.86422453704</v>
      </c>
      <c r="C533" s="1" t="n">
        <v>46104</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13703-2026</t>
        </is>
      </c>
      <c r="B534" s="1" t="n">
        <v>46097.56766203704</v>
      </c>
      <c r="C534" s="1" t="n">
        <v>46104</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27131-2025</t>
        </is>
      </c>
      <c r="B535" s="1" t="n">
        <v>45811</v>
      </c>
      <c r="C535" s="1" t="n">
        <v>46104</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55646-2021</t>
        </is>
      </c>
      <c r="B536" s="1" t="n">
        <v>44476.3632175926</v>
      </c>
      <c r="C536" s="1" t="n">
        <v>46104</v>
      </c>
      <c r="D536" t="inlineStr">
        <is>
          <t>UPPSALA LÄN</t>
        </is>
      </c>
      <c r="E536" t="inlineStr">
        <is>
          <t>ÖSTHAMMAR</t>
        </is>
      </c>
      <c r="F536" t="inlineStr">
        <is>
          <t>Bergvik skog öst AB</t>
        </is>
      </c>
      <c r="G536" t="n">
        <v>0.2</v>
      </c>
      <c r="H536" t="n">
        <v>0</v>
      </c>
      <c r="I536" t="n">
        <v>0</v>
      </c>
      <c r="J536" t="n">
        <v>0</v>
      </c>
      <c r="K536" t="n">
        <v>0</v>
      </c>
      <c r="L536" t="n">
        <v>0</v>
      </c>
      <c r="M536" t="n">
        <v>0</v>
      </c>
      <c r="N536" t="n">
        <v>0</v>
      </c>
      <c r="O536" t="n">
        <v>0</v>
      </c>
      <c r="P536" t="n">
        <v>0</v>
      </c>
      <c r="Q536" t="n">
        <v>0</v>
      </c>
      <c r="R536" s="2" t="inlineStr"/>
    </row>
    <row r="537" ht="15" customHeight="1">
      <c r="A537" t="inlineStr">
        <is>
          <t>A 61443-2024</t>
        </is>
      </c>
      <c r="B537" s="1" t="n">
        <v>45646.47936342593</v>
      </c>
      <c r="C537" s="1" t="n">
        <v>46104</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27132-2025</t>
        </is>
      </c>
      <c r="B538" s="1" t="n">
        <v>45811</v>
      </c>
      <c r="C538" s="1" t="n">
        <v>46104</v>
      </c>
      <c r="D538" t="inlineStr">
        <is>
          <t>UPPSALA LÄN</t>
        </is>
      </c>
      <c r="E538" t="inlineStr">
        <is>
          <t>ÖSTHAMMAR</t>
        </is>
      </c>
      <c r="G538" t="n">
        <v>2.3</v>
      </c>
      <c r="H538" t="n">
        <v>0</v>
      </c>
      <c r="I538" t="n">
        <v>0</v>
      </c>
      <c r="J538" t="n">
        <v>0</v>
      </c>
      <c r="K538" t="n">
        <v>0</v>
      </c>
      <c r="L538" t="n">
        <v>0</v>
      </c>
      <c r="M538" t="n">
        <v>0</v>
      </c>
      <c r="N538" t="n">
        <v>0</v>
      </c>
      <c r="O538" t="n">
        <v>0</v>
      </c>
      <c r="P538" t="n">
        <v>0</v>
      </c>
      <c r="Q538" t="n">
        <v>0</v>
      </c>
      <c r="R538" s="2" t="inlineStr"/>
    </row>
    <row r="539" ht="15" customHeight="1">
      <c r="A539" t="inlineStr">
        <is>
          <t>A 13279-2022</t>
        </is>
      </c>
      <c r="B539" s="1" t="n">
        <v>44644</v>
      </c>
      <c r="C539" s="1" t="n">
        <v>46104</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27058-2025</t>
        </is>
      </c>
      <c r="B540" s="1" t="n">
        <v>45811.63436342592</v>
      </c>
      <c r="C540" s="1" t="n">
        <v>46104</v>
      </c>
      <c r="D540" t="inlineStr">
        <is>
          <t>UPPSALA LÄN</t>
        </is>
      </c>
      <c r="E540" t="inlineStr">
        <is>
          <t>ÖSTHAMMAR</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27347-2025</t>
        </is>
      </c>
      <c r="B541" s="1" t="n">
        <v>45812.62390046296</v>
      </c>
      <c r="C541" s="1" t="n">
        <v>46104</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27392-2025</t>
        </is>
      </c>
      <c r="B542" s="1" t="n">
        <v>45812.68268518519</v>
      </c>
      <c r="C542" s="1" t="n">
        <v>46104</v>
      </c>
      <c r="D542" t="inlineStr">
        <is>
          <t>UPPSALA LÄN</t>
        </is>
      </c>
      <c r="E542" t="inlineStr">
        <is>
          <t>ÖSTHAMMAR</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46104</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46104</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27352-2025</t>
        </is>
      </c>
      <c r="B545" s="1" t="n">
        <v>45812.62694444445</v>
      </c>
      <c r="C545" s="1" t="n">
        <v>46104</v>
      </c>
      <c r="D545" t="inlineStr">
        <is>
          <t>UPPSALA LÄN</t>
        </is>
      </c>
      <c r="E545" t="inlineStr">
        <is>
          <t>ÖSTHAMMAR</t>
        </is>
      </c>
      <c r="G545" t="n">
        <v>2.5</v>
      </c>
      <c r="H545" t="n">
        <v>0</v>
      </c>
      <c r="I545" t="n">
        <v>0</v>
      </c>
      <c r="J545" t="n">
        <v>0</v>
      </c>
      <c r="K545" t="n">
        <v>0</v>
      </c>
      <c r="L545" t="n">
        <v>0</v>
      </c>
      <c r="M545" t="n">
        <v>0</v>
      </c>
      <c r="N545" t="n">
        <v>0</v>
      </c>
      <c r="O545" t="n">
        <v>0</v>
      </c>
      <c r="P545" t="n">
        <v>0</v>
      </c>
      <c r="Q545" t="n">
        <v>0</v>
      </c>
      <c r="R545" s="2" t="inlineStr"/>
    </row>
    <row r="546" ht="15" customHeight="1">
      <c r="A546" t="inlineStr">
        <is>
          <t>A 27350-2025</t>
        </is>
      </c>
      <c r="B546" s="1" t="n">
        <v>45812.62571759259</v>
      </c>
      <c r="C546" s="1" t="n">
        <v>46104</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18731-2022</t>
        </is>
      </c>
      <c r="B547" s="1" t="n">
        <v>44687.78673611111</v>
      </c>
      <c r="C547" s="1" t="n">
        <v>46104</v>
      </c>
      <c r="D547" t="inlineStr">
        <is>
          <t>UPPSALA LÄN</t>
        </is>
      </c>
      <c r="E547" t="inlineStr">
        <is>
          <t>ÖSTHAMMAR</t>
        </is>
      </c>
      <c r="G547" t="n">
        <v>4.9</v>
      </c>
      <c r="H547" t="n">
        <v>0</v>
      </c>
      <c r="I547" t="n">
        <v>0</v>
      </c>
      <c r="J547" t="n">
        <v>0</v>
      </c>
      <c r="K547" t="n">
        <v>0</v>
      </c>
      <c r="L547" t="n">
        <v>0</v>
      </c>
      <c r="M547" t="n">
        <v>0</v>
      </c>
      <c r="N547" t="n">
        <v>0</v>
      </c>
      <c r="O547" t="n">
        <v>0</v>
      </c>
      <c r="P547" t="n">
        <v>0</v>
      </c>
      <c r="Q547" t="n">
        <v>0</v>
      </c>
      <c r="R547" s="2" t="inlineStr"/>
    </row>
    <row r="548" ht="15" customHeight="1">
      <c r="A548" t="inlineStr">
        <is>
          <t>A 12589-2026</t>
        </is>
      </c>
      <c r="B548" s="1" t="n">
        <v>46090</v>
      </c>
      <c r="C548" s="1" t="n">
        <v>46104</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14030-2026</t>
        </is>
      </c>
      <c r="B549" s="1" t="n">
        <v>46098.77094907407</v>
      </c>
      <c r="C549" s="1" t="n">
        <v>46104</v>
      </c>
      <c r="D549" t="inlineStr">
        <is>
          <t>UPPSALA LÄN</t>
        </is>
      </c>
      <c r="E549" t="inlineStr">
        <is>
          <t>ÖSTHAMMAR</t>
        </is>
      </c>
      <c r="F549" t="inlineStr">
        <is>
          <t>Bergvik skog öst AB</t>
        </is>
      </c>
      <c r="G549" t="n">
        <v>8.4</v>
      </c>
      <c r="H549" t="n">
        <v>0</v>
      </c>
      <c r="I549" t="n">
        <v>0</v>
      </c>
      <c r="J549" t="n">
        <v>0</v>
      </c>
      <c r="K549" t="n">
        <v>0</v>
      </c>
      <c r="L549" t="n">
        <v>0</v>
      </c>
      <c r="M549" t="n">
        <v>0</v>
      </c>
      <c r="N549" t="n">
        <v>0</v>
      </c>
      <c r="O549" t="n">
        <v>0</v>
      </c>
      <c r="P549" t="n">
        <v>0</v>
      </c>
      <c r="Q549" t="n">
        <v>0</v>
      </c>
      <c r="R549" s="2" t="inlineStr"/>
    </row>
    <row r="550" ht="15" customHeight="1">
      <c r="A550" t="inlineStr">
        <is>
          <t>A 11385-2024</t>
        </is>
      </c>
      <c r="B550" s="1" t="n">
        <v>45372</v>
      </c>
      <c r="C550" s="1" t="n">
        <v>46104</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9642-2024</t>
        </is>
      </c>
      <c r="B551" s="1" t="n">
        <v>45362.36296296296</v>
      </c>
      <c r="C551" s="1" t="n">
        <v>46104</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27383-2025</t>
        </is>
      </c>
      <c r="B552" s="1" t="n">
        <v>45812.66628472223</v>
      </c>
      <c r="C552" s="1" t="n">
        <v>46104</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27385-2025</t>
        </is>
      </c>
      <c r="B553" s="1" t="n">
        <v>45812.66829861111</v>
      </c>
      <c r="C553" s="1" t="n">
        <v>46104</v>
      </c>
      <c r="D553" t="inlineStr">
        <is>
          <t>UPPSALA LÄN</t>
        </is>
      </c>
      <c r="E553" t="inlineStr">
        <is>
          <t>ÖSTHAMMAR</t>
        </is>
      </c>
      <c r="G553" t="n">
        <v>0.6</v>
      </c>
      <c r="H553" t="n">
        <v>0</v>
      </c>
      <c r="I553" t="n">
        <v>0</v>
      </c>
      <c r="J553" t="n">
        <v>0</v>
      </c>
      <c r="K553" t="n">
        <v>0</v>
      </c>
      <c r="L553" t="n">
        <v>0</v>
      </c>
      <c r="M553" t="n">
        <v>0</v>
      </c>
      <c r="N553" t="n">
        <v>0</v>
      </c>
      <c r="O553" t="n">
        <v>0</v>
      </c>
      <c r="P553" t="n">
        <v>0</v>
      </c>
      <c r="Q553" t="n">
        <v>0</v>
      </c>
      <c r="R553" s="2" t="inlineStr"/>
    </row>
    <row r="554" ht="15" customHeight="1">
      <c r="A554" t="inlineStr">
        <is>
          <t>A 27395-2025</t>
        </is>
      </c>
      <c r="B554" s="1" t="n">
        <v>45812.6850462963</v>
      </c>
      <c r="C554" s="1" t="n">
        <v>46104</v>
      </c>
      <c r="D554" t="inlineStr">
        <is>
          <t>UPPSALA LÄN</t>
        </is>
      </c>
      <c r="E554" t="inlineStr">
        <is>
          <t>ÖSTHAMMAR</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6712-2026</t>
        </is>
      </c>
      <c r="B555" s="1" t="n">
        <v>46056.65564814815</v>
      </c>
      <c r="C555" s="1" t="n">
        <v>46104</v>
      </c>
      <c r="D555" t="inlineStr">
        <is>
          <t>UPPSALA LÄN</t>
        </is>
      </c>
      <c r="E555" t="inlineStr">
        <is>
          <t>ÖSTHAMMAR</t>
        </is>
      </c>
      <c r="F555" t="inlineStr">
        <is>
          <t>Bergvik skog öst AB</t>
        </is>
      </c>
      <c r="G555" t="n">
        <v>5</v>
      </c>
      <c r="H555" t="n">
        <v>0</v>
      </c>
      <c r="I555" t="n">
        <v>0</v>
      </c>
      <c r="J555" t="n">
        <v>0</v>
      </c>
      <c r="K555" t="n">
        <v>0</v>
      </c>
      <c r="L555" t="n">
        <v>0</v>
      </c>
      <c r="M555" t="n">
        <v>0</v>
      </c>
      <c r="N555" t="n">
        <v>0</v>
      </c>
      <c r="O555" t="n">
        <v>0</v>
      </c>
      <c r="P555" t="n">
        <v>0</v>
      </c>
      <c r="Q555" t="n">
        <v>0</v>
      </c>
      <c r="R555" s="2" t="inlineStr"/>
    </row>
    <row r="556" ht="15" customHeight="1">
      <c r="A556" t="inlineStr">
        <is>
          <t>A 6511-2026</t>
        </is>
      </c>
      <c r="B556" s="1" t="n">
        <v>46056.38925925926</v>
      </c>
      <c r="C556" s="1" t="n">
        <v>46104</v>
      </c>
      <c r="D556" t="inlineStr">
        <is>
          <t>UPPSALA LÄN</t>
        </is>
      </c>
      <c r="E556" t="inlineStr">
        <is>
          <t>ÖSTHAMMAR</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27563-2025</t>
        </is>
      </c>
      <c r="B557" s="1" t="n">
        <v>45813.48471064815</v>
      </c>
      <c r="C557" s="1" t="n">
        <v>46104</v>
      </c>
      <c r="D557" t="inlineStr">
        <is>
          <t>UPPSALA LÄN</t>
        </is>
      </c>
      <c r="E557" t="inlineStr">
        <is>
          <t>ÖSTHAMMAR</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13701-2026</t>
        </is>
      </c>
      <c r="B558" s="1" t="n">
        <v>46097</v>
      </c>
      <c r="C558" s="1" t="n">
        <v>46104</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14006-2026</t>
        </is>
      </c>
      <c r="B559" s="1" t="n">
        <v>46098.65136574074</v>
      </c>
      <c r="C559" s="1" t="n">
        <v>46104</v>
      </c>
      <c r="D559" t="inlineStr">
        <is>
          <t>UPPSALA LÄN</t>
        </is>
      </c>
      <c r="E559" t="inlineStr">
        <is>
          <t>ÖSTHAMMAR</t>
        </is>
      </c>
      <c r="G559" t="n">
        <v>2</v>
      </c>
      <c r="H559" t="n">
        <v>0</v>
      </c>
      <c r="I559" t="n">
        <v>0</v>
      </c>
      <c r="J559" t="n">
        <v>0</v>
      </c>
      <c r="K559" t="n">
        <v>0</v>
      </c>
      <c r="L559" t="n">
        <v>0</v>
      </c>
      <c r="M559" t="n">
        <v>0</v>
      </c>
      <c r="N559" t="n">
        <v>0</v>
      </c>
      <c r="O559" t="n">
        <v>0</v>
      </c>
      <c r="P559" t="n">
        <v>0</v>
      </c>
      <c r="Q559" t="n">
        <v>0</v>
      </c>
      <c r="R559" s="2" t="inlineStr"/>
    </row>
    <row r="560" ht="15" customHeight="1">
      <c r="A560" t="inlineStr">
        <is>
          <t>A 14007-2026</t>
        </is>
      </c>
      <c r="B560" s="1" t="n">
        <v>46098.65329861111</v>
      </c>
      <c r="C560" s="1" t="n">
        <v>46104</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6517-2026</t>
        </is>
      </c>
      <c r="B561" s="1" t="n">
        <v>46056.39921296296</v>
      </c>
      <c r="C561" s="1" t="n">
        <v>46104</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18401-2025</t>
        </is>
      </c>
      <c r="B562" s="1" t="n">
        <v>45762.5966087963</v>
      </c>
      <c r="C562" s="1" t="n">
        <v>46104</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6884-2026</t>
        </is>
      </c>
      <c r="B563" s="1" t="n">
        <v>46057.46614583334</v>
      </c>
      <c r="C563" s="1" t="n">
        <v>46104</v>
      </c>
      <c r="D563" t="inlineStr">
        <is>
          <t>UPPSALA LÄN</t>
        </is>
      </c>
      <c r="E563" t="inlineStr">
        <is>
          <t>ÖSTHAMMAR</t>
        </is>
      </c>
      <c r="G563" t="n">
        <v>4.1</v>
      </c>
      <c r="H563" t="n">
        <v>0</v>
      </c>
      <c r="I563" t="n">
        <v>0</v>
      </c>
      <c r="J563" t="n">
        <v>0</v>
      </c>
      <c r="K563" t="n">
        <v>0</v>
      </c>
      <c r="L563" t="n">
        <v>0</v>
      </c>
      <c r="M563" t="n">
        <v>0</v>
      </c>
      <c r="N563" t="n">
        <v>0</v>
      </c>
      <c r="O563" t="n">
        <v>0</v>
      </c>
      <c r="P563" t="n">
        <v>0</v>
      </c>
      <c r="Q563" t="n">
        <v>0</v>
      </c>
      <c r="R563" s="2" t="inlineStr"/>
    </row>
    <row r="564" ht="15" customHeight="1">
      <c r="A564" t="inlineStr">
        <is>
          <t>A 6635-2026</t>
        </is>
      </c>
      <c r="B564" s="1" t="n">
        <v>46056.52885416667</v>
      </c>
      <c r="C564" s="1" t="n">
        <v>46104</v>
      </c>
      <c r="D564" t="inlineStr">
        <is>
          <t>UPPSALA LÄN</t>
        </is>
      </c>
      <c r="E564" t="inlineStr">
        <is>
          <t>ÖSTHAMMAR</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6522-2026</t>
        </is>
      </c>
      <c r="B565" s="1" t="n">
        <v>46056.4025</v>
      </c>
      <c r="C565" s="1" t="n">
        <v>46104</v>
      </c>
      <c r="D565" t="inlineStr">
        <is>
          <t>UPPSALA LÄN</t>
        </is>
      </c>
      <c r="E565" t="inlineStr">
        <is>
          <t>ÖSTHAMMAR</t>
        </is>
      </c>
      <c r="F565" t="inlineStr">
        <is>
          <t>Bergvik skog öst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27919-2025</t>
        </is>
      </c>
      <c r="B566" s="1" t="n">
        <v>45817.48384259259</v>
      </c>
      <c r="C566" s="1" t="n">
        <v>46104</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28429-2023</t>
        </is>
      </c>
      <c r="B567" s="1" t="n">
        <v>45102.58728009259</v>
      </c>
      <c r="C567" s="1" t="n">
        <v>46104</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14031-2026</t>
        </is>
      </c>
      <c r="B568" s="1" t="n">
        <v>46098.77274305555</v>
      </c>
      <c r="C568" s="1" t="n">
        <v>46104</v>
      </c>
      <c r="D568" t="inlineStr">
        <is>
          <t>UPPSALA LÄN</t>
        </is>
      </c>
      <c r="E568" t="inlineStr">
        <is>
          <t>ÖSTHAMMAR</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6762-2026</t>
        </is>
      </c>
      <c r="B569" s="1" t="n">
        <v>46056.85776620371</v>
      </c>
      <c r="C569" s="1" t="n">
        <v>46104</v>
      </c>
      <c r="D569" t="inlineStr">
        <is>
          <t>UPPSALA LÄN</t>
        </is>
      </c>
      <c r="E569" t="inlineStr">
        <is>
          <t>ÖSTHAMMAR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27853-2025</t>
        </is>
      </c>
      <c r="B570" s="1" t="n">
        <v>45817.40178240741</v>
      </c>
      <c r="C570" s="1" t="n">
        <v>46104</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46104</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30755-2024</t>
        </is>
      </c>
      <c r="B572" s="1" t="n">
        <v>45496</v>
      </c>
      <c r="C572" s="1" t="n">
        <v>46104</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27812-2025</t>
        </is>
      </c>
      <c r="B573" s="1" t="n">
        <v>45817.32150462963</v>
      </c>
      <c r="C573" s="1" t="n">
        <v>46104</v>
      </c>
      <c r="D573" t="inlineStr">
        <is>
          <t>UPPSALA LÄN</t>
        </is>
      </c>
      <c r="E573" t="inlineStr">
        <is>
          <t>ÖSTHAMMAR</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14378-2026</t>
        </is>
      </c>
      <c r="B574" s="1" t="n">
        <v>46100.37180555556</v>
      </c>
      <c r="C574" s="1" t="n">
        <v>46104</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27920-2025</t>
        </is>
      </c>
      <c r="B575" s="1" t="n">
        <v>45817.48454861111</v>
      </c>
      <c r="C575" s="1" t="n">
        <v>46104</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4562-2022</t>
        </is>
      </c>
      <c r="B576" s="1" t="n">
        <v>44591</v>
      </c>
      <c r="C576" s="1" t="n">
        <v>46104</v>
      </c>
      <c r="D576" t="inlineStr">
        <is>
          <t>UPPSALA LÄN</t>
        </is>
      </c>
      <c r="E576" t="inlineStr">
        <is>
          <t>ÖSTHAMMAR</t>
        </is>
      </c>
      <c r="G576" t="n">
        <v>3.4</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46104</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27509-2025</t>
        </is>
      </c>
      <c r="B578" s="1" t="n">
        <v>45813.4278125</v>
      </c>
      <c r="C578" s="1" t="n">
        <v>46104</v>
      </c>
      <c r="D578" t="inlineStr">
        <is>
          <t>UPPSALA LÄN</t>
        </is>
      </c>
      <c r="E578" t="inlineStr">
        <is>
          <t>ÖSTHAMMAR</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53733-2023</t>
        </is>
      </c>
      <c r="B579" s="1" t="n">
        <v>45230.76862268519</v>
      </c>
      <c r="C579" s="1" t="n">
        <v>46104</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41308-2023</t>
        </is>
      </c>
      <c r="B580" s="1" t="n">
        <v>45174.62788194444</v>
      </c>
      <c r="C580" s="1" t="n">
        <v>46104</v>
      </c>
      <c r="D580" t="inlineStr">
        <is>
          <t>UPPSALA LÄN</t>
        </is>
      </c>
      <c r="E580" t="inlineStr">
        <is>
          <t>ÖSTHAMMAR</t>
        </is>
      </c>
      <c r="F580" t="inlineStr">
        <is>
          <t>Övriga Aktiebolag</t>
        </is>
      </c>
      <c r="G580" t="n">
        <v>2.8</v>
      </c>
      <c r="H580" t="n">
        <v>0</v>
      </c>
      <c r="I580" t="n">
        <v>0</v>
      </c>
      <c r="J580" t="n">
        <v>0</v>
      </c>
      <c r="K580" t="n">
        <v>0</v>
      </c>
      <c r="L580" t="n">
        <v>0</v>
      </c>
      <c r="M580" t="n">
        <v>0</v>
      </c>
      <c r="N580" t="n">
        <v>0</v>
      </c>
      <c r="O580" t="n">
        <v>0</v>
      </c>
      <c r="P580" t="n">
        <v>0</v>
      </c>
      <c r="Q580" t="n">
        <v>0</v>
      </c>
      <c r="R580" s="2" t="inlineStr"/>
    </row>
    <row r="581" ht="15" customHeight="1">
      <c r="A581" t="inlineStr">
        <is>
          <t>A 28442-2025</t>
        </is>
      </c>
      <c r="B581" s="1" t="n">
        <v>45819</v>
      </c>
      <c r="C581" s="1" t="n">
        <v>46104</v>
      </c>
      <c r="D581" t="inlineStr">
        <is>
          <t>UPPSALA LÄN</t>
        </is>
      </c>
      <c r="E581" t="inlineStr">
        <is>
          <t>ÖSTHAMMAR</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17969-2023</t>
        </is>
      </c>
      <c r="B582" s="1" t="n">
        <v>45040.47081018519</v>
      </c>
      <c r="C582" s="1" t="n">
        <v>46104</v>
      </c>
      <c r="D582" t="inlineStr">
        <is>
          <t>UPPSALA LÄN</t>
        </is>
      </c>
      <c r="E582" t="inlineStr">
        <is>
          <t>ÖSTHAMMAR</t>
        </is>
      </c>
      <c r="G582" t="n">
        <v>5.4</v>
      </c>
      <c r="H582" t="n">
        <v>0</v>
      </c>
      <c r="I582" t="n">
        <v>0</v>
      </c>
      <c r="J582" t="n">
        <v>0</v>
      </c>
      <c r="K582" t="n">
        <v>0</v>
      </c>
      <c r="L582" t="n">
        <v>0</v>
      </c>
      <c r="M582" t="n">
        <v>0</v>
      </c>
      <c r="N582" t="n">
        <v>0</v>
      </c>
      <c r="O582" t="n">
        <v>0</v>
      </c>
      <c r="P582" t="n">
        <v>0</v>
      </c>
      <c r="Q582" t="n">
        <v>0</v>
      </c>
      <c r="R582" s="2" t="inlineStr"/>
    </row>
    <row r="583" ht="15" customHeight="1">
      <c r="A583" t="inlineStr">
        <is>
          <t>A 7241-2026</t>
        </is>
      </c>
      <c r="B583" s="1" t="n">
        <v>46058.58392361111</v>
      </c>
      <c r="C583" s="1" t="n">
        <v>46104</v>
      </c>
      <c r="D583" t="inlineStr">
        <is>
          <t>UPPSALA LÄN</t>
        </is>
      </c>
      <c r="E583" t="inlineStr">
        <is>
          <t>ÖSTHAMMAR</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7262-2026</t>
        </is>
      </c>
      <c r="B584" s="1" t="n">
        <v>46058.6049537037</v>
      </c>
      <c r="C584" s="1" t="n">
        <v>46104</v>
      </c>
      <c r="D584" t="inlineStr">
        <is>
          <t>UPPSALA LÄN</t>
        </is>
      </c>
      <c r="E584" t="inlineStr">
        <is>
          <t>ÖSTHAMMAR</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25969-2023</t>
        </is>
      </c>
      <c r="B585" s="1" t="n">
        <v>45090</v>
      </c>
      <c r="C585" s="1" t="n">
        <v>46104</v>
      </c>
      <c r="D585" t="inlineStr">
        <is>
          <t>UPPSALA LÄN</t>
        </is>
      </c>
      <c r="E585" t="inlineStr">
        <is>
          <t>ÖSTHAMMAR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50998-2023</t>
        </is>
      </c>
      <c r="B586" s="1" t="n">
        <v>45218.5586574074</v>
      </c>
      <c r="C586" s="1" t="n">
        <v>46104</v>
      </c>
      <c r="D586" t="inlineStr">
        <is>
          <t>UPPSALA LÄN</t>
        </is>
      </c>
      <c r="E586" t="inlineStr">
        <is>
          <t>ÖSTHAMMAR</t>
        </is>
      </c>
      <c r="G586" t="n">
        <v>3.6</v>
      </c>
      <c r="H586" t="n">
        <v>0</v>
      </c>
      <c r="I586" t="n">
        <v>0</v>
      </c>
      <c r="J586" t="n">
        <v>0</v>
      </c>
      <c r="K586" t="n">
        <v>0</v>
      </c>
      <c r="L586" t="n">
        <v>0</v>
      </c>
      <c r="M586" t="n">
        <v>0</v>
      </c>
      <c r="N586" t="n">
        <v>0</v>
      </c>
      <c r="O586" t="n">
        <v>0</v>
      </c>
      <c r="P586" t="n">
        <v>0</v>
      </c>
      <c r="Q586" t="n">
        <v>0</v>
      </c>
      <c r="R586" s="2" t="inlineStr"/>
    </row>
    <row r="587" ht="15" customHeight="1">
      <c r="A587" t="inlineStr">
        <is>
          <t>A 55837-2023</t>
        </is>
      </c>
      <c r="B587" s="1" t="n">
        <v>45239</v>
      </c>
      <c r="C587" s="1" t="n">
        <v>46104</v>
      </c>
      <c r="D587" t="inlineStr">
        <is>
          <t>UPPSALA LÄN</t>
        </is>
      </c>
      <c r="E587" t="inlineStr">
        <is>
          <t>ÖSTHAMMAR</t>
        </is>
      </c>
      <c r="G587" t="n">
        <v>0.5</v>
      </c>
      <c r="H587" t="n">
        <v>0</v>
      </c>
      <c r="I587" t="n">
        <v>0</v>
      </c>
      <c r="J587" t="n">
        <v>0</v>
      </c>
      <c r="K587" t="n">
        <v>0</v>
      </c>
      <c r="L587" t="n">
        <v>0</v>
      </c>
      <c r="M587" t="n">
        <v>0</v>
      </c>
      <c r="N587" t="n">
        <v>0</v>
      </c>
      <c r="O587" t="n">
        <v>0</v>
      </c>
      <c r="P587" t="n">
        <v>0</v>
      </c>
      <c r="Q587" t="n">
        <v>0</v>
      </c>
      <c r="R587" s="2" t="inlineStr"/>
    </row>
    <row r="588" ht="15" customHeight="1">
      <c r="A588" t="inlineStr">
        <is>
          <t>A 18838-2023</t>
        </is>
      </c>
      <c r="B588" s="1" t="n">
        <v>45044</v>
      </c>
      <c r="C588" s="1" t="n">
        <v>46104</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59382-2022</t>
        </is>
      </c>
      <c r="B589" s="1" t="n">
        <v>44905.50363425926</v>
      </c>
      <c r="C589" s="1" t="n">
        <v>46104</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14618-2026</t>
        </is>
      </c>
      <c r="B590" s="1" t="n">
        <v>46101.38355324074</v>
      </c>
      <c r="C590" s="1" t="n">
        <v>46104</v>
      </c>
      <c r="D590" t="inlineStr">
        <is>
          <t>UPPSALA LÄN</t>
        </is>
      </c>
      <c r="E590" t="inlineStr">
        <is>
          <t>ÖSTHAMMAR</t>
        </is>
      </c>
      <c r="F590" t="inlineStr">
        <is>
          <t>Övriga Aktiebolag</t>
        </is>
      </c>
      <c r="G590" t="n">
        <v>2</v>
      </c>
      <c r="H590" t="n">
        <v>0</v>
      </c>
      <c r="I590" t="n">
        <v>0</v>
      </c>
      <c r="J590" t="n">
        <v>0</v>
      </c>
      <c r="K590" t="n">
        <v>0</v>
      </c>
      <c r="L590" t="n">
        <v>0</v>
      </c>
      <c r="M590" t="n">
        <v>0</v>
      </c>
      <c r="N590" t="n">
        <v>0</v>
      </c>
      <c r="O590" t="n">
        <v>0</v>
      </c>
      <c r="P590" t="n">
        <v>0</v>
      </c>
      <c r="Q590" t="n">
        <v>0</v>
      </c>
      <c r="R590" s="2" t="inlineStr"/>
    </row>
    <row r="591" ht="15" customHeight="1">
      <c r="A591" t="inlineStr">
        <is>
          <t>A 23728-2025</t>
        </is>
      </c>
      <c r="B591" s="1" t="n">
        <v>45793.41719907407</v>
      </c>
      <c r="C591" s="1" t="n">
        <v>46104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28745-2025</t>
        </is>
      </c>
      <c r="B592" s="1" t="n">
        <v>45820.39076388889</v>
      </c>
      <c r="C592" s="1" t="n">
        <v>46104</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28748-2025</t>
        </is>
      </c>
      <c r="B593" s="1" t="n">
        <v>45820.39540509259</v>
      </c>
      <c r="C593" s="1" t="n">
        <v>46104</v>
      </c>
      <c r="D593" t="inlineStr">
        <is>
          <t>UPPSALA LÄN</t>
        </is>
      </c>
      <c r="E593" t="inlineStr">
        <is>
          <t>ÖSTHAMMAR</t>
        </is>
      </c>
      <c r="G593" t="n">
        <v>2</v>
      </c>
      <c r="H593" t="n">
        <v>0</v>
      </c>
      <c r="I593" t="n">
        <v>0</v>
      </c>
      <c r="J593" t="n">
        <v>0</v>
      </c>
      <c r="K593" t="n">
        <v>0</v>
      </c>
      <c r="L593" t="n">
        <v>0</v>
      </c>
      <c r="M593" t="n">
        <v>0</v>
      </c>
      <c r="N593" t="n">
        <v>0</v>
      </c>
      <c r="O593" t="n">
        <v>0</v>
      </c>
      <c r="P593" t="n">
        <v>0</v>
      </c>
      <c r="Q593" t="n">
        <v>0</v>
      </c>
      <c r="R593" s="2" t="inlineStr"/>
    </row>
    <row r="594" ht="15" customHeight="1">
      <c r="A594" t="inlineStr">
        <is>
          <t>A 17085-2025</t>
        </is>
      </c>
      <c r="B594" s="1" t="n">
        <v>45755.64612268518</v>
      </c>
      <c r="C594" s="1" t="n">
        <v>46104</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29024-2025</t>
        </is>
      </c>
      <c r="B595" s="1" t="n">
        <v>45821.43233796296</v>
      </c>
      <c r="C595" s="1" t="n">
        <v>46104</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29031-2025</t>
        </is>
      </c>
      <c r="B596" s="1" t="n">
        <v>45821.44159722222</v>
      </c>
      <c r="C596" s="1" t="n">
        <v>46104</v>
      </c>
      <c r="D596" t="inlineStr">
        <is>
          <t>UPPSALA LÄN</t>
        </is>
      </c>
      <c r="E596" t="inlineStr">
        <is>
          <t>ÖSTHAMMAR</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28739-2025</t>
        </is>
      </c>
      <c r="B597" s="1" t="n">
        <v>45820</v>
      </c>
      <c r="C597" s="1" t="n">
        <v>46104</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29231-2024</t>
        </is>
      </c>
      <c r="B598" s="1" t="n">
        <v>45482</v>
      </c>
      <c r="C598" s="1" t="n">
        <v>46104</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29028-2025</t>
        </is>
      </c>
      <c r="B599" s="1" t="n">
        <v>45821.4384375</v>
      </c>
      <c r="C599" s="1" t="n">
        <v>46104</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46104</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44184-2024</t>
        </is>
      </c>
      <c r="B601" s="1" t="n">
        <v>45572</v>
      </c>
      <c r="C601" s="1" t="n">
        <v>46104</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27494-2025</t>
        </is>
      </c>
      <c r="B602" s="1" t="n">
        <v>45813.39756944445</v>
      </c>
      <c r="C602" s="1" t="n">
        <v>46104</v>
      </c>
      <c r="D602" t="inlineStr">
        <is>
          <t>UPPSALA LÄN</t>
        </is>
      </c>
      <c r="E602" t="inlineStr">
        <is>
          <t>ÖSTHAMMAR</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29384-2025</t>
        </is>
      </c>
      <c r="B603" s="1" t="n">
        <v>45824</v>
      </c>
      <c r="C603" s="1" t="n">
        <v>46104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27490-2025</t>
        </is>
      </c>
      <c r="B604" s="1" t="n">
        <v>45813.39273148148</v>
      </c>
      <c r="C604" s="1" t="n">
        <v>46104</v>
      </c>
      <c r="D604" t="inlineStr">
        <is>
          <t>UPPSALA LÄN</t>
        </is>
      </c>
      <c r="E604" t="inlineStr">
        <is>
          <t>ÖSTHAMMAR</t>
        </is>
      </c>
      <c r="F604" t="inlineStr">
        <is>
          <t>Bergvik skog öst AB</t>
        </is>
      </c>
      <c r="G604" t="n">
        <v>6.1</v>
      </c>
      <c r="H604" t="n">
        <v>0</v>
      </c>
      <c r="I604" t="n">
        <v>0</v>
      </c>
      <c r="J604" t="n">
        <v>0</v>
      </c>
      <c r="K604" t="n">
        <v>0</v>
      </c>
      <c r="L604" t="n">
        <v>0</v>
      </c>
      <c r="M604" t="n">
        <v>0</v>
      </c>
      <c r="N604" t="n">
        <v>0</v>
      </c>
      <c r="O604" t="n">
        <v>0</v>
      </c>
      <c r="P604" t="n">
        <v>0</v>
      </c>
      <c r="Q604" t="n">
        <v>0</v>
      </c>
      <c r="R604" s="2" t="inlineStr"/>
    </row>
    <row r="605" ht="15" customHeight="1">
      <c r="A605" t="inlineStr">
        <is>
          <t>A 29775-2025</t>
        </is>
      </c>
      <c r="B605" s="1" t="n">
        <v>45825.63803240741</v>
      </c>
      <c r="C605" s="1" t="n">
        <v>46104</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27486-2025</t>
        </is>
      </c>
      <c r="B606" s="1" t="n">
        <v>45813.38521990741</v>
      </c>
      <c r="C606" s="1" t="n">
        <v>46104</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9264-2024</t>
        </is>
      </c>
      <c r="B607" s="1" t="n">
        <v>45358</v>
      </c>
      <c r="C607" s="1" t="n">
        <v>46104</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33784-2024</t>
        </is>
      </c>
      <c r="B608" s="1" t="n">
        <v>45520</v>
      </c>
      <c r="C608" s="1" t="n">
        <v>46104</v>
      </c>
      <c r="D608" t="inlineStr">
        <is>
          <t>UPPSALA LÄN</t>
        </is>
      </c>
      <c r="E608" t="inlineStr">
        <is>
          <t>ÖSTHAMMAR</t>
        </is>
      </c>
      <c r="F608" t="inlineStr">
        <is>
          <t>Naturvårdsverket</t>
        </is>
      </c>
      <c r="G608" t="n">
        <v>0.6</v>
      </c>
      <c r="H608" t="n">
        <v>0</v>
      </c>
      <c r="I608" t="n">
        <v>0</v>
      </c>
      <c r="J608" t="n">
        <v>0</v>
      </c>
      <c r="K608" t="n">
        <v>0</v>
      </c>
      <c r="L608" t="n">
        <v>0</v>
      </c>
      <c r="M608" t="n">
        <v>0</v>
      </c>
      <c r="N608" t="n">
        <v>0</v>
      </c>
      <c r="O608" t="n">
        <v>0</v>
      </c>
      <c r="P608" t="n">
        <v>0</v>
      </c>
      <c r="Q608" t="n">
        <v>0</v>
      </c>
      <c r="R608" s="2" t="inlineStr"/>
    </row>
    <row r="609" ht="15" customHeight="1">
      <c r="A609" t="inlineStr">
        <is>
          <t>A 11643-2022</t>
        </is>
      </c>
      <c r="B609" s="1" t="n">
        <v>44631.92662037037</v>
      </c>
      <c r="C609" s="1" t="n">
        <v>46104</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37865-2023</t>
        </is>
      </c>
      <c r="B610" s="1" t="n">
        <v>45160</v>
      </c>
      <c r="C610" s="1" t="n">
        <v>46104</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30244-2025</t>
        </is>
      </c>
      <c r="B611" s="1" t="n">
        <v>45827.40902777778</v>
      </c>
      <c r="C611" s="1" t="n">
        <v>46104</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34607-2023</t>
        </is>
      </c>
      <c r="B612" s="1" t="n">
        <v>45138</v>
      </c>
      <c r="C612" s="1" t="n">
        <v>46104</v>
      </c>
      <c r="D612" t="inlineStr">
        <is>
          <t>UPPSALA LÄN</t>
        </is>
      </c>
      <c r="E612" t="inlineStr">
        <is>
          <t>ÖSTHAMMAR</t>
        </is>
      </c>
      <c r="G612" t="n">
        <v>4.7</v>
      </c>
      <c r="H612" t="n">
        <v>0</v>
      </c>
      <c r="I612" t="n">
        <v>0</v>
      </c>
      <c r="J612" t="n">
        <v>0</v>
      </c>
      <c r="K612" t="n">
        <v>0</v>
      </c>
      <c r="L612" t="n">
        <v>0</v>
      </c>
      <c r="M612" t="n">
        <v>0</v>
      </c>
      <c r="N612" t="n">
        <v>0</v>
      </c>
      <c r="O612" t="n">
        <v>0</v>
      </c>
      <c r="P612" t="n">
        <v>0</v>
      </c>
      <c r="Q612" t="n">
        <v>0</v>
      </c>
      <c r="R612" s="2" t="inlineStr"/>
    </row>
    <row r="613" ht="15" customHeight="1">
      <c r="A613" t="inlineStr">
        <is>
          <t>A 5215-2025</t>
        </is>
      </c>
      <c r="B613" s="1" t="n">
        <v>45691</v>
      </c>
      <c r="C613" s="1" t="n">
        <v>46104</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46104</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8769-2025</t>
        </is>
      </c>
      <c r="B615" s="1" t="n">
        <v>45712.59412037037</v>
      </c>
      <c r="C615" s="1" t="n">
        <v>46104</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34971-2022</t>
        </is>
      </c>
      <c r="B616" s="1" t="n">
        <v>44796.66613425926</v>
      </c>
      <c r="C616" s="1" t="n">
        <v>46104</v>
      </c>
      <c r="D616" t="inlineStr">
        <is>
          <t>UPPSALA LÄN</t>
        </is>
      </c>
      <c r="E616" t="inlineStr">
        <is>
          <t>ÖSTHAMMAR</t>
        </is>
      </c>
      <c r="F616" t="inlineStr">
        <is>
          <t>Bergvik skog öst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3725-2022</t>
        </is>
      </c>
      <c r="B617" s="1" t="n">
        <v>44586</v>
      </c>
      <c r="C617" s="1" t="n">
        <v>46104</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12812-2024</t>
        </is>
      </c>
      <c r="B618" s="1" t="n">
        <v>45384.65465277778</v>
      </c>
      <c r="C618" s="1" t="n">
        <v>46104</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28170-2023</t>
        </is>
      </c>
      <c r="B619" s="1" t="n">
        <v>45093</v>
      </c>
      <c r="C619" s="1" t="n">
        <v>46104</v>
      </c>
      <c r="D619" t="inlineStr">
        <is>
          <t>UPPSALA LÄN</t>
        </is>
      </c>
      <c r="E619" t="inlineStr">
        <is>
          <t>ÖSTHAMMAR</t>
        </is>
      </c>
      <c r="G619" t="n">
        <v>7.2</v>
      </c>
      <c r="H619" t="n">
        <v>0</v>
      </c>
      <c r="I619" t="n">
        <v>0</v>
      </c>
      <c r="J619" t="n">
        <v>0</v>
      </c>
      <c r="K619" t="n">
        <v>0</v>
      </c>
      <c r="L619" t="n">
        <v>0</v>
      </c>
      <c r="M619" t="n">
        <v>0</v>
      </c>
      <c r="N619" t="n">
        <v>0</v>
      </c>
      <c r="O619" t="n">
        <v>0</v>
      </c>
      <c r="P619" t="n">
        <v>0</v>
      </c>
      <c r="Q619" t="n">
        <v>0</v>
      </c>
      <c r="R619" s="2" t="inlineStr"/>
    </row>
    <row r="620" ht="15" customHeight="1">
      <c r="A620" t="inlineStr">
        <is>
          <t>A 7876-2023</t>
        </is>
      </c>
      <c r="B620" s="1" t="n">
        <v>44973.57263888889</v>
      </c>
      <c r="C620" s="1" t="n">
        <v>46104</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30610-2025</t>
        </is>
      </c>
      <c r="B621" s="1" t="n">
        <v>45831.45965277778</v>
      </c>
      <c r="C621" s="1" t="n">
        <v>46104</v>
      </c>
      <c r="D621" t="inlineStr">
        <is>
          <t>UPPSALA LÄN</t>
        </is>
      </c>
      <c r="E621" t="inlineStr">
        <is>
          <t>ÖSTHAMMAR</t>
        </is>
      </c>
      <c r="G621" t="n">
        <v>0.2</v>
      </c>
      <c r="H621" t="n">
        <v>0</v>
      </c>
      <c r="I621" t="n">
        <v>0</v>
      </c>
      <c r="J621" t="n">
        <v>0</v>
      </c>
      <c r="K621" t="n">
        <v>0</v>
      </c>
      <c r="L621" t="n">
        <v>0</v>
      </c>
      <c r="M621" t="n">
        <v>0</v>
      </c>
      <c r="N621" t="n">
        <v>0</v>
      </c>
      <c r="O621" t="n">
        <v>0</v>
      </c>
      <c r="P621" t="n">
        <v>0</v>
      </c>
      <c r="Q621" t="n">
        <v>0</v>
      </c>
      <c r="R621" s="2" t="inlineStr"/>
    </row>
    <row r="622" ht="15" customHeight="1">
      <c r="A622" t="inlineStr">
        <is>
          <t>A 30504-2025</t>
        </is>
      </c>
      <c r="B622" s="1" t="n">
        <v>45830.8558912037</v>
      </c>
      <c r="C622" s="1" t="n">
        <v>46104</v>
      </c>
      <c r="D622" t="inlineStr">
        <is>
          <t>UPPSALA LÄN</t>
        </is>
      </c>
      <c r="E622" t="inlineStr">
        <is>
          <t>ÖSTHAMMAR</t>
        </is>
      </c>
      <c r="G622" t="n">
        <v>0.6</v>
      </c>
      <c r="H622" t="n">
        <v>0</v>
      </c>
      <c r="I622" t="n">
        <v>0</v>
      </c>
      <c r="J622" t="n">
        <v>0</v>
      </c>
      <c r="K622" t="n">
        <v>0</v>
      </c>
      <c r="L622" t="n">
        <v>0</v>
      </c>
      <c r="M622" t="n">
        <v>0</v>
      </c>
      <c r="N622" t="n">
        <v>0</v>
      </c>
      <c r="O622" t="n">
        <v>0</v>
      </c>
      <c r="P622" t="n">
        <v>0</v>
      </c>
      <c r="Q622" t="n">
        <v>0</v>
      </c>
      <c r="R622" s="2" t="inlineStr"/>
    </row>
    <row r="623" ht="15" customHeight="1">
      <c r="A623" t="inlineStr">
        <is>
          <t>A 30503-2025</t>
        </is>
      </c>
      <c r="B623" s="1" t="n">
        <v>45830.8500462963</v>
      </c>
      <c r="C623" s="1" t="n">
        <v>46104</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14433-2024</t>
        </is>
      </c>
      <c r="B624" s="1" t="n">
        <v>45394.46115740741</v>
      </c>
      <c r="C624" s="1" t="n">
        <v>46104</v>
      </c>
      <c r="D624" t="inlineStr">
        <is>
          <t>UPPSALA LÄN</t>
        </is>
      </c>
      <c r="E624" t="inlineStr">
        <is>
          <t>ÖSTHAMMAR</t>
        </is>
      </c>
      <c r="G624" t="n">
        <v>1.2</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46104</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31579-2025</t>
        </is>
      </c>
      <c r="B626" s="1" t="n">
        <v>45833.68211805556</v>
      </c>
      <c r="C626" s="1" t="n">
        <v>46104</v>
      </c>
      <c r="D626" t="inlineStr">
        <is>
          <t>UPPSALA LÄN</t>
        </is>
      </c>
      <c r="E626" t="inlineStr">
        <is>
          <t>ÖSTHAMMAR</t>
        </is>
      </c>
      <c r="G626" t="n">
        <v>1.5</v>
      </c>
      <c r="H626" t="n">
        <v>0</v>
      </c>
      <c r="I626" t="n">
        <v>0</v>
      </c>
      <c r="J626" t="n">
        <v>0</v>
      </c>
      <c r="K626" t="n">
        <v>0</v>
      </c>
      <c r="L626" t="n">
        <v>0</v>
      </c>
      <c r="M626" t="n">
        <v>0</v>
      </c>
      <c r="N626" t="n">
        <v>0</v>
      </c>
      <c r="O626" t="n">
        <v>0</v>
      </c>
      <c r="P626" t="n">
        <v>0</v>
      </c>
      <c r="Q626" t="n">
        <v>0</v>
      </c>
      <c r="R626" s="2" t="inlineStr"/>
    </row>
    <row r="627" ht="15" customHeight="1">
      <c r="A627" t="inlineStr">
        <is>
          <t>A 20038-2023</t>
        </is>
      </c>
      <c r="B627" s="1" t="n">
        <v>45054.65834490741</v>
      </c>
      <c r="C627" s="1" t="n">
        <v>46104</v>
      </c>
      <c r="D627" t="inlineStr">
        <is>
          <t>UPPSALA LÄN</t>
        </is>
      </c>
      <c r="E627" t="inlineStr">
        <is>
          <t>ÖSTHAMMAR</t>
        </is>
      </c>
      <c r="G627" t="n">
        <v>0.4</v>
      </c>
      <c r="H627" t="n">
        <v>0</v>
      </c>
      <c r="I627" t="n">
        <v>0</v>
      </c>
      <c r="J627" t="n">
        <v>0</v>
      </c>
      <c r="K627" t="n">
        <v>0</v>
      </c>
      <c r="L627" t="n">
        <v>0</v>
      </c>
      <c r="M627" t="n">
        <v>0</v>
      </c>
      <c r="N627" t="n">
        <v>0</v>
      </c>
      <c r="O627" t="n">
        <v>0</v>
      </c>
      <c r="P627" t="n">
        <v>0</v>
      </c>
      <c r="Q627" t="n">
        <v>0</v>
      </c>
      <c r="R627" s="2" t="inlineStr"/>
    </row>
    <row r="628" ht="15" customHeight="1">
      <c r="A628" t="inlineStr">
        <is>
          <t>A 31360-2025</t>
        </is>
      </c>
      <c r="B628" s="1" t="n">
        <v>45833.43527777777</v>
      </c>
      <c r="C628" s="1" t="n">
        <v>46104</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15031-2025</t>
        </is>
      </c>
      <c r="B629" s="1" t="n">
        <v>45743.67333333333</v>
      </c>
      <c r="C629" s="1" t="n">
        <v>46104</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13738-2023</t>
        </is>
      </c>
      <c r="B630" s="1" t="n">
        <v>45007.37081018519</v>
      </c>
      <c r="C630" s="1" t="n">
        <v>46104</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43439-2024</t>
        </is>
      </c>
      <c r="B631" s="1" t="n">
        <v>45568</v>
      </c>
      <c r="C631" s="1" t="n">
        <v>46104</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10290-2025</t>
        </is>
      </c>
      <c r="B632" s="1" t="n">
        <v>45720.41847222222</v>
      </c>
      <c r="C632" s="1" t="n">
        <v>46104</v>
      </c>
      <c r="D632" t="inlineStr">
        <is>
          <t>UPPSALA LÄN</t>
        </is>
      </c>
      <c r="E632" t="inlineStr">
        <is>
          <t>ÖSTHAMMAR</t>
        </is>
      </c>
      <c r="G632" t="n">
        <v>8.6</v>
      </c>
      <c r="H632" t="n">
        <v>0</v>
      </c>
      <c r="I632" t="n">
        <v>0</v>
      </c>
      <c r="J632" t="n">
        <v>0</v>
      </c>
      <c r="K632" t="n">
        <v>0</v>
      </c>
      <c r="L632" t="n">
        <v>0</v>
      </c>
      <c r="M632" t="n">
        <v>0</v>
      </c>
      <c r="N632" t="n">
        <v>0</v>
      </c>
      <c r="O632" t="n">
        <v>0</v>
      </c>
      <c r="P632" t="n">
        <v>0</v>
      </c>
      <c r="Q632" t="n">
        <v>0</v>
      </c>
      <c r="R632" s="2" t="inlineStr"/>
    </row>
    <row r="633" ht="15" customHeight="1">
      <c r="A633" t="inlineStr">
        <is>
          <t>A 31956-2025</t>
        </is>
      </c>
      <c r="B633" s="1" t="n">
        <v>45835.34184027778</v>
      </c>
      <c r="C633" s="1" t="n">
        <v>46104</v>
      </c>
      <c r="D633" t="inlineStr">
        <is>
          <t>UPPSALA LÄN</t>
        </is>
      </c>
      <c r="E633" t="inlineStr">
        <is>
          <t>ÖSTHAMMAR</t>
        </is>
      </c>
      <c r="F633" t="inlineStr">
        <is>
          <t>Övriga Aktiebolag</t>
        </is>
      </c>
      <c r="G633" t="n">
        <v>4.2</v>
      </c>
      <c r="H633" t="n">
        <v>0</v>
      </c>
      <c r="I633" t="n">
        <v>0</v>
      </c>
      <c r="J633" t="n">
        <v>0</v>
      </c>
      <c r="K633" t="n">
        <v>0</v>
      </c>
      <c r="L633" t="n">
        <v>0</v>
      </c>
      <c r="M633" t="n">
        <v>0</v>
      </c>
      <c r="N633" t="n">
        <v>0</v>
      </c>
      <c r="O633" t="n">
        <v>0</v>
      </c>
      <c r="P633" t="n">
        <v>0</v>
      </c>
      <c r="Q633" t="n">
        <v>0</v>
      </c>
      <c r="R633" s="2" t="inlineStr"/>
    </row>
    <row r="634" ht="15" customHeight="1">
      <c r="A634" t="inlineStr">
        <is>
          <t>A 31977-2025</t>
        </is>
      </c>
      <c r="B634" s="1" t="n">
        <v>45835.3554050926</v>
      </c>
      <c r="C634" s="1" t="n">
        <v>46104</v>
      </c>
      <c r="D634" t="inlineStr">
        <is>
          <t>UPPSALA LÄN</t>
        </is>
      </c>
      <c r="E634" t="inlineStr">
        <is>
          <t>ÖSTHAMMAR</t>
        </is>
      </c>
      <c r="F634" t="inlineStr">
        <is>
          <t>Övriga Aktiebolag</t>
        </is>
      </c>
      <c r="G634" t="n">
        <v>35.3</v>
      </c>
      <c r="H634" t="n">
        <v>0</v>
      </c>
      <c r="I634" t="n">
        <v>0</v>
      </c>
      <c r="J634" t="n">
        <v>0</v>
      </c>
      <c r="K634" t="n">
        <v>0</v>
      </c>
      <c r="L634" t="n">
        <v>0</v>
      </c>
      <c r="M634" t="n">
        <v>0</v>
      </c>
      <c r="N634" t="n">
        <v>0</v>
      </c>
      <c r="O634" t="n">
        <v>0</v>
      </c>
      <c r="P634" t="n">
        <v>0</v>
      </c>
      <c r="Q634" t="n">
        <v>0</v>
      </c>
      <c r="R634" s="2" t="inlineStr"/>
    </row>
    <row r="635" ht="15" customHeight="1">
      <c r="A635" t="inlineStr">
        <is>
          <t>A 17022-2021</t>
        </is>
      </c>
      <c r="B635" s="1" t="n">
        <v>44295.65875</v>
      </c>
      <c r="C635" s="1" t="n">
        <v>46104</v>
      </c>
      <c r="D635" t="inlineStr">
        <is>
          <t>UPPSALA LÄN</t>
        </is>
      </c>
      <c r="E635" t="inlineStr">
        <is>
          <t>ÖSTHAMMAR</t>
        </is>
      </c>
      <c r="F635" t="inlineStr">
        <is>
          <t>Bergvik skog öst AB</t>
        </is>
      </c>
      <c r="G635" t="n">
        <v>0.3</v>
      </c>
      <c r="H635" t="n">
        <v>0</v>
      </c>
      <c r="I635" t="n">
        <v>0</v>
      </c>
      <c r="J635" t="n">
        <v>0</v>
      </c>
      <c r="K635" t="n">
        <v>0</v>
      </c>
      <c r="L635" t="n">
        <v>0</v>
      </c>
      <c r="M635" t="n">
        <v>0</v>
      </c>
      <c r="N635" t="n">
        <v>0</v>
      </c>
      <c r="O635" t="n">
        <v>0</v>
      </c>
      <c r="P635" t="n">
        <v>0</v>
      </c>
      <c r="Q635" t="n">
        <v>0</v>
      </c>
      <c r="R635" s="2" t="inlineStr"/>
    </row>
    <row r="636" ht="15" customHeight="1">
      <c r="A636" t="inlineStr">
        <is>
          <t>A 11469-2023</t>
        </is>
      </c>
      <c r="B636" s="1" t="n">
        <v>44993.60099537037</v>
      </c>
      <c r="C636" s="1" t="n">
        <v>46104</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27476-2025</t>
        </is>
      </c>
      <c r="B637" s="1" t="n">
        <v>45813.37517361111</v>
      </c>
      <c r="C637" s="1" t="n">
        <v>46104</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25418-2022</t>
        </is>
      </c>
      <c r="B638" s="1" t="n">
        <v>44732.464375</v>
      </c>
      <c r="C638" s="1" t="n">
        <v>46104</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32718-2025</t>
        </is>
      </c>
      <c r="B639" s="1" t="n">
        <v>45839.37740740741</v>
      </c>
      <c r="C639" s="1" t="n">
        <v>46104</v>
      </c>
      <c r="D639" t="inlineStr">
        <is>
          <t>UPPSALA LÄN</t>
        </is>
      </c>
      <c r="E639" t="inlineStr">
        <is>
          <t>ÖSTHAMMAR</t>
        </is>
      </c>
      <c r="G639" t="n">
        <v>10.4</v>
      </c>
      <c r="H639" t="n">
        <v>0</v>
      </c>
      <c r="I639" t="n">
        <v>0</v>
      </c>
      <c r="J639" t="n">
        <v>0</v>
      </c>
      <c r="K639" t="n">
        <v>0</v>
      </c>
      <c r="L639" t="n">
        <v>0</v>
      </c>
      <c r="M639" t="n">
        <v>0</v>
      </c>
      <c r="N639" t="n">
        <v>0</v>
      </c>
      <c r="O639" t="n">
        <v>0</v>
      </c>
      <c r="P639" t="n">
        <v>0</v>
      </c>
      <c r="Q639" t="n">
        <v>0</v>
      </c>
      <c r="R639" s="2" t="inlineStr"/>
    </row>
    <row r="640" ht="15" customHeight="1">
      <c r="A640" t="inlineStr">
        <is>
          <t>A 14859-2025</t>
        </is>
      </c>
      <c r="B640" s="1" t="n">
        <v>45743.42427083333</v>
      </c>
      <c r="C640" s="1" t="n">
        <v>46104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14671-2022</t>
        </is>
      </c>
      <c r="B641" s="1" t="n">
        <v>44655.80475694445</v>
      </c>
      <c r="C641" s="1" t="n">
        <v>46104</v>
      </c>
      <c r="D641" t="inlineStr">
        <is>
          <t>UPPSALA LÄN</t>
        </is>
      </c>
      <c r="E641" t="inlineStr">
        <is>
          <t>ÖSTHAMMAR</t>
        </is>
      </c>
      <c r="G641" t="n">
        <v>1.9</v>
      </c>
      <c r="H641" t="n">
        <v>0</v>
      </c>
      <c r="I641" t="n">
        <v>0</v>
      </c>
      <c r="J641" t="n">
        <v>0</v>
      </c>
      <c r="K641" t="n">
        <v>0</v>
      </c>
      <c r="L641" t="n">
        <v>0</v>
      </c>
      <c r="M641" t="n">
        <v>0</v>
      </c>
      <c r="N641" t="n">
        <v>0</v>
      </c>
      <c r="O641" t="n">
        <v>0</v>
      </c>
      <c r="P641" t="n">
        <v>0</v>
      </c>
      <c r="Q641" t="n">
        <v>0</v>
      </c>
      <c r="R641" s="2" t="inlineStr"/>
    </row>
    <row r="642" ht="15" customHeight="1">
      <c r="A642" t="inlineStr">
        <is>
          <t>A 33529-2025</t>
        </is>
      </c>
      <c r="B642" s="1" t="n">
        <v>45841.55199074074</v>
      </c>
      <c r="C642" s="1" t="n">
        <v>46104</v>
      </c>
      <c r="D642" t="inlineStr">
        <is>
          <t>UPPSALA LÄN</t>
        </is>
      </c>
      <c r="E642" t="inlineStr">
        <is>
          <t>ÖSTHAMMAR</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33048-2025</t>
        </is>
      </c>
      <c r="B643" s="1" t="n">
        <v>45840.41451388889</v>
      </c>
      <c r="C643" s="1" t="n">
        <v>46104</v>
      </c>
      <c r="D643" t="inlineStr">
        <is>
          <t>UPPSALA LÄN</t>
        </is>
      </c>
      <c r="E643" t="inlineStr">
        <is>
          <t>ÖSTHAMMAR</t>
        </is>
      </c>
      <c r="G643" t="n">
        <v>1.8</v>
      </c>
      <c r="H643" t="n">
        <v>0</v>
      </c>
      <c r="I643" t="n">
        <v>0</v>
      </c>
      <c r="J643" t="n">
        <v>0</v>
      </c>
      <c r="K643" t="n">
        <v>0</v>
      </c>
      <c r="L643" t="n">
        <v>0</v>
      </c>
      <c r="M643" t="n">
        <v>0</v>
      </c>
      <c r="N643" t="n">
        <v>0</v>
      </c>
      <c r="O643" t="n">
        <v>0</v>
      </c>
      <c r="P643" t="n">
        <v>0</v>
      </c>
      <c r="Q643" t="n">
        <v>0</v>
      </c>
      <c r="R643" s="2" t="inlineStr"/>
    </row>
    <row r="644" ht="15" customHeight="1">
      <c r="A644" t="inlineStr">
        <is>
          <t>A 33271-2025</t>
        </is>
      </c>
      <c r="B644" s="1" t="n">
        <v>45840.68381944444</v>
      </c>
      <c r="C644" s="1" t="n">
        <v>46104</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46399-2023</t>
        </is>
      </c>
      <c r="B645" s="1" t="n">
        <v>45197.49262731482</v>
      </c>
      <c r="C645" s="1" t="n">
        <v>46104</v>
      </c>
      <c r="D645" t="inlineStr">
        <is>
          <t>UPPSALA LÄN</t>
        </is>
      </c>
      <c r="E645" t="inlineStr">
        <is>
          <t>ÖSTHAMMAR</t>
        </is>
      </c>
      <c r="G645" t="n">
        <v>5.8</v>
      </c>
      <c r="H645" t="n">
        <v>0</v>
      </c>
      <c r="I645" t="n">
        <v>0</v>
      </c>
      <c r="J645" t="n">
        <v>0</v>
      </c>
      <c r="K645" t="n">
        <v>0</v>
      </c>
      <c r="L645" t="n">
        <v>0</v>
      </c>
      <c r="M645" t="n">
        <v>0</v>
      </c>
      <c r="N645" t="n">
        <v>0</v>
      </c>
      <c r="O645" t="n">
        <v>0</v>
      </c>
      <c r="P645" t="n">
        <v>0</v>
      </c>
      <c r="Q645" t="n">
        <v>0</v>
      </c>
      <c r="R645" s="2" t="inlineStr"/>
    </row>
    <row r="646" ht="15" customHeight="1">
      <c r="A646" t="inlineStr">
        <is>
          <t>A 26395-2025</t>
        </is>
      </c>
      <c r="B646" s="1" t="n">
        <v>45807</v>
      </c>
      <c r="C646" s="1" t="n">
        <v>46104</v>
      </c>
      <c r="D646" t="inlineStr">
        <is>
          <t>UPPSALA LÄN</t>
        </is>
      </c>
      <c r="E646" t="inlineStr">
        <is>
          <t>ÖSTHAMMAR</t>
        </is>
      </c>
      <c r="G646" t="n">
        <v>7</v>
      </c>
      <c r="H646" t="n">
        <v>0</v>
      </c>
      <c r="I646" t="n">
        <v>0</v>
      </c>
      <c r="J646" t="n">
        <v>0</v>
      </c>
      <c r="K646" t="n">
        <v>0</v>
      </c>
      <c r="L646" t="n">
        <v>0</v>
      </c>
      <c r="M646" t="n">
        <v>0</v>
      </c>
      <c r="N646" t="n">
        <v>0</v>
      </c>
      <c r="O646" t="n">
        <v>0</v>
      </c>
      <c r="P646" t="n">
        <v>0</v>
      </c>
      <c r="Q646" t="n">
        <v>0</v>
      </c>
      <c r="R646" s="2" t="inlineStr"/>
    </row>
    <row r="647" ht="15" customHeight="1">
      <c r="A647" t="inlineStr">
        <is>
          <t>A 33972-2025</t>
        </is>
      </c>
      <c r="B647" s="1" t="n">
        <v>45842.97236111111</v>
      </c>
      <c r="C647" s="1" t="n">
        <v>46104</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45550-2023</t>
        </is>
      </c>
      <c r="B648" s="1" t="n">
        <v>45194.57125</v>
      </c>
      <c r="C648" s="1" t="n">
        <v>46104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15445-2022</t>
        </is>
      </c>
      <c r="B649" s="1" t="n">
        <v>44660.4987962963</v>
      </c>
      <c r="C649" s="1" t="n">
        <v>46104</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33973-2025</t>
        </is>
      </c>
      <c r="B650" s="1" t="n">
        <v>45842.98429398148</v>
      </c>
      <c r="C650" s="1" t="n">
        <v>46104</v>
      </c>
      <c r="D650" t="inlineStr">
        <is>
          <t>UPPSALA LÄN</t>
        </is>
      </c>
      <c r="E650" t="inlineStr">
        <is>
          <t>ÖSTHAMMAR</t>
        </is>
      </c>
      <c r="G650" t="n">
        <v>1.9</v>
      </c>
      <c r="H650" t="n">
        <v>0</v>
      </c>
      <c r="I650" t="n">
        <v>0</v>
      </c>
      <c r="J650" t="n">
        <v>0</v>
      </c>
      <c r="K650" t="n">
        <v>0</v>
      </c>
      <c r="L650" t="n">
        <v>0</v>
      </c>
      <c r="M650" t="n">
        <v>0</v>
      </c>
      <c r="N650" t="n">
        <v>0</v>
      </c>
      <c r="O650" t="n">
        <v>0</v>
      </c>
      <c r="P650" t="n">
        <v>0</v>
      </c>
      <c r="Q650" t="n">
        <v>0</v>
      </c>
      <c r="R650" s="2" t="inlineStr"/>
    </row>
    <row r="651" ht="15" customHeight="1">
      <c r="A651" t="inlineStr">
        <is>
          <t>A 20634-2024</t>
        </is>
      </c>
      <c r="B651" s="1" t="n">
        <v>45436</v>
      </c>
      <c r="C651" s="1" t="n">
        <v>46104</v>
      </c>
      <c r="D651" t="inlineStr">
        <is>
          <t>UPPSALA LÄN</t>
        </is>
      </c>
      <c r="E651" t="inlineStr">
        <is>
          <t>ÖSTHAMMAR</t>
        </is>
      </c>
      <c r="G651" t="n">
        <v>6.5</v>
      </c>
      <c r="H651" t="n">
        <v>0</v>
      </c>
      <c r="I651" t="n">
        <v>0</v>
      </c>
      <c r="J651" t="n">
        <v>0</v>
      </c>
      <c r="K651" t="n">
        <v>0</v>
      </c>
      <c r="L651" t="n">
        <v>0</v>
      </c>
      <c r="M651" t="n">
        <v>0</v>
      </c>
      <c r="N651" t="n">
        <v>0</v>
      </c>
      <c r="O651" t="n">
        <v>0</v>
      </c>
      <c r="P651" t="n">
        <v>0</v>
      </c>
      <c r="Q651" t="n">
        <v>0</v>
      </c>
      <c r="R651" s="2" t="inlineStr"/>
    </row>
    <row r="652" ht="15" customHeight="1">
      <c r="A652" t="inlineStr">
        <is>
          <t>A 18088-2025</t>
        </is>
      </c>
      <c r="B652" s="1" t="n">
        <v>45761.53104166667</v>
      </c>
      <c r="C652" s="1" t="n">
        <v>46104</v>
      </c>
      <c r="D652" t="inlineStr">
        <is>
          <t>UPPSALA LÄN</t>
        </is>
      </c>
      <c r="E652" t="inlineStr">
        <is>
          <t>ÖSTHAMMAR</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18095-2025</t>
        </is>
      </c>
      <c r="B653" s="1" t="n">
        <v>45761.54925925926</v>
      </c>
      <c r="C653" s="1" t="n">
        <v>46104</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61257-2022</t>
        </is>
      </c>
      <c r="B654" s="1" t="n">
        <v>44915.59418981482</v>
      </c>
      <c r="C654" s="1" t="n">
        <v>46104</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25859-2024</t>
        </is>
      </c>
      <c r="B655" s="1" t="n">
        <v>45467</v>
      </c>
      <c r="C655" s="1" t="n">
        <v>46104</v>
      </c>
      <c r="D655" t="inlineStr">
        <is>
          <t>UPPSALA LÄN</t>
        </is>
      </c>
      <c r="E655" t="inlineStr">
        <is>
          <t>ÖSTHAMMAR</t>
        </is>
      </c>
      <c r="G655" t="n">
        <v>7.9</v>
      </c>
      <c r="H655" t="n">
        <v>0</v>
      </c>
      <c r="I655" t="n">
        <v>0</v>
      </c>
      <c r="J655" t="n">
        <v>0</v>
      </c>
      <c r="K655" t="n">
        <v>0</v>
      </c>
      <c r="L655" t="n">
        <v>0</v>
      </c>
      <c r="M655" t="n">
        <v>0</v>
      </c>
      <c r="N655" t="n">
        <v>0</v>
      </c>
      <c r="O655" t="n">
        <v>0</v>
      </c>
      <c r="P655" t="n">
        <v>0</v>
      </c>
      <c r="Q655" t="n">
        <v>0</v>
      </c>
      <c r="R655" s="2" t="inlineStr"/>
    </row>
    <row r="656" ht="15" customHeight="1">
      <c r="A656" t="inlineStr">
        <is>
          <t>A 10117-2025</t>
        </is>
      </c>
      <c r="B656" s="1" t="n">
        <v>45719.59866898148</v>
      </c>
      <c r="C656" s="1" t="n">
        <v>46104</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19640-2025</t>
        </is>
      </c>
      <c r="B657" s="1" t="n">
        <v>45770.65739583333</v>
      </c>
      <c r="C657" s="1" t="n">
        <v>46104</v>
      </c>
      <c r="D657" t="inlineStr">
        <is>
          <t>UPPSALA LÄN</t>
        </is>
      </c>
      <c r="E657" t="inlineStr">
        <is>
          <t>ÖSTHAMMAR</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32778-2023</t>
        </is>
      </c>
      <c r="B658" s="1" t="n">
        <v>45123.88789351852</v>
      </c>
      <c r="C658" s="1" t="n">
        <v>46104</v>
      </c>
      <c r="D658" t="inlineStr">
        <is>
          <t>UPPSALA LÄN</t>
        </is>
      </c>
      <c r="E658" t="inlineStr">
        <is>
          <t>ÖSTHAMMAR</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1436-2025</t>
        </is>
      </c>
      <c r="B659" s="1" t="n">
        <v>45669.67625</v>
      </c>
      <c r="C659" s="1" t="n">
        <v>46104</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1525-2025</t>
        </is>
      </c>
      <c r="B660" s="1" t="n">
        <v>45670.47300925926</v>
      </c>
      <c r="C660" s="1" t="n">
        <v>46104</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24367-2022</t>
        </is>
      </c>
      <c r="B661" s="1" t="n">
        <v>44726.42716435185</v>
      </c>
      <c r="C661" s="1" t="n">
        <v>46104</v>
      </c>
      <c r="D661" t="inlineStr">
        <is>
          <t>UPPSALA LÄN</t>
        </is>
      </c>
      <c r="E661" t="inlineStr">
        <is>
          <t>ÖSTHAMMAR</t>
        </is>
      </c>
      <c r="G661" t="n">
        <v>2.7</v>
      </c>
      <c r="H661" t="n">
        <v>0</v>
      </c>
      <c r="I661" t="n">
        <v>0</v>
      </c>
      <c r="J661" t="n">
        <v>0</v>
      </c>
      <c r="K661" t="n">
        <v>0</v>
      </c>
      <c r="L661" t="n">
        <v>0</v>
      </c>
      <c r="M661" t="n">
        <v>0</v>
      </c>
      <c r="N661" t="n">
        <v>0</v>
      </c>
      <c r="O661" t="n">
        <v>0</v>
      </c>
      <c r="P661" t="n">
        <v>0</v>
      </c>
      <c r="Q661" t="n">
        <v>0</v>
      </c>
      <c r="R661" s="2" t="inlineStr"/>
    </row>
    <row r="662" ht="15" customHeight="1">
      <c r="A662" t="inlineStr">
        <is>
          <t>A 5933-2022</t>
        </is>
      </c>
      <c r="B662" s="1" t="n">
        <v>44598.82957175926</v>
      </c>
      <c r="C662" s="1" t="n">
        <v>46104</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36092-2025</t>
        </is>
      </c>
      <c r="B663" s="1" t="n">
        <v>45866.48244212963</v>
      </c>
      <c r="C663" s="1" t="n">
        <v>46104</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64774-2023</t>
        </is>
      </c>
      <c r="B664" s="1" t="n">
        <v>45282</v>
      </c>
      <c r="C664" s="1" t="n">
        <v>46104</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17929-2025</t>
        </is>
      </c>
      <c r="B665" s="1" t="n">
        <v>45759.56462962963</v>
      </c>
      <c r="C665" s="1" t="n">
        <v>46104</v>
      </c>
      <c r="D665" t="inlineStr">
        <is>
          <t>UPPSALA LÄN</t>
        </is>
      </c>
      <c r="E665" t="inlineStr">
        <is>
          <t>ÖSTHAMMAR</t>
        </is>
      </c>
      <c r="G665" t="n">
        <v>3.4</v>
      </c>
      <c r="H665" t="n">
        <v>0</v>
      </c>
      <c r="I665" t="n">
        <v>0</v>
      </c>
      <c r="J665" t="n">
        <v>0</v>
      </c>
      <c r="K665" t="n">
        <v>0</v>
      </c>
      <c r="L665" t="n">
        <v>0</v>
      </c>
      <c r="M665" t="n">
        <v>0</v>
      </c>
      <c r="N665" t="n">
        <v>0</v>
      </c>
      <c r="O665" t="n">
        <v>0</v>
      </c>
      <c r="P665" t="n">
        <v>0</v>
      </c>
      <c r="Q665" t="n">
        <v>0</v>
      </c>
      <c r="R665" s="2" t="inlineStr"/>
    </row>
    <row r="666" ht="15" customHeight="1">
      <c r="A666" t="inlineStr">
        <is>
          <t>A 27308-2023</t>
        </is>
      </c>
      <c r="B666" s="1" t="n">
        <v>45096.65381944444</v>
      </c>
      <c r="C666" s="1" t="n">
        <v>46104</v>
      </c>
      <c r="D666" t="inlineStr">
        <is>
          <t>UPPSALA LÄN</t>
        </is>
      </c>
      <c r="E666" t="inlineStr">
        <is>
          <t>ÖSTHAMMAR</t>
        </is>
      </c>
      <c r="F666" t="inlineStr">
        <is>
          <t>Bergvik skog öst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36451-2025</t>
        </is>
      </c>
      <c r="B667" s="1" t="n">
        <v>45869.4290625</v>
      </c>
      <c r="C667" s="1" t="n">
        <v>46104</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5254-2025</t>
        </is>
      </c>
      <c r="B668" s="1" t="n">
        <v>45692</v>
      </c>
      <c r="C668" s="1" t="n">
        <v>46104</v>
      </c>
      <c r="D668" t="inlineStr">
        <is>
          <t>UPPSALA LÄN</t>
        </is>
      </c>
      <c r="E668" t="inlineStr">
        <is>
          <t>ÖSTHAMMAR</t>
        </is>
      </c>
      <c r="G668" t="n">
        <v>5</v>
      </c>
      <c r="H668" t="n">
        <v>0</v>
      </c>
      <c r="I668" t="n">
        <v>0</v>
      </c>
      <c r="J668" t="n">
        <v>0</v>
      </c>
      <c r="K668" t="n">
        <v>0</v>
      </c>
      <c r="L668" t="n">
        <v>0</v>
      </c>
      <c r="M668" t="n">
        <v>0</v>
      </c>
      <c r="N668" t="n">
        <v>0</v>
      </c>
      <c r="O668" t="n">
        <v>0</v>
      </c>
      <c r="P668" t="n">
        <v>0</v>
      </c>
      <c r="Q668" t="n">
        <v>0</v>
      </c>
      <c r="R668" s="2" t="inlineStr"/>
    </row>
    <row r="669" ht="15" customHeight="1">
      <c r="A669" t="inlineStr">
        <is>
          <t>A 29873-2023</t>
        </is>
      </c>
      <c r="B669" s="1" t="n">
        <v>45107</v>
      </c>
      <c r="C669" s="1" t="n">
        <v>46104</v>
      </c>
      <c r="D669" t="inlineStr">
        <is>
          <t>UPPSALA LÄN</t>
        </is>
      </c>
      <c r="E669" t="inlineStr">
        <is>
          <t>ÖSTHAMMAR</t>
        </is>
      </c>
      <c r="F669" t="inlineStr">
        <is>
          <t>Naturvårdsverket</t>
        </is>
      </c>
      <c r="G669" t="n">
        <v>7.8</v>
      </c>
      <c r="H669" t="n">
        <v>0</v>
      </c>
      <c r="I669" t="n">
        <v>0</v>
      </c>
      <c r="J669" t="n">
        <v>0</v>
      </c>
      <c r="K669" t="n">
        <v>0</v>
      </c>
      <c r="L669" t="n">
        <v>0</v>
      </c>
      <c r="M669" t="n">
        <v>0</v>
      </c>
      <c r="N669" t="n">
        <v>0</v>
      </c>
      <c r="O669" t="n">
        <v>0</v>
      </c>
      <c r="P669" t="n">
        <v>0</v>
      </c>
      <c r="Q669" t="n">
        <v>0</v>
      </c>
      <c r="R669" s="2" t="inlineStr"/>
    </row>
    <row r="670" ht="15" customHeight="1">
      <c r="A670" t="inlineStr">
        <is>
          <t>A 61062-2023</t>
        </is>
      </c>
      <c r="B670" s="1" t="n">
        <v>45259</v>
      </c>
      <c r="C670" s="1" t="n">
        <v>46104</v>
      </c>
      <c r="D670" t="inlineStr">
        <is>
          <t>UPPSALA LÄN</t>
        </is>
      </c>
      <c r="E670" t="inlineStr">
        <is>
          <t>ÖSTHAMMAR</t>
        </is>
      </c>
      <c r="G670" t="n">
        <v>5.3</v>
      </c>
      <c r="H670" t="n">
        <v>0</v>
      </c>
      <c r="I670" t="n">
        <v>0</v>
      </c>
      <c r="J670" t="n">
        <v>0</v>
      </c>
      <c r="K670" t="n">
        <v>0</v>
      </c>
      <c r="L670" t="n">
        <v>0</v>
      </c>
      <c r="M670" t="n">
        <v>0</v>
      </c>
      <c r="N670" t="n">
        <v>0</v>
      </c>
      <c r="O670" t="n">
        <v>0</v>
      </c>
      <c r="P670" t="n">
        <v>0</v>
      </c>
      <c r="Q670" t="n">
        <v>0</v>
      </c>
      <c r="R670" s="2" t="inlineStr"/>
    </row>
    <row r="671" ht="15" customHeight="1">
      <c r="A671" t="inlineStr">
        <is>
          <t>A 55100-2024</t>
        </is>
      </c>
      <c r="B671" s="1" t="n">
        <v>45621.4405787037</v>
      </c>
      <c r="C671" s="1" t="n">
        <v>46104</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36643-2025</t>
        </is>
      </c>
      <c r="B672" s="1" t="n">
        <v>45872.47782407407</v>
      </c>
      <c r="C672" s="1" t="n">
        <v>46104</v>
      </c>
      <c r="D672" t="inlineStr">
        <is>
          <t>UPPSALA LÄN</t>
        </is>
      </c>
      <c r="E672" t="inlineStr">
        <is>
          <t>ÖSTHAMMAR</t>
        </is>
      </c>
      <c r="F672" t="inlineStr">
        <is>
          <t>Bergvik skog öst AB</t>
        </is>
      </c>
      <c r="G672" t="n">
        <v>15.1</v>
      </c>
      <c r="H672" t="n">
        <v>0</v>
      </c>
      <c r="I672" t="n">
        <v>0</v>
      </c>
      <c r="J672" t="n">
        <v>0</v>
      </c>
      <c r="K672" t="n">
        <v>0</v>
      </c>
      <c r="L672" t="n">
        <v>0</v>
      </c>
      <c r="M672" t="n">
        <v>0</v>
      </c>
      <c r="N672" t="n">
        <v>0</v>
      </c>
      <c r="O672" t="n">
        <v>0</v>
      </c>
      <c r="P672" t="n">
        <v>0</v>
      </c>
      <c r="Q672" t="n">
        <v>0</v>
      </c>
      <c r="R672" s="2" t="inlineStr"/>
    </row>
    <row r="673" ht="15" customHeight="1">
      <c r="A673" t="inlineStr">
        <is>
          <t>A 36645-2025</t>
        </is>
      </c>
      <c r="B673" s="1" t="n">
        <v>45872</v>
      </c>
      <c r="C673" s="1" t="n">
        <v>46104</v>
      </c>
      <c r="D673" t="inlineStr">
        <is>
          <t>UPPSALA LÄN</t>
        </is>
      </c>
      <c r="E673" t="inlineStr">
        <is>
          <t>ÖSTHAMMAR</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36644-2025</t>
        </is>
      </c>
      <c r="B674" s="1" t="n">
        <v>45872.48738425926</v>
      </c>
      <c r="C674" s="1" t="n">
        <v>46104</v>
      </c>
      <c r="D674" t="inlineStr">
        <is>
          <t>UPPSALA LÄN</t>
        </is>
      </c>
      <c r="E674" t="inlineStr">
        <is>
          <t>ÖSTHAMMAR</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31669-2022</t>
        </is>
      </c>
      <c r="B675" s="1" t="n">
        <v>44775</v>
      </c>
      <c r="C675" s="1" t="n">
        <v>46104</v>
      </c>
      <c r="D675" t="inlineStr">
        <is>
          <t>UPPSALA LÄN</t>
        </is>
      </c>
      <c r="E675" t="inlineStr">
        <is>
          <t>ÖSTHAMMAR</t>
        </is>
      </c>
      <c r="G675" t="n">
        <v>6</v>
      </c>
      <c r="H675" t="n">
        <v>0</v>
      </c>
      <c r="I675" t="n">
        <v>0</v>
      </c>
      <c r="J675" t="n">
        <v>0</v>
      </c>
      <c r="K675" t="n">
        <v>0</v>
      </c>
      <c r="L675" t="n">
        <v>0</v>
      </c>
      <c r="M675" t="n">
        <v>0</v>
      </c>
      <c r="N675" t="n">
        <v>0</v>
      </c>
      <c r="O675" t="n">
        <v>0</v>
      </c>
      <c r="P675" t="n">
        <v>0</v>
      </c>
      <c r="Q675" t="n">
        <v>0</v>
      </c>
      <c r="R675" s="2" t="inlineStr"/>
    </row>
    <row r="676" ht="15" customHeight="1">
      <c r="A676" t="inlineStr">
        <is>
          <t>A 36646-2025</t>
        </is>
      </c>
      <c r="B676" s="1" t="n">
        <v>45872</v>
      </c>
      <c r="C676" s="1" t="n">
        <v>46104</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18094-2025</t>
        </is>
      </c>
      <c r="B677" s="1" t="n">
        <v>45761.54710648148</v>
      </c>
      <c r="C677" s="1" t="n">
        <v>46104</v>
      </c>
      <c r="D677" t="inlineStr">
        <is>
          <t>UPPSALA LÄN</t>
        </is>
      </c>
      <c r="E677" t="inlineStr">
        <is>
          <t>ÖSTHAMMAR</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67151-2021</t>
        </is>
      </c>
      <c r="B678" s="1" t="n">
        <v>44523</v>
      </c>
      <c r="C678" s="1" t="n">
        <v>46104</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9542-2023</t>
        </is>
      </c>
      <c r="B679" s="1" t="n">
        <v>44981</v>
      </c>
      <c r="C679" s="1" t="n">
        <v>46104</v>
      </c>
      <c r="D679" t="inlineStr">
        <is>
          <t>UPPSALA LÄN</t>
        </is>
      </c>
      <c r="E679" t="inlineStr">
        <is>
          <t>ÖSTHAMMAR</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36343-2022</t>
        </is>
      </c>
      <c r="B680" s="1" t="n">
        <v>44803.78524305556</v>
      </c>
      <c r="C680" s="1" t="n">
        <v>46104</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16933-2022</t>
        </is>
      </c>
      <c r="B681" s="1" t="n">
        <v>44676</v>
      </c>
      <c r="C681" s="1" t="n">
        <v>46104</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48083-2024</t>
        </is>
      </c>
      <c r="B682" s="1" t="n">
        <v>45589.58766203704</v>
      </c>
      <c r="C682" s="1" t="n">
        <v>46104</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14269-2025</t>
        </is>
      </c>
      <c r="B683" s="1" t="n">
        <v>45740.64078703704</v>
      </c>
      <c r="C683" s="1" t="n">
        <v>46104</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37656-2025</t>
        </is>
      </c>
      <c r="B684" s="1" t="n">
        <v>45880</v>
      </c>
      <c r="C684" s="1" t="n">
        <v>46104</v>
      </c>
      <c r="D684" t="inlineStr">
        <is>
          <t>UPPSALA LÄN</t>
        </is>
      </c>
      <c r="E684" t="inlineStr">
        <is>
          <t>ÖSTHAMMAR</t>
        </is>
      </c>
      <c r="G684" t="n">
        <v>4.3</v>
      </c>
      <c r="H684" t="n">
        <v>0</v>
      </c>
      <c r="I684" t="n">
        <v>0</v>
      </c>
      <c r="J684" t="n">
        <v>0</v>
      </c>
      <c r="K684" t="n">
        <v>0</v>
      </c>
      <c r="L684" t="n">
        <v>0</v>
      </c>
      <c r="M684" t="n">
        <v>0</v>
      </c>
      <c r="N684" t="n">
        <v>0</v>
      </c>
      <c r="O684" t="n">
        <v>0</v>
      </c>
      <c r="P684" t="n">
        <v>0</v>
      </c>
      <c r="Q684" t="n">
        <v>0</v>
      </c>
      <c r="R684" s="2" t="inlineStr"/>
    </row>
    <row r="685" ht="15" customHeight="1">
      <c r="A685" t="inlineStr">
        <is>
          <t>A 5855-2022</t>
        </is>
      </c>
      <c r="B685" s="1" t="n">
        <v>44596.63290509259</v>
      </c>
      <c r="C685" s="1" t="n">
        <v>46104</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13622-2025</t>
        </is>
      </c>
      <c r="B686" s="1" t="n">
        <v>45736</v>
      </c>
      <c r="C686" s="1" t="n">
        <v>46104</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37764-2025</t>
        </is>
      </c>
      <c r="B687" s="1" t="n">
        <v>45880.70917824074</v>
      </c>
      <c r="C687" s="1" t="n">
        <v>46104</v>
      </c>
      <c r="D687" t="inlineStr">
        <is>
          <t>UPPSALA LÄN</t>
        </is>
      </c>
      <c r="E687" t="inlineStr">
        <is>
          <t>ÖSTHAMMAR</t>
        </is>
      </c>
      <c r="G687" t="n">
        <v>4.6</v>
      </c>
      <c r="H687" t="n">
        <v>0</v>
      </c>
      <c r="I687" t="n">
        <v>0</v>
      </c>
      <c r="J687" t="n">
        <v>0</v>
      </c>
      <c r="K687" t="n">
        <v>0</v>
      </c>
      <c r="L687" t="n">
        <v>0</v>
      </c>
      <c r="M687" t="n">
        <v>0</v>
      </c>
      <c r="N687" t="n">
        <v>0</v>
      </c>
      <c r="O687" t="n">
        <v>0</v>
      </c>
      <c r="P687" t="n">
        <v>0</v>
      </c>
      <c r="Q687" t="n">
        <v>0</v>
      </c>
      <c r="R687" s="2" t="inlineStr"/>
    </row>
    <row r="688" ht="15" customHeight="1">
      <c r="A688" t="inlineStr">
        <is>
          <t>A 56759-2024</t>
        </is>
      </c>
      <c r="B688" s="1" t="n">
        <v>45628.39877314815</v>
      </c>
      <c r="C688" s="1" t="n">
        <v>46104</v>
      </c>
      <c r="D688" t="inlineStr">
        <is>
          <t>UPPSALA LÄN</t>
        </is>
      </c>
      <c r="E688" t="inlineStr">
        <is>
          <t>ÖSTHAMMAR</t>
        </is>
      </c>
      <c r="G688" t="n">
        <v>4.7</v>
      </c>
      <c r="H688" t="n">
        <v>0</v>
      </c>
      <c r="I688" t="n">
        <v>0</v>
      </c>
      <c r="J688" t="n">
        <v>0</v>
      </c>
      <c r="K688" t="n">
        <v>0</v>
      </c>
      <c r="L688" t="n">
        <v>0</v>
      </c>
      <c r="M688" t="n">
        <v>0</v>
      </c>
      <c r="N688" t="n">
        <v>0</v>
      </c>
      <c r="O688" t="n">
        <v>0</v>
      </c>
      <c r="P688" t="n">
        <v>0</v>
      </c>
      <c r="Q688" t="n">
        <v>0</v>
      </c>
      <c r="R688" s="2" t="inlineStr"/>
    </row>
    <row r="689" ht="15" customHeight="1">
      <c r="A689" t="inlineStr">
        <is>
          <t>A 37770-2025</t>
        </is>
      </c>
      <c r="B689" s="1" t="n">
        <v>45880.7505787037</v>
      </c>
      <c r="C689" s="1" t="n">
        <v>46104</v>
      </c>
      <c r="D689" t="inlineStr">
        <is>
          <t>UPPSALA LÄN</t>
        </is>
      </c>
      <c r="E689" t="inlineStr">
        <is>
          <t>ÖSTHAMMAR</t>
        </is>
      </c>
      <c r="G689" t="n">
        <v>2.9</v>
      </c>
      <c r="H689" t="n">
        <v>0</v>
      </c>
      <c r="I689" t="n">
        <v>0</v>
      </c>
      <c r="J689" t="n">
        <v>0</v>
      </c>
      <c r="K689" t="n">
        <v>0</v>
      </c>
      <c r="L689" t="n">
        <v>0</v>
      </c>
      <c r="M689" t="n">
        <v>0</v>
      </c>
      <c r="N689" t="n">
        <v>0</v>
      </c>
      <c r="O689" t="n">
        <v>0</v>
      </c>
      <c r="P689" t="n">
        <v>0</v>
      </c>
      <c r="Q689" t="n">
        <v>0</v>
      </c>
      <c r="R689" s="2" t="inlineStr"/>
    </row>
    <row r="690" ht="15" customHeight="1">
      <c r="A690" t="inlineStr">
        <is>
          <t>A 10275-2025</t>
        </is>
      </c>
      <c r="B690" s="1" t="n">
        <v>45720.39715277778</v>
      </c>
      <c r="C690" s="1" t="n">
        <v>46104</v>
      </c>
      <c r="D690" t="inlineStr">
        <is>
          <t>UPPSALA LÄN</t>
        </is>
      </c>
      <c r="E690" t="inlineStr">
        <is>
          <t>ÖSTHAMMAR</t>
        </is>
      </c>
      <c r="G690" t="n">
        <v>6.2</v>
      </c>
      <c r="H690" t="n">
        <v>0</v>
      </c>
      <c r="I690" t="n">
        <v>0</v>
      </c>
      <c r="J690" t="n">
        <v>0</v>
      </c>
      <c r="K690" t="n">
        <v>0</v>
      </c>
      <c r="L690" t="n">
        <v>0</v>
      </c>
      <c r="M690" t="n">
        <v>0</v>
      </c>
      <c r="N690" t="n">
        <v>0</v>
      </c>
      <c r="O690" t="n">
        <v>0</v>
      </c>
      <c r="P690" t="n">
        <v>0</v>
      </c>
      <c r="Q690" t="n">
        <v>0</v>
      </c>
      <c r="R690" s="2" t="inlineStr"/>
    </row>
    <row r="691" ht="15" customHeight="1">
      <c r="A691" t="inlineStr">
        <is>
          <t>A 5189-2025</t>
        </is>
      </c>
      <c r="B691" s="1" t="n">
        <v>45691</v>
      </c>
      <c r="C691" s="1" t="n">
        <v>46104</v>
      </c>
      <c r="D691" t="inlineStr">
        <is>
          <t>UPPSALA LÄN</t>
        </is>
      </c>
      <c r="E691" t="inlineStr">
        <is>
          <t>ÖSTHAMMAR</t>
        </is>
      </c>
      <c r="F691" t="inlineStr">
        <is>
          <t>Bergvik skog öst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24493-2023</t>
        </is>
      </c>
      <c r="B692" s="1" t="n">
        <v>45082.62603009259</v>
      </c>
      <c r="C692" s="1" t="n">
        <v>46104</v>
      </c>
      <c r="D692" t="inlineStr">
        <is>
          <t>UPPSALA LÄN</t>
        </is>
      </c>
      <c r="E692" t="inlineStr">
        <is>
          <t>ÖSTHAMMAR</t>
        </is>
      </c>
      <c r="G692" t="n">
        <v>1.9</v>
      </c>
      <c r="H692" t="n">
        <v>0</v>
      </c>
      <c r="I692" t="n">
        <v>0</v>
      </c>
      <c r="J692" t="n">
        <v>0</v>
      </c>
      <c r="K692" t="n">
        <v>0</v>
      </c>
      <c r="L692" t="n">
        <v>0</v>
      </c>
      <c r="M692" t="n">
        <v>0</v>
      </c>
      <c r="N692" t="n">
        <v>0</v>
      </c>
      <c r="O692" t="n">
        <v>0</v>
      </c>
      <c r="P692" t="n">
        <v>0</v>
      </c>
      <c r="Q692" t="n">
        <v>0</v>
      </c>
      <c r="R692" s="2" t="inlineStr"/>
    </row>
    <row r="693" ht="15" customHeight="1">
      <c r="A693" t="inlineStr">
        <is>
          <t>A 7560-2023</t>
        </is>
      </c>
      <c r="B693" s="1" t="n">
        <v>44972.34811342593</v>
      </c>
      <c r="C693" s="1" t="n">
        <v>46104</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7118-2023</t>
        </is>
      </c>
      <c r="B694" s="1" t="n">
        <v>44970.39591435185</v>
      </c>
      <c r="C694" s="1" t="n">
        <v>46104</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19040-2023</t>
        </is>
      </c>
      <c r="B695" s="1" t="n">
        <v>45047</v>
      </c>
      <c r="C695" s="1" t="n">
        <v>46104</v>
      </c>
      <c r="D695" t="inlineStr">
        <is>
          <t>UPPSALA LÄN</t>
        </is>
      </c>
      <c r="E695" t="inlineStr">
        <is>
          <t>ÖSTHAMMAR</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4004-2023</t>
        </is>
      </c>
      <c r="B696" s="1" t="n">
        <v>44952</v>
      </c>
      <c r="C696" s="1" t="n">
        <v>46104</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31549-2022</t>
        </is>
      </c>
      <c r="B697" s="1" t="n">
        <v>44775.400625</v>
      </c>
      <c r="C697" s="1" t="n">
        <v>46104</v>
      </c>
      <c r="D697" t="inlineStr">
        <is>
          <t>UPPSALA LÄN</t>
        </is>
      </c>
      <c r="E697" t="inlineStr">
        <is>
          <t>ÖSTHAMMAR</t>
        </is>
      </c>
      <c r="G697" t="n">
        <v>1.5</v>
      </c>
      <c r="H697" t="n">
        <v>0</v>
      </c>
      <c r="I697" t="n">
        <v>0</v>
      </c>
      <c r="J697" t="n">
        <v>0</v>
      </c>
      <c r="K697" t="n">
        <v>0</v>
      </c>
      <c r="L697" t="n">
        <v>0</v>
      </c>
      <c r="M697" t="n">
        <v>0</v>
      </c>
      <c r="N697" t="n">
        <v>0</v>
      </c>
      <c r="O697" t="n">
        <v>0</v>
      </c>
      <c r="P697" t="n">
        <v>0</v>
      </c>
      <c r="Q697" t="n">
        <v>0</v>
      </c>
      <c r="R697" s="2" t="inlineStr"/>
    </row>
    <row r="698" ht="15" customHeight="1">
      <c r="A698" t="inlineStr">
        <is>
          <t>A 38886-2025</t>
        </is>
      </c>
      <c r="B698" s="1" t="n">
        <v>45887.58370370371</v>
      </c>
      <c r="C698" s="1" t="n">
        <v>46104</v>
      </c>
      <c r="D698" t="inlineStr">
        <is>
          <t>UPPSALA LÄN</t>
        </is>
      </c>
      <c r="E698" t="inlineStr">
        <is>
          <t>ÖSTHAMMAR</t>
        </is>
      </c>
      <c r="F698" t="inlineStr">
        <is>
          <t>Bergvik skog öst AB</t>
        </is>
      </c>
      <c r="G698" t="n">
        <v>4.7</v>
      </c>
      <c r="H698" t="n">
        <v>0</v>
      </c>
      <c r="I698" t="n">
        <v>0</v>
      </c>
      <c r="J698" t="n">
        <v>0</v>
      </c>
      <c r="K698" t="n">
        <v>0</v>
      </c>
      <c r="L698" t="n">
        <v>0</v>
      </c>
      <c r="M698" t="n">
        <v>0</v>
      </c>
      <c r="N698" t="n">
        <v>0</v>
      </c>
      <c r="O698" t="n">
        <v>0</v>
      </c>
      <c r="P698" t="n">
        <v>0</v>
      </c>
      <c r="Q698" t="n">
        <v>0</v>
      </c>
      <c r="R698" s="2" t="inlineStr"/>
    </row>
    <row r="699" ht="15" customHeight="1">
      <c r="A699" t="inlineStr">
        <is>
          <t>A 5344-2025</t>
        </is>
      </c>
      <c r="B699" s="1" t="n">
        <v>45692</v>
      </c>
      <c r="C699" s="1" t="n">
        <v>46104</v>
      </c>
      <c r="D699" t="inlineStr">
        <is>
          <t>UPPSALA LÄN</t>
        </is>
      </c>
      <c r="E699" t="inlineStr">
        <is>
          <t>ÖSTHAMMAR</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36857-2023</t>
        </is>
      </c>
      <c r="B700" s="1" t="n">
        <v>45154.55175925926</v>
      </c>
      <c r="C700" s="1" t="n">
        <v>46104</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1800-2023</t>
        </is>
      </c>
      <c r="B701" s="1" t="n">
        <v>44938</v>
      </c>
      <c r="C701" s="1" t="n">
        <v>46104</v>
      </c>
      <c r="D701" t="inlineStr">
        <is>
          <t>UPPSALA LÄN</t>
        </is>
      </c>
      <c r="E701" t="inlineStr">
        <is>
          <t>ÖSTHAMMAR</t>
        </is>
      </c>
      <c r="G701" t="n">
        <v>1.4</v>
      </c>
      <c r="H701" t="n">
        <v>0</v>
      </c>
      <c r="I701" t="n">
        <v>0</v>
      </c>
      <c r="J701" t="n">
        <v>0</v>
      </c>
      <c r="K701" t="n">
        <v>0</v>
      </c>
      <c r="L701" t="n">
        <v>0</v>
      </c>
      <c r="M701" t="n">
        <v>0</v>
      </c>
      <c r="N701" t="n">
        <v>0</v>
      </c>
      <c r="O701" t="n">
        <v>0</v>
      </c>
      <c r="P701" t="n">
        <v>0</v>
      </c>
      <c r="Q701" t="n">
        <v>0</v>
      </c>
      <c r="R701" s="2" t="inlineStr"/>
    </row>
    <row r="702" ht="15" customHeight="1">
      <c r="A702" t="inlineStr">
        <is>
          <t>A 8699-2025</t>
        </is>
      </c>
      <c r="B702" s="1" t="n">
        <v>45712.47983796296</v>
      </c>
      <c r="C702" s="1" t="n">
        <v>46104</v>
      </c>
      <c r="D702" t="inlineStr">
        <is>
          <t>UPPSALA LÄN</t>
        </is>
      </c>
      <c r="E702" t="inlineStr">
        <is>
          <t>ÖSTHAMMAR</t>
        </is>
      </c>
      <c r="G702" t="n">
        <v>5.6</v>
      </c>
      <c r="H702" t="n">
        <v>0</v>
      </c>
      <c r="I702" t="n">
        <v>0</v>
      </c>
      <c r="J702" t="n">
        <v>0</v>
      </c>
      <c r="K702" t="n">
        <v>0</v>
      </c>
      <c r="L702" t="n">
        <v>0</v>
      </c>
      <c r="M702" t="n">
        <v>0</v>
      </c>
      <c r="N702" t="n">
        <v>0</v>
      </c>
      <c r="O702" t="n">
        <v>0</v>
      </c>
      <c r="P702" t="n">
        <v>0</v>
      </c>
      <c r="Q702" t="n">
        <v>0</v>
      </c>
      <c r="R702" s="2" t="inlineStr"/>
    </row>
    <row r="703" ht="15" customHeight="1">
      <c r="A703" t="inlineStr">
        <is>
          <t>A 8791-2025</t>
        </is>
      </c>
      <c r="B703" s="1" t="n">
        <v>45712</v>
      </c>
      <c r="C703" s="1" t="n">
        <v>46104</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31485-2023</t>
        </is>
      </c>
      <c r="B704" s="1" t="n">
        <v>45114</v>
      </c>
      <c r="C704" s="1" t="n">
        <v>46104</v>
      </c>
      <c r="D704" t="inlineStr">
        <is>
          <t>UPPSALA LÄN</t>
        </is>
      </c>
      <c r="E704" t="inlineStr">
        <is>
          <t>ÖSTHAMMAR</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25897-2023</t>
        </is>
      </c>
      <c r="B705" s="1" t="n">
        <v>45090.63300925926</v>
      </c>
      <c r="C705" s="1" t="n">
        <v>46104</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4101-2022</t>
        </is>
      </c>
      <c r="B706" s="1" t="n">
        <v>44588</v>
      </c>
      <c r="C706" s="1" t="n">
        <v>46104</v>
      </c>
      <c r="D706" t="inlineStr">
        <is>
          <t>UPPSALA LÄN</t>
        </is>
      </c>
      <c r="E706" t="inlineStr">
        <is>
          <t>ÖSTHAMMAR</t>
        </is>
      </c>
      <c r="G706" t="n">
        <v>4.4</v>
      </c>
      <c r="H706" t="n">
        <v>0</v>
      </c>
      <c r="I706" t="n">
        <v>0</v>
      </c>
      <c r="J706" t="n">
        <v>0</v>
      </c>
      <c r="K706" t="n">
        <v>0</v>
      </c>
      <c r="L706" t="n">
        <v>0</v>
      </c>
      <c r="M706" t="n">
        <v>0</v>
      </c>
      <c r="N706" t="n">
        <v>0</v>
      </c>
      <c r="O706" t="n">
        <v>0</v>
      </c>
      <c r="P706" t="n">
        <v>0</v>
      </c>
      <c r="Q706" t="n">
        <v>0</v>
      </c>
      <c r="R706" s="2" t="inlineStr"/>
    </row>
    <row r="707" ht="15" customHeight="1">
      <c r="A707" t="inlineStr">
        <is>
          <t>A 2839-2025</t>
        </is>
      </c>
      <c r="B707" s="1" t="n">
        <v>45677</v>
      </c>
      <c r="C707" s="1" t="n">
        <v>46104</v>
      </c>
      <c r="D707" t="inlineStr">
        <is>
          <t>UPPSALA LÄN</t>
        </is>
      </c>
      <c r="E707" t="inlineStr">
        <is>
          <t>ÖSTHAMMAR</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67848-2021</t>
        </is>
      </c>
      <c r="B708" s="1" t="n">
        <v>44525</v>
      </c>
      <c r="C708" s="1" t="n">
        <v>46104</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38600-2023</t>
        </is>
      </c>
      <c r="B709" s="1" t="n">
        <v>45162</v>
      </c>
      <c r="C709" s="1" t="n">
        <v>46104</v>
      </c>
      <c r="D709" t="inlineStr">
        <is>
          <t>UPPSALA LÄN</t>
        </is>
      </c>
      <c r="E709" t="inlineStr">
        <is>
          <t>ÖSTHAMMAR</t>
        </is>
      </c>
      <c r="F709" t="inlineStr">
        <is>
          <t>Bergvik skog väst AB</t>
        </is>
      </c>
      <c r="G709" t="n">
        <v>0.1</v>
      </c>
      <c r="H709" t="n">
        <v>0</v>
      </c>
      <c r="I709" t="n">
        <v>0</v>
      </c>
      <c r="J709" t="n">
        <v>0</v>
      </c>
      <c r="K709" t="n">
        <v>0</v>
      </c>
      <c r="L709" t="n">
        <v>0</v>
      </c>
      <c r="M709" t="n">
        <v>0</v>
      </c>
      <c r="N709" t="n">
        <v>0</v>
      </c>
      <c r="O709" t="n">
        <v>0</v>
      </c>
      <c r="P709" t="n">
        <v>0</v>
      </c>
      <c r="Q709" t="n">
        <v>0</v>
      </c>
      <c r="R709" s="2" t="inlineStr"/>
    </row>
    <row r="710" ht="15" customHeight="1">
      <c r="A710" t="inlineStr">
        <is>
          <t>A 64811-2021</t>
        </is>
      </c>
      <c r="B710" s="1" t="n">
        <v>44512</v>
      </c>
      <c r="C710" s="1" t="n">
        <v>46104</v>
      </c>
      <c r="D710" t="inlineStr">
        <is>
          <t>UPPSALA LÄN</t>
        </is>
      </c>
      <c r="E710" t="inlineStr">
        <is>
          <t>ÖSTHAMMAR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56382-2022</t>
        </is>
      </c>
      <c r="B711" s="1" t="n">
        <v>44890.75795138889</v>
      </c>
      <c r="C711" s="1" t="n">
        <v>46104</v>
      </c>
      <c r="D711" t="inlineStr">
        <is>
          <t>UPPSALA LÄN</t>
        </is>
      </c>
      <c r="E711" t="inlineStr">
        <is>
          <t>ÖSTHAMMAR</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57043-2022</t>
        </is>
      </c>
      <c r="B712" s="1" t="n">
        <v>44895.36748842592</v>
      </c>
      <c r="C712" s="1" t="n">
        <v>46104</v>
      </c>
      <c r="D712" t="inlineStr">
        <is>
          <t>UPPSALA LÄN</t>
        </is>
      </c>
      <c r="E712" t="inlineStr">
        <is>
          <t>ÖSTHAMMAR</t>
        </is>
      </c>
      <c r="F712" t="inlineStr">
        <is>
          <t>Bergvik skog öst AB</t>
        </is>
      </c>
      <c r="G712" t="n">
        <v>5.7</v>
      </c>
      <c r="H712" t="n">
        <v>0</v>
      </c>
      <c r="I712" t="n">
        <v>0</v>
      </c>
      <c r="J712" t="n">
        <v>0</v>
      </c>
      <c r="K712" t="n">
        <v>0</v>
      </c>
      <c r="L712" t="n">
        <v>0</v>
      </c>
      <c r="M712" t="n">
        <v>0</v>
      </c>
      <c r="N712" t="n">
        <v>0</v>
      </c>
      <c r="O712" t="n">
        <v>0</v>
      </c>
      <c r="P712" t="n">
        <v>0</v>
      </c>
      <c r="Q712" t="n">
        <v>0</v>
      </c>
      <c r="R712" s="2" t="inlineStr"/>
    </row>
    <row r="713" ht="15" customHeight="1">
      <c r="A713" t="inlineStr">
        <is>
          <t>A 59880-2022</t>
        </is>
      </c>
      <c r="B713" s="1" t="n">
        <v>44908.69575231482</v>
      </c>
      <c r="C713" s="1" t="n">
        <v>46104</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7944-2023</t>
        </is>
      </c>
      <c r="B714" s="1" t="n">
        <v>44973.66458333333</v>
      </c>
      <c r="C714" s="1" t="n">
        <v>46104</v>
      </c>
      <c r="D714" t="inlineStr">
        <is>
          <t>UPPSALA LÄN</t>
        </is>
      </c>
      <c r="E714" t="inlineStr">
        <is>
          <t>ÖSTHAMMAR</t>
        </is>
      </c>
      <c r="G714" t="n">
        <v>4.6</v>
      </c>
      <c r="H714" t="n">
        <v>0</v>
      </c>
      <c r="I714" t="n">
        <v>0</v>
      </c>
      <c r="J714" t="n">
        <v>0</v>
      </c>
      <c r="K714" t="n">
        <v>0</v>
      </c>
      <c r="L714" t="n">
        <v>0</v>
      </c>
      <c r="M714" t="n">
        <v>0</v>
      </c>
      <c r="N714" t="n">
        <v>0</v>
      </c>
      <c r="O714" t="n">
        <v>0</v>
      </c>
      <c r="P714" t="n">
        <v>0</v>
      </c>
      <c r="Q714" t="n">
        <v>0</v>
      </c>
      <c r="R714" s="2" t="inlineStr"/>
    </row>
    <row r="715" ht="15" customHeight="1">
      <c r="A715" t="inlineStr">
        <is>
          <t>A 52659-2021</t>
        </is>
      </c>
      <c r="B715" s="1" t="n">
        <v>44466</v>
      </c>
      <c r="C715" s="1" t="n">
        <v>46104</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7216-2025</t>
        </is>
      </c>
      <c r="B716" s="1" t="n">
        <v>45702.47630787037</v>
      </c>
      <c r="C716" s="1" t="n">
        <v>46104</v>
      </c>
      <c r="D716" t="inlineStr">
        <is>
          <t>UPPSALA LÄN</t>
        </is>
      </c>
      <c r="E716" t="inlineStr">
        <is>
          <t>ÖSTHAMMAR</t>
        </is>
      </c>
      <c r="F716" t="inlineStr">
        <is>
          <t>Övriga Aktiebolag</t>
        </is>
      </c>
      <c r="G716" t="n">
        <v>12.5</v>
      </c>
      <c r="H716" t="n">
        <v>0</v>
      </c>
      <c r="I716" t="n">
        <v>0</v>
      </c>
      <c r="J716" t="n">
        <v>0</v>
      </c>
      <c r="K716" t="n">
        <v>0</v>
      </c>
      <c r="L716" t="n">
        <v>0</v>
      </c>
      <c r="M716" t="n">
        <v>0</v>
      </c>
      <c r="N716" t="n">
        <v>0</v>
      </c>
      <c r="O716" t="n">
        <v>0</v>
      </c>
      <c r="P716" t="n">
        <v>0</v>
      </c>
      <c r="Q716" t="n">
        <v>0</v>
      </c>
      <c r="R716" s="2" t="inlineStr"/>
    </row>
    <row r="717" ht="15" customHeight="1">
      <c r="A717" t="inlineStr">
        <is>
          <t>A 73965-2021</t>
        </is>
      </c>
      <c r="B717" s="1" t="n">
        <v>44553.80824074074</v>
      </c>
      <c r="C717" s="1" t="n">
        <v>46104</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3418-2025</t>
        </is>
      </c>
      <c r="B718" s="1" t="n">
        <v>45680</v>
      </c>
      <c r="C718" s="1" t="n">
        <v>46104</v>
      </c>
      <c r="D718" t="inlineStr">
        <is>
          <t>UPPSALA LÄN</t>
        </is>
      </c>
      <c r="E718" t="inlineStr">
        <is>
          <t>ÖSTHAMMAR</t>
        </is>
      </c>
      <c r="F718" t="inlineStr">
        <is>
          <t>Bergvik skog väst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3420-2025</t>
        </is>
      </c>
      <c r="B719" s="1" t="n">
        <v>45680</v>
      </c>
      <c r="C719" s="1" t="n">
        <v>46104</v>
      </c>
      <c r="D719" t="inlineStr">
        <is>
          <t>UPPSALA LÄN</t>
        </is>
      </c>
      <c r="E719" t="inlineStr">
        <is>
          <t>ÖSTHAMMAR</t>
        </is>
      </c>
      <c r="F719" t="inlineStr">
        <is>
          <t>Bergvik skog väst AB</t>
        </is>
      </c>
      <c r="G719" t="n">
        <v>3.6</v>
      </c>
      <c r="H719" t="n">
        <v>0</v>
      </c>
      <c r="I719" t="n">
        <v>0</v>
      </c>
      <c r="J719" t="n">
        <v>0</v>
      </c>
      <c r="K719" t="n">
        <v>0</v>
      </c>
      <c r="L719" t="n">
        <v>0</v>
      </c>
      <c r="M719" t="n">
        <v>0</v>
      </c>
      <c r="N719" t="n">
        <v>0</v>
      </c>
      <c r="O719" t="n">
        <v>0</v>
      </c>
      <c r="P719" t="n">
        <v>0</v>
      </c>
      <c r="Q719" t="n">
        <v>0</v>
      </c>
      <c r="R719" s="2" t="inlineStr"/>
    </row>
    <row r="720" ht="15" customHeight="1">
      <c r="A720" t="inlineStr">
        <is>
          <t>A 5303-2025</t>
        </is>
      </c>
      <c r="B720" s="1" t="n">
        <v>45692</v>
      </c>
      <c r="C720" s="1" t="n">
        <v>46104</v>
      </c>
      <c r="D720" t="inlineStr">
        <is>
          <t>UPPSALA LÄN</t>
        </is>
      </c>
      <c r="E720" t="inlineStr">
        <is>
          <t>ÖSTHAMMAR</t>
        </is>
      </c>
      <c r="G720" t="n">
        <v>5</v>
      </c>
      <c r="H720" t="n">
        <v>0</v>
      </c>
      <c r="I720" t="n">
        <v>0</v>
      </c>
      <c r="J720" t="n">
        <v>0</v>
      </c>
      <c r="K720" t="n">
        <v>0</v>
      </c>
      <c r="L720" t="n">
        <v>0</v>
      </c>
      <c r="M720" t="n">
        <v>0</v>
      </c>
      <c r="N720" t="n">
        <v>0</v>
      </c>
      <c r="O720" t="n">
        <v>0</v>
      </c>
      <c r="P720" t="n">
        <v>0</v>
      </c>
      <c r="Q720" t="n">
        <v>0</v>
      </c>
      <c r="R720" s="2" t="inlineStr"/>
    </row>
    <row r="721" ht="15" customHeight="1">
      <c r="A721" t="inlineStr">
        <is>
          <t>A 52661-2022</t>
        </is>
      </c>
      <c r="B721" s="1" t="n">
        <v>44874</v>
      </c>
      <c r="C721" s="1" t="n">
        <v>46104</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65028-2021</t>
        </is>
      </c>
      <c r="B722" s="1" t="n">
        <v>44515</v>
      </c>
      <c r="C722" s="1" t="n">
        <v>46104</v>
      </c>
      <c r="D722" t="inlineStr">
        <is>
          <t>UPPSALA LÄN</t>
        </is>
      </c>
      <c r="E722" t="inlineStr">
        <is>
          <t>ÖSTHAMMAR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40547-2023</t>
        </is>
      </c>
      <c r="B723" s="1" t="n">
        <v>45170.45050925926</v>
      </c>
      <c r="C723" s="1" t="n">
        <v>46104</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8874-2025</t>
        </is>
      </c>
      <c r="B724" s="1" t="n">
        <v>45713</v>
      </c>
      <c r="C724" s="1" t="n">
        <v>46104</v>
      </c>
      <c r="D724" t="inlineStr">
        <is>
          <t>UPPSALA LÄN</t>
        </is>
      </c>
      <c r="E724" t="inlineStr">
        <is>
          <t>ÖSTHAMMAR</t>
        </is>
      </c>
      <c r="G724" t="n">
        <v>6.3</v>
      </c>
      <c r="H724" t="n">
        <v>0</v>
      </c>
      <c r="I724" t="n">
        <v>0</v>
      </c>
      <c r="J724" t="n">
        <v>0</v>
      </c>
      <c r="K724" t="n">
        <v>0</v>
      </c>
      <c r="L724" t="n">
        <v>0</v>
      </c>
      <c r="M724" t="n">
        <v>0</v>
      </c>
      <c r="N724" t="n">
        <v>0</v>
      </c>
      <c r="O724" t="n">
        <v>0</v>
      </c>
      <c r="P724" t="n">
        <v>0</v>
      </c>
      <c r="Q724" t="n">
        <v>0</v>
      </c>
      <c r="R724" s="2" t="inlineStr"/>
    </row>
    <row r="725" ht="15" customHeight="1">
      <c r="A725" t="inlineStr">
        <is>
          <t>A 14505-2023</t>
        </is>
      </c>
      <c r="B725" s="1" t="n">
        <v>45012.7975</v>
      </c>
      <c r="C725" s="1" t="n">
        <v>46104</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47341-2023</t>
        </is>
      </c>
      <c r="B726" s="1" t="n">
        <v>45202.55721064815</v>
      </c>
      <c r="C726" s="1" t="n">
        <v>46104</v>
      </c>
      <c r="D726" t="inlineStr">
        <is>
          <t>UPPSALA LÄN</t>
        </is>
      </c>
      <c r="E726" t="inlineStr">
        <is>
          <t>ÖSTHAMMAR</t>
        </is>
      </c>
      <c r="G726" t="n">
        <v>4.9</v>
      </c>
      <c r="H726" t="n">
        <v>0</v>
      </c>
      <c r="I726" t="n">
        <v>0</v>
      </c>
      <c r="J726" t="n">
        <v>0</v>
      </c>
      <c r="K726" t="n">
        <v>0</v>
      </c>
      <c r="L726" t="n">
        <v>0</v>
      </c>
      <c r="M726" t="n">
        <v>0</v>
      </c>
      <c r="N726" t="n">
        <v>0</v>
      </c>
      <c r="O726" t="n">
        <v>0</v>
      </c>
      <c r="P726" t="n">
        <v>0</v>
      </c>
      <c r="Q726" t="n">
        <v>0</v>
      </c>
      <c r="R726" s="2" t="inlineStr"/>
    </row>
    <row r="727" ht="15" customHeight="1">
      <c r="A727" t="inlineStr">
        <is>
          <t>A 3732-2022</t>
        </is>
      </c>
      <c r="B727" s="1" t="n">
        <v>44586.64851851852</v>
      </c>
      <c r="C727" s="1" t="n">
        <v>46104</v>
      </c>
      <c r="D727" t="inlineStr">
        <is>
          <t>UPPSALA LÄN</t>
        </is>
      </c>
      <c r="E727" t="inlineStr">
        <is>
          <t>ÖSTHAMMAR</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33056-2021</t>
        </is>
      </c>
      <c r="B728" s="1" t="n">
        <v>44376.52438657408</v>
      </c>
      <c r="C728" s="1" t="n">
        <v>46104</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25269-2024</t>
        </is>
      </c>
      <c r="B729" s="1" t="n">
        <v>45462</v>
      </c>
      <c r="C729" s="1" t="n">
        <v>46104</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13352-2023</t>
        </is>
      </c>
      <c r="B730" s="1" t="n">
        <v>45005</v>
      </c>
      <c r="C730" s="1" t="n">
        <v>46104</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46104</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45795-2023</t>
        </is>
      </c>
      <c r="B732" s="1" t="n">
        <v>45195</v>
      </c>
      <c r="C732" s="1" t="n">
        <v>46104</v>
      </c>
      <c r="D732" t="inlineStr">
        <is>
          <t>UPPSALA LÄN</t>
        </is>
      </c>
      <c r="E732" t="inlineStr">
        <is>
          <t>ÖSTHAMMAR</t>
        </is>
      </c>
      <c r="G732" t="n">
        <v>4</v>
      </c>
      <c r="H732" t="n">
        <v>0</v>
      </c>
      <c r="I732" t="n">
        <v>0</v>
      </c>
      <c r="J732" t="n">
        <v>0</v>
      </c>
      <c r="K732" t="n">
        <v>0</v>
      </c>
      <c r="L732" t="n">
        <v>0</v>
      </c>
      <c r="M732" t="n">
        <v>0</v>
      </c>
      <c r="N732" t="n">
        <v>0</v>
      </c>
      <c r="O732" t="n">
        <v>0</v>
      </c>
      <c r="P732" t="n">
        <v>0</v>
      </c>
      <c r="Q732" t="n">
        <v>0</v>
      </c>
      <c r="R732" s="2" t="inlineStr"/>
    </row>
    <row r="733" ht="15" customHeight="1">
      <c r="A733" t="inlineStr">
        <is>
          <t>A 7997-2022</t>
        </is>
      </c>
      <c r="B733" s="1" t="n">
        <v>44609</v>
      </c>
      <c r="C733" s="1" t="n">
        <v>46104</v>
      </c>
      <c r="D733" t="inlineStr">
        <is>
          <t>UPPSALA LÄN</t>
        </is>
      </c>
      <c r="E733" t="inlineStr">
        <is>
          <t>ÖSTHAMMAR</t>
        </is>
      </c>
      <c r="G733" t="n">
        <v>1.8</v>
      </c>
      <c r="H733" t="n">
        <v>0</v>
      </c>
      <c r="I733" t="n">
        <v>0</v>
      </c>
      <c r="J733" t="n">
        <v>0</v>
      </c>
      <c r="K733" t="n">
        <v>0</v>
      </c>
      <c r="L733" t="n">
        <v>0</v>
      </c>
      <c r="M733" t="n">
        <v>0</v>
      </c>
      <c r="N733" t="n">
        <v>0</v>
      </c>
      <c r="O733" t="n">
        <v>0</v>
      </c>
      <c r="P733" t="n">
        <v>0</v>
      </c>
      <c r="Q733" t="n">
        <v>0</v>
      </c>
      <c r="R733" s="2" t="inlineStr"/>
    </row>
    <row r="734" ht="15" customHeight="1">
      <c r="A734" t="inlineStr">
        <is>
          <t>A 67199-2021</t>
        </is>
      </c>
      <c r="B734" s="1" t="n">
        <v>44523.46197916667</v>
      </c>
      <c r="C734" s="1" t="n">
        <v>46104</v>
      </c>
      <c r="D734" t="inlineStr">
        <is>
          <t>UPPSALA LÄN</t>
        </is>
      </c>
      <c r="E734" t="inlineStr">
        <is>
          <t>ÖSTHAMMAR</t>
        </is>
      </c>
      <c r="G734" t="n">
        <v>2.3</v>
      </c>
      <c r="H734" t="n">
        <v>0</v>
      </c>
      <c r="I734" t="n">
        <v>0</v>
      </c>
      <c r="J734" t="n">
        <v>0</v>
      </c>
      <c r="K734" t="n">
        <v>0</v>
      </c>
      <c r="L734" t="n">
        <v>0</v>
      </c>
      <c r="M734" t="n">
        <v>0</v>
      </c>
      <c r="N734" t="n">
        <v>0</v>
      </c>
      <c r="O734" t="n">
        <v>0</v>
      </c>
      <c r="P734" t="n">
        <v>0</v>
      </c>
      <c r="Q734" t="n">
        <v>0</v>
      </c>
      <c r="R734" s="2" t="inlineStr"/>
    </row>
    <row r="735" ht="15" customHeight="1">
      <c r="A735" t="inlineStr">
        <is>
          <t>A 15449-2022</t>
        </is>
      </c>
      <c r="B735" s="1" t="n">
        <v>44660.91659722223</v>
      </c>
      <c r="C735" s="1" t="n">
        <v>46104</v>
      </c>
      <c r="D735" t="inlineStr">
        <is>
          <t>UPPSALA LÄN</t>
        </is>
      </c>
      <c r="E735" t="inlineStr">
        <is>
          <t>ÖSTHAMMAR</t>
        </is>
      </c>
      <c r="F735" t="inlineStr">
        <is>
          <t>Bergvik skog öst AB</t>
        </is>
      </c>
      <c r="G735" t="n">
        <v>2</v>
      </c>
      <c r="H735" t="n">
        <v>0</v>
      </c>
      <c r="I735" t="n">
        <v>0</v>
      </c>
      <c r="J735" t="n">
        <v>0</v>
      </c>
      <c r="K735" t="n">
        <v>0</v>
      </c>
      <c r="L735" t="n">
        <v>0</v>
      </c>
      <c r="M735" t="n">
        <v>0</v>
      </c>
      <c r="N735" t="n">
        <v>0</v>
      </c>
      <c r="O735" t="n">
        <v>0</v>
      </c>
      <c r="P735" t="n">
        <v>0</v>
      </c>
      <c r="Q735" t="n">
        <v>0</v>
      </c>
      <c r="R735" s="2" t="inlineStr"/>
    </row>
    <row r="736" ht="15" customHeight="1">
      <c r="A736" t="inlineStr">
        <is>
          <t>A 18183-2022</t>
        </is>
      </c>
      <c r="B736" s="1" t="n">
        <v>44684</v>
      </c>
      <c r="C736" s="1" t="n">
        <v>46104</v>
      </c>
      <c r="D736" t="inlineStr">
        <is>
          <t>UPPSALA LÄN</t>
        </is>
      </c>
      <c r="E736" t="inlineStr">
        <is>
          <t>ÖSTHAMMAR</t>
        </is>
      </c>
      <c r="G736" t="n">
        <v>0.2</v>
      </c>
      <c r="H736" t="n">
        <v>0</v>
      </c>
      <c r="I736" t="n">
        <v>0</v>
      </c>
      <c r="J736" t="n">
        <v>0</v>
      </c>
      <c r="K736" t="n">
        <v>0</v>
      </c>
      <c r="L736" t="n">
        <v>0</v>
      </c>
      <c r="M736" t="n">
        <v>0</v>
      </c>
      <c r="N736" t="n">
        <v>0</v>
      </c>
      <c r="O736" t="n">
        <v>0</v>
      </c>
      <c r="P736" t="n">
        <v>0</v>
      </c>
      <c r="Q736" t="n">
        <v>0</v>
      </c>
      <c r="R736" s="2" t="inlineStr"/>
    </row>
    <row r="737" ht="15" customHeight="1">
      <c r="A737" t="inlineStr">
        <is>
          <t>A 6892-2022</t>
        </is>
      </c>
      <c r="B737" s="1" t="n">
        <v>44602</v>
      </c>
      <c r="C737" s="1" t="n">
        <v>46104</v>
      </c>
      <c r="D737" t="inlineStr">
        <is>
          <t>UPPSALA LÄN</t>
        </is>
      </c>
      <c r="E737" t="inlineStr">
        <is>
          <t>ÖSTHAMMAR</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62295-2022</t>
        </is>
      </c>
      <c r="B738" s="1" t="n">
        <v>44916</v>
      </c>
      <c r="C738" s="1" t="n">
        <v>46104</v>
      </c>
      <c r="D738" t="inlineStr">
        <is>
          <t>UPPSALA LÄN</t>
        </is>
      </c>
      <c r="E738" t="inlineStr">
        <is>
          <t>ÖSTHAMMAR</t>
        </is>
      </c>
      <c r="G738" t="n">
        <v>3.3</v>
      </c>
      <c r="H738" t="n">
        <v>0</v>
      </c>
      <c r="I738" t="n">
        <v>0</v>
      </c>
      <c r="J738" t="n">
        <v>0</v>
      </c>
      <c r="K738" t="n">
        <v>0</v>
      </c>
      <c r="L738" t="n">
        <v>0</v>
      </c>
      <c r="M738" t="n">
        <v>0</v>
      </c>
      <c r="N738" t="n">
        <v>0</v>
      </c>
      <c r="O738" t="n">
        <v>0</v>
      </c>
      <c r="P738" t="n">
        <v>0</v>
      </c>
      <c r="Q738" t="n">
        <v>0</v>
      </c>
      <c r="R738" s="2" t="inlineStr"/>
    </row>
    <row r="739" ht="15" customHeight="1">
      <c r="A739" t="inlineStr">
        <is>
          <t>A 8830-2023</t>
        </is>
      </c>
      <c r="B739" s="1" t="n">
        <v>44978</v>
      </c>
      <c r="C739" s="1" t="n">
        <v>46104</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18091-2023</t>
        </is>
      </c>
      <c r="B740" s="1" t="n">
        <v>45040</v>
      </c>
      <c r="C740" s="1" t="n">
        <v>46104</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47522-2023</t>
        </is>
      </c>
      <c r="B741" s="1" t="n">
        <v>45203</v>
      </c>
      <c r="C741" s="1" t="n">
        <v>46104</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13358-2024</t>
        </is>
      </c>
      <c r="B742" s="1" t="n">
        <v>45387.3503125</v>
      </c>
      <c r="C742" s="1" t="n">
        <v>46104</v>
      </c>
      <c r="D742" t="inlineStr">
        <is>
          <t>UPPSALA LÄN</t>
        </is>
      </c>
      <c r="E742" t="inlineStr">
        <is>
          <t>ÖSTHAMMAR</t>
        </is>
      </c>
      <c r="G742" t="n">
        <v>2.2</v>
      </c>
      <c r="H742" t="n">
        <v>0</v>
      </c>
      <c r="I742" t="n">
        <v>0</v>
      </c>
      <c r="J742" t="n">
        <v>0</v>
      </c>
      <c r="K742" t="n">
        <v>0</v>
      </c>
      <c r="L742" t="n">
        <v>0</v>
      </c>
      <c r="M742" t="n">
        <v>0</v>
      </c>
      <c r="N742" t="n">
        <v>0</v>
      </c>
      <c r="O742" t="n">
        <v>0</v>
      </c>
      <c r="P742" t="n">
        <v>0</v>
      </c>
      <c r="Q742" t="n">
        <v>0</v>
      </c>
      <c r="R742" s="2" t="inlineStr"/>
    </row>
    <row r="743" ht="15" customHeight="1">
      <c r="A743" t="inlineStr">
        <is>
          <t>A 29282-2021</t>
        </is>
      </c>
      <c r="B743" s="1" t="n">
        <v>44361</v>
      </c>
      <c r="C743" s="1" t="n">
        <v>46104</v>
      </c>
      <c r="D743" t="inlineStr">
        <is>
          <t>UPPSALA LÄN</t>
        </is>
      </c>
      <c r="E743" t="inlineStr">
        <is>
          <t>ÖSTHAMMAR</t>
        </is>
      </c>
      <c r="G743" t="n">
        <v>2.4</v>
      </c>
      <c r="H743" t="n">
        <v>0</v>
      </c>
      <c r="I743" t="n">
        <v>0</v>
      </c>
      <c r="J743" t="n">
        <v>0</v>
      </c>
      <c r="K743" t="n">
        <v>0</v>
      </c>
      <c r="L743" t="n">
        <v>0</v>
      </c>
      <c r="M743" t="n">
        <v>0</v>
      </c>
      <c r="N743" t="n">
        <v>0</v>
      </c>
      <c r="O743" t="n">
        <v>0</v>
      </c>
      <c r="P743" t="n">
        <v>0</v>
      </c>
      <c r="Q743" t="n">
        <v>0</v>
      </c>
      <c r="R743" s="2" t="inlineStr"/>
    </row>
    <row r="744" ht="15" customHeight="1">
      <c r="A744" t="inlineStr">
        <is>
          <t>A 54366-2023</t>
        </is>
      </c>
      <c r="B744" s="1" t="n">
        <v>45233</v>
      </c>
      <c r="C744" s="1" t="n">
        <v>46104</v>
      </c>
      <c r="D744" t="inlineStr">
        <is>
          <t>UPPSALA LÄN</t>
        </is>
      </c>
      <c r="E744" t="inlineStr">
        <is>
          <t>ÖSTHAMMAR</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52694-2023</t>
        </is>
      </c>
      <c r="B745" s="1" t="n">
        <v>45225.76836805556</v>
      </c>
      <c r="C745" s="1" t="n">
        <v>46104</v>
      </c>
      <c r="D745" t="inlineStr">
        <is>
          <t>UPPSALA LÄN</t>
        </is>
      </c>
      <c r="E745" t="inlineStr">
        <is>
          <t>ÖSTHAMMAR</t>
        </is>
      </c>
      <c r="G745" t="n">
        <v>0.8</v>
      </c>
      <c r="H745" t="n">
        <v>0</v>
      </c>
      <c r="I745" t="n">
        <v>0</v>
      </c>
      <c r="J745" t="n">
        <v>0</v>
      </c>
      <c r="K745" t="n">
        <v>0</v>
      </c>
      <c r="L745" t="n">
        <v>0</v>
      </c>
      <c r="M745" t="n">
        <v>0</v>
      </c>
      <c r="N745" t="n">
        <v>0</v>
      </c>
      <c r="O745" t="n">
        <v>0</v>
      </c>
      <c r="P745" t="n">
        <v>0</v>
      </c>
      <c r="Q745" t="n">
        <v>0</v>
      </c>
      <c r="R745" s="2" t="inlineStr"/>
    </row>
    <row r="746" ht="15" customHeight="1">
      <c r="A746" t="inlineStr">
        <is>
          <t>A 23120-2021</t>
        </is>
      </c>
      <c r="B746" s="1" t="n">
        <v>44330</v>
      </c>
      <c r="C746" s="1" t="n">
        <v>46104</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36873-2022</t>
        </is>
      </c>
      <c r="B747" s="1" t="n">
        <v>44805.63708333333</v>
      </c>
      <c r="C747" s="1" t="n">
        <v>46104</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54666-2022</t>
        </is>
      </c>
      <c r="B748" s="1" t="n">
        <v>44883</v>
      </c>
      <c r="C748" s="1" t="n">
        <v>46104</v>
      </c>
      <c r="D748" t="inlineStr">
        <is>
          <t>UPPSALA LÄN</t>
        </is>
      </c>
      <c r="E748" t="inlineStr">
        <is>
          <t>ÖSTHAMMAR</t>
        </is>
      </c>
      <c r="G748" t="n">
        <v>14.3</v>
      </c>
      <c r="H748" t="n">
        <v>0</v>
      </c>
      <c r="I748" t="n">
        <v>0</v>
      </c>
      <c r="J748" t="n">
        <v>0</v>
      </c>
      <c r="K748" t="n">
        <v>0</v>
      </c>
      <c r="L748" t="n">
        <v>0</v>
      </c>
      <c r="M748" t="n">
        <v>0</v>
      </c>
      <c r="N748" t="n">
        <v>0</v>
      </c>
      <c r="O748" t="n">
        <v>0</v>
      </c>
      <c r="P748" t="n">
        <v>0</v>
      </c>
      <c r="Q748" t="n">
        <v>0</v>
      </c>
      <c r="R748" s="2" t="inlineStr"/>
    </row>
    <row r="749" ht="15" customHeight="1">
      <c r="A749" t="inlineStr">
        <is>
          <t>A 61817-2021</t>
        </is>
      </c>
      <c r="B749" s="1" t="n">
        <v>44501.76855324074</v>
      </c>
      <c r="C749" s="1" t="n">
        <v>46104</v>
      </c>
      <c r="D749" t="inlineStr">
        <is>
          <t>UPPSALA LÄN</t>
        </is>
      </c>
      <c r="E749" t="inlineStr">
        <is>
          <t>ÖSTHAMMAR</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54437-2024</t>
        </is>
      </c>
      <c r="B750" s="1" t="n">
        <v>45617</v>
      </c>
      <c r="C750" s="1" t="n">
        <v>46104</v>
      </c>
      <c r="D750" t="inlineStr">
        <is>
          <t>UPPSALA LÄN</t>
        </is>
      </c>
      <c r="E750" t="inlineStr">
        <is>
          <t>ÖSTHAMMAR</t>
        </is>
      </c>
      <c r="G750" t="n">
        <v>2.1</v>
      </c>
      <c r="H750" t="n">
        <v>0</v>
      </c>
      <c r="I750" t="n">
        <v>0</v>
      </c>
      <c r="J750" t="n">
        <v>0</v>
      </c>
      <c r="K750" t="n">
        <v>0</v>
      </c>
      <c r="L750" t="n">
        <v>0</v>
      </c>
      <c r="M750" t="n">
        <v>0</v>
      </c>
      <c r="N750" t="n">
        <v>0</v>
      </c>
      <c r="O750" t="n">
        <v>0</v>
      </c>
      <c r="P750" t="n">
        <v>0</v>
      </c>
      <c r="Q750" t="n">
        <v>0</v>
      </c>
      <c r="R750" s="2" t="inlineStr"/>
    </row>
    <row r="751" ht="15" customHeight="1">
      <c r="A751" t="inlineStr">
        <is>
          <t>A 9052-2023</t>
        </is>
      </c>
      <c r="B751" s="1" t="n">
        <v>44979</v>
      </c>
      <c r="C751" s="1" t="n">
        <v>46104</v>
      </c>
      <c r="D751" t="inlineStr">
        <is>
          <t>UPPSALA LÄN</t>
        </is>
      </c>
      <c r="E751" t="inlineStr">
        <is>
          <t>ÖSTHAMMAR</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28152-2024</t>
        </is>
      </c>
      <c r="B752" s="1" t="n">
        <v>45476.77056712963</v>
      </c>
      <c r="C752" s="1" t="n">
        <v>46104</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20326-2021</t>
        </is>
      </c>
      <c r="B753" s="1" t="n">
        <v>44308</v>
      </c>
      <c r="C753" s="1" t="n">
        <v>46104</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17643-2025</t>
        </is>
      </c>
      <c r="B754" s="1" t="n">
        <v>45758.32454861111</v>
      </c>
      <c r="C754" s="1" t="n">
        <v>46104</v>
      </c>
      <c r="D754" t="inlineStr">
        <is>
          <t>UPPSALA LÄN</t>
        </is>
      </c>
      <c r="E754" t="inlineStr">
        <is>
          <t>ÖSTHAMMAR</t>
        </is>
      </c>
      <c r="F754" t="inlineStr">
        <is>
          <t>Bergvik skog väst AB</t>
        </is>
      </c>
      <c r="G754" t="n">
        <v>2.6</v>
      </c>
      <c r="H754" t="n">
        <v>0</v>
      </c>
      <c r="I754" t="n">
        <v>0</v>
      </c>
      <c r="J754" t="n">
        <v>0</v>
      </c>
      <c r="K754" t="n">
        <v>0</v>
      </c>
      <c r="L754" t="n">
        <v>0</v>
      </c>
      <c r="M754" t="n">
        <v>0</v>
      </c>
      <c r="N754" t="n">
        <v>0</v>
      </c>
      <c r="O754" t="n">
        <v>0</v>
      </c>
      <c r="P754" t="n">
        <v>0</v>
      </c>
      <c r="Q754" t="n">
        <v>0</v>
      </c>
      <c r="R754" s="2" t="inlineStr"/>
    </row>
    <row r="755" ht="15" customHeight="1">
      <c r="A755" t="inlineStr">
        <is>
          <t>A 12262-2023</t>
        </is>
      </c>
      <c r="B755" s="1" t="n">
        <v>44998.66662037037</v>
      </c>
      <c r="C755" s="1" t="n">
        <v>46104</v>
      </c>
      <c r="D755" t="inlineStr">
        <is>
          <t>UPPSALA LÄN</t>
        </is>
      </c>
      <c r="E755" t="inlineStr">
        <is>
          <t>ÖSTHAMMAR</t>
        </is>
      </c>
      <c r="G755" t="n">
        <v>4.1</v>
      </c>
      <c r="H755" t="n">
        <v>0</v>
      </c>
      <c r="I755" t="n">
        <v>0</v>
      </c>
      <c r="J755" t="n">
        <v>0</v>
      </c>
      <c r="K755" t="n">
        <v>0</v>
      </c>
      <c r="L755" t="n">
        <v>0</v>
      </c>
      <c r="M755" t="n">
        <v>0</v>
      </c>
      <c r="N755" t="n">
        <v>0</v>
      </c>
      <c r="O755" t="n">
        <v>0</v>
      </c>
      <c r="P755" t="n">
        <v>0</v>
      </c>
      <c r="Q755" t="n">
        <v>0</v>
      </c>
      <c r="R755" s="2" t="inlineStr"/>
    </row>
    <row r="756" ht="15" customHeight="1">
      <c r="A756" t="inlineStr">
        <is>
          <t>A 41478-2024</t>
        </is>
      </c>
      <c r="B756" s="1" t="n">
        <v>45560.44158564815</v>
      </c>
      <c r="C756" s="1" t="n">
        <v>46104</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16141-2022</t>
        </is>
      </c>
      <c r="B757" s="1" t="n">
        <v>44665</v>
      </c>
      <c r="C757" s="1" t="n">
        <v>46104</v>
      </c>
      <c r="D757" t="inlineStr">
        <is>
          <t>UPPSALA LÄN</t>
        </is>
      </c>
      <c r="E757" t="inlineStr">
        <is>
          <t>ÖSTHAMMAR</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34922-2023</t>
        </is>
      </c>
      <c r="B758" s="1" t="n">
        <v>45142.48359953704</v>
      </c>
      <c r="C758" s="1" t="n">
        <v>46104</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45076.71652777777</v>
      </c>
      <c r="C759" s="1" t="n">
        <v>46104</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38233-2024</t>
        </is>
      </c>
      <c r="B760" s="1" t="n">
        <v>45545</v>
      </c>
      <c r="C760" s="1" t="n">
        <v>46104</v>
      </c>
      <c r="D760" t="inlineStr">
        <is>
          <t>UPPSALA LÄN</t>
        </is>
      </c>
      <c r="E760" t="inlineStr">
        <is>
          <t>ÖSTHAMMAR</t>
        </is>
      </c>
      <c r="G760" t="n">
        <v>3.4</v>
      </c>
      <c r="H760" t="n">
        <v>0</v>
      </c>
      <c r="I760" t="n">
        <v>0</v>
      </c>
      <c r="J760" t="n">
        <v>0</v>
      </c>
      <c r="K760" t="n">
        <v>0</v>
      </c>
      <c r="L760" t="n">
        <v>0</v>
      </c>
      <c r="M760" t="n">
        <v>0</v>
      </c>
      <c r="N760" t="n">
        <v>0</v>
      </c>
      <c r="O760" t="n">
        <v>0</v>
      </c>
      <c r="P760" t="n">
        <v>0</v>
      </c>
      <c r="Q760" t="n">
        <v>0</v>
      </c>
      <c r="R760" s="2" t="inlineStr"/>
    </row>
    <row r="761" ht="15" customHeight="1">
      <c r="A761" t="inlineStr">
        <is>
          <t>A 17947-2022</t>
        </is>
      </c>
      <c r="B761" s="1" t="n">
        <v>44683</v>
      </c>
      <c r="C761" s="1" t="n">
        <v>46104</v>
      </c>
      <c r="D761" t="inlineStr">
        <is>
          <t>UPPSALA LÄN</t>
        </is>
      </c>
      <c r="E761" t="inlineStr">
        <is>
          <t>ÖSTHAMMAR</t>
        </is>
      </c>
      <c r="G761" t="n">
        <v>5.5</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46104</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11547-2022</t>
        </is>
      </c>
      <c r="B763" s="1" t="n">
        <v>44631.43116898148</v>
      </c>
      <c r="C763" s="1" t="n">
        <v>46104</v>
      </c>
      <c r="D763" t="inlineStr">
        <is>
          <t>UPPSALA LÄN</t>
        </is>
      </c>
      <c r="E763" t="inlineStr">
        <is>
          <t>ÖSTHAMMAR</t>
        </is>
      </c>
      <c r="G763" t="n">
        <v>4.4</v>
      </c>
      <c r="H763" t="n">
        <v>0</v>
      </c>
      <c r="I763" t="n">
        <v>0</v>
      </c>
      <c r="J763" t="n">
        <v>0</v>
      </c>
      <c r="K763" t="n">
        <v>0</v>
      </c>
      <c r="L763" t="n">
        <v>0</v>
      </c>
      <c r="M763" t="n">
        <v>0</v>
      </c>
      <c r="N763" t="n">
        <v>0</v>
      </c>
      <c r="O763" t="n">
        <v>0</v>
      </c>
      <c r="P763" t="n">
        <v>0</v>
      </c>
      <c r="Q763" t="n">
        <v>0</v>
      </c>
      <c r="R763" s="2" t="inlineStr"/>
    </row>
    <row r="764" ht="15" customHeight="1">
      <c r="A764" t="inlineStr">
        <is>
          <t>A 4561-2022</t>
        </is>
      </c>
      <c r="B764" s="1" t="n">
        <v>44591.59170138889</v>
      </c>
      <c r="C764" s="1" t="n">
        <v>46104</v>
      </c>
      <c r="D764" t="inlineStr">
        <is>
          <t>UPPSALA LÄN</t>
        </is>
      </c>
      <c r="E764" t="inlineStr">
        <is>
          <t>ÖSTHAMMAR</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23741-2024</t>
        </is>
      </c>
      <c r="B765" s="1" t="n">
        <v>45455</v>
      </c>
      <c r="C765" s="1" t="n">
        <v>46104</v>
      </c>
      <c r="D765" t="inlineStr">
        <is>
          <t>UPPSALA LÄN</t>
        </is>
      </c>
      <c r="E765" t="inlineStr">
        <is>
          <t>ÖSTHAMMAR</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26612-2023</t>
        </is>
      </c>
      <c r="B766" s="1" t="n">
        <v>45089</v>
      </c>
      <c r="C766" s="1" t="n">
        <v>46104</v>
      </c>
      <c r="D766" t="inlineStr">
        <is>
          <t>UPPSALA LÄN</t>
        </is>
      </c>
      <c r="E766" t="inlineStr">
        <is>
          <t>ÖSTHAMMAR</t>
        </is>
      </c>
      <c r="G766" t="n">
        <v>2.1</v>
      </c>
      <c r="H766" t="n">
        <v>0</v>
      </c>
      <c r="I766" t="n">
        <v>0</v>
      </c>
      <c r="J766" t="n">
        <v>0</v>
      </c>
      <c r="K766" t="n">
        <v>0</v>
      </c>
      <c r="L766" t="n">
        <v>0</v>
      </c>
      <c r="M766" t="n">
        <v>0</v>
      </c>
      <c r="N766" t="n">
        <v>0</v>
      </c>
      <c r="O766" t="n">
        <v>0</v>
      </c>
      <c r="P766" t="n">
        <v>0</v>
      </c>
      <c r="Q766" t="n">
        <v>0</v>
      </c>
      <c r="R766" s="2" t="inlineStr"/>
    </row>
    <row r="767" ht="15" customHeight="1">
      <c r="A767" t="inlineStr">
        <is>
          <t>A 32244-2021</t>
        </is>
      </c>
      <c r="B767" s="1" t="n">
        <v>44371.45335648148</v>
      </c>
      <c r="C767" s="1" t="n">
        <v>46104</v>
      </c>
      <c r="D767" t="inlineStr">
        <is>
          <t>UPPSALA LÄN</t>
        </is>
      </c>
      <c r="E767" t="inlineStr">
        <is>
          <t>ÖSTHAMMAR</t>
        </is>
      </c>
      <c r="F767" t="inlineStr">
        <is>
          <t>Bergvik skog öst AB</t>
        </is>
      </c>
      <c r="G767" t="n">
        <v>2.6</v>
      </c>
      <c r="H767" t="n">
        <v>0</v>
      </c>
      <c r="I767" t="n">
        <v>0</v>
      </c>
      <c r="J767" t="n">
        <v>0</v>
      </c>
      <c r="K767" t="n">
        <v>0</v>
      </c>
      <c r="L767" t="n">
        <v>0</v>
      </c>
      <c r="M767" t="n">
        <v>0</v>
      </c>
      <c r="N767" t="n">
        <v>0</v>
      </c>
      <c r="O767" t="n">
        <v>0</v>
      </c>
      <c r="P767" t="n">
        <v>0</v>
      </c>
      <c r="Q767" t="n">
        <v>0</v>
      </c>
      <c r="R767" s="2" t="inlineStr"/>
    </row>
    <row r="768" ht="15" customHeight="1">
      <c r="A768" t="inlineStr">
        <is>
          <t>A 60079-2022</t>
        </is>
      </c>
      <c r="B768" s="1" t="n">
        <v>44909</v>
      </c>
      <c r="C768" s="1" t="n">
        <v>46104</v>
      </c>
      <c r="D768" t="inlineStr">
        <is>
          <t>UPPSALA LÄN</t>
        </is>
      </c>
      <c r="E768" t="inlineStr">
        <is>
          <t>ÖSTHAMMAR</t>
        </is>
      </c>
      <c r="G768" t="n">
        <v>9.6</v>
      </c>
      <c r="H768" t="n">
        <v>0</v>
      </c>
      <c r="I768" t="n">
        <v>0</v>
      </c>
      <c r="J768" t="n">
        <v>0</v>
      </c>
      <c r="K768" t="n">
        <v>0</v>
      </c>
      <c r="L768" t="n">
        <v>0</v>
      </c>
      <c r="M768" t="n">
        <v>0</v>
      </c>
      <c r="N768" t="n">
        <v>0</v>
      </c>
      <c r="O768" t="n">
        <v>0</v>
      </c>
      <c r="P768" t="n">
        <v>0</v>
      </c>
      <c r="Q768" t="n">
        <v>0</v>
      </c>
      <c r="R768" s="2" t="inlineStr"/>
    </row>
    <row r="769" ht="15" customHeight="1">
      <c r="A769" t="inlineStr">
        <is>
          <t>A 40637-2022</t>
        </is>
      </c>
      <c r="B769" s="1" t="n">
        <v>44824</v>
      </c>
      <c r="C769" s="1" t="n">
        <v>46104</v>
      </c>
      <c r="D769" t="inlineStr">
        <is>
          <t>UPPSALA LÄN</t>
        </is>
      </c>
      <c r="E769" t="inlineStr">
        <is>
          <t>ÖSTHAMMAR</t>
        </is>
      </c>
      <c r="F769" t="inlineStr">
        <is>
          <t>Övriga Aktiebolag</t>
        </is>
      </c>
      <c r="G769" t="n">
        <v>3.7</v>
      </c>
      <c r="H769" t="n">
        <v>0</v>
      </c>
      <c r="I769" t="n">
        <v>0</v>
      </c>
      <c r="J769" t="n">
        <v>0</v>
      </c>
      <c r="K769" t="n">
        <v>0</v>
      </c>
      <c r="L769" t="n">
        <v>0</v>
      </c>
      <c r="M769" t="n">
        <v>0</v>
      </c>
      <c r="N769" t="n">
        <v>0</v>
      </c>
      <c r="O769" t="n">
        <v>0</v>
      </c>
      <c r="P769" t="n">
        <v>0</v>
      </c>
      <c r="Q769" t="n">
        <v>0</v>
      </c>
      <c r="R769" s="2" t="inlineStr"/>
    </row>
    <row r="770" ht="15" customHeight="1">
      <c r="A770" t="inlineStr">
        <is>
          <t>A 56260-2022</t>
        </is>
      </c>
      <c r="B770" s="1" t="n">
        <v>44890</v>
      </c>
      <c r="C770" s="1" t="n">
        <v>46104</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62394-2022</t>
        </is>
      </c>
      <c r="B771" s="1" t="n">
        <v>44923.82017361111</v>
      </c>
      <c r="C771" s="1" t="n">
        <v>46104</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22709-2021</t>
        </is>
      </c>
      <c r="B772" s="1" t="n">
        <v>44327.61518518518</v>
      </c>
      <c r="C772" s="1" t="n">
        <v>46104</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8616-2023</t>
        </is>
      </c>
      <c r="B773" s="1" t="n">
        <v>44977</v>
      </c>
      <c r="C773" s="1" t="n">
        <v>46104</v>
      </c>
      <c r="D773" t="inlineStr">
        <is>
          <t>UPPSALA LÄN</t>
        </is>
      </c>
      <c r="E773" t="inlineStr">
        <is>
          <t>ÖSTHAMMAR</t>
        </is>
      </c>
      <c r="F773" t="inlineStr">
        <is>
          <t>Bergvik skog öst AB</t>
        </is>
      </c>
      <c r="G773" t="n">
        <v>0.2</v>
      </c>
      <c r="H773" t="n">
        <v>0</v>
      </c>
      <c r="I773" t="n">
        <v>0</v>
      </c>
      <c r="J773" t="n">
        <v>0</v>
      </c>
      <c r="K773" t="n">
        <v>0</v>
      </c>
      <c r="L773" t="n">
        <v>0</v>
      </c>
      <c r="M773" t="n">
        <v>0</v>
      </c>
      <c r="N773" t="n">
        <v>0</v>
      </c>
      <c r="O773" t="n">
        <v>0</v>
      </c>
      <c r="P773" t="n">
        <v>0</v>
      </c>
      <c r="Q773" t="n">
        <v>0</v>
      </c>
      <c r="R773" s="2" t="inlineStr"/>
    </row>
    <row r="774" ht="15" customHeight="1">
      <c r="A774" t="inlineStr">
        <is>
          <t>A 41538-2021</t>
        </is>
      </c>
      <c r="B774" s="1" t="n">
        <v>44425.35016203704</v>
      </c>
      <c r="C774" s="1" t="n">
        <v>46104</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34742-2022</t>
        </is>
      </c>
      <c r="B775" s="1" t="n">
        <v>44795.61990740741</v>
      </c>
      <c r="C775" s="1" t="n">
        <v>46104</v>
      </c>
      <c r="D775" t="inlineStr">
        <is>
          <t>UPPSALA LÄN</t>
        </is>
      </c>
      <c r="E775" t="inlineStr">
        <is>
          <t>ÖSTHAMMAR</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4096-2025</t>
        </is>
      </c>
      <c r="B776" s="1" t="n">
        <v>45684</v>
      </c>
      <c r="C776" s="1" t="n">
        <v>46104</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55090-2024</t>
        </is>
      </c>
      <c r="B777" s="1" t="n">
        <v>45621.4350462963</v>
      </c>
      <c r="C777" s="1" t="n">
        <v>46104</v>
      </c>
      <c r="D777" t="inlineStr">
        <is>
          <t>UPPSALA LÄN</t>
        </is>
      </c>
      <c r="E777" t="inlineStr">
        <is>
          <t>ÖSTHAMMAR</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55093-2024</t>
        </is>
      </c>
      <c r="B778" s="1" t="n">
        <v>45621.43712962963</v>
      </c>
      <c r="C778" s="1" t="n">
        <v>46104</v>
      </c>
      <c r="D778" t="inlineStr">
        <is>
          <t>UPPSALA LÄN</t>
        </is>
      </c>
      <c r="E778" t="inlineStr">
        <is>
          <t>ÖSTHAMMAR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55097-2024</t>
        </is>
      </c>
      <c r="B779" s="1" t="n">
        <v>45621.43855324074</v>
      </c>
      <c r="C779" s="1" t="n">
        <v>46104</v>
      </c>
      <c r="D779" t="inlineStr">
        <is>
          <t>UPPSALA LÄN</t>
        </is>
      </c>
      <c r="E779" t="inlineStr">
        <is>
          <t>ÖSTHAMMAR</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3327-2023</t>
        </is>
      </c>
      <c r="B780" s="1" t="n">
        <v>44949.4377662037</v>
      </c>
      <c r="C780" s="1" t="n">
        <v>46104</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41821-2023</t>
        </is>
      </c>
      <c r="B781" s="1" t="n">
        <v>45176</v>
      </c>
      <c r="C781" s="1" t="n">
        <v>46104</v>
      </c>
      <c r="D781" t="inlineStr">
        <is>
          <t>UPPSALA LÄN</t>
        </is>
      </c>
      <c r="E781" t="inlineStr">
        <is>
          <t>ÖSTHAMMAR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35309-2023</t>
        </is>
      </c>
      <c r="B782" s="1" t="n">
        <v>45146</v>
      </c>
      <c r="C782" s="1" t="n">
        <v>46104</v>
      </c>
      <c r="D782" t="inlineStr">
        <is>
          <t>UPPSALA LÄN</t>
        </is>
      </c>
      <c r="E782" t="inlineStr">
        <is>
          <t>ÖSTHAMMAR</t>
        </is>
      </c>
      <c r="G782" t="n">
        <v>1.3</v>
      </c>
      <c r="H782" t="n">
        <v>0</v>
      </c>
      <c r="I782" t="n">
        <v>0</v>
      </c>
      <c r="J782" t="n">
        <v>0</v>
      </c>
      <c r="K782" t="n">
        <v>0</v>
      </c>
      <c r="L782" t="n">
        <v>0</v>
      </c>
      <c r="M782" t="n">
        <v>0</v>
      </c>
      <c r="N782" t="n">
        <v>0</v>
      </c>
      <c r="O782" t="n">
        <v>0</v>
      </c>
      <c r="P782" t="n">
        <v>0</v>
      </c>
      <c r="Q782" t="n">
        <v>0</v>
      </c>
      <c r="R782" s="2" t="inlineStr"/>
    </row>
    <row r="783" ht="15" customHeight="1">
      <c r="A783" t="inlineStr">
        <is>
          <t>A 14272-2025</t>
        </is>
      </c>
      <c r="B783" s="1" t="n">
        <v>45740.64327546296</v>
      </c>
      <c r="C783" s="1" t="n">
        <v>46104</v>
      </c>
      <c r="D783" t="inlineStr">
        <is>
          <t>UPPSALA LÄN</t>
        </is>
      </c>
      <c r="E783" t="inlineStr">
        <is>
          <t>ÖSTHAMMAR</t>
        </is>
      </c>
      <c r="G783" t="n">
        <v>5.7</v>
      </c>
      <c r="H783" t="n">
        <v>0</v>
      </c>
      <c r="I783" t="n">
        <v>0</v>
      </c>
      <c r="J783" t="n">
        <v>0</v>
      </c>
      <c r="K783" t="n">
        <v>0</v>
      </c>
      <c r="L783" t="n">
        <v>0</v>
      </c>
      <c r="M783" t="n">
        <v>0</v>
      </c>
      <c r="N783" t="n">
        <v>0</v>
      </c>
      <c r="O783" t="n">
        <v>0</v>
      </c>
      <c r="P783" t="n">
        <v>0</v>
      </c>
      <c r="Q783" t="n">
        <v>0</v>
      </c>
      <c r="R783" s="2" t="inlineStr"/>
    </row>
    <row r="784" ht="15" customHeight="1">
      <c r="A784" t="inlineStr">
        <is>
          <t>A 17940-2025</t>
        </is>
      </c>
      <c r="B784" s="1" t="n">
        <v>45760.55842592593</v>
      </c>
      <c r="C784" s="1" t="n">
        <v>46104</v>
      </c>
      <c r="D784" t="inlineStr">
        <is>
          <t>UPPSALA LÄN</t>
        </is>
      </c>
      <c r="E784" t="inlineStr">
        <is>
          <t>ÖSTHAMMAR</t>
        </is>
      </c>
      <c r="F784" t="inlineStr">
        <is>
          <t>Bergvik skog öst AB</t>
        </is>
      </c>
      <c r="G784" t="n">
        <v>5.6</v>
      </c>
      <c r="H784" t="n">
        <v>0</v>
      </c>
      <c r="I784" t="n">
        <v>0</v>
      </c>
      <c r="J784" t="n">
        <v>0</v>
      </c>
      <c r="K784" t="n">
        <v>0</v>
      </c>
      <c r="L784" t="n">
        <v>0</v>
      </c>
      <c r="M784" t="n">
        <v>0</v>
      </c>
      <c r="N784" t="n">
        <v>0</v>
      </c>
      <c r="O784" t="n">
        <v>0</v>
      </c>
      <c r="P784" t="n">
        <v>0</v>
      </c>
      <c r="Q784" t="n">
        <v>0</v>
      </c>
      <c r="R784" s="2" t="inlineStr"/>
    </row>
    <row r="785" ht="15" customHeight="1">
      <c r="A785" t="inlineStr">
        <is>
          <t>A 12215-2023</t>
        </is>
      </c>
      <c r="B785" s="1" t="n">
        <v>44998</v>
      </c>
      <c r="C785" s="1" t="n">
        <v>46104</v>
      </c>
      <c r="D785" t="inlineStr">
        <is>
          <t>UPPSALA LÄN</t>
        </is>
      </c>
      <c r="E785" t="inlineStr">
        <is>
          <t>ÖSTHAMMAR</t>
        </is>
      </c>
      <c r="G785" t="n">
        <v>5.1</v>
      </c>
      <c r="H785" t="n">
        <v>0</v>
      </c>
      <c r="I785" t="n">
        <v>0</v>
      </c>
      <c r="J785" t="n">
        <v>0</v>
      </c>
      <c r="K785" t="n">
        <v>0</v>
      </c>
      <c r="L785" t="n">
        <v>0</v>
      </c>
      <c r="M785" t="n">
        <v>0</v>
      </c>
      <c r="N785" t="n">
        <v>0</v>
      </c>
      <c r="O785" t="n">
        <v>0</v>
      </c>
      <c r="P785" t="n">
        <v>0</v>
      </c>
      <c r="Q785" t="n">
        <v>0</v>
      </c>
      <c r="R785" s="2" t="inlineStr"/>
    </row>
    <row r="786" ht="15" customHeight="1">
      <c r="A786" t="inlineStr">
        <is>
          <t>A 66779-2021</t>
        </is>
      </c>
      <c r="B786" s="1" t="n">
        <v>44522.31700231481</v>
      </c>
      <c r="C786" s="1" t="n">
        <v>46104</v>
      </c>
      <c r="D786" t="inlineStr">
        <is>
          <t>UPPSALA LÄN</t>
        </is>
      </c>
      <c r="E786" t="inlineStr">
        <is>
          <t>ÖSTHAMMAR</t>
        </is>
      </c>
      <c r="G786" t="n">
        <v>2</v>
      </c>
      <c r="H786" t="n">
        <v>0</v>
      </c>
      <c r="I786" t="n">
        <v>0</v>
      </c>
      <c r="J786" t="n">
        <v>0</v>
      </c>
      <c r="K786" t="n">
        <v>0</v>
      </c>
      <c r="L786" t="n">
        <v>0</v>
      </c>
      <c r="M786" t="n">
        <v>0</v>
      </c>
      <c r="N786" t="n">
        <v>0</v>
      </c>
      <c r="O786" t="n">
        <v>0</v>
      </c>
      <c r="P786" t="n">
        <v>0</v>
      </c>
      <c r="Q786" t="n">
        <v>0</v>
      </c>
      <c r="R786" s="2" t="inlineStr"/>
    </row>
    <row r="787" ht="15" customHeight="1">
      <c r="A787" t="inlineStr">
        <is>
          <t>A 33062-2021</t>
        </is>
      </c>
      <c r="B787" s="1" t="n">
        <v>44376</v>
      </c>
      <c r="C787" s="1" t="n">
        <v>46104</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46104</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17939-2025</t>
        </is>
      </c>
      <c r="B789" s="1" t="n">
        <v>45760.55671296296</v>
      </c>
      <c r="C789" s="1" t="n">
        <v>46104</v>
      </c>
      <c r="D789" t="inlineStr">
        <is>
          <t>UPPSALA LÄN</t>
        </is>
      </c>
      <c r="E789" t="inlineStr">
        <is>
          <t>ÖSTHAMMAR</t>
        </is>
      </c>
      <c r="F789" t="inlineStr">
        <is>
          <t>Bergvik skog öst AB</t>
        </is>
      </c>
      <c r="G789" t="n">
        <v>5.4</v>
      </c>
      <c r="H789" t="n">
        <v>0</v>
      </c>
      <c r="I789" t="n">
        <v>0</v>
      </c>
      <c r="J789" t="n">
        <v>0</v>
      </c>
      <c r="K789" t="n">
        <v>0</v>
      </c>
      <c r="L789" t="n">
        <v>0</v>
      </c>
      <c r="M789" t="n">
        <v>0</v>
      </c>
      <c r="N789" t="n">
        <v>0</v>
      </c>
      <c r="O789" t="n">
        <v>0</v>
      </c>
      <c r="P789" t="n">
        <v>0</v>
      </c>
      <c r="Q789" t="n">
        <v>0</v>
      </c>
      <c r="R789" s="2" t="inlineStr"/>
    </row>
    <row r="790" ht="15" customHeight="1">
      <c r="A790" t="inlineStr">
        <is>
          <t>A 3638-2022</t>
        </is>
      </c>
      <c r="B790" s="1" t="n">
        <v>44578</v>
      </c>
      <c r="C790" s="1" t="n">
        <v>46104</v>
      </c>
      <c r="D790" t="inlineStr">
        <is>
          <t>UPPSALA LÄN</t>
        </is>
      </c>
      <c r="E790" t="inlineStr">
        <is>
          <t>ÖSTHAMMAR</t>
        </is>
      </c>
      <c r="G790" t="n">
        <v>1.7</v>
      </c>
      <c r="H790" t="n">
        <v>0</v>
      </c>
      <c r="I790" t="n">
        <v>0</v>
      </c>
      <c r="J790" t="n">
        <v>0</v>
      </c>
      <c r="K790" t="n">
        <v>0</v>
      </c>
      <c r="L790" t="n">
        <v>0</v>
      </c>
      <c r="M790" t="n">
        <v>0</v>
      </c>
      <c r="N790" t="n">
        <v>0</v>
      </c>
      <c r="O790" t="n">
        <v>0</v>
      </c>
      <c r="P790" t="n">
        <v>0</v>
      </c>
      <c r="Q790" t="n">
        <v>0</v>
      </c>
      <c r="R790" s="2" t="inlineStr"/>
    </row>
    <row r="791" ht="15" customHeight="1">
      <c r="A791" t="inlineStr">
        <is>
          <t>A 49897-2023</t>
        </is>
      </c>
      <c r="B791" s="1" t="n">
        <v>45213.84846064815</v>
      </c>
      <c r="C791" s="1" t="n">
        <v>46104</v>
      </c>
      <c r="D791" t="inlineStr">
        <is>
          <t>UPPSALA LÄN</t>
        </is>
      </c>
      <c r="E791" t="inlineStr">
        <is>
          <t>ÖSTHAMMAR</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37812-2022</t>
        </is>
      </c>
      <c r="B792" s="1" t="n">
        <v>44810</v>
      </c>
      <c r="C792" s="1" t="n">
        <v>46104</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60555-2023</t>
        </is>
      </c>
      <c r="B793" s="1" t="n">
        <v>45259</v>
      </c>
      <c r="C793" s="1" t="n">
        <v>46104</v>
      </c>
      <c r="D793" t="inlineStr">
        <is>
          <t>UPPSALA LÄN</t>
        </is>
      </c>
      <c r="E793" t="inlineStr">
        <is>
          <t>ÖSTHAMMAR</t>
        </is>
      </c>
      <c r="G793" t="n">
        <v>2</v>
      </c>
      <c r="H793" t="n">
        <v>0</v>
      </c>
      <c r="I793" t="n">
        <v>0</v>
      </c>
      <c r="J793" t="n">
        <v>0</v>
      </c>
      <c r="K793" t="n">
        <v>0</v>
      </c>
      <c r="L793" t="n">
        <v>0</v>
      </c>
      <c r="M793" t="n">
        <v>0</v>
      </c>
      <c r="N793" t="n">
        <v>0</v>
      </c>
      <c r="O793" t="n">
        <v>0</v>
      </c>
      <c r="P793" t="n">
        <v>0</v>
      </c>
      <c r="Q793" t="n">
        <v>0</v>
      </c>
      <c r="R793" s="2" t="inlineStr"/>
    </row>
    <row r="794" ht="15" customHeight="1">
      <c r="A794" t="inlineStr">
        <is>
          <t>A 44815-2022</t>
        </is>
      </c>
      <c r="B794" s="1" t="n">
        <v>44841.40452546296</v>
      </c>
      <c r="C794" s="1" t="n">
        <v>46104</v>
      </c>
      <c r="D794" t="inlineStr">
        <is>
          <t>UPPSALA LÄN</t>
        </is>
      </c>
      <c r="E794" t="inlineStr">
        <is>
          <t>ÖSTHAMMAR</t>
        </is>
      </c>
      <c r="G794" t="n">
        <v>1.8</v>
      </c>
      <c r="H794" t="n">
        <v>0</v>
      </c>
      <c r="I794" t="n">
        <v>0</v>
      </c>
      <c r="J794" t="n">
        <v>0</v>
      </c>
      <c r="K794" t="n">
        <v>0</v>
      </c>
      <c r="L794" t="n">
        <v>0</v>
      </c>
      <c r="M794" t="n">
        <v>0</v>
      </c>
      <c r="N794" t="n">
        <v>0</v>
      </c>
      <c r="O794" t="n">
        <v>0</v>
      </c>
      <c r="P794" t="n">
        <v>0</v>
      </c>
      <c r="Q794" t="n">
        <v>0</v>
      </c>
      <c r="R794" s="2" t="inlineStr"/>
    </row>
    <row r="795" ht="15" customHeight="1">
      <c r="A795" t="inlineStr">
        <is>
          <t>A 73483-2021</t>
        </is>
      </c>
      <c r="B795" s="1" t="n">
        <v>44550</v>
      </c>
      <c r="C795" s="1" t="n">
        <v>46104</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6121-2024</t>
        </is>
      </c>
      <c r="B796" s="1" t="n">
        <v>45337.4219212963</v>
      </c>
      <c r="C796" s="1" t="n">
        <v>46104</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62391-2022</t>
        </is>
      </c>
      <c r="B797" s="1" t="n">
        <v>44923.7849537037</v>
      </c>
      <c r="C797" s="1" t="n">
        <v>46104</v>
      </c>
      <c r="D797" t="inlineStr">
        <is>
          <t>UPPSALA LÄN</t>
        </is>
      </c>
      <c r="E797" t="inlineStr">
        <is>
          <t>ÖSTHAMMAR</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54314-2023</t>
        </is>
      </c>
      <c r="B798" s="1" t="n">
        <v>45225</v>
      </c>
      <c r="C798" s="1" t="n">
        <v>46104</v>
      </c>
      <c r="D798" t="inlineStr">
        <is>
          <t>UPPSALA LÄN</t>
        </is>
      </c>
      <c r="E798" t="inlineStr">
        <is>
          <t>ÖSTHAMMAR</t>
        </is>
      </c>
      <c r="G798" t="n">
        <v>5.1</v>
      </c>
      <c r="H798" t="n">
        <v>0</v>
      </c>
      <c r="I798" t="n">
        <v>0</v>
      </c>
      <c r="J798" t="n">
        <v>0</v>
      </c>
      <c r="K798" t="n">
        <v>0</v>
      </c>
      <c r="L798" t="n">
        <v>0</v>
      </c>
      <c r="M798" t="n">
        <v>0</v>
      </c>
      <c r="N798" t="n">
        <v>0</v>
      </c>
      <c r="O798" t="n">
        <v>0</v>
      </c>
      <c r="P798" t="n">
        <v>0</v>
      </c>
      <c r="Q798" t="n">
        <v>0</v>
      </c>
      <c r="R798" s="2" t="inlineStr"/>
    </row>
    <row r="799" ht="15" customHeight="1">
      <c r="A799" t="inlineStr">
        <is>
          <t>A 23363-2023</t>
        </is>
      </c>
      <c r="B799" s="1" t="n">
        <v>45076</v>
      </c>
      <c r="C799" s="1" t="n">
        <v>46104</v>
      </c>
      <c r="D799" t="inlineStr">
        <is>
          <t>UPPSALA LÄN</t>
        </is>
      </c>
      <c r="E799" t="inlineStr">
        <is>
          <t>ÖSTHAMMAR</t>
        </is>
      </c>
      <c r="G799" t="n">
        <v>3</v>
      </c>
      <c r="H799" t="n">
        <v>0</v>
      </c>
      <c r="I799" t="n">
        <v>0</v>
      </c>
      <c r="J799" t="n">
        <v>0</v>
      </c>
      <c r="K799" t="n">
        <v>0</v>
      </c>
      <c r="L799" t="n">
        <v>0</v>
      </c>
      <c r="M799" t="n">
        <v>0</v>
      </c>
      <c r="N799" t="n">
        <v>0</v>
      </c>
      <c r="O799" t="n">
        <v>0</v>
      </c>
      <c r="P799" t="n">
        <v>0</v>
      </c>
      <c r="Q799" t="n">
        <v>0</v>
      </c>
      <c r="R799" s="2" t="inlineStr"/>
    </row>
    <row r="800" ht="15" customHeight="1">
      <c r="A800" t="inlineStr">
        <is>
          <t>A 4233-2023</t>
        </is>
      </c>
      <c r="B800" s="1" t="n">
        <v>44953.48619212963</v>
      </c>
      <c r="C800" s="1" t="n">
        <v>46104</v>
      </c>
      <c r="D800" t="inlineStr">
        <is>
          <t>UPPSALA LÄN</t>
        </is>
      </c>
      <c r="E800" t="inlineStr">
        <is>
          <t>ÖSTHAMMAR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58270-2023</t>
        </is>
      </c>
      <c r="B801" s="1" t="n">
        <v>45250.49961805555</v>
      </c>
      <c r="C801" s="1" t="n">
        <v>46104</v>
      </c>
      <c r="D801" t="inlineStr">
        <is>
          <t>UPPSALA LÄN</t>
        </is>
      </c>
      <c r="E801" t="inlineStr">
        <is>
          <t>ÖSTHAMMAR</t>
        </is>
      </c>
      <c r="G801" t="n">
        <v>1.3</v>
      </c>
      <c r="H801" t="n">
        <v>0</v>
      </c>
      <c r="I801" t="n">
        <v>0</v>
      </c>
      <c r="J801" t="n">
        <v>0</v>
      </c>
      <c r="K801" t="n">
        <v>0</v>
      </c>
      <c r="L801" t="n">
        <v>0</v>
      </c>
      <c r="M801" t="n">
        <v>0</v>
      </c>
      <c r="N801" t="n">
        <v>0</v>
      </c>
      <c r="O801" t="n">
        <v>0</v>
      </c>
      <c r="P801" t="n">
        <v>0</v>
      </c>
      <c r="Q801" t="n">
        <v>0</v>
      </c>
      <c r="R801" s="2" t="inlineStr"/>
    </row>
    <row r="802" ht="15" customHeight="1">
      <c r="A802" t="inlineStr">
        <is>
          <t>A 73592-2021</t>
        </is>
      </c>
      <c r="B802" s="1" t="n">
        <v>44552.36974537037</v>
      </c>
      <c r="C802" s="1" t="n">
        <v>46104</v>
      </c>
      <c r="D802" t="inlineStr">
        <is>
          <t>UPPSALA LÄN</t>
        </is>
      </c>
      <c r="E802" t="inlineStr">
        <is>
          <t>ÖSTHAMMAR</t>
        </is>
      </c>
      <c r="G802" t="n">
        <v>1.7</v>
      </c>
      <c r="H802" t="n">
        <v>0</v>
      </c>
      <c r="I802" t="n">
        <v>0</v>
      </c>
      <c r="J802" t="n">
        <v>0</v>
      </c>
      <c r="K802" t="n">
        <v>0</v>
      </c>
      <c r="L802" t="n">
        <v>0</v>
      </c>
      <c r="M802" t="n">
        <v>0</v>
      </c>
      <c r="N802" t="n">
        <v>0</v>
      </c>
      <c r="O802" t="n">
        <v>0</v>
      </c>
      <c r="P802" t="n">
        <v>0</v>
      </c>
      <c r="Q802" t="n">
        <v>0</v>
      </c>
      <c r="R802" s="2" t="inlineStr"/>
    </row>
    <row r="803" ht="15" customHeight="1">
      <c r="A803" t="inlineStr">
        <is>
          <t>A 25938-2024</t>
        </is>
      </c>
      <c r="B803" s="1" t="n">
        <v>45467.63127314814</v>
      </c>
      <c r="C803" s="1" t="n">
        <v>46104</v>
      </c>
      <c r="D803" t="inlineStr">
        <is>
          <t>UPPSALA LÄN</t>
        </is>
      </c>
      <c r="E803" t="inlineStr">
        <is>
          <t>ÖSTHAMMAR</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35539-2023</t>
        </is>
      </c>
      <c r="B804" s="1" t="n">
        <v>45147.37006944444</v>
      </c>
      <c r="C804" s="1" t="n">
        <v>46104</v>
      </c>
      <c r="D804" t="inlineStr">
        <is>
          <t>UPPSALA LÄN</t>
        </is>
      </c>
      <c r="E804" t="inlineStr">
        <is>
          <t>ÖSTHAMMAR</t>
        </is>
      </c>
      <c r="G804" t="n">
        <v>1.4</v>
      </c>
      <c r="H804" t="n">
        <v>0</v>
      </c>
      <c r="I804" t="n">
        <v>0</v>
      </c>
      <c r="J804" t="n">
        <v>0</v>
      </c>
      <c r="K804" t="n">
        <v>0</v>
      </c>
      <c r="L804" t="n">
        <v>0</v>
      </c>
      <c r="M804" t="n">
        <v>0</v>
      </c>
      <c r="N804" t="n">
        <v>0</v>
      </c>
      <c r="O804" t="n">
        <v>0</v>
      </c>
      <c r="P804" t="n">
        <v>0</v>
      </c>
      <c r="Q804" t="n">
        <v>0</v>
      </c>
      <c r="R804" s="2" t="inlineStr"/>
    </row>
    <row r="805" ht="15" customHeight="1">
      <c r="A805" t="inlineStr">
        <is>
          <t>A 32744-2022</t>
        </is>
      </c>
      <c r="B805" s="1" t="n">
        <v>44783.70378472222</v>
      </c>
      <c r="C805" s="1" t="n">
        <v>46104</v>
      </c>
      <c r="D805" t="inlineStr">
        <is>
          <t>UPPSALA LÄN</t>
        </is>
      </c>
      <c r="E805" t="inlineStr">
        <is>
          <t>ÖSTHAMMAR</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18230-2025</t>
        </is>
      </c>
      <c r="B806" s="1" t="n">
        <v>45761.87114583333</v>
      </c>
      <c r="C806" s="1" t="n">
        <v>46104</v>
      </c>
      <c r="D806" t="inlineStr">
        <is>
          <t>UPPSALA LÄN</t>
        </is>
      </c>
      <c r="E806" t="inlineStr">
        <is>
          <t>ÖSTHAMMAR</t>
        </is>
      </c>
      <c r="F806" t="inlineStr">
        <is>
          <t>Bergvik skog öst AB</t>
        </is>
      </c>
      <c r="G806" t="n">
        <v>4.2</v>
      </c>
      <c r="H806" t="n">
        <v>0</v>
      </c>
      <c r="I806" t="n">
        <v>0</v>
      </c>
      <c r="J806" t="n">
        <v>0</v>
      </c>
      <c r="K806" t="n">
        <v>0</v>
      </c>
      <c r="L806" t="n">
        <v>0</v>
      </c>
      <c r="M806" t="n">
        <v>0</v>
      </c>
      <c r="N806" t="n">
        <v>0</v>
      </c>
      <c r="O806" t="n">
        <v>0</v>
      </c>
      <c r="P806" t="n">
        <v>0</v>
      </c>
      <c r="Q806" t="n">
        <v>0</v>
      </c>
      <c r="R806" s="2" t="inlineStr"/>
    </row>
    <row r="807" ht="15" customHeight="1">
      <c r="A807" t="inlineStr">
        <is>
          <t>A 8006-2023</t>
        </is>
      </c>
      <c r="B807" s="1" t="n">
        <v>44973</v>
      </c>
      <c r="C807" s="1" t="n">
        <v>46104</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13755-2023</t>
        </is>
      </c>
      <c r="B808" s="1" t="n">
        <v>45007</v>
      </c>
      <c r="C808" s="1" t="n">
        <v>46104</v>
      </c>
      <c r="D808" t="inlineStr">
        <is>
          <t>UPPSALA LÄN</t>
        </is>
      </c>
      <c r="E808" t="inlineStr">
        <is>
          <t>ÖSTHAMMAR</t>
        </is>
      </c>
      <c r="G808" t="n">
        <v>2.4</v>
      </c>
      <c r="H808" t="n">
        <v>0</v>
      </c>
      <c r="I808" t="n">
        <v>0</v>
      </c>
      <c r="J808" t="n">
        <v>0</v>
      </c>
      <c r="K808" t="n">
        <v>0</v>
      </c>
      <c r="L808" t="n">
        <v>0</v>
      </c>
      <c r="M808" t="n">
        <v>0</v>
      </c>
      <c r="N808" t="n">
        <v>0</v>
      </c>
      <c r="O808" t="n">
        <v>0</v>
      </c>
      <c r="P808" t="n">
        <v>0</v>
      </c>
      <c r="Q808" t="n">
        <v>0</v>
      </c>
      <c r="R808" s="2" t="inlineStr"/>
    </row>
    <row r="809" ht="15" customHeight="1">
      <c r="A809" t="inlineStr">
        <is>
          <t>A 13771-2023</t>
        </is>
      </c>
      <c r="B809" s="1" t="n">
        <v>45007</v>
      </c>
      <c r="C809" s="1" t="n">
        <v>46104</v>
      </c>
      <c r="D809" t="inlineStr">
        <is>
          <t>UPPSALA LÄN</t>
        </is>
      </c>
      <c r="E809" t="inlineStr">
        <is>
          <t>ÖSTHAMMAR</t>
        </is>
      </c>
      <c r="G809" t="n">
        <v>2.7</v>
      </c>
      <c r="H809" t="n">
        <v>0</v>
      </c>
      <c r="I809" t="n">
        <v>0</v>
      </c>
      <c r="J809" t="n">
        <v>0</v>
      </c>
      <c r="K809" t="n">
        <v>0</v>
      </c>
      <c r="L809" t="n">
        <v>0</v>
      </c>
      <c r="M809" t="n">
        <v>0</v>
      </c>
      <c r="N809" t="n">
        <v>0</v>
      </c>
      <c r="O809" t="n">
        <v>0</v>
      </c>
      <c r="P809" t="n">
        <v>0</v>
      </c>
      <c r="Q809" t="n">
        <v>0</v>
      </c>
      <c r="R809" s="2" t="inlineStr"/>
    </row>
    <row r="810" ht="15" customHeight="1">
      <c r="A810" t="inlineStr">
        <is>
          <t>A 7543-2023</t>
        </is>
      </c>
      <c r="B810" s="1" t="n">
        <v>44972</v>
      </c>
      <c r="C810" s="1" t="n">
        <v>46104</v>
      </c>
      <c r="D810" t="inlineStr">
        <is>
          <t>UPPSALA LÄN</t>
        </is>
      </c>
      <c r="E810" t="inlineStr">
        <is>
          <t>ÖSTHAMMAR</t>
        </is>
      </c>
      <c r="F810" t="inlineStr">
        <is>
          <t>Bergvik skog öst AB</t>
        </is>
      </c>
      <c r="G810" t="n">
        <v>13.3</v>
      </c>
      <c r="H810" t="n">
        <v>0</v>
      </c>
      <c r="I810" t="n">
        <v>0</v>
      </c>
      <c r="J810" t="n">
        <v>0</v>
      </c>
      <c r="K810" t="n">
        <v>0</v>
      </c>
      <c r="L810" t="n">
        <v>0</v>
      </c>
      <c r="M810" t="n">
        <v>0</v>
      </c>
      <c r="N810" t="n">
        <v>0</v>
      </c>
      <c r="O810" t="n">
        <v>0</v>
      </c>
      <c r="P810" t="n">
        <v>0</v>
      </c>
      <c r="Q810" t="n">
        <v>0</v>
      </c>
      <c r="R810" s="2" t="inlineStr"/>
    </row>
    <row r="811" ht="15" customHeight="1">
      <c r="A811" t="inlineStr">
        <is>
          <t>A 49899-2023</t>
        </is>
      </c>
      <c r="B811" s="1" t="n">
        <v>45213</v>
      </c>
      <c r="C811" s="1" t="n">
        <v>46104</v>
      </c>
      <c r="D811" t="inlineStr">
        <is>
          <t>UPPSALA LÄN</t>
        </is>
      </c>
      <c r="E811" t="inlineStr">
        <is>
          <t>ÖSTHAMMAR</t>
        </is>
      </c>
      <c r="G811" t="n">
        <v>6.2</v>
      </c>
      <c r="H811" t="n">
        <v>0</v>
      </c>
      <c r="I811" t="n">
        <v>0</v>
      </c>
      <c r="J811" t="n">
        <v>0</v>
      </c>
      <c r="K811" t="n">
        <v>0</v>
      </c>
      <c r="L811" t="n">
        <v>0</v>
      </c>
      <c r="M811" t="n">
        <v>0</v>
      </c>
      <c r="N811" t="n">
        <v>0</v>
      </c>
      <c r="O811" t="n">
        <v>0</v>
      </c>
      <c r="P811" t="n">
        <v>0</v>
      </c>
      <c r="Q811" t="n">
        <v>0</v>
      </c>
      <c r="R811" s="2" t="inlineStr"/>
    </row>
    <row r="812" ht="15" customHeight="1">
      <c r="A812" t="inlineStr">
        <is>
          <t>A 4676-2025</t>
        </is>
      </c>
      <c r="B812" s="1" t="n">
        <v>45687.8313425926</v>
      </c>
      <c r="C812" s="1" t="n">
        <v>46104</v>
      </c>
      <c r="D812" t="inlineStr">
        <is>
          <t>UPPSALA LÄN</t>
        </is>
      </c>
      <c r="E812" t="inlineStr">
        <is>
          <t>ÖSTHAMMAR</t>
        </is>
      </c>
      <c r="G812" t="n">
        <v>3.7</v>
      </c>
      <c r="H812" t="n">
        <v>0</v>
      </c>
      <c r="I812" t="n">
        <v>0</v>
      </c>
      <c r="J812" t="n">
        <v>0</v>
      </c>
      <c r="K812" t="n">
        <v>0</v>
      </c>
      <c r="L812" t="n">
        <v>0</v>
      </c>
      <c r="M812" t="n">
        <v>0</v>
      </c>
      <c r="N812" t="n">
        <v>0</v>
      </c>
      <c r="O812" t="n">
        <v>0</v>
      </c>
      <c r="P812" t="n">
        <v>0</v>
      </c>
      <c r="Q812" t="n">
        <v>0</v>
      </c>
      <c r="R812" s="2" t="inlineStr"/>
    </row>
    <row r="813" ht="15" customHeight="1">
      <c r="A813" t="inlineStr">
        <is>
          <t>A 17009-2021</t>
        </is>
      </c>
      <c r="B813" s="1" t="n">
        <v>44295.63969907408</v>
      </c>
      <c r="C813" s="1" t="n">
        <v>46104</v>
      </c>
      <c r="D813" t="inlineStr">
        <is>
          <t>UPPSALA LÄN</t>
        </is>
      </c>
      <c r="E813" t="inlineStr">
        <is>
          <t>ÖSTHAMMAR</t>
        </is>
      </c>
      <c r="F813" t="inlineStr">
        <is>
          <t>Bergvik skog öst AB</t>
        </is>
      </c>
      <c r="G813" t="n">
        <v>3.2</v>
      </c>
      <c r="H813" t="n">
        <v>0</v>
      </c>
      <c r="I813" t="n">
        <v>0</v>
      </c>
      <c r="J813" t="n">
        <v>0</v>
      </c>
      <c r="K813" t="n">
        <v>0</v>
      </c>
      <c r="L813" t="n">
        <v>0</v>
      </c>
      <c r="M813" t="n">
        <v>0</v>
      </c>
      <c r="N813" t="n">
        <v>0</v>
      </c>
      <c r="O813" t="n">
        <v>0</v>
      </c>
      <c r="P813" t="n">
        <v>0</v>
      </c>
      <c r="Q813" t="n">
        <v>0</v>
      </c>
      <c r="R813" s="2" t="inlineStr"/>
    </row>
    <row r="814" ht="15" customHeight="1">
      <c r="A814" t="inlineStr">
        <is>
          <t>A 33758-2024</t>
        </is>
      </c>
      <c r="B814" s="1" t="n">
        <v>45520.56896990741</v>
      </c>
      <c r="C814" s="1" t="n">
        <v>46104</v>
      </c>
      <c r="D814" t="inlineStr">
        <is>
          <t>UPPSALA LÄN</t>
        </is>
      </c>
      <c r="E814" t="inlineStr">
        <is>
          <t>ÖSTHAMMAR</t>
        </is>
      </c>
      <c r="G814" t="n">
        <v>6.5</v>
      </c>
      <c r="H814" t="n">
        <v>0</v>
      </c>
      <c r="I814" t="n">
        <v>0</v>
      </c>
      <c r="J814" t="n">
        <v>0</v>
      </c>
      <c r="K814" t="n">
        <v>0</v>
      </c>
      <c r="L814" t="n">
        <v>0</v>
      </c>
      <c r="M814" t="n">
        <v>0</v>
      </c>
      <c r="N814" t="n">
        <v>0</v>
      </c>
      <c r="O814" t="n">
        <v>0</v>
      </c>
      <c r="P814" t="n">
        <v>0</v>
      </c>
      <c r="Q814" t="n">
        <v>0</v>
      </c>
      <c r="R814" s="2" t="inlineStr"/>
    </row>
    <row r="815" ht="15" customHeight="1">
      <c r="A815" t="inlineStr">
        <is>
          <t>A 24259-2022</t>
        </is>
      </c>
      <c r="B815" s="1" t="n">
        <v>44725</v>
      </c>
      <c r="C815" s="1" t="n">
        <v>46104</v>
      </c>
      <c r="D815" t="inlineStr">
        <is>
          <t>UPPSALA LÄN</t>
        </is>
      </c>
      <c r="E815" t="inlineStr">
        <is>
          <t>ÖSTHAMMAR</t>
        </is>
      </c>
      <c r="G815" t="n">
        <v>2.4</v>
      </c>
      <c r="H815" t="n">
        <v>0</v>
      </c>
      <c r="I815" t="n">
        <v>0</v>
      </c>
      <c r="J815" t="n">
        <v>0</v>
      </c>
      <c r="K815" t="n">
        <v>0</v>
      </c>
      <c r="L815" t="n">
        <v>0</v>
      </c>
      <c r="M815" t="n">
        <v>0</v>
      </c>
      <c r="N815" t="n">
        <v>0</v>
      </c>
      <c r="O815" t="n">
        <v>0</v>
      </c>
      <c r="P815" t="n">
        <v>0</v>
      </c>
      <c r="Q815" t="n">
        <v>0</v>
      </c>
      <c r="R815" s="2" t="inlineStr"/>
    </row>
    <row r="816" ht="15" customHeight="1">
      <c r="A816" t="inlineStr">
        <is>
          <t>A 18113-2023</t>
        </is>
      </c>
      <c r="B816" s="1" t="n">
        <v>45040</v>
      </c>
      <c r="C816" s="1" t="n">
        <v>46104</v>
      </c>
      <c r="D816" t="inlineStr">
        <is>
          <t>UPPSALA LÄN</t>
        </is>
      </c>
      <c r="E816" t="inlineStr">
        <is>
          <t>ÖSTHAMMAR</t>
        </is>
      </c>
      <c r="G816" t="n">
        <v>2.1</v>
      </c>
      <c r="H816" t="n">
        <v>0</v>
      </c>
      <c r="I816" t="n">
        <v>0</v>
      </c>
      <c r="J816" t="n">
        <v>0</v>
      </c>
      <c r="K816" t="n">
        <v>0</v>
      </c>
      <c r="L816" t="n">
        <v>0</v>
      </c>
      <c r="M816" t="n">
        <v>0</v>
      </c>
      <c r="N816" t="n">
        <v>0</v>
      </c>
      <c r="O816" t="n">
        <v>0</v>
      </c>
      <c r="P816" t="n">
        <v>0</v>
      </c>
      <c r="Q816" t="n">
        <v>0</v>
      </c>
      <c r="R816" s="2" t="inlineStr"/>
    </row>
    <row r="817" ht="15" customHeight="1">
      <c r="A817" t="inlineStr">
        <is>
          <t>A 61216-2022</t>
        </is>
      </c>
      <c r="B817" s="1" t="n">
        <v>44915.55423611111</v>
      </c>
      <c r="C817" s="1" t="n">
        <v>46104</v>
      </c>
      <c r="D817" t="inlineStr">
        <is>
          <t>UPPSALA LÄN</t>
        </is>
      </c>
      <c r="E817" t="inlineStr">
        <is>
          <t>ÖSTHAMMAR</t>
        </is>
      </c>
      <c r="G817" t="n">
        <v>2.9</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46104</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69411-2021</t>
        </is>
      </c>
      <c r="B819" s="1" t="n">
        <v>44531.61038194445</v>
      </c>
      <c r="C819" s="1" t="n">
        <v>46104</v>
      </c>
      <c r="D819" t="inlineStr">
        <is>
          <t>UPPSALA LÄN</t>
        </is>
      </c>
      <c r="E819" t="inlineStr">
        <is>
          <t>ÖSTHAMMAR</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26303-2024</t>
        </is>
      </c>
      <c r="B820" s="1" t="n">
        <v>45468</v>
      </c>
      <c r="C820" s="1" t="n">
        <v>46104</v>
      </c>
      <c r="D820" t="inlineStr">
        <is>
          <t>UPPSALA LÄN</t>
        </is>
      </c>
      <c r="E820" t="inlineStr">
        <is>
          <t>ÖSTHAMMAR</t>
        </is>
      </c>
      <c r="G820" t="n">
        <v>1.2</v>
      </c>
      <c r="H820" t="n">
        <v>0</v>
      </c>
      <c r="I820" t="n">
        <v>0</v>
      </c>
      <c r="J820" t="n">
        <v>0</v>
      </c>
      <c r="K820" t="n">
        <v>0</v>
      </c>
      <c r="L820" t="n">
        <v>0</v>
      </c>
      <c r="M820" t="n">
        <v>0</v>
      </c>
      <c r="N820" t="n">
        <v>0</v>
      </c>
      <c r="O820" t="n">
        <v>0</v>
      </c>
      <c r="P820" t="n">
        <v>0</v>
      </c>
      <c r="Q820" t="n">
        <v>0</v>
      </c>
      <c r="R820" s="2" t="inlineStr"/>
    </row>
    <row r="821" ht="15" customHeight="1">
      <c r="A821" t="inlineStr">
        <is>
          <t>A 7100-2025</t>
        </is>
      </c>
      <c r="B821" s="1" t="n">
        <v>45701.83930555556</v>
      </c>
      <c r="C821" s="1" t="n">
        <v>46104</v>
      </c>
      <c r="D821" t="inlineStr">
        <is>
          <t>UPPSALA LÄN</t>
        </is>
      </c>
      <c r="E821" t="inlineStr">
        <is>
          <t>ÖSTHAMMAR</t>
        </is>
      </c>
      <c r="G821" t="n">
        <v>4.3</v>
      </c>
      <c r="H821" t="n">
        <v>0</v>
      </c>
      <c r="I821" t="n">
        <v>0</v>
      </c>
      <c r="J821" t="n">
        <v>0</v>
      </c>
      <c r="K821" t="n">
        <v>0</v>
      </c>
      <c r="L821" t="n">
        <v>0</v>
      </c>
      <c r="M821" t="n">
        <v>0</v>
      </c>
      <c r="N821" t="n">
        <v>0</v>
      </c>
      <c r="O821" t="n">
        <v>0</v>
      </c>
      <c r="P821" t="n">
        <v>0</v>
      </c>
      <c r="Q821" t="n">
        <v>0</v>
      </c>
      <c r="R821" s="2" t="inlineStr"/>
    </row>
    <row r="822" ht="15" customHeight="1">
      <c r="A822" t="inlineStr">
        <is>
          <t>A 60577-2021</t>
        </is>
      </c>
      <c r="B822" s="1" t="n">
        <v>44496.57019675926</v>
      </c>
      <c r="C822" s="1" t="n">
        <v>46104</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10495-2025</t>
        </is>
      </c>
      <c r="B823" s="1" t="n">
        <v>45721</v>
      </c>
      <c r="C823" s="1" t="n">
        <v>46104</v>
      </c>
      <c r="D823" t="inlineStr">
        <is>
          <t>UPPSALA LÄN</t>
        </is>
      </c>
      <c r="E823" t="inlineStr">
        <is>
          <t>ÖSTHAMMAR</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1791-2023</t>
        </is>
      </c>
      <c r="B824" s="1" t="n">
        <v>44938</v>
      </c>
      <c r="C824" s="1" t="n">
        <v>46104</v>
      </c>
      <c r="D824" t="inlineStr">
        <is>
          <t>UPPSALA LÄN</t>
        </is>
      </c>
      <c r="E824" t="inlineStr">
        <is>
          <t>ÖSTHAMMAR</t>
        </is>
      </c>
      <c r="G824" t="n">
        <v>2</v>
      </c>
      <c r="H824" t="n">
        <v>0</v>
      </c>
      <c r="I824" t="n">
        <v>0</v>
      </c>
      <c r="J824" t="n">
        <v>0</v>
      </c>
      <c r="K824" t="n">
        <v>0</v>
      </c>
      <c r="L824" t="n">
        <v>0</v>
      </c>
      <c r="M824" t="n">
        <v>0</v>
      </c>
      <c r="N824" t="n">
        <v>0</v>
      </c>
      <c r="O824" t="n">
        <v>0</v>
      </c>
      <c r="P824" t="n">
        <v>0</v>
      </c>
      <c r="Q824" t="n">
        <v>0</v>
      </c>
      <c r="R824" s="2" t="inlineStr"/>
    </row>
    <row r="825" ht="15" customHeight="1">
      <c r="A825" t="inlineStr">
        <is>
          <t>A 49796-2024</t>
        </is>
      </c>
      <c r="B825" s="1" t="n">
        <v>45597</v>
      </c>
      <c r="C825" s="1" t="n">
        <v>46104</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21133-2025</t>
        </is>
      </c>
      <c r="B826" s="1" t="n">
        <v>45778.415625</v>
      </c>
      <c r="C826" s="1" t="n">
        <v>46104</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21132-2025</t>
        </is>
      </c>
      <c r="B827" s="1" t="n">
        <v>45778.4108912037</v>
      </c>
      <c r="C827" s="1" t="n">
        <v>46104</v>
      </c>
      <c r="D827" t="inlineStr">
        <is>
          <t>UPPSALA LÄN</t>
        </is>
      </c>
      <c r="E827" t="inlineStr">
        <is>
          <t>ÖSTHAMMAR</t>
        </is>
      </c>
      <c r="G827" t="n">
        <v>10.1</v>
      </c>
      <c r="H827" t="n">
        <v>0</v>
      </c>
      <c r="I827" t="n">
        <v>0</v>
      </c>
      <c r="J827" t="n">
        <v>0</v>
      </c>
      <c r="K827" t="n">
        <v>0</v>
      </c>
      <c r="L827" t="n">
        <v>0</v>
      </c>
      <c r="M827" t="n">
        <v>0</v>
      </c>
      <c r="N827" t="n">
        <v>0</v>
      </c>
      <c r="O827" t="n">
        <v>0</v>
      </c>
      <c r="P827" t="n">
        <v>0</v>
      </c>
      <c r="Q827" t="n">
        <v>0</v>
      </c>
      <c r="R827" s="2" t="inlineStr"/>
    </row>
    <row r="828">
      <c r="A828" t="inlineStr">
        <is>
          <t>A 42262-2024</t>
        </is>
      </c>
      <c r="B828" s="1" t="n">
        <v>45562</v>
      </c>
      <c r="C828" s="1" t="n">
        <v>46104</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2026-03-23T11:31:51Z</dcterms:created>
  <dcterms:modified xmlns:dcterms="http://purl.org/dc/terms/" xmlns:xsi="http://www.w3.org/2001/XMLSchema-instance" xsi:type="dcterms:W3CDTF">2026-03-23T11:31:52Z</dcterms:modified>
</cp:coreProperties>
</file>