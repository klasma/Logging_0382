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45803</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45803</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45803</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45803</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45803</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45803</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45803</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45803</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45803</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45803</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45803</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45803</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45803</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45803</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45803</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45803</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45803</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45803</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45803</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45803</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45803</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45803</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45803</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45803</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45803</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45803</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45803</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45803</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45803</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45803</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45803</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45803</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45803</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45803</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45803</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45803</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45803</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45803</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45803</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45803</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45803</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45803</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45803</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45803</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45803</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45803</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45803</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45803</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45803</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45803</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45803</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45803</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25044-2025</t>
        </is>
      </c>
      <c r="B91" s="1" t="n">
        <v>45799</v>
      </c>
      <c r="C91" s="1" t="n">
        <v>45803</v>
      </c>
      <c r="D91" t="inlineStr">
        <is>
          <t>UPPSALA LÄN</t>
        </is>
      </c>
      <c r="E91" t="inlineStr">
        <is>
          <t>ÖSTHAMMAR</t>
        </is>
      </c>
      <c r="F91" t="inlineStr">
        <is>
          <t>Bergvik skog öst AB</t>
        </is>
      </c>
      <c r="G91" t="n">
        <v>8.199999999999999</v>
      </c>
      <c r="H91" t="n">
        <v>2</v>
      </c>
      <c r="I91" t="n">
        <v>2</v>
      </c>
      <c r="J91" t="n">
        <v>0</v>
      </c>
      <c r="K91" t="n">
        <v>0</v>
      </c>
      <c r="L91" t="n">
        <v>0</v>
      </c>
      <c r="M91" t="n">
        <v>0</v>
      </c>
      <c r="N91" t="n">
        <v>0</v>
      </c>
      <c r="O91" t="n">
        <v>0</v>
      </c>
      <c r="P91" t="n">
        <v>0</v>
      </c>
      <c r="Q91" t="n">
        <v>3</v>
      </c>
      <c r="R91" s="2" t="inlineStr">
        <is>
          <t>Tvåblad
Vårärt
Blåsippa</t>
        </is>
      </c>
      <c r="S91">
        <f>HYPERLINK("https://klasma.github.io/Logging_030382/artfynd/A 25044-2025 artfynd.xlsx", "A 25044-2025")</f>
        <v/>
      </c>
      <c r="T91">
        <f>HYPERLINK("https://klasma.github.io/Logging_030382/kartor/A 25044-2025 karta.png", "A 25044-2025")</f>
        <v/>
      </c>
      <c r="V91">
        <f>HYPERLINK("https://klasma.github.io/Logging_030382/klagomål/A 25044-2025 FSC-klagomål.docx", "A 25044-2025")</f>
        <v/>
      </c>
      <c r="W91">
        <f>HYPERLINK("https://klasma.github.io/Logging_030382/klagomålsmail/A 25044-2025 FSC-klagomål mail.docx", "A 25044-2025")</f>
        <v/>
      </c>
      <c r="X91">
        <f>HYPERLINK("https://klasma.github.io/Logging_030382/tillsyn/A 25044-2025 tillsynsbegäran.docx", "A 25044-2025")</f>
        <v/>
      </c>
      <c r="Y91">
        <f>HYPERLINK("https://klasma.github.io/Logging_030382/tillsynsmail/A 25044-2025 tillsynsbegäran mail.docx", "A 25044-2025")</f>
        <v/>
      </c>
    </row>
    <row r="92" ht="15" customHeight="1">
      <c r="A92" t="inlineStr">
        <is>
          <t>A 2172-2020</t>
        </is>
      </c>
      <c r="B92" s="1" t="n">
        <v>43846</v>
      </c>
      <c r="C92" s="1" t="n">
        <v>45803</v>
      </c>
      <c r="D92" t="inlineStr">
        <is>
          <t>UPPSALA LÄN</t>
        </is>
      </c>
      <c r="E92" t="inlineStr">
        <is>
          <t>ÖSTHAMMAR</t>
        </is>
      </c>
      <c r="G92" t="n">
        <v>3.8</v>
      </c>
      <c r="H92" t="n">
        <v>0</v>
      </c>
      <c r="I92" t="n">
        <v>1</v>
      </c>
      <c r="J92" t="n">
        <v>1</v>
      </c>
      <c r="K92" t="n">
        <v>0</v>
      </c>
      <c r="L92" t="n">
        <v>0</v>
      </c>
      <c r="M92" t="n">
        <v>0</v>
      </c>
      <c r="N92" t="n">
        <v>0</v>
      </c>
      <c r="O92" t="n">
        <v>1</v>
      </c>
      <c r="P92" t="n">
        <v>0</v>
      </c>
      <c r="Q92" t="n">
        <v>2</v>
      </c>
      <c r="R92" s="2" t="inlineStr">
        <is>
          <t>Flattoppad klubbsvamp
Zontaggsvamp</t>
        </is>
      </c>
      <c r="S92">
        <f>HYPERLINK("https://klasma.github.io/Logging_0382/artfynd/A 2172-2020 artfynd.xlsx", "A 2172-2020")</f>
        <v/>
      </c>
      <c r="T92">
        <f>HYPERLINK("https://klasma.github.io/Logging_0382/kartor/A 2172-2020 karta.png", "A 2172-2020")</f>
        <v/>
      </c>
      <c r="V92">
        <f>HYPERLINK("https://klasma.github.io/Logging_0382/klagomål/A 2172-2020 FSC-klagomål.docx", "A 2172-2020")</f>
        <v/>
      </c>
      <c r="W92">
        <f>HYPERLINK("https://klasma.github.io/Logging_0382/klagomålsmail/A 2172-2020 FSC-klagomål mail.docx", "A 2172-2020")</f>
        <v/>
      </c>
      <c r="X92">
        <f>HYPERLINK("https://klasma.github.io/Logging_0382/tillsyn/A 2172-2020 tillsynsbegäran.docx", "A 2172-2020")</f>
        <v/>
      </c>
      <c r="Y92">
        <f>HYPERLINK("https://klasma.github.io/Logging_0382/tillsynsmail/A 2172-2020 tillsynsbegäran mail.docx", "A 2172-2020")</f>
        <v/>
      </c>
    </row>
    <row r="93" ht="15" customHeight="1">
      <c r="A93" t="inlineStr">
        <is>
          <t>A 9867-2020</t>
        </is>
      </c>
      <c r="B93" s="1" t="n">
        <v>43882</v>
      </c>
      <c r="C93" s="1" t="n">
        <v>45803</v>
      </c>
      <c r="D93" t="inlineStr">
        <is>
          <t>UPPSALA LÄN</t>
        </is>
      </c>
      <c r="E93" t="inlineStr">
        <is>
          <t>ÖSTHAMMAR</t>
        </is>
      </c>
      <c r="F93" t="inlineStr">
        <is>
          <t>Bergvik skog öst AB</t>
        </is>
      </c>
      <c r="G93" t="n">
        <v>11.1</v>
      </c>
      <c r="H93" t="n">
        <v>1</v>
      </c>
      <c r="I93" t="n">
        <v>1</v>
      </c>
      <c r="J93" t="n">
        <v>0</v>
      </c>
      <c r="K93" t="n">
        <v>0</v>
      </c>
      <c r="L93" t="n">
        <v>0</v>
      </c>
      <c r="M93" t="n">
        <v>0</v>
      </c>
      <c r="N93" t="n">
        <v>0</v>
      </c>
      <c r="O93" t="n">
        <v>0</v>
      </c>
      <c r="P93" t="n">
        <v>0</v>
      </c>
      <c r="Q93" t="n">
        <v>2</v>
      </c>
      <c r="R93" s="2" t="inlineStr">
        <is>
          <t>Gräsull
Revlummer</t>
        </is>
      </c>
      <c r="S93">
        <f>HYPERLINK("https://klasma.github.io/Logging_0382/artfynd/A 9867-2020 artfynd.xlsx", "A 9867-2020")</f>
        <v/>
      </c>
      <c r="T93">
        <f>HYPERLINK("https://klasma.github.io/Logging_0382/kartor/A 9867-2020 karta.png", "A 9867-2020")</f>
        <v/>
      </c>
      <c r="V93">
        <f>HYPERLINK("https://klasma.github.io/Logging_0382/klagomål/A 9867-2020 FSC-klagomål.docx", "A 9867-2020")</f>
        <v/>
      </c>
      <c r="W93">
        <f>HYPERLINK("https://klasma.github.io/Logging_0382/klagomålsmail/A 9867-2020 FSC-klagomål mail.docx", "A 9867-2020")</f>
        <v/>
      </c>
      <c r="X93">
        <f>HYPERLINK("https://klasma.github.io/Logging_0382/tillsyn/A 9867-2020 tillsynsbegäran.docx", "A 9867-2020")</f>
        <v/>
      </c>
      <c r="Y93">
        <f>HYPERLINK("https://klasma.github.io/Logging_0382/tillsynsmail/A 9867-2020 tillsynsbegäran mail.docx", "A 9867-2020")</f>
        <v/>
      </c>
    </row>
    <row r="94" ht="15" customHeight="1">
      <c r="A94" t="inlineStr">
        <is>
          <t>A 42520-2020</t>
        </is>
      </c>
      <c r="B94" s="1" t="n">
        <v>44077</v>
      </c>
      <c r="C94" s="1" t="n">
        <v>45803</v>
      </c>
      <c r="D94" t="inlineStr">
        <is>
          <t>UPPSALA LÄN</t>
        </is>
      </c>
      <c r="E94" t="inlineStr">
        <is>
          <t>ÖSTHAMMAR</t>
        </is>
      </c>
      <c r="G94" t="n">
        <v>2.8</v>
      </c>
      <c r="H94" t="n">
        <v>1</v>
      </c>
      <c r="I94" t="n">
        <v>2</v>
      </c>
      <c r="J94" t="n">
        <v>0</v>
      </c>
      <c r="K94" t="n">
        <v>0</v>
      </c>
      <c r="L94" t="n">
        <v>0</v>
      </c>
      <c r="M94" t="n">
        <v>0</v>
      </c>
      <c r="N94" t="n">
        <v>0</v>
      </c>
      <c r="O94" t="n">
        <v>0</v>
      </c>
      <c r="P94" t="n">
        <v>0</v>
      </c>
      <c r="Q94" t="n">
        <v>2</v>
      </c>
      <c r="R94" s="2" t="inlineStr">
        <is>
          <t>Hasselticka
Skogsknipprot</t>
        </is>
      </c>
      <c r="S94">
        <f>HYPERLINK("https://klasma.github.io/Logging_0382/artfynd/A 42520-2020 artfynd.xlsx", "A 42520-2020")</f>
        <v/>
      </c>
      <c r="T94">
        <f>HYPERLINK("https://klasma.github.io/Logging_0382/kartor/A 42520-2020 karta.png", "A 42520-2020")</f>
        <v/>
      </c>
      <c r="V94">
        <f>HYPERLINK("https://klasma.github.io/Logging_0382/klagomål/A 42520-2020 FSC-klagomål.docx", "A 42520-2020")</f>
        <v/>
      </c>
      <c r="W94">
        <f>HYPERLINK("https://klasma.github.io/Logging_0382/klagomålsmail/A 42520-2020 FSC-klagomål mail.docx", "A 42520-2020")</f>
        <v/>
      </c>
      <c r="X94">
        <f>HYPERLINK("https://klasma.github.io/Logging_0382/tillsyn/A 42520-2020 tillsynsbegäran.docx", "A 42520-2020")</f>
        <v/>
      </c>
      <c r="Y94">
        <f>HYPERLINK("https://klasma.github.io/Logging_0382/tillsynsmail/A 42520-2020 tillsynsbegäran mail.docx", "A 42520-2020")</f>
        <v/>
      </c>
    </row>
    <row r="95" ht="15" customHeight="1">
      <c r="A95" t="inlineStr">
        <is>
          <t>A 59416-2020</t>
        </is>
      </c>
      <c r="B95" s="1" t="n">
        <v>44148</v>
      </c>
      <c r="C95" s="1" t="n">
        <v>45803</v>
      </c>
      <c r="D95" t="inlineStr">
        <is>
          <t>UPPSALA LÄN</t>
        </is>
      </c>
      <c r="E95" t="inlineStr">
        <is>
          <t>ÖSTHAMMAR</t>
        </is>
      </c>
      <c r="F95" t="inlineStr">
        <is>
          <t>Sveaskog</t>
        </is>
      </c>
      <c r="G95" t="n">
        <v>1.7</v>
      </c>
      <c r="H95" t="n">
        <v>2</v>
      </c>
      <c r="I95" t="n">
        <v>0</v>
      </c>
      <c r="J95" t="n">
        <v>1</v>
      </c>
      <c r="K95" t="n">
        <v>0</v>
      </c>
      <c r="L95" t="n">
        <v>1</v>
      </c>
      <c r="M95" t="n">
        <v>0</v>
      </c>
      <c r="N95" t="n">
        <v>0</v>
      </c>
      <c r="O95" t="n">
        <v>2</v>
      </c>
      <c r="P95" t="n">
        <v>1</v>
      </c>
      <c r="Q95" t="n">
        <v>2</v>
      </c>
      <c r="R95" s="2" t="inlineStr">
        <is>
          <t>Grönfink
Svartvit flugsnappare</t>
        </is>
      </c>
      <c r="S95">
        <f>HYPERLINK("https://klasma.github.io/Logging_0382/artfynd/A 59416-2020 artfynd.xlsx", "A 59416-2020")</f>
        <v/>
      </c>
      <c r="T95">
        <f>HYPERLINK("https://klasma.github.io/Logging_0382/kartor/A 59416-2020 karta.png", "A 59416-2020")</f>
        <v/>
      </c>
      <c r="V95">
        <f>HYPERLINK("https://klasma.github.io/Logging_0382/klagomål/A 59416-2020 FSC-klagomål.docx", "A 59416-2020")</f>
        <v/>
      </c>
      <c r="W95">
        <f>HYPERLINK("https://klasma.github.io/Logging_0382/klagomålsmail/A 59416-2020 FSC-klagomål mail.docx", "A 59416-2020")</f>
        <v/>
      </c>
      <c r="X95">
        <f>HYPERLINK("https://klasma.github.io/Logging_0382/tillsyn/A 59416-2020 tillsynsbegäran.docx", "A 59416-2020")</f>
        <v/>
      </c>
      <c r="Y95">
        <f>HYPERLINK("https://klasma.github.io/Logging_0382/tillsynsmail/A 59416-2020 tillsynsbegäran mail.docx", "A 59416-2020")</f>
        <v/>
      </c>
      <c r="Z95">
        <f>HYPERLINK("https://klasma.github.io/Logging_0382/fåglar/A 59416-2020 prioriterade fågelarter.docx", "A 59416-2020")</f>
        <v/>
      </c>
    </row>
    <row r="96" ht="15" customHeight="1">
      <c r="A96" t="inlineStr">
        <is>
          <t>A 6223-2021</t>
        </is>
      </c>
      <c r="B96" s="1" t="n">
        <v>44235</v>
      </c>
      <c r="C96" s="1" t="n">
        <v>45803</v>
      </c>
      <c r="D96" t="inlineStr">
        <is>
          <t>UPPSALA LÄN</t>
        </is>
      </c>
      <c r="E96" t="inlineStr">
        <is>
          <t>ÖSTHAMMAR</t>
        </is>
      </c>
      <c r="G96" t="n">
        <v>0.5</v>
      </c>
      <c r="H96" t="n">
        <v>2</v>
      </c>
      <c r="I96" t="n">
        <v>0</v>
      </c>
      <c r="J96" t="n">
        <v>0</v>
      </c>
      <c r="K96" t="n">
        <v>0</v>
      </c>
      <c r="L96" t="n">
        <v>0</v>
      </c>
      <c r="M96" t="n">
        <v>0</v>
      </c>
      <c r="N96" t="n">
        <v>0</v>
      </c>
      <c r="O96" t="n">
        <v>0</v>
      </c>
      <c r="P96" t="n">
        <v>0</v>
      </c>
      <c r="Q96" t="n">
        <v>2</v>
      </c>
      <c r="R96" s="2" t="inlineStr">
        <is>
          <t>Blåsippa
Gullviva</t>
        </is>
      </c>
      <c r="S96">
        <f>HYPERLINK("https://klasma.github.io/Logging_0382/artfynd/A 6223-2021 artfynd.xlsx", "A 6223-2021")</f>
        <v/>
      </c>
      <c r="T96">
        <f>HYPERLINK("https://klasma.github.io/Logging_0382/kartor/A 6223-2021 karta.png", "A 6223-2021")</f>
        <v/>
      </c>
      <c r="V96">
        <f>HYPERLINK("https://klasma.github.io/Logging_0382/klagomål/A 6223-2021 FSC-klagomål.docx", "A 6223-2021")</f>
        <v/>
      </c>
      <c r="W96">
        <f>HYPERLINK("https://klasma.github.io/Logging_0382/klagomålsmail/A 6223-2021 FSC-klagomål mail.docx", "A 6223-2021")</f>
        <v/>
      </c>
      <c r="X96">
        <f>HYPERLINK("https://klasma.github.io/Logging_0382/tillsyn/A 6223-2021 tillsynsbegäran.docx", "A 6223-2021")</f>
        <v/>
      </c>
      <c r="Y96">
        <f>HYPERLINK("https://klasma.github.io/Logging_0382/tillsynsmail/A 6223-2021 tillsynsbegäran mail.docx", "A 6223-2021")</f>
        <v/>
      </c>
    </row>
    <row r="97" ht="15" customHeight="1">
      <c r="A97" t="inlineStr">
        <is>
          <t>A 31622-2021</t>
        </is>
      </c>
      <c r="B97" s="1" t="n">
        <v>44369</v>
      </c>
      <c r="C97" s="1" t="n">
        <v>45803</v>
      </c>
      <c r="D97" t="inlineStr">
        <is>
          <t>UPPSALA LÄN</t>
        </is>
      </c>
      <c r="E97" t="inlineStr">
        <is>
          <t>ÖSTHAMMAR</t>
        </is>
      </c>
      <c r="G97" t="n">
        <v>12.6</v>
      </c>
      <c r="H97" t="n">
        <v>2</v>
      </c>
      <c r="I97" t="n">
        <v>0</v>
      </c>
      <c r="J97" t="n">
        <v>1</v>
      </c>
      <c r="K97" t="n">
        <v>0</v>
      </c>
      <c r="L97" t="n">
        <v>0</v>
      </c>
      <c r="M97" t="n">
        <v>0</v>
      </c>
      <c r="N97" t="n">
        <v>0</v>
      </c>
      <c r="O97" t="n">
        <v>1</v>
      </c>
      <c r="P97" t="n">
        <v>0</v>
      </c>
      <c r="Q97" t="n">
        <v>2</v>
      </c>
      <c r="R97" s="2" t="inlineStr">
        <is>
          <t>Spillkråka
Mattlummer</t>
        </is>
      </c>
      <c r="S97">
        <f>HYPERLINK("https://klasma.github.io/Logging_0382/artfynd/A 31622-2021 artfynd.xlsx", "A 31622-2021")</f>
        <v/>
      </c>
      <c r="T97">
        <f>HYPERLINK("https://klasma.github.io/Logging_0382/kartor/A 31622-2021 karta.png", "A 31622-2021")</f>
        <v/>
      </c>
      <c r="V97">
        <f>HYPERLINK("https://klasma.github.io/Logging_0382/klagomål/A 31622-2021 FSC-klagomål.docx", "A 31622-2021")</f>
        <v/>
      </c>
      <c r="W97">
        <f>HYPERLINK("https://klasma.github.io/Logging_0382/klagomålsmail/A 31622-2021 FSC-klagomål mail.docx", "A 31622-2021")</f>
        <v/>
      </c>
      <c r="X97">
        <f>HYPERLINK("https://klasma.github.io/Logging_0382/tillsyn/A 31622-2021 tillsynsbegäran.docx", "A 31622-2021")</f>
        <v/>
      </c>
      <c r="Y97">
        <f>HYPERLINK("https://klasma.github.io/Logging_0382/tillsynsmail/A 31622-2021 tillsynsbegäran mail.docx", "A 31622-2021")</f>
        <v/>
      </c>
      <c r="Z97">
        <f>HYPERLINK("https://klasma.github.io/Logging_0382/fåglar/A 31622-2021 prioriterade fågelarter.docx", "A 31622-2021")</f>
        <v/>
      </c>
    </row>
    <row r="98" ht="15" customHeight="1">
      <c r="A98" t="inlineStr">
        <is>
          <t>A 60078-2021</t>
        </is>
      </c>
      <c r="B98" s="1" t="n">
        <v>44495</v>
      </c>
      <c r="C98" s="1" t="n">
        <v>45803</v>
      </c>
      <c r="D98" t="inlineStr">
        <is>
          <t>UPPSALA LÄN</t>
        </is>
      </c>
      <c r="E98" t="inlineStr">
        <is>
          <t>ÖSTHAMMAR</t>
        </is>
      </c>
      <c r="G98" t="n">
        <v>1.1</v>
      </c>
      <c r="H98" t="n">
        <v>0</v>
      </c>
      <c r="I98" t="n">
        <v>0</v>
      </c>
      <c r="J98" t="n">
        <v>1</v>
      </c>
      <c r="K98" t="n">
        <v>1</v>
      </c>
      <c r="L98" t="n">
        <v>0</v>
      </c>
      <c r="M98" t="n">
        <v>0</v>
      </c>
      <c r="N98" t="n">
        <v>0</v>
      </c>
      <c r="O98" t="n">
        <v>2</v>
      </c>
      <c r="P98" t="n">
        <v>1</v>
      </c>
      <c r="Q98" t="n">
        <v>2</v>
      </c>
      <c r="R98" s="2" t="inlineStr">
        <is>
          <t>Violgubbe
Blek fingersvamp</t>
        </is>
      </c>
      <c r="S98">
        <f>HYPERLINK("https://klasma.github.io/Logging_0382/artfynd/A 60078-2021 artfynd.xlsx", "A 60078-2021")</f>
        <v/>
      </c>
      <c r="T98">
        <f>HYPERLINK("https://klasma.github.io/Logging_0382/kartor/A 60078-2021 karta.png", "A 60078-2021")</f>
        <v/>
      </c>
      <c r="V98">
        <f>HYPERLINK("https://klasma.github.io/Logging_0382/klagomål/A 60078-2021 FSC-klagomål.docx", "A 60078-2021")</f>
        <v/>
      </c>
      <c r="W98">
        <f>HYPERLINK("https://klasma.github.io/Logging_0382/klagomålsmail/A 60078-2021 FSC-klagomål mail.docx", "A 60078-2021")</f>
        <v/>
      </c>
      <c r="X98">
        <f>HYPERLINK("https://klasma.github.io/Logging_0382/tillsyn/A 60078-2021 tillsynsbegäran.docx", "A 60078-2021")</f>
        <v/>
      </c>
      <c r="Y98">
        <f>HYPERLINK("https://klasma.github.io/Logging_0382/tillsynsmail/A 60078-2021 tillsynsbegäran mail.docx", "A 60078-2021")</f>
        <v/>
      </c>
    </row>
    <row r="99" ht="15" customHeight="1">
      <c r="A99" t="inlineStr">
        <is>
          <t>A 65165-2021</t>
        </is>
      </c>
      <c r="B99" s="1" t="n">
        <v>44515</v>
      </c>
      <c r="C99" s="1" t="n">
        <v>45803</v>
      </c>
      <c r="D99" t="inlineStr">
        <is>
          <t>UPPSALA LÄN</t>
        </is>
      </c>
      <c r="E99" t="inlineStr">
        <is>
          <t>ÖSTHAMMAR</t>
        </is>
      </c>
      <c r="F99" t="inlineStr">
        <is>
          <t>Sveaskog</t>
        </is>
      </c>
      <c r="G99" t="n">
        <v>2.8</v>
      </c>
      <c r="H99" t="n">
        <v>1</v>
      </c>
      <c r="I99" t="n">
        <v>0</v>
      </c>
      <c r="J99" t="n">
        <v>2</v>
      </c>
      <c r="K99" t="n">
        <v>0</v>
      </c>
      <c r="L99" t="n">
        <v>0</v>
      </c>
      <c r="M99" t="n">
        <v>0</v>
      </c>
      <c r="N99" t="n">
        <v>0</v>
      </c>
      <c r="O99" t="n">
        <v>2</v>
      </c>
      <c r="P99" t="n">
        <v>0</v>
      </c>
      <c r="Q99" t="n">
        <v>2</v>
      </c>
      <c r="R99" s="2" t="inlineStr">
        <is>
          <t>Spillkråka
Vedtrappmossa</t>
        </is>
      </c>
      <c r="S99">
        <f>HYPERLINK("https://klasma.github.io/Logging_0382/artfynd/A 65165-2021 artfynd.xlsx", "A 65165-2021")</f>
        <v/>
      </c>
      <c r="T99">
        <f>HYPERLINK("https://klasma.github.io/Logging_0382/kartor/A 65165-2021 karta.png", "A 65165-2021")</f>
        <v/>
      </c>
      <c r="U99">
        <f>HYPERLINK("https://klasma.github.io/Logging_0382/knärot/A 65165-2021 karta knärot.png", "A 65165-2021")</f>
        <v/>
      </c>
      <c r="V99">
        <f>HYPERLINK("https://klasma.github.io/Logging_0382/klagomål/A 65165-2021 FSC-klagomål.docx", "A 65165-2021")</f>
        <v/>
      </c>
      <c r="W99">
        <f>HYPERLINK("https://klasma.github.io/Logging_0382/klagomålsmail/A 65165-2021 FSC-klagomål mail.docx", "A 65165-2021")</f>
        <v/>
      </c>
      <c r="X99">
        <f>HYPERLINK("https://klasma.github.io/Logging_0382/tillsyn/A 65165-2021 tillsynsbegäran.docx", "A 65165-2021")</f>
        <v/>
      </c>
      <c r="Y99">
        <f>HYPERLINK("https://klasma.github.io/Logging_0382/tillsynsmail/A 65165-2021 tillsynsbegäran mail.docx", "A 65165-2021")</f>
        <v/>
      </c>
      <c r="Z99">
        <f>HYPERLINK("https://klasma.github.io/Logging_0382/fåglar/A 65165-2021 prioriterade fågelarter.docx", "A 65165-2021")</f>
        <v/>
      </c>
    </row>
    <row r="100" ht="15" customHeight="1">
      <c r="A100" t="inlineStr">
        <is>
          <t>A 67855-2021</t>
        </is>
      </c>
      <c r="B100" s="1" t="n">
        <v>44525</v>
      </c>
      <c r="C100" s="1" t="n">
        <v>45803</v>
      </c>
      <c r="D100" t="inlineStr">
        <is>
          <t>UPPSALA LÄN</t>
        </is>
      </c>
      <c r="E100" t="inlineStr">
        <is>
          <t>ÖSTHAMMAR</t>
        </is>
      </c>
      <c r="G100" t="n">
        <v>7.5</v>
      </c>
      <c r="H100" t="n">
        <v>0</v>
      </c>
      <c r="I100" t="n">
        <v>2</v>
      </c>
      <c r="J100" t="n">
        <v>0</v>
      </c>
      <c r="K100" t="n">
        <v>0</v>
      </c>
      <c r="L100" t="n">
        <v>0</v>
      </c>
      <c r="M100" t="n">
        <v>0</v>
      </c>
      <c r="N100" t="n">
        <v>0</v>
      </c>
      <c r="O100" t="n">
        <v>0</v>
      </c>
      <c r="P100" t="n">
        <v>0</v>
      </c>
      <c r="Q100" t="n">
        <v>2</v>
      </c>
      <c r="R100" s="2" t="inlineStr">
        <is>
          <t>Guldkremla
Kamjordstjärna</t>
        </is>
      </c>
      <c r="S100">
        <f>HYPERLINK("https://klasma.github.io/Logging_0382/artfynd/A 67855-2021 artfynd.xlsx", "A 67855-2021")</f>
        <v/>
      </c>
      <c r="T100">
        <f>HYPERLINK("https://klasma.github.io/Logging_0382/kartor/A 67855-2021 karta.png", "A 67855-2021")</f>
        <v/>
      </c>
      <c r="V100">
        <f>HYPERLINK("https://klasma.github.io/Logging_0382/klagomål/A 67855-2021 FSC-klagomål.docx", "A 67855-2021")</f>
        <v/>
      </c>
      <c r="W100">
        <f>HYPERLINK("https://klasma.github.io/Logging_0382/klagomålsmail/A 67855-2021 FSC-klagomål mail.docx", "A 67855-2021")</f>
        <v/>
      </c>
      <c r="X100">
        <f>HYPERLINK("https://klasma.github.io/Logging_0382/tillsyn/A 67855-2021 tillsynsbegäran.docx", "A 67855-2021")</f>
        <v/>
      </c>
      <c r="Y100">
        <f>HYPERLINK("https://klasma.github.io/Logging_0382/tillsynsmail/A 67855-2021 tillsynsbegäran mail.docx", "A 67855-2021")</f>
        <v/>
      </c>
    </row>
    <row r="101" ht="15" customHeight="1">
      <c r="A101" t="inlineStr">
        <is>
          <t>A 69241-2021</t>
        </is>
      </c>
      <c r="B101" s="1" t="n">
        <v>44529</v>
      </c>
      <c r="C101" s="1" t="n">
        <v>45803</v>
      </c>
      <c r="D101" t="inlineStr">
        <is>
          <t>UPPSALA LÄN</t>
        </is>
      </c>
      <c r="E101" t="inlineStr">
        <is>
          <t>ÖSTHAMMAR</t>
        </is>
      </c>
      <c r="G101" t="n">
        <v>0.7</v>
      </c>
      <c r="H101" t="n">
        <v>0</v>
      </c>
      <c r="I101" t="n">
        <v>1</v>
      </c>
      <c r="J101" t="n">
        <v>1</v>
      </c>
      <c r="K101" t="n">
        <v>0</v>
      </c>
      <c r="L101" t="n">
        <v>0</v>
      </c>
      <c r="M101" t="n">
        <v>0</v>
      </c>
      <c r="N101" t="n">
        <v>0</v>
      </c>
      <c r="O101" t="n">
        <v>1</v>
      </c>
      <c r="P101" t="n">
        <v>0</v>
      </c>
      <c r="Q101" t="n">
        <v>2</v>
      </c>
      <c r="R101" s="2" t="inlineStr">
        <is>
          <t>Harticka
Zontaggsvamp</t>
        </is>
      </c>
      <c r="S101">
        <f>HYPERLINK("https://klasma.github.io/Logging_0382/artfynd/A 69241-2021 artfynd.xlsx", "A 69241-2021")</f>
        <v/>
      </c>
      <c r="T101">
        <f>HYPERLINK("https://klasma.github.io/Logging_0382/kartor/A 69241-2021 karta.png", "A 69241-2021")</f>
        <v/>
      </c>
      <c r="V101">
        <f>HYPERLINK("https://klasma.github.io/Logging_0382/klagomål/A 69241-2021 FSC-klagomål.docx", "A 69241-2021")</f>
        <v/>
      </c>
      <c r="W101">
        <f>HYPERLINK("https://klasma.github.io/Logging_0382/klagomålsmail/A 69241-2021 FSC-klagomål mail.docx", "A 69241-2021")</f>
        <v/>
      </c>
      <c r="X101">
        <f>HYPERLINK("https://klasma.github.io/Logging_0382/tillsyn/A 69241-2021 tillsynsbegäran.docx", "A 69241-2021")</f>
        <v/>
      </c>
      <c r="Y101">
        <f>HYPERLINK("https://klasma.github.io/Logging_0382/tillsynsmail/A 69241-2021 tillsynsbegäran mail.docx", "A 69241-2021")</f>
        <v/>
      </c>
    </row>
    <row r="102" ht="15" customHeight="1">
      <c r="A102" t="inlineStr">
        <is>
          <t>A 73981-2021</t>
        </is>
      </c>
      <c r="B102" s="1" t="n">
        <v>44555</v>
      </c>
      <c r="C102" s="1" t="n">
        <v>45803</v>
      </c>
      <c r="D102" t="inlineStr">
        <is>
          <t>UPPSALA LÄN</t>
        </is>
      </c>
      <c r="E102" t="inlineStr">
        <is>
          <t>ÖSTHAMMAR</t>
        </is>
      </c>
      <c r="G102" t="n">
        <v>2.4</v>
      </c>
      <c r="H102" t="n">
        <v>0</v>
      </c>
      <c r="I102" t="n">
        <v>1</v>
      </c>
      <c r="J102" t="n">
        <v>1</v>
      </c>
      <c r="K102" t="n">
        <v>0</v>
      </c>
      <c r="L102" t="n">
        <v>0</v>
      </c>
      <c r="M102" t="n">
        <v>0</v>
      </c>
      <c r="N102" t="n">
        <v>0</v>
      </c>
      <c r="O102" t="n">
        <v>1</v>
      </c>
      <c r="P102" t="n">
        <v>0</v>
      </c>
      <c r="Q102" t="n">
        <v>2</v>
      </c>
      <c r="R102" s="2" t="inlineStr">
        <is>
          <t>Skogsklocka
Vårärt</t>
        </is>
      </c>
      <c r="S102">
        <f>HYPERLINK("https://klasma.github.io/Logging_0382/artfynd/A 73981-2021 artfynd.xlsx", "A 73981-2021")</f>
        <v/>
      </c>
      <c r="T102">
        <f>HYPERLINK("https://klasma.github.io/Logging_0382/kartor/A 73981-2021 karta.png", "A 73981-2021")</f>
        <v/>
      </c>
      <c r="V102">
        <f>HYPERLINK("https://klasma.github.io/Logging_0382/klagomål/A 73981-2021 FSC-klagomål.docx", "A 73981-2021")</f>
        <v/>
      </c>
      <c r="W102">
        <f>HYPERLINK("https://klasma.github.io/Logging_0382/klagomålsmail/A 73981-2021 FSC-klagomål mail.docx", "A 73981-2021")</f>
        <v/>
      </c>
      <c r="X102">
        <f>HYPERLINK("https://klasma.github.io/Logging_0382/tillsyn/A 73981-2021 tillsynsbegäran.docx", "A 73981-2021")</f>
        <v/>
      </c>
      <c r="Y102">
        <f>HYPERLINK("https://klasma.github.io/Logging_0382/tillsynsmail/A 73981-2021 tillsynsbegäran mail.docx", "A 73981-2021")</f>
        <v/>
      </c>
    </row>
    <row r="103" ht="15" customHeight="1">
      <c r="A103" t="inlineStr">
        <is>
          <t>A 8290-2022</t>
        </is>
      </c>
      <c r="B103" s="1" t="n">
        <v>44610</v>
      </c>
      <c r="C103" s="1" t="n">
        <v>45803</v>
      </c>
      <c r="D103" t="inlineStr">
        <is>
          <t>UPPSALA LÄN</t>
        </is>
      </c>
      <c r="E103" t="inlineStr">
        <is>
          <t>ÖSTHAMMAR</t>
        </is>
      </c>
      <c r="G103" t="n">
        <v>3.5</v>
      </c>
      <c r="H103" t="n">
        <v>0</v>
      </c>
      <c r="I103" t="n">
        <v>1</v>
      </c>
      <c r="J103" t="n">
        <v>0</v>
      </c>
      <c r="K103" t="n">
        <v>1</v>
      </c>
      <c r="L103" t="n">
        <v>0</v>
      </c>
      <c r="M103" t="n">
        <v>0</v>
      </c>
      <c r="N103" t="n">
        <v>0</v>
      </c>
      <c r="O103" t="n">
        <v>1</v>
      </c>
      <c r="P103" t="n">
        <v>1</v>
      </c>
      <c r="Q103" t="n">
        <v>2</v>
      </c>
      <c r="R103" s="2" t="inlineStr">
        <is>
          <t>Gul lammticka
Brandmusseron</t>
        </is>
      </c>
      <c r="S103">
        <f>HYPERLINK("https://klasma.github.io/Logging_0382/artfynd/A 8290-2022 artfynd.xlsx", "A 8290-2022")</f>
        <v/>
      </c>
      <c r="T103">
        <f>HYPERLINK("https://klasma.github.io/Logging_0382/kartor/A 8290-2022 karta.png", "A 8290-2022")</f>
        <v/>
      </c>
      <c r="V103">
        <f>HYPERLINK("https://klasma.github.io/Logging_0382/klagomål/A 8290-2022 FSC-klagomål.docx", "A 8290-2022")</f>
        <v/>
      </c>
      <c r="W103">
        <f>HYPERLINK("https://klasma.github.io/Logging_0382/klagomålsmail/A 8290-2022 FSC-klagomål mail.docx", "A 8290-2022")</f>
        <v/>
      </c>
      <c r="X103">
        <f>HYPERLINK("https://klasma.github.io/Logging_0382/tillsyn/A 8290-2022 tillsynsbegäran.docx", "A 8290-2022")</f>
        <v/>
      </c>
      <c r="Y103">
        <f>HYPERLINK("https://klasma.github.io/Logging_0382/tillsynsmail/A 8290-2022 tillsynsbegäran mail.docx", "A 8290-2022")</f>
        <v/>
      </c>
    </row>
    <row r="104" ht="15" customHeight="1">
      <c r="A104" t="inlineStr">
        <is>
          <t>A 13287-2022</t>
        </is>
      </c>
      <c r="B104" s="1" t="n">
        <v>44644</v>
      </c>
      <c r="C104" s="1" t="n">
        <v>45803</v>
      </c>
      <c r="D104" t="inlineStr">
        <is>
          <t>UPPSALA LÄN</t>
        </is>
      </c>
      <c r="E104" t="inlineStr">
        <is>
          <t>ÖSTHAMMAR</t>
        </is>
      </c>
      <c r="G104" t="n">
        <v>14.6</v>
      </c>
      <c r="H104" t="n">
        <v>0</v>
      </c>
      <c r="I104" t="n">
        <v>1</v>
      </c>
      <c r="J104" t="n">
        <v>0</v>
      </c>
      <c r="K104" t="n">
        <v>1</v>
      </c>
      <c r="L104" t="n">
        <v>0</v>
      </c>
      <c r="M104" t="n">
        <v>0</v>
      </c>
      <c r="N104" t="n">
        <v>0</v>
      </c>
      <c r="O104" t="n">
        <v>1</v>
      </c>
      <c r="P104" t="n">
        <v>1</v>
      </c>
      <c r="Q104" t="n">
        <v>2</v>
      </c>
      <c r="R104" s="2" t="inlineStr">
        <is>
          <t>Bullspindling
Olivspindling</t>
        </is>
      </c>
      <c r="S104">
        <f>HYPERLINK("https://klasma.github.io/Logging_0382/artfynd/A 13287-2022 artfynd.xlsx", "A 13287-2022")</f>
        <v/>
      </c>
      <c r="T104">
        <f>HYPERLINK("https://klasma.github.io/Logging_0382/kartor/A 13287-2022 karta.png", "A 13287-2022")</f>
        <v/>
      </c>
      <c r="V104">
        <f>HYPERLINK("https://klasma.github.io/Logging_0382/klagomål/A 13287-2022 FSC-klagomål.docx", "A 13287-2022")</f>
        <v/>
      </c>
      <c r="W104">
        <f>HYPERLINK("https://klasma.github.io/Logging_0382/klagomålsmail/A 13287-2022 FSC-klagomål mail.docx", "A 13287-2022")</f>
        <v/>
      </c>
      <c r="X104">
        <f>HYPERLINK("https://klasma.github.io/Logging_0382/tillsyn/A 13287-2022 tillsynsbegäran.docx", "A 13287-2022")</f>
        <v/>
      </c>
      <c r="Y104">
        <f>HYPERLINK("https://klasma.github.io/Logging_0382/tillsynsmail/A 13287-2022 tillsynsbegäran mail.docx", "A 13287-2022")</f>
        <v/>
      </c>
    </row>
    <row r="105" ht="15" customHeight="1">
      <c r="A105" t="inlineStr">
        <is>
          <t>A 25098-2022</t>
        </is>
      </c>
      <c r="B105" s="1" t="n">
        <v>44729</v>
      </c>
      <c r="C105" s="1" t="n">
        <v>45803</v>
      </c>
      <c r="D105" t="inlineStr">
        <is>
          <t>UPPSALA LÄN</t>
        </is>
      </c>
      <c r="E105" t="inlineStr">
        <is>
          <t>ÖSTHAMMAR</t>
        </is>
      </c>
      <c r="G105" t="n">
        <v>2.9</v>
      </c>
      <c r="H105" t="n">
        <v>2</v>
      </c>
      <c r="I105" t="n">
        <v>0</v>
      </c>
      <c r="J105" t="n">
        <v>0</v>
      </c>
      <c r="K105" t="n">
        <v>0</v>
      </c>
      <c r="L105" t="n">
        <v>0</v>
      </c>
      <c r="M105" t="n">
        <v>0</v>
      </c>
      <c r="N105" t="n">
        <v>0</v>
      </c>
      <c r="O105" t="n">
        <v>0</v>
      </c>
      <c r="P105" t="n">
        <v>0</v>
      </c>
      <c r="Q105" t="n">
        <v>2</v>
      </c>
      <c r="R105" s="2" t="inlineStr">
        <is>
          <t>Blåsippa
Gullviva</t>
        </is>
      </c>
      <c r="S105">
        <f>HYPERLINK("https://klasma.github.io/Logging_0382/artfynd/A 25098-2022 artfynd.xlsx", "A 25098-2022")</f>
        <v/>
      </c>
      <c r="T105">
        <f>HYPERLINK("https://klasma.github.io/Logging_0382/kartor/A 25098-2022 karta.png", "A 25098-2022")</f>
        <v/>
      </c>
      <c r="V105">
        <f>HYPERLINK("https://klasma.github.io/Logging_0382/klagomål/A 25098-2022 FSC-klagomål.docx", "A 25098-2022")</f>
        <v/>
      </c>
      <c r="W105">
        <f>HYPERLINK("https://klasma.github.io/Logging_0382/klagomålsmail/A 25098-2022 FSC-klagomål mail.docx", "A 25098-2022")</f>
        <v/>
      </c>
      <c r="X105">
        <f>HYPERLINK("https://klasma.github.io/Logging_0382/tillsyn/A 25098-2022 tillsynsbegäran.docx", "A 25098-2022")</f>
        <v/>
      </c>
      <c r="Y105">
        <f>HYPERLINK("https://klasma.github.io/Logging_0382/tillsynsmail/A 25098-2022 tillsynsbegäran mail.docx", "A 25098-2022")</f>
        <v/>
      </c>
    </row>
    <row r="106" ht="15" customHeight="1">
      <c r="A106" t="inlineStr">
        <is>
          <t>A 32064-2022</t>
        </is>
      </c>
      <c r="B106" s="1" t="n">
        <v>44778</v>
      </c>
      <c r="C106" s="1" t="n">
        <v>45803</v>
      </c>
      <c r="D106" t="inlineStr">
        <is>
          <t>UPPSALA LÄN</t>
        </is>
      </c>
      <c r="E106" t="inlineStr">
        <is>
          <t>ÖSTHAMMAR</t>
        </is>
      </c>
      <c r="G106" t="n">
        <v>2.2</v>
      </c>
      <c r="H106" t="n">
        <v>0</v>
      </c>
      <c r="I106" t="n">
        <v>1</v>
      </c>
      <c r="J106" t="n">
        <v>0</v>
      </c>
      <c r="K106" t="n">
        <v>1</v>
      </c>
      <c r="L106" t="n">
        <v>0</v>
      </c>
      <c r="M106" t="n">
        <v>0</v>
      </c>
      <c r="N106" t="n">
        <v>0</v>
      </c>
      <c r="O106" t="n">
        <v>1</v>
      </c>
      <c r="P106" t="n">
        <v>1</v>
      </c>
      <c r="Q106" t="n">
        <v>2</v>
      </c>
      <c r="R106" s="2" t="inlineStr">
        <is>
          <t>Gul lammticka
Olivspindling</t>
        </is>
      </c>
      <c r="S106">
        <f>HYPERLINK("https://klasma.github.io/Logging_0382/artfynd/A 32064-2022 artfynd.xlsx", "A 32064-2022")</f>
        <v/>
      </c>
      <c r="T106">
        <f>HYPERLINK("https://klasma.github.io/Logging_0382/kartor/A 32064-2022 karta.png", "A 32064-2022")</f>
        <v/>
      </c>
      <c r="V106">
        <f>HYPERLINK("https://klasma.github.io/Logging_0382/klagomål/A 32064-2022 FSC-klagomål.docx", "A 32064-2022")</f>
        <v/>
      </c>
      <c r="W106">
        <f>HYPERLINK("https://klasma.github.io/Logging_0382/klagomålsmail/A 32064-2022 FSC-klagomål mail.docx", "A 32064-2022")</f>
        <v/>
      </c>
      <c r="X106">
        <f>HYPERLINK("https://klasma.github.io/Logging_0382/tillsyn/A 32064-2022 tillsynsbegäran.docx", "A 32064-2022")</f>
        <v/>
      </c>
      <c r="Y106">
        <f>HYPERLINK("https://klasma.github.io/Logging_0382/tillsynsmail/A 32064-2022 tillsynsbegäran mail.docx", "A 32064-2022")</f>
        <v/>
      </c>
    </row>
    <row r="107" ht="15" customHeight="1">
      <c r="A107" t="inlineStr">
        <is>
          <t>A 52654-2022</t>
        </is>
      </c>
      <c r="B107" s="1" t="n">
        <v>44874</v>
      </c>
      <c r="C107" s="1" t="n">
        <v>45803</v>
      </c>
      <c r="D107" t="inlineStr">
        <is>
          <t>UPPSALA LÄN</t>
        </is>
      </c>
      <c r="E107" t="inlineStr">
        <is>
          <t>ÖSTHAMMAR</t>
        </is>
      </c>
      <c r="F107" t="inlineStr">
        <is>
          <t>Bergvik skog öst AB</t>
        </is>
      </c>
      <c r="G107" t="n">
        <v>5.2</v>
      </c>
      <c r="H107" t="n">
        <v>2</v>
      </c>
      <c r="I107" t="n">
        <v>0</v>
      </c>
      <c r="J107" t="n">
        <v>2</v>
      </c>
      <c r="K107" t="n">
        <v>0</v>
      </c>
      <c r="L107" t="n">
        <v>0</v>
      </c>
      <c r="M107" t="n">
        <v>0</v>
      </c>
      <c r="N107" t="n">
        <v>0</v>
      </c>
      <c r="O107" t="n">
        <v>2</v>
      </c>
      <c r="P107" t="n">
        <v>0</v>
      </c>
      <c r="Q107" t="n">
        <v>2</v>
      </c>
      <c r="R107" s="2" t="inlineStr">
        <is>
          <t>Fiskmås
Strandskata</t>
        </is>
      </c>
      <c r="S107">
        <f>HYPERLINK("https://klasma.github.io/Logging_0382/artfynd/A 52654-2022 artfynd.xlsx", "A 52654-2022")</f>
        <v/>
      </c>
      <c r="T107">
        <f>HYPERLINK("https://klasma.github.io/Logging_0382/kartor/A 52654-2022 karta.png", "A 52654-2022")</f>
        <v/>
      </c>
      <c r="V107">
        <f>HYPERLINK("https://klasma.github.io/Logging_0382/klagomål/A 52654-2022 FSC-klagomål.docx", "A 52654-2022")</f>
        <v/>
      </c>
      <c r="W107">
        <f>HYPERLINK("https://klasma.github.io/Logging_0382/klagomålsmail/A 52654-2022 FSC-klagomål mail.docx", "A 52654-2022")</f>
        <v/>
      </c>
      <c r="X107">
        <f>HYPERLINK("https://klasma.github.io/Logging_0382/tillsyn/A 52654-2022 tillsynsbegäran.docx", "A 52654-2022")</f>
        <v/>
      </c>
      <c r="Y107">
        <f>HYPERLINK("https://klasma.github.io/Logging_0382/tillsynsmail/A 52654-2022 tillsynsbegäran mail.docx", "A 52654-2022")</f>
        <v/>
      </c>
    </row>
    <row r="108" ht="15" customHeight="1">
      <c r="A108" t="inlineStr">
        <is>
          <t>A 52658-2022</t>
        </is>
      </c>
      <c r="B108" s="1" t="n">
        <v>44874</v>
      </c>
      <c r="C108" s="1" t="n">
        <v>45803</v>
      </c>
      <c r="D108" t="inlineStr">
        <is>
          <t>UPPSALA LÄN</t>
        </is>
      </c>
      <c r="E108" t="inlineStr">
        <is>
          <t>ÖSTHAMMAR</t>
        </is>
      </c>
      <c r="F108" t="inlineStr">
        <is>
          <t>Bergvik skog öst AB</t>
        </is>
      </c>
      <c r="G108" t="n">
        <v>1.4</v>
      </c>
      <c r="H108" t="n">
        <v>2</v>
      </c>
      <c r="I108" t="n">
        <v>0</v>
      </c>
      <c r="J108" t="n">
        <v>2</v>
      </c>
      <c r="K108" t="n">
        <v>0</v>
      </c>
      <c r="L108" t="n">
        <v>0</v>
      </c>
      <c r="M108" t="n">
        <v>0</v>
      </c>
      <c r="N108" t="n">
        <v>0</v>
      </c>
      <c r="O108" t="n">
        <v>2</v>
      </c>
      <c r="P108" t="n">
        <v>0</v>
      </c>
      <c r="Q108" t="n">
        <v>2</v>
      </c>
      <c r="R108" s="2" t="inlineStr">
        <is>
          <t>Strandskata
Svartvit flugsnappare</t>
        </is>
      </c>
      <c r="S108">
        <f>HYPERLINK("https://klasma.github.io/Logging_0382/artfynd/A 52658-2022 artfynd.xlsx", "A 52658-2022")</f>
        <v/>
      </c>
      <c r="T108">
        <f>HYPERLINK("https://klasma.github.io/Logging_0382/kartor/A 52658-2022 karta.png", "A 52658-2022")</f>
        <v/>
      </c>
      <c r="V108">
        <f>HYPERLINK("https://klasma.github.io/Logging_0382/klagomål/A 52658-2022 FSC-klagomål.docx", "A 52658-2022")</f>
        <v/>
      </c>
      <c r="W108">
        <f>HYPERLINK("https://klasma.github.io/Logging_0382/klagomålsmail/A 52658-2022 FSC-klagomål mail.docx", "A 52658-2022")</f>
        <v/>
      </c>
      <c r="X108">
        <f>HYPERLINK("https://klasma.github.io/Logging_0382/tillsyn/A 52658-2022 tillsynsbegäran.docx", "A 52658-2022")</f>
        <v/>
      </c>
      <c r="Y108">
        <f>HYPERLINK("https://klasma.github.io/Logging_0382/tillsynsmail/A 52658-2022 tillsynsbegäran mail.docx", "A 52658-2022")</f>
        <v/>
      </c>
      <c r="Z108">
        <f>HYPERLINK("https://klasma.github.io/Logging_0382/fåglar/A 52658-2022 prioriterade fågelarter.docx", "A 52658-2022")</f>
        <v/>
      </c>
    </row>
    <row r="109" ht="15" customHeight="1">
      <c r="A109" t="inlineStr">
        <is>
          <t>A 6981-2023</t>
        </is>
      </c>
      <c r="B109" s="1" t="n">
        <v>44967</v>
      </c>
      <c r="C109" s="1" t="n">
        <v>45803</v>
      </c>
      <c r="D109" t="inlineStr">
        <is>
          <t>UPPSALA LÄN</t>
        </is>
      </c>
      <c r="E109" t="inlineStr">
        <is>
          <t>ÖSTHAMMAR</t>
        </is>
      </c>
      <c r="G109" t="n">
        <v>3.2</v>
      </c>
      <c r="H109" t="n">
        <v>1</v>
      </c>
      <c r="I109" t="n">
        <v>0</v>
      </c>
      <c r="J109" t="n">
        <v>1</v>
      </c>
      <c r="K109" t="n">
        <v>0</v>
      </c>
      <c r="L109" t="n">
        <v>0</v>
      </c>
      <c r="M109" t="n">
        <v>0</v>
      </c>
      <c r="N109" t="n">
        <v>0</v>
      </c>
      <c r="O109" t="n">
        <v>1</v>
      </c>
      <c r="P109" t="n">
        <v>0</v>
      </c>
      <c r="Q109" t="n">
        <v>2</v>
      </c>
      <c r="R109" s="2" t="inlineStr">
        <is>
          <t>Tallticka
Större vattensalamander</t>
        </is>
      </c>
      <c r="S109">
        <f>HYPERLINK("https://klasma.github.io/Logging_0382/artfynd/A 6981-2023 artfynd.xlsx", "A 6981-2023")</f>
        <v/>
      </c>
      <c r="T109">
        <f>HYPERLINK("https://klasma.github.io/Logging_0382/kartor/A 6981-2023 karta.png", "A 6981-2023")</f>
        <v/>
      </c>
      <c r="V109">
        <f>HYPERLINK("https://klasma.github.io/Logging_0382/klagomål/A 6981-2023 FSC-klagomål.docx", "A 6981-2023")</f>
        <v/>
      </c>
      <c r="W109">
        <f>HYPERLINK("https://klasma.github.io/Logging_0382/klagomålsmail/A 6981-2023 FSC-klagomål mail.docx", "A 6981-2023")</f>
        <v/>
      </c>
      <c r="X109">
        <f>HYPERLINK("https://klasma.github.io/Logging_0382/tillsyn/A 6981-2023 tillsynsbegäran.docx", "A 6981-2023")</f>
        <v/>
      </c>
      <c r="Y109">
        <f>HYPERLINK("https://klasma.github.io/Logging_0382/tillsynsmail/A 6981-2023 tillsynsbegäran mail.docx", "A 6981-2023")</f>
        <v/>
      </c>
    </row>
    <row r="110" ht="15" customHeight="1">
      <c r="A110" t="inlineStr">
        <is>
          <t>A 15627-2023</t>
        </is>
      </c>
      <c r="B110" s="1" t="n">
        <v>45021</v>
      </c>
      <c r="C110" s="1" t="n">
        <v>45803</v>
      </c>
      <c r="D110" t="inlineStr">
        <is>
          <t>UPPSALA LÄN</t>
        </is>
      </c>
      <c r="E110" t="inlineStr">
        <is>
          <t>ÖSTHAMMAR</t>
        </is>
      </c>
      <c r="F110" t="inlineStr">
        <is>
          <t>Övriga Aktiebolag</t>
        </is>
      </c>
      <c r="G110" t="n">
        <v>22.8</v>
      </c>
      <c r="H110" t="n">
        <v>1</v>
      </c>
      <c r="I110" t="n">
        <v>1</v>
      </c>
      <c r="J110" t="n">
        <v>1</v>
      </c>
      <c r="K110" t="n">
        <v>0</v>
      </c>
      <c r="L110" t="n">
        <v>0</v>
      </c>
      <c r="M110" t="n">
        <v>0</v>
      </c>
      <c r="N110" t="n">
        <v>0</v>
      </c>
      <c r="O110" t="n">
        <v>1</v>
      </c>
      <c r="P110" t="n">
        <v>0</v>
      </c>
      <c r="Q110" t="n">
        <v>2</v>
      </c>
      <c r="R110" s="2" t="inlineStr">
        <is>
          <t>Slåtterfibbla
Guckusko</t>
        </is>
      </c>
      <c r="S110">
        <f>HYPERLINK("https://klasma.github.io/Logging_0382/artfynd/A 15627-2023 artfynd.xlsx", "A 15627-2023")</f>
        <v/>
      </c>
      <c r="T110">
        <f>HYPERLINK("https://klasma.github.io/Logging_0382/kartor/A 15627-2023 karta.png", "A 15627-2023")</f>
        <v/>
      </c>
      <c r="V110">
        <f>HYPERLINK("https://klasma.github.io/Logging_0382/klagomål/A 15627-2023 FSC-klagomål.docx", "A 15627-2023")</f>
        <v/>
      </c>
      <c r="W110">
        <f>HYPERLINK("https://klasma.github.io/Logging_0382/klagomålsmail/A 15627-2023 FSC-klagomål mail.docx", "A 15627-2023")</f>
        <v/>
      </c>
      <c r="X110">
        <f>HYPERLINK("https://klasma.github.io/Logging_0382/tillsyn/A 15627-2023 tillsynsbegäran.docx", "A 15627-2023")</f>
        <v/>
      </c>
      <c r="Y110">
        <f>HYPERLINK("https://klasma.github.io/Logging_0382/tillsynsmail/A 15627-2023 tillsynsbegäran mail.docx", "A 15627-2023")</f>
        <v/>
      </c>
    </row>
    <row r="111" ht="15" customHeight="1">
      <c r="A111" t="inlineStr">
        <is>
          <t>A 21453-2023</t>
        </is>
      </c>
      <c r="B111" s="1" t="n">
        <v>45063</v>
      </c>
      <c r="C111" s="1" t="n">
        <v>45803</v>
      </c>
      <c r="D111" t="inlineStr">
        <is>
          <t>UPPSALA LÄN</t>
        </is>
      </c>
      <c r="E111" t="inlineStr">
        <is>
          <t>ÖSTHAMMAR</t>
        </is>
      </c>
      <c r="F111" t="inlineStr">
        <is>
          <t>Bergvik skog väst AB</t>
        </is>
      </c>
      <c r="G111" t="n">
        <v>6.1</v>
      </c>
      <c r="H111" t="n">
        <v>1</v>
      </c>
      <c r="I111" t="n">
        <v>1</v>
      </c>
      <c r="J111" t="n">
        <v>0</v>
      </c>
      <c r="K111" t="n">
        <v>0</v>
      </c>
      <c r="L111" t="n">
        <v>0</v>
      </c>
      <c r="M111" t="n">
        <v>0</v>
      </c>
      <c r="N111" t="n">
        <v>0</v>
      </c>
      <c r="O111" t="n">
        <v>0</v>
      </c>
      <c r="P111" t="n">
        <v>0</v>
      </c>
      <c r="Q111" t="n">
        <v>2</v>
      </c>
      <c r="R111" s="2" t="inlineStr">
        <is>
          <t>Fransig jordstjärna
Blåsippa</t>
        </is>
      </c>
      <c r="S111">
        <f>HYPERLINK("https://klasma.github.io/Logging_0382/artfynd/A 21453-2023 artfynd.xlsx", "A 21453-2023")</f>
        <v/>
      </c>
      <c r="T111">
        <f>HYPERLINK("https://klasma.github.io/Logging_0382/kartor/A 21453-2023 karta.png", "A 21453-2023")</f>
        <v/>
      </c>
      <c r="V111">
        <f>HYPERLINK("https://klasma.github.io/Logging_0382/klagomål/A 21453-2023 FSC-klagomål.docx", "A 21453-2023")</f>
        <v/>
      </c>
      <c r="W111">
        <f>HYPERLINK("https://klasma.github.io/Logging_0382/klagomålsmail/A 21453-2023 FSC-klagomål mail.docx", "A 21453-2023")</f>
        <v/>
      </c>
      <c r="X111">
        <f>HYPERLINK("https://klasma.github.io/Logging_0382/tillsyn/A 21453-2023 tillsynsbegäran.docx", "A 21453-2023")</f>
        <v/>
      </c>
      <c r="Y111">
        <f>HYPERLINK("https://klasma.github.io/Logging_0382/tillsynsmail/A 21453-2023 tillsynsbegäran mail.docx", "A 21453-2023")</f>
        <v/>
      </c>
    </row>
    <row r="112" ht="15" customHeight="1">
      <c r="A112" t="inlineStr">
        <is>
          <t>A 21422-2023</t>
        </is>
      </c>
      <c r="B112" s="1" t="n">
        <v>45063</v>
      </c>
      <c r="C112" s="1" t="n">
        <v>45803</v>
      </c>
      <c r="D112" t="inlineStr">
        <is>
          <t>UPPSALA LÄN</t>
        </is>
      </c>
      <c r="E112" t="inlineStr">
        <is>
          <t>ÖSTHAMMAR</t>
        </is>
      </c>
      <c r="F112" t="inlineStr">
        <is>
          <t>Sveaskog</t>
        </is>
      </c>
      <c r="G112" t="n">
        <v>2.8</v>
      </c>
      <c r="H112" t="n">
        <v>2</v>
      </c>
      <c r="I112" t="n">
        <v>0</v>
      </c>
      <c r="J112" t="n">
        <v>1</v>
      </c>
      <c r="K112" t="n">
        <v>0</v>
      </c>
      <c r="L112" t="n">
        <v>0</v>
      </c>
      <c r="M112" t="n">
        <v>0</v>
      </c>
      <c r="N112" t="n">
        <v>0</v>
      </c>
      <c r="O112" t="n">
        <v>1</v>
      </c>
      <c r="P112" t="n">
        <v>0</v>
      </c>
      <c r="Q112" t="n">
        <v>2</v>
      </c>
      <c r="R112" s="2" t="inlineStr">
        <is>
          <t>Nordfladdermus
Dvärgpipistrell</t>
        </is>
      </c>
      <c r="S112">
        <f>HYPERLINK("https://klasma.github.io/Logging_0382/artfynd/A 21422-2023 artfynd.xlsx", "A 21422-2023")</f>
        <v/>
      </c>
      <c r="T112">
        <f>HYPERLINK("https://klasma.github.io/Logging_0382/kartor/A 21422-2023 karta.png", "A 21422-2023")</f>
        <v/>
      </c>
      <c r="V112">
        <f>HYPERLINK("https://klasma.github.io/Logging_0382/klagomål/A 21422-2023 FSC-klagomål.docx", "A 21422-2023")</f>
        <v/>
      </c>
      <c r="W112">
        <f>HYPERLINK("https://klasma.github.io/Logging_0382/klagomålsmail/A 21422-2023 FSC-klagomål mail.docx", "A 21422-2023")</f>
        <v/>
      </c>
      <c r="X112">
        <f>HYPERLINK("https://klasma.github.io/Logging_0382/tillsyn/A 21422-2023 tillsynsbegäran.docx", "A 21422-2023")</f>
        <v/>
      </c>
      <c r="Y112">
        <f>HYPERLINK("https://klasma.github.io/Logging_0382/tillsynsmail/A 21422-2023 tillsynsbegäran mail.docx", "A 21422-2023")</f>
        <v/>
      </c>
    </row>
    <row r="113" ht="15" customHeight="1">
      <c r="A113" t="inlineStr">
        <is>
          <t>A 26602-2023</t>
        </is>
      </c>
      <c r="B113" s="1" t="n">
        <v>45092</v>
      </c>
      <c r="C113" s="1" t="n">
        <v>45803</v>
      </c>
      <c r="D113" t="inlineStr">
        <is>
          <t>UPPSALA LÄN</t>
        </is>
      </c>
      <c r="E113" t="inlineStr">
        <is>
          <t>ÖSTHAMMAR</t>
        </is>
      </c>
      <c r="F113" t="inlineStr">
        <is>
          <t>Sveaskog</t>
        </is>
      </c>
      <c r="G113" t="n">
        <v>1.6</v>
      </c>
      <c r="H113" t="n">
        <v>2</v>
      </c>
      <c r="I113" t="n">
        <v>0</v>
      </c>
      <c r="J113" t="n">
        <v>2</v>
      </c>
      <c r="K113" t="n">
        <v>0</v>
      </c>
      <c r="L113" t="n">
        <v>0</v>
      </c>
      <c r="M113" t="n">
        <v>0</v>
      </c>
      <c r="N113" t="n">
        <v>0</v>
      </c>
      <c r="O113" t="n">
        <v>2</v>
      </c>
      <c r="P113" t="n">
        <v>0</v>
      </c>
      <c r="Q113" t="n">
        <v>2</v>
      </c>
      <c r="R113" s="2" t="inlineStr">
        <is>
          <t>Gulsparv
Skrattmås</t>
        </is>
      </c>
      <c r="S113">
        <f>HYPERLINK("https://klasma.github.io/Logging_0382/artfynd/A 26602-2023 artfynd.xlsx", "A 26602-2023")</f>
        <v/>
      </c>
      <c r="T113">
        <f>HYPERLINK("https://klasma.github.io/Logging_0382/kartor/A 26602-2023 karta.png", "A 26602-2023")</f>
        <v/>
      </c>
      <c r="V113">
        <f>HYPERLINK("https://klasma.github.io/Logging_0382/klagomål/A 26602-2023 FSC-klagomål.docx", "A 26602-2023")</f>
        <v/>
      </c>
      <c r="W113">
        <f>HYPERLINK("https://klasma.github.io/Logging_0382/klagomålsmail/A 26602-2023 FSC-klagomål mail.docx", "A 26602-2023")</f>
        <v/>
      </c>
      <c r="X113">
        <f>HYPERLINK("https://klasma.github.io/Logging_0382/tillsyn/A 26602-2023 tillsynsbegäran.docx", "A 26602-2023")</f>
        <v/>
      </c>
      <c r="Y113">
        <f>HYPERLINK("https://klasma.github.io/Logging_0382/tillsynsmail/A 26602-2023 tillsynsbegäran mail.docx", "A 26602-2023")</f>
        <v/>
      </c>
      <c r="Z113">
        <f>HYPERLINK("https://klasma.github.io/Logging_0382/fåglar/A 26602-2023 prioriterade fågelarter.docx", "A 26602-2023")</f>
        <v/>
      </c>
    </row>
    <row r="114" ht="15" customHeight="1">
      <c r="A114" t="inlineStr">
        <is>
          <t>A 36876-2023</t>
        </is>
      </c>
      <c r="B114" s="1" t="n">
        <v>45154</v>
      </c>
      <c r="C114" s="1" t="n">
        <v>45803</v>
      </c>
      <c r="D114" t="inlineStr">
        <is>
          <t>UPPSALA LÄN</t>
        </is>
      </c>
      <c r="E114" t="inlineStr">
        <is>
          <t>ÖSTHAMMAR</t>
        </is>
      </c>
      <c r="F114" t="inlineStr">
        <is>
          <t>Övriga Aktiebolag</t>
        </is>
      </c>
      <c r="G114" t="n">
        <v>12.6</v>
      </c>
      <c r="H114" t="n">
        <v>1</v>
      </c>
      <c r="I114" t="n">
        <v>0</v>
      </c>
      <c r="J114" t="n">
        <v>2</v>
      </c>
      <c r="K114" t="n">
        <v>0</v>
      </c>
      <c r="L114" t="n">
        <v>0</v>
      </c>
      <c r="M114" t="n">
        <v>0</v>
      </c>
      <c r="N114" t="n">
        <v>0</v>
      </c>
      <c r="O114" t="n">
        <v>2</v>
      </c>
      <c r="P114" t="n">
        <v>0</v>
      </c>
      <c r="Q114" t="n">
        <v>2</v>
      </c>
      <c r="R114" s="2" t="inlineStr">
        <is>
          <t>Slaguggla
Slåtterfibbla</t>
        </is>
      </c>
      <c r="S114">
        <f>HYPERLINK("https://klasma.github.io/Logging_0382/artfynd/A 36876-2023 artfynd.xlsx", "A 36876-2023")</f>
        <v/>
      </c>
      <c r="T114">
        <f>HYPERLINK("https://klasma.github.io/Logging_0382/kartor/A 36876-2023 karta.png", "A 36876-2023")</f>
        <v/>
      </c>
      <c r="V114">
        <f>HYPERLINK("https://klasma.github.io/Logging_0382/klagomål/A 36876-2023 FSC-klagomål.docx", "A 36876-2023")</f>
        <v/>
      </c>
      <c r="W114">
        <f>HYPERLINK("https://klasma.github.io/Logging_0382/klagomålsmail/A 36876-2023 FSC-klagomål mail.docx", "A 36876-2023")</f>
        <v/>
      </c>
      <c r="X114">
        <f>HYPERLINK("https://klasma.github.io/Logging_0382/tillsyn/A 36876-2023 tillsynsbegäran.docx", "A 36876-2023")</f>
        <v/>
      </c>
      <c r="Y114">
        <f>HYPERLINK("https://klasma.github.io/Logging_0382/tillsynsmail/A 36876-2023 tillsynsbegäran mail.docx", "A 36876-2023")</f>
        <v/>
      </c>
      <c r="Z114">
        <f>HYPERLINK("https://klasma.github.io/Logging_0382/fåglar/A 36876-2023 prioriterade fågelarter.docx", "A 36876-2023")</f>
        <v/>
      </c>
    </row>
    <row r="115" ht="15" customHeight="1">
      <c r="A115" t="inlineStr">
        <is>
          <t>A 48209-2023</t>
        </is>
      </c>
      <c r="B115" s="1" t="n">
        <v>45205</v>
      </c>
      <c r="C115" s="1" t="n">
        <v>45803</v>
      </c>
      <c r="D115" t="inlineStr">
        <is>
          <t>UPPSALA LÄN</t>
        </is>
      </c>
      <c r="E115" t="inlineStr">
        <is>
          <t>ÖSTHAMMAR</t>
        </is>
      </c>
      <c r="G115" t="n">
        <v>3.7</v>
      </c>
      <c r="H115" t="n">
        <v>1</v>
      </c>
      <c r="I115" t="n">
        <v>2</v>
      </c>
      <c r="J115" t="n">
        <v>0</v>
      </c>
      <c r="K115" t="n">
        <v>0</v>
      </c>
      <c r="L115" t="n">
        <v>0</v>
      </c>
      <c r="M115" t="n">
        <v>0</v>
      </c>
      <c r="N115" t="n">
        <v>0</v>
      </c>
      <c r="O115" t="n">
        <v>0</v>
      </c>
      <c r="P115" t="n">
        <v>0</v>
      </c>
      <c r="Q115" t="n">
        <v>2</v>
      </c>
      <c r="R115" s="2" t="inlineStr">
        <is>
          <t>Skogsknipprot
Tibast</t>
        </is>
      </c>
      <c r="S115">
        <f>HYPERLINK("https://klasma.github.io/Logging_0382/artfynd/A 48209-2023 artfynd.xlsx", "A 48209-2023")</f>
        <v/>
      </c>
      <c r="T115">
        <f>HYPERLINK("https://klasma.github.io/Logging_0382/kartor/A 48209-2023 karta.png", "A 48209-2023")</f>
        <v/>
      </c>
      <c r="V115">
        <f>HYPERLINK("https://klasma.github.io/Logging_0382/klagomål/A 48209-2023 FSC-klagomål.docx", "A 48209-2023")</f>
        <v/>
      </c>
      <c r="W115">
        <f>HYPERLINK("https://klasma.github.io/Logging_0382/klagomålsmail/A 48209-2023 FSC-klagomål mail.docx", "A 48209-2023")</f>
        <v/>
      </c>
      <c r="X115">
        <f>HYPERLINK("https://klasma.github.io/Logging_0382/tillsyn/A 48209-2023 tillsynsbegäran.docx", "A 48209-2023")</f>
        <v/>
      </c>
      <c r="Y115">
        <f>HYPERLINK("https://klasma.github.io/Logging_0382/tillsynsmail/A 48209-2023 tillsynsbegäran mail.docx", "A 48209-2023")</f>
        <v/>
      </c>
    </row>
    <row r="116" ht="15" customHeight="1">
      <c r="A116" t="inlineStr">
        <is>
          <t>A 48723-2023</t>
        </is>
      </c>
      <c r="B116" s="1" t="n">
        <v>45208</v>
      </c>
      <c r="C116" s="1" t="n">
        <v>45803</v>
      </c>
      <c r="D116" t="inlineStr">
        <is>
          <t>UPPSALA LÄN</t>
        </is>
      </c>
      <c r="E116" t="inlineStr">
        <is>
          <t>ÖSTHAMMAR</t>
        </is>
      </c>
      <c r="G116" t="n">
        <v>1</v>
      </c>
      <c r="H116" t="n">
        <v>0</v>
      </c>
      <c r="I116" t="n">
        <v>2</v>
      </c>
      <c r="J116" t="n">
        <v>0</v>
      </c>
      <c r="K116" t="n">
        <v>0</v>
      </c>
      <c r="L116" t="n">
        <v>0</v>
      </c>
      <c r="M116" t="n">
        <v>0</v>
      </c>
      <c r="N116" t="n">
        <v>0</v>
      </c>
      <c r="O116" t="n">
        <v>0</v>
      </c>
      <c r="P116" t="n">
        <v>0</v>
      </c>
      <c r="Q116" t="n">
        <v>2</v>
      </c>
      <c r="R116" s="2" t="inlineStr">
        <is>
          <t>Anisspindling
Fjällig taggsvamp s.str.</t>
        </is>
      </c>
      <c r="S116">
        <f>HYPERLINK("https://klasma.github.io/Logging_0382/artfynd/A 48723-2023 artfynd.xlsx", "A 48723-2023")</f>
        <v/>
      </c>
      <c r="T116">
        <f>HYPERLINK("https://klasma.github.io/Logging_0382/kartor/A 48723-2023 karta.png", "A 48723-2023")</f>
        <v/>
      </c>
      <c r="V116">
        <f>HYPERLINK("https://klasma.github.io/Logging_0382/klagomål/A 48723-2023 FSC-klagomål.docx", "A 48723-2023")</f>
        <v/>
      </c>
      <c r="W116">
        <f>HYPERLINK("https://klasma.github.io/Logging_0382/klagomålsmail/A 48723-2023 FSC-klagomål mail.docx", "A 48723-2023")</f>
        <v/>
      </c>
      <c r="X116">
        <f>HYPERLINK("https://klasma.github.io/Logging_0382/tillsyn/A 48723-2023 tillsynsbegäran.docx", "A 48723-2023")</f>
        <v/>
      </c>
      <c r="Y116">
        <f>HYPERLINK("https://klasma.github.io/Logging_0382/tillsynsmail/A 48723-2023 tillsynsbegäran mail.docx", "A 48723-2023")</f>
        <v/>
      </c>
    </row>
    <row r="117" ht="15" customHeight="1">
      <c r="A117" t="inlineStr">
        <is>
          <t>A 55508-2023</t>
        </is>
      </c>
      <c r="B117" s="1" t="n">
        <v>45238</v>
      </c>
      <c r="C117" s="1" t="n">
        <v>45803</v>
      </c>
      <c r="D117" t="inlineStr">
        <is>
          <t>UPPSALA LÄN</t>
        </is>
      </c>
      <c r="E117" t="inlineStr">
        <is>
          <t>ÖSTHAMMAR</t>
        </is>
      </c>
      <c r="G117" t="n">
        <v>3.4</v>
      </c>
      <c r="H117" t="n">
        <v>1</v>
      </c>
      <c r="I117" t="n">
        <v>1</v>
      </c>
      <c r="J117" t="n">
        <v>1</v>
      </c>
      <c r="K117" t="n">
        <v>0</v>
      </c>
      <c r="L117" t="n">
        <v>0</v>
      </c>
      <c r="M117" t="n">
        <v>0</v>
      </c>
      <c r="N117" t="n">
        <v>0</v>
      </c>
      <c r="O117" t="n">
        <v>1</v>
      </c>
      <c r="P117" t="n">
        <v>0</v>
      </c>
      <c r="Q117" t="n">
        <v>2</v>
      </c>
      <c r="R117" s="2" t="inlineStr">
        <is>
          <t>Svart taggsvamp
Guckusko</t>
        </is>
      </c>
      <c r="S117">
        <f>HYPERLINK("https://klasma.github.io/Logging_0382/artfynd/A 55508-2023 artfynd.xlsx", "A 55508-2023")</f>
        <v/>
      </c>
      <c r="T117">
        <f>HYPERLINK("https://klasma.github.io/Logging_0382/kartor/A 55508-2023 karta.png", "A 55508-2023")</f>
        <v/>
      </c>
      <c r="V117">
        <f>HYPERLINK("https://klasma.github.io/Logging_0382/klagomål/A 55508-2023 FSC-klagomål.docx", "A 55508-2023")</f>
        <v/>
      </c>
      <c r="W117">
        <f>HYPERLINK("https://klasma.github.io/Logging_0382/klagomålsmail/A 55508-2023 FSC-klagomål mail.docx", "A 55508-2023")</f>
        <v/>
      </c>
      <c r="X117">
        <f>HYPERLINK("https://klasma.github.io/Logging_0382/tillsyn/A 55508-2023 tillsynsbegäran.docx", "A 55508-2023")</f>
        <v/>
      </c>
      <c r="Y117">
        <f>HYPERLINK("https://klasma.github.io/Logging_0382/tillsynsmail/A 55508-2023 tillsynsbegäran mail.docx", "A 55508-2023")</f>
        <v/>
      </c>
    </row>
    <row r="118" ht="15" customHeight="1">
      <c r="A118" t="inlineStr">
        <is>
          <t>A 55385-2023</t>
        </is>
      </c>
      <c r="B118" s="1" t="n">
        <v>45238</v>
      </c>
      <c r="C118" s="1" t="n">
        <v>45803</v>
      </c>
      <c r="D118" t="inlineStr">
        <is>
          <t>UPPSALA LÄN</t>
        </is>
      </c>
      <c r="E118" t="inlineStr">
        <is>
          <t>ÖSTHAMMAR</t>
        </is>
      </c>
      <c r="G118" t="n">
        <v>3</v>
      </c>
      <c r="H118" t="n">
        <v>1</v>
      </c>
      <c r="I118" t="n">
        <v>2</v>
      </c>
      <c r="J118" t="n">
        <v>0</v>
      </c>
      <c r="K118" t="n">
        <v>0</v>
      </c>
      <c r="L118" t="n">
        <v>0</v>
      </c>
      <c r="M118" t="n">
        <v>0</v>
      </c>
      <c r="N118" t="n">
        <v>0</v>
      </c>
      <c r="O118" t="n">
        <v>0</v>
      </c>
      <c r="P118" t="n">
        <v>0</v>
      </c>
      <c r="Q118" t="n">
        <v>2</v>
      </c>
      <c r="R118" s="2" t="inlineStr">
        <is>
          <t>Guckusko
Korallblylav</t>
        </is>
      </c>
      <c r="S118">
        <f>HYPERLINK("https://klasma.github.io/Logging_0382/artfynd/A 55385-2023 artfynd.xlsx", "A 55385-2023")</f>
        <v/>
      </c>
      <c r="T118">
        <f>HYPERLINK("https://klasma.github.io/Logging_0382/kartor/A 55385-2023 karta.png", "A 55385-2023")</f>
        <v/>
      </c>
      <c r="V118">
        <f>HYPERLINK("https://klasma.github.io/Logging_0382/klagomål/A 55385-2023 FSC-klagomål.docx", "A 55385-2023")</f>
        <v/>
      </c>
      <c r="W118">
        <f>HYPERLINK("https://klasma.github.io/Logging_0382/klagomålsmail/A 55385-2023 FSC-klagomål mail.docx", "A 55385-2023")</f>
        <v/>
      </c>
      <c r="X118">
        <f>HYPERLINK("https://klasma.github.io/Logging_0382/tillsyn/A 55385-2023 tillsynsbegäran.docx", "A 55385-2023")</f>
        <v/>
      </c>
      <c r="Y118">
        <f>HYPERLINK("https://klasma.github.io/Logging_0382/tillsynsmail/A 55385-2023 tillsynsbegäran mail.docx", "A 55385-2023")</f>
        <v/>
      </c>
    </row>
    <row r="119" ht="15" customHeight="1">
      <c r="A119" t="inlineStr">
        <is>
          <t>A 59283-2023</t>
        </is>
      </c>
      <c r="B119" s="1" t="n">
        <v>45253</v>
      </c>
      <c r="C119" s="1" t="n">
        <v>45803</v>
      </c>
      <c r="D119" t="inlineStr">
        <is>
          <t>UPPSALA LÄN</t>
        </is>
      </c>
      <c r="E119" t="inlineStr">
        <is>
          <t>ÖSTHAMMAR</t>
        </is>
      </c>
      <c r="G119" t="n">
        <v>2</v>
      </c>
      <c r="H119" t="n">
        <v>0</v>
      </c>
      <c r="I119" t="n">
        <v>0</v>
      </c>
      <c r="J119" t="n">
        <v>0</v>
      </c>
      <c r="K119" t="n">
        <v>2</v>
      </c>
      <c r="L119" t="n">
        <v>0</v>
      </c>
      <c r="M119" t="n">
        <v>0</v>
      </c>
      <c r="N119" t="n">
        <v>0</v>
      </c>
      <c r="O119" t="n">
        <v>2</v>
      </c>
      <c r="P119" t="n">
        <v>2</v>
      </c>
      <c r="Q119" t="n">
        <v>2</v>
      </c>
      <c r="R119" s="2" t="inlineStr">
        <is>
          <t>Koppartaggsvamp
Spricktaggsvamp</t>
        </is>
      </c>
      <c r="S119">
        <f>HYPERLINK("https://klasma.github.io/Logging_0382/artfynd/A 59283-2023 artfynd.xlsx", "A 59283-2023")</f>
        <v/>
      </c>
      <c r="T119">
        <f>HYPERLINK("https://klasma.github.io/Logging_0382/kartor/A 59283-2023 karta.png", "A 59283-2023")</f>
        <v/>
      </c>
      <c r="V119">
        <f>HYPERLINK("https://klasma.github.io/Logging_0382/klagomål/A 59283-2023 FSC-klagomål.docx", "A 59283-2023")</f>
        <v/>
      </c>
      <c r="W119">
        <f>HYPERLINK("https://klasma.github.io/Logging_0382/klagomålsmail/A 59283-2023 FSC-klagomål mail.docx", "A 59283-2023")</f>
        <v/>
      </c>
      <c r="X119">
        <f>HYPERLINK("https://klasma.github.io/Logging_0382/tillsyn/A 59283-2023 tillsynsbegäran.docx", "A 59283-2023")</f>
        <v/>
      </c>
      <c r="Y119">
        <f>HYPERLINK("https://klasma.github.io/Logging_0382/tillsynsmail/A 59283-2023 tillsynsbegäran mail.docx", "A 59283-2023")</f>
        <v/>
      </c>
    </row>
    <row r="120" ht="15" customHeight="1">
      <c r="A120" t="inlineStr">
        <is>
          <t>A 9646-2024</t>
        </is>
      </c>
      <c r="B120" s="1" t="n">
        <v>45362</v>
      </c>
      <c r="C120" s="1" t="n">
        <v>45803</v>
      </c>
      <c r="D120" t="inlineStr">
        <is>
          <t>UPPSALA LÄN</t>
        </is>
      </c>
      <c r="E120" t="inlineStr">
        <is>
          <t>ÖSTHAMMAR</t>
        </is>
      </c>
      <c r="G120" t="n">
        <v>1.6</v>
      </c>
      <c r="H120" t="n">
        <v>0</v>
      </c>
      <c r="I120" t="n">
        <v>0</v>
      </c>
      <c r="J120" t="n">
        <v>1</v>
      </c>
      <c r="K120" t="n">
        <v>1</v>
      </c>
      <c r="L120" t="n">
        <v>0</v>
      </c>
      <c r="M120" t="n">
        <v>0</v>
      </c>
      <c r="N120" t="n">
        <v>0</v>
      </c>
      <c r="O120" t="n">
        <v>2</v>
      </c>
      <c r="P120" t="n">
        <v>1</v>
      </c>
      <c r="Q120" t="n">
        <v>2</v>
      </c>
      <c r="R120" s="2" t="inlineStr">
        <is>
          <t>Violgubbe
Gultoppig fingersvamp</t>
        </is>
      </c>
      <c r="S120">
        <f>HYPERLINK("https://klasma.github.io/Logging_0382/artfynd/A 9646-2024 artfynd.xlsx", "A 9646-2024")</f>
        <v/>
      </c>
      <c r="T120">
        <f>HYPERLINK("https://klasma.github.io/Logging_0382/kartor/A 9646-2024 karta.png", "A 9646-2024")</f>
        <v/>
      </c>
      <c r="V120">
        <f>HYPERLINK("https://klasma.github.io/Logging_0382/klagomål/A 9646-2024 FSC-klagomål.docx", "A 9646-2024")</f>
        <v/>
      </c>
      <c r="W120">
        <f>HYPERLINK("https://klasma.github.io/Logging_0382/klagomålsmail/A 9646-2024 FSC-klagomål mail.docx", "A 9646-2024")</f>
        <v/>
      </c>
      <c r="X120">
        <f>HYPERLINK("https://klasma.github.io/Logging_0382/tillsyn/A 9646-2024 tillsynsbegäran.docx", "A 9646-2024")</f>
        <v/>
      </c>
      <c r="Y120">
        <f>HYPERLINK("https://klasma.github.io/Logging_0382/tillsynsmail/A 9646-2024 tillsynsbegäran mail.docx", "A 9646-2024")</f>
        <v/>
      </c>
    </row>
    <row r="121" ht="15" customHeight="1">
      <c r="A121" t="inlineStr">
        <is>
          <t>A 11695-2024</t>
        </is>
      </c>
      <c r="B121" s="1" t="n">
        <v>45373</v>
      </c>
      <c r="C121" s="1" t="n">
        <v>45803</v>
      </c>
      <c r="D121" t="inlineStr">
        <is>
          <t>UPPSALA LÄN</t>
        </is>
      </c>
      <c r="E121" t="inlineStr">
        <is>
          <t>ÖSTHAMMAR</t>
        </is>
      </c>
      <c r="G121" t="n">
        <v>2</v>
      </c>
      <c r="H121" t="n">
        <v>0</v>
      </c>
      <c r="I121" t="n">
        <v>2</v>
      </c>
      <c r="J121" t="n">
        <v>0</v>
      </c>
      <c r="K121" t="n">
        <v>0</v>
      </c>
      <c r="L121" t="n">
        <v>0</v>
      </c>
      <c r="M121" t="n">
        <v>0</v>
      </c>
      <c r="N121" t="n">
        <v>0</v>
      </c>
      <c r="O121" t="n">
        <v>0</v>
      </c>
      <c r="P121" t="n">
        <v>0</v>
      </c>
      <c r="Q121" t="n">
        <v>2</v>
      </c>
      <c r="R121" s="2" t="inlineStr">
        <is>
          <t>Blåmossa
Fjällig taggsvamp s.str.</t>
        </is>
      </c>
      <c r="S121">
        <f>HYPERLINK("https://klasma.github.io/Logging_0382/artfynd/A 11695-2024 artfynd.xlsx", "A 11695-2024")</f>
        <v/>
      </c>
      <c r="T121">
        <f>HYPERLINK("https://klasma.github.io/Logging_0382/kartor/A 11695-2024 karta.png", "A 11695-2024")</f>
        <v/>
      </c>
      <c r="V121">
        <f>HYPERLINK("https://klasma.github.io/Logging_0382/klagomål/A 11695-2024 FSC-klagomål.docx", "A 11695-2024")</f>
        <v/>
      </c>
      <c r="W121">
        <f>HYPERLINK("https://klasma.github.io/Logging_0382/klagomålsmail/A 11695-2024 FSC-klagomål mail.docx", "A 11695-2024")</f>
        <v/>
      </c>
      <c r="X121">
        <f>HYPERLINK("https://klasma.github.io/Logging_0382/tillsyn/A 11695-2024 tillsynsbegäran.docx", "A 11695-2024")</f>
        <v/>
      </c>
      <c r="Y121">
        <f>HYPERLINK("https://klasma.github.io/Logging_0382/tillsynsmail/A 11695-2024 tillsynsbegäran mail.docx", "A 11695-2024")</f>
        <v/>
      </c>
    </row>
    <row r="122" ht="15" customHeight="1">
      <c r="A122" t="inlineStr">
        <is>
          <t>A 18539-2024</t>
        </is>
      </c>
      <c r="B122" s="1" t="n">
        <v>45425</v>
      </c>
      <c r="C122" s="1" t="n">
        <v>45803</v>
      </c>
      <c r="D122" t="inlineStr">
        <is>
          <t>UPPSALA LÄN</t>
        </is>
      </c>
      <c r="E122" t="inlineStr">
        <is>
          <t>ÖSTHAMMAR</t>
        </is>
      </c>
      <c r="G122" t="n">
        <v>4.7</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HYPERLINK("https://klasma.github.io/Logging_0382/artfynd/A 18539-2024 artfynd.xlsx", "A 18539-2024")</f>
        <v/>
      </c>
      <c r="T122">
        <f>HYPERLINK("https://klasma.github.io/Logging_0382/kartor/A 18539-2024 karta.png", "A 18539-2024")</f>
        <v/>
      </c>
      <c r="V122">
        <f>HYPERLINK("https://klasma.github.io/Logging_0382/klagomål/A 18539-2024 FSC-klagomål.docx", "A 18539-2024")</f>
        <v/>
      </c>
      <c r="W122">
        <f>HYPERLINK("https://klasma.github.io/Logging_0382/klagomålsmail/A 18539-2024 FSC-klagomål mail.docx", "A 18539-2024")</f>
        <v/>
      </c>
      <c r="X122">
        <f>HYPERLINK("https://klasma.github.io/Logging_0382/tillsyn/A 18539-2024 tillsynsbegäran.docx", "A 18539-2024")</f>
        <v/>
      </c>
      <c r="Y122">
        <f>HYPERLINK("https://klasma.github.io/Logging_0382/tillsynsmail/A 18539-2024 tillsynsbegäran mail.docx", "A 18539-2024")</f>
        <v/>
      </c>
    </row>
    <row r="123" ht="15" customHeight="1">
      <c r="A123" t="inlineStr">
        <is>
          <t>A 26277-2024</t>
        </is>
      </c>
      <c r="B123" s="1" t="n">
        <v>45468</v>
      </c>
      <c r="C123" s="1" t="n">
        <v>45803</v>
      </c>
      <c r="D123" t="inlineStr">
        <is>
          <t>UPPSALA LÄN</t>
        </is>
      </c>
      <c r="E123" t="inlineStr">
        <is>
          <t>ÖSTHAMMAR</t>
        </is>
      </c>
      <c r="G123" t="n">
        <v>3.5</v>
      </c>
      <c r="H123" t="n">
        <v>1</v>
      </c>
      <c r="I123" t="n">
        <v>2</v>
      </c>
      <c r="J123" t="n">
        <v>0</v>
      </c>
      <c r="K123" t="n">
        <v>0</v>
      </c>
      <c r="L123" t="n">
        <v>0</v>
      </c>
      <c r="M123" t="n">
        <v>0</v>
      </c>
      <c r="N123" t="n">
        <v>0</v>
      </c>
      <c r="O123" t="n">
        <v>0</v>
      </c>
      <c r="P123" t="n">
        <v>0</v>
      </c>
      <c r="Q123" t="n">
        <v>2</v>
      </c>
      <c r="R123" s="2" t="inlineStr">
        <is>
          <t>Nästrot
Sårläka</t>
        </is>
      </c>
      <c r="S123">
        <f>HYPERLINK("https://klasma.github.io/Logging_0382/artfynd/A 26277-2024 artfynd.xlsx", "A 26277-2024")</f>
        <v/>
      </c>
      <c r="T123">
        <f>HYPERLINK("https://klasma.github.io/Logging_0382/kartor/A 26277-2024 karta.png", "A 26277-2024")</f>
        <v/>
      </c>
      <c r="V123">
        <f>HYPERLINK("https://klasma.github.io/Logging_0382/klagomål/A 26277-2024 FSC-klagomål.docx", "A 26277-2024")</f>
        <v/>
      </c>
      <c r="W123">
        <f>HYPERLINK("https://klasma.github.io/Logging_0382/klagomålsmail/A 26277-2024 FSC-klagomål mail.docx", "A 26277-2024")</f>
        <v/>
      </c>
      <c r="X123">
        <f>HYPERLINK("https://klasma.github.io/Logging_0382/tillsyn/A 26277-2024 tillsynsbegäran.docx", "A 26277-2024")</f>
        <v/>
      </c>
      <c r="Y123">
        <f>HYPERLINK("https://klasma.github.io/Logging_0382/tillsynsmail/A 26277-2024 tillsynsbegäran mail.docx", "A 26277-2024")</f>
        <v/>
      </c>
    </row>
    <row r="124" ht="15" customHeight="1">
      <c r="A124" t="inlineStr">
        <is>
          <t>A 30943-2024</t>
        </is>
      </c>
      <c r="B124" s="1" t="n">
        <v>45499</v>
      </c>
      <c r="C124" s="1" t="n">
        <v>45803</v>
      </c>
      <c r="D124" t="inlineStr">
        <is>
          <t>UPPSALA LÄN</t>
        </is>
      </c>
      <c r="E124" t="inlineStr">
        <is>
          <t>ÖSTHAMMAR</t>
        </is>
      </c>
      <c r="G124" t="n">
        <v>4.5</v>
      </c>
      <c r="H124" t="n">
        <v>0</v>
      </c>
      <c r="I124" t="n">
        <v>2</v>
      </c>
      <c r="J124" t="n">
        <v>0</v>
      </c>
      <c r="K124" t="n">
        <v>0</v>
      </c>
      <c r="L124" t="n">
        <v>0</v>
      </c>
      <c r="M124" t="n">
        <v>0</v>
      </c>
      <c r="N124" t="n">
        <v>0</v>
      </c>
      <c r="O124" t="n">
        <v>0</v>
      </c>
      <c r="P124" t="n">
        <v>0</v>
      </c>
      <c r="Q124" t="n">
        <v>2</v>
      </c>
      <c r="R124" s="2" t="inlineStr">
        <is>
          <t>Tibast
Underviol</t>
        </is>
      </c>
      <c r="S124">
        <f>HYPERLINK("https://klasma.github.io/Logging_0382/artfynd/A 30943-2024 artfynd.xlsx", "A 30943-2024")</f>
        <v/>
      </c>
      <c r="T124">
        <f>HYPERLINK("https://klasma.github.io/Logging_0382/kartor/A 30943-2024 karta.png", "A 30943-2024")</f>
        <v/>
      </c>
      <c r="V124">
        <f>HYPERLINK("https://klasma.github.io/Logging_0382/klagomål/A 30943-2024 FSC-klagomål.docx", "A 30943-2024")</f>
        <v/>
      </c>
      <c r="W124">
        <f>HYPERLINK("https://klasma.github.io/Logging_0382/klagomålsmail/A 30943-2024 FSC-klagomål mail.docx", "A 30943-2024")</f>
        <v/>
      </c>
      <c r="X124">
        <f>HYPERLINK("https://klasma.github.io/Logging_0382/tillsyn/A 30943-2024 tillsynsbegäran.docx", "A 30943-2024")</f>
        <v/>
      </c>
      <c r="Y124">
        <f>HYPERLINK("https://klasma.github.io/Logging_0382/tillsynsmail/A 30943-2024 tillsynsbegäran mail.docx", "A 30943-2024")</f>
        <v/>
      </c>
    </row>
    <row r="125" ht="15" customHeight="1">
      <c r="A125" t="inlineStr">
        <is>
          <t>A 35927-2024</t>
        </is>
      </c>
      <c r="B125" s="1" t="n">
        <v>45533</v>
      </c>
      <c r="C125" s="1" t="n">
        <v>45803</v>
      </c>
      <c r="D125" t="inlineStr">
        <is>
          <t>UPPSALA LÄN</t>
        </is>
      </c>
      <c r="E125" t="inlineStr">
        <is>
          <t>ÖSTHAMMAR</t>
        </is>
      </c>
      <c r="F125" t="inlineStr">
        <is>
          <t>Övriga Aktiebolag</t>
        </is>
      </c>
      <c r="G125" t="n">
        <v>13.1</v>
      </c>
      <c r="H125" t="n">
        <v>0</v>
      </c>
      <c r="I125" t="n">
        <v>2</v>
      </c>
      <c r="J125" t="n">
        <v>0</v>
      </c>
      <c r="K125" t="n">
        <v>0</v>
      </c>
      <c r="L125" t="n">
        <v>0</v>
      </c>
      <c r="M125" t="n">
        <v>0</v>
      </c>
      <c r="N125" t="n">
        <v>0</v>
      </c>
      <c r="O125" t="n">
        <v>0</v>
      </c>
      <c r="P125" t="n">
        <v>0</v>
      </c>
      <c r="Q125" t="n">
        <v>2</v>
      </c>
      <c r="R125" s="2" t="inlineStr">
        <is>
          <t>Fjällig taggsvamp s.str.
Vårärt</t>
        </is>
      </c>
      <c r="S125">
        <f>HYPERLINK("https://klasma.github.io/Logging_0382/artfynd/A 35927-2024 artfynd.xlsx", "A 35927-2024")</f>
        <v/>
      </c>
      <c r="T125">
        <f>HYPERLINK("https://klasma.github.io/Logging_0382/kartor/A 35927-2024 karta.png", "A 35927-2024")</f>
        <v/>
      </c>
      <c r="V125">
        <f>HYPERLINK("https://klasma.github.io/Logging_0382/klagomål/A 35927-2024 FSC-klagomål.docx", "A 35927-2024")</f>
        <v/>
      </c>
      <c r="W125">
        <f>HYPERLINK("https://klasma.github.io/Logging_0382/klagomålsmail/A 35927-2024 FSC-klagomål mail.docx", "A 35927-2024")</f>
        <v/>
      </c>
      <c r="X125">
        <f>HYPERLINK("https://klasma.github.io/Logging_0382/tillsyn/A 35927-2024 tillsynsbegäran.docx", "A 35927-2024")</f>
        <v/>
      </c>
      <c r="Y125">
        <f>HYPERLINK("https://klasma.github.io/Logging_0382/tillsynsmail/A 35927-2024 tillsynsbegäran mail.docx", "A 35927-2024")</f>
        <v/>
      </c>
    </row>
    <row r="126" ht="15" customHeight="1">
      <c r="A126" t="inlineStr">
        <is>
          <t>A 46577-2024</t>
        </is>
      </c>
      <c r="B126" s="1" t="n">
        <v>45582</v>
      </c>
      <c r="C126" s="1" t="n">
        <v>45803</v>
      </c>
      <c r="D126" t="inlineStr">
        <is>
          <t>UPPSALA LÄN</t>
        </is>
      </c>
      <c r="E126" t="inlineStr">
        <is>
          <t>ÖSTHAMMAR</t>
        </is>
      </c>
      <c r="F126" t="inlineStr">
        <is>
          <t>Bergvik skog väst AB</t>
        </is>
      </c>
      <c r="G126" t="n">
        <v>7.1</v>
      </c>
      <c r="H126" t="n">
        <v>1</v>
      </c>
      <c r="I126" t="n">
        <v>2</v>
      </c>
      <c r="J126" t="n">
        <v>0</v>
      </c>
      <c r="K126" t="n">
        <v>0</v>
      </c>
      <c r="L126" t="n">
        <v>0</v>
      </c>
      <c r="M126" t="n">
        <v>0</v>
      </c>
      <c r="N126" t="n">
        <v>0</v>
      </c>
      <c r="O126" t="n">
        <v>0</v>
      </c>
      <c r="P126" t="n">
        <v>0</v>
      </c>
      <c r="Q126" t="n">
        <v>2</v>
      </c>
      <c r="R126" s="2" t="inlineStr">
        <is>
          <t>Skogsknipprot
Tibast</t>
        </is>
      </c>
      <c r="S126">
        <f>HYPERLINK("https://klasma.github.io/Logging_0382/artfynd/A 46577-2024 artfynd.xlsx", "A 46577-2024")</f>
        <v/>
      </c>
      <c r="T126">
        <f>HYPERLINK("https://klasma.github.io/Logging_0382/kartor/A 46577-2024 karta.png", "A 46577-2024")</f>
        <v/>
      </c>
      <c r="V126">
        <f>HYPERLINK("https://klasma.github.io/Logging_0382/klagomål/A 46577-2024 FSC-klagomål.docx", "A 46577-2024")</f>
        <v/>
      </c>
      <c r="W126">
        <f>HYPERLINK("https://klasma.github.io/Logging_0382/klagomålsmail/A 46577-2024 FSC-klagomål mail.docx", "A 46577-2024")</f>
        <v/>
      </c>
      <c r="X126">
        <f>HYPERLINK("https://klasma.github.io/Logging_0382/tillsyn/A 46577-2024 tillsynsbegäran.docx", "A 46577-2024")</f>
        <v/>
      </c>
      <c r="Y126">
        <f>HYPERLINK("https://klasma.github.io/Logging_0382/tillsynsmail/A 46577-2024 tillsynsbegäran mail.docx", "A 46577-2024")</f>
        <v/>
      </c>
    </row>
    <row r="127" ht="15" customHeight="1">
      <c r="A127" t="inlineStr">
        <is>
          <t>A 54032-2024</t>
        </is>
      </c>
      <c r="B127" s="1" t="n">
        <v>45616</v>
      </c>
      <c r="C127" s="1" t="n">
        <v>45803</v>
      </c>
      <c r="D127" t="inlineStr">
        <is>
          <t>UPPSALA LÄN</t>
        </is>
      </c>
      <c r="E127" t="inlineStr">
        <is>
          <t>ÖSTHAMMAR</t>
        </is>
      </c>
      <c r="G127" t="n">
        <v>2</v>
      </c>
      <c r="H127" t="n">
        <v>1</v>
      </c>
      <c r="I127" t="n">
        <v>1</v>
      </c>
      <c r="J127" t="n">
        <v>0</v>
      </c>
      <c r="K127" t="n">
        <v>0</v>
      </c>
      <c r="L127" t="n">
        <v>0</v>
      </c>
      <c r="M127" t="n">
        <v>0</v>
      </c>
      <c r="N127" t="n">
        <v>0</v>
      </c>
      <c r="O127" t="n">
        <v>0</v>
      </c>
      <c r="P127" t="n">
        <v>0</v>
      </c>
      <c r="Q127" t="n">
        <v>2</v>
      </c>
      <c r="R127" s="2" t="inlineStr">
        <is>
          <t>Vedticka
Blåsippa</t>
        </is>
      </c>
      <c r="S127">
        <f>HYPERLINK("https://klasma.github.io/Logging_0382/artfynd/A 54032-2024 artfynd.xlsx", "A 54032-2024")</f>
        <v/>
      </c>
      <c r="T127">
        <f>HYPERLINK("https://klasma.github.io/Logging_0382/kartor/A 54032-2024 karta.png", "A 54032-2024")</f>
        <v/>
      </c>
      <c r="V127">
        <f>HYPERLINK("https://klasma.github.io/Logging_0382/klagomål/A 54032-2024 FSC-klagomål.docx", "A 54032-2024")</f>
        <v/>
      </c>
      <c r="W127">
        <f>HYPERLINK("https://klasma.github.io/Logging_0382/klagomålsmail/A 54032-2024 FSC-klagomål mail.docx", "A 54032-2024")</f>
        <v/>
      </c>
      <c r="X127">
        <f>HYPERLINK("https://klasma.github.io/Logging_0382/tillsyn/A 54032-2024 tillsynsbegäran.docx", "A 54032-2024")</f>
        <v/>
      </c>
      <c r="Y127">
        <f>HYPERLINK("https://klasma.github.io/Logging_0382/tillsynsmail/A 54032-2024 tillsynsbegäran mail.docx", "A 54032-2024")</f>
        <v/>
      </c>
    </row>
    <row r="128" ht="15" customHeight="1">
      <c r="A128" t="inlineStr">
        <is>
          <t>A 20553-2025</t>
        </is>
      </c>
      <c r="B128" s="1" t="n">
        <v>45775</v>
      </c>
      <c r="C128" s="1" t="n">
        <v>45803</v>
      </c>
      <c r="D128" t="inlineStr">
        <is>
          <t>UPPSALA LÄN</t>
        </is>
      </c>
      <c r="E128" t="inlineStr">
        <is>
          <t>ÖSTHAMMAR</t>
        </is>
      </c>
      <c r="G128" t="n">
        <v>0.4</v>
      </c>
      <c r="H128" t="n">
        <v>0</v>
      </c>
      <c r="I128" t="n">
        <v>2</v>
      </c>
      <c r="J128" t="n">
        <v>0</v>
      </c>
      <c r="K128" t="n">
        <v>0</v>
      </c>
      <c r="L128" t="n">
        <v>0</v>
      </c>
      <c r="M128" t="n">
        <v>0</v>
      </c>
      <c r="N128" t="n">
        <v>0</v>
      </c>
      <c r="O128" t="n">
        <v>0</v>
      </c>
      <c r="P128" t="n">
        <v>0</v>
      </c>
      <c r="Q128" t="n">
        <v>2</v>
      </c>
      <c r="R128" s="2" t="inlineStr">
        <is>
          <t>Jättesvampmal
Robust tickgnagare</t>
        </is>
      </c>
      <c r="S128">
        <f>HYPERLINK("https://klasma.github.io/Logging_030382/artfynd/A 20553-2025 artfynd.xlsx", "A 20553-2025")</f>
        <v/>
      </c>
      <c r="T128">
        <f>HYPERLINK("https://klasma.github.io/Logging_030382/kartor/A 20553-2025 karta.png", "A 20553-2025")</f>
        <v/>
      </c>
      <c r="V128">
        <f>HYPERLINK("https://klasma.github.io/Logging_030382/klagomål/A 20553-2025 FSC-klagomål.docx", "A 20553-2025")</f>
        <v/>
      </c>
      <c r="W128">
        <f>HYPERLINK("https://klasma.github.io/Logging_030382/klagomålsmail/A 20553-2025 FSC-klagomål mail.docx", "A 20553-2025")</f>
        <v/>
      </c>
      <c r="X128">
        <f>HYPERLINK("https://klasma.github.io/Logging_030382/tillsyn/A 20553-2025 tillsynsbegäran.docx", "A 20553-2025")</f>
        <v/>
      </c>
      <c r="Y128">
        <f>HYPERLINK("https://klasma.github.io/Logging_030382/tillsynsmail/A 20553-2025 tillsynsbegäran mail.docx", "A 20553-2025")</f>
        <v/>
      </c>
    </row>
    <row r="129" ht="15" customHeight="1">
      <c r="A129" t="inlineStr">
        <is>
          <t>A 38957-2019</t>
        </is>
      </c>
      <c r="B129" s="1" t="n">
        <v>43689</v>
      </c>
      <c r="C129" s="1" t="n">
        <v>45803</v>
      </c>
      <c r="D129" t="inlineStr">
        <is>
          <t>UPPSALA LÄN</t>
        </is>
      </c>
      <c r="E129" t="inlineStr">
        <is>
          <t>ÖSTHAMMAR</t>
        </is>
      </c>
      <c r="G129" t="n">
        <v>1.9</v>
      </c>
      <c r="H129" t="n">
        <v>0</v>
      </c>
      <c r="I129" t="n">
        <v>0</v>
      </c>
      <c r="J129" t="n">
        <v>1</v>
      </c>
      <c r="K129" t="n">
        <v>0</v>
      </c>
      <c r="L129" t="n">
        <v>0</v>
      </c>
      <c r="M129" t="n">
        <v>0</v>
      </c>
      <c r="N129" t="n">
        <v>0</v>
      </c>
      <c r="O129" t="n">
        <v>1</v>
      </c>
      <c r="P129" t="n">
        <v>0</v>
      </c>
      <c r="Q129" t="n">
        <v>1</v>
      </c>
      <c r="R129" s="2" t="inlineStr">
        <is>
          <t>Bredbrämad bastardsvärmare</t>
        </is>
      </c>
      <c r="S129">
        <f>HYPERLINK("https://klasma.github.io/Logging_0382/artfynd/A 38957-2019 artfynd.xlsx", "A 38957-2019")</f>
        <v/>
      </c>
      <c r="T129">
        <f>HYPERLINK("https://klasma.github.io/Logging_0382/kartor/A 38957-2019 karta.png", "A 38957-2019")</f>
        <v/>
      </c>
      <c r="V129">
        <f>HYPERLINK("https://klasma.github.io/Logging_0382/klagomål/A 38957-2019 FSC-klagomål.docx", "A 38957-2019")</f>
        <v/>
      </c>
      <c r="W129">
        <f>HYPERLINK("https://klasma.github.io/Logging_0382/klagomålsmail/A 38957-2019 FSC-klagomål mail.docx", "A 38957-2019")</f>
        <v/>
      </c>
      <c r="X129">
        <f>HYPERLINK("https://klasma.github.io/Logging_0382/tillsyn/A 38957-2019 tillsynsbegäran.docx", "A 38957-2019")</f>
        <v/>
      </c>
      <c r="Y129">
        <f>HYPERLINK("https://klasma.github.io/Logging_0382/tillsynsmail/A 38957-2019 tillsynsbegäran mail.docx", "A 38957-2019")</f>
        <v/>
      </c>
    </row>
    <row r="130" ht="15" customHeight="1">
      <c r="A130" t="inlineStr">
        <is>
          <t>A 52004-2019</t>
        </is>
      </c>
      <c r="B130" s="1" t="n">
        <v>43742</v>
      </c>
      <c r="C130" s="1" t="n">
        <v>45803</v>
      </c>
      <c r="D130" t="inlineStr">
        <is>
          <t>UPPSALA LÄN</t>
        </is>
      </c>
      <c r="E130" t="inlineStr">
        <is>
          <t>ÖSTHAMMAR</t>
        </is>
      </c>
      <c r="G130" t="n">
        <v>2.5</v>
      </c>
      <c r="H130" t="n">
        <v>1</v>
      </c>
      <c r="I130" t="n">
        <v>0</v>
      </c>
      <c r="J130" t="n">
        <v>0</v>
      </c>
      <c r="K130" t="n">
        <v>0</v>
      </c>
      <c r="L130" t="n">
        <v>0</v>
      </c>
      <c r="M130" t="n">
        <v>0</v>
      </c>
      <c r="N130" t="n">
        <v>0</v>
      </c>
      <c r="O130" t="n">
        <v>0</v>
      </c>
      <c r="P130" t="n">
        <v>0</v>
      </c>
      <c r="Q130" t="n">
        <v>1</v>
      </c>
      <c r="R130" s="2" t="inlineStr">
        <is>
          <t>Revlummer</t>
        </is>
      </c>
      <c r="S130">
        <f>HYPERLINK("https://klasma.github.io/Logging_0382/artfynd/A 52004-2019 artfynd.xlsx", "A 52004-2019")</f>
        <v/>
      </c>
      <c r="T130">
        <f>HYPERLINK("https://klasma.github.io/Logging_0382/kartor/A 52004-2019 karta.png", "A 52004-2019")</f>
        <v/>
      </c>
      <c r="V130">
        <f>HYPERLINK("https://klasma.github.io/Logging_0382/klagomål/A 52004-2019 FSC-klagomål.docx", "A 52004-2019")</f>
        <v/>
      </c>
      <c r="W130">
        <f>HYPERLINK("https://klasma.github.io/Logging_0382/klagomålsmail/A 52004-2019 FSC-klagomål mail.docx", "A 52004-2019")</f>
        <v/>
      </c>
      <c r="X130">
        <f>HYPERLINK("https://klasma.github.io/Logging_0382/tillsyn/A 52004-2019 tillsynsbegäran.docx", "A 52004-2019")</f>
        <v/>
      </c>
      <c r="Y130">
        <f>HYPERLINK("https://klasma.github.io/Logging_0382/tillsynsmail/A 52004-2019 tillsynsbegäran mail.docx", "A 52004-2019")</f>
        <v/>
      </c>
    </row>
    <row r="131" ht="15" customHeight="1">
      <c r="A131" t="inlineStr">
        <is>
          <t>A 22044-2020</t>
        </is>
      </c>
      <c r="B131" s="1" t="n">
        <v>43959</v>
      </c>
      <c r="C131" s="1" t="n">
        <v>45803</v>
      </c>
      <c r="D131" t="inlineStr">
        <is>
          <t>UPPSALA LÄN</t>
        </is>
      </c>
      <c r="E131" t="inlineStr">
        <is>
          <t>ÖSTHAMMAR</t>
        </is>
      </c>
      <c r="G131" t="n">
        <v>2.7</v>
      </c>
      <c r="H131" t="n">
        <v>0</v>
      </c>
      <c r="I131" t="n">
        <v>1</v>
      </c>
      <c r="J131" t="n">
        <v>0</v>
      </c>
      <c r="K131" t="n">
        <v>0</v>
      </c>
      <c r="L131" t="n">
        <v>0</v>
      </c>
      <c r="M131" t="n">
        <v>0</v>
      </c>
      <c r="N131" t="n">
        <v>0</v>
      </c>
      <c r="O131" t="n">
        <v>0</v>
      </c>
      <c r="P131" t="n">
        <v>0</v>
      </c>
      <c r="Q131" t="n">
        <v>1</v>
      </c>
      <c r="R131" s="2" t="inlineStr">
        <is>
          <t>Anisspindling</t>
        </is>
      </c>
      <c r="S131">
        <f>HYPERLINK("https://klasma.github.io/Logging_0382/artfynd/A 22044-2020 artfynd.xlsx", "A 22044-2020")</f>
        <v/>
      </c>
      <c r="T131">
        <f>HYPERLINK("https://klasma.github.io/Logging_0382/kartor/A 22044-2020 karta.png", "A 22044-2020")</f>
        <v/>
      </c>
      <c r="V131">
        <f>HYPERLINK("https://klasma.github.io/Logging_0382/klagomål/A 22044-2020 FSC-klagomål.docx", "A 22044-2020")</f>
        <v/>
      </c>
      <c r="W131">
        <f>HYPERLINK("https://klasma.github.io/Logging_0382/klagomålsmail/A 22044-2020 FSC-klagomål mail.docx", "A 22044-2020")</f>
        <v/>
      </c>
      <c r="X131">
        <f>HYPERLINK("https://klasma.github.io/Logging_0382/tillsyn/A 22044-2020 tillsynsbegäran.docx", "A 22044-2020")</f>
        <v/>
      </c>
      <c r="Y131">
        <f>HYPERLINK("https://klasma.github.io/Logging_0382/tillsynsmail/A 22044-2020 tillsynsbegäran mail.docx", "A 22044-2020")</f>
        <v/>
      </c>
    </row>
    <row r="132" ht="15" customHeight="1">
      <c r="A132" t="inlineStr">
        <is>
          <t>A 30405-2020</t>
        </is>
      </c>
      <c r="B132" s="1" t="n">
        <v>44007</v>
      </c>
      <c r="C132" s="1" t="n">
        <v>45803</v>
      </c>
      <c r="D132" t="inlineStr">
        <is>
          <t>UPPSALA LÄN</t>
        </is>
      </c>
      <c r="E132" t="inlineStr">
        <is>
          <t>ÖSTHAMMAR</t>
        </is>
      </c>
      <c r="G132" t="n">
        <v>0.6</v>
      </c>
      <c r="H132" t="n">
        <v>0</v>
      </c>
      <c r="I132" t="n">
        <v>0</v>
      </c>
      <c r="J132" t="n">
        <v>0</v>
      </c>
      <c r="K132" t="n">
        <v>1</v>
      </c>
      <c r="L132" t="n">
        <v>0</v>
      </c>
      <c r="M132" t="n">
        <v>0</v>
      </c>
      <c r="N132" t="n">
        <v>0</v>
      </c>
      <c r="O132" t="n">
        <v>1</v>
      </c>
      <c r="P132" t="n">
        <v>1</v>
      </c>
      <c r="Q132" t="n">
        <v>1</v>
      </c>
      <c r="R132" s="2" t="inlineStr">
        <is>
          <t>Gulvit blekspik</t>
        </is>
      </c>
      <c r="S132">
        <f>HYPERLINK("https://klasma.github.io/Logging_0382/artfynd/A 30405-2020 artfynd.xlsx", "A 30405-2020")</f>
        <v/>
      </c>
      <c r="T132">
        <f>HYPERLINK("https://klasma.github.io/Logging_0382/kartor/A 30405-2020 karta.png", "A 30405-2020")</f>
        <v/>
      </c>
      <c r="V132">
        <f>HYPERLINK("https://klasma.github.io/Logging_0382/klagomål/A 30405-2020 FSC-klagomål.docx", "A 30405-2020")</f>
        <v/>
      </c>
      <c r="W132">
        <f>HYPERLINK("https://klasma.github.io/Logging_0382/klagomålsmail/A 30405-2020 FSC-klagomål mail.docx", "A 30405-2020")</f>
        <v/>
      </c>
      <c r="X132">
        <f>HYPERLINK("https://klasma.github.io/Logging_0382/tillsyn/A 30405-2020 tillsynsbegäran.docx", "A 30405-2020")</f>
        <v/>
      </c>
      <c r="Y132">
        <f>HYPERLINK("https://klasma.github.io/Logging_0382/tillsynsmail/A 30405-2020 tillsynsbegäran mail.docx", "A 30405-2020")</f>
        <v/>
      </c>
    </row>
    <row r="133" ht="15" customHeight="1">
      <c r="A133" t="inlineStr">
        <is>
          <t>A 35553-2020</t>
        </is>
      </c>
      <c r="B133" s="1" t="n">
        <v>44043</v>
      </c>
      <c r="C133" s="1" t="n">
        <v>45803</v>
      </c>
      <c r="D133" t="inlineStr">
        <is>
          <t>UPPSALA LÄN</t>
        </is>
      </c>
      <c r="E133" t="inlineStr">
        <is>
          <t>ÖSTHAMMAR</t>
        </is>
      </c>
      <c r="F133" t="inlineStr">
        <is>
          <t>Bergvik skog öst AB</t>
        </is>
      </c>
      <c r="G133" t="n">
        <v>5.8</v>
      </c>
      <c r="H133" t="n">
        <v>1</v>
      </c>
      <c r="I133" t="n">
        <v>0</v>
      </c>
      <c r="J133" t="n">
        <v>0</v>
      </c>
      <c r="K133" t="n">
        <v>0</v>
      </c>
      <c r="L133" t="n">
        <v>0</v>
      </c>
      <c r="M133" t="n">
        <v>0</v>
      </c>
      <c r="N133" t="n">
        <v>0</v>
      </c>
      <c r="O133" t="n">
        <v>0</v>
      </c>
      <c r="P133" t="n">
        <v>0</v>
      </c>
      <c r="Q133" t="n">
        <v>1</v>
      </c>
      <c r="R133" s="2" t="inlineStr">
        <is>
          <t>Tjäder</t>
        </is>
      </c>
      <c r="S133">
        <f>HYPERLINK("https://klasma.github.io/Logging_0382/artfynd/A 35553-2020 artfynd.xlsx", "A 35553-2020")</f>
        <v/>
      </c>
      <c r="T133">
        <f>HYPERLINK("https://klasma.github.io/Logging_0382/kartor/A 35553-2020 karta.png", "A 35553-2020")</f>
        <v/>
      </c>
      <c r="V133">
        <f>HYPERLINK("https://klasma.github.io/Logging_0382/klagomål/A 35553-2020 FSC-klagomål.docx", "A 35553-2020")</f>
        <v/>
      </c>
      <c r="W133">
        <f>HYPERLINK("https://klasma.github.io/Logging_0382/klagomålsmail/A 35553-2020 FSC-klagomål mail.docx", "A 35553-2020")</f>
        <v/>
      </c>
      <c r="X133">
        <f>HYPERLINK("https://klasma.github.io/Logging_0382/tillsyn/A 35553-2020 tillsynsbegäran.docx", "A 35553-2020")</f>
        <v/>
      </c>
      <c r="Y133">
        <f>HYPERLINK("https://klasma.github.io/Logging_0382/tillsynsmail/A 35553-2020 tillsynsbegäran mail.docx", "A 35553-2020")</f>
        <v/>
      </c>
      <c r="Z133">
        <f>HYPERLINK("https://klasma.github.io/Logging_0382/fåglar/A 35553-2020 prioriterade fågelarter.docx", "A 35553-2020")</f>
        <v/>
      </c>
    </row>
    <row r="134" ht="15" customHeight="1">
      <c r="A134" t="inlineStr">
        <is>
          <t>A 61479-2020</t>
        </is>
      </c>
      <c r="B134" s="1" t="n">
        <v>44154</v>
      </c>
      <c r="C134" s="1" t="n">
        <v>45803</v>
      </c>
      <c r="D134" t="inlineStr">
        <is>
          <t>UPPSALA LÄN</t>
        </is>
      </c>
      <c r="E134" t="inlineStr">
        <is>
          <t>ÖSTHAMMAR</t>
        </is>
      </c>
      <c r="G134" t="n">
        <v>2.5</v>
      </c>
      <c r="H134" t="n">
        <v>0</v>
      </c>
      <c r="I134" t="n">
        <v>1</v>
      </c>
      <c r="J134" t="n">
        <v>0</v>
      </c>
      <c r="K134" t="n">
        <v>0</v>
      </c>
      <c r="L134" t="n">
        <v>0</v>
      </c>
      <c r="M134" t="n">
        <v>0</v>
      </c>
      <c r="N134" t="n">
        <v>0</v>
      </c>
      <c r="O134" t="n">
        <v>0</v>
      </c>
      <c r="P134" t="n">
        <v>0</v>
      </c>
      <c r="Q134" t="n">
        <v>1</v>
      </c>
      <c r="R134" s="2" t="inlineStr">
        <is>
          <t>Olivspindling</t>
        </is>
      </c>
      <c r="S134">
        <f>HYPERLINK("https://klasma.github.io/Logging_0382/artfynd/A 61479-2020 artfynd.xlsx", "A 61479-2020")</f>
        <v/>
      </c>
      <c r="T134">
        <f>HYPERLINK("https://klasma.github.io/Logging_0382/kartor/A 61479-2020 karta.png", "A 61479-2020")</f>
        <v/>
      </c>
      <c r="V134">
        <f>HYPERLINK("https://klasma.github.io/Logging_0382/klagomål/A 61479-2020 FSC-klagomål.docx", "A 61479-2020")</f>
        <v/>
      </c>
      <c r="W134">
        <f>HYPERLINK("https://klasma.github.io/Logging_0382/klagomålsmail/A 61479-2020 FSC-klagomål mail.docx", "A 61479-2020")</f>
        <v/>
      </c>
      <c r="X134">
        <f>HYPERLINK("https://klasma.github.io/Logging_0382/tillsyn/A 61479-2020 tillsynsbegäran.docx", "A 61479-2020")</f>
        <v/>
      </c>
      <c r="Y134">
        <f>HYPERLINK("https://klasma.github.io/Logging_0382/tillsynsmail/A 61479-2020 tillsynsbegäran mail.docx", "A 61479-2020")</f>
        <v/>
      </c>
    </row>
    <row r="135" ht="15" customHeight="1">
      <c r="A135" t="inlineStr">
        <is>
          <t>A 46417-2021</t>
        </is>
      </c>
      <c r="B135" s="1" t="n">
        <v>44445</v>
      </c>
      <c r="C135" s="1" t="n">
        <v>45803</v>
      </c>
      <c r="D135" t="inlineStr">
        <is>
          <t>UPPSALA LÄN</t>
        </is>
      </c>
      <c r="E135" t="inlineStr">
        <is>
          <t>ÖSTHAMMAR</t>
        </is>
      </c>
      <c r="F135" t="inlineStr">
        <is>
          <t>Övriga Aktiebolag</t>
        </is>
      </c>
      <c r="G135" t="n">
        <v>9.1</v>
      </c>
      <c r="H135" t="n">
        <v>0</v>
      </c>
      <c r="I135" t="n">
        <v>0</v>
      </c>
      <c r="J135" t="n">
        <v>1</v>
      </c>
      <c r="K135" t="n">
        <v>0</v>
      </c>
      <c r="L135" t="n">
        <v>0</v>
      </c>
      <c r="M135" t="n">
        <v>0</v>
      </c>
      <c r="N135" t="n">
        <v>0</v>
      </c>
      <c r="O135" t="n">
        <v>1</v>
      </c>
      <c r="P135" t="n">
        <v>0</v>
      </c>
      <c r="Q135" t="n">
        <v>1</v>
      </c>
      <c r="R135" s="2" t="inlineStr">
        <is>
          <t>Klasefibbla</t>
        </is>
      </c>
      <c r="S135">
        <f>HYPERLINK("https://klasma.github.io/Logging_0382/artfynd/A 46417-2021 artfynd.xlsx", "A 46417-2021")</f>
        <v/>
      </c>
      <c r="T135">
        <f>HYPERLINK("https://klasma.github.io/Logging_0382/kartor/A 46417-2021 karta.png", "A 46417-2021")</f>
        <v/>
      </c>
      <c r="V135">
        <f>HYPERLINK("https://klasma.github.io/Logging_0382/klagomål/A 46417-2021 FSC-klagomål.docx", "A 46417-2021")</f>
        <v/>
      </c>
      <c r="W135">
        <f>HYPERLINK("https://klasma.github.io/Logging_0382/klagomålsmail/A 46417-2021 FSC-klagomål mail.docx", "A 46417-2021")</f>
        <v/>
      </c>
      <c r="X135">
        <f>HYPERLINK("https://klasma.github.io/Logging_0382/tillsyn/A 46417-2021 tillsynsbegäran.docx", "A 46417-2021")</f>
        <v/>
      </c>
      <c r="Y135">
        <f>HYPERLINK("https://klasma.github.io/Logging_0382/tillsynsmail/A 46417-2021 tillsynsbegäran mail.docx", "A 46417-2021")</f>
        <v/>
      </c>
    </row>
    <row r="136" ht="15" customHeight="1">
      <c r="A136" t="inlineStr">
        <is>
          <t>A 49839-2021</t>
        </is>
      </c>
      <c r="B136" s="1" t="n">
        <v>44455</v>
      </c>
      <c r="C136" s="1" t="n">
        <v>45803</v>
      </c>
      <c r="D136" t="inlineStr">
        <is>
          <t>UPPSALA LÄN</t>
        </is>
      </c>
      <c r="E136" t="inlineStr">
        <is>
          <t>ÖSTHAMMAR</t>
        </is>
      </c>
      <c r="G136" t="n">
        <v>3.6</v>
      </c>
      <c r="H136" t="n">
        <v>0</v>
      </c>
      <c r="I136" t="n">
        <v>0</v>
      </c>
      <c r="J136" t="n">
        <v>0</v>
      </c>
      <c r="K136" t="n">
        <v>1</v>
      </c>
      <c r="L136" t="n">
        <v>0</v>
      </c>
      <c r="M136" t="n">
        <v>0</v>
      </c>
      <c r="N136" t="n">
        <v>0</v>
      </c>
      <c r="O136" t="n">
        <v>1</v>
      </c>
      <c r="P136" t="n">
        <v>1</v>
      </c>
      <c r="Q136" t="n">
        <v>1</v>
      </c>
      <c r="R136" s="2" t="inlineStr">
        <is>
          <t>Violgubbe</t>
        </is>
      </c>
      <c r="S136">
        <f>HYPERLINK("https://klasma.github.io/Logging_0382/artfynd/A 49839-2021 artfynd.xlsx", "A 49839-2021")</f>
        <v/>
      </c>
      <c r="T136">
        <f>HYPERLINK("https://klasma.github.io/Logging_0382/kartor/A 49839-2021 karta.png", "A 49839-2021")</f>
        <v/>
      </c>
      <c r="V136">
        <f>HYPERLINK("https://klasma.github.io/Logging_0382/klagomål/A 49839-2021 FSC-klagomål.docx", "A 49839-2021")</f>
        <v/>
      </c>
      <c r="W136">
        <f>HYPERLINK("https://klasma.github.io/Logging_0382/klagomålsmail/A 49839-2021 FSC-klagomål mail.docx", "A 49839-2021")</f>
        <v/>
      </c>
      <c r="X136">
        <f>HYPERLINK("https://klasma.github.io/Logging_0382/tillsyn/A 49839-2021 tillsynsbegäran.docx", "A 49839-2021")</f>
        <v/>
      </c>
      <c r="Y136">
        <f>HYPERLINK("https://klasma.github.io/Logging_0382/tillsynsmail/A 49839-2021 tillsynsbegäran mail.docx", "A 49839-2021")</f>
        <v/>
      </c>
    </row>
    <row r="137" ht="15" customHeight="1">
      <c r="A137" t="inlineStr">
        <is>
          <t>A 49871-2021</t>
        </is>
      </c>
      <c r="B137" s="1" t="n">
        <v>44455</v>
      </c>
      <c r="C137" s="1" t="n">
        <v>45803</v>
      </c>
      <c r="D137" t="inlineStr">
        <is>
          <t>UPPSALA LÄN</t>
        </is>
      </c>
      <c r="E137" t="inlineStr">
        <is>
          <t>ÖSTHAMMAR</t>
        </is>
      </c>
      <c r="G137" t="n">
        <v>0.5</v>
      </c>
      <c r="H137" t="n">
        <v>0</v>
      </c>
      <c r="I137" t="n">
        <v>1</v>
      </c>
      <c r="J137" t="n">
        <v>0</v>
      </c>
      <c r="K137" t="n">
        <v>0</v>
      </c>
      <c r="L137" t="n">
        <v>0</v>
      </c>
      <c r="M137" t="n">
        <v>0</v>
      </c>
      <c r="N137" t="n">
        <v>0</v>
      </c>
      <c r="O137" t="n">
        <v>0</v>
      </c>
      <c r="P137" t="n">
        <v>0</v>
      </c>
      <c r="Q137" t="n">
        <v>1</v>
      </c>
      <c r="R137" s="2" t="inlineStr">
        <is>
          <t>Anisspindling</t>
        </is>
      </c>
      <c r="S137">
        <f>HYPERLINK("https://klasma.github.io/Logging_0382/artfynd/A 49871-2021 artfynd.xlsx", "A 49871-2021")</f>
        <v/>
      </c>
      <c r="T137">
        <f>HYPERLINK("https://klasma.github.io/Logging_0382/kartor/A 49871-2021 karta.png", "A 49871-2021")</f>
        <v/>
      </c>
      <c r="V137">
        <f>HYPERLINK("https://klasma.github.io/Logging_0382/klagomål/A 49871-2021 FSC-klagomål.docx", "A 49871-2021")</f>
        <v/>
      </c>
      <c r="W137">
        <f>HYPERLINK("https://klasma.github.io/Logging_0382/klagomålsmail/A 49871-2021 FSC-klagomål mail.docx", "A 49871-2021")</f>
        <v/>
      </c>
      <c r="X137">
        <f>HYPERLINK("https://klasma.github.io/Logging_0382/tillsyn/A 49871-2021 tillsynsbegäran.docx", "A 49871-2021")</f>
        <v/>
      </c>
      <c r="Y137">
        <f>HYPERLINK("https://klasma.github.io/Logging_0382/tillsynsmail/A 49871-2021 tillsynsbegäran mail.docx", "A 49871-2021")</f>
        <v/>
      </c>
    </row>
    <row r="138" ht="15" customHeight="1">
      <c r="A138" t="inlineStr">
        <is>
          <t>A 61536-2021</t>
        </is>
      </c>
      <c r="B138" s="1" t="n">
        <v>44501</v>
      </c>
      <c r="C138" s="1" t="n">
        <v>45803</v>
      </c>
      <c r="D138" t="inlineStr">
        <is>
          <t>UPPSALA LÄN</t>
        </is>
      </c>
      <c r="E138" t="inlineStr">
        <is>
          <t>ÖSTHAMMAR</t>
        </is>
      </c>
      <c r="F138" t="inlineStr">
        <is>
          <t>Sveaskog</t>
        </is>
      </c>
      <c r="G138" t="n">
        <v>2.1</v>
      </c>
      <c r="H138" t="n">
        <v>0</v>
      </c>
      <c r="I138" t="n">
        <v>0</v>
      </c>
      <c r="J138" t="n">
        <v>1</v>
      </c>
      <c r="K138" t="n">
        <v>0</v>
      </c>
      <c r="L138" t="n">
        <v>0</v>
      </c>
      <c r="M138" t="n">
        <v>0</v>
      </c>
      <c r="N138" t="n">
        <v>0</v>
      </c>
      <c r="O138" t="n">
        <v>1</v>
      </c>
      <c r="P138" t="n">
        <v>0</v>
      </c>
      <c r="Q138" t="n">
        <v>1</v>
      </c>
      <c r="R138" s="2" t="inlineStr">
        <is>
          <t>Klasefibbla</t>
        </is>
      </c>
      <c r="S138">
        <f>HYPERLINK("https://klasma.github.io/Logging_0382/artfynd/A 61536-2021 artfynd.xlsx", "A 61536-2021")</f>
        <v/>
      </c>
      <c r="T138">
        <f>HYPERLINK("https://klasma.github.io/Logging_0382/kartor/A 61536-2021 karta.png", "A 61536-2021")</f>
        <v/>
      </c>
      <c r="V138">
        <f>HYPERLINK("https://klasma.github.io/Logging_0382/klagomål/A 61536-2021 FSC-klagomål.docx", "A 61536-2021")</f>
        <v/>
      </c>
      <c r="W138">
        <f>HYPERLINK("https://klasma.github.io/Logging_0382/klagomålsmail/A 61536-2021 FSC-klagomål mail.docx", "A 61536-2021")</f>
        <v/>
      </c>
      <c r="X138">
        <f>HYPERLINK("https://klasma.github.io/Logging_0382/tillsyn/A 61536-2021 tillsynsbegäran.docx", "A 61536-2021")</f>
        <v/>
      </c>
      <c r="Y138">
        <f>HYPERLINK("https://klasma.github.io/Logging_0382/tillsynsmail/A 61536-2021 tillsynsbegäran mail.docx", "A 61536-2021")</f>
        <v/>
      </c>
    </row>
    <row r="139" ht="15" customHeight="1">
      <c r="A139" t="inlineStr">
        <is>
          <t>A 61559-2021</t>
        </is>
      </c>
      <c r="B139" s="1" t="n">
        <v>44501</v>
      </c>
      <c r="C139" s="1" t="n">
        <v>45803</v>
      </c>
      <c r="D139" t="inlineStr">
        <is>
          <t>UPPSALA LÄN</t>
        </is>
      </c>
      <c r="E139" t="inlineStr">
        <is>
          <t>ÖSTHAMMAR</t>
        </is>
      </c>
      <c r="F139" t="inlineStr">
        <is>
          <t>Sveaskog</t>
        </is>
      </c>
      <c r="G139" t="n">
        <v>2.3</v>
      </c>
      <c r="H139" t="n">
        <v>0</v>
      </c>
      <c r="I139" t="n">
        <v>0</v>
      </c>
      <c r="J139" t="n">
        <v>1</v>
      </c>
      <c r="K139" t="n">
        <v>0</v>
      </c>
      <c r="L139" t="n">
        <v>0</v>
      </c>
      <c r="M139" t="n">
        <v>0</v>
      </c>
      <c r="N139" t="n">
        <v>0</v>
      </c>
      <c r="O139" t="n">
        <v>1</v>
      </c>
      <c r="P139" t="n">
        <v>0</v>
      </c>
      <c r="Q139" t="n">
        <v>1</v>
      </c>
      <c r="R139" s="2" t="inlineStr">
        <is>
          <t>Backklöver</t>
        </is>
      </c>
      <c r="S139">
        <f>HYPERLINK("https://klasma.github.io/Logging_0382/artfynd/A 61559-2021 artfynd.xlsx", "A 61559-2021")</f>
        <v/>
      </c>
      <c r="T139">
        <f>HYPERLINK("https://klasma.github.io/Logging_0382/kartor/A 61559-2021 karta.png", "A 61559-2021")</f>
        <v/>
      </c>
      <c r="V139">
        <f>HYPERLINK("https://klasma.github.io/Logging_0382/klagomål/A 61559-2021 FSC-klagomål.docx", "A 61559-2021")</f>
        <v/>
      </c>
      <c r="W139">
        <f>HYPERLINK("https://klasma.github.io/Logging_0382/klagomålsmail/A 61559-2021 FSC-klagomål mail.docx", "A 61559-2021")</f>
        <v/>
      </c>
      <c r="X139">
        <f>HYPERLINK("https://klasma.github.io/Logging_0382/tillsyn/A 61559-2021 tillsynsbegäran.docx", "A 61559-2021")</f>
        <v/>
      </c>
      <c r="Y139">
        <f>HYPERLINK("https://klasma.github.io/Logging_0382/tillsynsmail/A 61559-2021 tillsynsbegäran mail.docx", "A 61559-2021")</f>
        <v/>
      </c>
    </row>
    <row r="140" ht="15" customHeight="1">
      <c r="A140" t="inlineStr">
        <is>
          <t>A 63615-2021</t>
        </is>
      </c>
      <c r="B140" s="1" t="n">
        <v>44509</v>
      </c>
      <c r="C140" s="1" t="n">
        <v>45803</v>
      </c>
      <c r="D140" t="inlineStr">
        <is>
          <t>UPPSALA LÄN</t>
        </is>
      </c>
      <c r="E140" t="inlineStr">
        <is>
          <t>ÖSTHAMMAR</t>
        </is>
      </c>
      <c r="G140" t="n">
        <v>1.9</v>
      </c>
      <c r="H140" t="n">
        <v>0</v>
      </c>
      <c r="I140" t="n">
        <v>0</v>
      </c>
      <c r="J140" t="n">
        <v>1</v>
      </c>
      <c r="K140" t="n">
        <v>0</v>
      </c>
      <c r="L140" t="n">
        <v>0</v>
      </c>
      <c r="M140" t="n">
        <v>0</v>
      </c>
      <c r="N140" t="n">
        <v>0</v>
      </c>
      <c r="O140" t="n">
        <v>1</v>
      </c>
      <c r="P140" t="n">
        <v>0</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65989-2021</t>
        </is>
      </c>
      <c r="B141" s="1" t="n">
        <v>44517</v>
      </c>
      <c r="C141" s="1" t="n">
        <v>45803</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70495-2021</t>
        </is>
      </c>
      <c r="B142" s="1" t="n">
        <v>44536</v>
      </c>
      <c r="C142" s="1" t="n">
        <v>45803</v>
      </c>
      <c r="D142" t="inlineStr">
        <is>
          <t>UPPSALA LÄN</t>
        </is>
      </c>
      <c r="E142" t="inlineStr">
        <is>
          <t>ÖSTHAMMAR</t>
        </is>
      </c>
      <c r="G142" t="n">
        <v>1</v>
      </c>
      <c r="H142" t="n">
        <v>1</v>
      </c>
      <c r="I142" t="n">
        <v>0</v>
      </c>
      <c r="J142" t="n">
        <v>1</v>
      </c>
      <c r="K142" t="n">
        <v>0</v>
      </c>
      <c r="L142" t="n">
        <v>0</v>
      </c>
      <c r="M142" t="n">
        <v>0</v>
      </c>
      <c r="N142" t="n">
        <v>0</v>
      </c>
      <c r="O142" t="n">
        <v>1</v>
      </c>
      <c r="P142" t="n">
        <v>0</v>
      </c>
      <c r="Q142" t="n">
        <v>1</v>
      </c>
      <c r="R142" s="2" t="inlineStr">
        <is>
          <t>Slaguggla</t>
        </is>
      </c>
      <c r="S142">
        <f>HYPERLINK("https://klasma.github.io/Logging_0382/artfynd/A 70495-2021 artfynd.xlsx", "A 70495-2021")</f>
        <v/>
      </c>
      <c r="T142">
        <f>HYPERLINK("https://klasma.github.io/Logging_0382/kartor/A 70495-2021 karta.png", "A 70495-2021")</f>
        <v/>
      </c>
      <c r="V142">
        <f>HYPERLINK("https://klasma.github.io/Logging_0382/klagomål/A 70495-2021 FSC-klagomål.docx", "A 70495-2021")</f>
        <v/>
      </c>
      <c r="W142">
        <f>HYPERLINK("https://klasma.github.io/Logging_0382/klagomålsmail/A 70495-2021 FSC-klagomål mail.docx", "A 70495-2021")</f>
        <v/>
      </c>
      <c r="X142">
        <f>HYPERLINK("https://klasma.github.io/Logging_0382/tillsyn/A 70495-2021 tillsynsbegäran.docx", "A 70495-2021")</f>
        <v/>
      </c>
      <c r="Y142">
        <f>HYPERLINK("https://klasma.github.io/Logging_0382/tillsynsmail/A 70495-2021 tillsynsbegäran mail.docx", "A 70495-2021")</f>
        <v/>
      </c>
      <c r="Z142">
        <f>HYPERLINK("https://klasma.github.io/Logging_0382/fåglar/A 70495-2021 prioriterade fågelarter.docx", "A 70495-2021")</f>
        <v/>
      </c>
    </row>
    <row r="143" ht="15" customHeight="1">
      <c r="A143" t="inlineStr">
        <is>
          <t>A 938-2022</t>
        </is>
      </c>
      <c r="B143" s="1" t="n">
        <v>44571</v>
      </c>
      <c r="C143" s="1" t="n">
        <v>45803</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Vedtrappmossa</t>
        </is>
      </c>
      <c r="S143">
        <f>HYPERLINK("https://klasma.github.io/Logging_0382/artfynd/A 938-2022 artfynd.xlsx", "A 938-2022")</f>
        <v/>
      </c>
      <c r="T143">
        <f>HYPERLINK("https://klasma.github.io/Logging_0382/kartor/A 938-2022 karta.png", "A 938-2022")</f>
        <v/>
      </c>
      <c r="V143">
        <f>HYPERLINK("https://klasma.github.io/Logging_0382/klagomål/A 938-2022 FSC-klagomål.docx", "A 938-2022")</f>
        <v/>
      </c>
      <c r="W143">
        <f>HYPERLINK("https://klasma.github.io/Logging_0382/klagomålsmail/A 938-2022 FSC-klagomål mail.docx", "A 938-2022")</f>
        <v/>
      </c>
      <c r="X143">
        <f>HYPERLINK("https://klasma.github.io/Logging_0382/tillsyn/A 938-2022 tillsynsbegäran.docx", "A 938-2022")</f>
        <v/>
      </c>
      <c r="Y143">
        <f>HYPERLINK("https://klasma.github.io/Logging_0382/tillsynsmail/A 938-2022 tillsynsbegäran mail.docx", "A 938-2022")</f>
        <v/>
      </c>
    </row>
    <row r="144" ht="15" customHeight="1">
      <c r="A144" t="inlineStr">
        <is>
          <t>A 1227-2022</t>
        </is>
      </c>
      <c r="B144" s="1" t="n">
        <v>44572</v>
      </c>
      <c r="C144" s="1" t="n">
        <v>45803</v>
      </c>
      <c r="D144" t="inlineStr">
        <is>
          <t>UPPSALA LÄN</t>
        </is>
      </c>
      <c r="E144" t="inlineStr">
        <is>
          <t>ÖSTHAMMAR</t>
        </is>
      </c>
      <c r="G144" t="n">
        <v>1.7</v>
      </c>
      <c r="H144" t="n">
        <v>0</v>
      </c>
      <c r="I144" t="n">
        <v>1</v>
      </c>
      <c r="J144" t="n">
        <v>0</v>
      </c>
      <c r="K144" t="n">
        <v>0</v>
      </c>
      <c r="L144" t="n">
        <v>0</v>
      </c>
      <c r="M144" t="n">
        <v>0</v>
      </c>
      <c r="N144" t="n">
        <v>0</v>
      </c>
      <c r="O144" t="n">
        <v>0</v>
      </c>
      <c r="P144" t="n">
        <v>0</v>
      </c>
      <c r="Q144" t="n">
        <v>1</v>
      </c>
      <c r="R144" s="2" t="inlineStr">
        <is>
          <t>Guldkremla</t>
        </is>
      </c>
      <c r="S144">
        <f>HYPERLINK("https://klasma.github.io/Logging_0382/artfynd/A 1227-2022 artfynd.xlsx", "A 1227-2022")</f>
        <v/>
      </c>
      <c r="T144">
        <f>HYPERLINK("https://klasma.github.io/Logging_0382/kartor/A 1227-2022 karta.png", "A 1227-2022")</f>
        <v/>
      </c>
      <c r="V144">
        <f>HYPERLINK("https://klasma.github.io/Logging_0382/klagomål/A 1227-2022 FSC-klagomål.docx", "A 1227-2022")</f>
        <v/>
      </c>
      <c r="W144">
        <f>HYPERLINK("https://klasma.github.io/Logging_0382/klagomålsmail/A 1227-2022 FSC-klagomål mail.docx", "A 1227-2022")</f>
        <v/>
      </c>
      <c r="X144">
        <f>HYPERLINK("https://klasma.github.io/Logging_0382/tillsyn/A 1227-2022 tillsynsbegäran.docx", "A 1227-2022")</f>
        <v/>
      </c>
      <c r="Y144">
        <f>HYPERLINK("https://klasma.github.io/Logging_0382/tillsynsmail/A 1227-2022 tillsynsbegäran mail.docx", "A 1227-2022")</f>
        <v/>
      </c>
    </row>
    <row r="145" ht="15" customHeight="1">
      <c r="A145" t="inlineStr">
        <is>
          <t>A 7446-2022</t>
        </is>
      </c>
      <c r="B145" s="1" t="n">
        <v>44606</v>
      </c>
      <c r="C145" s="1" t="n">
        <v>45803</v>
      </c>
      <c r="D145" t="inlineStr">
        <is>
          <t>UPPSALA LÄN</t>
        </is>
      </c>
      <c r="E145" t="inlineStr">
        <is>
          <t>ÖSTHAMMAR</t>
        </is>
      </c>
      <c r="G145" t="n">
        <v>5</v>
      </c>
      <c r="H145" t="n">
        <v>1</v>
      </c>
      <c r="I145" t="n">
        <v>0</v>
      </c>
      <c r="J145" t="n">
        <v>0</v>
      </c>
      <c r="K145" t="n">
        <v>0</v>
      </c>
      <c r="L145" t="n">
        <v>0</v>
      </c>
      <c r="M145" t="n">
        <v>0</v>
      </c>
      <c r="N145" t="n">
        <v>0</v>
      </c>
      <c r="O145" t="n">
        <v>0</v>
      </c>
      <c r="P145" t="n">
        <v>0</v>
      </c>
      <c r="Q145" t="n">
        <v>1</v>
      </c>
      <c r="R145" s="2" t="inlineStr">
        <is>
          <t>Mattlummer</t>
        </is>
      </c>
      <c r="S145">
        <f>HYPERLINK("https://klasma.github.io/Logging_0382/artfynd/A 7446-2022 artfynd.xlsx", "A 7446-2022")</f>
        <v/>
      </c>
      <c r="T145">
        <f>HYPERLINK("https://klasma.github.io/Logging_0382/kartor/A 7446-2022 karta.png", "A 7446-2022")</f>
        <v/>
      </c>
      <c r="V145">
        <f>HYPERLINK("https://klasma.github.io/Logging_0382/klagomål/A 7446-2022 FSC-klagomål.docx", "A 7446-2022")</f>
        <v/>
      </c>
      <c r="W145">
        <f>HYPERLINK("https://klasma.github.io/Logging_0382/klagomålsmail/A 7446-2022 FSC-klagomål mail.docx", "A 7446-2022")</f>
        <v/>
      </c>
      <c r="X145">
        <f>HYPERLINK("https://klasma.github.io/Logging_0382/tillsyn/A 7446-2022 tillsynsbegäran.docx", "A 7446-2022")</f>
        <v/>
      </c>
      <c r="Y145">
        <f>HYPERLINK("https://klasma.github.io/Logging_0382/tillsynsmail/A 7446-2022 tillsynsbegäran mail.docx", "A 7446-2022")</f>
        <v/>
      </c>
    </row>
    <row r="146" ht="15" customHeight="1">
      <c r="A146" t="inlineStr">
        <is>
          <t>A 7470-2022</t>
        </is>
      </c>
      <c r="B146" s="1" t="n">
        <v>44607</v>
      </c>
      <c r="C146" s="1" t="n">
        <v>45803</v>
      </c>
      <c r="D146" t="inlineStr">
        <is>
          <t>UPPSALA LÄN</t>
        </is>
      </c>
      <c r="E146" t="inlineStr">
        <is>
          <t>ÖSTHAMMAR</t>
        </is>
      </c>
      <c r="G146" t="n">
        <v>2.6</v>
      </c>
      <c r="H146" t="n">
        <v>1</v>
      </c>
      <c r="I146" t="n">
        <v>1</v>
      </c>
      <c r="J146" t="n">
        <v>0</v>
      </c>
      <c r="K146" t="n">
        <v>0</v>
      </c>
      <c r="L146" t="n">
        <v>0</v>
      </c>
      <c r="M146" t="n">
        <v>0</v>
      </c>
      <c r="N146" t="n">
        <v>0</v>
      </c>
      <c r="O146" t="n">
        <v>0</v>
      </c>
      <c r="P146" t="n">
        <v>0</v>
      </c>
      <c r="Q146" t="n">
        <v>1</v>
      </c>
      <c r="R146" s="2" t="inlineStr">
        <is>
          <t>Grön sköldmossa</t>
        </is>
      </c>
      <c r="S146">
        <f>HYPERLINK("https://klasma.github.io/Logging_0382/artfynd/A 7470-2022 artfynd.xlsx", "A 7470-2022")</f>
        <v/>
      </c>
      <c r="T146">
        <f>HYPERLINK("https://klasma.github.io/Logging_0382/kartor/A 7470-2022 karta.png", "A 7470-2022")</f>
        <v/>
      </c>
      <c r="V146">
        <f>HYPERLINK("https://klasma.github.io/Logging_0382/klagomål/A 7470-2022 FSC-klagomål.docx", "A 7470-2022")</f>
        <v/>
      </c>
      <c r="W146">
        <f>HYPERLINK("https://klasma.github.io/Logging_0382/klagomålsmail/A 7470-2022 FSC-klagomål mail.docx", "A 7470-2022")</f>
        <v/>
      </c>
      <c r="X146">
        <f>HYPERLINK("https://klasma.github.io/Logging_0382/tillsyn/A 7470-2022 tillsynsbegäran.docx", "A 7470-2022")</f>
        <v/>
      </c>
      <c r="Y146">
        <f>HYPERLINK("https://klasma.github.io/Logging_0382/tillsynsmail/A 7470-2022 tillsynsbegäran mail.docx", "A 7470-2022")</f>
        <v/>
      </c>
    </row>
    <row r="147" ht="15" customHeight="1">
      <c r="A147" t="inlineStr">
        <is>
          <t>A 22209-2022</t>
        </is>
      </c>
      <c r="B147" s="1" t="n">
        <v>44712</v>
      </c>
      <c r="C147" s="1" t="n">
        <v>45803</v>
      </c>
      <c r="D147" t="inlineStr">
        <is>
          <t>UPPSALA LÄN</t>
        </is>
      </c>
      <c r="E147" t="inlineStr">
        <is>
          <t>ÖSTHAMMAR</t>
        </is>
      </c>
      <c r="F147" t="inlineStr">
        <is>
          <t>Bergvik skog öst AB</t>
        </is>
      </c>
      <c r="G147" t="n">
        <v>1.5</v>
      </c>
      <c r="H147" t="n">
        <v>1</v>
      </c>
      <c r="I147" t="n">
        <v>0</v>
      </c>
      <c r="J147" t="n">
        <v>0</v>
      </c>
      <c r="K147" t="n">
        <v>0</v>
      </c>
      <c r="L147" t="n">
        <v>0</v>
      </c>
      <c r="M147" t="n">
        <v>0</v>
      </c>
      <c r="N147" t="n">
        <v>0</v>
      </c>
      <c r="O147" t="n">
        <v>0</v>
      </c>
      <c r="P147" t="n">
        <v>0</v>
      </c>
      <c r="Q147" t="n">
        <v>1</v>
      </c>
      <c r="R147" s="2" t="inlineStr">
        <is>
          <t>Blåsippa</t>
        </is>
      </c>
      <c r="S147">
        <f>HYPERLINK("https://klasma.github.io/Logging_0382/artfynd/A 22209-2022 artfynd.xlsx", "A 22209-2022")</f>
        <v/>
      </c>
      <c r="T147">
        <f>HYPERLINK("https://klasma.github.io/Logging_0382/kartor/A 22209-2022 karta.png", "A 22209-2022")</f>
        <v/>
      </c>
      <c r="V147">
        <f>HYPERLINK("https://klasma.github.io/Logging_0382/klagomål/A 22209-2022 FSC-klagomål.docx", "A 22209-2022")</f>
        <v/>
      </c>
      <c r="W147">
        <f>HYPERLINK("https://klasma.github.io/Logging_0382/klagomålsmail/A 22209-2022 FSC-klagomål mail.docx", "A 22209-2022")</f>
        <v/>
      </c>
      <c r="X147">
        <f>HYPERLINK("https://klasma.github.io/Logging_0382/tillsyn/A 22209-2022 tillsynsbegäran.docx", "A 22209-2022")</f>
        <v/>
      </c>
      <c r="Y147">
        <f>HYPERLINK("https://klasma.github.io/Logging_0382/tillsynsmail/A 22209-2022 tillsynsbegäran mail.docx", "A 22209-2022")</f>
        <v/>
      </c>
    </row>
    <row r="148" ht="15" customHeight="1">
      <c r="A148" t="inlineStr">
        <is>
          <t>A 24797-2022</t>
        </is>
      </c>
      <c r="B148" s="1" t="n">
        <v>44728</v>
      </c>
      <c r="C148" s="1" t="n">
        <v>45803</v>
      </c>
      <c r="D148" t="inlineStr">
        <is>
          <t>UPPSALA LÄN</t>
        </is>
      </c>
      <c r="E148" t="inlineStr">
        <is>
          <t>ÖSTHAMMAR</t>
        </is>
      </c>
      <c r="F148" t="inlineStr">
        <is>
          <t>Sveaskog</t>
        </is>
      </c>
      <c r="G148" t="n">
        <v>1.7</v>
      </c>
      <c r="H148" t="n">
        <v>1</v>
      </c>
      <c r="I148" t="n">
        <v>0</v>
      </c>
      <c r="J148" t="n">
        <v>1</v>
      </c>
      <c r="K148" t="n">
        <v>0</v>
      </c>
      <c r="L148" t="n">
        <v>0</v>
      </c>
      <c r="M148" t="n">
        <v>0</v>
      </c>
      <c r="N148" t="n">
        <v>0</v>
      </c>
      <c r="O148" t="n">
        <v>1</v>
      </c>
      <c r="P148" t="n">
        <v>0</v>
      </c>
      <c r="Q148" t="n">
        <v>1</v>
      </c>
      <c r="R148" s="2" t="inlineStr">
        <is>
          <t>Gulsparv</t>
        </is>
      </c>
      <c r="S148">
        <f>HYPERLINK("https://klasma.github.io/Logging_0382/artfynd/A 24797-2022 artfynd.xlsx", "A 24797-2022")</f>
        <v/>
      </c>
      <c r="T148">
        <f>HYPERLINK("https://klasma.github.io/Logging_0382/kartor/A 24797-2022 karta.png", "A 24797-2022")</f>
        <v/>
      </c>
      <c r="V148">
        <f>HYPERLINK("https://klasma.github.io/Logging_0382/klagomål/A 24797-2022 FSC-klagomål.docx", "A 24797-2022")</f>
        <v/>
      </c>
      <c r="W148">
        <f>HYPERLINK("https://klasma.github.io/Logging_0382/klagomålsmail/A 24797-2022 FSC-klagomål mail.docx", "A 24797-2022")</f>
        <v/>
      </c>
      <c r="X148">
        <f>HYPERLINK("https://klasma.github.io/Logging_0382/tillsyn/A 24797-2022 tillsynsbegäran.docx", "A 24797-2022")</f>
        <v/>
      </c>
      <c r="Y148">
        <f>HYPERLINK("https://klasma.github.io/Logging_0382/tillsynsmail/A 24797-2022 tillsynsbegäran mail.docx", "A 24797-2022")</f>
        <v/>
      </c>
      <c r="Z148">
        <f>HYPERLINK("https://klasma.github.io/Logging_0382/fåglar/A 24797-2022 prioriterade fågelarter.docx", "A 24797-2022")</f>
        <v/>
      </c>
    </row>
    <row r="149" ht="15" customHeight="1">
      <c r="A149" t="inlineStr">
        <is>
          <t>A 27451-2022</t>
        </is>
      </c>
      <c r="B149" s="1" t="n">
        <v>44742</v>
      </c>
      <c r="C149" s="1" t="n">
        <v>45803</v>
      </c>
      <c r="D149" t="inlineStr">
        <is>
          <t>UPPSALA LÄN</t>
        </is>
      </c>
      <c r="E149" t="inlineStr">
        <is>
          <t>ÖSTHAMMAR</t>
        </is>
      </c>
      <c r="G149" t="n">
        <v>6.4</v>
      </c>
      <c r="H149" t="n">
        <v>0</v>
      </c>
      <c r="I149" t="n">
        <v>0</v>
      </c>
      <c r="J149" t="n">
        <v>1</v>
      </c>
      <c r="K149" t="n">
        <v>0</v>
      </c>
      <c r="L149" t="n">
        <v>0</v>
      </c>
      <c r="M149" t="n">
        <v>0</v>
      </c>
      <c r="N149" t="n">
        <v>0</v>
      </c>
      <c r="O149" t="n">
        <v>1</v>
      </c>
      <c r="P149" t="n">
        <v>0</v>
      </c>
      <c r="Q149" t="n">
        <v>1</v>
      </c>
      <c r="R149" s="2" t="inlineStr">
        <is>
          <t>Skogsklocka</t>
        </is>
      </c>
      <c r="S149">
        <f>HYPERLINK("https://klasma.github.io/Logging_0382/artfynd/A 27451-2022 artfynd.xlsx", "A 27451-2022")</f>
        <v/>
      </c>
      <c r="T149">
        <f>HYPERLINK("https://klasma.github.io/Logging_0382/kartor/A 27451-2022 karta.png", "A 27451-2022")</f>
        <v/>
      </c>
      <c r="V149">
        <f>HYPERLINK("https://klasma.github.io/Logging_0382/klagomål/A 27451-2022 FSC-klagomål.docx", "A 27451-2022")</f>
        <v/>
      </c>
      <c r="W149">
        <f>HYPERLINK("https://klasma.github.io/Logging_0382/klagomålsmail/A 27451-2022 FSC-klagomål mail.docx", "A 27451-2022")</f>
        <v/>
      </c>
      <c r="X149">
        <f>HYPERLINK("https://klasma.github.io/Logging_0382/tillsyn/A 27451-2022 tillsynsbegäran.docx", "A 27451-2022")</f>
        <v/>
      </c>
      <c r="Y149">
        <f>HYPERLINK("https://klasma.github.io/Logging_0382/tillsynsmail/A 27451-2022 tillsynsbegäran mail.docx", "A 27451-2022")</f>
        <v/>
      </c>
    </row>
    <row r="150" ht="15" customHeight="1">
      <c r="A150" t="inlineStr">
        <is>
          <t>A 34974-2022</t>
        </is>
      </c>
      <c r="B150" s="1" t="n">
        <v>44796</v>
      </c>
      <c r="C150" s="1" t="n">
        <v>45803</v>
      </c>
      <c r="D150" t="inlineStr">
        <is>
          <t>UPPSALA LÄN</t>
        </is>
      </c>
      <c r="E150" t="inlineStr">
        <is>
          <t>ÖSTHAMMAR</t>
        </is>
      </c>
      <c r="F150" t="inlineStr">
        <is>
          <t>Bergvik skog öst AB</t>
        </is>
      </c>
      <c r="G150" t="n">
        <v>19.4</v>
      </c>
      <c r="H150" t="n">
        <v>1</v>
      </c>
      <c r="I150" t="n">
        <v>0</v>
      </c>
      <c r="J150" t="n">
        <v>0</v>
      </c>
      <c r="K150" t="n">
        <v>0</v>
      </c>
      <c r="L150" t="n">
        <v>0</v>
      </c>
      <c r="M150" t="n">
        <v>0</v>
      </c>
      <c r="N150" t="n">
        <v>0</v>
      </c>
      <c r="O150" t="n">
        <v>0</v>
      </c>
      <c r="P150" t="n">
        <v>0</v>
      </c>
      <c r="Q150" t="n">
        <v>1</v>
      </c>
      <c r="R150" s="2" t="inlineStr">
        <is>
          <t>Kopparödla</t>
        </is>
      </c>
      <c r="S150">
        <f>HYPERLINK("https://klasma.github.io/Logging_0382/artfynd/A 34974-2022 artfynd.xlsx", "A 34974-2022")</f>
        <v/>
      </c>
      <c r="T150">
        <f>HYPERLINK("https://klasma.github.io/Logging_0382/kartor/A 34974-2022 karta.png", "A 34974-2022")</f>
        <v/>
      </c>
      <c r="V150">
        <f>HYPERLINK("https://klasma.github.io/Logging_0382/klagomål/A 34974-2022 FSC-klagomål.docx", "A 34974-2022")</f>
        <v/>
      </c>
      <c r="W150">
        <f>HYPERLINK("https://klasma.github.io/Logging_0382/klagomålsmail/A 34974-2022 FSC-klagomål mail.docx", "A 34974-2022")</f>
        <v/>
      </c>
      <c r="X150">
        <f>HYPERLINK("https://klasma.github.io/Logging_0382/tillsyn/A 34974-2022 tillsynsbegäran.docx", "A 34974-2022")</f>
        <v/>
      </c>
      <c r="Y150">
        <f>HYPERLINK("https://klasma.github.io/Logging_0382/tillsynsmail/A 34974-2022 tillsynsbegäran mail.docx", "A 34974-2022")</f>
        <v/>
      </c>
    </row>
    <row r="151" ht="15" customHeight="1">
      <c r="A151" t="inlineStr">
        <is>
          <t>A 38442-2022</t>
        </is>
      </c>
      <c r="B151" s="1" t="n">
        <v>44813</v>
      </c>
      <c r="C151" s="1" t="n">
        <v>45803</v>
      </c>
      <c r="D151" t="inlineStr">
        <is>
          <t>UPPSALA LÄN</t>
        </is>
      </c>
      <c r="E151" t="inlineStr">
        <is>
          <t>ÖSTHAMMAR</t>
        </is>
      </c>
      <c r="F151" t="inlineStr">
        <is>
          <t>Kyrkan</t>
        </is>
      </c>
      <c r="G151" t="n">
        <v>2.9</v>
      </c>
      <c r="H151" t="n">
        <v>0</v>
      </c>
      <c r="I151" t="n">
        <v>0</v>
      </c>
      <c r="J151" t="n">
        <v>1</v>
      </c>
      <c r="K151" t="n">
        <v>0</v>
      </c>
      <c r="L151" t="n">
        <v>0</v>
      </c>
      <c r="M151" t="n">
        <v>0</v>
      </c>
      <c r="N151" t="n">
        <v>0</v>
      </c>
      <c r="O151" t="n">
        <v>1</v>
      </c>
      <c r="P151" t="n">
        <v>0</v>
      </c>
      <c r="Q151" t="n">
        <v>1</v>
      </c>
      <c r="R151" s="2" t="inlineStr">
        <is>
          <t>Slåtterfibbla</t>
        </is>
      </c>
      <c r="S151">
        <f>HYPERLINK("https://klasma.github.io/Logging_0382/artfynd/A 38442-2022 artfynd.xlsx", "A 38442-2022")</f>
        <v/>
      </c>
      <c r="T151">
        <f>HYPERLINK("https://klasma.github.io/Logging_0382/kartor/A 38442-2022 karta.png", "A 38442-2022")</f>
        <v/>
      </c>
      <c r="V151">
        <f>HYPERLINK("https://klasma.github.io/Logging_0382/klagomål/A 38442-2022 FSC-klagomål.docx", "A 38442-2022")</f>
        <v/>
      </c>
      <c r="W151">
        <f>HYPERLINK("https://klasma.github.io/Logging_0382/klagomålsmail/A 38442-2022 FSC-klagomål mail.docx", "A 38442-2022")</f>
        <v/>
      </c>
      <c r="X151">
        <f>HYPERLINK("https://klasma.github.io/Logging_0382/tillsyn/A 38442-2022 tillsynsbegäran.docx", "A 38442-2022")</f>
        <v/>
      </c>
      <c r="Y151">
        <f>HYPERLINK("https://klasma.github.io/Logging_0382/tillsynsmail/A 38442-2022 tillsynsbegäran mail.docx", "A 38442-2022")</f>
        <v/>
      </c>
    </row>
    <row r="152" ht="15" customHeight="1">
      <c r="A152" t="inlineStr">
        <is>
          <t>A 52648-2022</t>
        </is>
      </c>
      <c r="B152" s="1" t="n">
        <v>44874</v>
      </c>
      <c r="C152" s="1" t="n">
        <v>45803</v>
      </c>
      <c r="D152" t="inlineStr">
        <is>
          <t>UPPSALA LÄN</t>
        </is>
      </c>
      <c r="E152" t="inlineStr">
        <is>
          <t>ÖSTHAMMAR</t>
        </is>
      </c>
      <c r="F152" t="inlineStr">
        <is>
          <t>Bergvik skog öst AB</t>
        </is>
      </c>
      <c r="G152" t="n">
        <v>2.3</v>
      </c>
      <c r="H152" t="n">
        <v>1</v>
      </c>
      <c r="I152" t="n">
        <v>0</v>
      </c>
      <c r="J152" t="n">
        <v>1</v>
      </c>
      <c r="K152" t="n">
        <v>0</v>
      </c>
      <c r="L152" t="n">
        <v>0</v>
      </c>
      <c r="M152" t="n">
        <v>0</v>
      </c>
      <c r="N152" t="n">
        <v>0</v>
      </c>
      <c r="O152" t="n">
        <v>1</v>
      </c>
      <c r="P152" t="n">
        <v>0</v>
      </c>
      <c r="Q152" t="n">
        <v>1</v>
      </c>
      <c r="R152" s="2" t="inlineStr">
        <is>
          <t>Buskskvätta</t>
        </is>
      </c>
      <c r="S152">
        <f>HYPERLINK("https://klasma.github.io/Logging_0382/artfynd/A 52648-2022 artfynd.xlsx", "A 52648-2022")</f>
        <v/>
      </c>
      <c r="T152">
        <f>HYPERLINK("https://klasma.github.io/Logging_0382/kartor/A 52648-2022 karta.png", "A 52648-2022")</f>
        <v/>
      </c>
      <c r="V152">
        <f>HYPERLINK("https://klasma.github.io/Logging_0382/klagomål/A 52648-2022 FSC-klagomål.docx", "A 52648-2022")</f>
        <v/>
      </c>
      <c r="W152">
        <f>HYPERLINK("https://klasma.github.io/Logging_0382/klagomålsmail/A 52648-2022 FSC-klagomål mail.docx", "A 52648-2022")</f>
        <v/>
      </c>
      <c r="X152">
        <f>HYPERLINK("https://klasma.github.io/Logging_0382/tillsyn/A 52648-2022 tillsynsbegäran.docx", "A 52648-2022")</f>
        <v/>
      </c>
      <c r="Y152">
        <f>HYPERLINK("https://klasma.github.io/Logging_0382/tillsynsmail/A 52648-2022 tillsynsbegäran mail.docx", "A 52648-2022")</f>
        <v/>
      </c>
      <c r="Z152">
        <f>HYPERLINK("https://klasma.github.io/Logging_0382/fåglar/A 52648-2022 prioriterade fågelarter.docx", "A 52648-2022")</f>
        <v/>
      </c>
    </row>
    <row r="153" ht="15" customHeight="1">
      <c r="A153" t="inlineStr">
        <is>
          <t>A 52651-2022</t>
        </is>
      </c>
      <c r="B153" s="1" t="n">
        <v>44874</v>
      </c>
      <c r="C153" s="1" t="n">
        <v>45803</v>
      </c>
      <c r="D153" t="inlineStr">
        <is>
          <t>UPPSALA LÄN</t>
        </is>
      </c>
      <c r="E153" t="inlineStr">
        <is>
          <t>ÖSTHAMMAR</t>
        </is>
      </c>
      <c r="F153" t="inlineStr">
        <is>
          <t>Bergvik skog öst AB</t>
        </is>
      </c>
      <c r="G153" t="n">
        <v>0.6</v>
      </c>
      <c r="H153" t="n">
        <v>1</v>
      </c>
      <c r="I153" t="n">
        <v>0</v>
      </c>
      <c r="J153" t="n">
        <v>1</v>
      </c>
      <c r="K153" t="n">
        <v>0</v>
      </c>
      <c r="L153" t="n">
        <v>0</v>
      </c>
      <c r="M153" t="n">
        <v>0</v>
      </c>
      <c r="N153" t="n">
        <v>0</v>
      </c>
      <c r="O153" t="n">
        <v>1</v>
      </c>
      <c r="P153" t="n">
        <v>0</v>
      </c>
      <c r="Q153" t="n">
        <v>1</v>
      </c>
      <c r="R153" s="2" t="inlineStr">
        <is>
          <t>Svartvit flugsnappare</t>
        </is>
      </c>
      <c r="S153">
        <f>HYPERLINK("https://klasma.github.io/Logging_0382/artfynd/A 52651-2022 artfynd.xlsx", "A 52651-2022")</f>
        <v/>
      </c>
      <c r="T153">
        <f>HYPERLINK("https://klasma.github.io/Logging_0382/kartor/A 52651-2022 karta.png", "A 52651-2022")</f>
        <v/>
      </c>
      <c r="V153">
        <f>HYPERLINK("https://klasma.github.io/Logging_0382/klagomål/A 52651-2022 FSC-klagomål.docx", "A 52651-2022")</f>
        <v/>
      </c>
      <c r="W153">
        <f>HYPERLINK("https://klasma.github.io/Logging_0382/klagomålsmail/A 52651-2022 FSC-klagomål mail.docx", "A 52651-2022")</f>
        <v/>
      </c>
      <c r="X153">
        <f>HYPERLINK("https://klasma.github.io/Logging_0382/tillsyn/A 52651-2022 tillsynsbegäran.docx", "A 52651-2022")</f>
        <v/>
      </c>
      <c r="Y153">
        <f>HYPERLINK("https://klasma.github.io/Logging_0382/tillsynsmail/A 52651-2022 tillsynsbegäran mail.docx", "A 52651-2022")</f>
        <v/>
      </c>
      <c r="Z153">
        <f>HYPERLINK("https://klasma.github.io/Logging_0382/fåglar/A 52651-2022 prioriterade fågelarter.docx", "A 52651-2022")</f>
        <v/>
      </c>
    </row>
    <row r="154" ht="15" customHeight="1">
      <c r="A154" t="inlineStr">
        <is>
          <t>A 52818-2022</t>
        </is>
      </c>
      <c r="B154" s="1" t="n">
        <v>44875</v>
      </c>
      <c r="C154" s="1" t="n">
        <v>45803</v>
      </c>
      <c r="D154" t="inlineStr">
        <is>
          <t>UPPSALA LÄN</t>
        </is>
      </c>
      <c r="E154" t="inlineStr">
        <is>
          <t>ÖSTHAMMAR</t>
        </is>
      </c>
      <c r="G154" t="n">
        <v>0.9</v>
      </c>
      <c r="H154" t="n">
        <v>1</v>
      </c>
      <c r="I154" t="n">
        <v>1</v>
      </c>
      <c r="J154" t="n">
        <v>0</v>
      </c>
      <c r="K154" t="n">
        <v>0</v>
      </c>
      <c r="L154" t="n">
        <v>0</v>
      </c>
      <c r="M154" t="n">
        <v>0</v>
      </c>
      <c r="N154" t="n">
        <v>0</v>
      </c>
      <c r="O154" t="n">
        <v>0</v>
      </c>
      <c r="P154" t="n">
        <v>0</v>
      </c>
      <c r="Q154" t="n">
        <v>1</v>
      </c>
      <c r="R154" s="2" t="inlineStr">
        <is>
          <t>Guckusko</t>
        </is>
      </c>
      <c r="S154">
        <f>HYPERLINK("https://klasma.github.io/Logging_0382/artfynd/A 52818-2022 artfynd.xlsx", "A 52818-2022")</f>
        <v/>
      </c>
      <c r="T154">
        <f>HYPERLINK("https://klasma.github.io/Logging_0382/kartor/A 52818-2022 karta.png", "A 52818-2022")</f>
        <v/>
      </c>
      <c r="V154">
        <f>HYPERLINK("https://klasma.github.io/Logging_0382/klagomål/A 52818-2022 FSC-klagomål.docx", "A 52818-2022")</f>
        <v/>
      </c>
      <c r="W154">
        <f>HYPERLINK("https://klasma.github.io/Logging_0382/klagomålsmail/A 52818-2022 FSC-klagomål mail.docx", "A 52818-2022")</f>
        <v/>
      </c>
      <c r="X154">
        <f>HYPERLINK("https://klasma.github.io/Logging_0382/tillsyn/A 52818-2022 tillsynsbegäran.docx", "A 52818-2022")</f>
        <v/>
      </c>
      <c r="Y154">
        <f>HYPERLINK("https://klasma.github.io/Logging_0382/tillsynsmail/A 52818-2022 tillsynsbegäran mail.docx", "A 52818-2022")</f>
        <v/>
      </c>
    </row>
    <row r="155" ht="15" customHeight="1">
      <c r="A155" t="inlineStr">
        <is>
          <t>A 1390-2023</t>
        </is>
      </c>
      <c r="B155" s="1" t="n">
        <v>44936</v>
      </c>
      <c r="C155" s="1" t="n">
        <v>45803</v>
      </c>
      <c r="D155" t="inlineStr">
        <is>
          <t>UPPSALA LÄN</t>
        </is>
      </c>
      <c r="E155" t="inlineStr">
        <is>
          <t>ÖSTHAMMAR</t>
        </is>
      </c>
      <c r="G155" t="n">
        <v>1.9</v>
      </c>
      <c r="H155" t="n">
        <v>1</v>
      </c>
      <c r="I155" t="n">
        <v>0</v>
      </c>
      <c r="J155" t="n">
        <v>0</v>
      </c>
      <c r="K155" t="n">
        <v>1</v>
      </c>
      <c r="L155" t="n">
        <v>0</v>
      </c>
      <c r="M155" t="n">
        <v>0</v>
      </c>
      <c r="N155" t="n">
        <v>0</v>
      </c>
      <c r="O155" t="n">
        <v>1</v>
      </c>
      <c r="P155" t="n">
        <v>1</v>
      </c>
      <c r="Q155" t="n">
        <v>1</v>
      </c>
      <c r="R155" s="2" t="inlineStr">
        <is>
          <t>Tallbit</t>
        </is>
      </c>
      <c r="S155">
        <f>HYPERLINK("https://klasma.github.io/Logging_0382/artfynd/A 1390-2023 artfynd.xlsx", "A 1390-2023")</f>
        <v/>
      </c>
      <c r="T155">
        <f>HYPERLINK("https://klasma.github.io/Logging_0382/kartor/A 1390-2023 karta.png", "A 1390-2023")</f>
        <v/>
      </c>
      <c r="V155">
        <f>HYPERLINK("https://klasma.github.io/Logging_0382/klagomål/A 1390-2023 FSC-klagomål.docx", "A 1390-2023")</f>
        <v/>
      </c>
      <c r="W155">
        <f>HYPERLINK("https://klasma.github.io/Logging_0382/klagomålsmail/A 1390-2023 FSC-klagomål mail.docx", "A 1390-2023")</f>
        <v/>
      </c>
      <c r="X155">
        <f>HYPERLINK("https://klasma.github.io/Logging_0382/tillsyn/A 1390-2023 tillsynsbegäran.docx", "A 1390-2023")</f>
        <v/>
      </c>
      <c r="Y155">
        <f>HYPERLINK("https://klasma.github.io/Logging_0382/tillsynsmail/A 1390-2023 tillsynsbegäran mail.docx", "A 1390-2023")</f>
        <v/>
      </c>
      <c r="Z155">
        <f>HYPERLINK("https://klasma.github.io/Logging_0382/fåglar/A 1390-2023 prioriterade fågelarter.docx", "A 1390-2023")</f>
        <v/>
      </c>
    </row>
    <row r="156" ht="15" customHeight="1">
      <c r="A156" t="inlineStr">
        <is>
          <t>A 9264-2023</t>
        </is>
      </c>
      <c r="B156" s="1" t="n">
        <v>44980</v>
      </c>
      <c r="C156" s="1" t="n">
        <v>45803</v>
      </c>
      <c r="D156" t="inlineStr">
        <is>
          <t>UPPSALA LÄN</t>
        </is>
      </c>
      <c r="E156" t="inlineStr">
        <is>
          <t>ÖSTHAMMAR</t>
        </is>
      </c>
      <c r="F156" t="inlineStr">
        <is>
          <t>Övriga Aktiebolag</t>
        </is>
      </c>
      <c r="G156" t="n">
        <v>2.1</v>
      </c>
      <c r="H156" t="n">
        <v>1</v>
      </c>
      <c r="I156" t="n">
        <v>0</v>
      </c>
      <c r="J156" t="n">
        <v>0</v>
      </c>
      <c r="K156" t="n">
        <v>0</v>
      </c>
      <c r="L156" t="n">
        <v>1</v>
      </c>
      <c r="M156" t="n">
        <v>0</v>
      </c>
      <c r="N156" t="n">
        <v>0</v>
      </c>
      <c r="O156" t="n">
        <v>1</v>
      </c>
      <c r="P156" t="n">
        <v>1</v>
      </c>
      <c r="Q156" t="n">
        <v>1</v>
      </c>
      <c r="R156" s="2" t="inlineStr">
        <is>
          <t>Asknätfjäril</t>
        </is>
      </c>
      <c r="S156">
        <f>HYPERLINK("https://klasma.github.io/Logging_0382/artfynd/A 9264-2023 artfynd.xlsx", "A 9264-2023")</f>
        <v/>
      </c>
      <c r="T156">
        <f>HYPERLINK("https://klasma.github.io/Logging_0382/kartor/A 9264-2023 karta.png", "A 9264-2023")</f>
        <v/>
      </c>
      <c r="V156">
        <f>HYPERLINK("https://klasma.github.io/Logging_0382/klagomål/A 9264-2023 FSC-klagomål.docx", "A 9264-2023")</f>
        <v/>
      </c>
      <c r="W156">
        <f>HYPERLINK("https://klasma.github.io/Logging_0382/klagomålsmail/A 9264-2023 FSC-klagomål mail.docx", "A 9264-2023")</f>
        <v/>
      </c>
      <c r="X156">
        <f>HYPERLINK("https://klasma.github.io/Logging_0382/tillsyn/A 9264-2023 tillsynsbegäran.docx", "A 9264-2023")</f>
        <v/>
      </c>
      <c r="Y156">
        <f>HYPERLINK("https://klasma.github.io/Logging_0382/tillsynsmail/A 9264-2023 tillsynsbegäran mail.docx", "A 9264-2023")</f>
        <v/>
      </c>
    </row>
    <row r="157" ht="15" customHeight="1">
      <c r="A157" t="inlineStr">
        <is>
          <t>A 10034-2023</t>
        </is>
      </c>
      <c r="B157" s="1" t="n">
        <v>44985</v>
      </c>
      <c r="C157" s="1" t="n">
        <v>45803</v>
      </c>
      <c r="D157" t="inlineStr">
        <is>
          <t>UPPSALA LÄN</t>
        </is>
      </c>
      <c r="E157" t="inlineStr">
        <is>
          <t>ÖSTHAMMAR</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10034-2023 artfynd.xlsx", "A 10034-2023")</f>
        <v/>
      </c>
      <c r="T157">
        <f>HYPERLINK("https://klasma.github.io/Logging_0382/kartor/A 10034-2023 karta.png", "A 10034-2023")</f>
        <v/>
      </c>
      <c r="V157">
        <f>HYPERLINK("https://klasma.github.io/Logging_0382/klagomål/A 10034-2023 FSC-klagomål.docx", "A 10034-2023")</f>
        <v/>
      </c>
      <c r="W157">
        <f>HYPERLINK("https://klasma.github.io/Logging_0382/klagomålsmail/A 10034-2023 FSC-klagomål mail.docx", "A 10034-2023")</f>
        <v/>
      </c>
      <c r="X157">
        <f>HYPERLINK("https://klasma.github.io/Logging_0382/tillsyn/A 10034-2023 tillsynsbegäran.docx", "A 10034-2023")</f>
        <v/>
      </c>
      <c r="Y157">
        <f>HYPERLINK("https://klasma.github.io/Logging_0382/tillsynsmail/A 10034-2023 tillsynsbegäran mail.docx", "A 10034-2023")</f>
        <v/>
      </c>
    </row>
    <row r="158" ht="15" customHeight="1">
      <c r="A158" t="inlineStr">
        <is>
          <t>A 14706-2023</t>
        </is>
      </c>
      <c r="B158" s="1" t="n">
        <v>45013</v>
      </c>
      <c r="C158" s="1" t="n">
        <v>45803</v>
      </c>
      <c r="D158" t="inlineStr">
        <is>
          <t>UPPSALA LÄN</t>
        </is>
      </c>
      <c r="E158" t="inlineStr">
        <is>
          <t>ÖSTHAMMAR</t>
        </is>
      </c>
      <c r="G158" t="n">
        <v>0.9</v>
      </c>
      <c r="H158" t="n">
        <v>0</v>
      </c>
      <c r="I158" t="n">
        <v>1</v>
      </c>
      <c r="J158" t="n">
        <v>0</v>
      </c>
      <c r="K158" t="n">
        <v>0</v>
      </c>
      <c r="L158" t="n">
        <v>0</v>
      </c>
      <c r="M158" t="n">
        <v>0</v>
      </c>
      <c r="N158" t="n">
        <v>0</v>
      </c>
      <c r="O158" t="n">
        <v>0</v>
      </c>
      <c r="P158" t="n">
        <v>0</v>
      </c>
      <c r="Q158" t="n">
        <v>1</v>
      </c>
      <c r="R158" s="2" t="inlineStr">
        <is>
          <t>Olivspindling</t>
        </is>
      </c>
      <c r="S158">
        <f>HYPERLINK("https://klasma.github.io/Logging_0382/artfynd/A 14706-2023 artfynd.xlsx", "A 14706-2023")</f>
        <v/>
      </c>
      <c r="T158">
        <f>HYPERLINK("https://klasma.github.io/Logging_0382/kartor/A 14706-2023 karta.png", "A 14706-2023")</f>
        <v/>
      </c>
      <c r="V158">
        <f>HYPERLINK("https://klasma.github.io/Logging_0382/klagomål/A 14706-2023 FSC-klagomål.docx", "A 14706-2023")</f>
        <v/>
      </c>
      <c r="W158">
        <f>HYPERLINK("https://klasma.github.io/Logging_0382/klagomålsmail/A 14706-2023 FSC-klagomål mail.docx", "A 14706-2023")</f>
        <v/>
      </c>
      <c r="X158">
        <f>HYPERLINK("https://klasma.github.io/Logging_0382/tillsyn/A 14706-2023 tillsynsbegäran.docx", "A 14706-2023")</f>
        <v/>
      </c>
      <c r="Y158">
        <f>HYPERLINK("https://klasma.github.io/Logging_0382/tillsynsmail/A 14706-2023 tillsynsbegäran mail.docx", "A 14706-2023")</f>
        <v/>
      </c>
    </row>
    <row r="159" ht="15" customHeight="1">
      <c r="A159" t="inlineStr">
        <is>
          <t>A 15628-2023</t>
        </is>
      </c>
      <c r="B159" s="1" t="n">
        <v>45021</v>
      </c>
      <c r="C159" s="1" t="n">
        <v>45803</v>
      </c>
      <c r="D159" t="inlineStr">
        <is>
          <t>UPPSALA LÄN</t>
        </is>
      </c>
      <c r="E159" t="inlineStr">
        <is>
          <t>ÖSTHAMMAR</t>
        </is>
      </c>
      <c r="F159" t="inlineStr">
        <is>
          <t>Övriga Aktiebolag</t>
        </is>
      </c>
      <c r="G159" t="n">
        <v>14.8</v>
      </c>
      <c r="H159" t="n">
        <v>1</v>
      </c>
      <c r="I159" t="n">
        <v>0</v>
      </c>
      <c r="J159" t="n">
        <v>0</v>
      </c>
      <c r="K159" t="n">
        <v>1</v>
      </c>
      <c r="L159" t="n">
        <v>0</v>
      </c>
      <c r="M159" t="n">
        <v>0</v>
      </c>
      <c r="N159" t="n">
        <v>0</v>
      </c>
      <c r="O159" t="n">
        <v>1</v>
      </c>
      <c r="P159" t="n">
        <v>1</v>
      </c>
      <c r="Q159" t="n">
        <v>1</v>
      </c>
      <c r="R159" s="2" t="inlineStr">
        <is>
          <t>Knärot</t>
        </is>
      </c>
      <c r="S159">
        <f>HYPERLINK("https://klasma.github.io/Logging_0382/artfynd/A 15628-2023 artfynd.xlsx", "A 15628-2023")</f>
        <v/>
      </c>
      <c r="T159">
        <f>HYPERLINK("https://klasma.github.io/Logging_0382/kartor/A 15628-2023 karta.png", "A 15628-2023")</f>
        <v/>
      </c>
      <c r="U159">
        <f>HYPERLINK("https://klasma.github.io/Logging_0382/knärot/A 15628-2023 karta knärot.png", "A 15628-2023")</f>
        <v/>
      </c>
      <c r="V159">
        <f>HYPERLINK("https://klasma.github.io/Logging_0382/klagomål/A 15628-2023 FSC-klagomål.docx", "A 15628-2023")</f>
        <v/>
      </c>
      <c r="W159">
        <f>HYPERLINK("https://klasma.github.io/Logging_0382/klagomålsmail/A 15628-2023 FSC-klagomål mail.docx", "A 15628-2023")</f>
        <v/>
      </c>
      <c r="X159">
        <f>HYPERLINK("https://klasma.github.io/Logging_0382/tillsyn/A 15628-2023 tillsynsbegäran.docx", "A 15628-2023")</f>
        <v/>
      </c>
      <c r="Y159">
        <f>HYPERLINK("https://klasma.github.io/Logging_0382/tillsynsmail/A 15628-2023 tillsynsbegäran mail.docx", "A 15628-2023")</f>
        <v/>
      </c>
    </row>
    <row r="160" ht="15" customHeight="1">
      <c r="A160" t="inlineStr">
        <is>
          <t>A 19100-2023</t>
        </is>
      </c>
      <c r="B160" s="1" t="n">
        <v>45048</v>
      </c>
      <c r="C160" s="1" t="n">
        <v>45803</v>
      </c>
      <c r="D160" t="inlineStr">
        <is>
          <t>UPPSALA LÄN</t>
        </is>
      </c>
      <c r="E160" t="inlineStr">
        <is>
          <t>ÖSTHAMMAR</t>
        </is>
      </c>
      <c r="F160" t="inlineStr">
        <is>
          <t>Bergvik skog öst AB</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19100-2023 artfynd.xlsx", "A 19100-2023")</f>
        <v/>
      </c>
      <c r="T160">
        <f>HYPERLINK("https://klasma.github.io/Logging_0382/kartor/A 19100-2023 karta.png", "A 19100-2023")</f>
        <v/>
      </c>
      <c r="V160">
        <f>HYPERLINK("https://klasma.github.io/Logging_0382/klagomål/A 19100-2023 FSC-klagomål.docx", "A 19100-2023")</f>
        <v/>
      </c>
      <c r="W160">
        <f>HYPERLINK("https://klasma.github.io/Logging_0382/klagomålsmail/A 19100-2023 FSC-klagomål mail.docx", "A 19100-2023")</f>
        <v/>
      </c>
      <c r="X160">
        <f>HYPERLINK("https://klasma.github.io/Logging_0382/tillsyn/A 19100-2023 tillsynsbegäran.docx", "A 19100-2023")</f>
        <v/>
      </c>
      <c r="Y160">
        <f>HYPERLINK("https://klasma.github.io/Logging_0382/tillsynsmail/A 19100-2023 tillsynsbegäran mail.docx", "A 19100-2023")</f>
        <v/>
      </c>
    </row>
    <row r="161" ht="15" customHeight="1">
      <c r="A161" t="inlineStr">
        <is>
          <t>A 21628-2023</t>
        </is>
      </c>
      <c r="B161" s="1" t="n">
        <v>45063</v>
      </c>
      <c r="C161" s="1" t="n">
        <v>45803</v>
      </c>
      <c r="D161" t="inlineStr">
        <is>
          <t>UPPSALA LÄN</t>
        </is>
      </c>
      <c r="E161" t="inlineStr">
        <is>
          <t>ÖSTHAMMAR</t>
        </is>
      </c>
      <c r="F161" t="inlineStr">
        <is>
          <t>Sveaskog</t>
        </is>
      </c>
      <c r="G161" t="n">
        <v>4.9</v>
      </c>
      <c r="H161" t="n">
        <v>1</v>
      </c>
      <c r="I161" t="n">
        <v>0</v>
      </c>
      <c r="J161" t="n">
        <v>1</v>
      </c>
      <c r="K161" t="n">
        <v>0</v>
      </c>
      <c r="L161" t="n">
        <v>0</v>
      </c>
      <c r="M161" t="n">
        <v>0</v>
      </c>
      <c r="N161" t="n">
        <v>0</v>
      </c>
      <c r="O161" t="n">
        <v>1</v>
      </c>
      <c r="P161" t="n">
        <v>0</v>
      </c>
      <c r="Q161" t="n">
        <v>1</v>
      </c>
      <c r="R161" s="2" t="inlineStr">
        <is>
          <t>Slaguggla</t>
        </is>
      </c>
      <c r="S161">
        <f>HYPERLINK("https://klasma.github.io/Logging_0382/artfynd/A 21628-2023 artfynd.xlsx", "A 21628-2023")</f>
        <v/>
      </c>
      <c r="T161">
        <f>HYPERLINK("https://klasma.github.io/Logging_0382/kartor/A 21628-2023 karta.png", "A 21628-2023")</f>
        <v/>
      </c>
      <c r="V161">
        <f>HYPERLINK("https://klasma.github.io/Logging_0382/klagomål/A 21628-2023 FSC-klagomål.docx", "A 21628-2023")</f>
        <v/>
      </c>
      <c r="W161">
        <f>HYPERLINK("https://klasma.github.io/Logging_0382/klagomålsmail/A 21628-2023 FSC-klagomål mail.docx", "A 21628-2023")</f>
        <v/>
      </c>
      <c r="X161">
        <f>HYPERLINK("https://klasma.github.io/Logging_0382/tillsyn/A 21628-2023 tillsynsbegäran.docx", "A 21628-2023")</f>
        <v/>
      </c>
      <c r="Y161">
        <f>HYPERLINK("https://klasma.github.io/Logging_0382/tillsynsmail/A 21628-2023 tillsynsbegäran mail.docx", "A 21628-2023")</f>
        <v/>
      </c>
      <c r="Z161">
        <f>HYPERLINK("https://klasma.github.io/Logging_0382/fåglar/A 21628-2023 prioriterade fågelarter.docx", "A 21628-2023")</f>
        <v/>
      </c>
    </row>
    <row r="162" ht="15" customHeight="1">
      <c r="A162" t="inlineStr">
        <is>
          <t>A 22307-2023</t>
        </is>
      </c>
      <c r="B162" s="1" t="n">
        <v>45070</v>
      </c>
      <c r="C162" s="1" t="n">
        <v>45803</v>
      </c>
      <c r="D162" t="inlineStr">
        <is>
          <t>UPPSALA LÄN</t>
        </is>
      </c>
      <c r="E162" t="inlineStr">
        <is>
          <t>ÖSTHAMMAR</t>
        </is>
      </c>
      <c r="F162" t="inlineStr">
        <is>
          <t>Bergvik skog öst AB</t>
        </is>
      </c>
      <c r="G162" t="n">
        <v>13.9</v>
      </c>
      <c r="H162" t="n">
        <v>0</v>
      </c>
      <c r="I162" t="n">
        <v>1</v>
      </c>
      <c r="J162" t="n">
        <v>0</v>
      </c>
      <c r="K162" t="n">
        <v>0</v>
      </c>
      <c r="L162" t="n">
        <v>0</v>
      </c>
      <c r="M162" t="n">
        <v>0</v>
      </c>
      <c r="N162" t="n">
        <v>0</v>
      </c>
      <c r="O162" t="n">
        <v>0</v>
      </c>
      <c r="P162" t="n">
        <v>0</v>
      </c>
      <c r="Q162" t="n">
        <v>1</v>
      </c>
      <c r="R162" s="2" t="inlineStr">
        <is>
          <t>Myskmadra</t>
        </is>
      </c>
      <c r="S162">
        <f>HYPERLINK("https://klasma.github.io/Logging_0382/artfynd/A 22307-2023 artfynd.xlsx", "A 22307-2023")</f>
        <v/>
      </c>
      <c r="T162">
        <f>HYPERLINK("https://klasma.github.io/Logging_0382/kartor/A 22307-2023 karta.png", "A 22307-2023")</f>
        <v/>
      </c>
      <c r="V162">
        <f>HYPERLINK("https://klasma.github.io/Logging_0382/klagomål/A 22307-2023 FSC-klagomål.docx", "A 22307-2023")</f>
        <v/>
      </c>
      <c r="W162">
        <f>HYPERLINK("https://klasma.github.io/Logging_0382/klagomålsmail/A 22307-2023 FSC-klagomål mail.docx", "A 22307-2023")</f>
        <v/>
      </c>
      <c r="X162">
        <f>HYPERLINK("https://klasma.github.io/Logging_0382/tillsyn/A 22307-2023 tillsynsbegäran.docx", "A 22307-2023")</f>
        <v/>
      </c>
      <c r="Y162">
        <f>HYPERLINK("https://klasma.github.io/Logging_0382/tillsynsmail/A 22307-2023 tillsynsbegäran mail.docx", "A 22307-2023")</f>
        <v/>
      </c>
    </row>
    <row r="163" ht="15" customHeight="1">
      <c r="A163" t="inlineStr">
        <is>
          <t>A 22287-2023</t>
        </is>
      </c>
      <c r="B163" s="1" t="n">
        <v>45070</v>
      </c>
      <c r="C163" s="1" t="n">
        <v>45803</v>
      </c>
      <c r="D163" t="inlineStr">
        <is>
          <t>UPPSALA LÄN</t>
        </is>
      </c>
      <c r="E163" t="inlineStr">
        <is>
          <t>ÖSTHAMMAR</t>
        </is>
      </c>
      <c r="G163" t="n">
        <v>6.3</v>
      </c>
      <c r="H163" t="n">
        <v>1</v>
      </c>
      <c r="I163" t="n">
        <v>1</v>
      </c>
      <c r="J163" t="n">
        <v>0</v>
      </c>
      <c r="K163" t="n">
        <v>0</v>
      </c>
      <c r="L163" t="n">
        <v>0</v>
      </c>
      <c r="M163" t="n">
        <v>0</v>
      </c>
      <c r="N163" t="n">
        <v>0</v>
      </c>
      <c r="O163" t="n">
        <v>0</v>
      </c>
      <c r="P163" t="n">
        <v>0</v>
      </c>
      <c r="Q163" t="n">
        <v>1</v>
      </c>
      <c r="R163" s="2" t="inlineStr">
        <is>
          <t>Guckusko</t>
        </is>
      </c>
      <c r="S163">
        <f>HYPERLINK("https://klasma.github.io/Logging_0382/artfynd/A 22287-2023 artfynd.xlsx", "A 22287-2023")</f>
        <v/>
      </c>
      <c r="T163">
        <f>HYPERLINK("https://klasma.github.io/Logging_0382/kartor/A 22287-2023 karta.png", "A 22287-2023")</f>
        <v/>
      </c>
      <c r="V163">
        <f>HYPERLINK("https://klasma.github.io/Logging_0382/klagomål/A 22287-2023 FSC-klagomål.docx", "A 22287-2023")</f>
        <v/>
      </c>
      <c r="W163">
        <f>HYPERLINK("https://klasma.github.io/Logging_0382/klagomålsmail/A 22287-2023 FSC-klagomål mail.docx", "A 22287-2023")</f>
        <v/>
      </c>
      <c r="X163">
        <f>HYPERLINK("https://klasma.github.io/Logging_0382/tillsyn/A 22287-2023 tillsynsbegäran.docx", "A 22287-2023")</f>
        <v/>
      </c>
      <c r="Y163">
        <f>HYPERLINK("https://klasma.github.io/Logging_0382/tillsynsmail/A 22287-2023 tillsynsbegäran mail.docx", "A 22287-2023")</f>
        <v/>
      </c>
    </row>
    <row r="164" ht="15" customHeight="1">
      <c r="A164" t="inlineStr">
        <is>
          <t>A 22688-2023</t>
        </is>
      </c>
      <c r="B164" s="1" t="n">
        <v>45071</v>
      </c>
      <c r="C164" s="1" t="n">
        <v>45803</v>
      </c>
      <c r="D164" t="inlineStr">
        <is>
          <t>UPPSALA LÄN</t>
        </is>
      </c>
      <c r="E164" t="inlineStr">
        <is>
          <t>ÖSTHAMMAR</t>
        </is>
      </c>
      <c r="G164" t="n">
        <v>3</v>
      </c>
      <c r="H164" t="n">
        <v>1</v>
      </c>
      <c r="I164" t="n">
        <v>1</v>
      </c>
      <c r="J164" t="n">
        <v>0</v>
      </c>
      <c r="K164" t="n">
        <v>0</v>
      </c>
      <c r="L164" t="n">
        <v>0</v>
      </c>
      <c r="M164" t="n">
        <v>0</v>
      </c>
      <c r="N164" t="n">
        <v>0</v>
      </c>
      <c r="O164" t="n">
        <v>0</v>
      </c>
      <c r="P164" t="n">
        <v>0</v>
      </c>
      <c r="Q164" t="n">
        <v>1</v>
      </c>
      <c r="R164" s="2" t="inlineStr">
        <is>
          <t>Nästrot</t>
        </is>
      </c>
      <c r="S164">
        <f>HYPERLINK("https://klasma.github.io/Logging_0382/artfynd/A 22688-2023 artfynd.xlsx", "A 22688-2023")</f>
        <v/>
      </c>
      <c r="T164">
        <f>HYPERLINK("https://klasma.github.io/Logging_0382/kartor/A 22688-2023 karta.png", "A 22688-2023")</f>
        <v/>
      </c>
      <c r="V164">
        <f>HYPERLINK("https://klasma.github.io/Logging_0382/klagomål/A 22688-2023 FSC-klagomål.docx", "A 22688-2023")</f>
        <v/>
      </c>
      <c r="W164">
        <f>HYPERLINK("https://klasma.github.io/Logging_0382/klagomålsmail/A 22688-2023 FSC-klagomål mail.docx", "A 22688-2023")</f>
        <v/>
      </c>
      <c r="X164">
        <f>HYPERLINK("https://klasma.github.io/Logging_0382/tillsyn/A 22688-2023 tillsynsbegäran.docx", "A 22688-2023")</f>
        <v/>
      </c>
      <c r="Y164">
        <f>HYPERLINK("https://klasma.github.io/Logging_0382/tillsynsmail/A 22688-2023 tillsynsbegäran mail.docx", "A 22688-2023")</f>
        <v/>
      </c>
    </row>
    <row r="165" ht="15" customHeight="1">
      <c r="A165" t="inlineStr">
        <is>
          <t>A 23128-2023</t>
        </is>
      </c>
      <c r="B165" s="1" t="n">
        <v>45075</v>
      </c>
      <c r="C165" s="1" t="n">
        <v>45803</v>
      </c>
      <c r="D165" t="inlineStr">
        <is>
          <t>UPPSALA LÄN</t>
        </is>
      </c>
      <c r="E165" t="inlineStr">
        <is>
          <t>ÖSTHAMMAR</t>
        </is>
      </c>
      <c r="G165" t="n">
        <v>6</v>
      </c>
      <c r="H165" t="n">
        <v>0</v>
      </c>
      <c r="I165" t="n">
        <v>0</v>
      </c>
      <c r="J165" t="n">
        <v>1</v>
      </c>
      <c r="K165" t="n">
        <v>0</v>
      </c>
      <c r="L165" t="n">
        <v>0</v>
      </c>
      <c r="M165" t="n">
        <v>0</v>
      </c>
      <c r="N165" t="n">
        <v>0</v>
      </c>
      <c r="O165" t="n">
        <v>1</v>
      </c>
      <c r="P165" t="n">
        <v>0</v>
      </c>
      <c r="Q165" t="n">
        <v>1</v>
      </c>
      <c r="R165" s="2" t="inlineStr">
        <is>
          <t>Grönhjon</t>
        </is>
      </c>
      <c r="S165">
        <f>HYPERLINK("https://klasma.github.io/Logging_0382/artfynd/A 23128-2023 artfynd.xlsx", "A 23128-2023")</f>
        <v/>
      </c>
      <c r="T165">
        <f>HYPERLINK("https://klasma.github.io/Logging_0382/kartor/A 23128-2023 karta.png", "A 23128-2023")</f>
        <v/>
      </c>
      <c r="V165">
        <f>HYPERLINK("https://klasma.github.io/Logging_0382/klagomål/A 23128-2023 FSC-klagomål.docx", "A 23128-2023")</f>
        <v/>
      </c>
      <c r="W165">
        <f>HYPERLINK("https://klasma.github.io/Logging_0382/klagomålsmail/A 23128-2023 FSC-klagomål mail.docx", "A 23128-2023")</f>
        <v/>
      </c>
      <c r="X165">
        <f>HYPERLINK("https://klasma.github.io/Logging_0382/tillsyn/A 23128-2023 tillsynsbegäran.docx", "A 23128-2023")</f>
        <v/>
      </c>
      <c r="Y165">
        <f>HYPERLINK("https://klasma.github.io/Logging_0382/tillsynsmail/A 23128-2023 tillsynsbegäran mail.docx", "A 23128-2023")</f>
        <v/>
      </c>
    </row>
    <row r="166" ht="15" customHeight="1">
      <c r="A166" t="inlineStr">
        <is>
          <t>A 25179-2023</t>
        </is>
      </c>
      <c r="B166" s="1" t="n">
        <v>45078</v>
      </c>
      <c r="C166" s="1" t="n">
        <v>45803</v>
      </c>
      <c r="D166" t="inlineStr">
        <is>
          <t>UPPSALA LÄN</t>
        </is>
      </c>
      <c r="E166" t="inlineStr">
        <is>
          <t>ÖSTHAMMAR</t>
        </is>
      </c>
      <c r="G166" t="n">
        <v>3.2</v>
      </c>
      <c r="H166" t="n">
        <v>0</v>
      </c>
      <c r="I166" t="n">
        <v>0</v>
      </c>
      <c r="J166" t="n">
        <v>1</v>
      </c>
      <c r="K166" t="n">
        <v>0</v>
      </c>
      <c r="L166" t="n">
        <v>0</v>
      </c>
      <c r="M166" t="n">
        <v>0</v>
      </c>
      <c r="N166" t="n">
        <v>0</v>
      </c>
      <c r="O166" t="n">
        <v>1</v>
      </c>
      <c r="P166" t="n">
        <v>0</v>
      </c>
      <c r="Q166" t="n">
        <v>1</v>
      </c>
      <c r="R166" s="2" t="inlineStr">
        <is>
          <t>Grantaggsvamp</t>
        </is>
      </c>
      <c r="S166">
        <f>HYPERLINK("https://klasma.github.io/Logging_0382/artfynd/A 25179-2023 artfynd.xlsx", "A 25179-2023")</f>
        <v/>
      </c>
      <c r="T166">
        <f>HYPERLINK("https://klasma.github.io/Logging_0382/kartor/A 25179-2023 karta.png", "A 25179-2023")</f>
        <v/>
      </c>
      <c r="V166">
        <f>HYPERLINK("https://klasma.github.io/Logging_0382/klagomål/A 25179-2023 FSC-klagomål.docx", "A 25179-2023")</f>
        <v/>
      </c>
      <c r="W166">
        <f>HYPERLINK("https://klasma.github.io/Logging_0382/klagomålsmail/A 25179-2023 FSC-klagomål mail.docx", "A 25179-2023")</f>
        <v/>
      </c>
      <c r="X166">
        <f>HYPERLINK("https://klasma.github.io/Logging_0382/tillsyn/A 25179-2023 tillsynsbegäran.docx", "A 25179-2023")</f>
        <v/>
      </c>
      <c r="Y166">
        <f>HYPERLINK("https://klasma.github.io/Logging_0382/tillsynsmail/A 25179-2023 tillsynsbegäran mail.docx", "A 25179-2023")</f>
        <v/>
      </c>
    </row>
    <row r="167" ht="15" customHeight="1">
      <c r="A167" t="inlineStr">
        <is>
          <t>A 26896-2023</t>
        </is>
      </c>
      <c r="B167" s="1" t="n">
        <v>45093</v>
      </c>
      <c r="C167" s="1" t="n">
        <v>45803</v>
      </c>
      <c r="D167" t="inlineStr">
        <is>
          <t>UPPSALA LÄN</t>
        </is>
      </c>
      <c r="E167" t="inlineStr">
        <is>
          <t>ÖSTHAMMAR</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HYPERLINK("https://klasma.github.io/Logging_0382/artfynd/A 26896-2023 artfynd.xlsx", "A 26896-2023")</f>
        <v/>
      </c>
      <c r="T167">
        <f>HYPERLINK("https://klasma.github.io/Logging_0382/kartor/A 26896-2023 karta.png", "A 26896-2023")</f>
        <v/>
      </c>
      <c r="V167">
        <f>HYPERLINK("https://klasma.github.io/Logging_0382/klagomål/A 26896-2023 FSC-klagomål.docx", "A 26896-2023")</f>
        <v/>
      </c>
      <c r="W167">
        <f>HYPERLINK("https://klasma.github.io/Logging_0382/klagomålsmail/A 26896-2023 FSC-klagomål mail.docx", "A 26896-2023")</f>
        <v/>
      </c>
      <c r="X167">
        <f>HYPERLINK("https://klasma.github.io/Logging_0382/tillsyn/A 26896-2023 tillsynsbegäran.docx", "A 26896-2023")</f>
        <v/>
      </c>
      <c r="Y167">
        <f>HYPERLINK("https://klasma.github.io/Logging_0382/tillsynsmail/A 26896-2023 tillsynsbegäran mail.docx", "A 26896-2023")</f>
        <v/>
      </c>
    </row>
    <row r="168" ht="15" customHeight="1">
      <c r="A168" t="inlineStr">
        <is>
          <t>A 29564-2023</t>
        </is>
      </c>
      <c r="B168" s="1" t="n">
        <v>45106</v>
      </c>
      <c r="C168" s="1" t="n">
        <v>45803</v>
      </c>
      <c r="D168" t="inlineStr">
        <is>
          <t>UPPSALA LÄN</t>
        </is>
      </c>
      <c r="E168" t="inlineStr">
        <is>
          <t>ÖSTHAMMAR</t>
        </is>
      </c>
      <c r="F168" t="inlineStr">
        <is>
          <t>Naturvårdsverket</t>
        </is>
      </c>
      <c r="G168" t="n">
        <v>1.2</v>
      </c>
      <c r="H168" t="n">
        <v>1</v>
      </c>
      <c r="I168" t="n">
        <v>0</v>
      </c>
      <c r="J168" t="n">
        <v>0</v>
      </c>
      <c r="K168" t="n">
        <v>0</v>
      </c>
      <c r="L168" t="n">
        <v>0</v>
      </c>
      <c r="M168" t="n">
        <v>0</v>
      </c>
      <c r="N168" t="n">
        <v>0</v>
      </c>
      <c r="O168" t="n">
        <v>0</v>
      </c>
      <c r="P168" t="n">
        <v>0</v>
      </c>
      <c r="Q168" t="n">
        <v>1</v>
      </c>
      <c r="R168" s="2" t="inlineStr">
        <is>
          <t>Blåsippa</t>
        </is>
      </c>
      <c r="S168">
        <f>HYPERLINK("https://klasma.github.io/Logging_0382/artfynd/A 29564-2023 artfynd.xlsx", "A 29564-2023")</f>
        <v/>
      </c>
      <c r="T168">
        <f>HYPERLINK("https://klasma.github.io/Logging_0382/kartor/A 29564-2023 karta.png", "A 29564-2023")</f>
        <v/>
      </c>
      <c r="V168">
        <f>HYPERLINK("https://klasma.github.io/Logging_0382/klagomål/A 29564-2023 FSC-klagomål.docx", "A 29564-2023")</f>
        <v/>
      </c>
      <c r="W168">
        <f>HYPERLINK("https://klasma.github.io/Logging_0382/klagomålsmail/A 29564-2023 FSC-klagomål mail.docx", "A 29564-2023")</f>
        <v/>
      </c>
      <c r="X168">
        <f>HYPERLINK("https://klasma.github.io/Logging_0382/tillsyn/A 29564-2023 tillsynsbegäran.docx", "A 29564-2023")</f>
        <v/>
      </c>
      <c r="Y168">
        <f>HYPERLINK("https://klasma.github.io/Logging_0382/tillsynsmail/A 29564-2023 tillsynsbegäran mail.docx", "A 29564-2023")</f>
        <v/>
      </c>
    </row>
    <row r="169" ht="15" customHeight="1">
      <c r="A169" t="inlineStr">
        <is>
          <t>A 29679-2023</t>
        </is>
      </c>
      <c r="B169" s="1" t="n">
        <v>45107</v>
      </c>
      <c r="C169" s="1" t="n">
        <v>45803</v>
      </c>
      <c r="D169" t="inlineStr">
        <is>
          <t>UPPSALA LÄN</t>
        </is>
      </c>
      <c r="E169" t="inlineStr">
        <is>
          <t>ÖSTHAMMAR</t>
        </is>
      </c>
      <c r="F169" t="inlineStr">
        <is>
          <t>Övriga Aktiebolag</t>
        </is>
      </c>
      <c r="G169" t="n">
        <v>7.3</v>
      </c>
      <c r="H169" t="n">
        <v>0</v>
      </c>
      <c r="I169" t="n">
        <v>0</v>
      </c>
      <c r="J169" t="n">
        <v>1</v>
      </c>
      <c r="K169" t="n">
        <v>0</v>
      </c>
      <c r="L169" t="n">
        <v>0</v>
      </c>
      <c r="M169" t="n">
        <v>0</v>
      </c>
      <c r="N169" t="n">
        <v>0</v>
      </c>
      <c r="O169" t="n">
        <v>1</v>
      </c>
      <c r="P169" t="n">
        <v>0</v>
      </c>
      <c r="Q169" t="n">
        <v>1</v>
      </c>
      <c r="R169" s="2" t="inlineStr">
        <is>
          <t>Vintertagging</t>
        </is>
      </c>
      <c r="S169">
        <f>HYPERLINK("https://klasma.github.io/Logging_0382/artfynd/A 29679-2023 artfynd.xlsx", "A 29679-2023")</f>
        <v/>
      </c>
      <c r="T169">
        <f>HYPERLINK("https://klasma.github.io/Logging_0382/kartor/A 29679-2023 karta.png", "A 29679-2023")</f>
        <v/>
      </c>
      <c r="V169">
        <f>HYPERLINK("https://klasma.github.io/Logging_0382/klagomål/A 29679-2023 FSC-klagomål.docx", "A 29679-2023")</f>
        <v/>
      </c>
      <c r="W169">
        <f>HYPERLINK("https://klasma.github.io/Logging_0382/klagomålsmail/A 29679-2023 FSC-klagomål mail.docx", "A 29679-2023")</f>
        <v/>
      </c>
      <c r="X169">
        <f>HYPERLINK("https://klasma.github.io/Logging_0382/tillsyn/A 29679-2023 tillsynsbegäran.docx", "A 29679-2023")</f>
        <v/>
      </c>
      <c r="Y169">
        <f>HYPERLINK("https://klasma.github.io/Logging_0382/tillsynsmail/A 29679-2023 tillsynsbegäran mail.docx", "A 29679-2023")</f>
        <v/>
      </c>
    </row>
    <row r="170" ht="15" customHeight="1">
      <c r="A170" t="inlineStr">
        <is>
          <t>A 32518-2023</t>
        </is>
      </c>
      <c r="B170" s="1" t="n">
        <v>45121</v>
      </c>
      <c r="C170" s="1" t="n">
        <v>45803</v>
      </c>
      <c r="D170" t="inlineStr">
        <is>
          <t>UPPSALA LÄN</t>
        </is>
      </c>
      <c r="E170" t="inlineStr">
        <is>
          <t>ÖSTHAMMAR</t>
        </is>
      </c>
      <c r="G170" t="n">
        <v>11.1</v>
      </c>
      <c r="H170" t="n">
        <v>0</v>
      </c>
      <c r="I170" t="n">
        <v>1</v>
      </c>
      <c r="J170" t="n">
        <v>0</v>
      </c>
      <c r="K170" t="n">
        <v>0</v>
      </c>
      <c r="L170" t="n">
        <v>0</v>
      </c>
      <c r="M170" t="n">
        <v>0</v>
      </c>
      <c r="N170" t="n">
        <v>0</v>
      </c>
      <c r="O170" t="n">
        <v>0</v>
      </c>
      <c r="P170" t="n">
        <v>0</v>
      </c>
      <c r="Q170" t="n">
        <v>1</v>
      </c>
      <c r="R170" s="2" t="inlineStr">
        <is>
          <t>Olivspindling</t>
        </is>
      </c>
      <c r="S170">
        <f>HYPERLINK("https://klasma.github.io/Logging_0382/artfynd/A 32518-2023 artfynd.xlsx", "A 32518-2023")</f>
        <v/>
      </c>
      <c r="T170">
        <f>HYPERLINK("https://klasma.github.io/Logging_0382/kartor/A 32518-2023 karta.png", "A 32518-2023")</f>
        <v/>
      </c>
      <c r="V170">
        <f>HYPERLINK("https://klasma.github.io/Logging_0382/klagomål/A 32518-2023 FSC-klagomål.docx", "A 32518-2023")</f>
        <v/>
      </c>
      <c r="W170">
        <f>HYPERLINK("https://klasma.github.io/Logging_0382/klagomålsmail/A 32518-2023 FSC-klagomål mail.docx", "A 32518-2023")</f>
        <v/>
      </c>
      <c r="X170">
        <f>HYPERLINK("https://klasma.github.io/Logging_0382/tillsyn/A 32518-2023 tillsynsbegäran.docx", "A 32518-2023")</f>
        <v/>
      </c>
      <c r="Y170">
        <f>HYPERLINK("https://klasma.github.io/Logging_0382/tillsynsmail/A 32518-2023 tillsynsbegäran mail.docx", "A 32518-2023")</f>
        <v/>
      </c>
    </row>
    <row r="171" ht="15" customHeight="1">
      <c r="A171" t="inlineStr">
        <is>
          <t>A 34090-2023</t>
        </is>
      </c>
      <c r="B171" s="1" t="n">
        <v>45135</v>
      </c>
      <c r="C171" s="1" t="n">
        <v>45803</v>
      </c>
      <c r="D171" t="inlineStr">
        <is>
          <t>UPPSALA LÄN</t>
        </is>
      </c>
      <c r="E171" t="inlineStr">
        <is>
          <t>ÖSTHAMMAR</t>
        </is>
      </c>
      <c r="F171" t="inlineStr">
        <is>
          <t>Bergvik skog öst AB</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HYPERLINK("https://klasma.github.io/Logging_0382/artfynd/A 34090-2023 artfynd.xlsx", "A 34090-2023")</f>
        <v/>
      </c>
      <c r="T171">
        <f>HYPERLINK("https://klasma.github.io/Logging_0382/kartor/A 34090-2023 karta.png", "A 34090-2023")</f>
        <v/>
      </c>
      <c r="V171">
        <f>HYPERLINK("https://klasma.github.io/Logging_0382/klagomål/A 34090-2023 FSC-klagomål.docx", "A 34090-2023")</f>
        <v/>
      </c>
      <c r="W171">
        <f>HYPERLINK("https://klasma.github.io/Logging_0382/klagomålsmail/A 34090-2023 FSC-klagomål mail.docx", "A 34090-2023")</f>
        <v/>
      </c>
      <c r="X171">
        <f>HYPERLINK("https://klasma.github.io/Logging_0382/tillsyn/A 34090-2023 tillsynsbegäran.docx", "A 34090-2023")</f>
        <v/>
      </c>
      <c r="Y171">
        <f>HYPERLINK("https://klasma.github.io/Logging_0382/tillsynsmail/A 34090-2023 tillsynsbegäran mail.docx", "A 34090-2023")</f>
        <v/>
      </c>
      <c r="Z171">
        <f>HYPERLINK("https://klasma.github.io/Logging_0382/fåglar/A 34090-2023 prioriterade fågelarter.docx", "A 34090-2023")</f>
        <v/>
      </c>
    </row>
    <row r="172" ht="15" customHeight="1">
      <c r="A172" t="inlineStr">
        <is>
          <t>A 36864-2023</t>
        </is>
      </c>
      <c r="B172" s="1" t="n">
        <v>45154</v>
      </c>
      <c r="C172" s="1" t="n">
        <v>45803</v>
      </c>
      <c r="D172" t="inlineStr">
        <is>
          <t>UPPSALA LÄN</t>
        </is>
      </c>
      <c r="E172" t="inlineStr">
        <is>
          <t>ÖSTHAMMAR</t>
        </is>
      </c>
      <c r="G172" t="n">
        <v>3.1</v>
      </c>
      <c r="H172" t="n">
        <v>0</v>
      </c>
      <c r="I172" t="n">
        <v>1</v>
      </c>
      <c r="J172" t="n">
        <v>0</v>
      </c>
      <c r="K172" t="n">
        <v>0</v>
      </c>
      <c r="L172" t="n">
        <v>0</v>
      </c>
      <c r="M172" t="n">
        <v>0</v>
      </c>
      <c r="N172" t="n">
        <v>0</v>
      </c>
      <c r="O172" t="n">
        <v>0</v>
      </c>
      <c r="P172" t="n">
        <v>0</v>
      </c>
      <c r="Q172" t="n">
        <v>1</v>
      </c>
      <c r="R172" s="2" t="inlineStr">
        <is>
          <t>Bronshjon</t>
        </is>
      </c>
      <c r="S172">
        <f>HYPERLINK("https://klasma.github.io/Logging_0382/artfynd/A 36864-2023 artfynd.xlsx", "A 36864-2023")</f>
        <v/>
      </c>
      <c r="T172">
        <f>HYPERLINK("https://klasma.github.io/Logging_0382/kartor/A 36864-2023 karta.png", "A 36864-2023")</f>
        <v/>
      </c>
      <c r="V172">
        <f>HYPERLINK("https://klasma.github.io/Logging_0382/klagomål/A 36864-2023 FSC-klagomål.docx", "A 36864-2023")</f>
        <v/>
      </c>
      <c r="W172">
        <f>HYPERLINK("https://klasma.github.io/Logging_0382/klagomålsmail/A 36864-2023 FSC-klagomål mail.docx", "A 36864-2023")</f>
        <v/>
      </c>
      <c r="X172">
        <f>HYPERLINK("https://klasma.github.io/Logging_0382/tillsyn/A 36864-2023 tillsynsbegäran.docx", "A 36864-2023")</f>
        <v/>
      </c>
      <c r="Y172">
        <f>HYPERLINK("https://klasma.github.io/Logging_0382/tillsynsmail/A 36864-2023 tillsynsbegäran mail.docx", "A 36864-2023")</f>
        <v/>
      </c>
    </row>
    <row r="173" ht="15" customHeight="1">
      <c r="A173" t="inlineStr">
        <is>
          <t>A 37296-2023</t>
        </is>
      </c>
      <c r="B173" s="1" t="n">
        <v>45156</v>
      </c>
      <c r="C173" s="1" t="n">
        <v>45803</v>
      </c>
      <c r="D173" t="inlineStr">
        <is>
          <t>UPPSALA LÄN</t>
        </is>
      </c>
      <c r="E173" t="inlineStr">
        <is>
          <t>ÖSTHAMMAR</t>
        </is>
      </c>
      <c r="G173" t="n">
        <v>4.7</v>
      </c>
      <c r="H173" t="n">
        <v>1</v>
      </c>
      <c r="I173" t="n">
        <v>0</v>
      </c>
      <c r="J173" t="n">
        <v>0</v>
      </c>
      <c r="K173" t="n">
        <v>1</v>
      </c>
      <c r="L173" t="n">
        <v>0</v>
      </c>
      <c r="M173" t="n">
        <v>0</v>
      </c>
      <c r="N173" t="n">
        <v>0</v>
      </c>
      <c r="O173" t="n">
        <v>1</v>
      </c>
      <c r="P173" t="n">
        <v>1</v>
      </c>
      <c r="Q173" t="n">
        <v>1</v>
      </c>
      <c r="R173" s="2" t="inlineStr">
        <is>
          <t>Backsippa</t>
        </is>
      </c>
      <c r="S173">
        <f>HYPERLINK("https://klasma.github.io/Logging_0382/artfynd/A 37296-2023 artfynd.xlsx", "A 37296-2023")</f>
        <v/>
      </c>
      <c r="T173">
        <f>HYPERLINK("https://klasma.github.io/Logging_0382/kartor/A 37296-2023 karta.png", "A 37296-2023")</f>
        <v/>
      </c>
      <c r="V173">
        <f>HYPERLINK("https://klasma.github.io/Logging_0382/klagomål/A 37296-2023 FSC-klagomål.docx", "A 37296-2023")</f>
        <v/>
      </c>
      <c r="W173">
        <f>HYPERLINK("https://klasma.github.io/Logging_0382/klagomålsmail/A 37296-2023 FSC-klagomål mail.docx", "A 37296-2023")</f>
        <v/>
      </c>
      <c r="X173">
        <f>HYPERLINK("https://klasma.github.io/Logging_0382/tillsyn/A 37296-2023 tillsynsbegäran.docx", "A 37296-2023")</f>
        <v/>
      </c>
      <c r="Y173">
        <f>HYPERLINK("https://klasma.github.io/Logging_0382/tillsynsmail/A 37296-2023 tillsynsbegäran mail.docx", "A 37296-2023")</f>
        <v/>
      </c>
    </row>
    <row r="174" ht="15" customHeight="1">
      <c r="A174" t="inlineStr">
        <is>
          <t>A 53706-2023</t>
        </is>
      </c>
      <c r="B174" s="1" t="n">
        <v>45230</v>
      </c>
      <c r="C174" s="1" t="n">
        <v>45803</v>
      </c>
      <c r="D174" t="inlineStr">
        <is>
          <t>UPPSALA LÄN</t>
        </is>
      </c>
      <c r="E174" t="inlineStr">
        <is>
          <t>ÖSTHAMMAR</t>
        </is>
      </c>
      <c r="G174" t="n">
        <v>2.9</v>
      </c>
      <c r="H174" t="n">
        <v>0</v>
      </c>
      <c r="I174" t="n">
        <v>1</v>
      </c>
      <c r="J174" t="n">
        <v>0</v>
      </c>
      <c r="K174" t="n">
        <v>0</v>
      </c>
      <c r="L174" t="n">
        <v>0</v>
      </c>
      <c r="M174" t="n">
        <v>0</v>
      </c>
      <c r="N174" t="n">
        <v>0</v>
      </c>
      <c r="O174" t="n">
        <v>0</v>
      </c>
      <c r="P174" t="n">
        <v>0</v>
      </c>
      <c r="Q174" t="n">
        <v>1</v>
      </c>
      <c r="R174" s="2" t="inlineStr">
        <is>
          <t>Dofttråding</t>
        </is>
      </c>
      <c r="S174">
        <f>HYPERLINK("https://klasma.github.io/Logging_0382/artfynd/A 53706-2023 artfynd.xlsx", "A 53706-2023")</f>
        <v/>
      </c>
      <c r="T174">
        <f>HYPERLINK("https://klasma.github.io/Logging_0382/kartor/A 53706-2023 karta.png", "A 53706-2023")</f>
        <v/>
      </c>
      <c r="V174">
        <f>HYPERLINK("https://klasma.github.io/Logging_0382/klagomål/A 53706-2023 FSC-klagomål.docx", "A 53706-2023")</f>
        <v/>
      </c>
      <c r="W174">
        <f>HYPERLINK("https://klasma.github.io/Logging_0382/klagomålsmail/A 53706-2023 FSC-klagomål mail.docx", "A 53706-2023")</f>
        <v/>
      </c>
      <c r="X174">
        <f>HYPERLINK("https://klasma.github.io/Logging_0382/tillsyn/A 53706-2023 tillsynsbegäran.docx", "A 53706-2023")</f>
        <v/>
      </c>
      <c r="Y174">
        <f>HYPERLINK("https://klasma.github.io/Logging_0382/tillsynsmail/A 53706-2023 tillsynsbegäran mail.docx", "A 53706-2023")</f>
        <v/>
      </c>
    </row>
    <row r="175" ht="15" customHeight="1">
      <c r="A175" t="inlineStr">
        <is>
          <t>A 53729-2023</t>
        </is>
      </c>
      <c r="B175" s="1" t="n">
        <v>45230</v>
      </c>
      <c r="C175" s="1" t="n">
        <v>45803</v>
      </c>
      <c r="D175" t="inlineStr">
        <is>
          <t>UPPSALA LÄN</t>
        </is>
      </c>
      <c r="E175" t="inlineStr">
        <is>
          <t>ÖSTHAMMAR</t>
        </is>
      </c>
      <c r="G175" t="n">
        <v>2.6</v>
      </c>
      <c r="H175" t="n">
        <v>1</v>
      </c>
      <c r="I175" t="n">
        <v>0</v>
      </c>
      <c r="J175" t="n">
        <v>0</v>
      </c>
      <c r="K175" t="n">
        <v>0</v>
      </c>
      <c r="L175" t="n">
        <v>0</v>
      </c>
      <c r="M175" t="n">
        <v>0</v>
      </c>
      <c r="N175" t="n">
        <v>0</v>
      </c>
      <c r="O175" t="n">
        <v>0</v>
      </c>
      <c r="P175" t="n">
        <v>0</v>
      </c>
      <c r="Q175" t="n">
        <v>1</v>
      </c>
      <c r="R175" s="2" t="inlineStr">
        <is>
          <t>Gullviva</t>
        </is>
      </c>
      <c r="S175">
        <f>HYPERLINK("https://klasma.github.io/Logging_0382/artfynd/A 53729-2023 artfynd.xlsx", "A 53729-2023")</f>
        <v/>
      </c>
      <c r="T175">
        <f>HYPERLINK("https://klasma.github.io/Logging_0382/kartor/A 53729-2023 karta.png", "A 53729-2023")</f>
        <v/>
      </c>
      <c r="V175">
        <f>HYPERLINK("https://klasma.github.io/Logging_0382/klagomål/A 53729-2023 FSC-klagomål.docx", "A 53729-2023")</f>
        <v/>
      </c>
      <c r="W175">
        <f>HYPERLINK("https://klasma.github.io/Logging_0382/klagomålsmail/A 53729-2023 FSC-klagomål mail.docx", "A 53729-2023")</f>
        <v/>
      </c>
      <c r="X175">
        <f>HYPERLINK("https://klasma.github.io/Logging_0382/tillsyn/A 53729-2023 tillsynsbegäran.docx", "A 53729-2023")</f>
        <v/>
      </c>
      <c r="Y175">
        <f>HYPERLINK("https://klasma.github.io/Logging_0382/tillsynsmail/A 53729-2023 tillsynsbegäran mail.docx", "A 53729-2023")</f>
        <v/>
      </c>
    </row>
    <row r="176" ht="15" customHeight="1">
      <c r="A176" t="inlineStr">
        <is>
          <t>A 55492-2023</t>
        </is>
      </c>
      <c r="B176" s="1" t="n">
        <v>45238</v>
      </c>
      <c r="C176" s="1" t="n">
        <v>45803</v>
      </c>
      <c r="D176" t="inlineStr">
        <is>
          <t>UPPSALA LÄN</t>
        </is>
      </c>
      <c r="E176" t="inlineStr">
        <is>
          <t>ÖSTHAMMAR</t>
        </is>
      </c>
      <c r="G176" t="n">
        <v>3.1</v>
      </c>
      <c r="H176" t="n">
        <v>0</v>
      </c>
      <c r="I176" t="n">
        <v>0</v>
      </c>
      <c r="J176" t="n">
        <v>0</v>
      </c>
      <c r="K176" t="n">
        <v>1</v>
      </c>
      <c r="L176" t="n">
        <v>0</v>
      </c>
      <c r="M176" t="n">
        <v>0</v>
      </c>
      <c r="N176" t="n">
        <v>0</v>
      </c>
      <c r="O176" t="n">
        <v>1</v>
      </c>
      <c r="P176" t="n">
        <v>1</v>
      </c>
      <c r="Q176" t="n">
        <v>1</v>
      </c>
      <c r="R176" s="2" t="inlineStr">
        <is>
          <t>Violgubbe</t>
        </is>
      </c>
      <c r="S176">
        <f>HYPERLINK("https://klasma.github.io/Logging_0382/artfynd/A 55492-2023 artfynd.xlsx", "A 55492-2023")</f>
        <v/>
      </c>
      <c r="T176">
        <f>HYPERLINK("https://klasma.github.io/Logging_0382/kartor/A 55492-2023 karta.png", "A 55492-2023")</f>
        <v/>
      </c>
      <c r="V176">
        <f>HYPERLINK("https://klasma.github.io/Logging_0382/klagomål/A 55492-2023 FSC-klagomål.docx", "A 55492-2023")</f>
        <v/>
      </c>
      <c r="W176">
        <f>HYPERLINK("https://klasma.github.io/Logging_0382/klagomålsmail/A 55492-2023 FSC-klagomål mail.docx", "A 55492-2023")</f>
        <v/>
      </c>
      <c r="X176">
        <f>HYPERLINK("https://klasma.github.io/Logging_0382/tillsyn/A 55492-2023 tillsynsbegäran.docx", "A 55492-2023")</f>
        <v/>
      </c>
      <c r="Y176">
        <f>HYPERLINK("https://klasma.github.io/Logging_0382/tillsynsmail/A 55492-2023 tillsynsbegäran mail.docx", "A 55492-2023")</f>
        <v/>
      </c>
    </row>
    <row r="177" ht="15" customHeight="1">
      <c r="A177" t="inlineStr">
        <is>
          <t>A 57598-2023</t>
        </is>
      </c>
      <c r="B177" s="1" t="n">
        <v>45246</v>
      </c>
      <c r="C177" s="1" t="n">
        <v>45803</v>
      </c>
      <c r="D177" t="inlineStr">
        <is>
          <t>UPPSALA LÄN</t>
        </is>
      </c>
      <c r="E177" t="inlineStr">
        <is>
          <t>ÖSTHAMMAR</t>
        </is>
      </c>
      <c r="F177" t="inlineStr">
        <is>
          <t>Bergvik skog öst AB</t>
        </is>
      </c>
      <c r="G177" t="n">
        <v>1</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57598-2023 artfynd.xlsx", "A 57598-2023")</f>
        <v/>
      </c>
      <c r="T177">
        <f>HYPERLINK("https://klasma.github.io/Logging_0382/kartor/A 57598-2023 karta.png", "A 57598-2023")</f>
        <v/>
      </c>
      <c r="V177">
        <f>HYPERLINK("https://klasma.github.io/Logging_0382/klagomål/A 57598-2023 FSC-klagomål.docx", "A 57598-2023")</f>
        <v/>
      </c>
      <c r="W177">
        <f>HYPERLINK("https://klasma.github.io/Logging_0382/klagomålsmail/A 57598-2023 FSC-klagomål mail.docx", "A 57598-2023")</f>
        <v/>
      </c>
      <c r="X177">
        <f>HYPERLINK("https://klasma.github.io/Logging_0382/tillsyn/A 57598-2023 tillsynsbegäran.docx", "A 57598-2023")</f>
        <v/>
      </c>
      <c r="Y177">
        <f>HYPERLINK("https://klasma.github.io/Logging_0382/tillsynsmail/A 57598-2023 tillsynsbegäran mail.docx", "A 57598-2023")</f>
        <v/>
      </c>
    </row>
    <row r="178" ht="15" customHeight="1">
      <c r="A178" t="inlineStr">
        <is>
          <t>A 57607-2023</t>
        </is>
      </c>
      <c r="B178" s="1" t="n">
        <v>45246</v>
      </c>
      <c r="C178" s="1" t="n">
        <v>45803</v>
      </c>
      <c r="D178" t="inlineStr">
        <is>
          <t>UPPSALA LÄN</t>
        </is>
      </c>
      <c r="E178" t="inlineStr">
        <is>
          <t>ÖSTHAMMAR</t>
        </is>
      </c>
      <c r="F178" t="inlineStr">
        <is>
          <t>Bergvik skog öst AB</t>
        </is>
      </c>
      <c r="G178" t="n">
        <v>5.8</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57607-2023 artfynd.xlsx", "A 57607-2023")</f>
        <v/>
      </c>
      <c r="T178">
        <f>HYPERLINK("https://klasma.github.io/Logging_0382/kartor/A 57607-2023 karta.png", "A 57607-2023")</f>
        <v/>
      </c>
      <c r="V178">
        <f>HYPERLINK("https://klasma.github.io/Logging_0382/klagomål/A 57607-2023 FSC-klagomål.docx", "A 57607-2023")</f>
        <v/>
      </c>
      <c r="W178">
        <f>HYPERLINK("https://klasma.github.io/Logging_0382/klagomålsmail/A 57607-2023 FSC-klagomål mail.docx", "A 57607-2023")</f>
        <v/>
      </c>
      <c r="X178">
        <f>HYPERLINK("https://klasma.github.io/Logging_0382/tillsyn/A 57607-2023 tillsynsbegäran.docx", "A 57607-2023")</f>
        <v/>
      </c>
      <c r="Y178">
        <f>HYPERLINK("https://klasma.github.io/Logging_0382/tillsynsmail/A 57607-2023 tillsynsbegäran mail.docx", "A 57607-2023")</f>
        <v/>
      </c>
    </row>
    <row r="179" ht="15" customHeight="1">
      <c r="A179" t="inlineStr">
        <is>
          <t>A 57640-2023</t>
        </is>
      </c>
      <c r="B179" s="1" t="n">
        <v>45246</v>
      </c>
      <c r="C179" s="1" t="n">
        <v>45803</v>
      </c>
      <c r="D179" t="inlineStr">
        <is>
          <t>UPPSALA LÄN</t>
        </is>
      </c>
      <c r="E179" t="inlineStr">
        <is>
          <t>ÖSTHAMMAR</t>
        </is>
      </c>
      <c r="F179" t="inlineStr">
        <is>
          <t>Bergvik skog öst AB</t>
        </is>
      </c>
      <c r="G179" t="n">
        <v>2.3</v>
      </c>
      <c r="H179" t="n">
        <v>0</v>
      </c>
      <c r="I179" t="n">
        <v>1</v>
      </c>
      <c r="J179" t="n">
        <v>0</v>
      </c>
      <c r="K179" t="n">
        <v>0</v>
      </c>
      <c r="L179" t="n">
        <v>0</v>
      </c>
      <c r="M179" t="n">
        <v>0</v>
      </c>
      <c r="N179" t="n">
        <v>0</v>
      </c>
      <c r="O179" t="n">
        <v>0</v>
      </c>
      <c r="P179" t="n">
        <v>0</v>
      </c>
      <c r="Q179" t="n">
        <v>1</v>
      </c>
      <c r="R179" s="2" t="inlineStr">
        <is>
          <t>Svavelriska</t>
        </is>
      </c>
      <c r="S179">
        <f>HYPERLINK("https://klasma.github.io/Logging_0382/artfynd/A 57640-2023 artfynd.xlsx", "A 57640-2023")</f>
        <v/>
      </c>
      <c r="T179">
        <f>HYPERLINK("https://klasma.github.io/Logging_0382/kartor/A 57640-2023 karta.png", "A 57640-2023")</f>
        <v/>
      </c>
      <c r="V179">
        <f>HYPERLINK("https://klasma.github.io/Logging_0382/klagomål/A 57640-2023 FSC-klagomål.docx", "A 57640-2023")</f>
        <v/>
      </c>
      <c r="W179">
        <f>HYPERLINK("https://klasma.github.io/Logging_0382/klagomålsmail/A 57640-2023 FSC-klagomål mail.docx", "A 57640-2023")</f>
        <v/>
      </c>
      <c r="X179">
        <f>HYPERLINK("https://klasma.github.io/Logging_0382/tillsyn/A 57640-2023 tillsynsbegäran.docx", "A 57640-2023")</f>
        <v/>
      </c>
      <c r="Y179">
        <f>HYPERLINK("https://klasma.github.io/Logging_0382/tillsynsmail/A 57640-2023 tillsynsbegäran mail.docx", "A 57640-2023")</f>
        <v/>
      </c>
    </row>
    <row r="180" ht="15" customHeight="1">
      <c r="A180" t="inlineStr">
        <is>
          <t>A 4048-2024</t>
        </is>
      </c>
      <c r="B180" s="1" t="n">
        <v>45323</v>
      </c>
      <c r="C180" s="1" t="n">
        <v>45803</v>
      </c>
      <c r="D180" t="inlineStr">
        <is>
          <t>UPPSALA LÄN</t>
        </is>
      </c>
      <c r="E180" t="inlineStr">
        <is>
          <t>ÖSTHAMMAR</t>
        </is>
      </c>
      <c r="F180" t="inlineStr">
        <is>
          <t>Övriga Aktiebolag</t>
        </is>
      </c>
      <c r="G180" t="n">
        <v>21.2</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4048-2024 artfynd.xlsx", "A 4048-2024")</f>
        <v/>
      </c>
      <c r="T180">
        <f>HYPERLINK("https://klasma.github.io/Logging_0382/kartor/A 4048-2024 karta.png", "A 4048-2024")</f>
        <v/>
      </c>
      <c r="V180">
        <f>HYPERLINK("https://klasma.github.io/Logging_0382/klagomål/A 4048-2024 FSC-klagomål.docx", "A 4048-2024")</f>
        <v/>
      </c>
      <c r="W180">
        <f>HYPERLINK("https://klasma.github.io/Logging_0382/klagomålsmail/A 4048-2024 FSC-klagomål mail.docx", "A 4048-2024")</f>
        <v/>
      </c>
      <c r="X180">
        <f>HYPERLINK("https://klasma.github.io/Logging_0382/tillsyn/A 4048-2024 tillsynsbegäran.docx", "A 4048-2024")</f>
        <v/>
      </c>
      <c r="Y180">
        <f>HYPERLINK("https://klasma.github.io/Logging_0382/tillsynsmail/A 4048-2024 tillsynsbegäran mail.docx", "A 4048-2024")</f>
        <v/>
      </c>
    </row>
    <row r="181" ht="15" customHeight="1">
      <c r="A181" t="inlineStr">
        <is>
          <t>A 10210-2024</t>
        </is>
      </c>
      <c r="B181" s="1" t="n">
        <v>45364</v>
      </c>
      <c r="C181" s="1" t="n">
        <v>45803</v>
      </c>
      <c r="D181" t="inlineStr">
        <is>
          <t>UPPSALA LÄN</t>
        </is>
      </c>
      <c r="E181" t="inlineStr">
        <is>
          <t>ÖSTHAMMAR</t>
        </is>
      </c>
      <c r="F181" t="inlineStr">
        <is>
          <t>Bergvik skog öst AB</t>
        </is>
      </c>
      <c r="G181" t="n">
        <v>18</v>
      </c>
      <c r="H181" t="n">
        <v>1</v>
      </c>
      <c r="I181" t="n">
        <v>0</v>
      </c>
      <c r="J181" t="n">
        <v>0</v>
      </c>
      <c r="K181" t="n">
        <v>0</v>
      </c>
      <c r="L181" t="n">
        <v>0</v>
      </c>
      <c r="M181" t="n">
        <v>0</v>
      </c>
      <c r="N181" t="n">
        <v>0</v>
      </c>
      <c r="O181" t="n">
        <v>0</v>
      </c>
      <c r="P181" t="n">
        <v>0</v>
      </c>
      <c r="Q181" t="n">
        <v>1</v>
      </c>
      <c r="R181" s="2" t="inlineStr">
        <is>
          <t>Tjäder</t>
        </is>
      </c>
      <c r="S181">
        <f>HYPERLINK("https://klasma.github.io/Logging_0382/artfynd/A 10210-2024 artfynd.xlsx", "A 10210-2024")</f>
        <v/>
      </c>
      <c r="T181">
        <f>HYPERLINK("https://klasma.github.io/Logging_0382/kartor/A 10210-2024 karta.png", "A 10210-2024")</f>
        <v/>
      </c>
      <c r="V181">
        <f>HYPERLINK("https://klasma.github.io/Logging_0382/klagomål/A 10210-2024 FSC-klagomål.docx", "A 10210-2024")</f>
        <v/>
      </c>
      <c r="W181">
        <f>HYPERLINK("https://klasma.github.io/Logging_0382/klagomålsmail/A 10210-2024 FSC-klagomål mail.docx", "A 10210-2024")</f>
        <v/>
      </c>
      <c r="X181">
        <f>HYPERLINK("https://klasma.github.io/Logging_0382/tillsyn/A 10210-2024 tillsynsbegäran.docx", "A 10210-2024")</f>
        <v/>
      </c>
      <c r="Y181">
        <f>HYPERLINK("https://klasma.github.io/Logging_0382/tillsynsmail/A 10210-2024 tillsynsbegäran mail.docx", "A 10210-2024")</f>
        <v/>
      </c>
      <c r="Z181">
        <f>HYPERLINK("https://klasma.github.io/Logging_0382/fåglar/A 10210-2024 prioriterade fågelarter.docx", "A 10210-2024")</f>
        <v/>
      </c>
    </row>
    <row r="182" ht="15" customHeight="1">
      <c r="A182" t="inlineStr">
        <is>
          <t>A 12753-2024</t>
        </is>
      </c>
      <c r="B182" s="1" t="n">
        <v>45384</v>
      </c>
      <c r="C182" s="1" t="n">
        <v>45803</v>
      </c>
      <c r="D182" t="inlineStr">
        <is>
          <t>UPPSALA LÄN</t>
        </is>
      </c>
      <c r="E182" t="inlineStr">
        <is>
          <t>ÖSTHAMMAR</t>
        </is>
      </c>
      <c r="G182" t="n">
        <v>1.7</v>
      </c>
      <c r="H182" t="n">
        <v>0</v>
      </c>
      <c r="I182" t="n">
        <v>0</v>
      </c>
      <c r="J182" t="n">
        <v>1</v>
      </c>
      <c r="K182" t="n">
        <v>0</v>
      </c>
      <c r="L182" t="n">
        <v>0</v>
      </c>
      <c r="M182" t="n">
        <v>0</v>
      </c>
      <c r="N182" t="n">
        <v>0</v>
      </c>
      <c r="O182" t="n">
        <v>1</v>
      </c>
      <c r="P182" t="n">
        <v>0</v>
      </c>
      <c r="Q182" t="n">
        <v>1</v>
      </c>
      <c r="R182" s="2" t="inlineStr">
        <is>
          <t>Flattoppad klubbsvamp</t>
        </is>
      </c>
      <c r="S182">
        <f>HYPERLINK("https://klasma.github.io/Logging_0382/artfynd/A 12753-2024 artfynd.xlsx", "A 12753-2024")</f>
        <v/>
      </c>
      <c r="T182">
        <f>HYPERLINK("https://klasma.github.io/Logging_0382/kartor/A 12753-2024 karta.png", "A 12753-2024")</f>
        <v/>
      </c>
      <c r="V182">
        <f>HYPERLINK("https://klasma.github.io/Logging_0382/klagomål/A 12753-2024 FSC-klagomål.docx", "A 12753-2024")</f>
        <v/>
      </c>
      <c r="W182">
        <f>HYPERLINK("https://klasma.github.io/Logging_0382/klagomålsmail/A 12753-2024 FSC-klagomål mail.docx", "A 12753-2024")</f>
        <v/>
      </c>
      <c r="X182">
        <f>HYPERLINK("https://klasma.github.io/Logging_0382/tillsyn/A 12753-2024 tillsynsbegäran.docx", "A 12753-2024")</f>
        <v/>
      </c>
      <c r="Y182">
        <f>HYPERLINK("https://klasma.github.io/Logging_0382/tillsynsmail/A 12753-2024 tillsynsbegäran mail.docx", "A 12753-2024")</f>
        <v/>
      </c>
    </row>
    <row r="183" ht="15" customHeight="1">
      <c r="A183" t="inlineStr">
        <is>
          <t>A 14203-2024</t>
        </is>
      </c>
      <c r="B183" s="1" t="n">
        <v>45393</v>
      </c>
      <c r="C183" s="1" t="n">
        <v>45803</v>
      </c>
      <c r="D183" t="inlineStr">
        <is>
          <t>UPPSALA LÄN</t>
        </is>
      </c>
      <c r="E183" t="inlineStr">
        <is>
          <t>ÖSTHAMMAR</t>
        </is>
      </c>
      <c r="G183" t="n">
        <v>1.4</v>
      </c>
      <c r="H183" t="n">
        <v>0</v>
      </c>
      <c r="I183" t="n">
        <v>0</v>
      </c>
      <c r="J183" t="n">
        <v>1</v>
      </c>
      <c r="K183" t="n">
        <v>0</v>
      </c>
      <c r="L183" t="n">
        <v>0</v>
      </c>
      <c r="M183" t="n">
        <v>0</v>
      </c>
      <c r="N183" t="n">
        <v>0</v>
      </c>
      <c r="O183" t="n">
        <v>1</v>
      </c>
      <c r="P183" t="n">
        <v>0</v>
      </c>
      <c r="Q183" t="n">
        <v>1</v>
      </c>
      <c r="R183" s="2" t="inlineStr">
        <is>
          <t>Scharlakansvaxing</t>
        </is>
      </c>
      <c r="S183">
        <f>HYPERLINK("https://klasma.github.io/Logging_0382/artfynd/A 14203-2024 artfynd.xlsx", "A 14203-2024")</f>
        <v/>
      </c>
      <c r="T183">
        <f>HYPERLINK("https://klasma.github.io/Logging_0382/kartor/A 14203-2024 karta.png", "A 14203-2024")</f>
        <v/>
      </c>
      <c r="V183">
        <f>HYPERLINK("https://klasma.github.io/Logging_0382/klagomål/A 14203-2024 FSC-klagomål.docx", "A 14203-2024")</f>
        <v/>
      </c>
      <c r="W183">
        <f>HYPERLINK("https://klasma.github.io/Logging_0382/klagomålsmail/A 14203-2024 FSC-klagomål mail.docx", "A 14203-2024")</f>
        <v/>
      </c>
      <c r="X183">
        <f>HYPERLINK("https://klasma.github.io/Logging_0382/tillsyn/A 14203-2024 tillsynsbegäran.docx", "A 14203-2024")</f>
        <v/>
      </c>
      <c r="Y183">
        <f>HYPERLINK("https://klasma.github.io/Logging_0382/tillsynsmail/A 14203-2024 tillsynsbegäran mail.docx", "A 14203-2024")</f>
        <v/>
      </c>
    </row>
    <row r="184" ht="15" customHeight="1">
      <c r="A184" t="inlineStr">
        <is>
          <t>A 22375-2024</t>
        </is>
      </c>
      <c r="B184" s="1" t="n">
        <v>45446</v>
      </c>
      <c r="C184" s="1" t="n">
        <v>45803</v>
      </c>
      <c r="D184" t="inlineStr">
        <is>
          <t>UPPSALA LÄN</t>
        </is>
      </c>
      <c r="E184" t="inlineStr">
        <is>
          <t>ÖSTHAMMAR</t>
        </is>
      </c>
      <c r="F184" t="inlineStr">
        <is>
          <t>Bergvik skog öst AB</t>
        </is>
      </c>
      <c r="G184" t="n">
        <v>2.2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22375-2024 artfynd.xlsx", "A 22375-2024")</f>
        <v/>
      </c>
      <c r="T184">
        <f>HYPERLINK("https://klasma.github.io/Logging_0382/kartor/A 22375-2024 karta.png", "A 22375-2024")</f>
        <v/>
      </c>
      <c r="V184">
        <f>HYPERLINK("https://klasma.github.io/Logging_0382/klagomål/A 22375-2024 FSC-klagomål.docx", "A 22375-2024")</f>
        <v/>
      </c>
      <c r="W184">
        <f>HYPERLINK("https://klasma.github.io/Logging_0382/klagomålsmail/A 22375-2024 FSC-klagomål mail.docx", "A 22375-2024")</f>
        <v/>
      </c>
      <c r="X184">
        <f>HYPERLINK("https://klasma.github.io/Logging_0382/tillsyn/A 22375-2024 tillsynsbegäran.docx", "A 22375-2024")</f>
        <v/>
      </c>
      <c r="Y184">
        <f>HYPERLINK("https://klasma.github.io/Logging_0382/tillsynsmail/A 22375-2024 tillsynsbegäran mail.docx", "A 22375-2024")</f>
        <v/>
      </c>
    </row>
    <row r="185" ht="15" customHeight="1">
      <c r="A185" t="inlineStr">
        <is>
          <t>A 36622-2024</t>
        </is>
      </c>
      <c r="B185" s="1" t="n">
        <v>45537</v>
      </c>
      <c r="C185" s="1" t="n">
        <v>45803</v>
      </c>
      <c r="D185" t="inlineStr">
        <is>
          <t>UPPSALA LÄN</t>
        </is>
      </c>
      <c r="E185" t="inlineStr">
        <is>
          <t>ÖSTHAMMAR</t>
        </is>
      </c>
      <c r="F185" t="inlineStr">
        <is>
          <t>Bergvik skog väst AB</t>
        </is>
      </c>
      <c r="G185" t="n">
        <v>5.2</v>
      </c>
      <c r="H185" t="n">
        <v>1</v>
      </c>
      <c r="I185" t="n">
        <v>0</v>
      </c>
      <c r="J185" t="n">
        <v>0</v>
      </c>
      <c r="K185" t="n">
        <v>0</v>
      </c>
      <c r="L185" t="n">
        <v>0</v>
      </c>
      <c r="M185" t="n">
        <v>0</v>
      </c>
      <c r="N185" t="n">
        <v>0</v>
      </c>
      <c r="O185" t="n">
        <v>0</v>
      </c>
      <c r="P185" t="n">
        <v>0</v>
      </c>
      <c r="Q185" t="n">
        <v>1</v>
      </c>
      <c r="R185" s="2" t="inlineStr">
        <is>
          <t>Blåsippa</t>
        </is>
      </c>
      <c r="S185">
        <f>HYPERLINK("https://klasma.github.io/Logging_0382/artfynd/A 36622-2024 artfynd.xlsx", "A 36622-2024")</f>
        <v/>
      </c>
      <c r="T185">
        <f>HYPERLINK("https://klasma.github.io/Logging_0382/kartor/A 36622-2024 karta.png", "A 36622-2024")</f>
        <v/>
      </c>
      <c r="V185">
        <f>HYPERLINK("https://klasma.github.io/Logging_0382/klagomål/A 36622-2024 FSC-klagomål.docx", "A 36622-2024")</f>
        <v/>
      </c>
      <c r="W185">
        <f>HYPERLINK("https://klasma.github.io/Logging_0382/klagomålsmail/A 36622-2024 FSC-klagomål mail.docx", "A 36622-2024")</f>
        <v/>
      </c>
      <c r="X185">
        <f>HYPERLINK("https://klasma.github.io/Logging_0382/tillsyn/A 36622-2024 tillsynsbegäran.docx", "A 36622-2024")</f>
        <v/>
      </c>
      <c r="Y185">
        <f>HYPERLINK("https://klasma.github.io/Logging_0382/tillsynsmail/A 36622-2024 tillsynsbegäran mail.docx", "A 36622-2024")</f>
        <v/>
      </c>
    </row>
    <row r="186" ht="15" customHeight="1">
      <c r="A186" t="inlineStr">
        <is>
          <t>A 46632-2024</t>
        </is>
      </c>
      <c r="B186" s="1" t="n">
        <v>45583</v>
      </c>
      <c r="C186" s="1" t="n">
        <v>45803</v>
      </c>
      <c r="D186" t="inlineStr">
        <is>
          <t>UPPSALA LÄN</t>
        </is>
      </c>
      <c r="E186" t="inlineStr">
        <is>
          <t>ÖSTHAMMAR</t>
        </is>
      </c>
      <c r="F186" t="inlineStr">
        <is>
          <t>Bergvik skog öst AB</t>
        </is>
      </c>
      <c r="G186" t="n">
        <v>5.3</v>
      </c>
      <c r="H186" t="n">
        <v>0</v>
      </c>
      <c r="I186" t="n">
        <v>0</v>
      </c>
      <c r="J186" t="n">
        <v>1</v>
      </c>
      <c r="K186" t="n">
        <v>0</v>
      </c>
      <c r="L186" t="n">
        <v>0</v>
      </c>
      <c r="M186" t="n">
        <v>0</v>
      </c>
      <c r="N186" t="n">
        <v>0</v>
      </c>
      <c r="O186" t="n">
        <v>1</v>
      </c>
      <c r="P186" t="n">
        <v>0</v>
      </c>
      <c r="Q186" t="n">
        <v>1</v>
      </c>
      <c r="R186" s="2" t="inlineStr">
        <is>
          <t>Sexfläckig bastardsvärmare</t>
        </is>
      </c>
      <c r="S186">
        <f>HYPERLINK("https://klasma.github.io/Logging_0382/artfynd/A 46632-2024 artfynd.xlsx", "A 46632-2024")</f>
        <v/>
      </c>
      <c r="T186">
        <f>HYPERLINK("https://klasma.github.io/Logging_0382/kartor/A 46632-2024 karta.png", "A 46632-2024")</f>
        <v/>
      </c>
      <c r="V186">
        <f>HYPERLINK("https://klasma.github.io/Logging_0382/klagomål/A 46632-2024 FSC-klagomål.docx", "A 46632-2024")</f>
        <v/>
      </c>
      <c r="W186">
        <f>HYPERLINK("https://klasma.github.io/Logging_0382/klagomålsmail/A 46632-2024 FSC-klagomål mail.docx", "A 46632-2024")</f>
        <v/>
      </c>
      <c r="X186">
        <f>HYPERLINK("https://klasma.github.io/Logging_0382/tillsyn/A 46632-2024 tillsynsbegäran.docx", "A 46632-2024")</f>
        <v/>
      </c>
      <c r="Y186">
        <f>HYPERLINK("https://klasma.github.io/Logging_0382/tillsynsmail/A 46632-2024 tillsynsbegäran mail.docx", "A 46632-2024")</f>
        <v/>
      </c>
    </row>
    <row r="187" ht="15" customHeight="1">
      <c r="A187" t="inlineStr">
        <is>
          <t>A 46629-2024</t>
        </is>
      </c>
      <c r="B187" s="1" t="n">
        <v>45583</v>
      </c>
      <c r="C187" s="1" t="n">
        <v>45803</v>
      </c>
      <c r="D187" t="inlineStr">
        <is>
          <t>UPPSALA LÄN</t>
        </is>
      </c>
      <c r="E187" t="inlineStr">
        <is>
          <t>ÖSTHAMMAR</t>
        </is>
      </c>
      <c r="F187" t="inlineStr">
        <is>
          <t>Bergvik skog öst AB</t>
        </is>
      </c>
      <c r="G187" t="n">
        <v>0.7</v>
      </c>
      <c r="H187" t="n">
        <v>0</v>
      </c>
      <c r="I187" t="n">
        <v>0</v>
      </c>
      <c r="J187" t="n">
        <v>1</v>
      </c>
      <c r="K187" t="n">
        <v>0</v>
      </c>
      <c r="L187" t="n">
        <v>0</v>
      </c>
      <c r="M187" t="n">
        <v>0</v>
      </c>
      <c r="N187" t="n">
        <v>0</v>
      </c>
      <c r="O187" t="n">
        <v>1</v>
      </c>
      <c r="P187" t="n">
        <v>0</v>
      </c>
      <c r="Q187" t="n">
        <v>1</v>
      </c>
      <c r="R187" s="2" t="inlineStr">
        <is>
          <t>Slåtterfibbla</t>
        </is>
      </c>
      <c r="S187">
        <f>HYPERLINK("https://klasma.github.io/Logging_0382/artfynd/A 46629-2024 artfynd.xlsx", "A 46629-2024")</f>
        <v/>
      </c>
      <c r="T187">
        <f>HYPERLINK("https://klasma.github.io/Logging_0382/kartor/A 46629-2024 karta.png", "A 46629-2024")</f>
        <v/>
      </c>
      <c r="V187">
        <f>HYPERLINK("https://klasma.github.io/Logging_0382/klagomål/A 46629-2024 FSC-klagomål.docx", "A 46629-2024")</f>
        <v/>
      </c>
      <c r="W187">
        <f>HYPERLINK("https://klasma.github.io/Logging_0382/klagomålsmail/A 46629-2024 FSC-klagomål mail.docx", "A 46629-2024")</f>
        <v/>
      </c>
      <c r="X187">
        <f>HYPERLINK("https://klasma.github.io/Logging_0382/tillsyn/A 46629-2024 tillsynsbegäran.docx", "A 46629-2024")</f>
        <v/>
      </c>
      <c r="Y187">
        <f>HYPERLINK("https://klasma.github.io/Logging_0382/tillsynsmail/A 46629-2024 tillsynsbegäran mail.docx", "A 46629-2024")</f>
        <v/>
      </c>
    </row>
    <row r="188" ht="15" customHeight="1">
      <c r="A188" t="inlineStr">
        <is>
          <t>A 55169-2024</t>
        </is>
      </c>
      <c r="B188" s="1" t="n">
        <v>45621</v>
      </c>
      <c r="C188" s="1" t="n">
        <v>45803</v>
      </c>
      <c r="D188" t="inlineStr">
        <is>
          <t>UPPSALA LÄN</t>
        </is>
      </c>
      <c r="E188" t="inlineStr">
        <is>
          <t>ÖSTHAMMAR</t>
        </is>
      </c>
      <c r="G188" t="n">
        <v>1.1</v>
      </c>
      <c r="H188" t="n">
        <v>0</v>
      </c>
      <c r="I188" t="n">
        <v>1</v>
      </c>
      <c r="J188" t="n">
        <v>0</v>
      </c>
      <c r="K188" t="n">
        <v>0</v>
      </c>
      <c r="L188" t="n">
        <v>0</v>
      </c>
      <c r="M188" t="n">
        <v>0</v>
      </c>
      <c r="N188" t="n">
        <v>0</v>
      </c>
      <c r="O188" t="n">
        <v>0</v>
      </c>
      <c r="P188" t="n">
        <v>0</v>
      </c>
      <c r="Q188" t="n">
        <v>1</v>
      </c>
      <c r="R188" s="2" t="inlineStr">
        <is>
          <t>Svavelriska</t>
        </is>
      </c>
      <c r="S188">
        <f>HYPERLINK("https://klasma.github.io/Logging_0382/artfynd/A 55169-2024 artfynd.xlsx", "A 55169-2024")</f>
        <v/>
      </c>
      <c r="T188">
        <f>HYPERLINK("https://klasma.github.io/Logging_0382/kartor/A 55169-2024 karta.png", "A 55169-2024")</f>
        <v/>
      </c>
      <c r="V188">
        <f>HYPERLINK("https://klasma.github.io/Logging_0382/klagomål/A 55169-2024 FSC-klagomål.docx", "A 55169-2024")</f>
        <v/>
      </c>
      <c r="W188">
        <f>HYPERLINK("https://klasma.github.io/Logging_0382/klagomålsmail/A 55169-2024 FSC-klagomål mail.docx", "A 55169-2024")</f>
        <v/>
      </c>
      <c r="X188">
        <f>HYPERLINK("https://klasma.github.io/Logging_0382/tillsyn/A 55169-2024 tillsynsbegäran.docx", "A 55169-2024")</f>
        <v/>
      </c>
      <c r="Y188">
        <f>HYPERLINK("https://klasma.github.io/Logging_0382/tillsynsmail/A 55169-2024 tillsynsbegäran mail.docx", "A 55169-2024")</f>
        <v/>
      </c>
    </row>
    <row r="189" ht="15" customHeight="1">
      <c r="A189" t="inlineStr">
        <is>
          <t>A 6143-2025</t>
        </is>
      </c>
      <c r="B189" s="1" t="n">
        <v>45698</v>
      </c>
      <c r="C189" s="1" t="n">
        <v>45803</v>
      </c>
      <c r="D189" t="inlineStr">
        <is>
          <t>UPPSALA LÄN</t>
        </is>
      </c>
      <c r="E189" t="inlineStr">
        <is>
          <t>ÖSTHAMMAR</t>
        </is>
      </c>
      <c r="F189" t="inlineStr">
        <is>
          <t>Bergvik skog öst AB</t>
        </is>
      </c>
      <c r="G189" t="n">
        <v>3.6</v>
      </c>
      <c r="H189" t="n">
        <v>0</v>
      </c>
      <c r="I189" t="n">
        <v>1</v>
      </c>
      <c r="J189" t="n">
        <v>0</v>
      </c>
      <c r="K189" t="n">
        <v>0</v>
      </c>
      <c r="L189" t="n">
        <v>0</v>
      </c>
      <c r="M189" t="n">
        <v>0</v>
      </c>
      <c r="N189" t="n">
        <v>0</v>
      </c>
      <c r="O189" t="n">
        <v>0</v>
      </c>
      <c r="P189" t="n">
        <v>0</v>
      </c>
      <c r="Q189" t="n">
        <v>1</v>
      </c>
      <c r="R189" s="2" t="inlineStr">
        <is>
          <t>Svavelriska</t>
        </is>
      </c>
      <c r="S189">
        <f>HYPERLINK("https://klasma.github.io/Logging_0382/artfynd/A 6143-2025 artfynd.xlsx", "A 6143-2025")</f>
        <v/>
      </c>
      <c r="T189">
        <f>HYPERLINK("https://klasma.github.io/Logging_0382/kartor/A 6143-2025 karta.png", "A 6143-2025")</f>
        <v/>
      </c>
      <c r="V189">
        <f>HYPERLINK("https://klasma.github.io/Logging_0382/klagomål/A 6143-2025 FSC-klagomål.docx", "A 6143-2025")</f>
        <v/>
      </c>
      <c r="W189">
        <f>HYPERLINK("https://klasma.github.io/Logging_0382/klagomålsmail/A 6143-2025 FSC-klagomål mail.docx", "A 6143-2025")</f>
        <v/>
      </c>
      <c r="X189">
        <f>HYPERLINK("https://klasma.github.io/Logging_0382/tillsyn/A 6143-2025 tillsynsbegäran.docx", "A 6143-2025")</f>
        <v/>
      </c>
      <c r="Y189">
        <f>HYPERLINK("https://klasma.github.io/Logging_0382/tillsynsmail/A 6143-2025 tillsynsbegäran mail.docx", "A 6143-2025")</f>
        <v/>
      </c>
    </row>
    <row r="190" ht="15" customHeight="1">
      <c r="A190" t="inlineStr">
        <is>
          <t>A 17141-2025</t>
        </is>
      </c>
      <c r="B190" s="1" t="n">
        <v>45755</v>
      </c>
      <c r="C190" s="1" t="n">
        <v>45803</v>
      </c>
      <c r="D190" t="inlineStr">
        <is>
          <t>UPPSALA LÄN</t>
        </is>
      </c>
      <c r="E190" t="inlineStr">
        <is>
          <t>ÖSTHAMMAR</t>
        </is>
      </c>
      <c r="F190" t="inlineStr">
        <is>
          <t>Bergvik skog öst AB</t>
        </is>
      </c>
      <c r="G190" t="n">
        <v>7</v>
      </c>
      <c r="H190" t="n">
        <v>1</v>
      </c>
      <c r="I190" t="n">
        <v>1</v>
      </c>
      <c r="J190" t="n">
        <v>0</v>
      </c>
      <c r="K190" t="n">
        <v>0</v>
      </c>
      <c r="L190" t="n">
        <v>0</v>
      </c>
      <c r="M190" t="n">
        <v>0</v>
      </c>
      <c r="N190" t="n">
        <v>0</v>
      </c>
      <c r="O190" t="n">
        <v>0</v>
      </c>
      <c r="P190" t="n">
        <v>0</v>
      </c>
      <c r="Q190" t="n">
        <v>1</v>
      </c>
      <c r="R190" s="2" t="inlineStr">
        <is>
          <t>Grönkulla</t>
        </is>
      </c>
      <c r="S190">
        <f>HYPERLINK("https://klasma.github.io/Logging_030382/artfynd/A 17141-2025 artfynd.xlsx", "A 17141-2025")</f>
        <v/>
      </c>
      <c r="T190">
        <f>HYPERLINK("https://klasma.github.io/Logging_030382/kartor/A 17141-2025 karta.png", "A 17141-2025")</f>
        <v/>
      </c>
      <c r="V190">
        <f>HYPERLINK("https://klasma.github.io/Logging_030382/klagomål/A 17141-2025 FSC-klagomål.docx", "A 17141-2025")</f>
        <v/>
      </c>
      <c r="W190">
        <f>HYPERLINK("https://klasma.github.io/Logging_030382/klagomålsmail/A 17141-2025 FSC-klagomål mail.docx", "A 17141-2025")</f>
        <v/>
      </c>
      <c r="X190">
        <f>HYPERLINK("https://klasma.github.io/Logging_030382/tillsyn/A 17141-2025 tillsynsbegäran.docx", "A 17141-2025")</f>
        <v/>
      </c>
      <c r="Y190">
        <f>HYPERLINK("https://klasma.github.io/Logging_030382/tillsynsmail/A 17141-2025 tillsynsbegäran mail.docx", "A 17141-2025")</f>
        <v/>
      </c>
    </row>
    <row r="191" ht="15" customHeight="1">
      <c r="A191" t="inlineStr">
        <is>
          <t>A 18596-2019</t>
        </is>
      </c>
      <c r="B191" s="1" t="n">
        <v>43560</v>
      </c>
      <c r="C191" s="1" t="n">
        <v>45803</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18781-2019</t>
        </is>
      </c>
      <c r="B192" s="1" t="n">
        <v>43561</v>
      </c>
      <c r="C192" s="1" t="n">
        <v>45803</v>
      </c>
      <c r="D192" t="inlineStr">
        <is>
          <t>UPPSALA LÄN</t>
        </is>
      </c>
      <c r="E192" t="inlineStr">
        <is>
          <t>ÖSTHAMMAR</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18792-2019</t>
        </is>
      </c>
      <c r="B193" s="1" t="n">
        <v>43562</v>
      </c>
      <c r="C193" s="1" t="n">
        <v>45803</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18800-2019</t>
        </is>
      </c>
      <c r="B194" s="1" t="n">
        <v>43562</v>
      </c>
      <c r="C194" s="1" t="n">
        <v>45803</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20683-2019</t>
        </is>
      </c>
      <c r="B195" s="1" t="n">
        <v>43573</v>
      </c>
      <c r="C195" s="1" t="n">
        <v>45803</v>
      </c>
      <c r="D195" t="inlineStr">
        <is>
          <t>UPPSALA LÄN</t>
        </is>
      </c>
      <c r="E195" t="inlineStr">
        <is>
          <t>ÖSTHAMMAR</t>
        </is>
      </c>
      <c r="G195" t="n">
        <v>2.6</v>
      </c>
      <c r="H195" t="n">
        <v>0</v>
      </c>
      <c r="I195" t="n">
        <v>0</v>
      </c>
      <c r="J195" t="n">
        <v>0</v>
      </c>
      <c r="K195" t="n">
        <v>0</v>
      </c>
      <c r="L195" t="n">
        <v>0</v>
      </c>
      <c r="M195" t="n">
        <v>0</v>
      </c>
      <c r="N195" t="n">
        <v>0</v>
      </c>
      <c r="O195" t="n">
        <v>0</v>
      </c>
      <c r="P195" t="n">
        <v>0</v>
      </c>
      <c r="Q195" t="n">
        <v>0</v>
      </c>
      <c r="R195" s="2" t="inlineStr"/>
    </row>
    <row r="196" ht="15" customHeight="1">
      <c r="A196" t="inlineStr">
        <is>
          <t>A 21471-2019</t>
        </is>
      </c>
      <c r="B196" s="1" t="n">
        <v>43580</v>
      </c>
      <c r="C196" s="1" t="n">
        <v>45803</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22800-2019</t>
        </is>
      </c>
      <c r="B197" s="1" t="n">
        <v>43590</v>
      </c>
      <c r="C197" s="1" t="n">
        <v>45803</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c r="U197">
        <f>HYPERLINK("https://klasma.github.io/Logging_0382/knärot/A 22800-2019 karta knärot.png", "A 22800-2019")</f>
        <v/>
      </c>
      <c r="V197">
        <f>HYPERLINK("https://klasma.github.io/Logging_0382/klagomål/A 22800-2019 FSC-klagomål.docx", "A 22800-2019")</f>
        <v/>
      </c>
      <c r="W197">
        <f>HYPERLINK("https://klasma.github.io/Logging_0382/klagomålsmail/A 22800-2019 FSC-klagomål mail.docx", "A 22800-2019")</f>
        <v/>
      </c>
      <c r="X197">
        <f>HYPERLINK("https://klasma.github.io/Logging_0382/tillsyn/A 22800-2019 tillsynsbegäran.docx", "A 22800-2019")</f>
        <v/>
      </c>
      <c r="Y197">
        <f>HYPERLINK("https://klasma.github.io/Logging_0382/tillsynsmail/A 22800-2019 tillsynsbegäran mail.docx", "A 22800-2019")</f>
        <v/>
      </c>
    </row>
    <row r="198" ht="15" customHeight="1">
      <c r="A198" t="inlineStr">
        <is>
          <t>A 22801-2019</t>
        </is>
      </c>
      <c r="B198" s="1" t="n">
        <v>43590</v>
      </c>
      <c r="C198" s="1" t="n">
        <v>45803</v>
      </c>
      <c r="D198" t="inlineStr">
        <is>
          <t>UPPSALA LÄN</t>
        </is>
      </c>
      <c r="E198" t="inlineStr">
        <is>
          <t>ÖSTHAMMAR</t>
        </is>
      </c>
      <c r="G198" t="n">
        <v>2.2</v>
      </c>
      <c r="H198" t="n">
        <v>0</v>
      </c>
      <c r="I198" t="n">
        <v>0</v>
      </c>
      <c r="J198" t="n">
        <v>0</v>
      </c>
      <c r="K198" t="n">
        <v>0</v>
      </c>
      <c r="L198" t="n">
        <v>0</v>
      </c>
      <c r="M198" t="n">
        <v>0</v>
      </c>
      <c r="N198" t="n">
        <v>0</v>
      </c>
      <c r="O198" t="n">
        <v>0</v>
      </c>
      <c r="P198" t="n">
        <v>0</v>
      </c>
      <c r="Q198" t="n">
        <v>0</v>
      </c>
      <c r="R198" s="2" t="inlineStr"/>
    </row>
    <row r="199" ht="15" customHeight="1">
      <c r="A199" t="inlineStr">
        <is>
          <t>A 23008-2019</t>
        </is>
      </c>
      <c r="B199" s="1" t="n">
        <v>43591</v>
      </c>
      <c r="C199" s="1" t="n">
        <v>45803</v>
      </c>
      <c r="D199" t="inlineStr">
        <is>
          <t>UPPSALA LÄN</t>
        </is>
      </c>
      <c r="E199" t="inlineStr">
        <is>
          <t>ÖSTHAMMAR</t>
        </is>
      </c>
      <c r="G199" t="n">
        <v>4.5</v>
      </c>
      <c r="H199" t="n">
        <v>0</v>
      </c>
      <c r="I199" t="n">
        <v>0</v>
      </c>
      <c r="J199" t="n">
        <v>0</v>
      </c>
      <c r="K199" t="n">
        <v>0</v>
      </c>
      <c r="L199" t="n">
        <v>0</v>
      </c>
      <c r="M199" t="n">
        <v>0</v>
      </c>
      <c r="N199" t="n">
        <v>0</v>
      </c>
      <c r="O199" t="n">
        <v>0</v>
      </c>
      <c r="P199" t="n">
        <v>0</v>
      </c>
      <c r="Q199" t="n">
        <v>0</v>
      </c>
      <c r="R199" s="2" t="inlineStr"/>
    </row>
    <row r="200" ht="15" customHeight="1">
      <c r="A200" t="inlineStr">
        <is>
          <t>A 25874-2019</t>
        </is>
      </c>
      <c r="B200" s="1" t="n">
        <v>43605</v>
      </c>
      <c r="C200" s="1" t="n">
        <v>45803</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25703-2019</t>
        </is>
      </c>
      <c r="B201" s="1" t="n">
        <v>43607</v>
      </c>
      <c r="C201" s="1" t="n">
        <v>45803</v>
      </c>
      <c r="D201" t="inlineStr">
        <is>
          <t>UPPSALA LÄN</t>
        </is>
      </c>
      <c r="E201" t="inlineStr">
        <is>
          <t>ÖSTHAMMAR</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25708-2019</t>
        </is>
      </c>
      <c r="B202" s="1" t="n">
        <v>43607</v>
      </c>
      <c r="C202" s="1" t="n">
        <v>45803</v>
      </c>
      <c r="D202" t="inlineStr">
        <is>
          <t>UPPSALA LÄN</t>
        </is>
      </c>
      <c r="E202" t="inlineStr">
        <is>
          <t>ÖSTHAMMAR</t>
        </is>
      </c>
      <c r="F202" t="inlineStr">
        <is>
          <t>Bergvik skog öst AB</t>
        </is>
      </c>
      <c r="G202" t="n">
        <v>1.3</v>
      </c>
      <c r="H202" t="n">
        <v>0</v>
      </c>
      <c r="I202" t="n">
        <v>0</v>
      </c>
      <c r="J202" t="n">
        <v>0</v>
      </c>
      <c r="K202" t="n">
        <v>0</v>
      </c>
      <c r="L202" t="n">
        <v>0</v>
      </c>
      <c r="M202" t="n">
        <v>0</v>
      </c>
      <c r="N202" t="n">
        <v>0</v>
      </c>
      <c r="O202" t="n">
        <v>0</v>
      </c>
      <c r="P202" t="n">
        <v>0</v>
      </c>
      <c r="Q202" t="n">
        <v>0</v>
      </c>
      <c r="R202" s="2" t="inlineStr"/>
    </row>
    <row r="203" ht="15" customHeight="1">
      <c r="A203" t="inlineStr">
        <is>
          <t>A 25706-2019</t>
        </is>
      </c>
      <c r="B203" s="1" t="n">
        <v>43607</v>
      </c>
      <c r="C203" s="1" t="n">
        <v>45803</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26562-2019</t>
        </is>
      </c>
      <c r="B204" s="1" t="n">
        <v>43612</v>
      </c>
      <c r="C204" s="1" t="n">
        <v>45803</v>
      </c>
      <c r="D204" t="inlineStr">
        <is>
          <t>UPPSALA LÄN</t>
        </is>
      </c>
      <c r="E204" t="inlineStr">
        <is>
          <t>ÖSTHAMMAR</t>
        </is>
      </c>
      <c r="G204" t="n">
        <v>3.2</v>
      </c>
      <c r="H204" t="n">
        <v>0</v>
      </c>
      <c r="I204" t="n">
        <v>0</v>
      </c>
      <c r="J204" t="n">
        <v>0</v>
      </c>
      <c r="K204" t="n">
        <v>0</v>
      </c>
      <c r="L204" t="n">
        <v>0</v>
      </c>
      <c r="M204" t="n">
        <v>0</v>
      </c>
      <c r="N204" t="n">
        <v>0</v>
      </c>
      <c r="O204" t="n">
        <v>0</v>
      </c>
      <c r="P204" t="n">
        <v>0</v>
      </c>
      <c r="Q204" t="n">
        <v>0</v>
      </c>
      <c r="R204" s="2" t="inlineStr"/>
    </row>
    <row r="205" ht="15" customHeight="1">
      <c r="A205" t="inlineStr">
        <is>
          <t>A 26724-2019</t>
        </is>
      </c>
      <c r="B205" s="1" t="n">
        <v>43613</v>
      </c>
      <c r="C205" s="1" t="n">
        <v>45803</v>
      </c>
      <c r="D205" t="inlineStr">
        <is>
          <t>UPPSALA LÄN</t>
        </is>
      </c>
      <c r="E205" t="inlineStr">
        <is>
          <t>ÖSTHAMMAR</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26796-2019</t>
        </is>
      </c>
      <c r="B206" s="1" t="n">
        <v>43613</v>
      </c>
      <c r="C206" s="1" t="n">
        <v>45803</v>
      </c>
      <c r="D206" t="inlineStr">
        <is>
          <t>UPPSALA LÄN</t>
        </is>
      </c>
      <c r="E206" t="inlineStr">
        <is>
          <t>ÖSTHAMMAR</t>
        </is>
      </c>
      <c r="F206" t="inlineStr">
        <is>
          <t>Bergvik skog öst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27458-2019</t>
        </is>
      </c>
      <c r="B207" s="1" t="n">
        <v>43618</v>
      </c>
      <c r="C207" s="1" t="n">
        <v>45803</v>
      </c>
      <c r="D207" t="inlineStr">
        <is>
          <t>UPPSALA LÄN</t>
        </is>
      </c>
      <c r="E207" t="inlineStr">
        <is>
          <t>ÖSTHAMMAR</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29204-2019</t>
        </is>
      </c>
      <c r="B208" s="1" t="n">
        <v>43623</v>
      </c>
      <c r="C208" s="1" t="n">
        <v>45803</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31106-2019</t>
        </is>
      </c>
      <c r="B209" s="1" t="n">
        <v>43635</v>
      </c>
      <c r="C209" s="1" t="n">
        <v>45803</v>
      </c>
      <c r="D209" t="inlineStr">
        <is>
          <t>UPPSALA LÄN</t>
        </is>
      </c>
      <c r="E209" t="inlineStr">
        <is>
          <t>ÖSTHAMMAR</t>
        </is>
      </c>
      <c r="F209" t="inlineStr">
        <is>
          <t>Övriga statliga verk och myndigheter</t>
        </is>
      </c>
      <c r="G209" t="n">
        <v>1.5</v>
      </c>
      <c r="H209" t="n">
        <v>0</v>
      </c>
      <c r="I209" t="n">
        <v>0</v>
      </c>
      <c r="J209" t="n">
        <v>0</v>
      </c>
      <c r="K209" t="n">
        <v>0</v>
      </c>
      <c r="L209" t="n">
        <v>0</v>
      </c>
      <c r="M209" t="n">
        <v>0</v>
      </c>
      <c r="N209" t="n">
        <v>0</v>
      </c>
      <c r="O209" t="n">
        <v>0</v>
      </c>
      <c r="P209" t="n">
        <v>0</v>
      </c>
      <c r="Q209" t="n">
        <v>0</v>
      </c>
      <c r="R209" s="2" t="inlineStr"/>
    </row>
    <row r="210" ht="15" customHeight="1">
      <c r="A210" t="inlineStr">
        <is>
          <t>A 31716-2019</t>
        </is>
      </c>
      <c r="B210" s="1" t="n">
        <v>43642</v>
      </c>
      <c r="C210" s="1" t="n">
        <v>45803</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31882-2019</t>
        </is>
      </c>
      <c r="B211" s="1" t="n">
        <v>43642</v>
      </c>
      <c r="C211" s="1" t="n">
        <v>45803</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32718-2019</t>
        </is>
      </c>
      <c r="B212" s="1" t="n">
        <v>43647</v>
      </c>
      <c r="C212" s="1" t="n">
        <v>45803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33532-2019</t>
        </is>
      </c>
      <c r="B213" s="1" t="n">
        <v>43651</v>
      </c>
      <c r="C213" s="1" t="n">
        <v>45803</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33544-2019</t>
        </is>
      </c>
      <c r="B214" s="1" t="n">
        <v>43651</v>
      </c>
      <c r="C214" s="1" t="n">
        <v>45803</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33539-2019</t>
        </is>
      </c>
      <c r="B215" s="1" t="n">
        <v>43651</v>
      </c>
      <c r="C215" s="1" t="n">
        <v>45803</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33551-2019</t>
        </is>
      </c>
      <c r="B216" s="1" t="n">
        <v>43651</v>
      </c>
      <c r="C216" s="1" t="n">
        <v>45803</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33784-2019</t>
        </is>
      </c>
      <c r="B217" s="1" t="n">
        <v>43651</v>
      </c>
      <c r="C217" s="1" t="n">
        <v>45803</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39582-2019</t>
        </is>
      </c>
      <c r="B218" s="1" t="n">
        <v>43686</v>
      </c>
      <c r="C218" s="1" t="n">
        <v>45803</v>
      </c>
      <c r="D218" t="inlineStr">
        <is>
          <t>UPPSALA LÄN</t>
        </is>
      </c>
      <c r="E218" t="inlineStr">
        <is>
          <t>ÖSTHAMMAR</t>
        </is>
      </c>
      <c r="G218" t="n">
        <v>12.2</v>
      </c>
      <c r="H218" t="n">
        <v>0</v>
      </c>
      <c r="I218" t="n">
        <v>0</v>
      </c>
      <c r="J218" t="n">
        <v>0</v>
      </c>
      <c r="K218" t="n">
        <v>0</v>
      </c>
      <c r="L218" t="n">
        <v>0</v>
      </c>
      <c r="M218" t="n">
        <v>0</v>
      </c>
      <c r="N218" t="n">
        <v>0</v>
      </c>
      <c r="O218" t="n">
        <v>0</v>
      </c>
      <c r="P218" t="n">
        <v>0</v>
      </c>
      <c r="Q218" t="n">
        <v>0</v>
      </c>
      <c r="R218" s="2" t="inlineStr"/>
    </row>
    <row r="219" ht="15" customHeight="1">
      <c r="A219" t="inlineStr">
        <is>
          <t>A 39910-2019</t>
        </is>
      </c>
      <c r="B219" s="1" t="n">
        <v>43692</v>
      </c>
      <c r="C219" s="1" t="n">
        <v>45803</v>
      </c>
      <c r="D219" t="inlineStr">
        <is>
          <t>UPPSALA LÄN</t>
        </is>
      </c>
      <c r="E219" t="inlineStr">
        <is>
          <t>ÖSTHAMMAR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41697-2019</t>
        </is>
      </c>
      <c r="B220" s="1" t="n">
        <v>43699</v>
      </c>
      <c r="C220" s="1" t="n">
        <v>45803</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41539-2019</t>
        </is>
      </c>
      <c r="B221" s="1" t="n">
        <v>43699</v>
      </c>
      <c r="C221" s="1" t="n">
        <v>45803</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43426-2019</t>
        </is>
      </c>
      <c r="B222" s="1" t="n">
        <v>43706</v>
      </c>
      <c r="C222" s="1" t="n">
        <v>45803</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45140-2019</t>
        </is>
      </c>
      <c r="B223" s="1" t="n">
        <v>43713</v>
      </c>
      <c r="C223" s="1" t="n">
        <v>45803</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45681-2019</t>
        </is>
      </c>
      <c r="B224" s="1" t="n">
        <v>43717</v>
      </c>
      <c r="C224" s="1" t="n">
        <v>45803</v>
      </c>
      <c r="D224" t="inlineStr">
        <is>
          <t>UPPSALA LÄN</t>
        </is>
      </c>
      <c r="E224" t="inlineStr">
        <is>
          <t>ÖSTHAMMAR</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47440-2019</t>
        </is>
      </c>
      <c r="B225" s="1" t="n">
        <v>43723</v>
      </c>
      <c r="C225" s="1" t="n">
        <v>45803</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47436-2019</t>
        </is>
      </c>
      <c r="B226" s="1" t="n">
        <v>43723</v>
      </c>
      <c r="C226" s="1" t="n">
        <v>45803</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51025-2019</t>
        </is>
      </c>
      <c r="B227" s="1" t="n">
        <v>43739</v>
      </c>
      <c r="C227" s="1" t="n">
        <v>45803</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53442-2019</t>
        </is>
      </c>
      <c r="B228" s="1" t="n">
        <v>43748</v>
      </c>
      <c r="C228" s="1" t="n">
        <v>45803</v>
      </c>
      <c r="D228" t="inlineStr">
        <is>
          <t>UPPSALA LÄN</t>
        </is>
      </c>
      <c r="E228" t="inlineStr">
        <is>
          <t>ÖSTHAMMAR</t>
        </is>
      </c>
      <c r="F228" t="inlineStr">
        <is>
          <t>Bergvik skog öst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55382-2019</t>
        </is>
      </c>
      <c r="B229" s="1" t="n">
        <v>43755</v>
      </c>
      <c r="C229" s="1" t="n">
        <v>45803</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57686-2019</t>
        </is>
      </c>
      <c r="B230" s="1" t="n">
        <v>43761</v>
      </c>
      <c r="C230" s="1" t="n">
        <v>45803</v>
      </c>
      <c r="D230" t="inlineStr">
        <is>
          <t>UPPSALA LÄN</t>
        </is>
      </c>
      <c r="E230" t="inlineStr">
        <is>
          <t>ÖSTHAMMAR</t>
        </is>
      </c>
      <c r="G230" t="n">
        <v>5.7</v>
      </c>
      <c r="H230" t="n">
        <v>0</v>
      </c>
      <c r="I230" t="n">
        <v>0</v>
      </c>
      <c r="J230" t="n">
        <v>0</v>
      </c>
      <c r="K230" t="n">
        <v>0</v>
      </c>
      <c r="L230" t="n">
        <v>0</v>
      </c>
      <c r="M230" t="n">
        <v>0</v>
      </c>
      <c r="N230" t="n">
        <v>0</v>
      </c>
      <c r="O230" t="n">
        <v>0</v>
      </c>
      <c r="P230" t="n">
        <v>0</v>
      </c>
      <c r="Q230" t="n">
        <v>0</v>
      </c>
      <c r="R230" s="2" t="inlineStr"/>
    </row>
    <row r="231" ht="15" customHeight="1">
      <c r="A231" t="inlineStr">
        <is>
          <t>A 57304-2019</t>
        </is>
      </c>
      <c r="B231" s="1" t="n">
        <v>43767</v>
      </c>
      <c r="C231" s="1" t="n">
        <v>45803</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58665-2019</t>
        </is>
      </c>
      <c r="B232" s="1" t="n">
        <v>43773</v>
      </c>
      <c r="C232" s="1" t="n">
        <v>45803</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60977-2019</t>
        </is>
      </c>
      <c r="B233" s="1" t="n">
        <v>43782</v>
      </c>
      <c r="C233" s="1" t="n">
        <v>45803</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61866-2019</t>
        </is>
      </c>
      <c r="B234" s="1" t="n">
        <v>43787</v>
      </c>
      <c r="C234" s="1" t="n">
        <v>45803</v>
      </c>
      <c r="D234" t="inlineStr">
        <is>
          <t>UPPSALA LÄN</t>
        </is>
      </c>
      <c r="E234" t="inlineStr">
        <is>
          <t>ÖSTHAMMAR</t>
        </is>
      </c>
      <c r="F234" t="inlineStr">
        <is>
          <t>Bergvik skog öst AB</t>
        </is>
      </c>
      <c r="G234" t="n">
        <v>6.6</v>
      </c>
      <c r="H234" t="n">
        <v>0</v>
      </c>
      <c r="I234" t="n">
        <v>0</v>
      </c>
      <c r="J234" t="n">
        <v>0</v>
      </c>
      <c r="K234" t="n">
        <v>0</v>
      </c>
      <c r="L234" t="n">
        <v>0</v>
      </c>
      <c r="M234" t="n">
        <v>0</v>
      </c>
      <c r="N234" t="n">
        <v>0</v>
      </c>
      <c r="O234" t="n">
        <v>0</v>
      </c>
      <c r="P234" t="n">
        <v>0</v>
      </c>
      <c r="Q234" t="n">
        <v>0</v>
      </c>
      <c r="R234" s="2" t="inlineStr"/>
    </row>
    <row r="235" ht="15" customHeight="1">
      <c r="A235" t="inlineStr">
        <is>
          <t>A 62808-2019</t>
        </is>
      </c>
      <c r="B235" s="1" t="n">
        <v>43790</v>
      </c>
      <c r="C235" s="1" t="n">
        <v>45803</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63564-2019</t>
        </is>
      </c>
      <c r="B236" s="1" t="n">
        <v>43795</v>
      </c>
      <c r="C236" s="1" t="n">
        <v>45803</v>
      </c>
      <c r="D236" t="inlineStr">
        <is>
          <t>UPPSALA LÄN</t>
        </is>
      </c>
      <c r="E236" t="inlineStr">
        <is>
          <t>ÖSTHAMMAR</t>
        </is>
      </c>
      <c r="F236" t="inlineStr">
        <is>
          <t>Övriga Aktiebolag</t>
        </is>
      </c>
      <c r="G236" t="n">
        <v>4.7</v>
      </c>
      <c r="H236" t="n">
        <v>0</v>
      </c>
      <c r="I236" t="n">
        <v>0</v>
      </c>
      <c r="J236" t="n">
        <v>0</v>
      </c>
      <c r="K236" t="n">
        <v>0</v>
      </c>
      <c r="L236" t="n">
        <v>0</v>
      </c>
      <c r="M236" t="n">
        <v>0</v>
      </c>
      <c r="N236" t="n">
        <v>0</v>
      </c>
      <c r="O236" t="n">
        <v>0</v>
      </c>
      <c r="P236" t="n">
        <v>0</v>
      </c>
      <c r="Q236" t="n">
        <v>0</v>
      </c>
      <c r="R236" s="2" t="inlineStr"/>
    </row>
    <row r="237" ht="15" customHeight="1">
      <c r="A237" t="inlineStr">
        <is>
          <t>A 64344-2019</t>
        </is>
      </c>
      <c r="B237" s="1" t="n">
        <v>43797</v>
      </c>
      <c r="C237" s="1" t="n">
        <v>45803</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65107-2019</t>
        </is>
      </c>
      <c r="B238" s="1" t="n">
        <v>43802</v>
      </c>
      <c r="C238" s="1" t="n">
        <v>45803</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67647-2019</t>
        </is>
      </c>
      <c r="B239" s="1" t="n">
        <v>43808</v>
      </c>
      <c r="C239" s="1" t="n">
        <v>45803</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66802-2019</t>
        </is>
      </c>
      <c r="B240" s="1" t="n">
        <v>43810</v>
      </c>
      <c r="C240" s="1" t="n">
        <v>45803</v>
      </c>
      <c r="D240" t="inlineStr">
        <is>
          <t>UPPSALA LÄN</t>
        </is>
      </c>
      <c r="E240" t="inlineStr">
        <is>
          <t>ÖSTHAMMAR</t>
        </is>
      </c>
      <c r="F240" t="inlineStr">
        <is>
          <t>Bergvik skog öst AB</t>
        </is>
      </c>
      <c r="G240" t="n">
        <v>34.8</v>
      </c>
      <c r="H240" t="n">
        <v>0</v>
      </c>
      <c r="I240" t="n">
        <v>0</v>
      </c>
      <c r="J240" t="n">
        <v>0</v>
      </c>
      <c r="K240" t="n">
        <v>0</v>
      </c>
      <c r="L240" t="n">
        <v>0</v>
      </c>
      <c r="M240" t="n">
        <v>0</v>
      </c>
      <c r="N240" t="n">
        <v>0</v>
      </c>
      <c r="O240" t="n">
        <v>0</v>
      </c>
      <c r="P240" t="n">
        <v>0</v>
      </c>
      <c r="Q240" t="n">
        <v>0</v>
      </c>
      <c r="R240" s="2" t="inlineStr"/>
    </row>
    <row r="241" ht="15" customHeight="1">
      <c r="A241" t="inlineStr">
        <is>
          <t>A 67254-2019</t>
        </is>
      </c>
      <c r="B241" s="1" t="n">
        <v>43812</v>
      </c>
      <c r="C241" s="1" t="n">
        <v>45803</v>
      </c>
      <c r="D241" t="inlineStr">
        <is>
          <t>UPPSALA LÄN</t>
        </is>
      </c>
      <c r="E241" t="inlineStr">
        <is>
          <t>ÖSTHAMMAR</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618-2020</t>
        </is>
      </c>
      <c r="B242" s="1" t="n">
        <v>43817</v>
      </c>
      <c r="C242" s="1" t="n">
        <v>45803</v>
      </c>
      <c r="D242" t="inlineStr">
        <is>
          <t>UPPSALA LÄN</t>
        </is>
      </c>
      <c r="E242" t="inlineStr">
        <is>
          <t>ÖSTHAMMAR</t>
        </is>
      </c>
      <c r="G242" t="n">
        <v>3.2</v>
      </c>
      <c r="H242" t="n">
        <v>0</v>
      </c>
      <c r="I242" t="n">
        <v>0</v>
      </c>
      <c r="J242" t="n">
        <v>0</v>
      </c>
      <c r="K242" t="n">
        <v>0</v>
      </c>
      <c r="L242" t="n">
        <v>0</v>
      </c>
      <c r="M242" t="n">
        <v>0</v>
      </c>
      <c r="N242" t="n">
        <v>0</v>
      </c>
      <c r="O242" t="n">
        <v>0</v>
      </c>
      <c r="P242" t="n">
        <v>0</v>
      </c>
      <c r="Q242" t="n">
        <v>0</v>
      </c>
      <c r="R242" s="2" t="inlineStr"/>
    </row>
    <row r="243" ht="15" customHeight="1">
      <c r="A243" t="inlineStr">
        <is>
          <t>A 68870-2019</t>
        </is>
      </c>
      <c r="B243" s="1" t="n">
        <v>43821</v>
      </c>
      <c r="C243" s="1" t="n">
        <v>45803</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68871-2019</t>
        </is>
      </c>
      <c r="B244" s="1" t="n">
        <v>43821</v>
      </c>
      <c r="C244" s="1" t="n">
        <v>45803</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68868-2019</t>
        </is>
      </c>
      <c r="B245" s="1" t="n">
        <v>43821</v>
      </c>
      <c r="C245" s="1" t="n">
        <v>45803</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685-2020</t>
        </is>
      </c>
      <c r="B246" s="1" t="n">
        <v>43838</v>
      </c>
      <c r="C246" s="1" t="n">
        <v>45803</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1685-2020</t>
        </is>
      </c>
      <c r="B247" s="1" t="n">
        <v>43844</v>
      </c>
      <c r="C247" s="1" t="n">
        <v>45803</v>
      </c>
      <c r="D247" t="inlineStr">
        <is>
          <t>UPPSALA LÄN</t>
        </is>
      </c>
      <c r="E247" t="inlineStr">
        <is>
          <t>ÖSTHAMMAR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1681-2020</t>
        </is>
      </c>
      <c r="B248" s="1" t="n">
        <v>43844</v>
      </c>
      <c r="C248" s="1" t="n">
        <v>45803</v>
      </c>
      <c r="D248" t="inlineStr">
        <is>
          <t>UPPSALA LÄN</t>
        </is>
      </c>
      <c r="E248" t="inlineStr">
        <is>
          <t>ÖSTHAMMAR</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4473-2020</t>
        </is>
      </c>
      <c r="B249" s="1" t="n">
        <v>43850</v>
      </c>
      <c r="C249" s="1" t="n">
        <v>45803</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3334-2020</t>
        </is>
      </c>
      <c r="B250" s="1" t="n">
        <v>43852</v>
      </c>
      <c r="C250" s="1" t="n">
        <v>45803</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3984-2020</t>
        </is>
      </c>
      <c r="B251" s="1" t="n">
        <v>43855</v>
      </c>
      <c r="C251" s="1" t="n">
        <v>45803</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6052-2020</t>
        </is>
      </c>
      <c r="B252" s="1" t="n">
        <v>43864</v>
      </c>
      <c r="C252" s="1" t="n">
        <v>45803</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6026-2020</t>
        </is>
      </c>
      <c r="B253" s="1" t="n">
        <v>43865</v>
      </c>
      <c r="C253" s="1" t="n">
        <v>45803</v>
      </c>
      <c r="D253" t="inlineStr">
        <is>
          <t>UPPSALA LÄN</t>
        </is>
      </c>
      <c r="E253" t="inlineStr">
        <is>
          <t>ÖSTHAMMAR</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6791-2020</t>
        </is>
      </c>
      <c r="B254" s="1" t="n">
        <v>43867</v>
      </c>
      <c r="C254" s="1" t="n">
        <v>45803</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7847-2020</t>
        </is>
      </c>
      <c r="B255" s="1" t="n">
        <v>43873</v>
      </c>
      <c r="C255" s="1" t="n">
        <v>45803</v>
      </c>
      <c r="D255" t="inlineStr">
        <is>
          <t>UPPSALA LÄN</t>
        </is>
      </c>
      <c r="E255" t="inlineStr">
        <is>
          <t>ÖSTHAMMAR</t>
        </is>
      </c>
      <c r="F255" t="inlineStr">
        <is>
          <t>Övriga Aktiebolag</t>
        </is>
      </c>
      <c r="G255" t="n">
        <v>15.3</v>
      </c>
      <c r="H255" t="n">
        <v>0</v>
      </c>
      <c r="I255" t="n">
        <v>0</v>
      </c>
      <c r="J255" t="n">
        <v>0</v>
      </c>
      <c r="K255" t="n">
        <v>0</v>
      </c>
      <c r="L255" t="n">
        <v>0</v>
      </c>
      <c r="M255" t="n">
        <v>0</v>
      </c>
      <c r="N255" t="n">
        <v>0</v>
      </c>
      <c r="O255" t="n">
        <v>0</v>
      </c>
      <c r="P255" t="n">
        <v>0</v>
      </c>
      <c r="Q255" t="n">
        <v>0</v>
      </c>
      <c r="R255" s="2" t="inlineStr"/>
    </row>
    <row r="256" ht="15" customHeight="1">
      <c r="A256" t="inlineStr">
        <is>
          <t>A 10008-2020</t>
        </is>
      </c>
      <c r="B256" s="1" t="n">
        <v>43882</v>
      </c>
      <c r="C256" s="1" t="n">
        <v>45803</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10345-2020</t>
        </is>
      </c>
      <c r="B257" s="1" t="n">
        <v>43885</v>
      </c>
      <c r="C257" s="1" t="n">
        <v>45803</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10347-2020</t>
        </is>
      </c>
      <c r="B258" s="1" t="n">
        <v>43885</v>
      </c>
      <c r="C258" s="1" t="n">
        <v>45803</v>
      </c>
      <c r="D258" t="inlineStr">
        <is>
          <t>UPPSALA LÄN</t>
        </is>
      </c>
      <c r="E258" t="inlineStr">
        <is>
          <t>ÖSTHAMMAR</t>
        </is>
      </c>
      <c r="F258" t="inlineStr">
        <is>
          <t>Allmännings- och besparingsskogar</t>
        </is>
      </c>
      <c r="G258" t="n">
        <v>1.2</v>
      </c>
      <c r="H258" t="n">
        <v>0</v>
      </c>
      <c r="I258" t="n">
        <v>0</v>
      </c>
      <c r="J258" t="n">
        <v>0</v>
      </c>
      <c r="K258" t="n">
        <v>0</v>
      </c>
      <c r="L258" t="n">
        <v>0</v>
      </c>
      <c r="M258" t="n">
        <v>0</v>
      </c>
      <c r="N258" t="n">
        <v>0</v>
      </c>
      <c r="O258" t="n">
        <v>0</v>
      </c>
      <c r="P258" t="n">
        <v>0</v>
      </c>
      <c r="Q258" t="n">
        <v>0</v>
      </c>
      <c r="R258" s="2" t="inlineStr"/>
    </row>
    <row r="259" ht="15" customHeight="1">
      <c r="A259" t="inlineStr">
        <is>
          <t>A 12080-2020</t>
        </is>
      </c>
      <c r="B259" s="1" t="n">
        <v>43895</v>
      </c>
      <c r="C259" s="1" t="n">
        <v>45803</v>
      </c>
      <c r="D259" t="inlineStr">
        <is>
          <t>UPPSALA LÄN</t>
        </is>
      </c>
      <c r="E259" t="inlineStr">
        <is>
          <t>ÖSTHAMMAR</t>
        </is>
      </c>
      <c r="F259" t="inlineStr">
        <is>
          <t>Övriga Aktiebolag</t>
        </is>
      </c>
      <c r="G259" t="n">
        <v>13.9</v>
      </c>
      <c r="H259" t="n">
        <v>0</v>
      </c>
      <c r="I259" t="n">
        <v>0</v>
      </c>
      <c r="J259" t="n">
        <v>0</v>
      </c>
      <c r="K259" t="n">
        <v>0</v>
      </c>
      <c r="L259" t="n">
        <v>0</v>
      </c>
      <c r="M259" t="n">
        <v>0</v>
      </c>
      <c r="N259" t="n">
        <v>0</v>
      </c>
      <c r="O259" t="n">
        <v>0</v>
      </c>
      <c r="P259" t="n">
        <v>0</v>
      </c>
      <c r="Q259" t="n">
        <v>0</v>
      </c>
      <c r="R259" s="2" t="inlineStr"/>
    </row>
    <row r="260" ht="15" customHeight="1">
      <c r="A260" t="inlineStr">
        <is>
          <t>A 13112-2020</t>
        </is>
      </c>
      <c r="B260" s="1" t="n">
        <v>43901</v>
      </c>
      <c r="C260" s="1" t="n">
        <v>45803</v>
      </c>
      <c r="D260" t="inlineStr">
        <is>
          <t>UPPSALA LÄN</t>
        </is>
      </c>
      <c r="E260" t="inlineStr">
        <is>
          <t>ÖSTHAMMAR</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13310-2020</t>
        </is>
      </c>
      <c r="B261" s="1" t="n">
        <v>43902</v>
      </c>
      <c r="C261" s="1" t="n">
        <v>45803</v>
      </c>
      <c r="D261" t="inlineStr">
        <is>
          <t>UPPSALA LÄN</t>
        </is>
      </c>
      <c r="E261" t="inlineStr">
        <is>
          <t>ÖSTHAMMAR</t>
        </is>
      </c>
      <c r="F261" t="inlineStr">
        <is>
          <t>Bergvik skog öst AB</t>
        </is>
      </c>
      <c r="G261" t="n">
        <v>14.4</v>
      </c>
      <c r="H261" t="n">
        <v>0</v>
      </c>
      <c r="I261" t="n">
        <v>0</v>
      </c>
      <c r="J261" t="n">
        <v>0</v>
      </c>
      <c r="K261" t="n">
        <v>0</v>
      </c>
      <c r="L261" t="n">
        <v>0</v>
      </c>
      <c r="M261" t="n">
        <v>0</v>
      </c>
      <c r="N261" t="n">
        <v>0</v>
      </c>
      <c r="O261" t="n">
        <v>0</v>
      </c>
      <c r="P261" t="n">
        <v>0</v>
      </c>
      <c r="Q261" t="n">
        <v>0</v>
      </c>
      <c r="R261" s="2" t="inlineStr"/>
    </row>
    <row r="262" ht="15" customHeight="1">
      <c r="A262" t="inlineStr">
        <is>
          <t>A 13595-2020</t>
        </is>
      </c>
      <c r="B262" s="1" t="n">
        <v>43903</v>
      </c>
      <c r="C262" s="1" t="n">
        <v>45803</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13945-2020</t>
        </is>
      </c>
      <c r="B263" s="1" t="n">
        <v>43906</v>
      </c>
      <c r="C263" s="1" t="n">
        <v>45803</v>
      </c>
      <c r="D263" t="inlineStr">
        <is>
          <t>UPPSALA LÄN</t>
        </is>
      </c>
      <c r="E263" t="inlineStr">
        <is>
          <t>ÖSTHAMMAR</t>
        </is>
      </c>
      <c r="G263" t="n">
        <v>3.5</v>
      </c>
      <c r="H263" t="n">
        <v>0</v>
      </c>
      <c r="I263" t="n">
        <v>0</v>
      </c>
      <c r="J263" t="n">
        <v>0</v>
      </c>
      <c r="K263" t="n">
        <v>0</v>
      </c>
      <c r="L263" t="n">
        <v>0</v>
      </c>
      <c r="M263" t="n">
        <v>0</v>
      </c>
      <c r="N263" t="n">
        <v>0</v>
      </c>
      <c r="O263" t="n">
        <v>0</v>
      </c>
      <c r="P263" t="n">
        <v>0</v>
      </c>
      <c r="Q263" t="n">
        <v>0</v>
      </c>
      <c r="R263" s="2" t="inlineStr"/>
    </row>
    <row r="264" ht="15" customHeight="1">
      <c r="A264" t="inlineStr">
        <is>
          <t>A 14802-2020</t>
        </is>
      </c>
      <c r="B264" s="1" t="n">
        <v>43909</v>
      </c>
      <c r="C264" s="1" t="n">
        <v>45803</v>
      </c>
      <c r="D264" t="inlineStr">
        <is>
          <t>UPPSALA LÄN</t>
        </is>
      </c>
      <c r="E264" t="inlineStr">
        <is>
          <t>ÖSTHAMMAR</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14817-2020</t>
        </is>
      </c>
      <c r="B265" s="1" t="n">
        <v>43909</v>
      </c>
      <c r="C265" s="1" t="n">
        <v>45803</v>
      </c>
      <c r="D265" t="inlineStr">
        <is>
          <t>UPPSALA LÄN</t>
        </is>
      </c>
      <c r="E265" t="inlineStr">
        <is>
          <t>ÖSTHAMMAR</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15067-2020</t>
        </is>
      </c>
      <c r="B266" s="1" t="n">
        <v>43910</v>
      </c>
      <c r="C266" s="1" t="n">
        <v>45803</v>
      </c>
      <c r="D266" t="inlineStr">
        <is>
          <t>UPPSALA LÄN</t>
        </is>
      </c>
      <c r="E266" t="inlineStr">
        <is>
          <t>ÖSTHAMMAR</t>
        </is>
      </c>
      <c r="F266" t="inlineStr">
        <is>
          <t>Bergvik skog öst AB</t>
        </is>
      </c>
      <c r="G266" t="n">
        <v>20.5</v>
      </c>
      <c r="H266" t="n">
        <v>0</v>
      </c>
      <c r="I266" t="n">
        <v>0</v>
      </c>
      <c r="J266" t="n">
        <v>0</v>
      </c>
      <c r="K266" t="n">
        <v>0</v>
      </c>
      <c r="L266" t="n">
        <v>0</v>
      </c>
      <c r="M266" t="n">
        <v>0</v>
      </c>
      <c r="N266" t="n">
        <v>0</v>
      </c>
      <c r="O266" t="n">
        <v>0</v>
      </c>
      <c r="P266" t="n">
        <v>0</v>
      </c>
      <c r="Q266" t="n">
        <v>0</v>
      </c>
      <c r="R266" s="2" t="inlineStr"/>
    </row>
    <row r="267" ht="15" customHeight="1">
      <c r="A267" t="inlineStr">
        <is>
          <t>A 17549-2020</t>
        </is>
      </c>
      <c r="B267" s="1" t="n">
        <v>43920</v>
      </c>
      <c r="C267" s="1" t="n">
        <v>45803</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19556-2020</t>
        </is>
      </c>
      <c r="B268" s="1" t="n">
        <v>43936</v>
      </c>
      <c r="C268" s="1" t="n">
        <v>45803</v>
      </c>
      <c r="D268" t="inlineStr">
        <is>
          <t>UPPSALA LÄN</t>
        </is>
      </c>
      <c r="E268" t="inlineStr">
        <is>
          <t>ÖSTHAMMAR</t>
        </is>
      </c>
      <c r="G268" t="n">
        <v>6.3</v>
      </c>
      <c r="H268" t="n">
        <v>0</v>
      </c>
      <c r="I268" t="n">
        <v>0</v>
      </c>
      <c r="J268" t="n">
        <v>0</v>
      </c>
      <c r="K268" t="n">
        <v>0</v>
      </c>
      <c r="L268" t="n">
        <v>0</v>
      </c>
      <c r="M268" t="n">
        <v>0</v>
      </c>
      <c r="N268" t="n">
        <v>0</v>
      </c>
      <c r="O268" t="n">
        <v>0</v>
      </c>
      <c r="P268" t="n">
        <v>0</v>
      </c>
      <c r="Q268" t="n">
        <v>0</v>
      </c>
      <c r="R268" s="2" t="inlineStr"/>
    </row>
    <row r="269" ht="15" customHeight="1">
      <c r="A269" t="inlineStr">
        <is>
          <t>A 23621-2020</t>
        </is>
      </c>
      <c r="B269" s="1" t="n">
        <v>43969</v>
      </c>
      <c r="C269" s="1" t="n">
        <v>45803</v>
      </c>
      <c r="D269" t="inlineStr">
        <is>
          <t>UPPSALA LÄN</t>
        </is>
      </c>
      <c r="E269" t="inlineStr">
        <is>
          <t>ÖSTHAMMAR</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26198-2020</t>
        </is>
      </c>
      <c r="B270" s="1" t="n">
        <v>43986</v>
      </c>
      <c r="C270" s="1" t="n">
        <v>45803</v>
      </c>
      <c r="D270" t="inlineStr">
        <is>
          <t>UPPSALA LÄN</t>
        </is>
      </c>
      <c r="E270" t="inlineStr">
        <is>
          <t>ÖSTHAMMAR</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30338-2020</t>
        </is>
      </c>
      <c r="B271" s="1" t="n">
        <v>44007</v>
      </c>
      <c r="C271" s="1" t="n">
        <v>45803</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30419-2020</t>
        </is>
      </c>
      <c r="B272" s="1" t="n">
        <v>44007</v>
      </c>
      <c r="C272" s="1" t="n">
        <v>45803</v>
      </c>
      <c r="D272" t="inlineStr">
        <is>
          <t>UPPSALA LÄN</t>
        </is>
      </c>
      <c r="E272" t="inlineStr">
        <is>
          <t>ÖSTHAMMAR</t>
        </is>
      </c>
      <c r="G272" t="n">
        <v>5.6</v>
      </c>
      <c r="H272" t="n">
        <v>0</v>
      </c>
      <c r="I272" t="n">
        <v>0</v>
      </c>
      <c r="J272" t="n">
        <v>0</v>
      </c>
      <c r="K272" t="n">
        <v>0</v>
      </c>
      <c r="L272" t="n">
        <v>0</v>
      </c>
      <c r="M272" t="n">
        <v>0</v>
      </c>
      <c r="N272" t="n">
        <v>0</v>
      </c>
      <c r="O272" t="n">
        <v>0</v>
      </c>
      <c r="P272" t="n">
        <v>0</v>
      </c>
      <c r="Q272" t="n">
        <v>0</v>
      </c>
      <c r="R272" s="2" t="inlineStr"/>
    </row>
    <row r="273" ht="15" customHeight="1">
      <c r="A273" t="inlineStr">
        <is>
          <t>A 32192-2020</t>
        </is>
      </c>
      <c r="B273" s="1" t="n">
        <v>44015</v>
      </c>
      <c r="C273" s="1" t="n">
        <v>45803</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33098-2020</t>
        </is>
      </c>
      <c r="B274" s="1" t="n">
        <v>44021</v>
      </c>
      <c r="C274" s="1" t="n">
        <v>45803</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34943-2020</t>
        </is>
      </c>
      <c r="B275" s="1" t="n">
        <v>44038</v>
      </c>
      <c r="C275" s="1" t="n">
        <v>45803</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34941-2020</t>
        </is>
      </c>
      <c r="B276" s="1" t="n">
        <v>44038</v>
      </c>
      <c r="C276" s="1" t="n">
        <v>45803</v>
      </c>
      <c r="D276" t="inlineStr">
        <is>
          <t>UPPSALA LÄN</t>
        </is>
      </c>
      <c r="E276" t="inlineStr">
        <is>
          <t>ÖSTHAMMAR</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34940-2020</t>
        </is>
      </c>
      <c r="B277" s="1" t="n">
        <v>44038</v>
      </c>
      <c r="C277" s="1" t="n">
        <v>45803</v>
      </c>
      <c r="D277" t="inlineStr">
        <is>
          <t>UPPSALA LÄN</t>
        </is>
      </c>
      <c r="E277" t="inlineStr">
        <is>
          <t>ÖSTHAMMAR</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35094-2020</t>
        </is>
      </c>
      <c r="B278" s="1" t="n">
        <v>44040</v>
      </c>
      <c r="C278" s="1" t="n">
        <v>45803</v>
      </c>
      <c r="D278" t="inlineStr">
        <is>
          <t>UPPSALA LÄN</t>
        </is>
      </c>
      <c r="E278" t="inlineStr">
        <is>
          <t>ÖSTHAMMAR</t>
        </is>
      </c>
      <c r="F278" t="inlineStr">
        <is>
          <t>Bergvik skog öst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35096-2020</t>
        </is>
      </c>
      <c r="B279" s="1" t="n">
        <v>44040</v>
      </c>
      <c r="C279" s="1" t="n">
        <v>45803</v>
      </c>
      <c r="D279" t="inlineStr">
        <is>
          <t>UPPSALA LÄN</t>
        </is>
      </c>
      <c r="E279" t="inlineStr">
        <is>
          <t>ÖSTHAMMAR</t>
        </is>
      </c>
      <c r="F279" t="inlineStr">
        <is>
          <t>Bergvik skog öst AB</t>
        </is>
      </c>
      <c r="G279" t="n">
        <v>7.6</v>
      </c>
      <c r="H279" t="n">
        <v>0</v>
      </c>
      <c r="I279" t="n">
        <v>0</v>
      </c>
      <c r="J279" t="n">
        <v>0</v>
      </c>
      <c r="K279" t="n">
        <v>0</v>
      </c>
      <c r="L279" t="n">
        <v>0</v>
      </c>
      <c r="M279" t="n">
        <v>0</v>
      </c>
      <c r="N279" t="n">
        <v>0</v>
      </c>
      <c r="O279" t="n">
        <v>0</v>
      </c>
      <c r="P279" t="n">
        <v>0</v>
      </c>
      <c r="Q279" t="n">
        <v>0</v>
      </c>
      <c r="R279" s="2" t="inlineStr"/>
    </row>
    <row r="280" ht="15" customHeight="1">
      <c r="A280" t="inlineStr">
        <is>
          <t>A 38285-2020</t>
        </is>
      </c>
      <c r="B280" s="1" t="n">
        <v>44060</v>
      </c>
      <c r="C280" s="1" t="n">
        <v>45803</v>
      </c>
      <c r="D280" t="inlineStr">
        <is>
          <t>UPPSALA LÄN</t>
        </is>
      </c>
      <c r="E280" t="inlineStr">
        <is>
          <t>ÖSTHAMMAR</t>
        </is>
      </c>
      <c r="G280" t="n">
        <v>4.7</v>
      </c>
      <c r="H280" t="n">
        <v>0</v>
      </c>
      <c r="I280" t="n">
        <v>0</v>
      </c>
      <c r="J280" t="n">
        <v>0</v>
      </c>
      <c r="K280" t="n">
        <v>0</v>
      </c>
      <c r="L280" t="n">
        <v>0</v>
      </c>
      <c r="M280" t="n">
        <v>0</v>
      </c>
      <c r="N280" t="n">
        <v>0</v>
      </c>
      <c r="O280" t="n">
        <v>0</v>
      </c>
      <c r="P280" t="n">
        <v>0</v>
      </c>
      <c r="Q280" t="n">
        <v>0</v>
      </c>
      <c r="R280" s="2" t="inlineStr"/>
    </row>
    <row r="281" ht="15" customHeight="1">
      <c r="A281" t="inlineStr">
        <is>
          <t>A 38630-2020</t>
        </is>
      </c>
      <c r="B281" s="1" t="n">
        <v>44061</v>
      </c>
      <c r="C281" s="1" t="n">
        <v>45803</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39640-2020</t>
        </is>
      </c>
      <c r="B282" s="1" t="n">
        <v>44064</v>
      </c>
      <c r="C282" s="1" t="n">
        <v>45803</v>
      </c>
      <c r="D282" t="inlineStr">
        <is>
          <t>UPPSALA LÄN</t>
        </is>
      </c>
      <c r="E282" t="inlineStr">
        <is>
          <t>ÖSTHAMMAR</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41849-2020</t>
        </is>
      </c>
      <c r="B283" s="1" t="n">
        <v>44074</v>
      </c>
      <c r="C283" s="1" t="n">
        <v>45803</v>
      </c>
      <c r="D283" t="inlineStr">
        <is>
          <t>UPPSALA LÄN</t>
        </is>
      </c>
      <c r="E283" t="inlineStr">
        <is>
          <t>ÖSTHAMMAR</t>
        </is>
      </c>
      <c r="F283" t="inlineStr">
        <is>
          <t>Bergvik skog öst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42549-2020</t>
        </is>
      </c>
      <c r="B284" s="1" t="n">
        <v>44077</v>
      </c>
      <c r="C284" s="1" t="n">
        <v>45803</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46311-2020</t>
        </is>
      </c>
      <c r="B285" s="1" t="n">
        <v>44092</v>
      </c>
      <c r="C285" s="1" t="n">
        <v>45803</v>
      </c>
      <c r="D285" t="inlineStr">
        <is>
          <t>UPPSALA LÄN</t>
        </is>
      </c>
      <c r="E285" t="inlineStr">
        <is>
          <t>ÖSTHAMMAR</t>
        </is>
      </c>
      <c r="F285" t="inlineStr">
        <is>
          <t>Bergvik skog öst AB</t>
        </is>
      </c>
      <c r="G285" t="n">
        <v>4</v>
      </c>
      <c r="H285" t="n">
        <v>0</v>
      </c>
      <c r="I285" t="n">
        <v>0</v>
      </c>
      <c r="J285" t="n">
        <v>0</v>
      </c>
      <c r="K285" t="n">
        <v>0</v>
      </c>
      <c r="L285" t="n">
        <v>0</v>
      </c>
      <c r="M285" t="n">
        <v>0</v>
      </c>
      <c r="N285" t="n">
        <v>0</v>
      </c>
      <c r="O285" t="n">
        <v>0</v>
      </c>
      <c r="P285" t="n">
        <v>0</v>
      </c>
      <c r="Q285" t="n">
        <v>0</v>
      </c>
      <c r="R285" s="2" t="inlineStr"/>
    </row>
    <row r="286" ht="15" customHeight="1">
      <c r="A286" t="inlineStr">
        <is>
          <t>A 46423-2020</t>
        </is>
      </c>
      <c r="B286" s="1" t="n">
        <v>44095</v>
      </c>
      <c r="C286" s="1" t="n">
        <v>45803</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47481-2020</t>
        </is>
      </c>
      <c r="B287" s="1" t="n">
        <v>44098</v>
      </c>
      <c r="C287" s="1" t="n">
        <v>45803</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49206-2020</t>
        </is>
      </c>
      <c r="B288" s="1" t="n">
        <v>44105</v>
      </c>
      <c r="C288" s="1" t="n">
        <v>45803</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49336-2020</t>
        </is>
      </c>
      <c r="B289" s="1" t="n">
        <v>44105</v>
      </c>
      <c r="C289" s="1" t="n">
        <v>45803</v>
      </c>
      <c r="D289" t="inlineStr">
        <is>
          <t>UPPSALA LÄN</t>
        </is>
      </c>
      <c r="E289" t="inlineStr">
        <is>
          <t>ÖSTHAMMAR</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52432-2020</t>
        </is>
      </c>
      <c r="B290" s="1" t="n">
        <v>44118</v>
      </c>
      <c r="C290" s="1" t="n">
        <v>45803</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52434-2020</t>
        </is>
      </c>
      <c r="B291" s="1" t="n">
        <v>44118</v>
      </c>
      <c r="C291" s="1" t="n">
        <v>45803</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53137-2020</t>
        </is>
      </c>
      <c r="B292" s="1" t="n">
        <v>44120</v>
      </c>
      <c r="C292" s="1" t="n">
        <v>45803</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55389-2020</t>
        </is>
      </c>
      <c r="B293" s="1" t="n">
        <v>44131</v>
      </c>
      <c r="C293" s="1" t="n">
        <v>45803</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56041-2020</t>
        </is>
      </c>
      <c r="B294" s="1" t="n">
        <v>44133</v>
      </c>
      <c r="C294" s="1" t="n">
        <v>45803</v>
      </c>
      <c r="D294" t="inlineStr">
        <is>
          <t>UPPSALA LÄN</t>
        </is>
      </c>
      <c r="E294" t="inlineStr">
        <is>
          <t>ÖSTHAMMAR</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56079-2020</t>
        </is>
      </c>
      <c r="B295" s="1" t="n">
        <v>44133</v>
      </c>
      <c r="C295" s="1" t="n">
        <v>45803</v>
      </c>
      <c r="D295" t="inlineStr">
        <is>
          <t>UPPSALA LÄN</t>
        </is>
      </c>
      <c r="E295" t="inlineStr">
        <is>
          <t>ÖSTHAMMAR</t>
        </is>
      </c>
      <c r="F295" t="inlineStr">
        <is>
          <t>Bergvik skog öst AB</t>
        </is>
      </c>
      <c r="G295" t="n">
        <v>2.9</v>
      </c>
      <c r="H295" t="n">
        <v>0</v>
      </c>
      <c r="I295" t="n">
        <v>0</v>
      </c>
      <c r="J295" t="n">
        <v>0</v>
      </c>
      <c r="K295" t="n">
        <v>0</v>
      </c>
      <c r="L295" t="n">
        <v>0</v>
      </c>
      <c r="M295" t="n">
        <v>0</v>
      </c>
      <c r="N295" t="n">
        <v>0</v>
      </c>
      <c r="O295" t="n">
        <v>0</v>
      </c>
      <c r="P295" t="n">
        <v>0</v>
      </c>
      <c r="Q295" t="n">
        <v>0</v>
      </c>
      <c r="R295" s="2" t="inlineStr"/>
    </row>
    <row r="296" ht="15" customHeight="1">
      <c r="A296" t="inlineStr">
        <is>
          <t>A 56089-2020</t>
        </is>
      </c>
      <c r="B296" s="1" t="n">
        <v>44133</v>
      </c>
      <c r="C296" s="1" t="n">
        <v>45803</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57408-2020</t>
        </is>
      </c>
      <c r="B297" s="1" t="n">
        <v>44140</v>
      </c>
      <c r="C297" s="1" t="n">
        <v>45803</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59432-2020</t>
        </is>
      </c>
      <c r="B298" s="1" t="n">
        <v>44148</v>
      </c>
      <c r="C298" s="1" t="n">
        <v>45803</v>
      </c>
      <c r="D298" t="inlineStr">
        <is>
          <t>UPPSALA LÄN</t>
        </is>
      </c>
      <c r="E298" t="inlineStr">
        <is>
          <t>ÖSTHAMMAR</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59414-2020</t>
        </is>
      </c>
      <c r="B299" s="1" t="n">
        <v>44148</v>
      </c>
      <c r="C299" s="1" t="n">
        <v>45803</v>
      </c>
      <c r="D299" t="inlineStr">
        <is>
          <t>UPPSALA LÄN</t>
        </is>
      </c>
      <c r="E299" t="inlineStr">
        <is>
          <t>ÖSTHAMMAR</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59417-2020</t>
        </is>
      </c>
      <c r="B300" s="1" t="n">
        <v>44148</v>
      </c>
      <c r="C300" s="1" t="n">
        <v>45803</v>
      </c>
      <c r="D300" t="inlineStr">
        <is>
          <t>UPPSALA LÄN</t>
        </is>
      </c>
      <c r="E300" t="inlineStr">
        <is>
          <t>ÖSTHAMMAR</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59714-2020</t>
        </is>
      </c>
      <c r="B301" s="1" t="n">
        <v>44151</v>
      </c>
      <c r="C301" s="1" t="n">
        <v>45803</v>
      </c>
      <c r="D301" t="inlineStr">
        <is>
          <t>UPPSALA LÄN</t>
        </is>
      </c>
      <c r="E301" t="inlineStr">
        <is>
          <t>ÖSTHAMMAR</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59807-2020</t>
        </is>
      </c>
      <c r="B302" s="1" t="n">
        <v>44151</v>
      </c>
      <c r="C302" s="1" t="n">
        <v>45803</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61193-2020</t>
        </is>
      </c>
      <c r="B303" s="1" t="n">
        <v>44155</v>
      </c>
      <c r="C303" s="1" t="n">
        <v>45803</v>
      </c>
      <c r="D303" t="inlineStr">
        <is>
          <t>UPPSALA LÄN</t>
        </is>
      </c>
      <c r="E303" t="inlineStr">
        <is>
          <t>ÖSTHAMMAR</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62484-2020</t>
        </is>
      </c>
      <c r="B304" s="1" t="n">
        <v>44160</v>
      </c>
      <c r="C304" s="1" t="n">
        <v>45803</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63637-2020</t>
        </is>
      </c>
      <c r="B305" s="1" t="n">
        <v>44162</v>
      </c>
      <c r="C305" s="1" t="n">
        <v>45803</v>
      </c>
      <c r="D305" t="inlineStr">
        <is>
          <t>UPPSALA LÄN</t>
        </is>
      </c>
      <c r="E305" t="inlineStr">
        <is>
          <t>ÖSTHAMMAR</t>
        </is>
      </c>
      <c r="G305" t="n">
        <v>4</v>
      </c>
      <c r="H305" t="n">
        <v>0</v>
      </c>
      <c r="I305" t="n">
        <v>0</v>
      </c>
      <c r="J305" t="n">
        <v>0</v>
      </c>
      <c r="K305" t="n">
        <v>0</v>
      </c>
      <c r="L305" t="n">
        <v>0</v>
      </c>
      <c r="M305" t="n">
        <v>0</v>
      </c>
      <c r="N305" t="n">
        <v>0</v>
      </c>
      <c r="O305" t="n">
        <v>0</v>
      </c>
      <c r="P305" t="n">
        <v>0</v>
      </c>
      <c r="Q305" t="n">
        <v>0</v>
      </c>
      <c r="R305" s="2" t="inlineStr"/>
    </row>
    <row r="306" ht="15" customHeight="1">
      <c r="A306" t="inlineStr">
        <is>
          <t>A 63577-2020</t>
        </is>
      </c>
      <c r="B306" s="1" t="n">
        <v>44165</v>
      </c>
      <c r="C306" s="1" t="n">
        <v>45803</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63987-2020</t>
        </is>
      </c>
      <c r="B307" s="1" t="n">
        <v>44167</v>
      </c>
      <c r="C307" s="1" t="n">
        <v>45803</v>
      </c>
      <c r="D307" t="inlineStr">
        <is>
          <t>UPPSALA LÄN</t>
        </is>
      </c>
      <c r="E307" t="inlineStr">
        <is>
          <t>ÖSTHAMMAR</t>
        </is>
      </c>
      <c r="G307" t="n">
        <v>5.9</v>
      </c>
      <c r="H307" t="n">
        <v>0</v>
      </c>
      <c r="I307" t="n">
        <v>0</v>
      </c>
      <c r="J307" t="n">
        <v>0</v>
      </c>
      <c r="K307" t="n">
        <v>0</v>
      </c>
      <c r="L307" t="n">
        <v>0</v>
      </c>
      <c r="M307" t="n">
        <v>0</v>
      </c>
      <c r="N307" t="n">
        <v>0</v>
      </c>
      <c r="O307" t="n">
        <v>0</v>
      </c>
      <c r="P307" t="n">
        <v>0</v>
      </c>
      <c r="Q307" t="n">
        <v>0</v>
      </c>
      <c r="R307" s="2" t="inlineStr"/>
    </row>
    <row r="308" ht="15" customHeight="1">
      <c r="A308" t="inlineStr">
        <is>
          <t>A 65361-2020</t>
        </is>
      </c>
      <c r="B308" s="1" t="n">
        <v>44173</v>
      </c>
      <c r="C308" s="1" t="n">
        <v>45803</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68243-2020</t>
        </is>
      </c>
      <c r="B309" s="1" t="n">
        <v>44183</v>
      </c>
      <c r="C309" s="1" t="n">
        <v>45803</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68828-2020</t>
        </is>
      </c>
      <c r="B310" s="1" t="n">
        <v>44186</v>
      </c>
      <c r="C310" s="1" t="n">
        <v>45803</v>
      </c>
      <c r="D310" t="inlineStr">
        <is>
          <t>UPPSALA LÄN</t>
        </is>
      </c>
      <c r="E310" t="inlineStr">
        <is>
          <t>ÖSTHAMMAR</t>
        </is>
      </c>
      <c r="G310" t="n">
        <v>1.5</v>
      </c>
      <c r="H310" t="n">
        <v>0</v>
      </c>
      <c r="I310" t="n">
        <v>0</v>
      </c>
      <c r="J310" t="n">
        <v>0</v>
      </c>
      <c r="K310" t="n">
        <v>0</v>
      </c>
      <c r="L310" t="n">
        <v>0</v>
      </c>
      <c r="M310" t="n">
        <v>0</v>
      </c>
      <c r="N310" t="n">
        <v>0</v>
      </c>
      <c r="O310" t="n">
        <v>0</v>
      </c>
      <c r="P310" t="n">
        <v>0</v>
      </c>
      <c r="Q310" t="n">
        <v>0</v>
      </c>
      <c r="R310" s="2" t="inlineStr"/>
    </row>
    <row r="311" ht="15" customHeight="1">
      <c r="A311" t="inlineStr">
        <is>
          <t>A 69681-2020</t>
        </is>
      </c>
      <c r="B311" s="1" t="n">
        <v>44196</v>
      </c>
      <c r="C311" s="1" t="n">
        <v>45803</v>
      </c>
      <c r="D311" t="inlineStr">
        <is>
          <t>UPPSALA LÄN</t>
        </is>
      </c>
      <c r="E311" t="inlineStr">
        <is>
          <t>ÖSTHAMMAR</t>
        </is>
      </c>
      <c r="F311" t="inlineStr">
        <is>
          <t>Bergvik skog öst AB</t>
        </is>
      </c>
      <c r="G311" t="n">
        <v>21.9</v>
      </c>
      <c r="H311" t="n">
        <v>0</v>
      </c>
      <c r="I311" t="n">
        <v>0</v>
      </c>
      <c r="J311" t="n">
        <v>0</v>
      </c>
      <c r="K311" t="n">
        <v>0</v>
      </c>
      <c r="L311" t="n">
        <v>0</v>
      </c>
      <c r="M311" t="n">
        <v>0</v>
      </c>
      <c r="N311" t="n">
        <v>0</v>
      </c>
      <c r="O311" t="n">
        <v>0</v>
      </c>
      <c r="P311" t="n">
        <v>0</v>
      </c>
      <c r="Q311" t="n">
        <v>0</v>
      </c>
      <c r="R311" s="2" t="inlineStr"/>
    </row>
    <row r="312" ht="15" customHeight="1">
      <c r="A312" t="inlineStr">
        <is>
          <t>A 3693-2021</t>
        </is>
      </c>
      <c r="B312" s="1" t="n">
        <v>44221</v>
      </c>
      <c r="C312" s="1" t="n">
        <v>45803</v>
      </c>
      <c r="D312" t="inlineStr">
        <is>
          <t>UPPSALA LÄN</t>
        </is>
      </c>
      <c r="E312" t="inlineStr">
        <is>
          <t>ÖSTHAMMAR</t>
        </is>
      </c>
      <c r="G312" t="n">
        <v>0.3</v>
      </c>
      <c r="H312" t="n">
        <v>0</v>
      </c>
      <c r="I312" t="n">
        <v>0</v>
      </c>
      <c r="J312" t="n">
        <v>0</v>
      </c>
      <c r="K312" t="n">
        <v>0</v>
      </c>
      <c r="L312" t="n">
        <v>0</v>
      </c>
      <c r="M312" t="n">
        <v>0</v>
      </c>
      <c r="N312" t="n">
        <v>0</v>
      </c>
      <c r="O312" t="n">
        <v>0</v>
      </c>
      <c r="P312" t="n">
        <v>0</v>
      </c>
      <c r="Q312" t="n">
        <v>0</v>
      </c>
      <c r="R312" s="2" t="inlineStr"/>
    </row>
    <row r="313" ht="15" customHeight="1">
      <c r="A313" t="inlineStr">
        <is>
          <t>A 4151-2021</t>
        </is>
      </c>
      <c r="B313" s="1" t="n">
        <v>44221</v>
      </c>
      <c r="C313" s="1" t="n">
        <v>45803</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4590-2021</t>
        </is>
      </c>
      <c r="B314" s="1" t="n">
        <v>44224</v>
      </c>
      <c r="C314" s="1" t="n">
        <v>45803</v>
      </c>
      <c r="D314" t="inlineStr">
        <is>
          <t>UPPSALA LÄN</t>
        </is>
      </c>
      <c r="E314" t="inlineStr">
        <is>
          <t>ÖSTHAMMAR</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6221-2021</t>
        </is>
      </c>
      <c r="B315" s="1" t="n">
        <v>44235</v>
      </c>
      <c r="C315" s="1" t="n">
        <v>45803</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7113-2021</t>
        </is>
      </c>
      <c r="B316" s="1" t="n">
        <v>44238</v>
      </c>
      <c r="C316" s="1" t="n">
        <v>45803</v>
      </c>
      <c r="D316" t="inlineStr">
        <is>
          <t>UPPSALA LÄN</t>
        </is>
      </c>
      <c r="E316" t="inlineStr">
        <is>
          <t>ÖSTHAMMAR</t>
        </is>
      </c>
      <c r="F316" t="inlineStr">
        <is>
          <t>Bergvik skog öst AB</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8009-2021</t>
        </is>
      </c>
      <c r="B317" s="1" t="n">
        <v>44243</v>
      </c>
      <c r="C317" s="1" t="n">
        <v>45803</v>
      </c>
      <c r="D317" t="inlineStr">
        <is>
          <t>UPPSALA LÄN</t>
        </is>
      </c>
      <c r="E317" t="inlineStr">
        <is>
          <t>ÖSTHAMMAR</t>
        </is>
      </c>
      <c r="G317" t="n">
        <v>9.9</v>
      </c>
      <c r="H317" t="n">
        <v>0</v>
      </c>
      <c r="I317" t="n">
        <v>0</v>
      </c>
      <c r="J317" t="n">
        <v>0</v>
      </c>
      <c r="K317" t="n">
        <v>0</v>
      </c>
      <c r="L317" t="n">
        <v>0</v>
      </c>
      <c r="M317" t="n">
        <v>0</v>
      </c>
      <c r="N317" t="n">
        <v>0</v>
      </c>
      <c r="O317" t="n">
        <v>0</v>
      </c>
      <c r="P317" t="n">
        <v>0</v>
      </c>
      <c r="Q317" t="n">
        <v>0</v>
      </c>
      <c r="R317" s="2" t="inlineStr"/>
    </row>
    <row r="318" ht="15" customHeight="1">
      <c r="A318" t="inlineStr">
        <is>
          <t>A 10316-2021</t>
        </is>
      </c>
      <c r="B318" s="1" t="n">
        <v>44257</v>
      </c>
      <c r="C318" s="1" t="n">
        <v>45803</v>
      </c>
      <c r="D318" t="inlineStr">
        <is>
          <t>UPPSALA LÄN</t>
        </is>
      </c>
      <c r="E318" t="inlineStr">
        <is>
          <t>ÖSTHAMMAR</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10498-2021</t>
        </is>
      </c>
      <c r="B319" s="1" t="n">
        <v>44258</v>
      </c>
      <c r="C319" s="1" t="n">
        <v>45803</v>
      </c>
      <c r="D319" t="inlineStr">
        <is>
          <t>UPPSALA LÄN</t>
        </is>
      </c>
      <c r="E319" t="inlineStr">
        <is>
          <t>ÖSTHAMMAR</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14248-2021</t>
        </is>
      </c>
      <c r="B320" s="1" t="n">
        <v>44278</v>
      </c>
      <c r="C320" s="1" t="n">
        <v>45803</v>
      </c>
      <c r="D320" t="inlineStr">
        <is>
          <t>UPPSALA LÄN</t>
        </is>
      </c>
      <c r="E320" t="inlineStr">
        <is>
          <t>ÖSTHAMMAR</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14525-2021</t>
        </is>
      </c>
      <c r="B321" s="1" t="n">
        <v>44279</v>
      </c>
      <c r="C321" s="1" t="n">
        <v>45803</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16212-2021</t>
        </is>
      </c>
      <c r="B322" s="1" t="n">
        <v>44287</v>
      </c>
      <c r="C322" s="1" t="n">
        <v>45803</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16209-2021</t>
        </is>
      </c>
      <c r="B323" s="1" t="n">
        <v>44287</v>
      </c>
      <c r="C323" s="1" t="n">
        <v>45803</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17009-2021</t>
        </is>
      </c>
      <c r="B324" s="1" t="n">
        <v>44295</v>
      </c>
      <c r="C324" s="1" t="n">
        <v>45803</v>
      </c>
      <c r="D324" t="inlineStr">
        <is>
          <t>UPPSALA LÄN</t>
        </is>
      </c>
      <c r="E324" t="inlineStr">
        <is>
          <t>ÖSTHAMMAR</t>
        </is>
      </c>
      <c r="F324" t="inlineStr">
        <is>
          <t>Bergvik skog öst AB</t>
        </is>
      </c>
      <c r="G324" t="n">
        <v>3.2</v>
      </c>
      <c r="H324" t="n">
        <v>0</v>
      </c>
      <c r="I324" t="n">
        <v>0</v>
      </c>
      <c r="J324" t="n">
        <v>0</v>
      </c>
      <c r="K324" t="n">
        <v>0</v>
      </c>
      <c r="L324" t="n">
        <v>0</v>
      </c>
      <c r="M324" t="n">
        <v>0</v>
      </c>
      <c r="N324" t="n">
        <v>0</v>
      </c>
      <c r="O324" t="n">
        <v>0</v>
      </c>
      <c r="P324" t="n">
        <v>0</v>
      </c>
      <c r="Q324" t="n">
        <v>0</v>
      </c>
      <c r="R324" s="2" t="inlineStr"/>
    </row>
    <row r="325" ht="15" customHeight="1">
      <c r="A325" t="inlineStr">
        <is>
          <t>A 17022-2021</t>
        </is>
      </c>
      <c r="B325" s="1" t="n">
        <v>44295</v>
      </c>
      <c r="C325" s="1" t="n">
        <v>45803</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17033-2021</t>
        </is>
      </c>
      <c r="B326" s="1" t="n">
        <v>44295</v>
      </c>
      <c r="C326" s="1" t="n">
        <v>45803</v>
      </c>
      <c r="D326" t="inlineStr">
        <is>
          <t>UPPSALA LÄN</t>
        </is>
      </c>
      <c r="E326" t="inlineStr">
        <is>
          <t>ÖSTHAMMAR</t>
        </is>
      </c>
      <c r="F326" t="inlineStr">
        <is>
          <t>Bergvik skog öst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17349-2021</t>
        </is>
      </c>
      <c r="B327" s="1" t="n">
        <v>44298</v>
      </c>
      <c r="C327" s="1" t="n">
        <v>45803</v>
      </c>
      <c r="D327" t="inlineStr">
        <is>
          <t>UPPSALA LÄN</t>
        </is>
      </c>
      <c r="E327" t="inlineStr">
        <is>
          <t>ÖSTHAMMAR</t>
        </is>
      </c>
      <c r="F327" t="inlineStr">
        <is>
          <t>Bergvik skog öst AB</t>
        </is>
      </c>
      <c r="G327" t="n">
        <v>4.2</v>
      </c>
      <c r="H327" t="n">
        <v>0</v>
      </c>
      <c r="I327" t="n">
        <v>0</v>
      </c>
      <c r="J327" t="n">
        <v>0</v>
      </c>
      <c r="K327" t="n">
        <v>0</v>
      </c>
      <c r="L327" t="n">
        <v>0</v>
      </c>
      <c r="M327" t="n">
        <v>0</v>
      </c>
      <c r="N327" t="n">
        <v>0</v>
      </c>
      <c r="O327" t="n">
        <v>0</v>
      </c>
      <c r="P327" t="n">
        <v>0</v>
      </c>
      <c r="Q327" t="n">
        <v>0</v>
      </c>
      <c r="R327" s="2" t="inlineStr"/>
    </row>
    <row r="328" ht="15" customHeight="1">
      <c r="A328" t="inlineStr">
        <is>
          <t>A 18944-2021</t>
        </is>
      </c>
      <c r="B328" s="1" t="n">
        <v>44308</v>
      </c>
      <c r="C328" s="1" t="n">
        <v>45803</v>
      </c>
      <c r="D328" t="inlineStr">
        <is>
          <t>UPPSALA LÄN</t>
        </is>
      </c>
      <c r="E328" t="inlineStr">
        <is>
          <t>ÖSTHAMMAR</t>
        </is>
      </c>
      <c r="F328" t="inlineStr">
        <is>
          <t>Bergvik skog öst AB</t>
        </is>
      </c>
      <c r="G328" t="n">
        <v>12.5</v>
      </c>
      <c r="H328" t="n">
        <v>0</v>
      </c>
      <c r="I328" t="n">
        <v>0</v>
      </c>
      <c r="J328" t="n">
        <v>0</v>
      </c>
      <c r="K328" t="n">
        <v>0</v>
      </c>
      <c r="L328" t="n">
        <v>0</v>
      </c>
      <c r="M328" t="n">
        <v>0</v>
      </c>
      <c r="N328" t="n">
        <v>0</v>
      </c>
      <c r="O328" t="n">
        <v>0</v>
      </c>
      <c r="P328" t="n">
        <v>0</v>
      </c>
      <c r="Q328" t="n">
        <v>0</v>
      </c>
      <c r="R328" s="2" t="inlineStr"/>
    </row>
    <row r="329" ht="15" customHeight="1">
      <c r="A329" t="inlineStr">
        <is>
          <t>A 20326-2021</t>
        </is>
      </c>
      <c r="B329" s="1" t="n">
        <v>44308</v>
      </c>
      <c r="C329" s="1" t="n">
        <v>45803</v>
      </c>
      <c r="D329" t="inlineStr">
        <is>
          <t>UPPSALA LÄN</t>
        </is>
      </c>
      <c r="E329" t="inlineStr">
        <is>
          <t>ÖSTHAMMAR</t>
        </is>
      </c>
      <c r="G329" t="n">
        <v>7.8</v>
      </c>
      <c r="H329" t="n">
        <v>0</v>
      </c>
      <c r="I329" t="n">
        <v>0</v>
      </c>
      <c r="J329" t="n">
        <v>0</v>
      </c>
      <c r="K329" t="n">
        <v>0</v>
      </c>
      <c r="L329" t="n">
        <v>0</v>
      </c>
      <c r="M329" t="n">
        <v>0</v>
      </c>
      <c r="N329" t="n">
        <v>0</v>
      </c>
      <c r="O329" t="n">
        <v>0</v>
      </c>
      <c r="P329" t="n">
        <v>0</v>
      </c>
      <c r="Q329" t="n">
        <v>0</v>
      </c>
      <c r="R329" s="2" t="inlineStr"/>
    </row>
    <row r="330" ht="15" customHeight="1">
      <c r="A330" t="inlineStr">
        <is>
          <t>A 20325-2021</t>
        </is>
      </c>
      <c r="B330" s="1" t="n">
        <v>44308</v>
      </c>
      <c r="C330" s="1" t="n">
        <v>45803</v>
      </c>
      <c r="D330" t="inlineStr">
        <is>
          <t>UPPSALA LÄN</t>
        </is>
      </c>
      <c r="E330" t="inlineStr">
        <is>
          <t>ÖSTHAMMAR</t>
        </is>
      </c>
      <c r="G330" t="n">
        <v>5</v>
      </c>
      <c r="H330" t="n">
        <v>0</v>
      </c>
      <c r="I330" t="n">
        <v>0</v>
      </c>
      <c r="J330" t="n">
        <v>0</v>
      </c>
      <c r="K330" t="n">
        <v>0</v>
      </c>
      <c r="L330" t="n">
        <v>0</v>
      </c>
      <c r="M330" t="n">
        <v>0</v>
      </c>
      <c r="N330" t="n">
        <v>0</v>
      </c>
      <c r="O330" t="n">
        <v>0</v>
      </c>
      <c r="P330" t="n">
        <v>0</v>
      </c>
      <c r="Q330" t="n">
        <v>0</v>
      </c>
      <c r="R330" s="2" t="inlineStr"/>
    </row>
    <row r="331" ht="15" customHeight="1">
      <c r="A331" t="inlineStr">
        <is>
          <t>A 20324-2021</t>
        </is>
      </c>
      <c r="B331" s="1" t="n">
        <v>44308</v>
      </c>
      <c r="C331" s="1" t="n">
        <v>45803</v>
      </c>
      <c r="D331" t="inlineStr">
        <is>
          <t>UPPSALA LÄN</t>
        </is>
      </c>
      <c r="E331" t="inlineStr">
        <is>
          <t>ÖSTHAMMAR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19214-2021</t>
        </is>
      </c>
      <c r="B332" s="1" t="n">
        <v>44309</v>
      </c>
      <c r="C332" s="1" t="n">
        <v>45803</v>
      </c>
      <c r="D332" t="inlineStr">
        <is>
          <t>UPPSALA LÄN</t>
        </is>
      </c>
      <c r="E332" t="inlineStr">
        <is>
          <t>ÖSTHAMMAR</t>
        </is>
      </c>
      <c r="F332" t="inlineStr">
        <is>
          <t>Bergvik skog öst AB</t>
        </is>
      </c>
      <c r="G332" t="n">
        <v>6</v>
      </c>
      <c r="H332" t="n">
        <v>0</v>
      </c>
      <c r="I332" t="n">
        <v>0</v>
      </c>
      <c r="J332" t="n">
        <v>0</v>
      </c>
      <c r="K332" t="n">
        <v>0</v>
      </c>
      <c r="L332" t="n">
        <v>0</v>
      </c>
      <c r="M332" t="n">
        <v>0</v>
      </c>
      <c r="N332" t="n">
        <v>0</v>
      </c>
      <c r="O332" t="n">
        <v>0</v>
      </c>
      <c r="P332" t="n">
        <v>0</v>
      </c>
      <c r="Q332" t="n">
        <v>0</v>
      </c>
      <c r="R332" s="2" t="inlineStr"/>
    </row>
    <row r="333" ht="15" customHeight="1">
      <c r="A333" t="inlineStr">
        <is>
          <t>A 19552-2021</t>
        </is>
      </c>
      <c r="B333" s="1" t="n">
        <v>44312</v>
      </c>
      <c r="C333" s="1" t="n">
        <v>45803</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22709-2021</t>
        </is>
      </c>
      <c r="B334" s="1" t="n">
        <v>44327</v>
      </c>
      <c r="C334" s="1" t="n">
        <v>45803</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23120-2021</t>
        </is>
      </c>
      <c r="B335" s="1" t="n">
        <v>44330</v>
      </c>
      <c r="C335" s="1" t="n">
        <v>45803</v>
      </c>
      <c r="D335" t="inlineStr">
        <is>
          <t>UPPSALA LÄN</t>
        </is>
      </c>
      <c r="E335" t="inlineStr">
        <is>
          <t>ÖSTHAMMAR</t>
        </is>
      </c>
      <c r="G335" t="n">
        <v>0.5</v>
      </c>
      <c r="H335" t="n">
        <v>0</v>
      </c>
      <c r="I335" t="n">
        <v>0</v>
      </c>
      <c r="J335" t="n">
        <v>0</v>
      </c>
      <c r="K335" t="n">
        <v>0</v>
      </c>
      <c r="L335" t="n">
        <v>0</v>
      </c>
      <c r="M335" t="n">
        <v>0</v>
      </c>
      <c r="N335" t="n">
        <v>0</v>
      </c>
      <c r="O335" t="n">
        <v>0</v>
      </c>
      <c r="P335" t="n">
        <v>0</v>
      </c>
      <c r="Q335" t="n">
        <v>0</v>
      </c>
      <c r="R335" s="2" t="inlineStr"/>
    </row>
    <row r="336" ht="15" customHeight="1">
      <c r="A336" t="inlineStr">
        <is>
          <t>A 24062-2021</t>
        </is>
      </c>
      <c r="B336" s="1" t="n">
        <v>44336</v>
      </c>
      <c r="C336" s="1" t="n">
        <v>45803</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24316-2021</t>
        </is>
      </c>
      <c r="B337" s="1" t="n">
        <v>44337</v>
      </c>
      <c r="C337" s="1" t="n">
        <v>45803</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25033-2021</t>
        </is>
      </c>
      <c r="B338" s="1" t="n">
        <v>44341</v>
      </c>
      <c r="C338" s="1" t="n">
        <v>45803</v>
      </c>
      <c r="D338" t="inlineStr">
        <is>
          <t>UPPSALA LÄN</t>
        </is>
      </c>
      <c r="E338" t="inlineStr">
        <is>
          <t>ÖSTHAMMAR</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25378-2021</t>
        </is>
      </c>
      <c r="B339" s="1" t="n">
        <v>44342</v>
      </c>
      <c r="C339" s="1" t="n">
        <v>45803</v>
      </c>
      <c r="D339" t="inlineStr">
        <is>
          <t>UPPSALA LÄN</t>
        </is>
      </c>
      <c r="E339" t="inlineStr">
        <is>
          <t>ÖSTHAMMAR</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25395-2021</t>
        </is>
      </c>
      <c r="B340" s="1" t="n">
        <v>44342</v>
      </c>
      <c r="C340" s="1" t="n">
        <v>45803</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26257-2021</t>
        </is>
      </c>
      <c r="B341" s="1" t="n">
        <v>44347</v>
      </c>
      <c r="C341" s="1" t="n">
        <v>45803</v>
      </c>
      <c r="D341" t="inlineStr">
        <is>
          <t>UPPSALA LÄN</t>
        </is>
      </c>
      <c r="E341" t="inlineStr">
        <is>
          <t>ÖSTHAMMAR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27939-2021</t>
        </is>
      </c>
      <c r="B342" s="1" t="n">
        <v>44354</v>
      </c>
      <c r="C342" s="1" t="n">
        <v>45803</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27940-2021</t>
        </is>
      </c>
      <c r="B343" s="1" t="n">
        <v>44354</v>
      </c>
      <c r="C343" s="1" t="n">
        <v>45803</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29282-2021</t>
        </is>
      </c>
      <c r="B344" s="1" t="n">
        <v>44361</v>
      </c>
      <c r="C344" s="1" t="n">
        <v>45803</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30927-2021</t>
        </is>
      </c>
      <c r="B345" s="1" t="n">
        <v>44365</v>
      </c>
      <c r="C345" s="1" t="n">
        <v>45803</v>
      </c>
      <c r="D345" t="inlineStr">
        <is>
          <t>UPPSALA LÄN</t>
        </is>
      </c>
      <c r="E345" t="inlineStr">
        <is>
          <t>ÖSTHAMMAR</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45803</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31263-2021</t>
        </is>
      </c>
      <c r="B347" s="1" t="n">
        <v>44368</v>
      </c>
      <c r="C347" s="1" t="n">
        <v>45803</v>
      </c>
      <c r="D347" t="inlineStr">
        <is>
          <t>UPPSALA LÄN</t>
        </is>
      </c>
      <c r="E347" t="inlineStr">
        <is>
          <t>ÖSTHAMMAR</t>
        </is>
      </c>
      <c r="G347" t="n">
        <v>1.9</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v>
      </c>
      <c r="C348" s="1" t="n">
        <v>45803</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32939-2021</t>
        </is>
      </c>
      <c r="B349" s="1" t="n">
        <v>44376</v>
      </c>
      <c r="C349" s="1" t="n">
        <v>45803</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32948-2021</t>
        </is>
      </c>
      <c r="B350" s="1" t="n">
        <v>44376</v>
      </c>
      <c r="C350" s="1" t="n">
        <v>45803</v>
      </c>
      <c r="D350" t="inlineStr">
        <is>
          <t>UPPSALA LÄN</t>
        </is>
      </c>
      <c r="E350" t="inlineStr">
        <is>
          <t>ÖSTHAMMAR</t>
        </is>
      </c>
      <c r="F350" t="inlineStr">
        <is>
          <t>Bergvik skog öst AB</t>
        </is>
      </c>
      <c r="G350" t="n">
        <v>13.5</v>
      </c>
      <c r="H350" t="n">
        <v>0</v>
      </c>
      <c r="I350" t="n">
        <v>0</v>
      </c>
      <c r="J350" t="n">
        <v>0</v>
      </c>
      <c r="K350" t="n">
        <v>0</v>
      </c>
      <c r="L350" t="n">
        <v>0</v>
      </c>
      <c r="M350" t="n">
        <v>0</v>
      </c>
      <c r="N350" t="n">
        <v>0</v>
      </c>
      <c r="O350" t="n">
        <v>0</v>
      </c>
      <c r="P350" t="n">
        <v>0</v>
      </c>
      <c r="Q350" t="n">
        <v>0</v>
      </c>
      <c r="R350" s="2" t="inlineStr"/>
    </row>
    <row r="351" ht="15" customHeight="1">
      <c r="A351" t="inlineStr">
        <is>
          <t>A 33062-2021</t>
        </is>
      </c>
      <c r="B351" s="1" t="n">
        <v>44376</v>
      </c>
      <c r="C351" s="1" t="n">
        <v>45803</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33056-2021</t>
        </is>
      </c>
      <c r="B352" s="1" t="n">
        <v>44376</v>
      </c>
      <c r="C352" s="1" t="n">
        <v>45803</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33271-2021</t>
        </is>
      </c>
      <c r="B353" s="1" t="n">
        <v>44377</v>
      </c>
      <c r="C353" s="1" t="n">
        <v>45803</v>
      </c>
      <c r="D353" t="inlineStr">
        <is>
          <t>UPPSALA LÄN</t>
        </is>
      </c>
      <c r="E353" t="inlineStr">
        <is>
          <t>ÖSTHAMMAR</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38411-2021</t>
        </is>
      </c>
      <c r="B354" s="1" t="n">
        <v>44406</v>
      </c>
      <c r="C354" s="1" t="n">
        <v>45803</v>
      </c>
      <c r="D354" t="inlineStr">
        <is>
          <t>UPPSALA LÄN</t>
        </is>
      </c>
      <c r="E354" t="inlineStr">
        <is>
          <t>ÖSTHAMMAR</t>
        </is>
      </c>
      <c r="F354" t="inlineStr">
        <is>
          <t>Bergvik skog öst AB</t>
        </is>
      </c>
      <c r="G354" t="n">
        <v>20.6</v>
      </c>
      <c r="H354" t="n">
        <v>0</v>
      </c>
      <c r="I354" t="n">
        <v>0</v>
      </c>
      <c r="J354" t="n">
        <v>0</v>
      </c>
      <c r="K354" t="n">
        <v>0</v>
      </c>
      <c r="L354" t="n">
        <v>0</v>
      </c>
      <c r="M354" t="n">
        <v>0</v>
      </c>
      <c r="N354" t="n">
        <v>0</v>
      </c>
      <c r="O354" t="n">
        <v>0</v>
      </c>
      <c r="P354" t="n">
        <v>0</v>
      </c>
      <c r="Q354" t="n">
        <v>0</v>
      </c>
      <c r="R354" s="2" t="inlineStr"/>
    </row>
    <row r="355" ht="15" customHeight="1">
      <c r="A355" t="inlineStr">
        <is>
          <t>A 40606-2021</t>
        </is>
      </c>
      <c r="B355" s="1" t="n">
        <v>44420</v>
      </c>
      <c r="C355" s="1" t="n">
        <v>45803</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41531-2021</t>
        </is>
      </c>
      <c r="B356" s="1" t="n">
        <v>44425</v>
      </c>
      <c r="C356" s="1" t="n">
        <v>45803</v>
      </c>
      <c r="D356" t="inlineStr">
        <is>
          <t>UPPSALA LÄN</t>
        </is>
      </c>
      <c r="E356" t="inlineStr">
        <is>
          <t>ÖSTHAMMAR</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41558-2021</t>
        </is>
      </c>
      <c r="B357" s="1" t="n">
        <v>44425</v>
      </c>
      <c r="C357" s="1" t="n">
        <v>45803</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41538-2021</t>
        </is>
      </c>
      <c r="B358" s="1" t="n">
        <v>44425</v>
      </c>
      <c r="C358" s="1" t="n">
        <v>45803</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41744-2021</t>
        </is>
      </c>
      <c r="B359" s="1" t="n">
        <v>44425</v>
      </c>
      <c r="C359" s="1" t="n">
        <v>45803</v>
      </c>
      <c r="D359" t="inlineStr">
        <is>
          <t>UPPSALA LÄN</t>
        </is>
      </c>
      <c r="E359" t="inlineStr">
        <is>
          <t>ÖSTHAMMAR</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43469-2021</t>
        </is>
      </c>
      <c r="B360" s="1" t="n">
        <v>44432</v>
      </c>
      <c r="C360" s="1" t="n">
        <v>45803</v>
      </c>
      <c r="D360" t="inlineStr">
        <is>
          <t>UPPSALA LÄN</t>
        </is>
      </c>
      <c r="E360" t="inlineStr">
        <is>
          <t>ÖSTHAMMAR</t>
        </is>
      </c>
      <c r="G360" t="n">
        <v>3.9</v>
      </c>
      <c r="H360" t="n">
        <v>0</v>
      </c>
      <c r="I360" t="n">
        <v>0</v>
      </c>
      <c r="J360" t="n">
        <v>0</v>
      </c>
      <c r="K360" t="n">
        <v>0</v>
      </c>
      <c r="L360" t="n">
        <v>0</v>
      </c>
      <c r="M360" t="n">
        <v>0</v>
      </c>
      <c r="N360" t="n">
        <v>0</v>
      </c>
      <c r="O360" t="n">
        <v>0</v>
      </c>
      <c r="P360" t="n">
        <v>0</v>
      </c>
      <c r="Q360" t="n">
        <v>0</v>
      </c>
      <c r="R360" s="2" t="inlineStr"/>
    </row>
    <row r="361" ht="15" customHeight="1">
      <c r="A361" t="inlineStr">
        <is>
          <t>A 48308-2021</t>
        </is>
      </c>
      <c r="B361" s="1" t="n">
        <v>44450</v>
      </c>
      <c r="C361" s="1" t="n">
        <v>45803</v>
      </c>
      <c r="D361" t="inlineStr">
        <is>
          <t>UPPSALA LÄN</t>
        </is>
      </c>
      <c r="E361" t="inlineStr">
        <is>
          <t>ÖSTHAMMAR</t>
        </is>
      </c>
      <c r="G361" t="n">
        <v>3.5</v>
      </c>
      <c r="H361" t="n">
        <v>0</v>
      </c>
      <c r="I361" t="n">
        <v>0</v>
      </c>
      <c r="J361" t="n">
        <v>0</v>
      </c>
      <c r="K361" t="n">
        <v>0</v>
      </c>
      <c r="L361" t="n">
        <v>0</v>
      </c>
      <c r="M361" t="n">
        <v>0</v>
      </c>
      <c r="N361" t="n">
        <v>0</v>
      </c>
      <c r="O361" t="n">
        <v>0</v>
      </c>
      <c r="P361" t="n">
        <v>0</v>
      </c>
      <c r="Q361" t="n">
        <v>0</v>
      </c>
      <c r="R361" s="2" t="inlineStr"/>
    </row>
    <row r="362" ht="15" customHeight="1">
      <c r="A362" t="inlineStr">
        <is>
          <t>A 51010-2021</t>
        </is>
      </c>
      <c r="B362" s="1" t="n">
        <v>44460</v>
      </c>
      <c r="C362" s="1" t="n">
        <v>45803</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51412-2021</t>
        </is>
      </c>
      <c r="B363" s="1" t="n">
        <v>44461</v>
      </c>
      <c r="C363" s="1" t="n">
        <v>45803</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51364-2021</t>
        </is>
      </c>
      <c r="B364" s="1" t="n">
        <v>44461</v>
      </c>
      <c r="C364" s="1" t="n">
        <v>45803</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51612-2021</t>
        </is>
      </c>
      <c r="B365" s="1" t="n">
        <v>44462</v>
      </c>
      <c r="C365" s="1" t="n">
        <v>45803</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52659-2021</t>
        </is>
      </c>
      <c r="B366" s="1" t="n">
        <v>44466</v>
      </c>
      <c r="C366" s="1" t="n">
        <v>45803</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52544-2021</t>
        </is>
      </c>
      <c r="B367" s="1" t="n">
        <v>44466</v>
      </c>
      <c r="C367" s="1" t="n">
        <v>45803</v>
      </c>
      <c r="D367" t="inlineStr">
        <is>
          <t>UPPSALA LÄN</t>
        </is>
      </c>
      <c r="E367" t="inlineStr">
        <is>
          <t>ÖSTHAMMAR</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52898-2021</t>
        </is>
      </c>
      <c r="B368" s="1" t="n">
        <v>44467</v>
      </c>
      <c r="C368" s="1" t="n">
        <v>45803</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55646-2021</t>
        </is>
      </c>
      <c r="B369" s="1" t="n">
        <v>44476</v>
      </c>
      <c r="C369" s="1" t="n">
        <v>45803</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55872-2021</t>
        </is>
      </c>
      <c r="B370" s="1" t="n">
        <v>44476</v>
      </c>
      <c r="C370" s="1" t="n">
        <v>45803</v>
      </c>
      <c r="D370" t="inlineStr">
        <is>
          <t>UPPSALA LÄN</t>
        </is>
      </c>
      <c r="E370" t="inlineStr">
        <is>
          <t>ÖSTHAMMAR</t>
        </is>
      </c>
      <c r="F370" t="inlineStr">
        <is>
          <t>Bergvik skog öst AB</t>
        </is>
      </c>
      <c r="G370" t="n">
        <v>13.7</v>
      </c>
      <c r="H370" t="n">
        <v>0</v>
      </c>
      <c r="I370" t="n">
        <v>0</v>
      </c>
      <c r="J370" t="n">
        <v>0</v>
      </c>
      <c r="K370" t="n">
        <v>0</v>
      </c>
      <c r="L370" t="n">
        <v>0</v>
      </c>
      <c r="M370" t="n">
        <v>0</v>
      </c>
      <c r="N370" t="n">
        <v>0</v>
      </c>
      <c r="O370" t="n">
        <v>0</v>
      </c>
      <c r="P370" t="n">
        <v>0</v>
      </c>
      <c r="Q370" t="n">
        <v>0</v>
      </c>
      <c r="R370" s="2" t="inlineStr"/>
    </row>
    <row r="371" ht="15" customHeight="1">
      <c r="A371" t="inlineStr">
        <is>
          <t>A 57003-2021</t>
        </is>
      </c>
      <c r="B371" s="1" t="n">
        <v>44482</v>
      </c>
      <c r="C371" s="1" t="n">
        <v>45803</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57080-2021</t>
        </is>
      </c>
      <c r="B372" s="1" t="n">
        <v>44482</v>
      </c>
      <c r="C372" s="1" t="n">
        <v>45803</v>
      </c>
      <c r="D372" t="inlineStr">
        <is>
          <t>UPPSALA LÄN</t>
        </is>
      </c>
      <c r="E372" t="inlineStr">
        <is>
          <t>ÖSTHAMMAR</t>
        </is>
      </c>
      <c r="F372" t="inlineStr">
        <is>
          <t>Bergvik skog öst AB</t>
        </is>
      </c>
      <c r="G372" t="n">
        <v>13.4</v>
      </c>
      <c r="H372" t="n">
        <v>0</v>
      </c>
      <c r="I372" t="n">
        <v>0</v>
      </c>
      <c r="J372" t="n">
        <v>0</v>
      </c>
      <c r="K372" t="n">
        <v>0</v>
      </c>
      <c r="L372" t="n">
        <v>0</v>
      </c>
      <c r="M372" t="n">
        <v>0</v>
      </c>
      <c r="N372" t="n">
        <v>0</v>
      </c>
      <c r="O372" t="n">
        <v>0</v>
      </c>
      <c r="P372" t="n">
        <v>0</v>
      </c>
      <c r="Q372" t="n">
        <v>0</v>
      </c>
      <c r="R372" s="2" t="inlineStr"/>
    </row>
    <row r="373" ht="15" customHeight="1">
      <c r="A373" t="inlineStr">
        <is>
          <t>A 58334-2021</t>
        </is>
      </c>
      <c r="B373" s="1" t="n">
        <v>44488</v>
      </c>
      <c r="C373" s="1" t="n">
        <v>45803</v>
      </c>
      <c r="D373" t="inlineStr">
        <is>
          <t>UPPSALA LÄN</t>
        </is>
      </c>
      <c r="E373" t="inlineStr">
        <is>
          <t>ÖSTHAMMAR</t>
        </is>
      </c>
      <c r="G373" t="n">
        <v>5.7</v>
      </c>
      <c r="H373" t="n">
        <v>0</v>
      </c>
      <c r="I373" t="n">
        <v>0</v>
      </c>
      <c r="J373" t="n">
        <v>0</v>
      </c>
      <c r="K373" t="n">
        <v>0</v>
      </c>
      <c r="L373" t="n">
        <v>0</v>
      </c>
      <c r="M373" t="n">
        <v>0</v>
      </c>
      <c r="N373" t="n">
        <v>0</v>
      </c>
      <c r="O373" t="n">
        <v>0</v>
      </c>
      <c r="P373" t="n">
        <v>0</v>
      </c>
      <c r="Q373" t="n">
        <v>0</v>
      </c>
      <c r="R373" s="2" t="inlineStr"/>
    </row>
    <row r="374" ht="15" customHeight="1">
      <c r="A374" t="inlineStr">
        <is>
          <t>A 59360-2021</t>
        </is>
      </c>
      <c r="B374" s="1" t="n">
        <v>44491</v>
      </c>
      <c r="C374" s="1" t="n">
        <v>45803</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59498-2021</t>
        </is>
      </c>
      <c r="B375" s="1" t="n">
        <v>44491</v>
      </c>
      <c r="C375" s="1" t="n">
        <v>45803</v>
      </c>
      <c r="D375" t="inlineStr">
        <is>
          <t>UPPSALA LÄN</t>
        </is>
      </c>
      <c r="E375" t="inlineStr">
        <is>
          <t>ÖSTHAMMAR</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60047-2021</t>
        </is>
      </c>
      <c r="B376" s="1" t="n">
        <v>44495</v>
      </c>
      <c r="C376" s="1" t="n">
        <v>45803</v>
      </c>
      <c r="D376" t="inlineStr">
        <is>
          <t>UPPSALA LÄN</t>
        </is>
      </c>
      <c r="E376" t="inlineStr">
        <is>
          <t>ÖSTHAMMAR</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60577-2021</t>
        </is>
      </c>
      <c r="B377" s="1" t="n">
        <v>44496</v>
      </c>
      <c r="C377" s="1" t="n">
        <v>45803</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60584-2021</t>
        </is>
      </c>
      <c r="B378" s="1" t="n">
        <v>44496</v>
      </c>
      <c r="C378" s="1" t="n">
        <v>45803</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61746-2021</t>
        </is>
      </c>
      <c r="B379" s="1" t="n">
        <v>44498</v>
      </c>
      <c r="C379" s="1" t="n">
        <v>45803</v>
      </c>
      <c r="D379" t="inlineStr">
        <is>
          <t>UPPSALA LÄN</t>
        </is>
      </c>
      <c r="E379" t="inlineStr">
        <is>
          <t>ÖSTHAMMAR</t>
        </is>
      </c>
      <c r="G379" t="n">
        <v>5.6</v>
      </c>
      <c r="H379" t="n">
        <v>0</v>
      </c>
      <c r="I379" t="n">
        <v>0</v>
      </c>
      <c r="J379" t="n">
        <v>0</v>
      </c>
      <c r="K379" t="n">
        <v>0</v>
      </c>
      <c r="L379" t="n">
        <v>0</v>
      </c>
      <c r="M379" t="n">
        <v>0</v>
      </c>
      <c r="N379" t="n">
        <v>0</v>
      </c>
      <c r="O379" t="n">
        <v>0</v>
      </c>
      <c r="P379" t="n">
        <v>0</v>
      </c>
      <c r="Q379" t="n">
        <v>0</v>
      </c>
      <c r="R379" s="2" t="inlineStr"/>
    </row>
    <row r="380" ht="15" customHeight="1">
      <c r="A380" t="inlineStr">
        <is>
          <t>A 61555-2021</t>
        </is>
      </c>
      <c r="B380" s="1" t="n">
        <v>44501</v>
      </c>
      <c r="C380" s="1" t="n">
        <v>45803</v>
      </c>
      <c r="D380" t="inlineStr">
        <is>
          <t>UPPSALA LÄN</t>
        </is>
      </c>
      <c r="E380" t="inlineStr">
        <is>
          <t>ÖSTHAMMAR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61560-2021</t>
        </is>
      </c>
      <c r="B381" s="1" t="n">
        <v>44501</v>
      </c>
      <c r="C381" s="1" t="n">
        <v>45803</v>
      </c>
      <c r="D381" t="inlineStr">
        <is>
          <t>UPPSALA LÄN</t>
        </is>
      </c>
      <c r="E381" t="inlineStr">
        <is>
          <t>ÖSTHAMMAR</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61817-2021</t>
        </is>
      </c>
      <c r="B382" s="1" t="n">
        <v>44501</v>
      </c>
      <c r="C382" s="1" t="n">
        <v>45803</v>
      </c>
      <c r="D382" t="inlineStr">
        <is>
          <t>UPPSALA LÄN</t>
        </is>
      </c>
      <c r="E382" t="inlineStr">
        <is>
          <t>ÖSTHAMMAR</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62854-2021</t>
        </is>
      </c>
      <c r="B383" s="1" t="n">
        <v>44504</v>
      </c>
      <c r="C383" s="1" t="n">
        <v>45803</v>
      </c>
      <c r="D383" t="inlineStr">
        <is>
          <t>UPPSALA LÄN</t>
        </is>
      </c>
      <c r="E383" t="inlineStr">
        <is>
          <t>ÖSTHAMMAR</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62782-2021</t>
        </is>
      </c>
      <c r="B384" s="1" t="n">
        <v>44504</v>
      </c>
      <c r="C384" s="1" t="n">
        <v>45803</v>
      </c>
      <c r="D384" t="inlineStr">
        <is>
          <t>UPPSALA LÄN</t>
        </is>
      </c>
      <c r="E384" t="inlineStr">
        <is>
          <t>ÖSTHAMMAR</t>
        </is>
      </c>
      <c r="G384" t="n">
        <v>2.6</v>
      </c>
      <c r="H384" t="n">
        <v>0</v>
      </c>
      <c r="I384" t="n">
        <v>0</v>
      </c>
      <c r="J384" t="n">
        <v>0</v>
      </c>
      <c r="K384" t="n">
        <v>0</v>
      </c>
      <c r="L384" t="n">
        <v>0</v>
      </c>
      <c r="M384" t="n">
        <v>0</v>
      </c>
      <c r="N384" t="n">
        <v>0</v>
      </c>
      <c r="O384" t="n">
        <v>0</v>
      </c>
      <c r="P384" t="n">
        <v>0</v>
      </c>
      <c r="Q384" t="n">
        <v>0</v>
      </c>
      <c r="R384" s="2" t="inlineStr"/>
    </row>
    <row r="385" ht="15" customHeight="1">
      <c r="A385" t="inlineStr">
        <is>
          <t>A 64586-2021</t>
        </is>
      </c>
      <c r="B385" s="1" t="n">
        <v>44511</v>
      </c>
      <c r="C385" s="1" t="n">
        <v>45803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64811-2021</t>
        </is>
      </c>
      <c r="B386" s="1" t="n">
        <v>44512</v>
      </c>
      <c r="C386" s="1" t="n">
        <v>45803</v>
      </c>
      <c r="D386" t="inlineStr">
        <is>
          <t>UPPSALA LÄN</t>
        </is>
      </c>
      <c r="E386" t="inlineStr">
        <is>
          <t>ÖSTHAMMAR</t>
        </is>
      </c>
      <c r="G386" t="n">
        <v>4.2</v>
      </c>
      <c r="H386" t="n">
        <v>0</v>
      </c>
      <c r="I386" t="n">
        <v>0</v>
      </c>
      <c r="J386" t="n">
        <v>0</v>
      </c>
      <c r="K386" t="n">
        <v>0</v>
      </c>
      <c r="L386" t="n">
        <v>0</v>
      </c>
      <c r="M386" t="n">
        <v>0</v>
      </c>
      <c r="N386" t="n">
        <v>0</v>
      </c>
      <c r="O386" t="n">
        <v>0</v>
      </c>
      <c r="P386" t="n">
        <v>0</v>
      </c>
      <c r="Q386" t="n">
        <v>0</v>
      </c>
      <c r="R386" s="2" t="inlineStr"/>
    </row>
    <row r="387" ht="15" customHeight="1">
      <c r="A387" t="inlineStr">
        <is>
          <t>A 64872-2021</t>
        </is>
      </c>
      <c r="B387" s="1" t="n">
        <v>44512</v>
      </c>
      <c r="C387" s="1" t="n">
        <v>45803</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64885-2021</t>
        </is>
      </c>
      <c r="B388" s="1" t="n">
        <v>44512</v>
      </c>
      <c r="C388" s="1" t="n">
        <v>45803</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45803</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65104-2021</t>
        </is>
      </c>
      <c r="B390" s="1" t="n">
        <v>44515</v>
      </c>
      <c r="C390" s="1" t="n">
        <v>45803</v>
      </c>
      <c r="D390" t="inlineStr">
        <is>
          <t>UPPSALA LÄN</t>
        </is>
      </c>
      <c r="E390" t="inlineStr">
        <is>
          <t>ÖSTHAMMAR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65028-2021</t>
        </is>
      </c>
      <c r="B391" s="1" t="n">
        <v>44515</v>
      </c>
      <c r="C391" s="1" t="n">
        <v>45803</v>
      </c>
      <c r="D391" t="inlineStr">
        <is>
          <t>UPPSALA LÄN</t>
        </is>
      </c>
      <c r="E391" t="inlineStr">
        <is>
          <t>ÖSTHAMMAR</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66549-2021</t>
        </is>
      </c>
      <c r="B392" s="1" t="n">
        <v>44519</v>
      </c>
      <c r="C392" s="1" t="n">
        <v>45803</v>
      </c>
      <c r="D392" t="inlineStr">
        <is>
          <t>UPPSALA LÄN</t>
        </is>
      </c>
      <c r="E392" t="inlineStr">
        <is>
          <t>ÖSTHAMMAR</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66779-2021</t>
        </is>
      </c>
      <c r="B393" s="1" t="n">
        <v>44522</v>
      </c>
      <c r="C393" s="1" t="n">
        <v>45803</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67033-2021</t>
        </is>
      </c>
      <c r="B394" s="1" t="n">
        <v>44522</v>
      </c>
      <c r="C394" s="1" t="n">
        <v>45803</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67030-2021</t>
        </is>
      </c>
      <c r="B395" s="1" t="n">
        <v>44522</v>
      </c>
      <c r="C395" s="1" t="n">
        <v>45803</v>
      </c>
      <c r="D395" t="inlineStr">
        <is>
          <t>UPPSALA LÄN</t>
        </is>
      </c>
      <c r="E395" t="inlineStr">
        <is>
          <t>ÖSTHAMMAR</t>
        </is>
      </c>
      <c r="G395" t="n">
        <v>8.6</v>
      </c>
      <c r="H395" t="n">
        <v>0</v>
      </c>
      <c r="I395" t="n">
        <v>0</v>
      </c>
      <c r="J395" t="n">
        <v>0</v>
      </c>
      <c r="K395" t="n">
        <v>0</v>
      </c>
      <c r="L395" t="n">
        <v>0</v>
      </c>
      <c r="M395" t="n">
        <v>0</v>
      </c>
      <c r="N395" t="n">
        <v>0</v>
      </c>
      <c r="O395" t="n">
        <v>0</v>
      </c>
      <c r="P395" t="n">
        <v>0</v>
      </c>
      <c r="Q395" t="n">
        <v>0</v>
      </c>
      <c r="R395" s="2" t="inlineStr"/>
    </row>
    <row r="396" ht="15" customHeight="1">
      <c r="A396" t="inlineStr">
        <is>
          <t>A 67151-2021</t>
        </is>
      </c>
      <c r="B396" s="1" t="n">
        <v>44523</v>
      </c>
      <c r="C396" s="1" t="n">
        <v>45803</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67199-2021</t>
        </is>
      </c>
      <c r="B397" s="1" t="n">
        <v>44523</v>
      </c>
      <c r="C397" s="1" t="n">
        <v>45803</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67217-2021</t>
        </is>
      </c>
      <c r="B398" s="1" t="n">
        <v>44523</v>
      </c>
      <c r="C398" s="1" t="n">
        <v>45803</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67859-2021</t>
        </is>
      </c>
      <c r="B399" s="1" t="n">
        <v>44525</v>
      </c>
      <c r="C399" s="1" t="n">
        <v>45803</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67848-2021</t>
        </is>
      </c>
      <c r="B400" s="1" t="n">
        <v>44525</v>
      </c>
      <c r="C400" s="1" t="n">
        <v>45803</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69505-2021</t>
        </is>
      </c>
      <c r="B401" s="1" t="n">
        <v>44531</v>
      </c>
      <c r="C401" s="1" t="n">
        <v>45803</v>
      </c>
      <c r="D401" t="inlineStr">
        <is>
          <t>UPPSALA LÄN</t>
        </is>
      </c>
      <c r="E401" t="inlineStr">
        <is>
          <t>ÖSTHAMMAR</t>
        </is>
      </c>
      <c r="F401" t="inlineStr">
        <is>
          <t>Bergvik skog öst AB</t>
        </is>
      </c>
      <c r="G401" t="n">
        <v>5.4</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v>
      </c>
      <c r="C402" s="1" t="n">
        <v>45803</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69518-2021</t>
        </is>
      </c>
      <c r="B403" s="1" t="n">
        <v>44531</v>
      </c>
      <c r="C403" s="1" t="n">
        <v>45803</v>
      </c>
      <c r="D403" t="inlineStr">
        <is>
          <t>UPPSALA LÄN</t>
        </is>
      </c>
      <c r="E403" t="inlineStr">
        <is>
          <t>ÖSTHAMMAR</t>
        </is>
      </c>
      <c r="G403" t="n">
        <v>4.5</v>
      </c>
      <c r="H403" t="n">
        <v>0</v>
      </c>
      <c r="I403" t="n">
        <v>0</v>
      </c>
      <c r="J403" t="n">
        <v>0</v>
      </c>
      <c r="K403" t="n">
        <v>0</v>
      </c>
      <c r="L403" t="n">
        <v>0</v>
      </c>
      <c r="M403" t="n">
        <v>0</v>
      </c>
      <c r="N403" t="n">
        <v>0</v>
      </c>
      <c r="O403" t="n">
        <v>0</v>
      </c>
      <c r="P403" t="n">
        <v>0</v>
      </c>
      <c r="Q403" t="n">
        <v>0</v>
      </c>
      <c r="R403" s="2" t="inlineStr"/>
    </row>
    <row r="404" ht="15" customHeight="1">
      <c r="A404" t="inlineStr">
        <is>
          <t>A 70008-2021</t>
        </is>
      </c>
      <c r="B404" s="1" t="n">
        <v>44533</v>
      </c>
      <c r="C404" s="1" t="n">
        <v>45803</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70408-2021</t>
        </is>
      </c>
      <c r="B405" s="1" t="n">
        <v>44536</v>
      </c>
      <c r="C405" s="1" t="n">
        <v>45803</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72627-2021</t>
        </is>
      </c>
      <c r="B406" s="1" t="n">
        <v>44546</v>
      </c>
      <c r="C406" s="1" t="n">
        <v>45803</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72637-2021</t>
        </is>
      </c>
      <c r="B407" s="1" t="n">
        <v>44546</v>
      </c>
      <c r="C407" s="1" t="n">
        <v>45803</v>
      </c>
      <c r="D407" t="inlineStr">
        <is>
          <t>UPPSALA LÄN</t>
        </is>
      </c>
      <c r="E407" t="inlineStr">
        <is>
          <t>ÖSTHAMMAR</t>
        </is>
      </c>
      <c r="G407" t="n">
        <v>2.5</v>
      </c>
      <c r="H407" t="n">
        <v>0</v>
      </c>
      <c r="I407" t="n">
        <v>0</v>
      </c>
      <c r="J407" t="n">
        <v>0</v>
      </c>
      <c r="K407" t="n">
        <v>0</v>
      </c>
      <c r="L407" t="n">
        <v>0</v>
      </c>
      <c r="M407" t="n">
        <v>0</v>
      </c>
      <c r="N407" t="n">
        <v>0</v>
      </c>
      <c r="O407" t="n">
        <v>0</v>
      </c>
      <c r="P407" t="n">
        <v>0</v>
      </c>
      <c r="Q407" t="n">
        <v>0</v>
      </c>
      <c r="R407" s="2" t="inlineStr"/>
    </row>
    <row r="408" ht="15" customHeight="1">
      <c r="A408" t="inlineStr">
        <is>
          <t>A 72969-2021</t>
        </is>
      </c>
      <c r="B408" s="1" t="n">
        <v>44548</v>
      </c>
      <c r="C408" s="1" t="n">
        <v>45803</v>
      </c>
      <c r="D408" t="inlineStr">
        <is>
          <t>UPPSALA LÄN</t>
        </is>
      </c>
      <c r="E408" t="inlineStr">
        <is>
          <t>ÖSTHAMMAR</t>
        </is>
      </c>
      <c r="F408" t="inlineStr">
        <is>
          <t>Bergvik skog öst AB</t>
        </is>
      </c>
      <c r="G408" t="n">
        <v>8</v>
      </c>
      <c r="H408" t="n">
        <v>0</v>
      </c>
      <c r="I408" t="n">
        <v>0</v>
      </c>
      <c r="J408" t="n">
        <v>0</v>
      </c>
      <c r="K408" t="n">
        <v>0</v>
      </c>
      <c r="L408" t="n">
        <v>0</v>
      </c>
      <c r="M408" t="n">
        <v>0</v>
      </c>
      <c r="N408" t="n">
        <v>0</v>
      </c>
      <c r="O408" t="n">
        <v>0</v>
      </c>
      <c r="P408" t="n">
        <v>0</v>
      </c>
      <c r="Q408" t="n">
        <v>0</v>
      </c>
      <c r="R408" s="2" t="inlineStr"/>
    </row>
    <row r="409" ht="15" customHeight="1">
      <c r="A409" t="inlineStr">
        <is>
          <t>A 73483-2021</t>
        </is>
      </c>
      <c r="B409" s="1" t="n">
        <v>44550</v>
      </c>
      <c r="C409" s="1" t="n">
        <v>45803</v>
      </c>
      <c r="D409" t="inlineStr">
        <is>
          <t>UPPSALA LÄN</t>
        </is>
      </c>
      <c r="E409" t="inlineStr">
        <is>
          <t>ÖSTHAMMAR</t>
        </is>
      </c>
      <c r="G409" t="n">
        <v>2.8</v>
      </c>
      <c r="H409" t="n">
        <v>0</v>
      </c>
      <c r="I409" t="n">
        <v>0</v>
      </c>
      <c r="J409" t="n">
        <v>0</v>
      </c>
      <c r="K409" t="n">
        <v>0</v>
      </c>
      <c r="L409" t="n">
        <v>0</v>
      </c>
      <c r="M409" t="n">
        <v>0</v>
      </c>
      <c r="N409" t="n">
        <v>0</v>
      </c>
      <c r="O409" t="n">
        <v>0</v>
      </c>
      <c r="P409" t="n">
        <v>0</v>
      </c>
      <c r="Q409" t="n">
        <v>0</v>
      </c>
      <c r="R409" s="2" t="inlineStr"/>
    </row>
    <row r="410" ht="15" customHeight="1">
      <c r="A410" t="inlineStr">
        <is>
          <t>A 73592-2021</t>
        </is>
      </c>
      <c r="B410" s="1" t="n">
        <v>44552</v>
      </c>
      <c r="C410" s="1" t="n">
        <v>45803</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73965-2021</t>
        </is>
      </c>
      <c r="B411" s="1" t="n">
        <v>44553</v>
      </c>
      <c r="C411" s="1" t="n">
        <v>45803</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73982-2021</t>
        </is>
      </c>
      <c r="B412" s="1" t="n">
        <v>44555</v>
      </c>
      <c r="C412" s="1" t="n">
        <v>45803</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v>
      </c>
      <c r="C413" s="1" t="n">
        <v>45803</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74429-2021</t>
        </is>
      </c>
      <c r="B414" s="1" t="n">
        <v>44560</v>
      </c>
      <c r="C414" s="1" t="n">
        <v>45803</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74467-2021</t>
        </is>
      </c>
      <c r="B415" s="1" t="n">
        <v>44560</v>
      </c>
      <c r="C415" s="1" t="n">
        <v>45803</v>
      </c>
      <c r="D415" t="inlineStr">
        <is>
          <t>UPPSALA LÄN</t>
        </is>
      </c>
      <c r="E415" t="inlineStr">
        <is>
          <t>ÖSTHAMMAR</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74428-2021</t>
        </is>
      </c>
      <c r="B416" s="1" t="n">
        <v>44560</v>
      </c>
      <c r="C416" s="1" t="n">
        <v>45803</v>
      </c>
      <c r="D416" t="inlineStr">
        <is>
          <t>UPPSALA LÄN</t>
        </is>
      </c>
      <c r="E416" t="inlineStr">
        <is>
          <t>ÖSTHAMMAR</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74436-2021</t>
        </is>
      </c>
      <c r="B417" s="1" t="n">
        <v>44560</v>
      </c>
      <c r="C417" s="1" t="n">
        <v>45803</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1238-2022</t>
        </is>
      </c>
      <c r="B418" s="1" t="n">
        <v>44572</v>
      </c>
      <c r="C418" s="1" t="n">
        <v>45803</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1609-2022</t>
        </is>
      </c>
      <c r="B419" s="1" t="n">
        <v>44573</v>
      </c>
      <c r="C419" s="1" t="n">
        <v>45803</v>
      </c>
      <c r="D419" t="inlineStr">
        <is>
          <t>UPPSALA LÄN</t>
        </is>
      </c>
      <c r="E419" t="inlineStr">
        <is>
          <t>ÖSTHAMMAR</t>
        </is>
      </c>
      <c r="G419" t="n">
        <v>5.3</v>
      </c>
      <c r="H419" t="n">
        <v>0</v>
      </c>
      <c r="I419" t="n">
        <v>0</v>
      </c>
      <c r="J419" t="n">
        <v>0</v>
      </c>
      <c r="K419" t="n">
        <v>0</v>
      </c>
      <c r="L419" t="n">
        <v>0</v>
      </c>
      <c r="M419" t="n">
        <v>0</v>
      </c>
      <c r="N419" t="n">
        <v>0</v>
      </c>
      <c r="O419" t="n">
        <v>0</v>
      </c>
      <c r="P419" t="n">
        <v>0</v>
      </c>
      <c r="Q419" t="n">
        <v>0</v>
      </c>
      <c r="R419" s="2" t="inlineStr"/>
    </row>
    <row r="420" ht="15" customHeight="1">
      <c r="A420" t="inlineStr">
        <is>
          <t>A 2085-2022</t>
        </is>
      </c>
      <c r="B420" s="1" t="n">
        <v>44576</v>
      </c>
      <c r="C420" s="1" t="n">
        <v>45803</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2108-2022</t>
        </is>
      </c>
      <c r="B421" s="1" t="n">
        <v>44577</v>
      </c>
      <c r="C421" s="1" t="n">
        <v>45803</v>
      </c>
      <c r="D421" t="inlineStr">
        <is>
          <t>UPPSALA LÄN</t>
        </is>
      </c>
      <c r="E421" t="inlineStr">
        <is>
          <t>ÖSTHAMMAR</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2168-2022</t>
        </is>
      </c>
      <c r="B422" s="1" t="n">
        <v>44578</v>
      </c>
      <c r="C422" s="1" t="n">
        <v>45803</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3638-2022</t>
        </is>
      </c>
      <c r="B423" s="1" t="n">
        <v>44578</v>
      </c>
      <c r="C423" s="1" t="n">
        <v>45803</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3725-2022</t>
        </is>
      </c>
      <c r="B424" s="1" t="n">
        <v>44586</v>
      </c>
      <c r="C424" s="1" t="n">
        <v>45803</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3732-2022</t>
        </is>
      </c>
      <c r="B425" s="1" t="n">
        <v>44586</v>
      </c>
      <c r="C425" s="1" t="n">
        <v>45803</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3740-2022</t>
        </is>
      </c>
      <c r="B426" s="1" t="n">
        <v>44586</v>
      </c>
      <c r="C426" s="1" t="n">
        <v>45803</v>
      </c>
      <c r="D426" t="inlineStr">
        <is>
          <t>UPPSALA LÄN</t>
        </is>
      </c>
      <c r="E426" t="inlineStr">
        <is>
          <t>ÖSTHAMMAR</t>
        </is>
      </c>
      <c r="F426" t="inlineStr">
        <is>
          <t>Bergvik skog öst AB</t>
        </is>
      </c>
      <c r="G426" t="n">
        <v>7.7</v>
      </c>
      <c r="H426" t="n">
        <v>0</v>
      </c>
      <c r="I426" t="n">
        <v>0</v>
      </c>
      <c r="J426" t="n">
        <v>0</v>
      </c>
      <c r="K426" t="n">
        <v>0</v>
      </c>
      <c r="L426" t="n">
        <v>0</v>
      </c>
      <c r="M426" t="n">
        <v>0</v>
      </c>
      <c r="N426" t="n">
        <v>0</v>
      </c>
      <c r="O426" t="n">
        <v>0</v>
      </c>
      <c r="P426" t="n">
        <v>0</v>
      </c>
      <c r="Q426" t="n">
        <v>0</v>
      </c>
      <c r="R426" s="2" t="inlineStr"/>
    </row>
    <row r="427" ht="15" customHeight="1">
      <c r="A427" t="inlineStr">
        <is>
          <t>A 3991-2022</t>
        </is>
      </c>
      <c r="B427" s="1" t="n">
        <v>44587</v>
      </c>
      <c r="C427" s="1" t="n">
        <v>45803</v>
      </c>
      <c r="D427" t="inlineStr">
        <is>
          <t>UPPSALA LÄN</t>
        </is>
      </c>
      <c r="E427" t="inlineStr">
        <is>
          <t>ÖSTHAMMAR</t>
        </is>
      </c>
      <c r="F427" t="inlineStr">
        <is>
          <t>Bergvik skog öst AB</t>
        </is>
      </c>
      <c r="G427" t="n">
        <v>3.7</v>
      </c>
      <c r="H427" t="n">
        <v>0</v>
      </c>
      <c r="I427" t="n">
        <v>0</v>
      </c>
      <c r="J427" t="n">
        <v>0</v>
      </c>
      <c r="K427" t="n">
        <v>0</v>
      </c>
      <c r="L427" t="n">
        <v>0</v>
      </c>
      <c r="M427" t="n">
        <v>0</v>
      </c>
      <c r="N427" t="n">
        <v>0</v>
      </c>
      <c r="O427" t="n">
        <v>0</v>
      </c>
      <c r="P427" t="n">
        <v>0</v>
      </c>
      <c r="Q427" t="n">
        <v>0</v>
      </c>
      <c r="R427" s="2" t="inlineStr"/>
    </row>
    <row r="428" ht="15" customHeight="1">
      <c r="A428" t="inlineStr">
        <is>
          <t>A 4101-2022</t>
        </is>
      </c>
      <c r="B428" s="1" t="n">
        <v>44588</v>
      </c>
      <c r="C428" s="1" t="n">
        <v>45803</v>
      </c>
      <c r="D428" t="inlineStr">
        <is>
          <t>UPPSALA LÄN</t>
        </is>
      </c>
      <c r="E428" t="inlineStr">
        <is>
          <t>ÖSTHAMMAR</t>
        </is>
      </c>
      <c r="G428" t="n">
        <v>4.4</v>
      </c>
      <c r="H428" t="n">
        <v>0</v>
      </c>
      <c r="I428" t="n">
        <v>0</v>
      </c>
      <c r="J428" t="n">
        <v>0</v>
      </c>
      <c r="K428" t="n">
        <v>0</v>
      </c>
      <c r="L428" t="n">
        <v>0</v>
      </c>
      <c r="M428" t="n">
        <v>0</v>
      </c>
      <c r="N428" t="n">
        <v>0</v>
      </c>
      <c r="O428" t="n">
        <v>0</v>
      </c>
      <c r="P428" t="n">
        <v>0</v>
      </c>
      <c r="Q428" t="n">
        <v>0</v>
      </c>
      <c r="R428" s="2" t="inlineStr"/>
    </row>
    <row r="429" ht="15" customHeight="1">
      <c r="A429" t="inlineStr">
        <is>
          <t>A 4318-2022</t>
        </is>
      </c>
      <c r="B429" s="1" t="n">
        <v>44588</v>
      </c>
      <c r="C429" s="1" t="n">
        <v>45803</v>
      </c>
      <c r="D429" t="inlineStr">
        <is>
          <t>UPPSALA LÄN</t>
        </is>
      </c>
      <c r="E429" t="inlineStr">
        <is>
          <t>ÖSTHAMMAR</t>
        </is>
      </c>
      <c r="F429" t="inlineStr">
        <is>
          <t>Bergvik skog öst AB</t>
        </is>
      </c>
      <c r="G429" t="n">
        <v>9.6</v>
      </c>
      <c r="H429" t="n">
        <v>0</v>
      </c>
      <c r="I429" t="n">
        <v>0</v>
      </c>
      <c r="J429" t="n">
        <v>0</v>
      </c>
      <c r="K429" t="n">
        <v>0</v>
      </c>
      <c r="L429" t="n">
        <v>0</v>
      </c>
      <c r="M429" t="n">
        <v>0</v>
      </c>
      <c r="N429" t="n">
        <v>0</v>
      </c>
      <c r="O429" t="n">
        <v>0</v>
      </c>
      <c r="P429" t="n">
        <v>0</v>
      </c>
      <c r="Q429" t="n">
        <v>0</v>
      </c>
      <c r="R429" s="2" t="inlineStr"/>
    </row>
    <row r="430" ht="15" customHeight="1">
      <c r="A430" t="inlineStr">
        <is>
          <t>A 4315-2022</t>
        </is>
      </c>
      <c r="B430" s="1" t="n">
        <v>44588</v>
      </c>
      <c r="C430" s="1" t="n">
        <v>45803</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4491-2022</t>
        </is>
      </c>
      <c r="B431" s="1" t="n">
        <v>44589</v>
      </c>
      <c r="C431" s="1" t="n">
        <v>45803</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4357-2022</t>
        </is>
      </c>
      <c r="B432" s="1" t="n">
        <v>44589</v>
      </c>
      <c r="C432" s="1" t="n">
        <v>45803</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4563-2022</t>
        </is>
      </c>
      <c r="B433" s="1" t="n">
        <v>44591</v>
      </c>
      <c r="C433" s="1" t="n">
        <v>45803</v>
      </c>
      <c r="D433" t="inlineStr">
        <is>
          <t>UPPSALA LÄN</t>
        </is>
      </c>
      <c r="E433" t="inlineStr">
        <is>
          <t>ÖSTHAMMAR</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4562-2022</t>
        </is>
      </c>
      <c r="B434" s="1" t="n">
        <v>44591</v>
      </c>
      <c r="C434" s="1" t="n">
        <v>45803</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4561-2022</t>
        </is>
      </c>
      <c r="B435" s="1" t="n">
        <v>44591</v>
      </c>
      <c r="C435" s="1" t="n">
        <v>45803</v>
      </c>
      <c r="D435" t="inlineStr">
        <is>
          <t>UPPSALA LÄN</t>
        </is>
      </c>
      <c r="E435" t="inlineStr">
        <is>
          <t>ÖSTHAMMAR</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4559-2022</t>
        </is>
      </c>
      <c r="B436" s="1" t="n">
        <v>44591</v>
      </c>
      <c r="C436" s="1" t="n">
        <v>45803</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4565-2022</t>
        </is>
      </c>
      <c r="B437" s="1" t="n">
        <v>44591</v>
      </c>
      <c r="C437" s="1" t="n">
        <v>45803</v>
      </c>
      <c r="D437" t="inlineStr">
        <is>
          <t>UPPSALA LÄN</t>
        </is>
      </c>
      <c r="E437" t="inlineStr">
        <is>
          <t>ÖSTHAMMAR</t>
        </is>
      </c>
      <c r="F437" t="inlineStr">
        <is>
          <t>Bergvik skog öst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5855-2022</t>
        </is>
      </c>
      <c r="B438" s="1" t="n">
        <v>44596</v>
      </c>
      <c r="C438" s="1" t="n">
        <v>45803</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5974-2022</t>
        </is>
      </c>
      <c r="B439" s="1" t="n">
        <v>44597</v>
      </c>
      <c r="C439" s="1" t="n">
        <v>45803</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v>
      </c>
      <c r="C440" s="1" t="n">
        <v>45803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5934-2022</t>
        </is>
      </c>
      <c r="B441" s="1" t="n">
        <v>44598</v>
      </c>
      <c r="C441" s="1" t="n">
        <v>45803</v>
      </c>
      <c r="D441" t="inlineStr">
        <is>
          <t>UPPSALA LÄN</t>
        </is>
      </c>
      <c r="E441" t="inlineStr">
        <is>
          <t>ÖSTHAMMAR</t>
        </is>
      </c>
      <c r="F441" t="inlineStr">
        <is>
          <t>Bergvik skog öst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5932-2022</t>
        </is>
      </c>
      <c r="B442" s="1" t="n">
        <v>44598</v>
      </c>
      <c r="C442" s="1" t="n">
        <v>45803</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5931-2022</t>
        </is>
      </c>
      <c r="B443" s="1" t="n">
        <v>44598</v>
      </c>
      <c r="C443" s="1" t="n">
        <v>45803</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6143-2022</t>
        </is>
      </c>
      <c r="B444" s="1" t="n">
        <v>44599</v>
      </c>
      <c r="C444" s="1" t="n">
        <v>45803</v>
      </c>
      <c r="D444" t="inlineStr">
        <is>
          <t>UPPSALA LÄN</t>
        </is>
      </c>
      <c r="E444" t="inlineStr">
        <is>
          <t>ÖSTHAMMAR</t>
        </is>
      </c>
      <c r="G444" t="n">
        <v>3.4</v>
      </c>
      <c r="H444" t="n">
        <v>0</v>
      </c>
      <c r="I444" t="n">
        <v>0</v>
      </c>
      <c r="J444" t="n">
        <v>0</v>
      </c>
      <c r="K444" t="n">
        <v>0</v>
      </c>
      <c r="L444" t="n">
        <v>0</v>
      </c>
      <c r="M444" t="n">
        <v>0</v>
      </c>
      <c r="N444" t="n">
        <v>0</v>
      </c>
      <c r="O444" t="n">
        <v>0</v>
      </c>
      <c r="P444" t="n">
        <v>0</v>
      </c>
      <c r="Q444" t="n">
        <v>0</v>
      </c>
      <c r="R444" s="2" t="inlineStr"/>
    </row>
    <row r="445" ht="15" customHeight="1">
      <c r="A445" t="inlineStr">
        <is>
          <t>A 6153-2022</t>
        </is>
      </c>
      <c r="B445" s="1" t="n">
        <v>44599</v>
      </c>
      <c r="C445" s="1" t="n">
        <v>45803</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6206-2022</t>
        </is>
      </c>
      <c r="B446" s="1" t="n">
        <v>44600</v>
      </c>
      <c r="C446" s="1" t="n">
        <v>45803</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6313-2022</t>
        </is>
      </c>
      <c r="B447" s="1" t="n">
        <v>44600</v>
      </c>
      <c r="C447" s="1" t="n">
        <v>45803</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45803</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7181-2022</t>
        </is>
      </c>
      <c r="B449" s="1" t="n">
        <v>44605</v>
      </c>
      <c r="C449" s="1" t="n">
        <v>45803</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7302-2022</t>
        </is>
      </c>
      <c r="B450" s="1" t="n">
        <v>44606</v>
      </c>
      <c r="C450" s="1" t="n">
        <v>45803</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7475-2022</t>
        </is>
      </c>
      <c r="B451" s="1" t="n">
        <v>44607</v>
      </c>
      <c r="C451" s="1" t="n">
        <v>45803</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7488-2022</t>
        </is>
      </c>
      <c r="B452" s="1" t="n">
        <v>44607</v>
      </c>
      <c r="C452" s="1" t="n">
        <v>45803</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7858-2022</t>
        </is>
      </c>
      <c r="B453" s="1" t="n">
        <v>44608</v>
      </c>
      <c r="C453" s="1" t="n">
        <v>45803</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7871-2022</t>
        </is>
      </c>
      <c r="B454" s="1" t="n">
        <v>44608</v>
      </c>
      <c r="C454" s="1" t="n">
        <v>45803</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7997-2022</t>
        </is>
      </c>
      <c r="B455" s="1" t="n">
        <v>44609</v>
      </c>
      <c r="C455" s="1" t="n">
        <v>45803</v>
      </c>
      <c r="D455" t="inlineStr">
        <is>
          <t>UPPSALA LÄN</t>
        </is>
      </c>
      <c r="E455" t="inlineStr">
        <is>
          <t>ÖSTHAMMAR</t>
        </is>
      </c>
      <c r="G455" t="n">
        <v>1.8</v>
      </c>
      <c r="H455" t="n">
        <v>0</v>
      </c>
      <c r="I455" t="n">
        <v>0</v>
      </c>
      <c r="J455" t="n">
        <v>0</v>
      </c>
      <c r="K455" t="n">
        <v>0</v>
      </c>
      <c r="L455" t="n">
        <v>0</v>
      </c>
      <c r="M455" t="n">
        <v>0</v>
      </c>
      <c r="N455" t="n">
        <v>0</v>
      </c>
      <c r="O455" t="n">
        <v>0</v>
      </c>
      <c r="P455" t="n">
        <v>0</v>
      </c>
      <c r="Q455" t="n">
        <v>0</v>
      </c>
      <c r="R455" s="2" t="inlineStr"/>
    </row>
    <row r="456" ht="15" customHeight="1">
      <c r="A456" t="inlineStr">
        <is>
          <t>A 8283-2022</t>
        </is>
      </c>
      <c r="B456" s="1" t="n">
        <v>44610</v>
      </c>
      <c r="C456" s="1" t="n">
        <v>45803</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8592-2022</t>
        </is>
      </c>
      <c r="B457" s="1" t="n">
        <v>44613</v>
      </c>
      <c r="C457" s="1" t="n">
        <v>45803</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8708-2022</t>
        </is>
      </c>
      <c r="B458" s="1" t="n">
        <v>44613</v>
      </c>
      <c r="C458" s="1" t="n">
        <v>45803</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8710-2022</t>
        </is>
      </c>
      <c r="B459" s="1" t="n">
        <v>44613</v>
      </c>
      <c r="C459" s="1" t="n">
        <v>45803</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8537-2022</t>
        </is>
      </c>
      <c r="B460" s="1" t="n">
        <v>44613</v>
      </c>
      <c r="C460" s="1" t="n">
        <v>45803</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8554-2022</t>
        </is>
      </c>
      <c r="B461" s="1" t="n">
        <v>44613</v>
      </c>
      <c r="C461" s="1" t="n">
        <v>45803</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8556-2022</t>
        </is>
      </c>
      <c r="B462" s="1" t="n">
        <v>44613</v>
      </c>
      <c r="C462" s="1" t="n">
        <v>45803</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45803</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8750-2022</t>
        </is>
      </c>
      <c r="B464" s="1" t="n">
        <v>44614</v>
      </c>
      <c r="C464" s="1" t="n">
        <v>45803</v>
      </c>
      <c r="D464" t="inlineStr">
        <is>
          <t>UPPSALA LÄN</t>
        </is>
      </c>
      <c r="E464" t="inlineStr">
        <is>
          <t>ÖSTHAMMAR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9755-2022</t>
        </is>
      </c>
      <c r="B465" s="1" t="n">
        <v>44618</v>
      </c>
      <c r="C465" s="1" t="n">
        <v>45803</v>
      </c>
      <c r="D465" t="inlineStr">
        <is>
          <t>UPPSALA LÄN</t>
        </is>
      </c>
      <c r="E465" t="inlineStr">
        <is>
          <t>ÖSTHAMMAR</t>
        </is>
      </c>
      <c r="F465" t="inlineStr">
        <is>
          <t>Bergvik skog öst AB</t>
        </is>
      </c>
      <c r="G465" t="n">
        <v>13.9</v>
      </c>
      <c r="H465" t="n">
        <v>0</v>
      </c>
      <c r="I465" t="n">
        <v>0</v>
      </c>
      <c r="J465" t="n">
        <v>0</v>
      </c>
      <c r="K465" t="n">
        <v>0</v>
      </c>
      <c r="L465" t="n">
        <v>0</v>
      </c>
      <c r="M465" t="n">
        <v>0</v>
      </c>
      <c r="N465" t="n">
        <v>0</v>
      </c>
      <c r="O465" t="n">
        <v>0</v>
      </c>
      <c r="P465" t="n">
        <v>0</v>
      </c>
      <c r="Q465" t="n">
        <v>0</v>
      </c>
      <c r="R465" s="2" t="inlineStr"/>
    </row>
    <row r="466" ht="15" customHeight="1">
      <c r="A466" t="inlineStr">
        <is>
          <t>A 9789-2022</t>
        </is>
      </c>
      <c r="B466" s="1" t="n">
        <v>44620</v>
      </c>
      <c r="C466" s="1" t="n">
        <v>45803</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9795-2022</t>
        </is>
      </c>
      <c r="B467" s="1" t="n">
        <v>44620</v>
      </c>
      <c r="C467" s="1" t="n">
        <v>45803</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45803</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10294-2022</t>
        </is>
      </c>
      <c r="B469" s="1" t="n">
        <v>44622</v>
      </c>
      <c r="C469" s="1" t="n">
        <v>45803</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10288-2022</t>
        </is>
      </c>
      <c r="B470" s="1" t="n">
        <v>44622</v>
      </c>
      <c r="C470" s="1" t="n">
        <v>45803</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10298-2022</t>
        </is>
      </c>
      <c r="B471" s="1" t="n">
        <v>44622</v>
      </c>
      <c r="C471" s="1" t="n">
        <v>45803</v>
      </c>
      <c r="D471" t="inlineStr">
        <is>
          <t>UPPSALA LÄN</t>
        </is>
      </c>
      <c r="E471" t="inlineStr">
        <is>
          <t>ÖSTHAMMAR</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10980-2022</t>
        </is>
      </c>
      <c r="B472" s="1" t="n">
        <v>44628</v>
      </c>
      <c r="C472" s="1" t="n">
        <v>45803</v>
      </c>
      <c r="D472" t="inlineStr">
        <is>
          <t>UPPSALA LÄN</t>
        </is>
      </c>
      <c r="E472" t="inlineStr">
        <is>
          <t>ÖSTHAMMAR</t>
        </is>
      </c>
      <c r="G472" t="n">
        <v>7.4</v>
      </c>
      <c r="H472" t="n">
        <v>0</v>
      </c>
      <c r="I472" t="n">
        <v>0</v>
      </c>
      <c r="J472" t="n">
        <v>0</v>
      </c>
      <c r="K472" t="n">
        <v>0</v>
      </c>
      <c r="L472" t="n">
        <v>0</v>
      </c>
      <c r="M472" t="n">
        <v>0</v>
      </c>
      <c r="N472" t="n">
        <v>0</v>
      </c>
      <c r="O472" t="n">
        <v>0</v>
      </c>
      <c r="P472" t="n">
        <v>0</v>
      </c>
      <c r="Q472" t="n">
        <v>0</v>
      </c>
      <c r="R472" s="2" t="inlineStr"/>
    </row>
    <row r="473" ht="15" customHeight="1">
      <c r="A473" t="inlineStr">
        <is>
          <t>A 11547-2022</t>
        </is>
      </c>
      <c r="B473" s="1" t="n">
        <v>44631</v>
      </c>
      <c r="C473" s="1" t="n">
        <v>45803</v>
      </c>
      <c r="D473" t="inlineStr">
        <is>
          <t>UPPSALA LÄN</t>
        </is>
      </c>
      <c r="E473" t="inlineStr">
        <is>
          <t>ÖSTHAMMAR</t>
        </is>
      </c>
      <c r="G473" t="n">
        <v>4.4</v>
      </c>
      <c r="H473" t="n">
        <v>0</v>
      </c>
      <c r="I473" t="n">
        <v>0</v>
      </c>
      <c r="J473" t="n">
        <v>0</v>
      </c>
      <c r="K473" t="n">
        <v>0</v>
      </c>
      <c r="L473" t="n">
        <v>0</v>
      </c>
      <c r="M473" t="n">
        <v>0</v>
      </c>
      <c r="N473" t="n">
        <v>0</v>
      </c>
      <c r="O473" t="n">
        <v>0</v>
      </c>
      <c r="P473" t="n">
        <v>0</v>
      </c>
      <c r="Q473" t="n">
        <v>0</v>
      </c>
      <c r="R473" s="2" t="inlineStr"/>
    </row>
    <row r="474" ht="15" customHeight="1">
      <c r="A474" t="inlineStr">
        <is>
          <t>A 11643-2022</t>
        </is>
      </c>
      <c r="B474" s="1" t="n">
        <v>44631</v>
      </c>
      <c r="C474" s="1" t="n">
        <v>45803</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11884-2022</t>
        </is>
      </c>
      <c r="B475" s="1" t="n">
        <v>44635</v>
      </c>
      <c r="C475" s="1" t="n">
        <v>45803</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11987-2022</t>
        </is>
      </c>
      <c r="B476" s="1" t="n">
        <v>44635</v>
      </c>
      <c r="C476" s="1" t="n">
        <v>45803</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11986-2022</t>
        </is>
      </c>
      <c r="B477" s="1" t="n">
        <v>44635</v>
      </c>
      <c r="C477" s="1" t="n">
        <v>45803</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12176-2022</t>
        </is>
      </c>
      <c r="B478" s="1" t="n">
        <v>44636</v>
      </c>
      <c r="C478" s="1" t="n">
        <v>45803</v>
      </c>
      <c r="D478" t="inlineStr">
        <is>
          <t>UPPSALA LÄN</t>
        </is>
      </c>
      <c r="E478" t="inlineStr">
        <is>
          <t>ÖSTHAMMAR</t>
        </is>
      </c>
      <c r="G478" t="n">
        <v>3.5</v>
      </c>
      <c r="H478" t="n">
        <v>0</v>
      </c>
      <c r="I478" t="n">
        <v>0</v>
      </c>
      <c r="J478" t="n">
        <v>0</v>
      </c>
      <c r="K478" t="n">
        <v>0</v>
      </c>
      <c r="L478" t="n">
        <v>0</v>
      </c>
      <c r="M478" t="n">
        <v>0</v>
      </c>
      <c r="N478" t="n">
        <v>0</v>
      </c>
      <c r="O478" t="n">
        <v>0</v>
      </c>
      <c r="P478" t="n">
        <v>0</v>
      </c>
      <c r="Q478" t="n">
        <v>0</v>
      </c>
      <c r="R478" s="2" t="inlineStr"/>
    </row>
    <row r="479" ht="15" customHeight="1">
      <c r="A479" t="inlineStr">
        <is>
          <t>A 12999-2022</t>
        </is>
      </c>
      <c r="B479" s="1" t="n">
        <v>44643</v>
      </c>
      <c r="C479" s="1" t="n">
        <v>45803</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13044-2022</t>
        </is>
      </c>
      <c r="B480" s="1" t="n">
        <v>44643</v>
      </c>
      <c r="C480" s="1" t="n">
        <v>45803</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13093-2022</t>
        </is>
      </c>
      <c r="B481" s="1" t="n">
        <v>44643</v>
      </c>
      <c r="C481" s="1" t="n">
        <v>45803</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45803</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45803</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13867-2022</t>
        </is>
      </c>
      <c r="B484" s="1" t="n">
        <v>44649</v>
      </c>
      <c r="C484" s="1" t="n">
        <v>45803</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14272-2022</t>
        </is>
      </c>
      <c r="B485" s="1" t="n">
        <v>44651</v>
      </c>
      <c r="C485" s="1" t="n">
        <v>45803</v>
      </c>
      <c r="D485" t="inlineStr">
        <is>
          <t>UPPSALA LÄN</t>
        </is>
      </c>
      <c r="E485" t="inlineStr">
        <is>
          <t>ÖSTHAMMAR</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14124-2022</t>
        </is>
      </c>
      <c r="B486" s="1" t="n">
        <v>44651</v>
      </c>
      <c r="C486" s="1" t="n">
        <v>45803</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14187-2022</t>
        </is>
      </c>
      <c r="B487" s="1" t="n">
        <v>44651</v>
      </c>
      <c r="C487" s="1" t="n">
        <v>45803</v>
      </c>
      <c r="D487" t="inlineStr">
        <is>
          <t>UPPSALA LÄN</t>
        </is>
      </c>
      <c r="E487" t="inlineStr">
        <is>
          <t>ÖSTHAMMAR</t>
        </is>
      </c>
      <c r="F487" t="inlineStr">
        <is>
          <t>Övriga Aktiebolag</t>
        </is>
      </c>
      <c r="G487" t="n">
        <v>14.1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v>
      </c>
      <c r="C488" s="1" t="n">
        <v>45803</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14671-2022</t>
        </is>
      </c>
      <c r="B489" s="1" t="n">
        <v>44655</v>
      </c>
      <c r="C489" s="1" t="n">
        <v>45803</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15064-2022</t>
        </is>
      </c>
      <c r="B490" s="1" t="n">
        <v>44657</v>
      </c>
      <c r="C490" s="1" t="n">
        <v>45803</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15311-2022</t>
        </is>
      </c>
      <c r="B491" s="1" t="n">
        <v>44659</v>
      </c>
      <c r="C491" s="1" t="n">
        <v>45803</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15334-2022</t>
        </is>
      </c>
      <c r="B492" s="1" t="n">
        <v>44659</v>
      </c>
      <c r="C492" s="1" t="n">
        <v>45803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15447-2022</t>
        </is>
      </c>
      <c r="B493" s="1" t="n">
        <v>44660</v>
      </c>
      <c r="C493" s="1" t="n">
        <v>45803</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v>
      </c>
      <c r="C494" s="1" t="n">
        <v>45803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15449-2022</t>
        </is>
      </c>
      <c r="B495" s="1" t="n">
        <v>44660</v>
      </c>
      <c r="C495" s="1" t="n">
        <v>45803</v>
      </c>
      <c r="D495" t="inlineStr">
        <is>
          <t>UPPSALA LÄN</t>
        </is>
      </c>
      <c r="E495" t="inlineStr">
        <is>
          <t>ÖSTHAMMAR</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15456-2022</t>
        </is>
      </c>
      <c r="B496" s="1" t="n">
        <v>44661</v>
      </c>
      <c r="C496" s="1" t="n">
        <v>45803</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15457-2022</t>
        </is>
      </c>
      <c r="B497" s="1" t="n">
        <v>44661</v>
      </c>
      <c r="C497" s="1" t="n">
        <v>45803</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45803</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15845-2022</t>
        </is>
      </c>
      <c r="B499" s="1" t="n">
        <v>44664</v>
      </c>
      <c r="C499" s="1" t="n">
        <v>45803</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45803</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16141-2022</t>
        </is>
      </c>
      <c r="B501" s="1" t="n">
        <v>44665</v>
      </c>
      <c r="C501" s="1" t="n">
        <v>45803</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16142-2022</t>
        </is>
      </c>
      <c r="B502" s="1" t="n">
        <v>44665</v>
      </c>
      <c r="C502" s="1" t="n">
        <v>45803</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16167-2022</t>
        </is>
      </c>
      <c r="B503" s="1" t="n">
        <v>44667</v>
      </c>
      <c r="C503" s="1" t="n">
        <v>45803</v>
      </c>
      <c r="D503" t="inlineStr">
        <is>
          <t>UPPSALA LÄN</t>
        </is>
      </c>
      <c r="E503" t="inlineStr">
        <is>
          <t>ÖSTHAMMAR</t>
        </is>
      </c>
      <c r="F503" t="inlineStr">
        <is>
          <t>Bergvik skog öst AB</t>
        </is>
      </c>
      <c r="G503" t="n">
        <v>18.7</v>
      </c>
      <c r="H503" t="n">
        <v>0</v>
      </c>
      <c r="I503" t="n">
        <v>0</v>
      </c>
      <c r="J503" t="n">
        <v>0</v>
      </c>
      <c r="K503" t="n">
        <v>0</v>
      </c>
      <c r="L503" t="n">
        <v>0</v>
      </c>
      <c r="M503" t="n">
        <v>0</v>
      </c>
      <c r="N503" t="n">
        <v>0</v>
      </c>
      <c r="O503" t="n">
        <v>0</v>
      </c>
      <c r="P503" t="n">
        <v>0</v>
      </c>
      <c r="Q503" t="n">
        <v>0</v>
      </c>
      <c r="R503" s="2" t="inlineStr"/>
    </row>
    <row r="504" ht="15" customHeight="1">
      <c r="A504" t="inlineStr">
        <is>
          <t>A 16185-2022</t>
        </is>
      </c>
      <c r="B504" s="1" t="n">
        <v>44669</v>
      </c>
      <c r="C504" s="1" t="n">
        <v>45803</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16184-2022</t>
        </is>
      </c>
      <c r="B505" s="1" t="n">
        <v>44669</v>
      </c>
      <c r="C505" s="1" t="n">
        <v>45803</v>
      </c>
      <c r="D505" t="inlineStr">
        <is>
          <t>UPPSALA LÄN</t>
        </is>
      </c>
      <c r="E505" t="inlineStr">
        <is>
          <t>ÖSTHAMMAR</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16254-2022</t>
        </is>
      </c>
      <c r="B506" s="1" t="n">
        <v>44670</v>
      </c>
      <c r="C506" s="1" t="n">
        <v>45803</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16933-2022</t>
        </is>
      </c>
      <c r="B507" s="1" t="n">
        <v>44676</v>
      </c>
      <c r="C507" s="1" t="n">
        <v>45803</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17013-2022</t>
        </is>
      </c>
      <c r="B508" s="1" t="n">
        <v>44676</v>
      </c>
      <c r="C508" s="1" t="n">
        <v>45803</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17947-2022</t>
        </is>
      </c>
      <c r="B509" s="1" t="n">
        <v>44683</v>
      </c>
      <c r="C509" s="1" t="n">
        <v>45803</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18183-2022</t>
        </is>
      </c>
      <c r="B510" s="1" t="n">
        <v>44684</v>
      </c>
      <c r="C510" s="1" t="n">
        <v>45803</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45803</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18727-2022</t>
        </is>
      </c>
      <c r="B512" s="1" t="n">
        <v>44687</v>
      </c>
      <c r="C512" s="1" t="n">
        <v>45803</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18728-2022</t>
        </is>
      </c>
      <c r="B513" s="1" t="n">
        <v>44687</v>
      </c>
      <c r="C513" s="1" t="n">
        <v>45803</v>
      </c>
      <c r="D513" t="inlineStr">
        <is>
          <t>UPPSALA LÄN</t>
        </is>
      </c>
      <c r="E513" t="inlineStr">
        <is>
          <t>ÖSTHAMMAR</t>
        </is>
      </c>
      <c r="G513" t="n">
        <v>8.1</v>
      </c>
      <c r="H513" t="n">
        <v>0</v>
      </c>
      <c r="I513" t="n">
        <v>0</v>
      </c>
      <c r="J513" t="n">
        <v>0</v>
      </c>
      <c r="K513" t="n">
        <v>0</v>
      </c>
      <c r="L513" t="n">
        <v>0</v>
      </c>
      <c r="M513" t="n">
        <v>0</v>
      </c>
      <c r="N513" t="n">
        <v>0</v>
      </c>
      <c r="O513" t="n">
        <v>0</v>
      </c>
      <c r="P513" t="n">
        <v>0</v>
      </c>
      <c r="Q513" t="n">
        <v>0</v>
      </c>
      <c r="R513" s="2" t="inlineStr"/>
    </row>
    <row r="514" ht="15" customHeight="1">
      <c r="A514" t="inlineStr">
        <is>
          <t>A 18734-2022</t>
        </is>
      </c>
      <c r="B514" s="1" t="n">
        <v>44687</v>
      </c>
      <c r="C514" s="1" t="n">
        <v>45803</v>
      </c>
      <c r="D514" t="inlineStr">
        <is>
          <t>UPPSALA LÄN</t>
        </is>
      </c>
      <c r="E514" t="inlineStr">
        <is>
          <t>ÖSTHAMMAR</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18731-2022</t>
        </is>
      </c>
      <c r="B515" s="1" t="n">
        <v>44687</v>
      </c>
      <c r="C515" s="1" t="n">
        <v>45803</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18736-2022</t>
        </is>
      </c>
      <c r="B516" s="1" t="n">
        <v>44687</v>
      </c>
      <c r="C516" s="1" t="n">
        <v>45803</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19174-2022</t>
        </is>
      </c>
      <c r="B517" s="1" t="n">
        <v>44691</v>
      </c>
      <c r="C517" s="1" t="n">
        <v>45803</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19181-2022</t>
        </is>
      </c>
      <c r="B518" s="1" t="n">
        <v>44691</v>
      </c>
      <c r="C518" s="1" t="n">
        <v>45803</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19287-2022</t>
        </is>
      </c>
      <c r="B519" s="1" t="n">
        <v>44692</v>
      </c>
      <c r="C519" s="1" t="n">
        <v>45803</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19707-2022</t>
        </is>
      </c>
      <c r="B520" s="1" t="n">
        <v>44694</v>
      </c>
      <c r="C520" s="1" t="n">
        <v>45803</v>
      </c>
      <c r="D520" t="inlineStr">
        <is>
          <t>UPPSALA LÄN</t>
        </is>
      </c>
      <c r="E520" t="inlineStr">
        <is>
          <t>ÖSTHAMMAR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20468-2022</t>
        </is>
      </c>
      <c r="B521" s="1" t="n">
        <v>44699</v>
      </c>
      <c r="C521" s="1" t="n">
        <v>45803</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21522-2022</t>
        </is>
      </c>
      <c r="B522" s="1" t="n">
        <v>44706</v>
      </c>
      <c r="C522" s="1" t="n">
        <v>45803</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21830-2022</t>
        </is>
      </c>
      <c r="B523" s="1" t="n">
        <v>44710</v>
      </c>
      <c r="C523" s="1" t="n">
        <v>45803</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21829-2022</t>
        </is>
      </c>
      <c r="B524" s="1" t="n">
        <v>44710</v>
      </c>
      <c r="C524" s="1" t="n">
        <v>45803</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22207-2022</t>
        </is>
      </c>
      <c r="B525" s="1" t="n">
        <v>44712</v>
      </c>
      <c r="C525" s="1" t="n">
        <v>45803</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22619-2022</t>
        </is>
      </c>
      <c r="B526" s="1" t="n">
        <v>44714</v>
      </c>
      <c r="C526" s="1" t="n">
        <v>45803</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45803</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22887-2022</t>
        </is>
      </c>
      <c r="B528" s="1" t="n">
        <v>44715</v>
      </c>
      <c r="C528" s="1" t="n">
        <v>45803</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22945-2022</t>
        </is>
      </c>
      <c r="B529" s="1" t="n">
        <v>44715</v>
      </c>
      <c r="C529" s="1" t="n">
        <v>45803</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22993-2022</t>
        </is>
      </c>
      <c r="B530" s="1" t="n">
        <v>44718</v>
      </c>
      <c r="C530" s="1" t="n">
        <v>45803</v>
      </c>
      <c r="D530" t="inlineStr">
        <is>
          <t>UPPSALA LÄN</t>
        </is>
      </c>
      <c r="E530" t="inlineStr">
        <is>
          <t>ÖSTHAMMAR</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22994-2022</t>
        </is>
      </c>
      <c r="B531" s="1" t="n">
        <v>44718</v>
      </c>
      <c r="C531" s="1" t="n">
        <v>45803</v>
      </c>
      <c r="D531" t="inlineStr">
        <is>
          <t>UPPSALA LÄN</t>
        </is>
      </c>
      <c r="E531" t="inlineStr">
        <is>
          <t>ÖSTHAMMAR</t>
        </is>
      </c>
      <c r="F531" t="inlineStr">
        <is>
          <t>Bergvik skog öst AB</t>
        </is>
      </c>
      <c r="G531" t="n">
        <v>29.9</v>
      </c>
      <c r="H531" t="n">
        <v>0</v>
      </c>
      <c r="I531" t="n">
        <v>0</v>
      </c>
      <c r="J531" t="n">
        <v>0</v>
      </c>
      <c r="K531" t="n">
        <v>0</v>
      </c>
      <c r="L531" t="n">
        <v>0</v>
      </c>
      <c r="M531" t="n">
        <v>0</v>
      </c>
      <c r="N531" t="n">
        <v>0</v>
      </c>
      <c r="O531" t="n">
        <v>0</v>
      </c>
      <c r="P531" t="n">
        <v>0</v>
      </c>
      <c r="Q531" t="n">
        <v>0</v>
      </c>
      <c r="R531" s="2" t="inlineStr"/>
    </row>
    <row r="532" ht="15" customHeight="1">
      <c r="A532" t="inlineStr">
        <is>
          <t>A 23603-2022</t>
        </is>
      </c>
      <c r="B532" s="1" t="n">
        <v>44721</v>
      </c>
      <c r="C532" s="1" t="n">
        <v>45803</v>
      </c>
      <c r="D532" t="inlineStr">
        <is>
          <t>UPPSALA LÄN</t>
        </is>
      </c>
      <c r="E532" t="inlineStr">
        <is>
          <t>ÖSTHAMMAR</t>
        </is>
      </c>
      <c r="F532" t="inlineStr">
        <is>
          <t>Övriga Aktiebolag</t>
        </is>
      </c>
      <c r="G532" t="n">
        <v>1.2</v>
      </c>
      <c r="H532" t="n">
        <v>0</v>
      </c>
      <c r="I532" t="n">
        <v>0</v>
      </c>
      <c r="J532" t="n">
        <v>0</v>
      </c>
      <c r="K532" t="n">
        <v>0</v>
      </c>
      <c r="L532" t="n">
        <v>0</v>
      </c>
      <c r="M532" t="n">
        <v>0</v>
      </c>
      <c r="N532" t="n">
        <v>0</v>
      </c>
      <c r="O532" t="n">
        <v>0</v>
      </c>
      <c r="P532" t="n">
        <v>0</v>
      </c>
      <c r="Q532" t="n">
        <v>0</v>
      </c>
      <c r="R532" s="2" t="inlineStr"/>
    </row>
    <row r="533" ht="15" customHeight="1">
      <c r="A533" t="inlineStr">
        <is>
          <t>A 24138-2022</t>
        </is>
      </c>
      <c r="B533" s="1" t="n">
        <v>44725</v>
      </c>
      <c r="C533" s="1" t="n">
        <v>45803</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24149-2022</t>
        </is>
      </c>
      <c r="B534" s="1" t="n">
        <v>44725</v>
      </c>
      <c r="C534" s="1" t="n">
        <v>45803</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24181-2022</t>
        </is>
      </c>
      <c r="B535" s="1" t="n">
        <v>44725</v>
      </c>
      <c r="C535" s="1" t="n">
        <v>45803</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24259-2022</t>
        </is>
      </c>
      <c r="B536" s="1" t="n">
        <v>44725</v>
      </c>
      <c r="C536" s="1" t="n">
        <v>45803</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24447-2022</t>
        </is>
      </c>
      <c r="B537" s="1" t="n">
        <v>44726</v>
      </c>
      <c r="C537" s="1" t="n">
        <v>45803</v>
      </c>
      <c r="D537" t="inlineStr">
        <is>
          <t>UPPSALA LÄN</t>
        </is>
      </c>
      <c r="E537" t="inlineStr">
        <is>
          <t>ÖSTHAMMAR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24367-2022</t>
        </is>
      </c>
      <c r="B538" s="1" t="n">
        <v>44726</v>
      </c>
      <c r="C538" s="1" t="n">
        <v>45803</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24817-2022</t>
        </is>
      </c>
      <c r="B539" s="1" t="n">
        <v>44728</v>
      </c>
      <c r="C539" s="1" t="n">
        <v>45803</v>
      </c>
      <c r="D539" t="inlineStr">
        <is>
          <t>UPPSALA LÄN</t>
        </is>
      </c>
      <c r="E539" t="inlineStr">
        <is>
          <t>ÖSTHAMMAR</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45803</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25418-2022</t>
        </is>
      </c>
      <c r="B541" s="1" t="n">
        <v>44732</v>
      </c>
      <c r="C541" s="1" t="n">
        <v>45803</v>
      </c>
      <c r="D541" t="inlineStr">
        <is>
          <t>UPPSALA LÄN</t>
        </is>
      </c>
      <c r="E541" t="inlineStr">
        <is>
          <t>ÖSTHAMMAR</t>
        </is>
      </c>
      <c r="G541" t="n">
        <v>2.8</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v>
      </c>
      <c r="C542" s="1" t="n">
        <v>45803</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26008-2022</t>
        </is>
      </c>
      <c r="B543" s="1" t="n">
        <v>44734</v>
      </c>
      <c r="C543" s="1" t="n">
        <v>45803</v>
      </c>
      <c r="D543" t="inlineStr">
        <is>
          <t>UPPSALA LÄN</t>
        </is>
      </c>
      <c r="E543" t="inlineStr">
        <is>
          <t>ÖSTHAMMAR</t>
        </is>
      </c>
      <c r="F543" t="inlineStr">
        <is>
          <t>Bergvik skog öst AB</t>
        </is>
      </c>
      <c r="G543" t="n">
        <v>8.4</v>
      </c>
      <c r="H543" t="n">
        <v>0</v>
      </c>
      <c r="I543" t="n">
        <v>0</v>
      </c>
      <c r="J543" t="n">
        <v>0</v>
      </c>
      <c r="K543" t="n">
        <v>0</v>
      </c>
      <c r="L543" t="n">
        <v>0</v>
      </c>
      <c r="M543" t="n">
        <v>0</v>
      </c>
      <c r="N543" t="n">
        <v>0</v>
      </c>
      <c r="O543" t="n">
        <v>0</v>
      </c>
      <c r="P543" t="n">
        <v>0</v>
      </c>
      <c r="Q543" t="n">
        <v>0</v>
      </c>
      <c r="R543" s="2" t="inlineStr"/>
    </row>
    <row r="544" ht="15" customHeight="1">
      <c r="A544" t="inlineStr">
        <is>
          <t>A 25987-2022</t>
        </is>
      </c>
      <c r="B544" s="1" t="n">
        <v>44734</v>
      </c>
      <c r="C544" s="1" t="n">
        <v>45803</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25983-2022</t>
        </is>
      </c>
      <c r="B545" s="1" t="n">
        <v>44734</v>
      </c>
      <c r="C545" s="1" t="n">
        <v>45803</v>
      </c>
      <c r="D545" t="inlineStr">
        <is>
          <t>UPPSALA LÄN</t>
        </is>
      </c>
      <c r="E545" t="inlineStr">
        <is>
          <t>ÖSTHAMMAR</t>
        </is>
      </c>
      <c r="G545" t="n">
        <v>4.7</v>
      </c>
      <c r="H545" t="n">
        <v>0</v>
      </c>
      <c r="I545" t="n">
        <v>0</v>
      </c>
      <c r="J545" t="n">
        <v>0</v>
      </c>
      <c r="K545" t="n">
        <v>0</v>
      </c>
      <c r="L545" t="n">
        <v>0</v>
      </c>
      <c r="M545" t="n">
        <v>0</v>
      </c>
      <c r="N545" t="n">
        <v>0</v>
      </c>
      <c r="O545" t="n">
        <v>0</v>
      </c>
      <c r="P545" t="n">
        <v>0</v>
      </c>
      <c r="Q545" t="n">
        <v>0</v>
      </c>
      <c r="R545" s="2" t="inlineStr"/>
    </row>
    <row r="546" ht="15" customHeight="1">
      <c r="A546" t="inlineStr">
        <is>
          <t>A 26004-2022</t>
        </is>
      </c>
      <c r="B546" s="1" t="n">
        <v>44734</v>
      </c>
      <c r="C546" s="1" t="n">
        <v>45803</v>
      </c>
      <c r="D546" t="inlineStr">
        <is>
          <t>UPPSALA LÄN</t>
        </is>
      </c>
      <c r="E546" t="inlineStr">
        <is>
          <t>ÖSTHAMMAR</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26534-2022</t>
        </is>
      </c>
      <c r="B547" s="1" t="n">
        <v>44739</v>
      </c>
      <c r="C547" s="1" t="n">
        <v>45803</v>
      </c>
      <c r="D547" t="inlineStr">
        <is>
          <t>UPPSALA LÄN</t>
        </is>
      </c>
      <c r="E547" t="inlineStr">
        <is>
          <t>ÖSTHAMMAR</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26552-2022</t>
        </is>
      </c>
      <c r="B548" s="1" t="n">
        <v>44739</v>
      </c>
      <c r="C548" s="1" t="n">
        <v>45803</v>
      </c>
      <c r="D548" t="inlineStr">
        <is>
          <t>UPPSALA LÄN</t>
        </is>
      </c>
      <c r="E548" t="inlineStr">
        <is>
          <t>ÖSTHAMMAR</t>
        </is>
      </c>
      <c r="G548" t="n">
        <v>2.2</v>
      </c>
      <c r="H548" t="n">
        <v>0</v>
      </c>
      <c r="I548" t="n">
        <v>0</v>
      </c>
      <c r="J548" t="n">
        <v>0</v>
      </c>
      <c r="K548" t="n">
        <v>0</v>
      </c>
      <c r="L548" t="n">
        <v>0</v>
      </c>
      <c r="M548" t="n">
        <v>0</v>
      </c>
      <c r="N548" t="n">
        <v>0</v>
      </c>
      <c r="O548" t="n">
        <v>0</v>
      </c>
      <c r="P548" t="n">
        <v>0</v>
      </c>
      <c r="Q548" t="n">
        <v>0</v>
      </c>
      <c r="R548" s="2" t="inlineStr"/>
    </row>
    <row r="549" ht="15" customHeight="1">
      <c r="A549" t="inlineStr">
        <is>
          <t>A 26561-2022</t>
        </is>
      </c>
      <c r="B549" s="1" t="n">
        <v>44739</v>
      </c>
      <c r="C549" s="1" t="n">
        <v>45803</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28228-2022</t>
        </is>
      </c>
      <c r="B550" s="1" t="n">
        <v>44746</v>
      </c>
      <c r="C550" s="1" t="n">
        <v>45803</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29753-2022</t>
        </is>
      </c>
      <c r="B551" s="1" t="n">
        <v>44755</v>
      </c>
      <c r="C551" s="1" t="n">
        <v>45803</v>
      </c>
      <c r="D551" t="inlineStr">
        <is>
          <t>UPPSALA LÄN</t>
        </is>
      </c>
      <c r="E551" t="inlineStr">
        <is>
          <t>ÖSTHAMMAR</t>
        </is>
      </c>
      <c r="G551" t="n">
        <v>9.4</v>
      </c>
      <c r="H551" t="n">
        <v>0</v>
      </c>
      <c r="I551" t="n">
        <v>0</v>
      </c>
      <c r="J551" t="n">
        <v>0</v>
      </c>
      <c r="K551" t="n">
        <v>0</v>
      </c>
      <c r="L551" t="n">
        <v>0</v>
      </c>
      <c r="M551" t="n">
        <v>0</v>
      </c>
      <c r="N551" t="n">
        <v>0</v>
      </c>
      <c r="O551" t="n">
        <v>0</v>
      </c>
      <c r="P551" t="n">
        <v>0</v>
      </c>
      <c r="Q551" t="n">
        <v>0</v>
      </c>
      <c r="R551" s="2" t="inlineStr"/>
    </row>
    <row r="552" ht="15" customHeight="1">
      <c r="A552" t="inlineStr">
        <is>
          <t>A 30212-2022</t>
        </is>
      </c>
      <c r="B552" s="1" t="n">
        <v>44757</v>
      </c>
      <c r="C552" s="1" t="n">
        <v>45803</v>
      </c>
      <c r="D552" t="inlineStr">
        <is>
          <t>UPPSALA LÄN</t>
        </is>
      </c>
      <c r="E552" t="inlineStr">
        <is>
          <t>ÖSTHAMMAR</t>
        </is>
      </c>
      <c r="F552" t="inlineStr">
        <is>
          <t>Bergvik skog öst AB</t>
        </is>
      </c>
      <c r="G552" t="n">
        <v>13.6</v>
      </c>
      <c r="H552" t="n">
        <v>0</v>
      </c>
      <c r="I552" t="n">
        <v>0</v>
      </c>
      <c r="J552" t="n">
        <v>0</v>
      </c>
      <c r="K552" t="n">
        <v>0</v>
      </c>
      <c r="L552" t="n">
        <v>0</v>
      </c>
      <c r="M552" t="n">
        <v>0</v>
      </c>
      <c r="N552" t="n">
        <v>0</v>
      </c>
      <c r="O552" t="n">
        <v>0</v>
      </c>
      <c r="P552" t="n">
        <v>0</v>
      </c>
      <c r="Q552" t="n">
        <v>0</v>
      </c>
      <c r="R552" s="2" t="inlineStr"/>
    </row>
    <row r="553" ht="15" customHeight="1">
      <c r="A553" t="inlineStr">
        <is>
          <t>A 30209-2022</t>
        </is>
      </c>
      <c r="B553" s="1" t="n">
        <v>44757</v>
      </c>
      <c r="C553" s="1" t="n">
        <v>45803</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30549-2022</t>
        </is>
      </c>
      <c r="B554" s="1" t="n">
        <v>44762</v>
      </c>
      <c r="C554" s="1" t="n">
        <v>45803</v>
      </c>
      <c r="D554" t="inlineStr">
        <is>
          <t>UPPSALA LÄN</t>
        </is>
      </c>
      <c r="E554" t="inlineStr">
        <is>
          <t>ÖSTHAMMAR</t>
        </is>
      </c>
      <c r="F554" t="inlineStr">
        <is>
          <t>Bergvik skog öst AB</t>
        </is>
      </c>
      <c r="G554" t="n">
        <v>6.2</v>
      </c>
      <c r="H554" t="n">
        <v>0</v>
      </c>
      <c r="I554" t="n">
        <v>0</v>
      </c>
      <c r="J554" t="n">
        <v>0</v>
      </c>
      <c r="K554" t="n">
        <v>0</v>
      </c>
      <c r="L554" t="n">
        <v>0</v>
      </c>
      <c r="M554" t="n">
        <v>0</v>
      </c>
      <c r="N554" t="n">
        <v>0</v>
      </c>
      <c r="O554" t="n">
        <v>0</v>
      </c>
      <c r="P554" t="n">
        <v>0</v>
      </c>
      <c r="Q554" t="n">
        <v>0</v>
      </c>
      <c r="R554" s="2" t="inlineStr"/>
    </row>
    <row r="555" ht="15" customHeight="1">
      <c r="A555" t="inlineStr">
        <is>
          <t>A 31027-2022</t>
        </is>
      </c>
      <c r="B555" s="1" t="n">
        <v>44768</v>
      </c>
      <c r="C555" s="1" t="n">
        <v>45803</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31035-2022</t>
        </is>
      </c>
      <c r="B556" s="1" t="n">
        <v>44768</v>
      </c>
      <c r="C556" s="1" t="n">
        <v>45803</v>
      </c>
      <c r="D556" t="inlineStr">
        <is>
          <t>UPPSALA LÄN</t>
        </is>
      </c>
      <c r="E556" t="inlineStr">
        <is>
          <t>ÖSTHAMMAR</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31026-2022</t>
        </is>
      </c>
      <c r="B557" s="1" t="n">
        <v>44768</v>
      </c>
      <c r="C557" s="1" t="n">
        <v>45803</v>
      </c>
      <c r="D557" t="inlineStr">
        <is>
          <t>UPPSALA LÄN</t>
        </is>
      </c>
      <c r="E557" t="inlineStr">
        <is>
          <t>ÖSTHAMMAR</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31182-2022</t>
        </is>
      </c>
      <c r="B558" s="1" t="n">
        <v>44770</v>
      </c>
      <c r="C558" s="1" t="n">
        <v>45803</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31140-2022</t>
        </is>
      </c>
      <c r="B559" s="1" t="n">
        <v>44770</v>
      </c>
      <c r="C559" s="1" t="n">
        <v>45803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31137-2022</t>
        </is>
      </c>
      <c r="B560" s="1" t="n">
        <v>44770</v>
      </c>
      <c r="C560" s="1" t="n">
        <v>45803</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31282-2022</t>
        </is>
      </c>
      <c r="B561" s="1" t="n">
        <v>44771</v>
      </c>
      <c r="C561" s="1" t="n">
        <v>45803</v>
      </c>
      <c r="D561" t="inlineStr">
        <is>
          <t>UPPSALA LÄN</t>
        </is>
      </c>
      <c r="E561" t="inlineStr">
        <is>
          <t>ÖSTHAMMAR</t>
        </is>
      </c>
      <c r="F561" t="inlineStr">
        <is>
          <t>Bergvik skog öst AB</t>
        </is>
      </c>
      <c r="G561" t="n">
        <v>3.8</v>
      </c>
      <c r="H561" t="n">
        <v>0</v>
      </c>
      <c r="I561" t="n">
        <v>0</v>
      </c>
      <c r="J561" t="n">
        <v>0</v>
      </c>
      <c r="K561" t="n">
        <v>0</v>
      </c>
      <c r="L561" t="n">
        <v>0</v>
      </c>
      <c r="M561" t="n">
        <v>0</v>
      </c>
      <c r="N561" t="n">
        <v>0</v>
      </c>
      <c r="O561" t="n">
        <v>0</v>
      </c>
      <c r="P561" t="n">
        <v>0</v>
      </c>
      <c r="Q561" t="n">
        <v>0</v>
      </c>
      <c r="R561" s="2" t="inlineStr"/>
    </row>
    <row r="562" ht="15" customHeight="1">
      <c r="A562" t="inlineStr">
        <is>
          <t>A 31574-2022</t>
        </is>
      </c>
      <c r="B562" s="1" t="n">
        <v>44775</v>
      </c>
      <c r="C562" s="1" t="n">
        <v>45803</v>
      </c>
      <c r="D562" t="inlineStr">
        <is>
          <t>UPPSALA LÄN</t>
        </is>
      </c>
      <c r="E562" t="inlineStr">
        <is>
          <t>ÖSTHAMMAR</t>
        </is>
      </c>
      <c r="G562" t="n">
        <v>29.7</v>
      </c>
      <c r="H562" t="n">
        <v>0</v>
      </c>
      <c r="I562" t="n">
        <v>0</v>
      </c>
      <c r="J562" t="n">
        <v>0</v>
      </c>
      <c r="K562" t="n">
        <v>0</v>
      </c>
      <c r="L562" t="n">
        <v>0</v>
      </c>
      <c r="M562" t="n">
        <v>0</v>
      </c>
      <c r="N562" t="n">
        <v>0</v>
      </c>
      <c r="O562" t="n">
        <v>0</v>
      </c>
      <c r="P562" t="n">
        <v>0</v>
      </c>
      <c r="Q562" t="n">
        <v>0</v>
      </c>
      <c r="R562" s="2" t="inlineStr"/>
    </row>
    <row r="563" ht="15" customHeight="1">
      <c r="A563" t="inlineStr">
        <is>
          <t>A 31549-2022</t>
        </is>
      </c>
      <c r="B563" s="1" t="n">
        <v>44775</v>
      </c>
      <c r="C563" s="1" t="n">
        <v>45803</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45803</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32678-2022</t>
        </is>
      </c>
      <c r="B565" s="1" t="n">
        <v>44783</v>
      </c>
      <c r="C565" s="1" t="n">
        <v>45803</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32742-2022</t>
        </is>
      </c>
      <c r="B566" s="1" t="n">
        <v>44783</v>
      </c>
      <c r="C566" s="1" t="n">
        <v>45803</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v>
      </c>
      <c r="C567" s="1" t="n">
        <v>45803</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34418-2022</t>
        </is>
      </c>
      <c r="B568" s="1" t="n">
        <v>44792</v>
      </c>
      <c r="C568" s="1" t="n">
        <v>45803</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v>
      </c>
      <c r="C569" s="1" t="n">
        <v>45803</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34971-2022</t>
        </is>
      </c>
      <c r="B570" s="1" t="n">
        <v>44796</v>
      </c>
      <c r="C570" s="1" t="n">
        <v>45803</v>
      </c>
      <c r="D570" t="inlineStr">
        <is>
          <t>UPPSALA LÄN</t>
        </is>
      </c>
      <c r="E570" t="inlineStr">
        <is>
          <t>ÖSTHAMMAR</t>
        </is>
      </c>
      <c r="F570" t="inlineStr">
        <is>
          <t>Bergvik skog öst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34994-2022</t>
        </is>
      </c>
      <c r="B571" s="1" t="n">
        <v>44796</v>
      </c>
      <c r="C571" s="1" t="n">
        <v>45803</v>
      </c>
      <c r="D571" t="inlineStr">
        <is>
          <t>UPPSALA LÄN</t>
        </is>
      </c>
      <c r="E571" t="inlineStr">
        <is>
          <t>ÖSTHAMMAR</t>
        </is>
      </c>
      <c r="F571" t="inlineStr">
        <is>
          <t>Bergvik skog öst AB</t>
        </is>
      </c>
      <c r="G571" t="n">
        <v>3.7</v>
      </c>
      <c r="H571" t="n">
        <v>0</v>
      </c>
      <c r="I571" t="n">
        <v>0</v>
      </c>
      <c r="J571" t="n">
        <v>0</v>
      </c>
      <c r="K571" t="n">
        <v>0</v>
      </c>
      <c r="L571" t="n">
        <v>0</v>
      </c>
      <c r="M571" t="n">
        <v>0</v>
      </c>
      <c r="N571" t="n">
        <v>0</v>
      </c>
      <c r="O571" t="n">
        <v>0</v>
      </c>
      <c r="P571" t="n">
        <v>0</v>
      </c>
      <c r="Q571" t="n">
        <v>0</v>
      </c>
      <c r="R571" s="2" t="inlineStr"/>
    </row>
    <row r="572" ht="15" customHeight="1">
      <c r="A572" t="inlineStr">
        <is>
          <t>A 36343-2022</t>
        </is>
      </c>
      <c r="B572" s="1" t="n">
        <v>44803</v>
      </c>
      <c r="C572" s="1" t="n">
        <v>45803</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36873-2022</t>
        </is>
      </c>
      <c r="B573" s="1" t="n">
        <v>44805</v>
      </c>
      <c r="C573" s="1" t="n">
        <v>45803</v>
      </c>
      <c r="D573" t="inlineStr">
        <is>
          <t>UPPSALA LÄN</t>
        </is>
      </c>
      <c r="E573" t="inlineStr">
        <is>
          <t>ÖSTHAMMAR</t>
        </is>
      </c>
      <c r="G573" t="n">
        <v>2.5</v>
      </c>
      <c r="H573" t="n">
        <v>0</v>
      </c>
      <c r="I573" t="n">
        <v>0</v>
      </c>
      <c r="J573" t="n">
        <v>0</v>
      </c>
      <c r="K573" t="n">
        <v>0</v>
      </c>
      <c r="L573" t="n">
        <v>0</v>
      </c>
      <c r="M573" t="n">
        <v>0</v>
      </c>
      <c r="N573" t="n">
        <v>0</v>
      </c>
      <c r="O573" t="n">
        <v>0</v>
      </c>
      <c r="P573" t="n">
        <v>0</v>
      </c>
      <c r="Q573" t="n">
        <v>0</v>
      </c>
      <c r="R573" s="2" t="inlineStr"/>
    </row>
    <row r="574" ht="15" customHeight="1">
      <c r="A574" t="inlineStr">
        <is>
          <t>A 37545-2022</t>
        </is>
      </c>
      <c r="B574" s="1" t="n">
        <v>44809</v>
      </c>
      <c r="C574" s="1" t="n">
        <v>45803</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37570-2022</t>
        </is>
      </c>
      <c r="B575" s="1" t="n">
        <v>44809</v>
      </c>
      <c r="C575" s="1" t="n">
        <v>45803</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37813-2022</t>
        </is>
      </c>
      <c r="B576" s="1" t="n">
        <v>44810</v>
      </c>
      <c r="C576" s="1" t="n">
        <v>45803</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45803</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38501-2022</t>
        </is>
      </c>
      <c r="B578" s="1" t="n">
        <v>44813</v>
      </c>
      <c r="C578" s="1" t="n">
        <v>45803</v>
      </c>
      <c r="D578" t="inlineStr">
        <is>
          <t>UPPSALA LÄN</t>
        </is>
      </c>
      <c r="E578" t="inlineStr">
        <is>
          <t>ÖSTHAMMAR</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38702-2022</t>
        </is>
      </c>
      <c r="B579" s="1" t="n">
        <v>44814</v>
      </c>
      <c r="C579" s="1" t="n">
        <v>45803</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39480-2022</t>
        </is>
      </c>
      <c r="B580" s="1" t="n">
        <v>44818</v>
      </c>
      <c r="C580" s="1" t="n">
        <v>45803</v>
      </c>
      <c r="D580" t="inlineStr">
        <is>
          <t>UPPSALA LÄN</t>
        </is>
      </c>
      <c r="E580" t="inlineStr">
        <is>
          <t>ÖSTHAMMAR</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40336-2022</t>
        </is>
      </c>
      <c r="B581" s="1" t="n">
        <v>44823</v>
      </c>
      <c r="C581" s="1" t="n">
        <v>45803</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40637-2022</t>
        </is>
      </c>
      <c r="B582" s="1" t="n">
        <v>44824</v>
      </c>
      <c r="C582" s="1" t="n">
        <v>45803</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40681-2022</t>
        </is>
      </c>
      <c r="B583" s="1" t="n">
        <v>44824</v>
      </c>
      <c r="C583" s="1" t="n">
        <v>45803</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41033-2022</t>
        </is>
      </c>
      <c r="B584" s="1" t="n">
        <v>44825</v>
      </c>
      <c r="C584" s="1" t="n">
        <v>45803</v>
      </c>
      <c r="D584" t="inlineStr">
        <is>
          <t>UPPSALA LÄN</t>
        </is>
      </c>
      <c r="E584" t="inlineStr">
        <is>
          <t>ÖSTHAMMAR</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41423-2022</t>
        </is>
      </c>
      <c r="B585" s="1" t="n">
        <v>44826</v>
      </c>
      <c r="C585" s="1" t="n">
        <v>45803</v>
      </c>
      <c r="D585" t="inlineStr">
        <is>
          <t>UPPSALA LÄN</t>
        </is>
      </c>
      <c r="E585" t="inlineStr">
        <is>
          <t>ÖSTHAMMAR</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44020-2022</t>
        </is>
      </c>
      <c r="B586" s="1" t="n">
        <v>44838</v>
      </c>
      <c r="C586" s="1" t="n">
        <v>45803</v>
      </c>
      <c r="D586" t="inlineStr">
        <is>
          <t>UPPSALA LÄN</t>
        </is>
      </c>
      <c r="E586" t="inlineStr">
        <is>
          <t>ÖSTHAMMAR</t>
        </is>
      </c>
      <c r="F586" t="inlineStr">
        <is>
          <t>Bergvik skog öst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44019-2022</t>
        </is>
      </c>
      <c r="B587" s="1" t="n">
        <v>44838</v>
      </c>
      <c r="C587" s="1" t="n">
        <v>45803</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44354-2022</t>
        </is>
      </c>
      <c r="B588" s="1" t="n">
        <v>44839</v>
      </c>
      <c r="C588" s="1" t="n">
        <v>45803</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44366-2022</t>
        </is>
      </c>
      <c r="B589" s="1" t="n">
        <v>44839</v>
      </c>
      <c r="C589" s="1" t="n">
        <v>45803</v>
      </c>
      <c r="D589" t="inlineStr">
        <is>
          <t>UPPSALA LÄN</t>
        </is>
      </c>
      <c r="E589" t="inlineStr">
        <is>
          <t>ÖSTHAMMAR</t>
        </is>
      </c>
      <c r="G589" t="n">
        <v>8.1</v>
      </c>
      <c r="H589" t="n">
        <v>0</v>
      </c>
      <c r="I589" t="n">
        <v>0</v>
      </c>
      <c r="J589" t="n">
        <v>0</v>
      </c>
      <c r="K589" t="n">
        <v>0</v>
      </c>
      <c r="L589" t="n">
        <v>0</v>
      </c>
      <c r="M589" t="n">
        <v>0</v>
      </c>
      <c r="N589" t="n">
        <v>0</v>
      </c>
      <c r="O589" t="n">
        <v>0</v>
      </c>
      <c r="P589" t="n">
        <v>0</v>
      </c>
      <c r="Q589" t="n">
        <v>0</v>
      </c>
      <c r="R589" s="2" t="inlineStr"/>
    </row>
    <row r="590" ht="15" customHeight="1">
      <c r="A590" t="inlineStr">
        <is>
          <t>A 44184-2022</t>
        </is>
      </c>
      <c r="B590" s="1" t="n">
        <v>44839</v>
      </c>
      <c r="C590" s="1" t="n">
        <v>45803</v>
      </c>
      <c r="D590" t="inlineStr">
        <is>
          <t>UPPSALA LÄN</t>
        </is>
      </c>
      <c r="E590" t="inlineStr">
        <is>
          <t>ÖSTHAMMAR</t>
        </is>
      </c>
      <c r="G590" t="n">
        <v>4.2</v>
      </c>
      <c r="H590" t="n">
        <v>0</v>
      </c>
      <c r="I590" t="n">
        <v>0</v>
      </c>
      <c r="J590" t="n">
        <v>0</v>
      </c>
      <c r="K590" t="n">
        <v>0</v>
      </c>
      <c r="L590" t="n">
        <v>0</v>
      </c>
      <c r="M590" t="n">
        <v>0</v>
      </c>
      <c r="N590" t="n">
        <v>0</v>
      </c>
      <c r="O590" t="n">
        <v>0</v>
      </c>
      <c r="P590" t="n">
        <v>0</v>
      </c>
      <c r="Q590" t="n">
        <v>0</v>
      </c>
      <c r="R590" s="2" t="inlineStr"/>
    </row>
    <row r="591" ht="15" customHeight="1">
      <c r="A591" t="inlineStr">
        <is>
          <t>A 44617-2022</t>
        </is>
      </c>
      <c r="B591" s="1" t="n">
        <v>44840</v>
      </c>
      <c r="C591" s="1" t="n">
        <v>45803</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44945-2022</t>
        </is>
      </c>
      <c r="B592" s="1" t="n">
        <v>44841</v>
      </c>
      <c r="C592" s="1" t="n">
        <v>45803</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45803</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45788-2022</t>
        </is>
      </c>
      <c r="B594" s="1" t="n">
        <v>44846</v>
      </c>
      <c r="C594" s="1" t="n">
        <v>45803</v>
      </c>
      <c r="D594" t="inlineStr">
        <is>
          <t>UPPSALA LÄN</t>
        </is>
      </c>
      <c r="E594" t="inlineStr">
        <is>
          <t>ÖSTHAMMAR</t>
        </is>
      </c>
      <c r="F594" t="inlineStr">
        <is>
          <t>Övriga Aktiebolag</t>
        </is>
      </c>
      <c r="G594" t="n">
        <v>3.3</v>
      </c>
      <c r="H594" t="n">
        <v>0</v>
      </c>
      <c r="I594" t="n">
        <v>0</v>
      </c>
      <c r="J594" t="n">
        <v>0</v>
      </c>
      <c r="K594" t="n">
        <v>0</v>
      </c>
      <c r="L594" t="n">
        <v>0</v>
      </c>
      <c r="M594" t="n">
        <v>0</v>
      </c>
      <c r="N594" t="n">
        <v>0</v>
      </c>
      <c r="O594" t="n">
        <v>0</v>
      </c>
      <c r="P594" t="n">
        <v>0</v>
      </c>
      <c r="Q594" t="n">
        <v>0</v>
      </c>
      <c r="R594" s="2" t="inlineStr"/>
    </row>
    <row r="595" ht="15" customHeight="1">
      <c r="A595" t="inlineStr">
        <is>
          <t>A 46448-2022</t>
        </is>
      </c>
      <c r="B595" s="1" t="n">
        <v>44848</v>
      </c>
      <c r="C595" s="1" t="n">
        <v>45803</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46915-2022</t>
        </is>
      </c>
      <c r="B596" s="1" t="n">
        <v>44851</v>
      </c>
      <c r="C596" s="1" t="n">
        <v>45803</v>
      </c>
      <c r="D596" t="inlineStr">
        <is>
          <t>UPPSALA LÄN</t>
        </is>
      </c>
      <c r="E596" t="inlineStr">
        <is>
          <t>ÖSTHAMMAR</t>
        </is>
      </c>
      <c r="F596" t="inlineStr">
        <is>
          <t>Bergvik skog öst AB</t>
        </is>
      </c>
      <c r="G596" t="n">
        <v>7.9</v>
      </c>
      <c r="H596" t="n">
        <v>0</v>
      </c>
      <c r="I596" t="n">
        <v>0</v>
      </c>
      <c r="J596" t="n">
        <v>0</v>
      </c>
      <c r="K596" t="n">
        <v>0</v>
      </c>
      <c r="L596" t="n">
        <v>0</v>
      </c>
      <c r="M596" t="n">
        <v>0</v>
      </c>
      <c r="N596" t="n">
        <v>0</v>
      </c>
      <c r="O596" t="n">
        <v>0</v>
      </c>
      <c r="P596" t="n">
        <v>0</v>
      </c>
      <c r="Q596" t="n">
        <v>0</v>
      </c>
      <c r="R596" s="2" t="inlineStr"/>
    </row>
    <row r="597" ht="15" customHeight="1">
      <c r="A597" t="inlineStr">
        <is>
          <t>A 47163-2022</t>
        </is>
      </c>
      <c r="B597" s="1" t="n">
        <v>44852</v>
      </c>
      <c r="C597" s="1" t="n">
        <v>45803</v>
      </c>
      <c r="D597" t="inlineStr">
        <is>
          <t>UPPSALA LÄN</t>
        </is>
      </c>
      <c r="E597" t="inlineStr">
        <is>
          <t>ÖSTHAMMAR</t>
        </is>
      </c>
      <c r="G597" t="n">
        <v>5.5</v>
      </c>
      <c r="H597" t="n">
        <v>0</v>
      </c>
      <c r="I597" t="n">
        <v>0</v>
      </c>
      <c r="J597" t="n">
        <v>0</v>
      </c>
      <c r="K597" t="n">
        <v>0</v>
      </c>
      <c r="L597" t="n">
        <v>0</v>
      </c>
      <c r="M597" t="n">
        <v>0</v>
      </c>
      <c r="N597" t="n">
        <v>0</v>
      </c>
      <c r="O597" t="n">
        <v>0</v>
      </c>
      <c r="P597" t="n">
        <v>0</v>
      </c>
      <c r="Q597" t="n">
        <v>0</v>
      </c>
      <c r="R597" s="2" t="inlineStr"/>
    </row>
    <row r="598" ht="15" customHeight="1">
      <c r="A598" t="inlineStr">
        <is>
          <t>A 48191-2022</t>
        </is>
      </c>
      <c r="B598" s="1" t="n">
        <v>44858</v>
      </c>
      <c r="C598" s="1" t="n">
        <v>45803</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48231-2022</t>
        </is>
      </c>
      <c r="B599" s="1" t="n">
        <v>44858</v>
      </c>
      <c r="C599" s="1" t="n">
        <v>45803</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49097-2022</t>
        </is>
      </c>
      <c r="B600" s="1" t="n">
        <v>44860</v>
      </c>
      <c r="C600" s="1" t="n">
        <v>45803</v>
      </c>
      <c r="D600" t="inlineStr">
        <is>
          <t>UPPSALA LÄN</t>
        </is>
      </c>
      <c r="E600" t="inlineStr">
        <is>
          <t>ÖSTHAMMAR</t>
        </is>
      </c>
      <c r="G600" t="n">
        <v>6.9</v>
      </c>
      <c r="H600" t="n">
        <v>0</v>
      </c>
      <c r="I600" t="n">
        <v>0</v>
      </c>
      <c r="J600" t="n">
        <v>0</v>
      </c>
      <c r="K600" t="n">
        <v>0</v>
      </c>
      <c r="L600" t="n">
        <v>0</v>
      </c>
      <c r="M600" t="n">
        <v>0</v>
      </c>
      <c r="N600" t="n">
        <v>0</v>
      </c>
      <c r="O600" t="n">
        <v>0</v>
      </c>
      <c r="P600" t="n">
        <v>0</v>
      </c>
      <c r="Q600" t="n">
        <v>0</v>
      </c>
      <c r="R600" s="2" t="inlineStr"/>
    </row>
    <row r="601" ht="15" customHeight="1">
      <c r="A601" t="inlineStr">
        <is>
          <t>A 49334-2022</t>
        </is>
      </c>
      <c r="B601" s="1" t="n">
        <v>44861</v>
      </c>
      <c r="C601" s="1" t="n">
        <v>45803</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49914-2022</t>
        </is>
      </c>
      <c r="B602" s="1" t="n">
        <v>44865</v>
      </c>
      <c r="C602" s="1" t="n">
        <v>45803</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50576-2022</t>
        </is>
      </c>
      <c r="B603" s="1" t="n">
        <v>44866</v>
      </c>
      <c r="C603" s="1" t="n">
        <v>45803</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51055-2022</t>
        </is>
      </c>
      <c r="B604" s="1" t="n">
        <v>44868</v>
      </c>
      <c r="C604" s="1" t="n">
        <v>45803</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51696-2022</t>
        </is>
      </c>
      <c r="B605" s="1" t="n">
        <v>44872</v>
      </c>
      <c r="C605" s="1" t="n">
        <v>45803</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51906-2022</t>
        </is>
      </c>
      <c r="B606" s="1" t="n">
        <v>44872</v>
      </c>
      <c r="C606" s="1" t="n">
        <v>45803</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52265-2022</t>
        </is>
      </c>
      <c r="B607" s="1" t="n">
        <v>44873</v>
      </c>
      <c r="C607" s="1" t="n">
        <v>45803</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52255-2022</t>
        </is>
      </c>
      <c r="B608" s="1" t="n">
        <v>44873</v>
      </c>
      <c r="C608" s="1" t="n">
        <v>45803</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52295-2022</t>
        </is>
      </c>
      <c r="B609" s="1" t="n">
        <v>44873</v>
      </c>
      <c r="C609" s="1" t="n">
        <v>45803</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52652-2022</t>
        </is>
      </c>
      <c r="B610" s="1" t="n">
        <v>44874</v>
      </c>
      <c r="C610" s="1" t="n">
        <v>45803</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52389-2022</t>
        </is>
      </c>
      <c r="B611" s="1" t="n">
        <v>44874</v>
      </c>
      <c r="C611" s="1" t="n">
        <v>45803</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52663-2022</t>
        </is>
      </c>
      <c r="B612" s="1" t="n">
        <v>44874</v>
      </c>
      <c r="C612" s="1" t="n">
        <v>45803</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52650-2022</t>
        </is>
      </c>
      <c r="B613" s="1" t="n">
        <v>44874</v>
      </c>
      <c r="C613" s="1" t="n">
        <v>45803</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52661-2022</t>
        </is>
      </c>
      <c r="B614" s="1" t="n">
        <v>44874</v>
      </c>
      <c r="C614" s="1" t="n">
        <v>45803</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53180-2022</t>
        </is>
      </c>
      <c r="B615" s="1" t="n">
        <v>44876</v>
      </c>
      <c r="C615" s="1" t="n">
        <v>45803</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54666-2022</t>
        </is>
      </c>
      <c r="B616" s="1" t="n">
        <v>44883</v>
      </c>
      <c r="C616" s="1" t="n">
        <v>45803</v>
      </c>
      <c r="D616" t="inlineStr">
        <is>
          <t>UPPSALA LÄN</t>
        </is>
      </c>
      <c r="E616" t="inlineStr">
        <is>
          <t>ÖSTHAMMAR</t>
        </is>
      </c>
      <c r="G616" t="n">
        <v>14.3</v>
      </c>
      <c r="H616" t="n">
        <v>0</v>
      </c>
      <c r="I616" t="n">
        <v>0</v>
      </c>
      <c r="J616" t="n">
        <v>0</v>
      </c>
      <c r="K616" t="n">
        <v>0</v>
      </c>
      <c r="L616" t="n">
        <v>0</v>
      </c>
      <c r="M616" t="n">
        <v>0</v>
      </c>
      <c r="N616" t="n">
        <v>0</v>
      </c>
      <c r="O616" t="n">
        <v>0</v>
      </c>
      <c r="P616" t="n">
        <v>0</v>
      </c>
      <c r="Q616" t="n">
        <v>0</v>
      </c>
      <c r="R616" s="2" t="inlineStr"/>
    </row>
    <row r="617" ht="15" customHeight="1">
      <c r="A617" t="inlineStr">
        <is>
          <t>A 56260-2022</t>
        </is>
      </c>
      <c r="B617" s="1" t="n">
        <v>44890</v>
      </c>
      <c r="C617" s="1" t="n">
        <v>45803</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56969-2022</t>
        </is>
      </c>
      <c r="B618" s="1" t="n">
        <v>44894</v>
      </c>
      <c r="C618" s="1" t="n">
        <v>45803</v>
      </c>
      <c r="D618" t="inlineStr">
        <is>
          <t>UPPSALA LÄN</t>
        </is>
      </c>
      <c r="E618" t="inlineStr">
        <is>
          <t>ÖSTHAMMAR</t>
        </is>
      </c>
      <c r="G618" t="n">
        <v>5.5</v>
      </c>
      <c r="H618" t="n">
        <v>0</v>
      </c>
      <c r="I618" t="n">
        <v>0</v>
      </c>
      <c r="J618" t="n">
        <v>0</v>
      </c>
      <c r="K618" t="n">
        <v>0</v>
      </c>
      <c r="L618" t="n">
        <v>0</v>
      </c>
      <c r="M618" t="n">
        <v>0</v>
      </c>
      <c r="N618" t="n">
        <v>0</v>
      </c>
      <c r="O618" t="n">
        <v>0</v>
      </c>
      <c r="P618" t="n">
        <v>0</v>
      </c>
      <c r="Q618" t="n">
        <v>0</v>
      </c>
      <c r="R618" s="2" t="inlineStr"/>
    </row>
    <row r="619" ht="15" customHeight="1">
      <c r="A619" t="inlineStr">
        <is>
          <t>A 57462-2022</t>
        </is>
      </c>
      <c r="B619" s="1" t="n">
        <v>44896</v>
      </c>
      <c r="C619" s="1" t="n">
        <v>45803</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57453-2022</t>
        </is>
      </c>
      <c r="B620" s="1" t="n">
        <v>44896</v>
      </c>
      <c r="C620" s="1" t="n">
        <v>45803</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58127-2022</t>
        </is>
      </c>
      <c r="B621" s="1" t="n">
        <v>44900</v>
      </c>
      <c r="C621" s="1" t="n">
        <v>45803</v>
      </c>
      <c r="D621" t="inlineStr">
        <is>
          <t>UPPSALA LÄN</t>
        </is>
      </c>
      <c r="E621" t="inlineStr">
        <is>
          <t>ÖSTHAMMAR</t>
        </is>
      </c>
      <c r="F621" t="inlineStr">
        <is>
          <t>Bergvik skog öst AB</t>
        </is>
      </c>
      <c r="G621" t="n">
        <v>6.4</v>
      </c>
      <c r="H621" t="n">
        <v>0</v>
      </c>
      <c r="I621" t="n">
        <v>0</v>
      </c>
      <c r="J621" t="n">
        <v>0</v>
      </c>
      <c r="K621" t="n">
        <v>0</v>
      </c>
      <c r="L621" t="n">
        <v>0</v>
      </c>
      <c r="M621" t="n">
        <v>0</v>
      </c>
      <c r="N621" t="n">
        <v>0</v>
      </c>
      <c r="O621" t="n">
        <v>0</v>
      </c>
      <c r="P621" t="n">
        <v>0</v>
      </c>
      <c r="Q621" t="n">
        <v>0</v>
      </c>
      <c r="R621" s="2" t="inlineStr"/>
    </row>
    <row r="622" ht="15" customHeight="1">
      <c r="A622" t="inlineStr">
        <is>
          <t>A 58367-2022</t>
        </is>
      </c>
      <c r="B622" s="1" t="n">
        <v>44901</v>
      </c>
      <c r="C622" s="1" t="n">
        <v>45803</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58878-2022</t>
        </is>
      </c>
      <c r="B623" s="1" t="n">
        <v>44903</v>
      </c>
      <c r="C623" s="1" t="n">
        <v>45803</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60258-2022</t>
        </is>
      </c>
      <c r="B624" s="1" t="n">
        <v>44903</v>
      </c>
      <c r="C624" s="1" t="n">
        <v>45803</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v>
      </c>
      <c r="C625" s="1" t="n">
        <v>45803</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59563-2022</t>
        </is>
      </c>
      <c r="B626" s="1" t="n">
        <v>44907</v>
      </c>
      <c r="C626" s="1" t="n">
        <v>45803</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v>
      </c>
      <c r="C627" s="1" t="n">
        <v>45803</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60079-2022</t>
        </is>
      </c>
      <c r="B628" s="1" t="n">
        <v>44909</v>
      </c>
      <c r="C628" s="1" t="n">
        <v>45803</v>
      </c>
      <c r="D628" t="inlineStr">
        <is>
          <t>UPPSALA LÄN</t>
        </is>
      </c>
      <c r="E628" t="inlineStr">
        <is>
          <t>ÖSTHAMMAR</t>
        </is>
      </c>
      <c r="G628" t="n">
        <v>9.6</v>
      </c>
      <c r="H628" t="n">
        <v>0</v>
      </c>
      <c r="I628" t="n">
        <v>0</v>
      </c>
      <c r="J628" t="n">
        <v>0</v>
      </c>
      <c r="K628" t="n">
        <v>0</v>
      </c>
      <c r="L628" t="n">
        <v>0</v>
      </c>
      <c r="M628" t="n">
        <v>0</v>
      </c>
      <c r="N628" t="n">
        <v>0</v>
      </c>
      <c r="O628" t="n">
        <v>0</v>
      </c>
      <c r="P628" t="n">
        <v>0</v>
      </c>
      <c r="Q628" t="n">
        <v>0</v>
      </c>
      <c r="R628" s="2" t="inlineStr"/>
    </row>
    <row r="629" ht="15" customHeight="1">
      <c r="A629" t="inlineStr">
        <is>
          <t>A 60597-2022</t>
        </is>
      </c>
      <c r="B629" s="1" t="n">
        <v>44911</v>
      </c>
      <c r="C629" s="1" t="n">
        <v>45803</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61261-2022</t>
        </is>
      </c>
      <c r="B630" s="1" t="n">
        <v>44915</v>
      </c>
      <c r="C630" s="1" t="n">
        <v>45803</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61216-2022</t>
        </is>
      </c>
      <c r="B631" s="1" t="n">
        <v>44915</v>
      </c>
      <c r="C631" s="1" t="n">
        <v>45803</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61257-2022</t>
        </is>
      </c>
      <c r="B632" s="1" t="n">
        <v>44915</v>
      </c>
      <c r="C632" s="1" t="n">
        <v>45803</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62295-2022</t>
        </is>
      </c>
      <c r="B633" s="1" t="n">
        <v>44916</v>
      </c>
      <c r="C633" s="1" t="n">
        <v>45803</v>
      </c>
      <c r="D633" t="inlineStr">
        <is>
          <t>UPPSALA LÄN</t>
        </is>
      </c>
      <c r="E633" t="inlineStr">
        <is>
          <t>ÖSTHAMMAR</t>
        </is>
      </c>
      <c r="G633" t="n">
        <v>3.3</v>
      </c>
      <c r="H633" t="n">
        <v>0</v>
      </c>
      <c r="I633" t="n">
        <v>0</v>
      </c>
      <c r="J633" t="n">
        <v>0</v>
      </c>
      <c r="K633" t="n">
        <v>0</v>
      </c>
      <c r="L633" t="n">
        <v>0</v>
      </c>
      <c r="M633" t="n">
        <v>0</v>
      </c>
      <c r="N633" t="n">
        <v>0</v>
      </c>
      <c r="O633" t="n">
        <v>0</v>
      </c>
      <c r="P633" t="n">
        <v>0</v>
      </c>
      <c r="Q633" t="n">
        <v>0</v>
      </c>
      <c r="R633" s="2" t="inlineStr"/>
    </row>
    <row r="634" ht="15" customHeight="1">
      <c r="A634" t="inlineStr">
        <is>
          <t>A 62394-2022</t>
        </is>
      </c>
      <c r="B634" s="1" t="n">
        <v>44923</v>
      </c>
      <c r="C634" s="1" t="n">
        <v>45803</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62393-2022</t>
        </is>
      </c>
      <c r="B635" s="1" t="n">
        <v>44923</v>
      </c>
      <c r="C635" s="1" t="n">
        <v>45803</v>
      </c>
      <c r="D635" t="inlineStr">
        <is>
          <t>UPPSALA LÄN</t>
        </is>
      </c>
      <c r="E635" t="inlineStr">
        <is>
          <t>ÖSTHAMMAR</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62392-2022</t>
        </is>
      </c>
      <c r="B636" s="1" t="n">
        <v>44923</v>
      </c>
      <c r="C636" s="1" t="n">
        <v>45803</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62391-2022</t>
        </is>
      </c>
      <c r="B637" s="1" t="n">
        <v>44923</v>
      </c>
      <c r="C637" s="1" t="n">
        <v>45803</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57-2023</t>
        </is>
      </c>
      <c r="B638" s="1" t="n">
        <v>44928</v>
      </c>
      <c r="C638" s="1" t="n">
        <v>45803</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59-2023</t>
        </is>
      </c>
      <c r="B639" s="1" t="n">
        <v>44928</v>
      </c>
      <c r="C639" s="1" t="n">
        <v>45803</v>
      </c>
      <c r="D639" t="inlineStr">
        <is>
          <t>UPPSALA LÄN</t>
        </is>
      </c>
      <c r="E639" t="inlineStr">
        <is>
          <t>ÖSTHAMMAR</t>
        </is>
      </c>
      <c r="G639" t="n">
        <v>1.5</v>
      </c>
      <c r="H639" t="n">
        <v>0</v>
      </c>
      <c r="I639" t="n">
        <v>0</v>
      </c>
      <c r="J639" t="n">
        <v>0</v>
      </c>
      <c r="K639" t="n">
        <v>0</v>
      </c>
      <c r="L639" t="n">
        <v>0</v>
      </c>
      <c r="M639" t="n">
        <v>0</v>
      </c>
      <c r="N639" t="n">
        <v>0</v>
      </c>
      <c r="O639" t="n">
        <v>0</v>
      </c>
      <c r="P639" t="n">
        <v>0</v>
      </c>
      <c r="Q639" t="n">
        <v>0</v>
      </c>
      <c r="R639" s="2" t="inlineStr"/>
    </row>
    <row r="640" ht="15" customHeight="1">
      <c r="A640" t="inlineStr">
        <is>
          <t>A 390-2023</t>
        </is>
      </c>
      <c r="B640" s="1" t="n">
        <v>44929</v>
      </c>
      <c r="C640" s="1" t="n">
        <v>45803</v>
      </c>
      <c r="D640" t="inlineStr">
        <is>
          <t>UPPSALA LÄN</t>
        </is>
      </c>
      <c r="E640" t="inlineStr">
        <is>
          <t>ÖSTHAMMAR</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1791-2023</t>
        </is>
      </c>
      <c r="B641" s="1" t="n">
        <v>44938</v>
      </c>
      <c r="C641" s="1" t="n">
        <v>45803</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45803</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1796-2023</t>
        </is>
      </c>
      <c r="B643" s="1" t="n">
        <v>44938</v>
      </c>
      <c r="C643" s="1" t="n">
        <v>45803</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2733-2023</t>
        </is>
      </c>
      <c r="B644" s="1" t="n">
        <v>44943</v>
      </c>
      <c r="C644" s="1" t="n">
        <v>45803</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2967-2023</t>
        </is>
      </c>
      <c r="B645" s="1" t="n">
        <v>44945</v>
      </c>
      <c r="C645" s="1" t="n">
        <v>45803</v>
      </c>
      <c r="D645" t="inlineStr">
        <is>
          <t>UPPSALA LÄN</t>
        </is>
      </c>
      <c r="E645" t="inlineStr">
        <is>
          <t>ÖSTHAMMAR</t>
        </is>
      </c>
      <c r="F645" t="inlineStr">
        <is>
          <t>Övriga Aktiebolag</t>
        </is>
      </c>
      <c r="G645" t="n">
        <v>3.1</v>
      </c>
      <c r="H645" t="n">
        <v>0</v>
      </c>
      <c r="I645" t="n">
        <v>0</v>
      </c>
      <c r="J645" t="n">
        <v>0</v>
      </c>
      <c r="K645" t="n">
        <v>0</v>
      </c>
      <c r="L645" t="n">
        <v>0</v>
      </c>
      <c r="M645" t="n">
        <v>0</v>
      </c>
      <c r="N645" t="n">
        <v>0</v>
      </c>
      <c r="O645" t="n">
        <v>0</v>
      </c>
      <c r="P645" t="n">
        <v>0</v>
      </c>
      <c r="Q645" t="n">
        <v>0</v>
      </c>
      <c r="R645" s="2" t="inlineStr"/>
    </row>
    <row r="646" ht="15" customHeight="1">
      <c r="A646" t="inlineStr">
        <is>
          <t>A 3005-2023</t>
        </is>
      </c>
      <c r="B646" s="1" t="n">
        <v>44945</v>
      </c>
      <c r="C646" s="1" t="n">
        <v>45803</v>
      </c>
      <c r="D646" t="inlineStr">
        <is>
          <t>UPPSALA LÄN</t>
        </is>
      </c>
      <c r="E646" t="inlineStr">
        <is>
          <t>ÖSTHAMMAR</t>
        </is>
      </c>
      <c r="F646" t="inlineStr">
        <is>
          <t>Bergvik skog öst AB</t>
        </is>
      </c>
      <c r="G646" t="n">
        <v>6.5</v>
      </c>
      <c r="H646" t="n">
        <v>0</v>
      </c>
      <c r="I646" t="n">
        <v>0</v>
      </c>
      <c r="J646" t="n">
        <v>0</v>
      </c>
      <c r="K646" t="n">
        <v>0</v>
      </c>
      <c r="L646" t="n">
        <v>0</v>
      </c>
      <c r="M646" t="n">
        <v>0</v>
      </c>
      <c r="N646" t="n">
        <v>0</v>
      </c>
      <c r="O646" t="n">
        <v>0</v>
      </c>
      <c r="P646" t="n">
        <v>0</v>
      </c>
      <c r="Q646" t="n">
        <v>0</v>
      </c>
      <c r="R646" s="2" t="inlineStr"/>
    </row>
    <row r="647" ht="15" customHeight="1">
      <c r="A647" t="inlineStr">
        <is>
          <t>A 3743-2023</t>
        </is>
      </c>
      <c r="B647" s="1" t="n">
        <v>44948</v>
      </c>
      <c r="C647" s="1" t="n">
        <v>45803</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v>
      </c>
      <c r="C648" s="1" t="n">
        <v>45803</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3514-2023</t>
        </is>
      </c>
      <c r="B649" s="1" t="n">
        <v>44950</v>
      </c>
      <c r="C649" s="1" t="n">
        <v>45803</v>
      </c>
      <c r="D649" t="inlineStr">
        <is>
          <t>UPPSALA LÄN</t>
        </is>
      </c>
      <c r="E649" t="inlineStr">
        <is>
          <t>ÖSTHAMMAR</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4004-2023</t>
        </is>
      </c>
      <c r="B650" s="1" t="n">
        <v>44952</v>
      </c>
      <c r="C650" s="1" t="n">
        <v>45803</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4054-2023</t>
        </is>
      </c>
      <c r="B651" s="1" t="n">
        <v>44952</v>
      </c>
      <c r="C651" s="1" t="n">
        <v>45803</v>
      </c>
      <c r="D651" t="inlineStr">
        <is>
          <t>UPPSALA LÄN</t>
        </is>
      </c>
      <c r="E651" t="inlineStr">
        <is>
          <t>ÖSTHAMMAR</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4233-2023</t>
        </is>
      </c>
      <c r="B652" s="1" t="n">
        <v>44953</v>
      </c>
      <c r="C652" s="1" t="n">
        <v>45803</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4228-2023</t>
        </is>
      </c>
      <c r="B653" s="1" t="n">
        <v>44953</v>
      </c>
      <c r="C653" s="1" t="n">
        <v>45803</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4361-2023</t>
        </is>
      </c>
      <c r="B654" s="1" t="n">
        <v>44954</v>
      </c>
      <c r="C654" s="1" t="n">
        <v>45803</v>
      </c>
      <c r="D654" t="inlineStr">
        <is>
          <t>UPPSALA LÄN</t>
        </is>
      </c>
      <c r="E654" t="inlineStr">
        <is>
          <t>ÖSTHAMMAR</t>
        </is>
      </c>
      <c r="F654" t="inlineStr">
        <is>
          <t>Bergvik skog öst AB</t>
        </is>
      </c>
      <c r="G654" t="n">
        <v>18.3</v>
      </c>
      <c r="H654" t="n">
        <v>0</v>
      </c>
      <c r="I654" t="n">
        <v>0</v>
      </c>
      <c r="J654" t="n">
        <v>0</v>
      </c>
      <c r="K654" t="n">
        <v>0</v>
      </c>
      <c r="L654" t="n">
        <v>0</v>
      </c>
      <c r="M654" t="n">
        <v>0</v>
      </c>
      <c r="N654" t="n">
        <v>0</v>
      </c>
      <c r="O654" t="n">
        <v>0</v>
      </c>
      <c r="P654" t="n">
        <v>0</v>
      </c>
      <c r="Q654" t="n">
        <v>0</v>
      </c>
      <c r="R654" s="2" t="inlineStr"/>
    </row>
    <row r="655" ht="15" customHeight="1">
      <c r="A655" t="inlineStr">
        <is>
          <t>A 5404-2023</t>
        </is>
      </c>
      <c r="B655" s="1" t="n">
        <v>44957</v>
      </c>
      <c r="C655" s="1" t="n">
        <v>45803</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5429-2023</t>
        </is>
      </c>
      <c r="B656" s="1" t="n">
        <v>44959</v>
      </c>
      <c r="C656" s="1" t="n">
        <v>45803</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5430-2023</t>
        </is>
      </c>
      <c r="B657" s="1" t="n">
        <v>44959</v>
      </c>
      <c r="C657" s="1" t="n">
        <v>45803</v>
      </c>
      <c r="D657" t="inlineStr">
        <is>
          <t>UPPSALA LÄN</t>
        </is>
      </c>
      <c r="E657" t="inlineStr">
        <is>
          <t>ÖSTHAMMAR</t>
        </is>
      </c>
      <c r="F657" t="inlineStr">
        <is>
          <t>Bergvik skog öst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5643-2023</t>
        </is>
      </c>
      <c r="B658" s="1" t="n">
        <v>44960</v>
      </c>
      <c r="C658" s="1" t="n">
        <v>45803</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6629-2023</t>
        </is>
      </c>
      <c r="B659" s="1" t="n">
        <v>44960</v>
      </c>
      <c r="C659" s="1" t="n">
        <v>45803</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6635-2023</t>
        </is>
      </c>
      <c r="B660" s="1" t="n">
        <v>44960</v>
      </c>
      <c r="C660" s="1" t="n">
        <v>45803</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5832-2023</t>
        </is>
      </c>
      <c r="B661" s="1" t="n">
        <v>44963</v>
      </c>
      <c r="C661" s="1" t="n">
        <v>45803</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5836-2023</t>
        </is>
      </c>
      <c r="B662" s="1" t="n">
        <v>44963</v>
      </c>
      <c r="C662" s="1" t="n">
        <v>45803</v>
      </c>
      <c r="D662" t="inlineStr">
        <is>
          <t>UPPSALA LÄN</t>
        </is>
      </c>
      <c r="E662" t="inlineStr">
        <is>
          <t>ÖSTHAMMAR</t>
        </is>
      </c>
      <c r="G662" t="n">
        <v>1.7</v>
      </c>
      <c r="H662" t="n">
        <v>0</v>
      </c>
      <c r="I662" t="n">
        <v>0</v>
      </c>
      <c r="J662" t="n">
        <v>0</v>
      </c>
      <c r="K662" t="n">
        <v>0</v>
      </c>
      <c r="L662" t="n">
        <v>0</v>
      </c>
      <c r="M662" t="n">
        <v>0</v>
      </c>
      <c r="N662" t="n">
        <v>0</v>
      </c>
      <c r="O662" t="n">
        <v>0</v>
      </c>
      <c r="P662" t="n">
        <v>0</v>
      </c>
      <c r="Q662" t="n">
        <v>0</v>
      </c>
      <c r="R662" s="2" t="inlineStr"/>
    </row>
    <row r="663" ht="15" customHeight="1">
      <c r="A663" t="inlineStr">
        <is>
          <t>A 5831-2023</t>
        </is>
      </c>
      <c r="B663" s="1" t="n">
        <v>44963</v>
      </c>
      <c r="C663" s="1" t="n">
        <v>45803</v>
      </c>
      <c r="D663" t="inlineStr">
        <is>
          <t>UPPSALA LÄN</t>
        </is>
      </c>
      <c r="E663" t="inlineStr">
        <is>
          <t>ÖSTHAMMAR</t>
        </is>
      </c>
      <c r="G663" t="n">
        <v>8.1</v>
      </c>
      <c r="H663" t="n">
        <v>0</v>
      </c>
      <c r="I663" t="n">
        <v>0</v>
      </c>
      <c r="J663" t="n">
        <v>0</v>
      </c>
      <c r="K663" t="n">
        <v>0</v>
      </c>
      <c r="L663" t="n">
        <v>0</v>
      </c>
      <c r="M663" t="n">
        <v>0</v>
      </c>
      <c r="N663" t="n">
        <v>0</v>
      </c>
      <c r="O663" t="n">
        <v>0</v>
      </c>
      <c r="P663" t="n">
        <v>0</v>
      </c>
      <c r="Q663" t="n">
        <v>0</v>
      </c>
      <c r="R663" s="2" t="inlineStr"/>
    </row>
    <row r="664" ht="15" customHeight="1">
      <c r="A664" t="inlineStr">
        <is>
          <t>A 5857-2023</t>
        </is>
      </c>
      <c r="B664" s="1" t="n">
        <v>44963</v>
      </c>
      <c r="C664" s="1" t="n">
        <v>45803</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5884-2023</t>
        </is>
      </c>
      <c r="B665" s="1" t="n">
        <v>44963</v>
      </c>
      <c r="C665" s="1" t="n">
        <v>45803</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v>
      </c>
      <c r="C666" s="1" t="n">
        <v>45803</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7195-2023</t>
        </is>
      </c>
      <c r="B667" s="1" t="n">
        <v>44970</v>
      </c>
      <c r="C667" s="1" t="n">
        <v>45803</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7206-2023</t>
        </is>
      </c>
      <c r="B668" s="1" t="n">
        <v>44970</v>
      </c>
      <c r="C668" s="1" t="n">
        <v>45803</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7118-2023</t>
        </is>
      </c>
      <c r="B669" s="1" t="n">
        <v>44970</v>
      </c>
      <c r="C669" s="1" t="n">
        <v>45803</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7546-2023</t>
        </is>
      </c>
      <c r="B670" s="1" t="n">
        <v>44972</v>
      </c>
      <c r="C670" s="1" t="n">
        <v>45803</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7543-2023</t>
        </is>
      </c>
      <c r="B671" s="1" t="n">
        <v>44972</v>
      </c>
      <c r="C671" s="1" t="n">
        <v>45803</v>
      </c>
      <c r="D671" t="inlineStr">
        <is>
          <t>UPPSALA LÄN</t>
        </is>
      </c>
      <c r="E671" t="inlineStr">
        <is>
          <t>ÖSTHAMMAR</t>
        </is>
      </c>
      <c r="F671" t="inlineStr">
        <is>
          <t>Bergvik skog öst AB</t>
        </is>
      </c>
      <c r="G671" t="n">
        <v>13.3</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45803</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7876-2023</t>
        </is>
      </c>
      <c r="B673" s="1" t="n">
        <v>44973</v>
      </c>
      <c r="C673" s="1" t="n">
        <v>45803</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7944-2023</t>
        </is>
      </c>
      <c r="B674" s="1" t="n">
        <v>44973</v>
      </c>
      <c r="C674" s="1" t="n">
        <v>45803</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7975-2023</t>
        </is>
      </c>
      <c r="B675" s="1" t="n">
        <v>44973</v>
      </c>
      <c r="C675" s="1" t="n">
        <v>45803</v>
      </c>
      <c r="D675" t="inlineStr">
        <is>
          <t>UPPSALA LÄN</t>
        </is>
      </c>
      <c r="E675" t="inlineStr">
        <is>
          <t>ÖSTHAMMAR</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8006-2023</t>
        </is>
      </c>
      <c r="B676" s="1" t="n">
        <v>44973</v>
      </c>
      <c r="C676" s="1" t="n">
        <v>45803</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8616-2023</t>
        </is>
      </c>
      <c r="B677" s="1" t="n">
        <v>44977</v>
      </c>
      <c r="C677" s="1" t="n">
        <v>45803</v>
      </c>
      <c r="D677" t="inlineStr">
        <is>
          <t>UPPSALA LÄN</t>
        </is>
      </c>
      <c r="E677" t="inlineStr">
        <is>
          <t>ÖSTHAMMAR</t>
        </is>
      </c>
      <c r="F677" t="inlineStr">
        <is>
          <t>Bergvik skog öst AB</t>
        </is>
      </c>
      <c r="G677" t="n">
        <v>0.2</v>
      </c>
      <c r="H677" t="n">
        <v>0</v>
      </c>
      <c r="I677" t="n">
        <v>0</v>
      </c>
      <c r="J677" t="n">
        <v>0</v>
      </c>
      <c r="K677" t="n">
        <v>0</v>
      </c>
      <c r="L677" t="n">
        <v>0</v>
      </c>
      <c r="M677" t="n">
        <v>0</v>
      </c>
      <c r="N677" t="n">
        <v>0</v>
      </c>
      <c r="O677" t="n">
        <v>0</v>
      </c>
      <c r="P677" t="n">
        <v>0</v>
      </c>
      <c r="Q677" t="n">
        <v>0</v>
      </c>
      <c r="R677" s="2" t="inlineStr"/>
    </row>
    <row r="678" ht="15" customHeight="1">
      <c r="A678" t="inlineStr">
        <is>
          <t>A 8826-2023</t>
        </is>
      </c>
      <c r="B678" s="1" t="n">
        <v>44978</v>
      </c>
      <c r="C678" s="1" t="n">
        <v>45803</v>
      </c>
      <c r="D678" t="inlineStr">
        <is>
          <t>UPPSALA LÄN</t>
        </is>
      </c>
      <c r="E678" t="inlineStr">
        <is>
          <t>ÖSTHAMMAR</t>
        </is>
      </c>
      <c r="F678" t="inlineStr">
        <is>
          <t>Bergvik skog öst AB</t>
        </is>
      </c>
      <c r="G678" t="n">
        <v>4.3</v>
      </c>
      <c r="H678" t="n">
        <v>0</v>
      </c>
      <c r="I678" t="n">
        <v>0</v>
      </c>
      <c r="J678" t="n">
        <v>0</v>
      </c>
      <c r="K678" t="n">
        <v>0</v>
      </c>
      <c r="L678" t="n">
        <v>0</v>
      </c>
      <c r="M678" t="n">
        <v>0</v>
      </c>
      <c r="N678" t="n">
        <v>0</v>
      </c>
      <c r="O678" t="n">
        <v>0</v>
      </c>
      <c r="P678" t="n">
        <v>0</v>
      </c>
      <c r="Q678" t="n">
        <v>0</v>
      </c>
      <c r="R678" s="2" t="inlineStr"/>
    </row>
    <row r="679" ht="15" customHeight="1">
      <c r="A679" t="inlineStr">
        <is>
          <t>A 8830-2023</t>
        </is>
      </c>
      <c r="B679" s="1" t="n">
        <v>44978</v>
      </c>
      <c r="C679" s="1" t="n">
        <v>45803</v>
      </c>
      <c r="D679" t="inlineStr">
        <is>
          <t>UPPSALA LÄN</t>
        </is>
      </c>
      <c r="E679" t="inlineStr">
        <is>
          <t>ÖSTHAMMAR</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45803</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9543-2023</t>
        </is>
      </c>
      <c r="B681" s="1" t="n">
        <v>44981</v>
      </c>
      <c r="C681" s="1" t="n">
        <v>45803</v>
      </c>
      <c r="D681" t="inlineStr">
        <is>
          <t>UPPSALA LÄN</t>
        </is>
      </c>
      <c r="E681" t="inlineStr">
        <is>
          <t>ÖSTHAMMAR</t>
        </is>
      </c>
      <c r="F681" t="inlineStr">
        <is>
          <t>Bergvik skog öst AB</t>
        </is>
      </c>
      <c r="G681" t="n">
        <v>5.9</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45803</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45803</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11017-2023</t>
        </is>
      </c>
      <c r="B684" s="1" t="n">
        <v>44991</v>
      </c>
      <c r="C684" s="1" t="n">
        <v>45803</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10982-2023</t>
        </is>
      </c>
      <c r="B685" s="1" t="n">
        <v>44991</v>
      </c>
      <c r="C685" s="1" t="n">
        <v>45803</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11008-2023</t>
        </is>
      </c>
      <c r="B686" s="1" t="n">
        <v>44991</v>
      </c>
      <c r="C686" s="1" t="n">
        <v>45803</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11015-2023</t>
        </is>
      </c>
      <c r="B687" s="1" t="n">
        <v>44991</v>
      </c>
      <c r="C687" s="1" t="n">
        <v>45803</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11036-2023</t>
        </is>
      </c>
      <c r="B688" s="1" t="n">
        <v>44991</v>
      </c>
      <c r="C688" s="1" t="n">
        <v>45803</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11009-2023</t>
        </is>
      </c>
      <c r="B689" s="1" t="n">
        <v>44991</v>
      </c>
      <c r="C689" s="1" t="n">
        <v>45803</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11033-2023</t>
        </is>
      </c>
      <c r="B690" s="1" t="n">
        <v>44991</v>
      </c>
      <c r="C690" s="1" t="n">
        <v>45803</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11282-2023</t>
        </is>
      </c>
      <c r="B691" s="1" t="n">
        <v>44992</v>
      </c>
      <c r="C691" s="1" t="n">
        <v>45803</v>
      </c>
      <c r="D691" t="inlineStr">
        <is>
          <t>UPPSALA LÄN</t>
        </is>
      </c>
      <c r="E691" t="inlineStr">
        <is>
          <t>ÖSTHAMMAR</t>
        </is>
      </c>
      <c r="F691" t="inlineStr">
        <is>
          <t>Bergvik skog öst AB</t>
        </is>
      </c>
      <c r="G691" t="n">
        <v>12.3</v>
      </c>
      <c r="H691" t="n">
        <v>0</v>
      </c>
      <c r="I691" t="n">
        <v>0</v>
      </c>
      <c r="J691" t="n">
        <v>0</v>
      </c>
      <c r="K691" t="n">
        <v>0</v>
      </c>
      <c r="L691" t="n">
        <v>0</v>
      </c>
      <c r="M691" t="n">
        <v>0</v>
      </c>
      <c r="N691" t="n">
        <v>0</v>
      </c>
      <c r="O691" t="n">
        <v>0</v>
      </c>
      <c r="P691" t="n">
        <v>0</v>
      </c>
      <c r="Q691" t="n">
        <v>0</v>
      </c>
      <c r="R691" s="2" t="inlineStr"/>
    </row>
    <row r="692" ht="15" customHeight="1">
      <c r="A692" t="inlineStr">
        <is>
          <t>A 11281-2023</t>
        </is>
      </c>
      <c r="B692" s="1" t="n">
        <v>44992</v>
      </c>
      <c r="C692" s="1" t="n">
        <v>45803</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11469-2023</t>
        </is>
      </c>
      <c r="B693" s="1" t="n">
        <v>44993</v>
      </c>
      <c r="C693" s="1" t="n">
        <v>45803</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12190-2023</t>
        </is>
      </c>
      <c r="B694" s="1" t="n">
        <v>44995</v>
      </c>
      <c r="C694" s="1" t="n">
        <v>45803</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12186-2023</t>
        </is>
      </c>
      <c r="B695" s="1" t="n">
        <v>44995</v>
      </c>
      <c r="C695" s="1" t="n">
        <v>45803</v>
      </c>
      <c r="D695" t="inlineStr">
        <is>
          <t>UPPSALA LÄN</t>
        </is>
      </c>
      <c r="E695" t="inlineStr">
        <is>
          <t>ÖSTHAMMAR</t>
        </is>
      </c>
      <c r="G695" t="n">
        <v>5.7</v>
      </c>
      <c r="H695" t="n">
        <v>0</v>
      </c>
      <c r="I695" t="n">
        <v>0</v>
      </c>
      <c r="J695" t="n">
        <v>0</v>
      </c>
      <c r="K695" t="n">
        <v>0</v>
      </c>
      <c r="L695" t="n">
        <v>0</v>
      </c>
      <c r="M695" t="n">
        <v>0</v>
      </c>
      <c r="N695" t="n">
        <v>0</v>
      </c>
      <c r="O695" t="n">
        <v>0</v>
      </c>
      <c r="P695" t="n">
        <v>0</v>
      </c>
      <c r="Q695" t="n">
        <v>0</v>
      </c>
      <c r="R695" s="2" t="inlineStr"/>
    </row>
    <row r="696" ht="15" customHeight="1">
      <c r="A696" t="inlineStr">
        <is>
          <t>A 12262-2023</t>
        </is>
      </c>
      <c r="B696" s="1" t="n">
        <v>44998</v>
      </c>
      <c r="C696" s="1" t="n">
        <v>45803</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12215-2023</t>
        </is>
      </c>
      <c r="B697" s="1" t="n">
        <v>44998</v>
      </c>
      <c r="C697" s="1" t="n">
        <v>45803</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12497-2023</t>
        </is>
      </c>
      <c r="B698" s="1" t="n">
        <v>44999</v>
      </c>
      <c r="C698" s="1" t="n">
        <v>45803</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13336-2023</t>
        </is>
      </c>
      <c r="B699" s="1" t="n">
        <v>45005</v>
      </c>
      <c r="C699" s="1" t="n">
        <v>45803</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13352-2023</t>
        </is>
      </c>
      <c r="B700" s="1" t="n">
        <v>45005</v>
      </c>
      <c r="C700" s="1" t="n">
        <v>45803</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13643-2023</t>
        </is>
      </c>
      <c r="B701" s="1" t="n">
        <v>45006</v>
      </c>
      <c r="C701" s="1" t="n">
        <v>45803</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13580-2023</t>
        </is>
      </c>
      <c r="B702" s="1" t="n">
        <v>45006</v>
      </c>
      <c r="C702" s="1" t="n">
        <v>45803</v>
      </c>
      <c r="D702" t="inlineStr">
        <is>
          <t>UPPSALA LÄN</t>
        </is>
      </c>
      <c r="E702" t="inlineStr">
        <is>
          <t>ÖSTHAMMAR</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13584-2023</t>
        </is>
      </c>
      <c r="B703" s="1" t="n">
        <v>45006</v>
      </c>
      <c r="C703" s="1" t="n">
        <v>45803</v>
      </c>
      <c r="D703" t="inlineStr">
        <is>
          <t>UPPSALA LÄN</t>
        </is>
      </c>
      <c r="E703" t="inlineStr">
        <is>
          <t>ÖSTHAMMAR</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v>
      </c>
      <c r="C704" s="1" t="n">
        <v>45803</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13767-2023</t>
        </is>
      </c>
      <c r="B705" s="1" t="n">
        <v>45007</v>
      </c>
      <c r="C705" s="1" t="n">
        <v>45803</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13755-2023</t>
        </is>
      </c>
      <c r="B706" s="1" t="n">
        <v>45007</v>
      </c>
      <c r="C706" s="1" t="n">
        <v>45803</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13771-2023</t>
        </is>
      </c>
      <c r="B707" s="1" t="n">
        <v>45007</v>
      </c>
      <c r="C707" s="1" t="n">
        <v>45803</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13736-2023</t>
        </is>
      </c>
      <c r="B708" s="1" t="n">
        <v>45007</v>
      </c>
      <c r="C708" s="1" t="n">
        <v>45803</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14505-2023</t>
        </is>
      </c>
      <c r="B709" s="1" t="n">
        <v>45012</v>
      </c>
      <c r="C709" s="1" t="n">
        <v>45803</v>
      </c>
      <c r="D709" t="inlineStr">
        <is>
          <t>UPPSALA LÄN</t>
        </is>
      </c>
      <c r="E709" t="inlineStr">
        <is>
          <t>ÖSTHAMMAR</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14510-2023</t>
        </is>
      </c>
      <c r="B710" s="1" t="n">
        <v>45012</v>
      </c>
      <c r="C710" s="1" t="n">
        <v>45803</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14595-2023</t>
        </is>
      </c>
      <c r="B711" s="1" t="n">
        <v>45013</v>
      </c>
      <c r="C711" s="1" t="n">
        <v>45803</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14822-2023</t>
        </is>
      </c>
      <c r="B712" s="1" t="n">
        <v>45014</v>
      </c>
      <c r="C712" s="1" t="n">
        <v>45803</v>
      </c>
      <c r="D712" t="inlineStr">
        <is>
          <t>UPPSALA LÄN</t>
        </is>
      </c>
      <c r="E712" t="inlineStr">
        <is>
          <t>ÖSTHAMMAR</t>
        </is>
      </c>
      <c r="G712" t="n">
        <v>6.2</v>
      </c>
      <c r="H712" t="n">
        <v>0</v>
      </c>
      <c r="I712" t="n">
        <v>0</v>
      </c>
      <c r="J712" t="n">
        <v>0</v>
      </c>
      <c r="K712" t="n">
        <v>0</v>
      </c>
      <c r="L712" t="n">
        <v>0</v>
      </c>
      <c r="M712" t="n">
        <v>0</v>
      </c>
      <c r="N712" t="n">
        <v>0</v>
      </c>
      <c r="O712" t="n">
        <v>0</v>
      </c>
      <c r="P712" t="n">
        <v>0</v>
      </c>
      <c r="Q712" t="n">
        <v>0</v>
      </c>
      <c r="R712" s="2" t="inlineStr"/>
    </row>
    <row r="713" ht="15" customHeight="1">
      <c r="A713" t="inlineStr">
        <is>
          <t>A 14835-2023</t>
        </is>
      </c>
      <c r="B713" s="1" t="n">
        <v>45014</v>
      </c>
      <c r="C713" s="1" t="n">
        <v>45803</v>
      </c>
      <c r="D713" t="inlineStr">
        <is>
          <t>UPPSALA LÄN</t>
        </is>
      </c>
      <c r="E713" t="inlineStr">
        <is>
          <t>ÖSTHAMMAR</t>
        </is>
      </c>
      <c r="G713" t="n">
        <v>9.5</v>
      </c>
      <c r="H713" t="n">
        <v>0</v>
      </c>
      <c r="I713" t="n">
        <v>0</v>
      </c>
      <c r="J713" t="n">
        <v>0</v>
      </c>
      <c r="K713" t="n">
        <v>0</v>
      </c>
      <c r="L713" t="n">
        <v>0</v>
      </c>
      <c r="M713" t="n">
        <v>0</v>
      </c>
      <c r="N713" t="n">
        <v>0</v>
      </c>
      <c r="O713" t="n">
        <v>0</v>
      </c>
      <c r="P713" t="n">
        <v>0</v>
      </c>
      <c r="Q713" t="n">
        <v>0</v>
      </c>
      <c r="R713" s="2" t="inlineStr"/>
    </row>
    <row r="714" ht="15" customHeight="1">
      <c r="A714" t="inlineStr">
        <is>
          <t>A 14889-2023</t>
        </is>
      </c>
      <c r="B714" s="1" t="n">
        <v>45015</v>
      </c>
      <c r="C714" s="1" t="n">
        <v>45803</v>
      </c>
      <c r="D714" t="inlineStr">
        <is>
          <t>UPPSALA LÄN</t>
        </is>
      </c>
      <c r="E714" t="inlineStr">
        <is>
          <t>ÖSTHAMMAR</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14888-2023</t>
        </is>
      </c>
      <c r="B715" s="1" t="n">
        <v>45015</v>
      </c>
      <c r="C715" s="1" t="n">
        <v>45803</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14976-2023</t>
        </is>
      </c>
      <c r="B716" s="1" t="n">
        <v>45015</v>
      </c>
      <c r="C716" s="1" t="n">
        <v>45803</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15554-2023</t>
        </is>
      </c>
      <c r="B717" s="1" t="n">
        <v>45019</v>
      </c>
      <c r="C717" s="1" t="n">
        <v>45803</v>
      </c>
      <c r="D717" t="inlineStr">
        <is>
          <t>UPPSALA LÄN</t>
        </is>
      </c>
      <c r="E717" t="inlineStr">
        <is>
          <t>ÖSTHAMMAR</t>
        </is>
      </c>
      <c r="G717" t="n">
        <v>5.3</v>
      </c>
      <c r="H717" t="n">
        <v>0</v>
      </c>
      <c r="I717" t="n">
        <v>0</v>
      </c>
      <c r="J717" t="n">
        <v>0</v>
      </c>
      <c r="K717" t="n">
        <v>0</v>
      </c>
      <c r="L717" t="n">
        <v>0</v>
      </c>
      <c r="M717" t="n">
        <v>0</v>
      </c>
      <c r="N717" t="n">
        <v>0</v>
      </c>
      <c r="O717" t="n">
        <v>0</v>
      </c>
      <c r="P717" t="n">
        <v>0</v>
      </c>
      <c r="Q717" t="n">
        <v>0</v>
      </c>
      <c r="R717" s="2" t="inlineStr"/>
    </row>
    <row r="718" ht="15" customHeight="1">
      <c r="A718" t="inlineStr">
        <is>
          <t>A 16112-2023</t>
        </is>
      </c>
      <c r="B718" s="1" t="n">
        <v>45027</v>
      </c>
      <c r="C718" s="1" t="n">
        <v>45803</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16345-2023</t>
        </is>
      </c>
      <c r="B719" s="1" t="n">
        <v>45028</v>
      </c>
      <c r="C719" s="1" t="n">
        <v>45803</v>
      </c>
      <c r="D719" t="inlineStr">
        <is>
          <t>UPPSALA LÄN</t>
        </is>
      </c>
      <c r="E719" t="inlineStr">
        <is>
          <t>ÖSTHAMMAR</t>
        </is>
      </c>
      <c r="F719" t="inlineStr">
        <is>
          <t>Övriga Aktiebolag</t>
        </is>
      </c>
      <c r="G719" t="n">
        <v>10.1</v>
      </c>
      <c r="H719" t="n">
        <v>0</v>
      </c>
      <c r="I719" t="n">
        <v>0</v>
      </c>
      <c r="J719" t="n">
        <v>0</v>
      </c>
      <c r="K719" t="n">
        <v>0</v>
      </c>
      <c r="L719" t="n">
        <v>0</v>
      </c>
      <c r="M719" t="n">
        <v>0</v>
      </c>
      <c r="N719" t="n">
        <v>0</v>
      </c>
      <c r="O719" t="n">
        <v>0</v>
      </c>
      <c r="P719" t="n">
        <v>0</v>
      </c>
      <c r="Q719" t="n">
        <v>0</v>
      </c>
      <c r="R719" s="2" t="inlineStr"/>
    </row>
    <row r="720" ht="15" customHeight="1">
      <c r="A720" t="inlineStr">
        <is>
          <t>A 16701-2023</t>
        </is>
      </c>
      <c r="B720" s="1" t="n">
        <v>45030</v>
      </c>
      <c r="C720" s="1" t="n">
        <v>45803</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16954-2023</t>
        </is>
      </c>
      <c r="B721" s="1" t="n">
        <v>45033</v>
      </c>
      <c r="C721" s="1" t="n">
        <v>45803</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16948-2023</t>
        </is>
      </c>
      <c r="B722" s="1" t="n">
        <v>45033</v>
      </c>
      <c r="C722" s="1" t="n">
        <v>45803</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16966-2023</t>
        </is>
      </c>
      <c r="B723" s="1" t="n">
        <v>45033</v>
      </c>
      <c r="C723" s="1" t="n">
        <v>45803</v>
      </c>
      <c r="D723" t="inlineStr">
        <is>
          <t>UPPSALA LÄN</t>
        </is>
      </c>
      <c r="E723" t="inlineStr">
        <is>
          <t>ÖSTHAMMAR</t>
        </is>
      </c>
      <c r="G723" t="n">
        <v>0.9</v>
      </c>
      <c r="H723" t="n">
        <v>0</v>
      </c>
      <c r="I723" t="n">
        <v>0</v>
      </c>
      <c r="J723" t="n">
        <v>0</v>
      </c>
      <c r="K723" t="n">
        <v>0</v>
      </c>
      <c r="L723" t="n">
        <v>0</v>
      </c>
      <c r="M723" t="n">
        <v>0</v>
      </c>
      <c r="N723" t="n">
        <v>0</v>
      </c>
      <c r="O723" t="n">
        <v>0</v>
      </c>
      <c r="P723" t="n">
        <v>0</v>
      </c>
      <c r="Q723" t="n">
        <v>0</v>
      </c>
      <c r="R723" s="2" t="inlineStr"/>
    </row>
    <row r="724" ht="15" customHeight="1">
      <c r="A724" t="inlineStr">
        <is>
          <t>A 17028-2023</t>
        </is>
      </c>
      <c r="B724" s="1" t="n">
        <v>45034</v>
      </c>
      <c r="C724" s="1" t="n">
        <v>45803</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17631-2023</t>
        </is>
      </c>
      <c r="B725" s="1" t="n">
        <v>45036</v>
      </c>
      <c r="C725" s="1" t="n">
        <v>45803</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17850-2023</t>
        </is>
      </c>
      <c r="B726" s="1" t="n">
        <v>45037</v>
      </c>
      <c r="C726" s="1" t="n">
        <v>45803</v>
      </c>
      <c r="D726" t="inlineStr">
        <is>
          <t>UPPSALA LÄN</t>
        </is>
      </c>
      <c r="E726" t="inlineStr">
        <is>
          <t>ÖSTHAMMAR</t>
        </is>
      </c>
      <c r="G726" t="n">
        <v>3.2</v>
      </c>
      <c r="H726" t="n">
        <v>0</v>
      </c>
      <c r="I726" t="n">
        <v>0</v>
      </c>
      <c r="J726" t="n">
        <v>0</v>
      </c>
      <c r="K726" t="n">
        <v>0</v>
      </c>
      <c r="L726" t="n">
        <v>0</v>
      </c>
      <c r="M726" t="n">
        <v>0</v>
      </c>
      <c r="N726" t="n">
        <v>0</v>
      </c>
      <c r="O726" t="n">
        <v>0</v>
      </c>
      <c r="P726" t="n">
        <v>0</v>
      </c>
      <c r="Q726" t="n">
        <v>0</v>
      </c>
      <c r="R726" s="2" t="inlineStr"/>
    </row>
    <row r="727" ht="15" customHeight="1">
      <c r="A727" t="inlineStr">
        <is>
          <t>A 17851-2023</t>
        </is>
      </c>
      <c r="B727" s="1" t="n">
        <v>45037</v>
      </c>
      <c r="C727" s="1" t="n">
        <v>45803</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17854-2023</t>
        </is>
      </c>
      <c r="B728" s="1" t="n">
        <v>45037</v>
      </c>
      <c r="C728" s="1" t="n">
        <v>45803</v>
      </c>
      <c r="D728" t="inlineStr">
        <is>
          <t>UPPSALA LÄN</t>
        </is>
      </c>
      <c r="E728" t="inlineStr">
        <is>
          <t>ÖSTHAMMAR</t>
        </is>
      </c>
      <c r="G728" t="n">
        <v>5.6</v>
      </c>
      <c r="H728" t="n">
        <v>0</v>
      </c>
      <c r="I728" t="n">
        <v>0</v>
      </c>
      <c r="J728" t="n">
        <v>0</v>
      </c>
      <c r="K728" t="n">
        <v>0</v>
      </c>
      <c r="L728" t="n">
        <v>0</v>
      </c>
      <c r="M728" t="n">
        <v>0</v>
      </c>
      <c r="N728" t="n">
        <v>0</v>
      </c>
      <c r="O728" t="n">
        <v>0</v>
      </c>
      <c r="P728" t="n">
        <v>0</v>
      </c>
      <c r="Q728" t="n">
        <v>0</v>
      </c>
      <c r="R728" s="2" t="inlineStr"/>
    </row>
    <row r="729" ht="15" customHeight="1">
      <c r="A729" t="inlineStr">
        <is>
          <t>A 18091-2023</t>
        </is>
      </c>
      <c r="B729" s="1" t="n">
        <v>45040</v>
      </c>
      <c r="C729" s="1" t="n">
        <v>45803</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17970-2023</t>
        </is>
      </c>
      <c r="B730" s="1" t="n">
        <v>45040</v>
      </c>
      <c r="C730" s="1" t="n">
        <v>45803</v>
      </c>
      <c r="D730" t="inlineStr">
        <is>
          <t>UPPSALA LÄN</t>
        </is>
      </c>
      <c r="E730" t="inlineStr">
        <is>
          <t>ÖSTHAMMAR</t>
        </is>
      </c>
      <c r="G730" t="n">
        <v>3.3</v>
      </c>
      <c r="H730" t="n">
        <v>0</v>
      </c>
      <c r="I730" t="n">
        <v>0</v>
      </c>
      <c r="J730" t="n">
        <v>0</v>
      </c>
      <c r="K730" t="n">
        <v>0</v>
      </c>
      <c r="L730" t="n">
        <v>0</v>
      </c>
      <c r="M730" t="n">
        <v>0</v>
      </c>
      <c r="N730" t="n">
        <v>0</v>
      </c>
      <c r="O730" t="n">
        <v>0</v>
      </c>
      <c r="P730" t="n">
        <v>0</v>
      </c>
      <c r="Q730" t="n">
        <v>0</v>
      </c>
      <c r="R730" s="2" t="inlineStr"/>
    </row>
    <row r="731" ht="15" customHeight="1">
      <c r="A731" t="inlineStr">
        <is>
          <t>A 18074-2023</t>
        </is>
      </c>
      <c r="B731" s="1" t="n">
        <v>45040</v>
      </c>
      <c r="C731" s="1" t="n">
        <v>45803</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18113-2023</t>
        </is>
      </c>
      <c r="B732" s="1" t="n">
        <v>45040</v>
      </c>
      <c r="C732" s="1" t="n">
        <v>45803</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17969-2023</t>
        </is>
      </c>
      <c r="B733" s="1" t="n">
        <v>45040</v>
      </c>
      <c r="C733" s="1" t="n">
        <v>45803</v>
      </c>
      <c r="D733" t="inlineStr">
        <is>
          <t>UPPSALA LÄN</t>
        </is>
      </c>
      <c r="E733" t="inlineStr">
        <is>
          <t>ÖSTHAMMAR</t>
        </is>
      </c>
      <c r="G733" t="n">
        <v>5.4</v>
      </c>
      <c r="H733" t="n">
        <v>0</v>
      </c>
      <c r="I733" t="n">
        <v>0</v>
      </c>
      <c r="J733" t="n">
        <v>0</v>
      </c>
      <c r="K733" t="n">
        <v>0</v>
      </c>
      <c r="L733" t="n">
        <v>0</v>
      </c>
      <c r="M733" t="n">
        <v>0</v>
      </c>
      <c r="N733" t="n">
        <v>0</v>
      </c>
      <c r="O733" t="n">
        <v>0</v>
      </c>
      <c r="P733" t="n">
        <v>0</v>
      </c>
      <c r="Q733" t="n">
        <v>0</v>
      </c>
      <c r="R733" s="2" t="inlineStr"/>
    </row>
    <row r="734" ht="15" customHeight="1">
      <c r="A734" t="inlineStr">
        <is>
          <t>A 18219-2023</t>
        </is>
      </c>
      <c r="B734" s="1" t="n">
        <v>45041</v>
      </c>
      <c r="C734" s="1" t="n">
        <v>45803</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18536-2023</t>
        </is>
      </c>
      <c r="B735" s="1" t="n">
        <v>45042</v>
      </c>
      <c r="C735" s="1" t="n">
        <v>45803</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18386-2023</t>
        </is>
      </c>
      <c r="B736" s="1" t="n">
        <v>45042</v>
      </c>
      <c r="C736" s="1" t="n">
        <v>45803</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18535-2023</t>
        </is>
      </c>
      <c r="B737" s="1" t="n">
        <v>45042</v>
      </c>
      <c r="C737" s="1" t="n">
        <v>45803</v>
      </c>
      <c r="D737" t="inlineStr">
        <is>
          <t>UPPSALA LÄN</t>
        </is>
      </c>
      <c r="E737" t="inlineStr">
        <is>
          <t>ÖSTHAMMAR</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18534-2023</t>
        </is>
      </c>
      <c r="B738" s="1" t="n">
        <v>45042</v>
      </c>
      <c r="C738" s="1" t="n">
        <v>45803</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18538-2023</t>
        </is>
      </c>
      <c r="B739" s="1" t="n">
        <v>45042</v>
      </c>
      <c r="C739" s="1" t="n">
        <v>45803</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18838-2023</t>
        </is>
      </c>
      <c r="B740" s="1" t="n">
        <v>45044</v>
      </c>
      <c r="C740" s="1" t="n">
        <v>45803</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18839-2023</t>
        </is>
      </c>
      <c r="B741" s="1" t="n">
        <v>45044</v>
      </c>
      <c r="C741" s="1" t="n">
        <v>45803</v>
      </c>
      <c r="D741" t="inlineStr">
        <is>
          <t>UPPSALA LÄN</t>
        </is>
      </c>
      <c r="E741" t="inlineStr">
        <is>
          <t>ÖSTHAMMAR</t>
        </is>
      </c>
      <c r="G741" t="n">
        <v>2.5</v>
      </c>
      <c r="H741" t="n">
        <v>0</v>
      </c>
      <c r="I741" t="n">
        <v>0</v>
      </c>
      <c r="J741" t="n">
        <v>0</v>
      </c>
      <c r="K741" t="n">
        <v>0</v>
      </c>
      <c r="L741" t="n">
        <v>0</v>
      </c>
      <c r="M741" t="n">
        <v>0</v>
      </c>
      <c r="N741" t="n">
        <v>0</v>
      </c>
      <c r="O741" t="n">
        <v>0</v>
      </c>
      <c r="P741" t="n">
        <v>0</v>
      </c>
      <c r="Q741" t="n">
        <v>0</v>
      </c>
      <c r="R741" s="2" t="inlineStr"/>
    </row>
    <row r="742" ht="15" customHeight="1">
      <c r="A742" t="inlineStr">
        <is>
          <t>A 18841-2023</t>
        </is>
      </c>
      <c r="B742" s="1" t="n">
        <v>45044</v>
      </c>
      <c r="C742" s="1" t="n">
        <v>45803</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18945-2023</t>
        </is>
      </c>
      <c r="B743" s="1" t="n">
        <v>45044</v>
      </c>
      <c r="C743" s="1" t="n">
        <v>45803</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18946-2023</t>
        </is>
      </c>
      <c r="B744" s="1" t="n">
        <v>45044</v>
      </c>
      <c r="C744" s="1" t="n">
        <v>45803</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19012-2023</t>
        </is>
      </c>
      <c r="B745" s="1" t="n">
        <v>45045</v>
      </c>
      <c r="C745" s="1" t="n">
        <v>45803</v>
      </c>
      <c r="D745" t="inlineStr">
        <is>
          <t>UPPSALA LÄN</t>
        </is>
      </c>
      <c r="E745" t="inlineStr">
        <is>
          <t>ÖSTHAMMAR</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19015-2023</t>
        </is>
      </c>
      <c r="B746" s="1" t="n">
        <v>45045</v>
      </c>
      <c r="C746" s="1" t="n">
        <v>45803</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19010-2023</t>
        </is>
      </c>
      <c r="B747" s="1" t="n">
        <v>45045</v>
      </c>
      <c r="C747" s="1" t="n">
        <v>45803</v>
      </c>
      <c r="D747" t="inlineStr">
        <is>
          <t>UPPSALA LÄN</t>
        </is>
      </c>
      <c r="E747" t="inlineStr">
        <is>
          <t>ÖSTHAMMAR</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19014-2023</t>
        </is>
      </c>
      <c r="B748" s="1" t="n">
        <v>45045</v>
      </c>
      <c r="C748" s="1" t="n">
        <v>45803</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19009-2023</t>
        </is>
      </c>
      <c r="B749" s="1" t="n">
        <v>45045</v>
      </c>
      <c r="C749" s="1" t="n">
        <v>45803</v>
      </c>
      <c r="D749" t="inlineStr">
        <is>
          <t>UPPSALA LÄN</t>
        </is>
      </c>
      <c r="E749" t="inlineStr">
        <is>
          <t>ÖSTHAMMAR</t>
        </is>
      </c>
      <c r="F749" t="inlineStr">
        <is>
          <t>Bergvik skog öst AB</t>
        </is>
      </c>
      <c r="G749" t="n">
        <v>0.2</v>
      </c>
      <c r="H749" t="n">
        <v>0</v>
      </c>
      <c r="I749" t="n">
        <v>0</v>
      </c>
      <c r="J749" t="n">
        <v>0</v>
      </c>
      <c r="K749" t="n">
        <v>0</v>
      </c>
      <c r="L749" t="n">
        <v>0</v>
      </c>
      <c r="M749" t="n">
        <v>0</v>
      </c>
      <c r="N749" t="n">
        <v>0</v>
      </c>
      <c r="O749" t="n">
        <v>0</v>
      </c>
      <c r="P749" t="n">
        <v>0</v>
      </c>
      <c r="Q749" t="n">
        <v>0</v>
      </c>
      <c r="R749" s="2" t="inlineStr"/>
    </row>
    <row r="750" ht="15" customHeight="1">
      <c r="A750" t="inlineStr">
        <is>
          <t>A 19041-2023</t>
        </is>
      </c>
      <c r="B750" s="1" t="n">
        <v>45047</v>
      </c>
      <c r="C750" s="1" t="n">
        <v>45803</v>
      </c>
      <c r="D750" t="inlineStr">
        <is>
          <t>UPPSALA LÄN</t>
        </is>
      </c>
      <c r="E750" t="inlineStr">
        <is>
          <t>ÖSTHAMMAR</t>
        </is>
      </c>
      <c r="F750" t="inlineStr">
        <is>
          <t>Bergvik skog öst AB</t>
        </is>
      </c>
      <c r="G750" t="n">
        <v>3.9</v>
      </c>
      <c r="H750" t="n">
        <v>0</v>
      </c>
      <c r="I750" t="n">
        <v>0</v>
      </c>
      <c r="J750" t="n">
        <v>0</v>
      </c>
      <c r="K750" t="n">
        <v>0</v>
      </c>
      <c r="L750" t="n">
        <v>0</v>
      </c>
      <c r="M750" t="n">
        <v>0</v>
      </c>
      <c r="N750" t="n">
        <v>0</v>
      </c>
      <c r="O750" t="n">
        <v>0</v>
      </c>
      <c r="P750" t="n">
        <v>0</v>
      </c>
      <c r="Q750" t="n">
        <v>0</v>
      </c>
      <c r="R750" s="2" t="inlineStr"/>
    </row>
    <row r="751" ht="15" customHeight="1">
      <c r="A751" t="inlineStr">
        <is>
          <t>A 19040-2023</t>
        </is>
      </c>
      <c r="B751" s="1" t="n">
        <v>45047</v>
      </c>
      <c r="C751" s="1" t="n">
        <v>45803</v>
      </c>
      <c r="D751" t="inlineStr">
        <is>
          <t>UPPSALA LÄN</t>
        </is>
      </c>
      <c r="E751" t="inlineStr">
        <is>
          <t>ÖSTHAMMAR</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19102-2023</t>
        </is>
      </c>
      <c r="B752" s="1" t="n">
        <v>45048</v>
      </c>
      <c r="C752" s="1" t="n">
        <v>45803</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19099-2023</t>
        </is>
      </c>
      <c r="B753" s="1" t="n">
        <v>45048</v>
      </c>
      <c r="C753" s="1" t="n">
        <v>45803</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19097-2023</t>
        </is>
      </c>
      <c r="B754" s="1" t="n">
        <v>45048</v>
      </c>
      <c r="C754" s="1" t="n">
        <v>45803</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19215-2023</t>
        </is>
      </c>
      <c r="B755" s="1" t="n">
        <v>45048</v>
      </c>
      <c r="C755" s="1" t="n">
        <v>45803</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19216-2023</t>
        </is>
      </c>
      <c r="B756" s="1" t="n">
        <v>45048</v>
      </c>
      <c r="C756" s="1" t="n">
        <v>45803</v>
      </c>
      <c r="D756" t="inlineStr">
        <is>
          <t>UPPSALA LÄN</t>
        </is>
      </c>
      <c r="E756" t="inlineStr">
        <is>
          <t>ÖSTHAMMAR</t>
        </is>
      </c>
      <c r="G756" t="n">
        <v>11.3</v>
      </c>
      <c r="H756" t="n">
        <v>0</v>
      </c>
      <c r="I756" t="n">
        <v>0</v>
      </c>
      <c r="J756" t="n">
        <v>0</v>
      </c>
      <c r="K756" t="n">
        <v>0</v>
      </c>
      <c r="L756" t="n">
        <v>0</v>
      </c>
      <c r="M756" t="n">
        <v>0</v>
      </c>
      <c r="N756" t="n">
        <v>0</v>
      </c>
      <c r="O756" t="n">
        <v>0</v>
      </c>
      <c r="P756" t="n">
        <v>0</v>
      </c>
      <c r="Q756" t="n">
        <v>0</v>
      </c>
      <c r="R756" s="2" t="inlineStr"/>
    </row>
    <row r="757" ht="15" customHeight="1">
      <c r="A757" t="inlineStr">
        <is>
          <t>A 19784-2023</t>
        </is>
      </c>
      <c r="B757" s="1" t="n">
        <v>45051</v>
      </c>
      <c r="C757" s="1" t="n">
        <v>45803</v>
      </c>
      <c r="D757" t="inlineStr">
        <is>
          <t>UPPSALA LÄN</t>
        </is>
      </c>
      <c r="E757" t="inlineStr">
        <is>
          <t>ÖSTHAMMAR</t>
        </is>
      </c>
      <c r="G757" t="n">
        <v>4.2</v>
      </c>
      <c r="H757" t="n">
        <v>0</v>
      </c>
      <c r="I757" t="n">
        <v>0</v>
      </c>
      <c r="J757" t="n">
        <v>0</v>
      </c>
      <c r="K757" t="n">
        <v>0</v>
      </c>
      <c r="L757" t="n">
        <v>0</v>
      </c>
      <c r="M757" t="n">
        <v>0</v>
      </c>
      <c r="N757" t="n">
        <v>0</v>
      </c>
      <c r="O757" t="n">
        <v>0</v>
      </c>
      <c r="P757" t="n">
        <v>0</v>
      </c>
      <c r="Q757" t="n">
        <v>0</v>
      </c>
      <c r="R757" s="2" t="inlineStr"/>
    </row>
    <row r="758" ht="15" customHeight="1">
      <c r="A758" t="inlineStr">
        <is>
          <t>A 19801-2023</t>
        </is>
      </c>
      <c r="B758" s="1" t="n">
        <v>45051</v>
      </c>
      <c r="C758" s="1" t="n">
        <v>45803</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19968-2023</t>
        </is>
      </c>
      <c r="B759" s="1" t="n">
        <v>45054</v>
      </c>
      <c r="C759" s="1" t="n">
        <v>45803</v>
      </c>
      <c r="D759" t="inlineStr">
        <is>
          <t>UPPSALA LÄN</t>
        </is>
      </c>
      <c r="E759" t="inlineStr">
        <is>
          <t>ÖSTHAMMAR</t>
        </is>
      </c>
      <c r="G759" t="n">
        <v>5.8</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v>
      </c>
      <c r="C760" s="1" t="n">
        <v>45803</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20046-2023</t>
        </is>
      </c>
      <c r="B761" s="1" t="n">
        <v>45054</v>
      </c>
      <c r="C761" s="1" t="n">
        <v>45803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20029-2023</t>
        </is>
      </c>
      <c r="B762" s="1" t="n">
        <v>45054</v>
      </c>
      <c r="C762" s="1" t="n">
        <v>45803</v>
      </c>
      <c r="D762" t="inlineStr">
        <is>
          <t>UPPSALA LÄN</t>
        </is>
      </c>
      <c r="E762" t="inlineStr">
        <is>
          <t>ÖSTHAMMAR</t>
        </is>
      </c>
      <c r="G762" t="n">
        <v>4.8</v>
      </c>
      <c r="H762" t="n">
        <v>0</v>
      </c>
      <c r="I762" t="n">
        <v>0</v>
      </c>
      <c r="J762" t="n">
        <v>0</v>
      </c>
      <c r="K762" t="n">
        <v>0</v>
      </c>
      <c r="L762" t="n">
        <v>0</v>
      </c>
      <c r="M762" t="n">
        <v>0</v>
      </c>
      <c r="N762" t="n">
        <v>0</v>
      </c>
      <c r="O762" t="n">
        <v>0</v>
      </c>
      <c r="P762" t="n">
        <v>0</v>
      </c>
      <c r="Q762" t="n">
        <v>0</v>
      </c>
      <c r="R762" s="2" t="inlineStr"/>
    </row>
    <row r="763" ht="15" customHeight="1">
      <c r="A763" t="inlineStr">
        <is>
          <t>A 20366-2023</t>
        </is>
      </c>
      <c r="B763" s="1" t="n">
        <v>45056</v>
      </c>
      <c r="C763" s="1" t="n">
        <v>45803</v>
      </c>
      <c r="D763" t="inlineStr">
        <is>
          <t>UPPSALA LÄN</t>
        </is>
      </c>
      <c r="E763" t="inlineStr">
        <is>
          <t>ÖSTHAMMAR</t>
        </is>
      </c>
      <c r="G763" t="n">
        <v>1.6</v>
      </c>
      <c r="H763" t="n">
        <v>0</v>
      </c>
      <c r="I763" t="n">
        <v>0</v>
      </c>
      <c r="J763" t="n">
        <v>0</v>
      </c>
      <c r="K763" t="n">
        <v>0</v>
      </c>
      <c r="L763" t="n">
        <v>0</v>
      </c>
      <c r="M763" t="n">
        <v>0</v>
      </c>
      <c r="N763" t="n">
        <v>0</v>
      </c>
      <c r="O763" t="n">
        <v>0</v>
      </c>
      <c r="P763" t="n">
        <v>0</v>
      </c>
      <c r="Q763" t="n">
        <v>0</v>
      </c>
      <c r="R763" s="2" t="inlineStr"/>
    </row>
    <row r="764" ht="15" customHeight="1">
      <c r="A764" t="inlineStr">
        <is>
          <t>A 20572-2023</t>
        </is>
      </c>
      <c r="B764" s="1" t="n">
        <v>45057</v>
      </c>
      <c r="C764" s="1" t="n">
        <v>45803</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20657-2023</t>
        </is>
      </c>
      <c r="B765" s="1" t="n">
        <v>45058</v>
      </c>
      <c r="C765" s="1" t="n">
        <v>45803</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20664-2023</t>
        </is>
      </c>
      <c r="B766" s="1" t="n">
        <v>45058</v>
      </c>
      <c r="C766" s="1" t="n">
        <v>45803</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20680-2023</t>
        </is>
      </c>
      <c r="B767" s="1" t="n">
        <v>45058</v>
      </c>
      <c r="C767" s="1" t="n">
        <v>45803</v>
      </c>
      <c r="D767" t="inlineStr">
        <is>
          <t>UPPSALA LÄN</t>
        </is>
      </c>
      <c r="E767" t="inlineStr">
        <is>
          <t>ÖSTHAMMAR</t>
        </is>
      </c>
      <c r="F767" t="inlineStr">
        <is>
          <t>Bergvik skog öst AB</t>
        </is>
      </c>
      <c r="G767" t="n">
        <v>10.5</v>
      </c>
      <c r="H767" t="n">
        <v>0</v>
      </c>
      <c r="I767" t="n">
        <v>0</v>
      </c>
      <c r="J767" t="n">
        <v>0</v>
      </c>
      <c r="K767" t="n">
        <v>0</v>
      </c>
      <c r="L767" t="n">
        <v>0</v>
      </c>
      <c r="M767" t="n">
        <v>0</v>
      </c>
      <c r="N767" t="n">
        <v>0</v>
      </c>
      <c r="O767" t="n">
        <v>0</v>
      </c>
      <c r="P767" t="n">
        <v>0</v>
      </c>
      <c r="Q767" t="n">
        <v>0</v>
      </c>
      <c r="R767" s="2" t="inlineStr"/>
    </row>
    <row r="768" ht="15" customHeight="1">
      <c r="A768" t="inlineStr">
        <is>
          <t>A 20677-2023</t>
        </is>
      </c>
      <c r="B768" s="1" t="n">
        <v>45058</v>
      </c>
      <c r="C768" s="1" t="n">
        <v>45803</v>
      </c>
      <c r="D768" t="inlineStr">
        <is>
          <t>UPPSALA LÄN</t>
        </is>
      </c>
      <c r="E768" t="inlineStr">
        <is>
          <t>ÖSTHAMMAR</t>
        </is>
      </c>
      <c r="F768" t="inlineStr">
        <is>
          <t>Bergvik skog öst AB</t>
        </is>
      </c>
      <c r="G768" t="n">
        <v>4</v>
      </c>
      <c r="H768" t="n">
        <v>0</v>
      </c>
      <c r="I768" t="n">
        <v>0</v>
      </c>
      <c r="J768" t="n">
        <v>0</v>
      </c>
      <c r="K768" t="n">
        <v>0</v>
      </c>
      <c r="L768" t="n">
        <v>0</v>
      </c>
      <c r="M768" t="n">
        <v>0</v>
      </c>
      <c r="N768" t="n">
        <v>0</v>
      </c>
      <c r="O768" t="n">
        <v>0</v>
      </c>
      <c r="P768" t="n">
        <v>0</v>
      </c>
      <c r="Q768" t="n">
        <v>0</v>
      </c>
      <c r="R768" s="2" t="inlineStr"/>
    </row>
    <row r="769" ht="15" customHeight="1">
      <c r="A769" t="inlineStr">
        <is>
          <t>A 21478-2023</t>
        </is>
      </c>
      <c r="B769" s="1" t="n">
        <v>45063</v>
      </c>
      <c r="C769" s="1" t="n">
        <v>45803</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21615-2023</t>
        </is>
      </c>
      <c r="B770" s="1" t="n">
        <v>45063</v>
      </c>
      <c r="C770" s="1" t="n">
        <v>45803</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21624-2023</t>
        </is>
      </c>
      <c r="B771" s="1" t="n">
        <v>45063</v>
      </c>
      <c r="C771" s="1" t="n">
        <v>45803</v>
      </c>
      <c r="D771" t="inlineStr">
        <is>
          <t>UPPSALA LÄN</t>
        </is>
      </c>
      <c r="E771" t="inlineStr">
        <is>
          <t>ÖSTHAMMAR</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21862-2023</t>
        </is>
      </c>
      <c r="B772" s="1" t="n">
        <v>45068</v>
      </c>
      <c r="C772" s="1" t="n">
        <v>45803</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22405-2023</t>
        </is>
      </c>
      <c r="B773" s="1" t="n">
        <v>45070</v>
      </c>
      <c r="C773" s="1" t="n">
        <v>45803</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22413-2023</t>
        </is>
      </c>
      <c r="B774" s="1" t="n">
        <v>45070</v>
      </c>
      <c r="C774" s="1" t="n">
        <v>45803</v>
      </c>
      <c r="D774" t="inlineStr">
        <is>
          <t>UPPSALA LÄN</t>
        </is>
      </c>
      <c r="E774" t="inlineStr">
        <is>
          <t>ÖSTHAMMAR</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22322-2023</t>
        </is>
      </c>
      <c r="B775" s="1" t="n">
        <v>45070</v>
      </c>
      <c r="C775" s="1" t="n">
        <v>45803</v>
      </c>
      <c r="D775" t="inlineStr">
        <is>
          <t>UPPSALA LÄN</t>
        </is>
      </c>
      <c r="E775" t="inlineStr">
        <is>
          <t>ÖSTHAMMAR</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22701-2023</t>
        </is>
      </c>
      <c r="B776" s="1" t="n">
        <v>45071</v>
      </c>
      <c r="C776" s="1" t="n">
        <v>45803</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22794-2023</t>
        </is>
      </c>
      <c r="B777" s="1" t="n">
        <v>45072</v>
      </c>
      <c r="C777" s="1" t="n">
        <v>45803</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22798-2023</t>
        </is>
      </c>
      <c r="B778" s="1" t="n">
        <v>45072</v>
      </c>
      <c r="C778" s="1" t="n">
        <v>45803</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22796-2023</t>
        </is>
      </c>
      <c r="B779" s="1" t="n">
        <v>45072</v>
      </c>
      <c r="C779" s="1" t="n">
        <v>45803</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23083-2023</t>
        </is>
      </c>
      <c r="B780" s="1" t="n">
        <v>45075</v>
      </c>
      <c r="C780" s="1" t="n">
        <v>45803</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23064-2023</t>
        </is>
      </c>
      <c r="B781" s="1" t="n">
        <v>45075</v>
      </c>
      <c r="C781" s="1" t="n">
        <v>45803</v>
      </c>
      <c r="D781" t="inlineStr">
        <is>
          <t>UPPSALA LÄN</t>
        </is>
      </c>
      <c r="E781" t="inlineStr">
        <is>
          <t>ÖSTHAMMAR</t>
        </is>
      </c>
      <c r="F781" t="inlineStr">
        <is>
          <t>Kyrkan</t>
        </is>
      </c>
      <c r="G781" t="n">
        <v>16.6</v>
      </c>
      <c r="H781" t="n">
        <v>0</v>
      </c>
      <c r="I781" t="n">
        <v>0</v>
      </c>
      <c r="J781" t="n">
        <v>0</v>
      </c>
      <c r="K781" t="n">
        <v>0</v>
      </c>
      <c r="L781" t="n">
        <v>0</v>
      </c>
      <c r="M781" t="n">
        <v>0</v>
      </c>
      <c r="N781" t="n">
        <v>0</v>
      </c>
      <c r="O781" t="n">
        <v>0</v>
      </c>
      <c r="P781" t="n">
        <v>0</v>
      </c>
      <c r="Q781" t="n">
        <v>0</v>
      </c>
      <c r="R781" s="2" t="inlineStr"/>
    </row>
    <row r="782" ht="15" customHeight="1">
      <c r="A782" t="inlineStr">
        <is>
          <t>A 23197-2023</t>
        </is>
      </c>
      <c r="B782" s="1" t="n">
        <v>45075</v>
      </c>
      <c r="C782" s="1" t="n">
        <v>45803</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23142-2023</t>
        </is>
      </c>
      <c r="B783" s="1" t="n">
        <v>45075</v>
      </c>
      <c r="C783" s="1" t="n">
        <v>45803</v>
      </c>
      <c r="D783" t="inlineStr">
        <is>
          <t>UPPSALA LÄN</t>
        </is>
      </c>
      <c r="E783" t="inlineStr">
        <is>
          <t>ÖSTHAMMAR</t>
        </is>
      </c>
      <c r="G783" t="n">
        <v>2.3</v>
      </c>
      <c r="H783" t="n">
        <v>0</v>
      </c>
      <c r="I783" t="n">
        <v>0</v>
      </c>
      <c r="J783" t="n">
        <v>0</v>
      </c>
      <c r="K783" t="n">
        <v>0</v>
      </c>
      <c r="L783" t="n">
        <v>0</v>
      </c>
      <c r="M783" t="n">
        <v>0</v>
      </c>
      <c r="N783" t="n">
        <v>0</v>
      </c>
      <c r="O783" t="n">
        <v>0</v>
      </c>
      <c r="P783" t="n">
        <v>0</v>
      </c>
      <c r="Q783" t="n">
        <v>0</v>
      </c>
      <c r="R783" s="2" t="inlineStr"/>
    </row>
    <row r="784" ht="15" customHeight="1">
      <c r="A784" t="inlineStr">
        <is>
          <t>A 23059-2023</t>
        </is>
      </c>
      <c r="B784" s="1" t="n">
        <v>45075</v>
      </c>
      <c r="C784" s="1" t="n">
        <v>45803</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23363-2023</t>
        </is>
      </c>
      <c r="B785" s="1" t="n">
        <v>45076</v>
      </c>
      <c r="C785" s="1" t="n">
        <v>45803</v>
      </c>
      <c r="D785" t="inlineStr">
        <is>
          <t>UPPSALA LÄN</t>
        </is>
      </c>
      <c r="E785" t="inlineStr">
        <is>
          <t>ÖSTHAMMAR</t>
        </is>
      </c>
      <c r="G785" t="n">
        <v>3</v>
      </c>
      <c r="H785" t="n">
        <v>0</v>
      </c>
      <c r="I785" t="n">
        <v>0</v>
      </c>
      <c r="J785" t="n">
        <v>0</v>
      </c>
      <c r="K785" t="n">
        <v>0</v>
      </c>
      <c r="L785" t="n">
        <v>0</v>
      </c>
      <c r="M785" t="n">
        <v>0</v>
      </c>
      <c r="N785" t="n">
        <v>0</v>
      </c>
      <c r="O785" t="n">
        <v>0</v>
      </c>
      <c r="P785" t="n">
        <v>0</v>
      </c>
      <c r="Q785" t="n">
        <v>0</v>
      </c>
      <c r="R785" s="2" t="inlineStr"/>
    </row>
    <row r="786" ht="15" customHeight="1">
      <c r="A786" t="inlineStr">
        <is>
          <t>A 23495-2023</t>
        </is>
      </c>
      <c r="B786" s="1" t="n">
        <v>45076</v>
      </c>
      <c r="C786" s="1" t="n">
        <v>45803</v>
      </c>
      <c r="D786" t="inlineStr">
        <is>
          <t>UPPSALA LÄN</t>
        </is>
      </c>
      <c r="E786" t="inlineStr">
        <is>
          <t>ÖSTHAMMAR</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24033-2023</t>
        </is>
      </c>
      <c r="B787" s="1" t="n">
        <v>45078</v>
      </c>
      <c r="C787" s="1" t="n">
        <v>45803</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24128-2023</t>
        </is>
      </c>
      <c r="B788" s="1" t="n">
        <v>45079</v>
      </c>
      <c r="C788" s="1" t="n">
        <v>45803</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24325-2023</t>
        </is>
      </c>
      <c r="B789" s="1" t="n">
        <v>45080</v>
      </c>
      <c r="C789" s="1" t="n">
        <v>45803</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24324-2023</t>
        </is>
      </c>
      <c r="B790" s="1" t="n">
        <v>45080</v>
      </c>
      <c r="C790" s="1" t="n">
        <v>45803</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24428-2023</t>
        </is>
      </c>
      <c r="B791" s="1" t="n">
        <v>45082</v>
      </c>
      <c r="C791" s="1" t="n">
        <v>45803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24493-2023</t>
        </is>
      </c>
      <c r="B792" s="1" t="n">
        <v>45082</v>
      </c>
      <c r="C792" s="1" t="n">
        <v>45803</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24491-2023</t>
        </is>
      </c>
      <c r="B793" s="1" t="n">
        <v>45082</v>
      </c>
      <c r="C793" s="1" t="n">
        <v>45803</v>
      </c>
      <c r="D793" t="inlineStr">
        <is>
          <t>UPPSALA LÄN</t>
        </is>
      </c>
      <c r="E793" t="inlineStr">
        <is>
          <t>ÖSTHAMMAR</t>
        </is>
      </c>
      <c r="G793" t="n">
        <v>5.3</v>
      </c>
      <c r="H793" t="n">
        <v>0</v>
      </c>
      <c r="I793" t="n">
        <v>0</v>
      </c>
      <c r="J793" t="n">
        <v>0</v>
      </c>
      <c r="K793" t="n">
        <v>0</v>
      </c>
      <c r="L793" t="n">
        <v>0</v>
      </c>
      <c r="M793" t="n">
        <v>0</v>
      </c>
      <c r="N793" t="n">
        <v>0</v>
      </c>
      <c r="O793" t="n">
        <v>0</v>
      </c>
      <c r="P793" t="n">
        <v>0</v>
      </c>
      <c r="Q793" t="n">
        <v>0</v>
      </c>
      <c r="R793" s="2" t="inlineStr"/>
    </row>
    <row r="794" ht="15" customHeight="1">
      <c r="A794" t="inlineStr">
        <is>
          <t>A 24587-2023</t>
        </is>
      </c>
      <c r="B794" s="1" t="n">
        <v>45083</v>
      </c>
      <c r="C794" s="1" t="n">
        <v>45803</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24642-2023</t>
        </is>
      </c>
      <c r="B795" s="1" t="n">
        <v>45084</v>
      </c>
      <c r="C795" s="1" t="n">
        <v>45803</v>
      </c>
      <c r="D795" t="inlineStr">
        <is>
          <t>UPPSALA LÄN</t>
        </is>
      </c>
      <c r="E795" t="inlineStr">
        <is>
          <t>ÖSTHAMMAR</t>
        </is>
      </c>
      <c r="F795" t="inlineStr">
        <is>
          <t>Bergvik skog öst AB</t>
        </is>
      </c>
      <c r="G795" t="n">
        <v>7.2</v>
      </c>
      <c r="H795" t="n">
        <v>0</v>
      </c>
      <c r="I795" t="n">
        <v>0</v>
      </c>
      <c r="J795" t="n">
        <v>0</v>
      </c>
      <c r="K795" t="n">
        <v>0</v>
      </c>
      <c r="L795" t="n">
        <v>0</v>
      </c>
      <c r="M795" t="n">
        <v>0</v>
      </c>
      <c r="N795" t="n">
        <v>0</v>
      </c>
      <c r="O795" t="n">
        <v>0</v>
      </c>
      <c r="P795" t="n">
        <v>0</v>
      </c>
      <c r="Q795" t="n">
        <v>0</v>
      </c>
      <c r="R795" s="2" t="inlineStr"/>
    </row>
    <row r="796" ht="15" customHeight="1">
      <c r="A796" t="inlineStr">
        <is>
          <t>A 24648-2023</t>
        </is>
      </c>
      <c r="B796" s="1" t="n">
        <v>45084</v>
      </c>
      <c r="C796" s="1" t="n">
        <v>45803</v>
      </c>
      <c r="D796" t="inlineStr">
        <is>
          <t>UPPSALA LÄN</t>
        </is>
      </c>
      <c r="E796" t="inlineStr">
        <is>
          <t>ÖSTHAMMAR</t>
        </is>
      </c>
      <c r="F796" t="inlineStr">
        <is>
          <t>Bergvik skog öst AB</t>
        </is>
      </c>
      <c r="G796" t="n">
        <v>12.5</v>
      </c>
      <c r="H796" t="n">
        <v>0</v>
      </c>
      <c r="I796" t="n">
        <v>0</v>
      </c>
      <c r="J796" t="n">
        <v>0</v>
      </c>
      <c r="K796" t="n">
        <v>0</v>
      </c>
      <c r="L796" t="n">
        <v>0</v>
      </c>
      <c r="M796" t="n">
        <v>0</v>
      </c>
      <c r="N796" t="n">
        <v>0</v>
      </c>
      <c r="O796" t="n">
        <v>0</v>
      </c>
      <c r="P796" t="n">
        <v>0</v>
      </c>
      <c r="Q796" t="n">
        <v>0</v>
      </c>
      <c r="R796" s="2" t="inlineStr"/>
    </row>
    <row r="797" ht="15" customHeight="1">
      <c r="A797" t="inlineStr">
        <is>
          <t>A 24751-2023</t>
        </is>
      </c>
      <c r="B797" s="1" t="n">
        <v>45084</v>
      </c>
      <c r="C797" s="1" t="n">
        <v>45803</v>
      </c>
      <c r="D797" t="inlineStr">
        <is>
          <t>UPPSALA LÄN</t>
        </is>
      </c>
      <c r="E797" t="inlineStr">
        <is>
          <t>ÖSTHAMMAR</t>
        </is>
      </c>
      <c r="F797" t="inlineStr">
        <is>
          <t>Bergvik skog öst AB</t>
        </is>
      </c>
      <c r="G797" t="n">
        <v>6.2</v>
      </c>
      <c r="H797" t="n">
        <v>0</v>
      </c>
      <c r="I797" t="n">
        <v>0</v>
      </c>
      <c r="J797" t="n">
        <v>0</v>
      </c>
      <c r="K797" t="n">
        <v>0</v>
      </c>
      <c r="L797" t="n">
        <v>0</v>
      </c>
      <c r="M797" t="n">
        <v>0</v>
      </c>
      <c r="N797" t="n">
        <v>0</v>
      </c>
      <c r="O797" t="n">
        <v>0</v>
      </c>
      <c r="P797" t="n">
        <v>0</v>
      </c>
      <c r="Q797" t="n">
        <v>0</v>
      </c>
      <c r="R797" s="2" t="inlineStr"/>
    </row>
    <row r="798" ht="15" customHeight="1">
      <c r="A798" t="inlineStr">
        <is>
          <t>A 25194-2023</t>
        </is>
      </c>
      <c r="B798" s="1" t="n">
        <v>45086</v>
      </c>
      <c r="C798" s="1" t="n">
        <v>45803</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26612-2023</t>
        </is>
      </c>
      <c r="B799" s="1" t="n">
        <v>45089</v>
      </c>
      <c r="C799" s="1" t="n">
        <v>45803</v>
      </c>
      <c r="D799" t="inlineStr">
        <is>
          <t>UPPSALA LÄN</t>
        </is>
      </c>
      <c r="E799" t="inlineStr">
        <is>
          <t>ÖSTHAMMAR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26610-2023</t>
        </is>
      </c>
      <c r="B800" s="1" t="n">
        <v>45089</v>
      </c>
      <c r="C800" s="1" t="n">
        <v>45803</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25897-2023</t>
        </is>
      </c>
      <c r="B801" s="1" t="n">
        <v>45090</v>
      </c>
      <c r="C801" s="1" t="n">
        <v>45803</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25903-2023</t>
        </is>
      </c>
      <c r="B802" s="1" t="n">
        <v>45090</v>
      </c>
      <c r="C802" s="1" t="n">
        <v>45803</v>
      </c>
      <c r="D802" t="inlineStr">
        <is>
          <t>UPPSALA LÄN</t>
        </is>
      </c>
      <c r="E802" t="inlineStr">
        <is>
          <t>ÖSTHAMMAR</t>
        </is>
      </c>
      <c r="F802" t="inlineStr">
        <is>
          <t>Bergvik skog öst AB</t>
        </is>
      </c>
      <c r="G802" t="n">
        <v>29.2</v>
      </c>
      <c r="H802" t="n">
        <v>0</v>
      </c>
      <c r="I802" t="n">
        <v>0</v>
      </c>
      <c r="J802" t="n">
        <v>0</v>
      </c>
      <c r="K802" t="n">
        <v>0</v>
      </c>
      <c r="L802" t="n">
        <v>0</v>
      </c>
      <c r="M802" t="n">
        <v>0</v>
      </c>
      <c r="N802" t="n">
        <v>0</v>
      </c>
      <c r="O802" t="n">
        <v>0</v>
      </c>
      <c r="P802" t="n">
        <v>0</v>
      </c>
      <c r="Q802" t="n">
        <v>0</v>
      </c>
      <c r="R802" s="2" t="inlineStr"/>
    </row>
    <row r="803" ht="15" customHeight="1">
      <c r="A803" t="inlineStr">
        <is>
          <t>A 25970-2023</t>
        </is>
      </c>
      <c r="B803" s="1" t="n">
        <v>45090</v>
      </c>
      <c r="C803" s="1" t="n">
        <v>45803</v>
      </c>
      <c r="D803" t="inlineStr">
        <is>
          <t>UPPSALA LÄN</t>
        </is>
      </c>
      <c r="E803" t="inlineStr">
        <is>
          <t>ÖSTHAMMAR</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25968-2023</t>
        </is>
      </c>
      <c r="B804" s="1" t="n">
        <v>45090</v>
      </c>
      <c r="C804" s="1" t="n">
        <v>45803</v>
      </c>
      <c r="D804" t="inlineStr">
        <is>
          <t>UPPSALA LÄN</t>
        </is>
      </c>
      <c r="E804" t="inlineStr">
        <is>
          <t>ÖSTHAMMAR</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25969-2023</t>
        </is>
      </c>
      <c r="B805" s="1" t="n">
        <v>45090</v>
      </c>
      <c r="C805" s="1" t="n">
        <v>45803</v>
      </c>
      <c r="D805" t="inlineStr">
        <is>
          <t>UPPSALA LÄN</t>
        </is>
      </c>
      <c r="E805" t="inlineStr">
        <is>
          <t>ÖSTHAMMAR</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26774-2023</t>
        </is>
      </c>
      <c r="B806" s="1" t="n">
        <v>45093</v>
      </c>
      <c r="C806" s="1" t="n">
        <v>45803</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26734-2023</t>
        </is>
      </c>
      <c r="B807" s="1" t="n">
        <v>45093</v>
      </c>
      <c r="C807" s="1" t="n">
        <v>45803</v>
      </c>
      <c r="D807" t="inlineStr">
        <is>
          <t>UPPSALA LÄN</t>
        </is>
      </c>
      <c r="E807" t="inlineStr">
        <is>
          <t>ÖSTHAMMAR</t>
        </is>
      </c>
      <c r="F807" t="inlineStr">
        <is>
          <t>Bergvik skog öst AB</t>
        </is>
      </c>
      <c r="G807" t="n">
        <v>25.5</v>
      </c>
      <c r="H807" t="n">
        <v>0</v>
      </c>
      <c r="I807" t="n">
        <v>0</v>
      </c>
      <c r="J807" t="n">
        <v>0</v>
      </c>
      <c r="K807" t="n">
        <v>0</v>
      </c>
      <c r="L807" t="n">
        <v>0</v>
      </c>
      <c r="M807" t="n">
        <v>0</v>
      </c>
      <c r="N807" t="n">
        <v>0</v>
      </c>
      <c r="O807" t="n">
        <v>0</v>
      </c>
      <c r="P807" t="n">
        <v>0</v>
      </c>
      <c r="Q807" t="n">
        <v>0</v>
      </c>
      <c r="R807" s="2" t="inlineStr"/>
    </row>
    <row r="808" ht="15" customHeight="1">
      <c r="A808" t="inlineStr">
        <is>
          <t>A 28170-2023</t>
        </is>
      </c>
      <c r="B808" s="1" t="n">
        <v>45093</v>
      </c>
      <c r="C808" s="1" t="n">
        <v>45803</v>
      </c>
      <c r="D808" t="inlineStr">
        <is>
          <t>UPPSALA LÄN</t>
        </is>
      </c>
      <c r="E808" t="inlineStr">
        <is>
          <t>ÖSTHAMMAR</t>
        </is>
      </c>
      <c r="G808" t="n">
        <v>7.2</v>
      </c>
      <c r="H808" t="n">
        <v>0</v>
      </c>
      <c r="I808" t="n">
        <v>0</v>
      </c>
      <c r="J808" t="n">
        <v>0</v>
      </c>
      <c r="K808" t="n">
        <v>0</v>
      </c>
      <c r="L808" t="n">
        <v>0</v>
      </c>
      <c r="M808" t="n">
        <v>0</v>
      </c>
      <c r="N808" t="n">
        <v>0</v>
      </c>
      <c r="O808" t="n">
        <v>0</v>
      </c>
      <c r="P808" t="n">
        <v>0</v>
      </c>
      <c r="Q808" t="n">
        <v>0</v>
      </c>
      <c r="R808" s="2" t="inlineStr"/>
    </row>
    <row r="809" ht="15" customHeight="1">
      <c r="A809" t="inlineStr">
        <is>
          <t>A 27150-2023</t>
        </is>
      </c>
      <c r="B809" s="1" t="n">
        <v>45096</v>
      </c>
      <c r="C809" s="1" t="n">
        <v>45803</v>
      </c>
      <c r="D809" t="inlineStr">
        <is>
          <t>UPPSALA LÄN</t>
        </is>
      </c>
      <c r="E809" t="inlineStr">
        <is>
          <t>ÖSTHAMMAR</t>
        </is>
      </c>
      <c r="F809" t="inlineStr">
        <is>
          <t>Bergvik skog öst AB</t>
        </is>
      </c>
      <c r="G809" t="n">
        <v>5</v>
      </c>
      <c r="H809" t="n">
        <v>0</v>
      </c>
      <c r="I809" t="n">
        <v>0</v>
      </c>
      <c r="J809" t="n">
        <v>0</v>
      </c>
      <c r="K809" t="n">
        <v>0</v>
      </c>
      <c r="L809" t="n">
        <v>0</v>
      </c>
      <c r="M809" t="n">
        <v>0</v>
      </c>
      <c r="N809" t="n">
        <v>0</v>
      </c>
      <c r="O809" t="n">
        <v>0</v>
      </c>
      <c r="P809" t="n">
        <v>0</v>
      </c>
      <c r="Q809" t="n">
        <v>0</v>
      </c>
      <c r="R809" s="2" t="inlineStr"/>
    </row>
    <row r="810" ht="15" customHeight="1">
      <c r="A810" t="inlineStr">
        <is>
          <t>A 27154-2023</t>
        </is>
      </c>
      <c r="B810" s="1" t="n">
        <v>45096</v>
      </c>
      <c r="C810" s="1" t="n">
        <v>45803</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v>
      </c>
      <c r="C811" s="1" t="n">
        <v>45803</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27660-2023</t>
        </is>
      </c>
      <c r="B812" s="1" t="n">
        <v>45097</v>
      </c>
      <c r="C812" s="1" t="n">
        <v>45803</v>
      </c>
      <c r="D812" t="inlineStr">
        <is>
          <t>UPPSALA LÄN</t>
        </is>
      </c>
      <c r="E812" t="inlineStr">
        <is>
          <t>ÖSTHAMMAR</t>
        </is>
      </c>
      <c r="G812" t="n">
        <v>2.8</v>
      </c>
      <c r="H812" t="n">
        <v>0</v>
      </c>
      <c r="I812" t="n">
        <v>0</v>
      </c>
      <c r="J812" t="n">
        <v>0</v>
      </c>
      <c r="K812" t="n">
        <v>0</v>
      </c>
      <c r="L812" t="n">
        <v>0</v>
      </c>
      <c r="M812" t="n">
        <v>0</v>
      </c>
      <c r="N812" t="n">
        <v>0</v>
      </c>
      <c r="O812" t="n">
        <v>0</v>
      </c>
      <c r="P812" t="n">
        <v>0</v>
      </c>
      <c r="Q812" t="n">
        <v>0</v>
      </c>
      <c r="R812" s="2" t="inlineStr"/>
    </row>
    <row r="813" ht="15" customHeight="1">
      <c r="A813" t="inlineStr">
        <is>
          <t>A 27659-2023</t>
        </is>
      </c>
      <c r="B813" s="1" t="n">
        <v>45097</v>
      </c>
      <c r="C813" s="1" t="n">
        <v>45803</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27801-2023</t>
        </is>
      </c>
      <c r="B814" s="1" t="n">
        <v>45098</v>
      </c>
      <c r="C814" s="1" t="n">
        <v>45803</v>
      </c>
      <c r="D814" t="inlineStr">
        <is>
          <t>UPPSALA LÄN</t>
        </is>
      </c>
      <c r="E814" t="inlineStr">
        <is>
          <t>ÖSTHAMMAR</t>
        </is>
      </c>
      <c r="F814" t="inlineStr">
        <is>
          <t>Kyrkan</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28422-2023</t>
        </is>
      </c>
      <c r="B815" s="1" t="n">
        <v>45102</v>
      </c>
      <c r="C815" s="1" t="n">
        <v>45803</v>
      </c>
      <c r="D815" t="inlineStr">
        <is>
          <t>UPPSALA LÄN</t>
        </is>
      </c>
      <c r="E815" t="inlineStr">
        <is>
          <t>ÖSTHAMMAR</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28430-2023</t>
        </is>
      </c>
      <c r="B816" s="1" t="n">
        <v>45102</v>
      </c>
      <c r="C816" s="1" t="n">
        <v>45803</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28434-2023</t>
        </is>
      </c>
      <c r="B817" s="1" t="n">
        <v>45102</v>
      </c>
      <c r="C817" s="1" t="n">
        <v>45803</v>
      </c>
      <c r="D817" t="inlineStr">
        <is>
          <t>UPPSALA LÄN</t>
        </is>
      </c>
      <c r="E817" t="inlineStr">
        <is>
          <t>ÖSTHAMMAR</t>
        </is>
      </c>
      <c r="F817" t="inlineStr">
        <is>
          <t>Bergvik skog öst AB</t>
        </is>
      </c>
      <c r="G817" t="n">
        <v>8.9</v>
      </c>
      <c r="H817" t="n">
        <v>0</v>
      </c>
      <c r="I817" t="n">
        <v>0</v>
      </c>
      <c r="J817" t="n">
        <v>0</v>
      </c>
      <c r="K817" t="n">
        <v>0</v>
      </c>
      <c r="L817" t="n">
        <v>0</v>
      </c>
      <c r="M817" t="n">
        <v>0</v>
      </c>
      <c r="N817" t="n">
        <v>0</v>
      </c>
      <c r="O817" t="n">
        <v>0</v>
      </c>
      <c r="P817" t="n">
        <v>0</v>
      </c>
      <c r="Q817" t="n">
        <v>0</v>
      </c>
      <c r="R817" s="2" t="inlineStr"/>
    </row>
    <row r="818" ht="15" customHeight="1">
      <c r="A818" t="inlineStr">
        <is>
          <t>A 28420-2023</t>
        </is>
      </c>
      <c r="B818" s="1" t="n">
        <v>45102</v>
      </c>
      <c r="C818" s="1" t="n">
        <v>45803</v>
      </c>
      <c r="D818" t="inlineStr">
        <is>
          <t>UPPSALA LÄN</t>
        </is>
      </c>
      <c r="E818" t="inlineStr">
        <is>
          <t>ÖSTHAMMAR</t>
        </is>
      </c>
      <c r="F818" t="inlineStr">
        <is>
          <t>Bergvik skog öst AB</t>
        </is>
      </c>
      <c r="G818" t="n">
        <v>3.2</v>
      </c>
      <c r="H818" t="n">
        <v>0</v>
      </c>
      <c r="I818" t="n">
        <v>0</v>
      </c>
      <c r="J818" t="n">
        <v>0</v>
      </c>
      <c r="K818" t="n">
        <v>0</v>
      </c>
      <c r="L818" t="n">
        <v>0</v>
      </c>
      <c r="M818" t="n">
        <v>0</v>
      </c>
      <c r="N818" t="n">
        <v>0</v>
      </c>
      <c r="O818" t="n">
        <v>0</v>
      </c>
      <c r="P818" t="n">
        <v>0</v>
      </c>
      <c r="Q818" t="n">
        <v>0</v>
      </c>
      <c r="R818" s="2" t="inlineStr"/>
    </row>
    <row r="819" ht="15" customHeight="1">
      <c r="A819" t="inlineStr">
        <is>
          <t>A 28432-2023</t>
        </is>
      </c>
      <c r="B819" s="1" t="n">
        <v>45102</v>
      </c>
      <c r="C819" s="1" t="n">
        <v>45803</v>
      </c>
      <c r="D819" t="inlineStr">
        <is>
          <t>UPPSALA LÄN</t>
        </is>
      </c>
      <c r="E819" t="inlineStr">
        <is>
          <t>ÖSTHAMMAR</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28421-2023</t>
        </is>
      </c>
      <c r="B820" s="1" t="n">
        <v>45102</v>
      </c>
      <c r="C820" s="1" t="n">
        <v>45803</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28429-2023</t>
        </is>
      </c>
      <c r="B821" s="1" t="n">
        <v>45102</v>
      </c>
      <c r="C821" s="1" t="n">
        <v>45803</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28482-2023</t>
        </is>
      </c>
      <c r="B822" s="1" t="n">
        <v>45103</v>
      </c>
      <c r="C822" s="1" t="n">
        <v>45803</v>
      </c>
      <c r="D822" t="inlineStr">
        <is>
          <t>UPPSALA LÄN</t>
        </is>
      </c>
      <c r="E822" t="inlineStr">
        <is>
          <t>ÖSTHAMMAR</t>
        </is>
      </c>
      <c r="F822" t="inlineStr">
        <is>
          <t>Naturvårdsverket</t>
        </is>
      </c>
      <c r="G822" t="n">
        <v>8.9</v>
      </c>
      <c r="H822" t="n">
        <v>0</v>
      </c>
      <c r="I822" t="n">
        <v>0</v>
      </c>
      <c r="J822" t="n">
        <v>0</v>
      </c>
      <c r="K822" t="n">
        <v>0</v>
      </c>
      <c r="L822" t="n">
        <v>0</v>
      </c>
      <c r="M822" t="n">
        <v>0</v>
      </c>
      <c r="N822" t="n">
        <v>0</v>
      </c>
      <c r="O822" t="n">
        <v>0</v>
      </c>
      <c r="P822" t="n">
        <v>0</v>
      </c>
      <c r="Q822" t="n">
        <v>0</v>
      </c>
      <c r="R822" s="2" t="inlineStr"/>
    </row>
    <row r="823" ht="15" customHeight="1">
      <c r="A823" t="inlineStr">
        <is>
          <t>A 29873-2023</t>
        </is>
      </c>
      <c r="B823" s="1" t="n">
        <v>45107</v>
      </c>
      <c r="C823" s="1" t="n">
        <v>45803</v>
      </c>
      <c r="D823" t="inlineStr">
        <is>
          <t>UPPSALA LÄN</t>
        </is>
      </c>
      <c r="E823" t="inlineStr">
        <is>
          <t>ÖSTHAMMAR</t>
        </is>
      </c>
      <c r="F823" t="inlineStr">
        <is>
          <t>Naturvårdsverket</t>
        </is>
      </c>
      <c r="G823" t="n">
        <v>7.8</v>
      </c>
      <c r="H823" t="n">
        <v>0</v>
      </c>
      <c r="I823" t="n">
        <v>0</v>
      </c>
      <c r="J823" t="n">
        <v>0</v>
      </c>
      <c r="K823" t="n">
        <v>0</v>
      </c>
      <c r="L823" t="n">
        <v>0</v>
      </c>
      <c r="M823" t="n">
        <v>0</v>
      </c>
      <c r="N823" t="n">
        <v>0</v>
      </c>
      <c r="O823" t="n">
        <v>0</v>
      </c>
      <c r="P823" t="n">
        <v>0</v>
      </c>
      <c r="Q823" t="n">
        <v>0</v>
      </c>
      <c r="R823" s="2" t="inlineStr"/>
    </row>
    <row r="824" ht="15" customHeight="1">
      <c r="A824" t="inlineStr">
        <is>
          <t>A 29824-2023</t>
        </is>
      </c>
      <c r="B824" s="1" t="n">
        <v>45107</v>
      </c>
      <c r="C824" s="1" t="n">
        <v>45803</v>
      </c>
      <c r="D824" t="inlineStr">
        <is>
          <t>UPPSALA LÄN</t>
        </is>
      </c>
      <c r="E824" t="inlineStr">
        <is>
          <t>ÖSTHAMMAR</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30086-2023</t>
        </is>
      </c>
      <c r="B825" s="1" t="n">
        <v>45110</v>
      </c>
      <c r="C825" s="1" t="n">
        <v>45803</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30470-2023</t>
        </is>
      </c>
      <c r="B826" s="1" t="n">
        <v>45111</v>
      </c>
      <c r="C826" s="1" t="n">
        <v>45803</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30498-2023</t>
        </is>
      </c>
      <c r="B827" s="1" t="n">
        <v>45111</v>
      </c>
      <c r="C827" s="1" t="n">
        <v>45803</v>
      </c>
      <c r="D827" t="inlineStr">
        <is>
          <t>UPPSALA LÄN</t>
        </is>
      </c>
      <c r="E827" t="inlineStr">
        <is>
          <t>ÖSTHAMMAR</t>
        </is>
      </c>
      <c r="G827" t="n">
        <v>0.7</v>
      </c>
      <c r="H827" t="n">
        <v>0</v>
      </c>
      <c r="I827" t="n">
        <v>0</v>
      </c>
      <c r="J827" t="n">
        <v>0</v>
      </c>
      <c r="K827" t="n">
        <v>0</v>
      </c>
      <c r="L827" t="n">
        <v>0</v>
      </c>
      <c r="M827" t="n">
        <v>0</v>
      </c>
      <c r="N827" t="n">
        <v>0</v>
      </c>
      <c r="O827" t="n">
        <v>0</v>
      </c>
      <c r="P827" t="n">
        <v>0</v>
      </c>
      <c r="Q827" t="n">
        <v>0</v>
      </c>
      <c r="R827" s="2" t="inlineStr"/>
    </row>
    <row r="828" ht="15" customHeight="1">
      <c r="A828" t="inlineStr">
        <is>
          <t>A 30809-2023</t>
        </is>
      </c>
      <c r="B828" s="1" t="n">
        <v>45112</v>
      </c>
      <c r="C828" s="1" t="n">
        <v>45803</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30808-2023</t>
        </is>
      </c>
      <c r="B829" s="1" t="n">
        <v>45112</v>
      </c>
      <c r="C829" s="1" t="n">
        <v>45803</v>
      </c>
      <c r="D829" t="inlineStr">
        <is>
          <t>UPPSALA LÄN</t>
        </is>
      </c>
      <c r="E829" t="inlineStr">
        <is>
          <t>ÖSTHAMMAR</t>
        </is>
      </c>
      <c r="F829" t="inlineStr">
        <is>
          <t>Bergvik skog öst AB</t>
        </is>
      </c>
      <c r="G829" t="n">
        <v>3.3</v>
      </c>
      <c r="H829" t="n">
        <v>0</v>
      </c>
      <c r="I829" t="n">
        <v>0</v>
      </c>
      <c r="J829" t="n">
        <v>0</v>
      </c>
      <c r="K829" t="n">
        <v>0</v>
      </c>
      <c r="L829" t="n">
        <v>0</v>
      </c>
      <c r="M829" t="n">
        <v>0</v>
      </c>
      <c r="N829" t="n">
        <v>0</v>
      </c>
      <c r="O829" t="n">
        <v>0</v>
      </c>
      <c r="P829" t="n">
        <v>0</v>
      </c>
      <c r="Q829" t="n">
        <v>0</v>
      </c>
      <c r="R829" s="2" t="inlineStr"/>
    </row>
    <row r="830" ht="15" customHeight="1">
      <c r="A830" t="inlineStr">
        <is>
          <t>A 30812-2023</t>
        </is>
      </c>
      <c r="B830" s="1" t="n">
        <v>45112</v>
      </c>
      <c r="C830" s="1" t="n">
        <v>45803</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30810-2023</t>
        </is>
      </c>
      <c r="B831" s="1" t="n">
        <v>45112</v>
      </c>
      <c r="C831" s="1" t="n">
        <v>45803</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30811-2023</t>
        </is>
      </c>
      <c r="B832" s="1" t="n">
        <v>45112</v>
      </c>
      <c r="C832" s="1" t="n">
        <v>45803</v>
      </c>
      <c r="D832" t="inlineStr">
        <is>
          <t>UPPSALA LÄN</t>
        </is>
      </c>
      <c r="E832" t="inlineStr">
        <is>
          <t>ÖSTHAMMAR</t>
        </is>
      </c>
      <c r="F832" t="inlineStr">
        <is>
          <t>Bergvik skog öst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31480-2023</t>
        </is>
      </c>
      <c r="B833" s="1" t="n">
        <v>45114</v>
      </c>
      <c r="C833" s="1" t="n">
        <v>45803</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31484-2023</t>
        </is>
      </c>
      <c r="B834" s="1" t="n">
        <v>45114</v>
      </c>
      <c r="C834" s="1" t="n">
        <v>45803</v>
      </c>
      <c r="D834" t="inlineStr">
        <is>
          <t>UPPSALA LÄN</t>
        </is>
      </c>
      <c r="E834" t="inlineStr">
        <is>
          <t>ÖSTHAMMAR</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31479-2023</t>
        </is>
      </c>
      <c r="B835" s="1" t="n">
        <v>45114</v>
      </c>
      <c r="C835" s="1" t="n">
        <v>45803</v>
      </c>
      <c r="D835" t="inlineStr">
        <is>
          <t>UPPSALA LÄN</t>
        </is>
      </c>
      <c r="E835" t="inlineStr">
        <is>
          <t>ÖSTHAMMAR</t>
        </is>
      </c>
      <c r="F835" t="inlineStr">
        <is>
          <t>Bergvik skog öst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31483-2023</t>
        </is>
      </c>
      <c r="B836" s="1" t="n">
        <v>45114</v>
      </c>
      <c r="C836" s="1" t="n">
        <v>45803</v>
      </c>
      <c r="D836" t="inlineStr">
        <is>
          <t>UPPSALA LÄN</t>
        </is>
      </c>
      <c r="E836" t="inlineStr">
        <is>
          <t>ÖSTHAMMAR</t>
        </is>
      </c>
      <c r="F836" t="inlineStr">
        <is>
          <t>Bergvik skog öst AB</t>
        </is>
      </c>
      <c r="G836" t="n">
        <v>4.5</v>
      </c>
      <c r="H836" t="n">
        <v>0</v>
      </c>
      <c r="I836" t="n">
        <v>0</v>
      </c>
      <c r="J836" t="n">
        <v>0</v>
      </c>
      <c r="K836" t="n">
        <v>0</v>
      </c>
      <c r="L836" t="n">
        <v>0</v>
      </c>
      <c r="M836" t="n">
        <v>0</v>
      </c>
      <c r="N836" t="n">
        <v>0</v>
      </c>
      <c r="O836" t="n">
        <v>0</v>
      </c>
      <c r="P836" t="n">
        <v>0</v>
      </c>
      <c r="Q836" t="n">
        <v>0</v>
      </c>
      <c r="R836" s="2" t="inlineStr"/>
    </row>
    <row r="837" ht="15" customHeight="1">
      <c r="A837" t="inlineStr">
        <is>
          <t>A 31482-2023</t>
        </is>
      </c>
      <c r="B837" s="1" t="n">
        <v>45114</v>
      </c>
      <c r="C837" s="1" t="n">
        <v>45803</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31486-2023</t>
        </is>
      </c>
      <c r="B838" s="1" t="n">
        <v>45114</v>
      </c>
      <c r="C838" s="1" t="n">
        <v>45803</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31481-2023</t>
        </is>
      </c>
      <c r="B839" s="1" t="n">
        <v>45114</v>
      </c>
      <c r="C839" s="1" t="n">
        <v>45803</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31485-2023</t>
        </is>
      </c>
      <c r="B840" s="1" t="n">
        <v>45114</v>
      </c>
      <c r="C840" s="1" t="n">
        <v>45803</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31688-2023</t>
        </is>
      </c>
      <c r="B841" s="1" t="n">
        <v>45117</v>
      </c>
      <c r="C841" s="1" t="n">
        <v>45803</v>
      </c>
      <c r="D841" t="inlineStr">
        <is>
          <t>UPPSALA LÄN</t>
        </is>
      </c>
      <c r="E841" t="inlineStr">
        <is>
          <t>ÖSTHAMMAR</t>
        </is>
      </c>
      <c r="F841" t="inlineStr">
        <is>
          <t>Bergvik skog öst AB</t>
        </is>
      </c>
      <c r="G841" t="n">
        <v>4.9</v>
      </c>
      <c r="H841" t="n">
        <v>0</v>
      </c>
      <c r="I841" t="n">
        <v>0</v>
      </c>
      <c r="J841" t="n">
        <v>0</v>
      </c>
      <c r="K841" t="n">
        <v>0</v>
      </c>
      <c r="L841" t="n">
        <v>0</v>
      </c>
      <c r="M841" t="n">
        <v>0</v>
      </c>
      <c r="N841" t="n">
        <v>0</v>
      </c>
      <c r="O841" t="n">
        <v>0</v>
      </c>
      <c r="P841" t="n">
        <v>0</v>
      </c>
      <c r="Q841" t="n">
        <v>0</v>
      </c>
      <c r="R841" s="2" t="inlineStr"/>
    </row>
    <row r="842" ht="15" customHeight="1">
      <c r="A842" t="inlineStr">
        <is>
          <t>A 32194-2023</t>
        </is>
      </c>
      <c r="B842" s="1" t="n">
        <v>45119</v>
      </c>
      <c r="C842" s="1" t="n">
        <v>45803</v>
      </c>
      <c r="D842" t="inlineStr">
        <is>
          <t>UPPSALA LÄN</t>
        </is>
      </c>
      <c r="E842" t="inlineStr">
        <is>
          <t>ÖSTHAMMAR</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32195-2023</t>
        </is>
      </c>
      <c r="B843" s="1" t="n">
        <v>45119</v>
      </c>
      <c r="C843" s="1" t="n">
        <v>45803</v>
      </c>
      <c r="D843" t="inlineStr">
        <is>
          <t>UPPSALA LÄN</t>
        </is>
      </c>
      <c r="E843" t="inlineStr">
        <is>
          <t>ÖSTHAMMAR</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32197-2023</t>
        </is>
      </c>
      <c r="B844" s="1" t="n">
        <v>45119</v>
      </c>
      <c r="C844" s="1" t="n">
        <v>45803</v>
      </c>
      <c r="D844" t="inlineStr">
        <is>
          <t>UPPSALA LÄN</t>
        </is>
      </c>
      <c r="E844" t="inlineStr">
        <is>
          <t>ÖSTHAMMAR</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32196-2023</t>
        </is>
      </c>
      <c r="B845" s="1" t="n">
        <v>45119</v>
      </c>
      <c r="C845" s="1" t="n">
        <v>45803</v>
      </c>
      <c r="D845" t="inlineStr">
        <is>
          <t>UPPSALA LÄN</t>
        </is>
      </c>
      <c r="E845" t="inlineStr">
        <is>
          <t>ÖSTHAMMAR</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32390-2023</t>
        </is>
      </c>
      <c r="B846" s="1" t="n">
        <v>45120</v>
      </c>
      <c r="C846" s="1" t="n">
        <v>45803</v>
      </c>
      <c r="D846" t="inlineStr">
        <is>
          <t>UPPSALA LÄN</t>
        </is>
      </c>
      <c r="E846" t="inlineStr">
        <is>
          <t>ÖSTHAMMAR</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32693-2023</t>
        </is>
      </c>
      <c r="B847" s="1" t="n">
        <v>45121</v>
      </c>
      <c r="C847" s="1" t="n">
        <v>45803</v>
      </c>
      <c r="D847" t="inlineStr">
        <is>
          <t>UPPSALA LÄN</t>
        </is>
      </c>
      <c r="E847" t="inlineStr">
        <is>
          <t>ÖSTHAMMAR</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32691-2023</t>
        </is>
      </c>
      <c r="B848" s="1" t="n">
        <v>45121</v>
      </c>
      <c r="C848" s="1" t="n">
        <v>45803</v>
      </c>
      <c r="D848" t="inlineStr">
        <is>
          <t>UPPSALA LÄN</t>
        </is>
      </c>
      <c r="E848" t="inlineStr">
        <is>
          <t>ÖSTHAMMAR</t>
        </is>
      </c>
      <c r="F848" t="inlineStr">
        <is>
          <t>Bergvik skog öst AB</t>
        </is>
      </c>
      <c r="G848" t="n">
        <v>20.2</v>
      </c>
      <c r="H848" t="n">
        <v>0</v>
      </c>
      <c r="I848" t="n">
        <v>0</v>
      </c>
      <c r="J848" t="n">
        <v>0</v>
      </c>
      <c r="K848" t="n">
        <v>0</v>
      </c>
      <c r="L848" t="n">
        <v>0</v>
      </c>
      <c r="M848" t="n">
        <v>0</v>
      </c>
      <c r="N848" t="n">
        <v>0</v>
      </c>
      <c r="O848" t="n">
        <v>0</v>
      </c>
      <c r="P848" t="n">
        <v>0</v>
      </c>
      <c r="Q848" t="n">
        <v>0</v>
      </c>
      <c r="R848" s="2" t="inlineStr"/>
    </row>
    <row r="849" ht="15" customHeight="1">
      <c r="A849" t="inlineStr">
        <is>
          <t>A 32752-2023</t>
        </is>
      </c>
      <c r="B849" s="1" t="n">
        <v>45122</v>
      </c>
      <c r="C849" s="1" t="n">
        <v>45803</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32779-2023</t>
        </is>
      </c>
      <c r="B850" s="1" t="n">
        <v>45123</v>
      </c>
      <c r="C850" s="1" t="n">
        <v>45803</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32778-2023</t>
        </is>
      </c>
      <c r="B851" s="1" t="n">
        <v>45123</v>
      </c>
      <c r="C851" s="1" t="n">
        <v>45803</v>
      </c>
      <c r="D851" t="inlineStr">
        <is>
          <t>UPPSALA LÄN</t>
        </is>
      </c>
      <c r="E851" t="inlineStr">
        <is>
          <t>ÖSTHAMMAR</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32895-2023</t>
        </is>
      </c>
      <c r="B852" s="1" t="n">
        <v>45124</v>
      </c>
      <c r="C852" s="1" t="n">
        <v>45803</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34108-2023</t>
        </is>
      </c>
      <c r="B853" s="1" t="n">
        <v>45135</v>
      </c>
      <c r="C853" s="1" t="n">
        <v>45803</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34607-2023</t>
        </is>
      </c>
      <c r="B854" s="1" t="n">
        <v>45138</v>
      </c>
      <c r="C854" s="1" t="n">
        <v>45803</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34412-2023</t>
        </is>
      </c>
      <c r="B855" s="1" t="n">
        <v>45139</v>
      </c>
      <c r="C855" s="1" t="n">
        <v>45803</v>
      </c>
      <c r="D855" t="inlineStr">
        <is>
          <t>UPPSALA LÄN</t>
        </is>
      </c>
      <c r="E855" t="inlineStr">
        <is>
          <t>ÖSTHAMMAR</t>
        </is>
      </c>
      <c r="F855" t="inlineStr">
        <is>
          <t>Bergvik skog öst AB</t>
        </is>
      </c>
      <c r="G855" t="n">
        <v>4</v>
      </c>
      <c r="H855" t="n">
        <v>0</v>
      </c>
      <c r="I855" t="n">
        <v>0</v>
      </c>
      <c r="J855" t="n">
        <v>0</v>
      </c>
      <c r="K855" t="n">
        <v>0</v>
      </c>
      <c r="L855" t="n">
        <v>0</v>
      </c>
      <c r="M855" t="n">
        <v>0</v>
      </c>
      <c r="N855" t="n">
        <v>0</v>
      </c>
      <c r="O855" t="n">
        <v>0</v>
      </c>
      <c r="P855" t="n">
        <v>0</v>
      </c>
      <c r="Q855" t="n">
        <v>0</v>
      </c>
      <c r="R855" s="2" t="inlineStr"/>
    </row>
    <row r="856" ht="15" customHeight="1">
      <c r="A856" t="inlineStr">
        <is>
          <t>A 34471-2023</t>
        </is>
      </c>
      <c r="B856" s="1" t="n">
        <v>45139</v>
      </c>
      <c r="C856" s="1" t="n">
        <v>45803</v>
      </c>
      <c r="D856" t="inlineStr">
        <is>
          <t>UPPSALA LÄN</t>
        </is>
      </c>
      <c r="E856" t="inlineStr">
        <is>
          <t>ÖSTHAMMAR</t>
        </is>
      </c>
      <c r="F856" t="inlineStr">
        <is>
          <t>Bergvik skog öst AB</t>
        </is>
      </c>
      <c r="G856" t="n">
        <v>4.5</v>
      </c>
      <c r="H856" t="n">
        <v>0</v>
      </c>
      <c r="I856" t="n">
        <v>0</v>
      </c>
      <c r="J856" t="n">
        <v>0</v>
      </c>
      <c r="K856" t="n">
        <v>0</v>
      </c>
      <c r="L856" t="n">
        <v>0</v>
      </c>
      <c r="M856" t="n">
        <v>0</v>
      </c>
      <c r="N856" t="n">
        <v>0</v>
      </c>
      <c r="O856" t="n">
        <v>0</v>
      </c>
      <c r="P856" t="n">
        <v>0</v>
      </c>
      <c r="Q856" t="n">
        <v>0</v>
      </c>
      <c r="R856" s="2" t="inlineStr"/>
    </row>
    <row r="857" ht="15" customHeight="1">
      <c r="A857" t="inlineStr">
        <is>
          <t>A 34920-2023</t>
        </is>
      </c>
      <c r="B857" s="1" t="n">
        <v>45142</v>
      </c>
      <c r="C857" s="1" t="n">
        <v>45803</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34923-2023</t>
        </is>
      </c>
      <c r="B858" s="1" t="n">
        <v>45142</v>
      </c>
      <c r="C858" s="1" t="n">
        <v>45803</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34951-2023</t>
        </is>
      </c>
      <c r="B859" s="1" t="n">
        <v>45142</v>
      </c>
      <c r="C859" s="1" t="n">
        <v>45803</v>
      </c>
      <c r="D859" t="inlineStr">
        <is>
          <t>UPPSALA LÄN</t>
        </is>
      </c>
      <c r="E859" t="inlineStr">
        <is>
          <t>ÖSTHAMMAR</t>
        </is>
      </c>
      <c r="F859" t="inlineStr">
        <is>
          <t>Naturvårdsverket</t>
        </is>
      </c>
      <c r="G859" t="n">
        <v>4.8</v>
      </c>
      <c r="H859" t="n">
        <v>0</v>
      </c>
      <c r="I859" t="n">
        <v>0</v>
      </c>
      <c r="J859" t="n">
        <v>0</v>
      </c>
      <c r="K859" t="n">
        <v>0</v>
      </c>
      <c r="L859" t="n">
        <v>0</v>
      </c>
      <c r="M859" t="n">
        <v>0</v>
      </c>
      <c r="N859" t="n">
        <v>0</v>
      </c>
      <c r="O859" t="n">
        <v>0</v>
      </c>
      <c r="P859" t="n">
        <v>0</v>
      </c>
      <c r="Q859" t="n">
        <v>0</v>
      </c>
      <c r="R859" s="2" t="inlineStr"/>
    </row>
    <row r="860" ht="15" customHeight="1">
      <c r="A860" t="inlineStr">
        <is>
          <t>A 34922-2023</t>
        </is>
      </c>
      <c r="B860" s="1" t="n">
        <v>45142</v>
      </c>
      <c r="C860" s="1" t="n">
        <v>45803</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35403-2023</t>
        </is>
      </c>
      <c r="B861" s="1" t="n">
        <v>45146</v>
      </c>
      <c r="C861" s="1" t="n">
        <v>45803</v>
      </c>
      <c r="D861" t="inlineStr">
        <is>
          <t>UPPSALA LÄN</t>
        </is>
      </c>
      <c r="E861" t="inlineStr">
        <is>
          <t>ÖSTHAMMAR</t>
        </is>
      </c>
      <c r="F861" t="inlineStr">
        <is>
          <t>Bergvik skog öst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35309-2023</t>
        </is>
      </c>
      <c r="B862" s="1" t="n">
        <v>45146</v>
      </c>
      <c r="C862" s="1" t="n">
        <v>45803</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35413-2023</t>
        </is>
      </c>
      <c r="B863" s="1" t="n">
        <v>45146</v>
      </c>
      <c r="C863" s="1" t="n">
        <v>45803</v>
      </c>
      <c r="D863" t="inlineStr">
        <is>
          <t>UPPSALA LÄN</t>
        </is>
      </c>
      <c r="E863" t="inlineStr">
        <is>
          <t>ÖSTHAMMAR</t>
        </is>
      </c>
      <c r="F863" t="inlineStr">
        <is>
          <t>Bergvik skog öst AB</t>
        </is>
      </c>
      <c r="G863" t="n">
        <v>26.1</v>
      </c>
      <c r="H863" t="n">
        <v>0</v>
      </c>
      <c r="I863" t="n">
        <v>0</v>
      </c>
      <c r="J863" t="n">
        <v>0</v>
      </c>
      <c r="K863" t="n">
        <v>0</v>
      </c>
      <c r="L863" t="n">
        <v>0</v>
      </c>
      <c r="M863" t="n">
        <v>0</v>
      </c>
      <c r="N863" t="n">
        <v>0</v>
      </c>
      <c r="O863" t="n">
        <v>0</v>
      </c>
      <c r="P863" t="n">
        <v>0</v>
      </c>
      <c r="Q863" t="n">
        <v>0</v>
      </c>
      <c r="R863" s="2" t="inlineStr"/>
    </row>
    <row r="864" ht="15" customHeight="1">
      <c r="A864" t="inlineStr">
        <is>
          <t>A 35406-2023</t>
        </is>
      </c>
      <c r="B864" s="1" t="n">
        <v>45146</v>
      </c>
      <c r="C864" s="1" t="n">
        <v>45803</v>
      </c>
      <c r="D864" t="inlineStr">
        <is>
          <t>UPPSALA LÄN</t>
        </is>
      </c>
      <c r="E864" t="inlineStr">
        <is>
          <t>ÖSTHAMMAR</t>
        </is>
      </c>
      <c r="F864" t="inlineStr">
        <is>
          <t>Bergvik skog öst AB</t>
        </is>
      </c>
      <c r="G864" t="n">
        <v>1.7</v>
      </c>
      <c r="H864" t="n">
        <v>0</v>
      </c>
      <c r="I864" t="n">
        <v>0</v>
      </c>
      <c r="J864" t="n">
        <v>0</v>
      </c>
      <c r="K864" t="n">
        <v>0</v>
      </c>
      <c r="L864" t="n">
        <v>0</v>
      </c>
      <c r="M864" t="n">
        <v>0</v>
      </c>
      <c r="N864" t="n">
        <v>0</v>
      </c>
      <c r="O864" t="n">
        <v>0</v>
      </c>
      <c r="P864" t="n">
        <v>0</v>
      </c>
      <c r="Q864" t="n">
        <v>0</v>
      </c>
      <c r="R864" s="2" t="inlineStr"/>
    </row>
    <row r="865" ht="15" customHeight="1">
      <c r="A865" t="inlineStr">
        <is>
          <t>A 35410-2023</t>
        </is>
      </c>
      <c r="B865" s="1" t="n">
        <v>45146</v>
      </c>
      <c r="C865" s="1" t="n">
        <v>45803</v>
      </c>
      <c r="D865" t="inlineStr">
        <is>
          <t>UPPSALA LÄN</t>
        </is>
      </c>
      <c r="E865" t="inlineStr">
        <is>
          <t>ÖSTHAMMAR</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35474-2023</t>
        </is>
      </c>
      <c r="B866" s="1" t="n">
        <v>45146</v>
      </c>
      <c r="C866" s="1" t="n">
        <v>45803</v>
      </c>
      <c r="D866" t="inlineStr">
        <is>
          <t>UPPSALA LÄN</t>
        </is>
      </c>
      <c r="E866" t="inlineStr">
        <is>
          <t>ÖSTHAMMAR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35476-2023</t>
        </is>
      </c>
      <c r="B867" s="1" t="n">
        <v>45146</v>
      </c>
      <c r="C867" s="1" t="n">
        <v>45803</v>
      </c>
      <c r="D867" t="inlineStr">
        <is>
          <t>UPPSALA LÄN</t>
        </is>
      </c>
      <c r="E867" t="inlineStr">
        <is>
          <t>ÖSTHAMMAR</t>
        </is>
      </c>
      <c r="G867" t="n">
        <v>2.4</v>
      </c>
      <c r="H867" t="n">
        <v>0</v>
      </c>
      <c r="I867" t="n">
        <v>0</v>
      </c>
      <c r="J867" t="n">
        <v>0</v>
      </c>
      <c r="K867" t="n">
        <v>0</v>
      </c>
      <c r="L867" t="n">
        <v>0</v>
      </c>
      <c r="M867" t="n">
        <v>0</v>
      </c>
      <c r="N867" t="n">
        <v>0</v>
      </c>
      <c r="O867" t="n">
        <v>0</v>
      </c>
      <c r="P867" t="n">
        <v>0</v>
      </c>
      <c r="Q867" t="n">
        <v>0</v>
      </c>
      <c r="R867" s="2" t="inlineStr"/>
    </row>
    <row r="868" ht="15" customHeight="1">
      <c r="A868" t="inlineStr">
        <is>
          <t>A 35539-2023</t>
        </is>
      </c>
      <c r="B868" s="1" t="n">
        <v>45147</v>
      </c>
      <c r="C868" s="1" t="n">
        <v>45803</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35918-2023</t>
        </is>
      </c>
      <c r="B869" s="1" t="n">
        <v>45148</v>
      </c>
      <c r="C869" s="1" t="n">
        <v>45803</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36020-2023</t>
        </is>
      </c>
      <c r="B870" s="1" t="n">
        <v>45149</v>
      </c>
      <c r="C870" s="1" t="n">
        <v>45803</v>
      </c>
      <c r="D870" t="inlineStr">
        <is>
          <t>UPPSALA LÄN</t>
        </is>
      </c>
      <c r="E870" t="inlineStr">
        <is>
          <t>ÖSTHAMMAR</t>
        </is>
      </c>
      <c r="F870" t="inlineStr">
        <is>
          <t>Bergvik skog öst AB</t>
        </is>
      </c>
      <c r="G870" t="n">
        <v>6.8</v>
      </c>
      <c r="H870" t="n">
        <v>0</v>
      </c>
      <c r="I870" t="n">
        <v>0</v>
      </c>
      <c r="J870" t="n">
        <v>0</v>
      </c>
      <c r="K870" t="n">
        <v>0</v>
      </c>
      <c r="L870" t="n">
        <v>0</v>
      </c>
      <c r="M870" t="n">
        <v>0</v>
      </c>
      <c r="N870" t="n">
        <v>0</v>
      </c>
      <c r="O870" t="n">
        <v>0</v>
      </c>
      <c r="P870" t="n">
        <v>0</v>
      </c>
      <c r="Q870" t="n">
        <v>0</v>
      </c>
      <c r="R870" s="2" t="inlineStr"/>
    </row>
    <row r="871" ht="15" customHeight="1">
      <c r="A871" t="inlineStr">
        <is>
          <t>A 36301-2023</t>
        </is>
      </c>
      <c r="B871" s="1" t="n">
        <v>45152</v>
      </c>
      <c r="C871" s="1" t="n">
        <v>45803</v>
      </c>
      <c r="D871" t="inlineStr">
        <is>
          <t>UPPSALA LÄN</t>
        </is>
      </c>
      <c r="E871" t="inlineStr">
        <is>
          <t>ÖSTHAMMAR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36447-2023</t>
        </is>
      </c>
      <c r="B872" s="1" t="n">
        <v>45152</v>
      </c>
      <c r="C872" s="1" t="n">
        <v>45803</v>
      </c>
      <c r="D872" t="inlineStr">
        <is>
          <t>UPPSALA LÄN</t>
        </is>
      </c>
      <c r="E872" t="inlineStr">
        <is>
          <t>ÖSTHAMMAR</t>
        </is>
      </c>
      <c r="F872" t="inlineStr">
        <is>
          <t>Bergvik skog öst AB</t>
        </is>
      </c>
      <c r="G872" t="n">
        <v>6.5</v>
      </c>
      <c r="H872" t="n">
        <v>0</v>
      </c>
      <c r="I872" t="n">
        <v>0</v>
      </c>
      <c r="J872" t="n">
        <v>0</v>
      </c>
      <c r="K872" t="n">
        <v>0</v>
      </c>
      <c r="L872" t="n">
        <v>0</v>
      </c>
      <c r="M872" t="n">
        <v>0</v>
      </c>
      <c r="N872" t="n">
        <v>0</v>
      </c>
      <c r="O872" t="n">
        <v>0</v>
      </c>
      <c r="P872" t="n">
        <v>0</v>
      </c>
      <c r="Q872" t="n">
        <v>0</v>
      </c>
      <c r="R872" s="2" t="inlineStr"/>
    </row>
    <row r="873" ht="15" customHeight="1">
      <c r="A873" t="inlineStr">
        <is>
          <t>A 36861-2023</t>
        </is>
      </c>
      <c r="B873" s="1" t="n">
        <v>45154</v>
      </c>
      <c r="C873" s="1" t="n">
        <v>45803</v>
      </c>
      <c r="D873" t="inlineStr">
        <is>
          <t>UPPSALA LÄN</t>
        </is>
      </c>
      <c r="E873" t="inlineStr">
        <is>
          <t>ÖSTHAMMAR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36857-2023</t>
        </is>
      </c>
      <c r="B874" s="1" t="n">
        <v>45154</v>
      </c>
      <c r="C874" s="1" t="n">
        <v>45803</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36904-2023</t>
        </is>
      </c>
      <c r="B875" s="1" t="n">
        <v>45154</v>
      </c>
      <c r="C875" s="1" t="n">
        <v>45803</v>
      </c>
      <c r="D875" t="inlineStr">
        <is>
          <t>UPPSALA LÄN</t>
        </is>
      </c>
      <c r="E875" t="inlineStr">
        <is>
          <t>ÖSTHAMMAR</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37021-2023</t>
        </is>
      </c>
      <c r="B876" s="1" t="n">
        <v>45155</v>
      </c>
      <c r="C876" s="1" t="n">
        <v>45803</v>
      </c>
      <c r="D876" t="inlineStr">
        <is>
          <t>UPPSALA LÄN</t>
        </is>
      </c>
      <c r="E876" t="inlineStr">
        <is>
          <t>ÖSTHAMMAR</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37478-2023</t>
        </is>
      </c>
      <c r="B877" s="1" t="n">
        <v>45157</v>
      </c>
      <c r="C877" s="1" t="n">
        <v>45803</v>
      </c>
      <c r="D877" t="inlineStr">
        <is>
          <t>UPPSALA LÄN</t>
        </is>
      </c>
      <c r="E877" t="inlineStr">
        <is>
          <t>ÖSTHAMMAR</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37493-2023</t>
        </is>
      </c>
      <c r="B878" s="1" t="n">
        <v>45157</v>
      </c>
      <c r="C878" s="1" t="n">
        <v>45803</v>
      </c>
      <c r="D878" t="inlineStr">
        <is>
          <t>UPPSALA LÄN</t>
        </is>
      </c>
      <c r="E878" t="inlineStr">
        <is>
          <t>ÖSTHAMMAR</t>
        </is>
      </c>
      <c r="F878" t="inlineStr">
        <is>
          <t>Bergvik skog öst AB</t>
        </is>
      </c>
      <c r="G878" t="n">
        <v>3.3</v>
      </c>
      <c r="H878" t="n">
        <v>0</v>
      </c>
      <c r="I878" t="n">
        <v>0</v>
      </c>
      <c r="J878" t="n">
        <v>0</v>
      </c>
      <c r="K878" t="n">
        <v>0</v>
      </c>
      <c r="L878" t="n">
        <v>0</v>
      </c>
      <c r="M878" t="n">
        <v>0</v>
      </c>
      <c r="N878" t="n">
        <v>0</v>
      </c>
      <c r="O878" t="n">
        <v>0</v>
      </c>
      <c r="P878" t="n">
        <v>0</v>
      </c>
      <c r="Q878" t="n">
        <v>0</v>
      </c>
      <c r="R878" s="2" t="inlineStr"/>
    </row>
    <row r="879" ht="15" customHeight="1">
      <c r="A879" t="inlineStr">
        <is>
          <t>A 37494-2023</t>
        </is>
      </c>
      <c r="B879" s="1" t="n">
        <v>45157</v>
      </c>
      <c r="C879" s="1" t="n">
        <v>45803</v>
      </c>
      <c r="D879" t="inlineStr">
        <is>
          <t>UPPSALA LÄN</t>
        </is>
      </c>
      <c r="E879" t="inlineStr">
        <is>
          <t>ÖSTHAMMAR</t>
        </is>
      </c>
      <c r="F879" t="inlineStr">
        <is>
          <t>Bergvik skog öst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37863-2023</t>
        </is>
      </c>
      <c r="B880" s="1" t="n">
        <v>45160</v>
      </c>
      <c r="C880" s="1" t="n">
        <v>45803</v>
      </c>
      <c r="D880" t="inlineStr">
        <is>
          <t>UPPSALA LÄN</t>
        </is>
      </c>
      <c r="E880" t="inlineStr">
        <is>
          <t>ÖSTHAMMAR</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37865-2023</t>
        </is>
      </c>
      <c r="B881" s="1" t="n">
        <v>45160</v>
      </c>
      <c r="C881" s="1" t="n">
        <v>45803</v>
      </c>
      <c r="D881" t="inlineStr">
        <is>
          <t>UPPSALA LÄN</t>
        </is>
      </c>
      <c r="E881" t="inlineStr">
        <is>
          <t>ÖSTHAMMAR</t>
        </is>
      </c>
      <c r="G881" t="n">
        <v>1.4</v>
      </c>
      <c r="H881" t="n">
        <v>0</v>
      </c>
      <c r="I881" t="n">
        <v>0</v>
      </c>
      <c r="J881" t="n">
        <v>0</v>
      </c>
      <c r="K881" t="n">
        <v>0</v>
      </c>
      <c r="L881" t="n">
        <v>0</v>
      </c>
      <c r="M881" t="n">
        <v>0</v>
      </c>
      <c r="N881" t="n">
        <v>0</v>
      </c>
      <c r="O881" t="n">
        <v>0</v>
      </c>
      <c r="P881" t="n">
        <v>0</v>
      </c>
      <c r="Q881" t="n">
        <v>0</v>
      </c>
      <c r="R881" s="2" t="inlineStr"/>
    </row>
    <row r="882" ht="15" customHeight="1">
      <c r="A882" t="inlineStr">
        <is>
          <t>A 38039-2023</t>
        </is>
      </c>
      <c r="B882" s="1" t="n">
        <v>45160</v>
      </c>
      <c r="C882" s="1" t="n">
        <v>45803</v>
      </c>
      <c r="D882" t="inlineStr">
        <is>
          <t>UPPSALA LÄN</t>
        </is>
      </c>
      <c r="E882" t="inlineStr">
        <is>
          <t>ÖSTHAMMAR</t>
        </is>
      </c>
      <c r="F882" t="inlineStr">
        <is>
          <t>Bergvik skog öst AB</t>
        </is>
      </c>
      <c r="G882" t="n">
        <v>6.2</v>
      </c>
      <c r="H882" t="n">
        <v>0</v>
      </c>
      <c r="I882" t="n">
        <v>0</v>
      </c>
      <c r="J882" t="n">
        <v>0</v>
      </c>
      <c r="K882" t="n">
        <v>0</v>
      </c>
      <c r="L882" t="n">
        <v>0</v>
      </c>
      <c r="M882" t="n">
        <v>0</v>
      </c>
      <c r="N882" t="n">
        <v>0</v>
      </c>
      <c r="O882" t="n">
        <v>0</v>
      </c>
      <c r="P882" t="n">
        <v>0</v>
      </c>
      <c r="Q882" t="n">
        <v>0</v>
      </c>
      <c r="R882" s="2" t="inlineStr"/>
    </row>
    <row r="883" ht="15" customHeight="1">
      <c r="A883" t="inlineStr">
        <is>
          <t>A 38228-2023</t>
        </is>
      </c>
      <c r="B883" s="1" t="n">
        <v>45160</v>
      </c>
      <c r="C883" s="1" t="n">
        <v>45803</v>
      </c>
      <c r="D883" t="inlineStr">
        <is>
          <t>UPPSALA LÄN</t>
        </is>
      </c>
      <c r="E883" t="inlineStr">
        <is>
          <t>ÖSTHAMMAR</t>
        </is>
      </c>
      <c r="G883" t="n">
        <v>19.2</v>
      </c>
      <c r="H883" t="n">
        <v>0</v>
      </c>
      <c r="I883" t="n">
        <v>0</v>
      </c>
      <c r="J883" t="n">
        <v>0</v>
      </c>
      <c r="K883" t="n">
        <v>0</v>
      </c>
      <c r="L883" t="n">
        <v>0</v>
      </c>
      <c r="M883" t="n">
        <v>0</v>
      </c>
      <c r="N883" t="n">
        <v>0</v>
      </c>
      <c r="O883" t="n">
        <v>0</v>
      </c>
      <c r="P883" t="n">
        <v>0</v>
      </c>
      <c r="Q883" t="n">
        <v>0</v>
      </c>
      <c r="R883" s="2" t="inlineStr"/>
    </row>
    <row r="884" ht="15" customHeight="1">
      <c r="A884" t="inlineStr">
        <is>
          <t>A 38127-2023</t>
        </is>
      </c>
      <c r="B884" s="1" t="n">
        <v>45161</v>
      </c>
      <c r="C884" s="1" t="n">
        <v>45803</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38162-2023</t>
        </is>
      </c>
      <c r="B885" s="1" t="n">
        <v>45161</v>
      </c>
      <c r="C885" s="1" t="n">
        <v>45803</v>
      </c>
      <c r="D885" t="inlineStr">
        <is>
          <t>UPPSALA LÄN</t>
        </is>
      </c>
      <c r="E885" t="inlineStr">
        <is>
          <t>ÖSTHAMMAR</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38128-2023</t>
        </is>
      </c>
      <c r="B886" s="1" t="n">
        <v>45161</v>
      </c>
      <c r="C886" s="1" t="n">
        <v>45803</v>
      </c>
      <c r="D886" t="inlineStr">
        <is>
          <t>UPPSALA LÄN</t>
        </is>
      </c>
      <c r="E886" t="inlineStr">
        <is>
          <t>ÖSTHAMMAR</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38600-2023</t>
        </is>
      </c>
      <c r="B887" s="1" t="n">
        <v>45162</v>
      </c>
      <c r="C887" s="1" t="n">
        <v>45803</v>
      </c>
      <c r="D887" t="inlineStr">
        <is>
          <t>UPPSALA LÄN</t>
        </is>
      </c>
      <c r="E887" t="inlineStr">
        <is>
          <t>ÖSTHAMMAR</t>
        </is>
      </c>
      <c r="F887" t="inlineStr">
        <is>
          <t>Bergvik skog väst AB</t>
        </is>
      </c>
      <c r="G887" t="n">
        <v>0.1</v>
      </c>
      <c r="H887" t="n">
        <v>0</v>
      </c>
      <c r="I887" t="n">
        <v>0</v>
      </c>
      <c r="J887" t="n">
        <v>0</v>
      </c>
      <c r="K887" t="n">
        <v>0</v>
      </c>
      <c r="L887" t="n">
        <v>0</v>
      </c>
      <c r="M887" t="n">
        <v>0</v>
      </c>
      <c r="N887" t="n">
        <v>0</v>
      </c>
      <c r="O887" t="n">
        <v>0</v>
      </c>
      <c r="P887" t="n">
        <v>0</v>
      </c>
      <c r="Q887" t="n">
        <v>0</v>
      </c>
      <c r="R887" s="2" t="inlineStr"/>
    </row>
    <row r="888" ht="15" customHeight="1">
      <c r="A888" t="inlineStr">
        <is>
          <t>A 38610-2023</t>
        </is>
      </c>
      <c r="B888" s="1" t="n">
        <v>45162</v>
      </c>
      <c r="C888" s="1" t="n">
        <v>45803</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38571-2023</t>
        </is>
      </c>
      <c r="B889" s="1" t="n">
        <v>45162</v>
      </c>
      <c r="C889" s="1" t="n">
        <v>45803</v>
      </c>
      <c r="D889" t="inlineStr">
        <is>
          <t>UPPSALA LÄN</t>
        </is>
      </c>
      <c r="E889" t="inlineStr">
        <is>
          <t>ÖSTHAMMAR</t>
        </is>
      </c>
      <c r="F889" t="inlineStr">
        <is>
          <t>Bergvik skog öst AB</t>
        </is>
      </c>
      <c r="G889" t="n">
        <v>1.1</v>
      </c>
      <c r="H889" t="n">
        <v>0</v>
      </c>
      <c r="I889" t="n">
        <v>0</v>
      </c>
      <c r="J889" t="n">
        <v>0</v>
      </c>
      <c r="K889" t="n">
        <v>0</v>
      </c>
      <c r="L889" t="n">
        <v>0</v>
      </c>
      <c r="M889" t="n">
        <v>0</v>
      </c>
      <c r="N889" t="n">
        <v>0</v>
      </c>
      <c r="O889" t="n">
        <v>0</v>
      </c>
      <c r="P889" t="n">
        <v>0</v>
      </c>
      <c r="Q889" t="n">
        <v>0</v>
      </c>
      <c r="R889" s="2" t="inlineStr"/>
    </row>
    <row r="890" ht="15" customHeight="1">
      <c r="A890" t="inlineStr">
        <is>
          <t>A 38711-2023</t>
        </is>
      </c>
      <c r="B890" s="1" t="n">
        <v>45163</v>
      </c>
      <c r="C890" s="1" t="n">
        <v>45803</v>
      </c>
      <c r="D890" t="inlineStr">
        <is>
          <t>UPPSALA LÄN</t>
        </is>
      </c>
      <c r="E890" t="inlineStr">
        <is>
          <t>ÖSTHAMMAR</t>
        </is>
      </c>
      <c r="G890" t="n">
        <v>5.4</v>
      </c>
      <c r="H890" t="n">
        <v>0</v>
      </c>
      <c r="I890" t="n">
        <v>0</v>
      </c>
      <c r="J890" t="n">
        <v>0</v>
      </c>
      <c r="K890" t="n">
        <v>0</v>
      </c>
      <c r="L890" t="n">
        <v>0</v>
      </c>
      <c r="M890" t="n">
        <v>0</v>
      </c>
      <c r="N890" t="n">
        <v>0</v>
      </c>
      <c r="O890" t="n">
        <v>0</v>
      </c>
      <c r="P890" t="n">
        <v>0</v>
      </c>
      <c r="Q890" t="n">
        <v>0</v>
      </c>
      <c r="R890" s="2" t="inlineStr"/>
    </row>
    <row r="891" ht="15" customHeight="1">
      <c r="A891" t="inlineStr">
        <is>
          <t>A 40176-2023</t>
        </is>
      </c>
      <c r="B891" s="1" t="n">
        <v>45169</v>
      </c>
      <c r="C891" s="1" t="n">
        <v>45803</v>
      </c>
      <c r="D891" t="inlineStr">
        <is>
          <t>UPPSALA LÄN</t>
        </is>
      </c>
      <c r="E891" t="inlineStr">
        <is>
          <t>ÖSTHAMMAR</t>
        </is>
      </c>
      <c r="F891" t="inlineStr">
        <is>
          <t>Bergvik skog öst AB</t>
        </is>
      </c>
      <c r="G891" t="n">
        <v>29.9</v>
      </c>
      <c r="H891" t="n">
        <v>0</v>
      </c>
      <c r="I891" t="n">
        <v>0</v>
      </c>
      <c r="J891" t="n">
        <v>0</v>
      </c>
      <c r="K891" t="n">
        <v>0</v>
      </c>
      <c r="L891" t="n">
        <v>0</v>
      </c>
      <c r="M891" t="n">
        <v>0</v>
      </c>
      <c r="N891" t="n">
        <v>0</v>
      </c>
      <c r="O891" t="n">
        <v>0</v>
      </c>
      <c r="P891" t="n">
        <v>0</v>
      </c>
      <c r="Q891" t="n">
        <v>0</v>
      </c>
      <c r="R891" s="2" t="inlineStr"/>
    </row>
    <row r="892" ht="15" customHeight="1">
      <c r="A892" t="inlineStr">
        <is>
          <t>A 40547-2023</t>
        </is>
      </c>
      <c r="B892" s="1" t="n">
        <v>45170</v>
      </c>
      <c r="C892" s="1" t="n">
        <v>45803</v>
      </c>
      <c r="D892" t="inlineStr">
        <is>
          <t>UPPSALA LÄN</t>
        </is>
      </c>
      <c r="E892" t="inlineStr">
        <is>
          <t>ÖSTHAMMAR</t>
        </is>
      </c>
      <c r="G892" t="n">
        <v>2.1</v>
      </c>
      <c r="H892" t="n">
        <v>0</v>
      </c>
      <c r="I892" t="n">
        <v>0</v>
      </c>
      <c r="J892" t="n">
        <v>0</v>
      </c>
      <c r="K892" t="n">
        <v>0</v>
      </c>
      <c r="L892" t="n">
        <v>0</v>
      </c>
      <c r="M892" t="n">
        <v>0</v>
      </c>
      <c r="N892" t="n">
        <v>0</v>
      </c>
      <c r="O892" t="n">
        <v>0</v>
      </c>
      <c r="P892" t="n">
        <v>0</v>
      </c>
      <c r="Q892" t="n">
        <v>0</v>
      </c>
      <c r="R892" s="2" t="inlineStr"/>
    </row>
    <row r="893" ht="15" customHeight="1">
      <c r="A893" t="inlineStr">
        <is>
          <t>A 40837-2023</t>
        </is>
      </c>
      <c r="B893" s="1" t="n">
        <v>45172</v>
      </c>
      <c r="C893" s="1" t="n">
        <v>45803</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40938-2023</t>
        </is>
      </c>
      <c r="B894" s="1" t="n">
        <v>45173</v>
      </c>
      <c r="C894" s="1" t="n">
        <v>45803</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40946-2023</t>
        </is>
      </c>
      <c r="B895" s="1" t="n">
        <v>45173</v>
      </c>
      <c r="C895" s="1" t="n">
        <v>45803</v>
      </c>
      <c r="D895" t="inlineStr">
        <is>
          <t>UPPSALA LÄN</t>
        </is>
      </c>
      <c r="E895" t="inlineStr">
        <is>
          <t>ÖSTHAMMAR</t>
        </is>
      </c>
      <c r="F895" t="inlineStr">
        <is>
          <t>Bergvik skog öst AB</t>
        </is>
      </c>
      <c r="G895" t="n">
        <v>4</v>
      </c>
      <c r="H895" t="n">
        <v>0</v>
      </c>
      <c r="I895" t="n">
        <v>0</v>
      </c>
      <c r="J895" t="n">
        <v>0</v>
      </c>
      <c r="K895" t="n">
        <v>0</v>
      </c>
      <c r="L895" t="n">
        <v>0</v>
      </c>
      <c r="M895" t="n">
        <v>0</v>
      </c>
      <c r="N895" t="n">
        <v>0</v>
      </c>
      <c r="O895" t="n">
        <v>0</v>
      </c>
      <c r="P895" t="n">
        <v>0</v>
      </c>
      <c r="Q895" t="n">
        <v>0</v>
      </c>
      <c r="R895" s="2" t="inlineStr"/>
    </row>
    <row r="896" ht="15" customHeight="1">
      <c r="A896" t="inlineStr">
        <is>
          <t>A 40952-2023</t>
        </is>
      </c>
      <c r="B896" s="1" t="n">
        <v>45173</v>
      </c>
      <c r="C896" s="1" t="n">
        <v>45803</v>
      </c>
      <c r="D896" t="inlineStr">
        <is>
          <t>UPPSALA LÄN</t>
        </is>
      </c>
      <c r="E896" t="inlineStr">
        <is>
          <t>ÖSTHAMMAR</t>
        </is>
      </c>
      <c r="F896" t="inlineStr">
        <is>
          <t>Bergvik skog öst AB</t>
        </is>
      </c>
      <c r="G896" t="n">
        <v>4.4</v>
      </c>
      <c r="H896" t="n">
        <v>0</v>
      </c>
      <c r="I896" t="n">
        <v>0</v>
      </c>
      <c r="J896" t="n">
        <v>0</v>
      </c>
      <c r="K896" t="n">
        <v>0</v>
      </c>
      <c r="L896" t="n">
        <v>0</v>
      </c>
      <c r="M896" t="n">
        <v>0</v>
      </c>
      <c r="N896" t="n">
        <v>0</v>
      </c>
      <c r="O896" t="n">
        <v>0</v>
      </c>
      <c r="P896" t="n">
        <v>0</v>
      </c>
      <c r="Q896" t="n">
        <v>0</v>
      </c>
      <c r="R896" s="2" t="inlineStr"/>
    </row>
    <row r="897" ht="15" customHeight="1">
      <c r="A897" t="inlineStr">
        <is>
          <t>A 41308-2023</t>
        </is>
      </c>
      <c r="B897" s="1" t="n">
        <v>45174</v>
      </c>
      <c r="C897" s="1" t="n">
        <v>45803</v>
      </c>
      <c r="D897" t="inlineStr">
        <is>
          <t>UPPSALA LÄN</t>
        </is>
      </c>
      <c r="E897" t="inlineStr">
        <is>
          <t>ÖSTHAMMAR</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41489-2023</t>
        </is>
      </c>
      <c r="B898" s="1" t="n">
        <v>45175</v>
      </c>
      <c r="C898" s="1" t="n">
        <v>45803</v>
      </c>
      <c r="D898" t="inlineStr">
        <is>
          <t>UPPSALA LÄN</t>
        </is>
      </c>
      <c r="E898" t="inlineStr">
        <is>
          <t>ÖSTHAMMAR</t>
        </is>
      </c>
      <c r="F898" t="inlineStr">
        <is>
          <t>Bergvik skog öst AB</t>
        </is>
      </c>
      <c r="G898" t="n">
        <v>4.2</v>
      </c>
      <c r="H898" t="n">
        <v>0</v>
      </c>
      <c r="I898" t="n">
        <v>0</v>
      </c>
      <c r="J898" t="n">
        <v>0</v>
      </c>
      <c r="K898" t="n">
        <v>0</v>
      </c>
      <c r="L898" t="n">
        <v>0</v>
      </c>
      <c r="M898" t="n">
        <v>0</v>
      </c>
      <c r="N898" t="n">
        <v>0</v>
      </c>
      <c r="O898" t="n">
        <v>0</v>
      </c>
      <c r="P898" t="n">
        <v>0</v>
      </c>
      <c r="Q898" t="n">
        <v>0</v>
      </c>
      <c r="R898" s="2" t="inlineStr"/>
    </row>
    <row r="899" ht="15" customHeight="1">
      <c r="A899" t="inlineStr">
        <is>
          <t>A 41821-2023</t>
        </is>
      </c>
      <c r="B899" s="1" t="n">
        <v>45176</v>
      </c>
      <c r="C899" s="1" t="n">
        <v>45803</v>
      </c>
      <c r="D899" t="inlineStr">
        <is>
          <t>UPPSALA LÄN</t>
        </is>
      </c>
      <c r="E899" t="inlineStr">
        <is>
          <t>ÖSTHAMMAR</t>
        </is>
      </c>
      <c r="G899" t="n">
        <v>0.9</v>
      </c>
      <c r="H899" t="n">
        <v>0</v>
      </c>
      <c r="I899" t="n">
        <v>0</v>
      </c>
      <c r="J899" t="n">
        <v>0</v>
      </c>
      <c r="K899" t="n">
        <v>0</v>
      </c>
      <c r="L899" t="n">
        <v>0</v>
      </c>
      <c r="M899" t="n">
        <v>0</v>
      </c>
      <c r="N899" t="n">
        <v>0</v>
      </c>
      <c r="O899" t="n">
        <v>0</v>
      </c>
      <c r="P899" t="n">
        <v>0</v>
      </c>
      <c r="Q899" t="n">
        <v>0</v>
      </c>
      <c r="R899" s="2" t="inlineStr"/>
    </row>
    <row r="900" ht="15" customHeight="1">
      <c r="A900" t="inlineStr">
        <is>
          <t>A 41829-2023</t>
        </is>
      </c>
      <c r="B900" s="1" t="n">
        <v>45176</v>
      </c>
      <c r="C900" s="1" t="n">
        <v>45803</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43732-2023</t>
        </is>
      </c>
      <c r="B901" s="1" t="n">
        <v>45187</v>
      </c>
      <c r="C901" s="1" t="n">
        <v>45803</v>
      </c>
      <c r="D901" t="inlineStr">
        <is>
          <t>UPPSALA LÄN</t>
        </is>
      </c>
      <c r="E901" t="inlineStr">
        <is>
          <t>ÖSTHAMMAR</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43925-2023</t>
        </is>
      </c>
      <c r="B902" s="1" t="n">
        <v>45187</v>
      </c>
      <c r="C902" s="1" t="n">
        <v>45803</v>
      </c>
      <c r="D902" t="inlineStr">
        <is>
          <t>UPPSALA LÄN</t>
        </is>
      </c>
      <c r="E902" t="inlineStr">
        <is>
          <t>ÖSTHAMMAR</t>
        </is>
      </c>
      <c r="F902" t="inlineStr">
        <is>
          <t>Allmännings- och besparingsskogar</t>
        </is>
      </c>
      <c r="G902" t="n">
        <v>20.8</v>
      </c>
      <c r="H902" t="n">
        <v>0</v>
      </c>
      <c r="I902" t="n">
        <v>0</v>
      </c>
      <c r="J902" t="n">
        <v>0</v>
      </c>
      <c r="K902" t="n">
        <v>0</v>
      </c>
      <c r="L902" t="n">
        <v>0</v>
      </c>
      <c r="M902" t="n">
        <v>0</v>
      </c>
      <c r="N902" t="n">
        <v>0</v>
      </c>
      <c r="O902" t="n">
        <v>0</v>
      </c>
      <c r="P902" t="n">
        <v>0</v>
      </c>
      <c r="Q902" t="n">
        <v>0</v>
      </c>
      <c r="R902" s="2" t="inlineStr"/>
    </row>
    <row r="903" ht="15" customHeight="1">
      <c r="A903" t="inlineStr">
        <is>
          <t>A 43915-2023</t>
        </is>
      </c>
      <c r="B903" s="1" t="n">
        <v>45187</v>
      </c>
      <c r="C903" s="1" t="n">
        <v>45803</v>
      </c>
      <c r="D903" t="inlineStr">
        <is>
          <t>UPPSALA LÄN</t>
        </is>
      </c>
      <c r="E903" t="inlineStr">
        <is>
          <t>ÖSTHAMMAR</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43838-2023</t>
        </is>
      </c>
      <c r="B904" s="1" t="n">
        <v>45187</v>
      </c>
      <c r="C904" s="1" t="n">
        <v>45803</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44636-2023</t>
        </is>
      </c>
      <c r="B905" s="1" t="n">
        <v>45189</v>
      </c>
      <c r="C905" s="1" t="n">
        <v>45803</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44614-2023</t>
        </is>
      </c>
      <c r="B906" s="1" t="n">
        <v>45189</v>
      </c>
      <c r="C906" s="1" t="n">
        <v>45803</v>
      </c>
      <c r="D906" t="inlineStr">
        <is>
          <t>UPPSALA LÄN</t>
        </is>
      </c>
      <c r="E906" t="inlineStr">
        <is>
          <t>ÖSTHAMMAR</t>
        </is>
      </c>
      <c r="F906" t="inlineStr">
        <is>
          <t>Övriga Aktiebolag</t>
        </is>
      </c>
      <c r="G906" t="n">
        <v>17.8</v>
      </c>
      <c r="H906" t="n">
        <v>0</v>
      </c>
      <c r="I906" t="n">
        <v>0</v>
      </c>
      <c r="J906" t="n">
        <v>0</v>
      </c>
      <c r="K906" t="n">
        <v>0</v>
      </c>
      <c r="L906" t="n">
        <v>0</v>
      </c>
      <c r="M906" t="n">
        <v>0</v>
      </c>
      <c r="N906" t="n">
        <v>0</v>
      </c>
      <c r="O906" t="n">
        <v>0</v>
      </c>
      <c r="P906" t="n">
        <v>0</v>
      </c>
      <c r="Q906" t="n">
        <v>0</v>
      </c>
      <c r="R906" s="2" t="inlineStr"/>
    </row>
    <row r="907" ht="15" customHeight="1">
      <c r="A907" t="inlineStr">
        <is>
          <t>A 45307-2023</t>
        </is>
      </c>
      <c r="B907" s="1" t="n">
        <v>45191</v>
      </c>
      <c r="C907" s="1" t="n">
        <v>45803</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45550-2023</t>
        </is>
      </c>
      <c r="B908" s="1" t="n">
        <v>45194</v>
      </c>
      <c r="C908" s="1" t="n">
        <v>45803</v>
      </c>
      <c r="D908" t="inlineStr">
        <is>
          <t>UPPSALA LÄN</t>
        </is>
      </c>
      <c r="E908" t="inlineStr">
        <is>
          <t>ÖSTHAMMAR</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45580-2023</t>
        </is>
      </c>
      <c r="B909" s="1" t="n">
        <v>45194</v>
      </c>
      <c r="C909" s="1" t="n">
        <v>45803</v>
      </c>
      <c r="D909" t="inlineStr">
        <is>
          <t>UPPSALA LÄN</t>
        </is>
      </c>
      <c r="E909" t="inlineStr">
        <is>
          <t>ÖSTHAMMAR</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45655-2023</t>
        </is>
      </c>
      <c r="B910" s="1" t="n">
        <v>45194</v>
      </c>
      <c r="C910" s="1" t="n">
        <v>45803</v>
      </c>
      <c r="D910" t="inlineStr">
        <is>
          <t>UPPSALA LÄN</t>
        </is>
      </c>
      <c r="E910" t="inlineStr">
        <is>
          <t>ÖSTHAMMAR</t>
        </is>
      </c>
      <c r="F910" t="inlineStr">
        <is>
          <t>Bergvik skog öst AB</t>
        </is>
      </c>
      <c r="G910" t="n">
        <v>6.4</v>
      </c>
      <c r="H910" t="n">
        <v>0</v>
      </c>
      <c r="I910" t="n">
        <v>0</v>
      </c>
      <c r="J910" t="n">
        <v>0</v>
      </c>
      <c r="K910" t="n">
        <v>0</v>
      </c>
      <c r="L910" t="n">
        <v>0</v>
      </c>
      <c r="M910" t="n">
        <v>0</v>
      </c>
      <c r="N910" t="n">
        <v>0</v>
      </c>
      <c r="O910" t="n">
        <v>0</v>
      </c>
      <c r="P910" t="n">
        <v>0</v>
      </c>
      <c r="Q910" t="n">
        <v>0</v>
      </c>
      <c r="R910" s="2" t="inlineStr"/>
    </row>
    <row r="911" ht="15" customHeight="1">
      <c r="A911" t="inlineStr">
        <is>
          <t>A 45561-2023</t>
        </is>
      </c>
      <c r="B911" s="1" t="n">
        <v>45194</v>
      </c>
      <c r="C911" s="1" t="n">
        <v>45803</v>
      </c>
      <c r="D911" t="inlineStr">
        <is>
          <t>UPPSALA LÄN</t>
        </is>
      </c>
      <c r="E911" t="inlineStr">
        <is>
          <t>ÖSTHAMMAR</t>
        </is>
      </c>
      <c r="F911" t="inlineStr">
        <is>
          <t>Bergvik skog öst AB</t>
        </is>
      </c>
      <c r="G911" t="n">
        <v>0.7</v>
      </c>
      <c r="H911" t="n">
        <v>0</v>
      </c>
      <c r="I911" t="n">
        <v>0</v>
      </c>
      <c r="J911" t="n">
        <v>0</v>
      </c>
      <c r="K911" t="n">
        <v>0</v>
      </c>
      <c r="L911" t="n">
        <v>0</v>
      </c>
      <c r="M911" t="n">
        <v>0</v>
      </c>
      <c r="N911" t="n">
        <v>0</v>
      </c>
      <c r="O911" t="n">
        <v>0</v>
      </c>
      <c r="P911" t="n">
        <v>0</v>
      </c>
      <c r="Q911" t="n">
        <v>0</v>
      </c>
      <c r="R911" s="2" t="inlineStr"/>
    </row>
    <row r="912" ht="15" customHeight="1">
      <c r="A912" t="inlineStr">
        <is>
          <t>A 45618-2023</t>
        </is>
      </c>
      <c r="B912" s="1" t="n">
        <v>45194</v>
      </c>
      <c r="C912" s="1" t="n">
        <v>45803</v>
      </c>
      <c r="D912" t="inlineStr">
        <is>
          <t>UPPSALA LÄN</t>
        </is>
      </c>
      <c r="E912" t="inlineStr">
        <is>
          <t>ÖSTHAMMAR</t>
        </is>
      </c>
      <c r="F912" t="inlineStr">
        <is>
          <t>Bergvik skog öst AB</t>
        </is>
      </c>
      <c r="G912" t="n">
        <v>1.8</v>
      </c>
      <c r="H912" t="n">
        <v>0</v>
      </c>
      <c r="I912" t="n">
        <v>0</v>
      </c>
      <c r="J912" t="n">
        <v>0</v>
      </c>
      <c r="K912" t="n">
        <v>0</v>
      </c>
      <c r="L912" t="n">
        <v>0</v>
      </c>
      <c r="M912" t="n">
        <v>0</v>
      </c>
      <c r="N912" t="n">
        <v>0</v>
      </c>
      <c r="O912" t="n">
        <v>0</v>
      </c>
      <c r="P912" t="n">
        <v>0</v>
      </c>
      <c r="Q912" t="n">
        <v>0</v>
      </c>
      <c r="R912" s="2" t="inlineStr"/>
    </row>
    <row r="913" ht="15" customHeight="1">
      <c r="A913" t="inlineStr">
        <is>
          <t>A 45635-2023</t>
        </is>
      </c>
      <c r="B913" s="1" t="n">
        <v>45194</v>
      </c>
      <c r="C913" s="1" t="n">
        <v>45803</v>
      </c>
      <c r="D913" t="inlineStr">
        <is>
          <t>UPPSALA LÄN</t>
        </is>
      </c>
      <c r="E913" t="inlineStr">
        <is>
          <t>ÖSTHAMMAR</t>
        </is>
      </c>
      <c r="F913" t="inlineStr">
        <is>
          <t>Bergvik skog öst AB</t>
        </is>
      </c>
      <c r="G913" t="n">
        <v>2.3</v>
      </c>
      <c r="H913" t="n">
        <v>0</v>
      </c>
      <c r="I913" t="n">
        <v>0</v>
      </c>
      <c r="J913" t="n">
        <v>0</v>
      </c>
      <c r="K913" t="n">
        <v>0</v>
      </c>
      <c r="L913" t="n">
        <v>0</v>
      </c>
      <c r="M913" t="n">
        <v>0</v>
      </c>
      <c r="N913" t="n">
        <v>0</v>
      </c>
      <c r="O913" t="n">
        <v>0</v>
      </c>
      <c r="P913" t="n">
        <v>0</v>
      </c>
      <c r="Q913" t="n">
        <v>0</v>
      </c>
      <c r="R913" s="2" t="inlineStr"/>
    </row>
    <row r="914" ht="15" customHeight="1">
      <c r="A914" t="inlineStr">
        <is>
          <t>A 45646-2023</t>
        </is>
      </c>
      <c r="B914" s="1" t="n">
        <v>45194</v>
      </c>
      <c r="C914" s="1" t="n">
        <v>45803</v>
      </c>
      <c r="D914" t="inlineStr">
        <is>
          <t>UPPSALA LÄN</t>
        </is>
      </c>
      <c r="E914" t="inlineStr">
        <is>
          <t>ÖSTHAMMAR</t>
        </is>
      </c>
      <c r="F914" t="inlineStr">
        <is>
          <t>Bergvik skog öst AB</t>
        </is>
      </c>
      <c r="G914" t="n">
        <v>3.5</v>
      </c>
      <c r="H914" t="n">
        <v>0</v>
      </c>
      <c r="I914" t="n">
        <v>0</v>
      </c>
      <c r="J914" t="n">
        <v>0</v>
      </c>
      <c r="K914" t="n">
        <v>0</v>
      </c>
      <c r="L914" t="n">
        <v>0</v>
      </c>
      <c r="M914" t="n">
        <v>0</v>
      </c>
      <c r="N914" t="n">
        <v>0</v>
      </c>
      <c r="O914" t="n">
        <v>0</v>
      </c>
      <c r="P914" t="n">
        <v>0</v>
      </c>
      <c r="Q914" t="n">
        <v>0</v>
      </c>
      <c r="R914" s="2" t="inlineStr"/>
    </row>
    <row r="915" ht="15" customHeight="1">
      <c r="A915" t="inlineStr">
        <is>
          <t>A 46485-2023</t>
        </is>
      </c>
      <c r="B915" s="1" t="n">
        <v>45194</v>
      </c>
      <c r="C915" s="1" t="n">
        <v>45803</v>
      </c>
      <c r="D915" t="inlineStr">
        <is>
          <t>UPPSALA LÄN</t>
        </is>
      </c>
      <c r="E915" t="inlineStr">
        <is>
          <t>ÖSTHAMMAR</t>
        </is>
      </c>
      <c r="G915" t="n">
        <v>1</v>
      </c>
      <c r="H915" t="n">
        <v>0</v>
      </c>
      <c r="I915" t="n">
        <v>0</v>
      </c>
      <c r="J915" t="n">
        <v>0</v>
      </c>
      <c r="K915" t="n">
        <v>0</v>
      </c>
      <c r="L915" t="n">
        <v>0</v>
      </c>
      <c r="M915" t="n">
        <v>0</v>
      </c>
      <c r="N915" t="n">
        <v>0</v>
      </c>
      <c r="O915" t="n">
        <v>0</v>
      </c>
      <c r="P915" t="n">
        <v>0</v>
      </c>
      <c r="Q915" t="n">
        <v>0</v>
      </c>
      <c r="R915" s="2" t="inlineStr"/>
    </row>
    <row r="916" ht="15" customHeight="1">
      <c r="A916" t="inlineStr">
        <is>
          <t>A 45795-2023</t>
        </is>
      </c>
      <c r="B916" s="1" t="n">
        <v>45195</v>
      </c>
      <c r="C916" s="1" t="n">
        <v>45803</v>
      </c>
      <c r="D916" t="inlineStr">
        <is>
          <t>UPPSALA LÄN</t>
        </is>
      </c>
      <c r="E916" t="inlineStr">
        <is>
          <t>ÖSTHAMMAR</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46005-2023</t>
        </is>
      </c>
      <c r="B917" s="1" t="n">
        <v>45196</v>
      </c>
      <c r="C917" s="1" t="n">
        <v>45803</v>
      </c>
      <c r="D917" t="inlineStr">
        <is>
          <t>UPPSALA LÄN</t>
        </is>
      </c>
      <c r="E917" t="inlineStr">
        <is>
          <t>ÖSTHAMMAR</t>
        </is>
      </c>
      <c r="G917" t="n">
        <v>1.7</v>
      </c>
      <c r="H917" t="n">
        <v>0</v>
      </c>
      <c r="I917" t="n">
        <v>0</v>
      </c>
      <c r="J917" t="n">
        <v>0</v>
      </c>
      <c r="K917" t="n">
        <v>0</v>
      </c>
      <c r="L917" t="n">
        <v>0</v>
      </c>
      <c r="M917" t="n">
        <v>0</v>
      </c>
      <c r="N917" t="n">
        <v>0</v>
      </c>
      <c r="O917" t="n">
        <v>0</v>
      </c>
      <c r="P917" t="n">
        <v>0</v>
      </c>
      <c r="Q917" t="n">
        <v>0</v>
      </c>
      <c r="R917" s="2" t="inlineStr"/>
    </row>
    <row r="918" ht="15" customHeight="1">
      <c r="A918" t="inlineStr">
        <is>
          <t>A 46157-2023</t>
        </is>
      </c>
      <c r="B918" s="1" t="n">
        <v>45196</v>
      </c>
      <c r="C918" s="1" t="n">
        <v>45803</v>
      </c>
      <c r="D918" t="inlineStr">
        <is>
          <t>UPPSALA LÄN</t>
        </is>
      </c>
      <c r="E918" t="inlineStr">
        <is>
          <t>ÖSTHAMMAR</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46399-2023</t>
        </is>
      </c>
      <c r="B919" s="1" t="n">
        <v>45197</v>
      </c>
      <c r="C919" s="1" t="n">
        <v>45803</v>
      </c>
      <c r="D919" t="inlineStr">
        <is>
          <t>UPPSALA LÄN</t>
        </is>
      </c>
      <c r="E919" t="inlineStr">
        <is>
          <t>ÖSTHAMMAR</t>
        </is>
      </c>
      <c r="G919" t="n">
        <v>5.8</v>
      </c>
      <c r="H919" t="n">
        <v>0</v>
      </c>
      <c r="I919" t="n">
        <v>0</v>
      </c>
      <c r="J919" t="n">
        <v>0</v>
      </c>
      <c r="K919" t="n">
        <v>0</v>
      </c>
      <c r="L919" t="n">
        <v>0</v>
      </c>
      <c r="M919" t="n">
        <v>0</v>
      </c>
      <c r="N919" t="n">
        <v>0</v>
      </c>
      <c r="O919" t="n">
        <v>0</v>
      </c>
      <c r="P919" t="n">
        <v>0</v>
      </c>
      <c r="Q919" t="n">
        <v>0</v>
      </c>
      <c r="R919" s="2" t="inlineStr"/>
    </row>
    <row r="920" ht="15" customHeight="1">
      <c r="A920" t="inlineStr">
        <is>
          <t>A 46785-2023</t>
        </is>
      </c>
      <c r="B920" s="1" t="n">
        <v>45198</v>
      </c>
      <c r="C920" s="1" t="n">
        <v>45803</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47114-2023</t>
        </is>
      </c>
      <c r="B921" s="1" t="n">
        <v>45201</v>
      </c>
      <c r="C921" s="1" t="n">
        <v>45803</v>
      </c>
      <c r="D921" t="inlineStr">
        <is>
          <t>UPPSALA LÄN</t>
        </is>
      </c>
      <c r="E921" t="inlineStr">
        <is>
          <t>ÖSTHAMMAR</t>
        </is>
      </c>
      <c r="F921" t="inlineStr">
        <is>
          <t>Bergvik skog öst AB</t>
        </is>
      </c>
      <c r="G921" t="n">
        <v>7</v>
      </c>
      <c r="H921" t="n">
        <v>0</v>
      </c>
      <c r="I921" t="n">
        <v>0</v>
      </c>
      <c r="J921" t="n">
        <v>0</v>
      </c>
      <c r="K921" t="n">
        <v>0</v>
      </c>
      <c r="L921" t="n">
        <v>0</v>
      </c>
      <c r="M921" t="n">
        <v>0</v>
      </c>
      <c r="N921" t="n">
        <v>0</v>
      </c>
      <c r="O921" t="n">
        <v>0</v>
      </c>
      <c r="P921" t="n">
        <v>0</v>
      </c>
      <c r="Q921" t="n">
        <v>0</v>
      </c>
      <c r="R921" s="2" t="inlineStr"/>
    </row>
    <row r="922" ht="15" customHeight="1">
      <c r="A922" t="inlineStr">
        <is>
          <t>A 48515-2023</t>
        </is>
      </c>
      <c r="B922" s="1" t="n">
        <v>45201</v>
      </c>
      <c r="C922" s="1" t="n">
        <v>45803</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47390-2023</t>
        </is>
      </c>
      <c r="B923" s="1" t="n">
        <v>45202</v>
      </c>
      <c r="C923" s="1" t="n">
        <v>45803</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47374-2023</t>
        </is>
      </c>
      <c r="B924" s="1" t="n">
        <v>45202</v>
      </c>
      <c r="C924" s="1" t="n">
        <v>45803</v>
      </c>
      <c r="D924" t="inlineStr">
        <is>
          <t>UPPSALA LÄN</t>
        </is>
      </c>
      <c r="E924" t="inlineStr">
        <is>
          <t>ÖSTHAMMAR</t>
        </is>
      </c>
      <c r="F924" t="inlineStr">
        <is>
          <t>Bergvik skog öst AB</t>
        </is>
      </c>
      <c r="G924" t="n">
        <v>2</v>
      </c>
      <c r="H924" t="n">
        <v>0</v>
      </c>
      <c r="I924" t="n">
        <v>0</v>
      </c>
      <c r="J924" t="n">
        <v>0</v>
      </c>
      <c r="K924" t="n">
        <v>0</v>
      </c>
      <c r="L924" t="n">
        <v>0</v>
      </c>
      <c r="M924" t="n">
        <v>0</v>
      </c>
      <c r="N924" t="n">
        <v>0</v>
      </c>
      <c r="O924" t="n">
        <v>0</v>
      </c>
      <c r="P924" t="n">
        <v>0</v>
      </c>
      <c r="Q924" t="n">
        <v>0</v>
      </c>
      <c r="R924" s="2" t="inlineStr"/>
    </row>
    <row r="925" ht="15" customHeight="1">
      <c r="A925" t="inlineStr">
        <is>
          <t>A 47341-2023</t>
        </is>
      </c>
      <c r="B925" s="1" t="n">
        <v>45202</v>
      </c>
      <c r="C925" s="1" t="n">
        <v>45803</v>
      </c>
      <c r="D925" t="inlineStr">
        <is>
          <t>UPPSALA LÄN</t>
        </is>
      </c>
      <c r="E925" t="inlineStr">
        <is>
          <t>ÖSTHAMMAR</t>
        </is>
      </c>
      <c r="G925" t="n">
        <v>4.9</v>
      </c>
      <c r="H925" t="n">
        <v>0</v>
      </c>
      <c r="I925" t="n">
        <v>0</v>
      </c>
      <c r="J925" t="n">
        <v>0</v>
      </c>
      <c r="K925" t="n">
        <v>0</v>
      </c>
      <c r="L925" t="n">
        <v>0</v>
      </c>
      <c r="M925" t="n">
        <v>0</v>
      </c>
      <c r="N925" t="n">
        <v>0</v>
      </c>
      <c r="O925" t="n">
        <v>0</v>
      </c>
      <c r="P925" t="n">
        <v>0</v>
      </c>
      <c r="Q925" t="n">
        <v>0</v>
      </c>
      <c r="R925" s="2" t="inlineStr"/>
    </row>
    <row r="926" ht="15" customHeight="1">
      <c r="A926" t="inlineStr">
        <is>
          <t>A 47522-2023</t>
        </is>
      </c>
      <c r="B926" s="1" t="n">
        <v>45203</v>
      </c>
      <c r="C926" s="1" t="n">
        <v>45803</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48032-2023</t>
        </is>
      </c>
      <c r="B927" s="1" t="n">
        <v>45204</v>
      </c>
      <c r="C927" s="1" t="n">
        <v>45803</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48171-2023</t>
        </is>
      </c>
      <c r="B928" s="1" t="n">
        <v>45205</v>
      </c>
      <c r="C928" s="1" t="n">
        <v>45803</v>
      </c>
      <c r="D928" t="inlineStr">
        <is>
          <t>UPPSALA LÄN</t>
        </is>
      </c>
      <c r="E928" t="inlineStr">
        <is>
          <t>ÖSTHAMMAR</t>
        </is>
      </c>
      <c r="F928" t="inlineStr">
        <is>
          <t>Bergvik skog öst AB</t>
        </is>
      </c>
      <c r="G928" t="n">
        <v>5.3</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v>
      </c>
      <c r="C929" s="1" t="n">
        <v>45803</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48989-2023</t>
        </is>
      </c>
      <c r="B930" s="1" t="n">
        <v>45209</v>
      </c>
      <c r="C930" s="1" t="n">
        <v>45803</v>
      </c>
      <c r="D930" t="inlineStr">
        <is>
          <t>UPPSALA LÄN</t>
        </is>
      </c>
      <c r="E930" t="inlineStr">
        <is>
          <t>ÖSTHAMMAR</t>
        </is>
      </c>
      <c r="F930" t="inlineStr">
        <is>
          <t>Övriga Aktiebolag</t>
        </is>
      </c>
      <c r="G930" t="n">
        <v>3.2</v>
      </c>
      <c r="H930" t="n">
        <v>0</v>
      </c>
      <c r="I930" t="n">
        <v>0</v>
      </c>
      <c r="J930" t="n">
        <v>0</v>
      </c>
      <c r="K930" t="n">
        <v>0</v>
      </c>
      <c r="L930" t="n">
        <v>0</v>
      </c>
      <c r="M930" t="n">
        <v>0</v>
      </c>
      <c r="N930" t="n">
        <v>0</v>
      </c>
      <c r="O930" t="n">
        <v>0</v>
      </c>
      <c r="P930" t="n">
        <v>0</v>
      </c>
      <c r="Q930" t="n">
        <v>0</v>
      </c>
      <c r="R930" s="2" t="inlineStr"/>
    </row>
    <row r="931" ht="15" customHeight="1">
      <c r="A931" t="inlineStr">
        <is>
          <t>A 49248-2023</t>
        </is>
      </c>
      <c r="B931" s="1" t="n">
        <v>45210</v>
      </c>
      <c r="C931" s="1" t="n">
        <v>45803</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49066-2023</t>
        </is>
      </c>
      <c r="B932" s="1" t="n">
        <v>45210</v>
      </c>
      <c r="C932" s="1" t="n">
        <v>45803</v>
      </c>
      <c r="D932" t="inlineStr">
        <is>
          <t>UPPSALA LÄN</t>
        </is>
      </c>
      <c r="E932" t="inlineStr">
        <is>
          <t>ÖSTHAMMAR</t>
        </is>
      </c>
      <c r="F932" t="inlineStr">
        <is>
          <t>Bergvik skog öst AB</t>
        </is>
      </c>
      <c r="G932" t="n">
        <v>13.1</v>
      </c>
      <c r="H932" t="n">
        <v>0</v>
      </c>
      <c r="I932" t="n">
        <v>0</v>
      </c>
      <c r="J932" t="n">
        <v>0</v>
      </c>
      <c r="K932" t="n">
        <v>0</v>
      </c>
      <c r="L932" t="n">
        <v>0</v>
      </c>
      <c r="M932" t="n">
        <v>0</v>
      </c>
      <c r="N932" t="n">
        <v>0</v>
      </c>
      <c r="O932" t="n">
        <v>0</v>
      </c>
      <c r="P932" t="n">
        <v>0</v>
      </c>
      <c r="Q932" t="n">
        <v>0</v>
      </c>
      <c r="R932" s="2" t="inlineStr"/>
    </row>
    <row r="933" ht="15" customHeight="1">
      <c r="A933" t="inlineStr">
        <is>
          <t>A 49172-2023</t>
        </is>
      </c>
      <c r="B933" s="1" t="n">
        <v>45210</v>
      </c>
      <c r="C933" s="1" t="n">
        <v>45803</v>
      </c>
      <c r="D933" t="inlineStr">
        <is>
          <t>UPPSALA LÄN</t>
        </is>
      </c>
      <c r="E933" t="inlineStr">
        <is>
          <t>ÖSTHAMMAR</t>
        </is>
      </c>
      <c r="F933" t="inlineStr">
        <is>
          <t>Övriga Aktiebolag</t>
        </is>
      </c>
      <c r="G933" t="n">
        <v>13.1</v>
      </c>
      <c r="H933" t="n">
        <v>0</v>
      </c>
      <c r="I933" t="n">
        <v>0</v>
      </c>
      <c r="J933" t="n">
        <v>0</v>
      </c>
      <c r="K933" t="n">
        <v>0</v>
      </c>
      <c r="L933" t="n">
        <v>0</v>
      </c>
      <c r="M933" t="n">
        <v>0</v>
      </c>
      <c r="N933" t="n">
        <v>0</v>
      </c>
      <c r="O933" t="n">
        <v>0</v>
      </c>
      <c r="P933" t="n">
        <v>0</v>
      </c>
      <c r="Q933" t="n">
        <v>0</v>
      </c>
      <c r="R933" s="2" t="inlineStr"/>
    </row>
    <row r="934" ht="15" customHeight="1">
      <c r="A934" t="inlineStr">
        <is>
          <t>A 49266-2023</t>
        </is>
      </c>
      <c r="B934" s="1" t="n">
        <v>45210</v>
      </c>
      <c r="C934" s="1" t="n">
        <v>45803</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49829-2023</t>
        </is>
      </c>
      <c r="B935" s="1" t="n">
        <v>45212</v>
      </c>
      <c r="C935" s="1" t="n">
        <v>45803</v>
      </c>
      <c r="D935" t="inlineStr">
        <is>
          <t>UPPSALA LÄN</t>
        </is>
      </c>
      <c r="E935" t="inlineStr">
        <is>
          <t>ÖSTHAMMAR</t>
        </is>
      </c>
      <c r="F935" t="inlineStr">
        <is>
          <t>Bergvik skog öst AB</t>
        </is>
      </c>
      <c r="G935" t="n">
        <v>13.8</v>
      </c>
      <c r="H935" t="n">
        <v>0</v>
      </c>
      <c r="I935" t="n">
        <v>0</v>
      </c>
      <c r="J935" t="n">
        <v>0</v>
      </c>
      <c r="K935" t="n">
        <v>0</v>
      </c>
      <c r="L935" t="n">
        <v>0</v>
      </c>
      <c r="M935" t="n">
        <v>0</v>
      </c>
      <c r="N935" t="n">
        <v>0</v>
      </c>
      <c r="O935" t="n">
        <v>0</v>
      </c>
      <c r="P935" t="n">
        <v>0</v>
      </c>
      <c r="Q935" t="n">
        <v>0</v>
      </c>
      <c r="R935" s="2" t="inlineStr"/>
    </row>
    <row r="936" ht="15" customHeight="1">
      <c r="A936" t="inlineStr">
        <is>
          <t>A 49833-2023</t>
        </is>
      </c>
      <c r="B936" s="1" t="n">
        <v>45212</v>
      </c>
      <c r="C936" s="1" t="n">
        <v>45803</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49831-2023</t>
        </is>
      </c>
      <c r="B937" s="1" t="n">
        <v>45212</v>
      </c>
      <c r="C937" s="1" t="n">
        <v>45803</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49897-2023</t>
        </is>
      </c>
      <c r="B938" s="1" t="n">
        <v>45213</v>
      </c>
      <c r="C938" s="1" t="n">
        <v>45803</v>
      </c>
      <c r="D938" t="inlineStr">
        <is>
          <t>UPPSALA LÄN</t>
        </is>
      </c>
      <c r="E938" t="inlineStr">
        <is>
          <t>ÖSTHAMMAR</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49899-2023</t>
        </is>
      </c>
      <c r="B939" s="1" t="n">
        <v>45213</v>
      </c>
      <c r="C939" s="1" t="n">
        <v>45803</v>
      </c>
      <c r="D939" t="inlineStr">
        <is>
          <t>UPPSALA LÄN</t>
        </is>
      </c>
      <c r="E939" t="inlineStr">
        <is>
          <t>ÖSTHAMMAR</t>
        </is>
      </c>
      <c r="G939" t="n">
        <v>6.2</v>
      </c>
      <c r="H939" t="n">
        <v>0</v>
      </c>
      <c r="I939" t="n">
        <v>0</v>
      </c>
      <c r="J939" t="n">
        <v>0</v>
      </c>
      <c r="K939" t="n">
        <v>0</v>
      </c>
      <c r="L939" t="n">
        <v>0</v>
      </c>
      <c r="M939" t="n">
        <v>0</v>
      </c>
      <c r="N939" t="n">
        <v>0</v>
      </c>
      <c r="O939" t="n">
        <v>0</v>
      </c>
      <c r="P939" t="n">
        <v>0</v>
      </c>
      <c r="Q939" t="n">
        <v>0</v>
      </c>
      <c r="R939" s="2" t="inlineStr"/>
    </row>
    <row r="940" ht="15" customHeight="1">
      <c r="A940" t="inlineStr">
        <is>
          <t>A 49892-2023</t>
        </is>
      </c>
      <c r="B940" s="1" t="n">
        <v>45213</v>
      </c>
      <c r="C940" s="1" t="n">
        <v>45803</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50128-2023</t>
        </is>
      </c>
      <c r="B941" s="1" t="n">
        <v>45215</v>
      </c>
      <c r="C941" s="1" t="n">
        <v>45803</v>
      </c>
      <c r="D941" t="inlineStr">
        <is>
          <t>UPPSALA LÄN</t>
        </is>
      </c>
      <c r="E941" t="inlineStr">
        <is>
          <t>ÖSTHAMMAR</t>
        </is>
      </c>
      <c r="G941" t="n">
        <v>7.8</v>
      </c>
      <c r="H941" t="n">
        <v>0</v>
      </c>
      <c r="I941" t="n">
        <v>0</v>
      </c>
      <c r="J941" t="n">
        <v>0</v>
      </c>
      <c r="K941" t="n">
        <v>0</v>
      </c>
      <c r="L941" t="n">
        <v>0</v>
      </c>
      <c r="M941" t="n">
        <v>0</v>
      </c>
      <c r="N941" t="n">
        <v>0</v>
      </c>
      <c r="O941" t="n">
        <v>0</v>
      </c>
      <c r="P941" t="n">
        <v>0</v>
      </c>
      <c r="Q941" t="n">
        <v>0</v>
      </c>
      <c r="R941" s="2" t="inlineStr"/>
    </row>
    <row r="942" ht="15" customHeight="1">
      <c r="A942" t="inlineStr">
        <is>
          <t>A 50189-2023</t>
        </is>
      </c>
      <c r="B942" s="1" t="n">
        <v>45215</v>
      </c>
      <c r="C942" s="1" t="n">
        <v>45803</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50120-2023</t>
        </is>
      </c>
      <c r="B943" s="1" t="n">
        <v>45215</v>
      </c>
      <c r="C943" s="1" t="n">
        <v>45803</v>
      </c>
      <c r="D943" t="inlineStr">
        <is>
          <t>UPPSALA LÄN</t>
        </is>
      </c>
      <c r="E943" t="inlineStr">
        <is>
          <t>ÖSTHAMMAR</t>
        </is>
      </c>
      <c r="F943" t="inlineStr">
        <is>
          <t>Övriga Aktiebolag</t>
        </is>
      </c>
      <c r="G943" t="n">
        <v>14.2</v>
      </c>
      <c r="H943" t="n">
        <v>0</v>
      </c>
      <c r="I943" t="n">
        <v>0</v>
      </c>
      <c r="J943" t="n">
        <v>0</v>
      </c>
      <c r="K943" t="n">
        <v>0</v>
      </c>
      <c r="L943" t="n">
        <v>0</v>
      </c>
      <c r="M943" t="n">
        <v>0</v>
      </c>
      <c r="N943" t="n">
        <v>0</v>
      </c>
      <c r="O943" t="n">
        <v>0</v>
      </c>
      <c r="P943" t="n">
        <v>0</v>
      </c>
      <c r="Q943" t="n">
        <v>0</v>
      </c>
      <c r="R943" s="2" t="inlineStr"/>
    </row>
    <row r="944" ht="15" customHeight="1">
      <c r="A944" t="inlineStr">
        <is>
          <t>A 50188-2023</t>
        </is>
      </c>
      <c r="B944" s="1" t="n">
        <v>45215</v>
      </c>
      <c r="C944" s="1" t="n">
        <v>45803</v>
      </c>
      <c r="D944" t="inlineStr">
        <is>
          <t>UPPSALA LÄN</t>
        </is>
      </c>
      <c r="E944" t="inlineStr">
        <is>
          <t>ÖSTHAMMAR</t>
        </is>
      </c>
      <c r="F944" t="inlineStr">
        <is>
          <t>Bergvik skog öst AB</t>
        </is>
      </c>
      <c r="G944" t="n">
        <v>8.4</v>
      </c>
      <c r="H944" t="n">
        <v>0</v>
      </c>
      <c r="I944" t="n">
        <v>0</v>
      </c>
      <c r="J944" t="n">
        <v>0</v>
      </c>
      <c r="K944" t="n">
        <v>0</v>
      </c>
      <c r="L944" t="n">
        <v>0</v>
      </c>
      <c r="M944" t="n">
        <v>0</v>
      </c>
      <c r="N944" t="n">
        <v>0</v>
      </c>
      <c r="O944" t="n">
        <v>0</v>
      </c>
      <c r="P944" t="n">
        <v>0</v>
      </c>
      <c r="Q944" t="n">
        <v>0</v>
      </c>
      <c r="R944" s="2" t="inlineStr"/>
    </row>
    <row r="945" ht="15" customHeight="1">
      <c r="A945" t="inlineStr">
        <is>
          <t>A 50998-2023</t>
        </is>
      </c>
      <c r="B945" s="1" t="n">
        <v>45218</v>
      </c>
      <c r="C945" s="1" t="n">
        <v>45803</v>
      </c>
      <c r="D945" t="inlineStr">
        <is>
          <t>UPPSALA LÄN</t>
        </is>
      </c>
      <c r="E945" t="inlineStr">
        <is>
          <t>ÖSTHAMMAR</t>
        </is>
      </c>
      <c r="G945" t="n">
        <v>3.6</v>
      </c>
      <c r="H945" t="n">
        <v>0</v>
      </c>
      <c r="I945" t="n">
        <v>0</v>
      </c>
      <c r="J945" t="n">
        <v>0</v>
      </c>
      <c r="K945" t="n">
        <v>0</v>
      </c>
      <c r="L945" t="n">
        <v>0</v>
      </c>
      <c r="M945" t="n">
        <v>0</v>
      </c>
      <c r="N945" t="n">
        <v>0</v>
      </c>
      <c r="O945" t="n">
        <v>0</v>
      </c>
      <c r="P945" t="n">
        <v>0</v>
      </c>
      <c r="Q945" t="n">
        <v>0</v>
      </c>
      <c r="R945" s="2" t="inlineStr"/>
    </row>
    <row r="946" ht="15" customHeight="1">
      <c r="A946" t="inlineStr">
        <is>
          <t>A 52695-2023</t>
        </is>
      </c>
      <c r="B946" s="1" t="n">
        <v>45225</v>
      </c>
      <c r="C946" s="1" t="n">
        <v>45803</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52629-2023</t>
        </is>
      </c>
      <c r="B947" s="1" t="n">
        <v>45225</v>
      </c>
      <c r="C947" s="1" t="n">
        <v>45803</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52698-2023</t>
        </is>
      </c>
      <c r="B948" s="1" t="n">
        <v>45225</v>
      </c>
      <c r="C948" s="1" t="n">
        <v>45803</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52694-2023</t>
        </is>
      </c>
      <c r="B949" s="1" t="n">
        <v>45225</v>
      </c>
      <c r="C949" s="1" t="n">
        <v>45803</v>
      </c>
      <c r="D949" t="inlineStr">
        <is>
          <t>UPPSALA LÄN</t>
        </is>
      </c>
      <c r="E949" t="inlineStr">
        <is>
          <t>ÖSTHAMMAR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52699-2023</t>
        </is>
      </c>
      <c r="B950" s="1" t="n">
        <v>45225</v>
      </c>
      <c r="C950" s="1" t="n">
        <v>45803</v>
      </c>
      <c r="D950" t="inlineStr">
        <is>
          <t>UPPSALA LÄN</t>
        </is>
      </c>
      <c r="E950" t="inlineStr">
        <is>
          <t>ÖSTHAMMAR</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54314-2023</t>
        </is>
      </c>
      <c r="B951" s="1" t="n">
        <v>45225</v>
      </c>
      <c r="C951" s="1" t="n">
        <v>45803</v>
      </c>
      <c r="D951" t="inlineStr">
        <is>
          <t>UPPSALA LÄN</t>
        </is>
      </c>
      <c r="E951" t="inlineStr">
        <is>
          <t>ÖSTHAMMAR</t>
        </is>
      </c>
      <c r="G951" t="n">
        <v>5.1</v>
      </c>
      <c r="H951" t="n">
        <v>0</v>
      </c>
      <c r="I951" t="n">
        <v>0</v>
      </c>
      <c r="J951" t="n">
        <v>0</v>
      </c>
      <c r="K951" t="n">
        <v>0</v>
      </c>
      <c r="L951" t="n">
        <v>0</v>
      </c>
      <c r="M951" t="n">
        <v>0</v>
      </c>
      <c r="N951" t="n">
        <v>0</v>
      </c>
      <c r="O951" t="n">
        <v>0</v>
      </c>
      <c r="P951" t="n">
        <v>0</v>
      </c>
      <c r="Q951" t="n">
        <v>0</v>
      </c>
      <c r="R951" s="2" t="inlineStr"/>
    </row>
    <row r="952" ht="15" customHeight="1">
      <c r="A952" t="inlineStr">
        <is>
          <t>A 53467-2023</t>
        </is>
      </c>
      <c r="B952" s="1" t="n">
        <v>45229</v>
      </c>
      <c r="C952" s="1" t="n">
        <v>45803</v>
      </c>
      <c r="D952" t="inlineStr">
        <is>
          <t>UPPSALA LÄN</t>
        </is>
      </c>
      <c r="E952" t="inlineStr">
        <is>
          <t>ÖSTHAMMAR</t>
        </is>
      </c>
      <c r="G952" t="n">
        <v>26.1</v>
      </c>
      <c r="H952" t="n">
        <v>0</v>
      </c>
      <c r="I952" t="n">
        <v>0</v>
      </c>
      <c r="J952" t="n">
        <v>0</v>
      </c>
      <c r="K952" t="n">
        <v>0</v>
      </c>
      <c r="L952" t="n">
        <v>0</v>
      </c>
      <c r="M952" t="n">
        <v>0</v>
      </c>
      <c r="N952" t="n">
        <v>0</v>
      </c>
      <c r="O952" t="n">
        <v>0</v>
      </c>
      <c r="P952" t="n">
        <v>0</v>
      </c>
      <c r="Q952" t="n">
        <v>0</v>
      </c>
      <c r="R952" s="2" t="inlineStr"/>
    </row>
    <row r="953" ht="15" customHeight="1">
      <c r="A953" t="inlineStr">
        <is>
          <t>A 53360-2023</t>
        </is>
      </c>
      <c r="B953" s="1" t="n">
        <v>45229</v>
      </c>
      <c r="C953" s="1" t="n">
        <v>45803</v>
      </c>
      <c r="D953" t="inlineStr">
        <is>
          <t>UPPSALA LÄN</t>
        </is>
      </c>
      <c r="E953" t="inlineStr">
        <is>
          <t>ÖSTHAMMAR</t>
        </is>
      </c>
      <c r="G953" t="n">
        <v>4.8</v>
      </c>
      <c r="H953" t="n">
        <v>0</v>
      </c>
      <c r="I953" t="n">
        <v>0</v>
      </c>
      <c r="J953" t="n">
        <v>0</v>
      </c>
      <c r="K953" t="n">
        <v>0</v>
      </c>
      <c r="L953" t="n">
        <v>0</v>
      </c>
      <c r="M953" t="n">
        <v>0</v>
      </c>
      <c r="N953" t="n">
        <v>0</v>
      </c>
      <c r="O953" t="n">
        <v>0</v>
      </c>
      <c r="P953" t="n">
        <v>0</v>
      </c>
      <c r="Q953" t="n">
        <v>0</v>
      </c>
      <c r="R953" s="2" t="inlineStr"/>
    </row>
    <row r="954" ht="15" customHeight="1">
      <c r="A954" t="inlineStr">
        <is>
          <t>A 53735-2023</t>
        </is>
      </c>
      <c r="B954" s="1" t="n">
        <v>45230</v>
      </c>
      <c r="C954" s="1" t="n">
        <v>45803</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53732-2023</t>
        </is>
      </c>
      <c r="B955" s="1" t="n">
        <v>45230</v>
      </c>
      <c r="C955" s="1" t="n">
        <v>45803</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53670-2023</t>
        </is>
      </c>
      <c r="B956" s="1" t="n">
        <v>45230</v>
      </c>
      <c r="C956" s="1" t="n">
        <v>45803</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53733-2023</t>
        </is>
      </c>
      <c r="B957" s="1" t="n">
        <v>45230</v>
      </c>
      <c r="C957" s="1" t="n">
        <v>45803</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53737-2023</t>
        </is>
      </c>
      <c r="B958" s="1" t="n">
        <v>45230</v>
      </c>
      <c r="C958" s="1" t="n">
        <v>45803</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53702-2023</t>
        </is>
      </c>
      <c r="B959" s="1" t="n">
        <v>45230</v>
      </c>
      <c r="C959" s="1" t="n">
        <v>45803</v>
      </c>
      <c r="D959" t="inlineStr">
        <is>
          <t>UPPSALA LÄN</t>
        </is>
      </c>
      <c r="E959" t="inlineStr">
        <is>
          <t>ÖSTHAMMAR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53676-2023</t>
        </is>
      </c>
      <c r="B960" s="1" t="n">
        <v>45230</v>
      </c>
      <c r="C960" s="1" t="n">
        <v>45803</v>
      </c>
      <c r="D960" t="inlineStr">
        <is>
          <t>UPPSALA LÄN</t>
        </is>
      </c>
      <c r="E960" t="inlineStr">
        <is>
          <t>ÖSTHAMMAR</t>
        </is>
      </c>
      <c r="F960" t="inlineStr">
        <is>
          <t>Bergvik skog öst AB</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54228-2023</t>
        </is>
      </c>
      <c r="B961" s="1" t="n">
        <v>45232</v>
      </c>
      <c r="C961" s="1" t="n">
        <v>45803</v>
      </c>
      <c r="D961" t="inlineStr">
        <is>
          <t>UPPSALA LÄN</t>
        </is>
      </c>
      <c r="E961" t="inlineStr">
        <is>
          <t>ÖSTHAMMAR</t>
        </is>
      </c>
      <c r="G961" t="n">
        <v>4</v>
      </c>
      <c r="H961" t="n">
        <v>0</v>
      </c>
      <c r="I961" t="n">
        <v>0</v>
      </c>
      <c r="J961" t="n">
        <v>0</v>
      </c>
      <c r="K961" t="n">
        <v>0</v>
      </c>
      <c r="L961" t="n">
        <v>0</v>
      </c>
      <c r="M961" t="n">
        <v>0</v>
      </c>
      <c r="N961" t="n">
        <v>0</v>
      </c>
      <c r="O961" t="n">
        <v>0</v>
      </c>
      <c r="P961" t="n">
        <v>0</v>
      </c>
      <c r="Q961" t="n">
        <v>0</v>
      </c>
      <c r="R961" s="2" t="inlineStr"/>
    </row>
    <row r="962" ht="15" customHeight="1">
      <c r="A962" t="inlineStr">
        <is>
          <t>A 54366-2023</t>
        </is>
      </c>
      <c r="B962" s="1" t="n">
        <v>45233</v>
      </c>
      <c r="C962" s="1" t="n">
        <v>45803</v>
      </c>
      <c r="D962" t="inlineStr">
        <is>
          <t>UPPSALA LÄN</t>
        </is>
      </c>
      <c r="E962" t="inlineStr">
        <is>
          <t>ÖSTHAMMAR</t>
        </is>
      </c>
      <c r="F962" t="inlineStr">
        <is>
          <t>Bergvik skog öst AB</t>
        </is>
      </c>
      <c r="G962" t="n">
        <v>2.9</v>
      </c>
      <c r="H962" t="n">
        <v>0</v>
      </c>
      <c r="I962" t="n">
        <v>0</v>
      </c>
      <c r="J962" t="n">
        <v>0</v>
      </c>
      <c r="K962" t="n">
        <v>0</v>
      </c>
      <c r="L962" t="n">
        <v>0</v>
      </c>
      <c r="M962" t="n">
        <v>0</v>
      </c>
      <c r="N962" t="n">
        <v>0</v>
      </c>
      <c r="O962" t="n">
        <v>0</v>
      </c>
      <c r="P962" t="n">
        <v>0</v>
      </c>
      <c r="Q962" t="n">
        <v>0</v>
      </c>
      <c r="R962" s="2" t="inlineStr"/>
    </row>
    <row r="963" ht="15" customHeight="1">
      <c r="A963" t="inlineStr">
        <is>
          <t>A 54369-2023</t>
        </is>
      </c>
      <c r="B963" s="1" t="n">
        <v>45233</v>
      </c>
      <c r="C963" s="1" t="n">
        <v>45803</v>
      </c>
      <c r="D963" t="inlineStr">
        <is>
          <t>UPPSALA LÄN</t>
        </is>
      </c>
      <c r="E963" t="inlineStr">
        <is>
          <t>ÖSTHAMMAR</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54368-2023</t>
        </is>
      </c>
      <c r="B964" s="1" t="n">
        <v>45233</v>
      </c>
      <c r="C964" s="1" t="n">
        <v>45803</v>
      </c>
      <c r="D964" t="inlineStr">
        <is>
          <t>UPPSALA LÄN</t>
        </is>
      </c>
      <c r="E964" t="inlineStr">
        <is>
          <t>ÖSTHAMMAR</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55230-2023</t>
        </is>
      </c>
      <c r="B965" s="1" t="n">
        <v>45237</v>
      </c>
      <c r="C965" s="1" t="n">
        <v>45803</v>
      </c>
      <c r="D965" t="inlineStr">
        <is>
          <t>UPPSALA LÄN</t>
        </is>
      </c>
      <c r="E965" t="inlineStr">
        <is>
          <t>ÖSTHAMMAR</t>
        </is>
      </c>
      <c r="F965" t="inlineStr">
        <is>
          <t>Övriga Aktiebolag</t>
        </is>
      </c>
      <c r="G965" t="n">
        <v>19.7</v>
      </c>
      <c r="H965" t="n">
        <v>0</v>
      </c>
      <c r="I965" t="n">
        <v>0</v>
      </c>
      <c r="J965" t="n">
        <v>0</v>
      </c>
      <c r="K965" t="n">
        <v>0</v>
      </c>
      <c r="L965" t="n">
        <v>0</v>
      </c>
      <c r="M965" t="n">
        <v>0</v>
      </c>
      <c r="N965" t="n">
        <v>0</v>
      </c>
      <c r="O965" t="n">
        <v>0</v>
      </c>
      <c r="P965" t="n">
        <v>0</v>
      </c>
      <c r="Q965" t="n">
        <v>0</v>
      </c>
      <c r="R965" s="2" t="inlineStr"/>
    </row>
    <row r="966" ht="15" customHeight="1">
      <c r="A966" t="inlineStr">
        <is>
          <t>A 55387-2023</t>
        </is>
      </c>
      <c r="B966" s="1" t="n">
        <v>45238</v>
      </c>
      <c r="C966" s="1" t="n">
        <v>45803</v>
      </c>
      <c r="D966" t="inlineStr">
        <is>
          <t>UPPSALA LÄN</t>
        </is>
      </c>
      <c r="E966" t="inlineStr">
        <is>
          <t>ÖSTHAMMAR</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55837-2023</t>
        </is>
      </c>
      <c r="B967" s="1" t="n">
        <v>45239</v>
      </c>
      <c r="C967" s="1" t="n">
        <v>45803</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56102-2023</t>
        </is>
      </c>
      <c r="B968" s="1" t="n">
        <v>45240</v>
      </c>
      <c r="C968" s="1" t="n">
        <v>45803</v>
      </c>
      <c r="D968" t="inlineStr">
        <is>
          <t>UPPSALA LÄN</t>
        </is>
      </c>
      <c r="E968" t="inlineStr">
        <is>
          <t>ÖSTHAMMAR</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56418-2023</t>
        </is>
      </c>
      <c r="B969" s="1" t="n">
        <v>45243</v>
      </c>
      <c r="C969" s="1" t="n">
        <v>45803</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56434-2023</t>
        </is>
      </c>
      <c r="B970" s="1" t="n">
        <v>45243</v>
      </c>
      <c r="C970" s="1" t="n">
        <v>45803</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56790-2023</t>
        </is>
      </c>
      <c r="B971" s="1" t="n">
        <v>45244</v>
      </c>
      <c r="C971" s="1" t="n">
        <v>45803</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56798-2023</t>
        </is>
      </c>
      <c r="B972" s="1" t="n">
        <v>45244</v>
      </c>
      <c r="C972" s="1" t="n">
        <v>45803</v>
      </c>
      <c r="D972" t="inlineStr">
        <is>
          <t>UPPSALA LÄN</t>
        </is>
      </c>
      <c r="E972" t="inlineStr">
        <is>
          <t>ÖSTHAMMAR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56903-2023</t>
        </is>
      </c>
      <c r="B973" s="1" t="n">
        <v>45244</v>
      </c>
      <c r="C973" s="1" t="n">
        <v>45803</v>
      </c>
      <c r="D973" t="inlineStr">
        <is>
          <t>UPPSALA LÄN</t>
        </is>
      </c>
      <c r="E973" t="inlineStr">
        <is>
          <t>ÖSTHAMMAR</t>
        </is>
      </c>
      <c r="G973" t="n">
        <v>3.1</v>
      </c>
      <c r="H973" t="n">
        <v>0</v>
      </c>
      <c r="I973" t="n">
        <v>0</v>
      </c>
      <c r="J973" t="n">
        <v>0</v>
      </c>
      <c r="K973" t="n">
        <v>0</v>
      </c>
      <c r="L973" t="n">
        <v>0</v>
      </c>
      <c r="M973" t="n">
        <v>0</v>
      </c>
      <c r="N973" t="n">
        <v>0</v>
      </c>
      <c r="O973" t="n">
        <v>0</v>
      </c>
      <c r="P973" t="n">
        <v>0</v>
      </c>
      <c r="Q973" t="n">
        <v>0</v>
      </c>
      <c r="R973" s="2" t="inlineStr"/>
    </row>
    <row r="974" ht="15" customHeight="1">
      <c r="A974" t="inlineStr">
        <is>
          <t>A 56920-2023</t>
        </is>
      </c>
      <c r="B974" s="1" t="n">
        <v>45244</v>
      </c>
      <c r="C974" s="1" t="n">
        <v>45803</v>
      </c>
      <c r="D974" t="inlineStr">
        <is>
          <t>UPPSALA LÄN</t>
        </is>
      </c>
      <c r="E974" t="inlineStr">
        <is>
          <t>ÖSTHAMMAR</t>
        </is>
      </c>
      <c r="G974" t="n">
        <v>2</v>
      </c>
      <c r="H974" t="n">
        <v>0</v>
      </c>
      <c r="I974" t="n">
        <v>0</v>
      </c>
      <c r="J974" t="n">
        <v>0</v>
      </c>
      <c r="K974" t="n">
        <v>0</v>
      </c>
      <c r="L974" t="n">
        <v>0</v>
      </c>
      <c r="M974" t="n">
        <v>0</v>
      </c>
      <c r="N974" t="n">
        <v>0</v>
      </c>
      <c r="O974" t="n">
        <v>0</v>
      </c>
      <c r="P974" t="n">
        <v>0</v>
      </c>
      <c r="Q974" t="n">
        <v>0</v>
      </c>
      <c r="R974" s="2" t="inlineStr"/>
    </row>
    <row r="975" ht="15" customHeight="1">
      <c r="A975" t="inlineStr">
        <is>
          <t>A 56959-2023</t>
        </is>
      </c>
      <c r="B975" s="1" t="n">
        <v>45244</v>
      </c>
      <c r="C975" s="1" t="n">
        <v>45803</v>
      </c>
      <c r="D975" t="inlineStr">
        <is>
          <t>UPPSALA LÄN</t>
        </is>
      </c>
      <c r="E975" t="inlineStr">
        <is>
          <t>ÖSTHAMMAR</t>
        </is>
      </c>
      <c r="G975" t="n">
        <v>5</v>
      </c>
      <c r="H975" t="n">
        <v>0</v>
      </c>
      <c r="I975" t="n">
        <v>0</v>
      </c>
      <c r="J975" t="n">
        <v>0</v>
      </c>
      <c r="K975" t="n">
        <v>0</v>
      </c>
      <c r="L975" t="n">
        <v>0</v>
      </c>
      <c r="M975" t="n">
        <v>0</v>
      </c>
      <c r="N975" t="n">
        <v>0</v>
      </c>
      <c r="O975" t="n">
        <v>0</v>
      </c>
      <c r="P975" t="n">
        <v>0</v>
      </c>
      <c r="Q975" t="n">
        <v>0</v>
      </c>
      <c r="R975" s="2" t="inlineStr"/>
    </row>
    <row r="976" ht="15" customHeight="1">
      <c r="A976" t="inlineStr">
        <is>
          <t>A 58176-2023</t>
        </is>
      </c>
      <c r="B976" s="1" t="n">
        <v>45250</v>
      </c>
      <c r="C976" s="1" t="n">
        <v>45803</v>
      </c>
      <c r="D976" t="inlineStr">
        <is>
          <t>UPPSALA LÄN</t>
        </is>
      </c>
      <c r="E976" t="inlineStr">
        <is>
          <t>ÖSTHAMMAR</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58295-2023</t>
        </is>
      </c>
      <c r="B977" s="1" t="n">
        <v>45250</v>
      </c>
      <c r="C977" s="1" t="n">
        <v>45803</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58270-2023</t>
        </is>
      </c>
      <c r="B978" s="1" t="n">
        <v>45250</v>
      </c>
      <c r="C978" s="1" t="n">
        <v>45803</v>
      </c>
      <c r="D978" t="inlineStr">
        <is>
          <t>UPPSALA LÄN</t>
        </is>
      </c>
      <c r="E978" t="inlineStr">
        <is>
          <t>ÖSTHAMMAR</t>
        </is>
      </c>
      <c r="G978" t="n">
        <v>1.3</v>
      </c>
      <c r="H978" t="n">
        <v>0</v>
      </c>
      <c r="I978" t="n">
        <v>0</v>
      </c>
      <c r="J978" t="n">
        <v>0</v>
      </c>
      <c r="K978" t="n">
        <v>0</v>
      </c>
      <c r="L978" t="n">
        <v>0</v>
      </c>
      <c r="M978" t="n">
        <v>0</v>
      </c>
      <c r="N978" t="n">
        <v>0</v>
      </c>
      <c r="O978" t="n">
        <v>0</v>
      </c>
      <c r="P978" t="n">
        <v>0</v>
      </c>
      <c r="Q978" t="n">
        <v>0</v>
      </c>
      <c r="R978" s="2" t="inlineStr"/>
    </row>
    <row r="979" ht="15" customHeight="1">
      <c r="A979" t="inlineStr">
        <is>
          <t>A 58301-2023</t>
        </is>
      </c>
      <c r="B979" s="1" t="n">
        <v>45250</v>
      </c>
      <c r="C979" s="1" t="n">
        <v>45803</v>
      </c>
      <c r="D979" t="inlineStr">
        <is>
          <t>UPPSALA LÄN</t>
        </is>
      </c>
      <c r="E979" t="inlineStr">
        <is>
          <t>ÖSTHAMMAR</t>
        </is>
      </c>
      <c r="G979" t="n">
        <v>5.9</v>
      </c>
      <c r="H979" t="n">
        <v>0</v>
      </c>
      <c r="I979" t="n">
        <v>0</v>
      </c>
      <c r="J979" t="n">
        <v>0</v>
      </c>
      <c r="K979" t="n">
        <v>0</v>
      </c>
      <c r="L979" t="n">
        <v>0</v>
      </c>
      <c r="M979" t="n">
        <v>0</v>
      </c>
      <c r="N979" t="n">
        <v>0</v>
      </c>
      <c r="O979" t="n">
        <v>0</v>
      </c>
      <c r="P979" t="n">
        <v>0</v>
      </c>
      <c r="Q979" t="n">
        <v>0</v>
      </c>
      <c r="R979" s="2" t="inlineStr"/>
    </row>
    <row r="980" ht="15" customHeight="1">
      <c r="A980" t="inlineStr">
        <is>
          <t>A 58324-2023</t>
        </is>
      </c>
      <c r="B980" s="1" t="n">
        <v>45250</v>
      </c>
      <c r="C980" s="1" t="n">
        <v>45803</v>
      </c>
      <c r="D980" t="inlineStr">
        <is>
          <t>UPPSALA LÄN</t>
        </is>
      </c>
      <c r="E980" t="inlineStr">
        <is>
          <t>ÖSTHAMMAR</t>
        </is>
      </c>
      <c r="G980" t="n">
        <v>5.1</v>
      </c>
      <c r="H980" t="n">
        <v>0</v>
      </c>
      <c r="I980" t="n">
        <v>0</v>
      </c>
      <c r="J980" t="n">
        <v>0</v>
      </c>
      <c r="K980" t="n">
        <v>0</v>
      </c>
      <c r="L980" t="n">
        <v>0</v>
      </c>
      <c r="M980" t="n">
        <v>0</v>
      </c>
      <c r="N980" t="n">
        <v>0</v>
      </c>
      <c r="O980" t="n">
        <v>0</v>
      </c>
      <c r="P980" t="n">
        <v>0</v>
      </c>
      <c r="Q980" t="n">
        <v>0</v>
      </c>
      <c r="R980" s="2" t="inlineStr"/>
    </row>
    <row r="981" ht="15" customHeight="1">
      <c r="A981" t="inlineStr">
        <is>
          <t>A 58431-2023</t>
        </is>
      </c>
      <c r="B981" s="1" t="n">
        <v>45250</v>
      </c>
      <c r="C981" s="1" t="n">
        <v>45803</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58855-2023</t>
        </is>
      </c>
      <c r="B982" s="1" t="n">
        <v>45252</v>
      </c>
      <c r="C982" s="1" t="n">
        <v>45803</v>
      </c>
      <c r="D982" t="inlineStr">
        <is>
          <t>UPPSALA LÄN</t>
        </is>
      </c>
      <c r="E982" t="inlineStr">
        <is>
          <t>ÖSTHAMMAR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58854-2023</t>
        </is>
      </c>
      <c r="B983" s="1" t="n">
        <v>45252</v>
      </c>
      <c r="C983" s="1" t="n">
        <v>45803</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58859-2023</t>
        </is>
      </c>
      <c r="B984" s="1" t="n">
        <v>45252</v>
      </c>
      <c r="C984" s="1" t="n">
        <v>45803</v>
      </c>
      <c r="D984" t="inlineStr">
        <is>
          <t>UPPSALA LÄN</t>
        </is>
      </c>
      <c r="E984" t="inlineStr">
        <is>
          <t>ÖSTHAMMAR</t>
        </is>
      </c>
      <c r="G984" t="n">
        <v>0.9</v>
      </c>
      <c r="H984" t="n">
        <v>0</v>
      </c>
      <c r="I984" t="n">
        <v>0</v>
      </c>
      <c r="J984" t="n">
        <v>0</v>
      </c>
      <c r="K984" t="n">
        <v>0</v>
      </c>
      <c r="L984" t="n">
        <v>0</v>
      </c>
      <c r="M984" t="n">
        <v>0</v>
      </c>
      <c r="N984" t="n">
        <v>0</v>
      </c>
      <c r="O984" t="n">
        <v>0</v>
      </c>
      <c r="P984" t="n">
        <v>0</v>
      </c>
      <c r="Q984" t="n">
        <v>0</v>
      </c>
      <c r="R984" s="2" t="inlineStr"/>
    </row>
    <row r="985" ht="15" customHeight="1">
      <c r="A985" t="inlineStr">
        <is>
          <t>A 59244-2023</t>
        </is>
      </c>
      <c r="B985" s="1" t="n">
        <v>45253</v>
      </c>
      <c r="C985" s="1" t="n">
        <v>45803</v>
      </c>
      <c r="D985" t="inlineStr">
        <is>
          <t>UPPSALA LÄN</t>
        </is>
      </c>
      <c r="E985" t="inlineStr">
        <is>
          <t>ÖSTHAMMAR</t>
        </is>
      </c>
      <c r="G985" t="n">
        <v>12.9</v>
      </c>
      <c r="H985" t="n">
        <v>0</v>
      </c>
      <c r="I985" t="n">
        <v>0</v>
      </c>
      <c r="J985" t="n">
        <v>0</v>
      </c>
      <c r="K985" t="n">
        <v>0</v>
      </c>
      <c r="L985" t="n">
        <v>0</v>
      </c>
      <c r="M985" t="n">
        <v>0</v>
      </c>
      <c r="N985" t="n">
        <v>0</v>
      </c>
      <c r="O985" t="n">
        <v>0</v>
      </c>
      <c r="P985" t="n">
        <v>0</v>
      </c>
      <c r="Q985" t="n">
        <v>0</v>
      </c>
      <c r="R985" s="2" t="inlineStr"/>
    </row>
    <row r="986" ht="15" customHeight="1">
      <c r="A986" t="inlineStr">
        <is>
          <t>A 59288-2023</t>
        </is>
      </c>
      <c r="B986" s="1" t="n">
        <v>45253</v>
      </c>
      <c r="C986" s="1" t="n">
        <v>45803</v>
      </c>
      <c r="D986" t="inlineStr">
        <is>
          <t>UPPSALA LÄN</t>
        </is>
      </c>
      <c r="E986" t="inlineStr">
        <is>
          <t>ÖSTHAMMAR</t>
        </is>
      </c>
      <c r="G986" t="n">
        <v>7</v>
      </c>
      <c r="H986" t="n">
        <v>0</v>
      </c>
      <c r="I986" t="n">
        <v>0</v>
      </c>
      <c r="J986" t="n">
        <v>0</v>
      </c>
      <c r="K986" t="n">
        <v>0</v>
      </c>
      <c r="L986" t="n">
        <v>0</v>
      </c>
      <c r="M986" t="n">
        <v>0</v>
      </c>
      <c r="N986" t="n">
        <v>0</v>
      </c>
      <c r="O986" t="n">
        <v>0</v>
      </c>
      <c r="P986" t="n">
        <v>0</v>
      </c>
      <c r="Q986" t="n">
        <v>0</v>
      </c>
      <c r="R986" s="2" t="inlineStr"/>
    </row>
    <row r="987" ht="15" customHeight="1">
      <c r="A987" t="inlineStr">
        <is>
          <t>A 59314-2023</t>
        </is>
      </c>
      <c r="B987" s="1" t="n">
        <v>45253</v>
      </c>
      <c r="C987" s="1" t="n">
        <v>45803</v>
      </c>
      <c r="D987" t="inlineStr">
        <is>
          <t>UPPSALA LÄN</t>
        </is>
      </c>
      <c r="E987" t="inlineStr">
        <is>
          <t>ÖSTHAMMAR</t>
        </is>
      </c>
      <c r="G987" t="n">
        <v>1</v>
      </c>
      <c r="H987" t="n">
        <v>0</v>
      </c>
      <c r="I987" t="n">
        <v>0</v>
      </c>
      <c r="J987" t="n">
        <v>0</v>
      </c>
      <c r="K987" t="n">
        <v>0</v>
      </c>
      <c r="L987" t="n">
        <v>0</v>
      </c>
      <c r="M987" t="n">
        <v>0</v>
      </c>
      <c r="N987" t="n">
        <v>0</v>
      </c>
      <c r="O987" t="n">
        <v>0</v>
      </c>
      <c r="P987" t="n">
        <v>0</v>
      </c>
      <c r="Q987" t="n">
        <v>0</v>
      </c>
      <c r="R987" s="2" t="inlineStr"/>
    </row>
    <row r="988" ht="15" customHeight="1">
      <c r="A988" t="inlineStr">
        <is>
          <t>A 59318-2023</t>
        </is>
      </c>
      <c r="B988" s="1" t="n">
        <v>45253</v>
      </c>
      <c r="C988" s="1" t="n">
        <v>45803</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59327-2023</t>
        </is>
      </c>
      <c r="B989" s="1" t="n">
        <v>45253</v>
      </c>
      <c r="C989" s="1" t="n">
        <v>45803</v>
      </c>
      <c r="D989" t="inlineStr">
        <is>
          <t>UPPSALA LÄN</t>
        </is>
      </c>
      <c r="E989" t="inlineStr">
        <is>
          <t>ÖSTHAMMAR</t>
        </is>
      </c>
      <c r="G989" t="n">
        <v>3.1</v>
      </c>
      <c r="H989" t="n">
        <v>0</v>
      </c>
      <c r="I989" t="n">
        <v>0</v>
      </c>
      <c r="J989" t="n">
        <v>0</v>
      </c>
      <c r="K989" t="n">
        <v>0</v>
      </c>
      <c r="L989" t="n">
        <v>0</v>
      </c>
      <c r="M989" t="n">
        <v>0</v>
      </c>
      <c r="N989" t="n">
        <v>0</v>
      </c>
      <c r="O989" t="n">
        <v>0</v>
      </c>
      <c r="P989" t="n">
        <v>0</v>
      </c>
      <c r="Q989" t="n">
        <v>0</v>
      </c>
      <c r="R989" s="2" t="inlineStr"/>
    </row>
    <row r="990" ht="15" customHeight="1">
      <c r="A990" t="inlineStr">
        <is>
          <t>A 59291-2023</t>
        </is>
      </c>
      <c r="B990" s="1" t="n">
        <v>45253</v>
      </c>
      <c r="C990" s="1" t="n">
        <v>45803</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59731-2023</t>
        </is>
      </c>
      <c r="B991" s="1" t="n">
        <v>45257</v>
      </c>
      <c r="C991" s="1" t="n">
        <v>45803</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60303-2023</t>
        </is>
      </c>
      <c r="B992" s="1" t="n">
        <v>45258</v>
      </c>
      <c r="C992" s="1" t="n">
        <v>45803</v>
      </c>
      <c r="D992" t="inlineStr">
        <is>
          <t>UPPSALA LÄN</t>
        </is>
      </c>
      <c r="E992" t="inlineStr">
        <is>
          <t>ÖSTHAMMAR</t>
        </is>
      </c>
      <c r="F992" t="inlineStr">
        <is>
          <t>Bergvik skog öst AB</t>
        </is>
      </c>
      <c r="G992" t="n">
        <v>10.8</v>
      </c>
      <c r="H992" t="n">
        <v>0</v>
      </c>
      <c r="I992" t="n">
        <v>0</v>
      </c>
      <c r="J992" t="n">
        <v>0</v>
      </c>
      <c r="K992" t="n">
        <v>0</v>
      </c>
      <c r="L992" t="n">
        <v>0</v>
      </c>
      <c r="M992" t="n">
        <v>0</v>
      </c>
      <c r="N992" t="n">
        <v>0</v>
      </c>
      <c r="O992" t="n">
        <v>0</v>
      </c>
      <c r="P992" t="n">
        <v>0</v>
      </c>
      <c r="Q992" t="n">
        <v>0</v>
      </c>
      <c r="R992" s="2" t="inlineStr"/>
    </row>
    <row r="993" ht="15" customHeight="1">
      <c r="A993" t="inlineStr">
        <is>
          <t>A 60555-2023</t>
        </is>
      </c>
      <c r="B993" s="1" t="n">
        <v>45259</v>
      </c>
      <c r="C993" s="1" t="n">
        <v>45803</v>
      </c>
      <c r="D993" t="inlineStr">
        <is>
          <t>UPPSALA LÄN</t>
        </is>
      </c>
      <c r="E993" t="inlineStr">
        <is>
          <t>ÖSTHAMMAR</t>
        </is>
      </c>
      <c r="G993" t="n">
        <v>2</v>
      </c>
      <c r="H993" t="n">
        <v>0</v>
      </c>
      <c r="I993" t="n">
        <v>0</v>
      </c>
      <c r="J993" t="n">
        <v>0</v>
      </c>
      <c r="K993" t="n">
        <v>0</v>
      </c>
      <c r="L993" t="n">
        <v>0</v>
      </c>
      <c r="M993" t="n">
        <v>0</v>
      </c>
      <c r="N993" t="n">
        <v>0</v>
      </c>
      <c r="O993" t="n">
        <v>0</v>
      </c>
      <c r="P993" t="n">
        <v>0</v>
      </c>
      <c r="Q993" t="n">
        <v>0</v>
      </c>
      <c r="R993" s="2" t="inlineStr"/>
    </row>
    <row r="994" ht="15" customHeight="1">
      <c r="A994" t="inlineStr">
        <is>
          <t>A 61062-2023</t>
        </is>
      </c>
      <c r="B994" s="1" t="n">
        <v>45259</v>
      </c>
      <c r="C994" s="1" t="n">
        <v>45803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61063-2023</t>
        </is>
      </c>
      <c r="B995" s="1" t="n">
        <v>45259</v>
      </c>
      <c r="C995" s="1" t="n">
        <v>45803</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60722-2023</t>
        </is>
      </c>
      <c r="B996" s="1" t="n">
        <v>45260</v>
      </c>
      <c r="C996" s="1" t="n">
        <v>45803</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61109-2023</t>
        </is>
      </c>
      <c r="B997" s="1" t="n">
        <v>45261</v>
      </c>
      <c r="C997" s="1" t="n">
        <v>45803</v>
      </c>
      <c r="D997" t="inlineStr">
        <is>
          <t>UPPSALA LÄN</t>
        </is>
      </c>
      <c r="E997" t="inlineStr">
        <is>
          <t>ÖSTHAMMAR</t>
        </is>
      </c>
      <c r="G997" t="n">
        <v>3.9</v>
      </c>
      <c r="H997" t="n">
        <v>0</v>
      </c>
      <c r="I997" t="n">
        <v>0</v>
      </c>
      <c r="J997" t="n">
        <v>0</v>
      </c>
      <c r="K997" t="n">
        <v>0</v>
      </c>
      <c r="L997" t="n">
        <v>0</v>
      </c>
      <c r="M997" t="n">
        <v>0</v>
      </c>
      <c r="N997" t="n">
        <v>0</v>
      </c>
      <c r="O997" t="n">
        <v>0</v>
      </c>
      <c r="P997" t="n">
        <v>0</v>
      </c>
      <c r="Q997" t="n">
        <v>0</v>
      </c>
      <c r="R997" s="2" t="inlineStr"/>
    </row>
    <row r="998" ht="15" customHeight="1">
      <c r="A998" t="inlineStr">
        <is>
          <t>A 61246-2023</t>
        </is>
      </c>
      <c r="B998" s="1" t="n">
        <v>45264</v>
      </c>
      <c r="C998" s="1" t="n">
        <v>45803</v>
      </c>
      <c r="D998" t="inlineStr">
        <is>
          <t>UPPSALA LÄN</t>
        </is>
      </c>
      <c r="E998" t="inlineStr">
        <is>
          <t>ÖSTHAMMAR</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61428-2023</t>
        </is>
      </c>
      <c r="B999" s="1" t="n">
        <v>45264</v>
      </c>
      <c r="C999" s="1" t="n">
        <v>45803</v>
      </c>
      <c r="D999" t="inlineStr">
        <is>
          <t>UPPSALA LÄN</t>
        </is>
      </c>
      <c r="E999" t="inlineStr">
        <is>
          <t>ÖSTHAMMAR</t>
        </is>
      </c>
      <c r="F999" t="inlineStr">
        <is>
          <t>Allmännings- och besparingsskogar</t>
        </is>
      </c>
      <c r="G999" t="n">
        <v>1.2</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45803</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64774-2023</t>
        </is>
      </c>
      <c r="B1001" s="1" t="n">
        <v>45282</v>
      </c>
      <c r="C1001" s="1" t="n">
        <v>45803</v>
      </c>
      <c r="D1001" t="inlineStr">
        <is>
          <t>UPPSALA LÄN</t>
        </is>
      </c>
      <c r="E1001" t="inlineStr">
        <is>
          <t>ÖSTHAMMAR</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2462-2024</t>
        </is>
      </c>
      <c r="B1002" s="1" t="n">
        <v>45313</v>
      </c>
      <c r="C1002" s="1" t="n">
        <v>45803</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2920-2024</t>
        </is>
      </c>
      <c r="B1003" s="1" t="n">
        <v>45315</v>
      </c>
      <c r="C1003" s="1" t="n">
        <v>45803</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4984-2024</t>
        </is>
      </c>
      <c r="B1004" s="1" t="n">
        <v>45329</v>
      </c>
      <c r="C1004" s="1" t="n">
        <v>45803</v>
      </c>
      <c r="D1004" t="inlineStr">
        <is>
          <t>UPPSALA LÄN</t>
        </is>
      </c>
      <c r="E1004" t="inlineStr">
        <is>
          <t>ÖSTHAMMAR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5042-2024</t>
        </is>
      </c>
      <c r="B1005" s="1" t="n">
        <v>45329</v>
      </c>
      <c r="C1005" s="1" t="n">
        <v>45803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5149-2024</t>
        </is>
      </c>
      <c r="B1006" s="1" t="n">
        <v>45330</v>
      </c>
      <c r="C1006" s="1" t="n">
        <v>45803</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5198-2024</t>
        </is>
      </c>
      <c r="B1007" s="1" t="n">
        <v>45330</v>
      </c>
      <c r="C1007" s="1" t="n">
        <v>45803</v>
      </c>
      <c r="D1007" t="inlineStr">
        <is>
          <t>UPPSALA LÄN</t>
        </is>
      </c>
      <c r="E1007" t="inlineStr">
        <is>
          <t>ÖSTHAMMAR</t>
        </is>
      </c>
      <c r="F1007" t="inlineStr">
        <is>
          <t>Övriga Aktiebolag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5216-2024</t>
        </is>
      </c>
      <c r="B1008" s="1" t="n">
        <v>45330</v>
      </c>
      <c r="C1008" s="1" t="n">
        <v>45803</v>
      </c>
      <c r="D1008" t="inlineStr">
        <is>
          <t>UPPSALA LÄN</t>
        </is>
      </c>
      <c r="E1008" t="inlineStr">
        <is>
          <t>ÖSTHAMMAR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5161-2024</t>
        </is>
      </c>
      <c r="B1009" s="1" t="n">
        <v>45330</v>
      </c>
      <c r="C1009" s="1" t="n">
        <v>45803</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5223-2024</t>
        </is>
      </c>
      <c r="B1010" s="1" t="n">
        <v>45330</v>
      </c>
      <c r="C1010" s="1" t="n">
        <v>45803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5851-2024</t>
        </is>
      </c>
      <c r="B1011" s="1" t="n">
        <v>45335</v>
      </c>
      <c r="C1011" s="1" t="n">
        <v>45803</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5860-2024</t>
        </is>
      </c>
      <c r="B1012" s="1" t="n">
        <v>45335</v>
      </c>
      <c r="C1012" s="1" t="n">
        <v>45803</v>
      </c>
      <c r="D1012" t="inlineStr">
        <is>
          <t>UPPSALA LÄN</t>
        </is>
      </c>
      <c r="E1012" t="inlineStr">
        <is>
          <t>ÖSTHAMMAR</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6120-2024</t>
        </is>
      </c>
      <c r="B1013" s="1" t="n">
        <v>45337</v>
      </c>
      <c r="C1013" s="1" t="n">
        <v>45803</v>
      </c>
      <c r="D1013" t="inlineStr">
        <is>
          <t>UPPSALA LÄN</t>
        </is>
      </c>
      <c r="E1013" t="inlineStr">
        <is>
          <t>ÖSTHAMMAR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6102-2024</t>
        </is>
      </c>
      <c r="B1014" s="1" t="n">
        <v>45337</v>
      </c>
      <c r="C1014" s="1" t="n">
        <v>45803</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6106-2024</t>
        </is>
      </c>
      <c r="B1015" s="1" t="n">
        <v>45337</v>
      </c>
      <c r="C1015" s="1" t="n">
        <v>45803</v>
      </c>
      <c r="D1015" t="inlineStr">
        <is>
          <t>UPPSALA LÄN</t>
        </is>
      </c>
      <c r="E1015" t="inlineStr">
        <is>
          <t>ÖSTHAMMAR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6143-2024</t>
        </is>
      </c>
      <c r="B1016" s="1" t="n">
        <v>45337</v>
      </c>
      <c r="C1016" s="1" t="n">
        <v>45803</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6121-2024</t>
        </is>
      </c>
      <c r="B1017" s="1" t="n">
        <v>45337</v>
      </c>
      <c r="C1017" s="1" t="n">
        <v>45803</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6418-2024</t>
        </is>
      </c>
      <c r="B1018" s="1" t="n">
        <v>45338</v>
      </c>
      <c r="C1018" s="1" t="n">
        <v>45803</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6656-2024</t>
        </is>
      </c>
      <c r="B1019" s="1" t="n">
        <v>45341</v>
      </c>
      <c r="C1019" s="1" t="n">
        <v>45803</v>
      </c>
      <c r="D1019" t="inlineStr">
        <is>
          <t>UPPSALA LÄN</t>
        </is>
      </c>
      <c r="E1019" t="inlineStr">
        <is>
          <t>ÖSTHAMMAR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6661-2024</t>
        </is>
      </c>
      <c r="B1020" s="1" t="n">
        <v>45341</v>
      </c>
      <c r="C1020" s="1" t="n">
        <v>45803</v>
      </c>
      <c r="D1020" t="inlineStr">
        <is>
          <t>UPPSALA LÄN</t>
        </is>
      </c>
      <c r="E1020" t="inlineStr">
        <is>
          <t>ÖSTHAMMAR</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8673-2024</t>
        </is>
      </c>
      <c r="B1021" s="1" t="n">
        <v>45356</v>
      </c>
      <c r="C1021" s="1" t="n">
        <v>45803</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9264-2024</t>
        </is>
      </c>
      <c r="B1022" s="1" t="n">
        <v>45358</v>
      </c>
      <c r="C1022" s="1" t="n">
        <v>45803</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9267-2024</t>
        </is>
      </c>
      <c r="B1023" s="1" t="n">
        <v>45358</v>
      </c>
      <c r="C1023" s="1" t="n">
        <v>45803</v>
      </c>
      <c r="D1023" t="inlineStr">
        <is>
          <t>UPPSALA LÄN</t>
        </is>
      </c>
      <c r="E1023" t="inlineStr">
        <is>
          <t>ÖSTHAMMAR</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9291-2024</t>
        </is>
      </c>
      <c r="B1024" s="1" t="n">
        <v>45358</v>
      </c>
      <c r="C1024" s="1" t="n">
        <v>45803</v>
      </c>
      <c r="D1024" t="inlineStr">
        <is>
          <t>UPPSALA LÄN</t>
        </is>
      </c>
      <c r="E1024" t="inlineStr">
        <is>
          <t>ÖSTHAMMAR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9642-2024</t>
        </is>
      </c>
      <c r="B1025" s="1" t="n">
        <v>45362</v>
      </c>
      <c r="C1025" s="1" t="n">
        <v>45803</v>
      </c>
      <c r="D1025" t="inlineStr">
        <is>
          <t>UPPSALA LÄN</t>
        </is>
      </c>
      <c r="E1025" t="inlineStr">
        <is>
          <t>ÖSTHAMMAR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9927-2024</t>
        </is>
      </c>
      <c r="B1026" s="1" t="n">
        <v>45363</v>
      </c>
      <c r="C1026" s="1" t="n">
        <v>45803</v>
      </c>
      <c r="D1026" t="inlineStr">
        <is>
          <t>UPPSALA LÄN</t>
        </is>
      </c>
      <c r="E1026" t="inlineStr">
        <is>
          <t>ÖSTHAMMAR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10430-2024</t>
        </is>
      </c>
      <c r="B1027" s="1" t="n">
        <v>45365</v>
      </c>
      <c r="C1027" s="1" t="n">
        <v>45803</v>
      </c>
      <c r="D1027" t="inlineStr">
        <is>
          <t>UPPSALA LÄN</t>
        </is>
      </c>
      <c r="E1027" t="inlineStr">
        <is>
          <t>ÖSTHAMMAR</t>
        </is>
      </c>
      <c r="F1027" t="inlineStr">
        <is>
          <t>Bergvik skog öst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10429-2024</t>
        </is>
      </c>
      <c r="B1028" s="1" t="n">
        <v>45365</v>
      </c>
      <c r="C1028" s="1" t="n">
        <v>45803</v>
      </c>
      <c r="D1028" t="inlineStr">
        <is>
          <t>UPPSALA LÄN</t>
        </is>
      </c>
      <c r="E1028" t="inlineStr">
        <is>
          <t>ÖSTHAMMAR</t>
        </is>
      </c>
      <c r="F1028" t="inlineStr">
        <is>
          <t>Bergvik skog öst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10431-2024</t>
        </is>
      </c>
      <c r="B1029" s="1" t="n">
        <v>45365</v>
      </c>
      <c r="C1029" s="1" t="n">
        <v>45803</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10638-2024</t>
        </is>
      </c>
      <c r="B1030" s="1" t="n">
        <v>45367</v>
      </c>
      <c r="C1030" s="1" t="n">
        <v>45803</v>
      </c>
      <c r="D1030" t="inlineStr">
        <is>
          <t>UPPSALA LÄN</t>
        </is>
      </c>
      <c r="E1030" t="inlineStr">
        <is>
          <t>ÖSTHAMMAR</t>
        </is>
      </c>
      <c r="F1030" t="inlineStr">
        <is>
          <t>Bergvik skog öst AB</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10983-2024</t>
        </is>
      </c>
      <c r="B1031" s="1" t="n">
        <v>45370</v>
      </c>
      <c r="C1031" s="1" t="n">
        <v>45803</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10960-2024</t>
        </is>
      </c>
      <c r="B1032" s="1" t="n">
        <v>45370</v>
      </c>
      <c r="C1032" s="1" t="n">
        <v>45803</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11367-2024</t>
        </is>
      </c>
      <c r="B1033" s="1" t="n">
        <v>45372</v>
      </c>
      <c r="C1033" s="1" t="n">
        <v>45803</v>
      </c>
      <c r="D1033" t="inlineStr">
        <is>
          <t>UPPSALA LÄN</t>
        </is>
      </c>
      <c r="E1033" t="inlineStr">
        <is>
          <t>ÖSTHAMMAR</t>
        </is>
      </c>
      <c r="F1033" t="inlineStr">
        <is>
          <t>Bergvik skog öst AB</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11385-2024</t>
        </is>
      </c>
      <c r="B1034" s="1" t="n">
        <v>45372</v>
      </c>
      <c r="C1034" s="1" t="n">
        <v>45803</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11498-2024</t>
        </is>
      </c>
      <c r="B1035" s="1" t="n">
        <v>45372</v>
      </c>
      <c r="C1035" s="1" t="n">
        <v>45803</v>
      </c>
      <c r="D1035" t="inlineStr">
        <is>
          <t>UPPSALA LÄN</t>
        </is>
      </c>
      <c r="E1035" t="inlineStr">
        <is>
          <t>ÖSTHAMMAR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11472-2024</t>
        </is>
      </c>
      <c r="B1036" s="1" t="n">
        <v>45372</v>
      </c>
      <c r="C1036" s="1" t="n">
        <v>45803</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11656-2024</t>
        </is>
      </c>
      <c r="B1037" s="1" t="n">
        <v>45373</v>
      </c>
      <c r="C1037" s="1" t="n">
        <v>45803</v>
      </c>
      <c r="D1037" t="inlineStr">
        <is>
          <t>UPPSALA LÄN</t>
        </is>
      </c>
      <c r="E1037" t="inlineStr">
        <is>
          <t>ÖSTHAMMAR</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11798-2024</t>
        </is>
      </c>
      <c r="B1038" s="1" t="n">
        <v>45375</v>
      </c>
      <c r="C1038" s="1" t="n">
        <v>45803</v>
      </c>
      <c r="D1038" t="inlineStr">
        <is>
          <t>UPPSALA LÄN</t>
        </is>
      </c>
      <c r="E1038" t="inlineStr">
        <is>
          <t>ÖSTHAMMAR</t>
        </is>
      </c>
      <c r="F1038" t="inlineStr">
        <is>
          <t>Bergvik skog öst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11799-2024</t>
        </is>
      </c>
      <c r="B1039" s="1" t="n">
        <v>45375</v>
      </c>
      <c r="C1039" s="1" t="n">
        <v>45803</v>
      </c>
      <c r="D1039" t="inlineStr">
        <is>
          <t>UPPSALA LÄN</t>
        </is>
      </c>
      <c r="E1039" t="inlineStr">
        <is>
          <t>ÖSTHAMMAR</t>
        </is>
      </c>
      <c r="F1039" t="inlineStr">
        <is>
          <t>Bergvik skog öst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12028-2024</t>
        </is>
      </c>
      <c r="B1040" s="1" t="n">
        <v>45377</v>
      </c>
      <c r="C1040" s="1" t="n">
        <v>45803</v>
      </c>
      <c r="D1040" t="inlineStr">
        <is>
          <t>UPPSALA LÄN</t>
        </is>
      </c>
      <c r="E1040" t="inlineStr">
        <is>
          <t>ÖSTHAMMAR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12278-2024</t>
        </is>
      </c>
      <c r="B1041" s="1" t="n">
        <v>45378</v>
      </c>
      <c r="C1041" s="1" t="n">
        <v>45803</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12487-2024</t>
        </is>
      </c>
      <c r="B1042" s="1" t="n">
        <v>45379</v>
      </c>
      <c r="C1042" s="1" t="n">
        <v>45803</v>
      </c>
      <c r="D1042" t="inlineStr">
        <is>
          <t>UPPSALA LÄN</t>
        </is>
      </c>
      <c r="E1042" t="inlineStr">
        <is>
          <t>ÖSTHAMMAR</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12486-2024</t>
        </is>
      </c>
      <c r="B1043" s="1" t="n">
        <v>45379</v>
      </c>
      <c r="C1043" s="1" t="n">
        <v>45803</v>
      </c>
      <c r="D1043" t="inlineStr">
        <is>
          <t>UPPSALA LÄN</t>
        </is>
      </c>
      <c r="E1043" t="inlineStr">
        <is>
          <t>ÖSTHAMMAR</t>
        </is>
      </c>
      <c r="F1043" t="inlineStr">
        <is>
          <t>Bergvik skog öst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12498-2024</t>
        </is>
      </c>
      <c r="B1044" s="1" t="n">
        <v>45379</v>
      </c>
      <c r="C1044" s="1" t="n">
        <v>45803</v>
      </c>
      <c r="D1044" t="inlineStr">
        <is>
          <t>UPPSALA LÄN</t>
        </is>
      </c>
      <c r="E1044" t="inlineStr">
        <is>
          <t>ÖSTHAMMAR</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12534-2024</t>
        </is>
      </c>
      <c r="B1045" s="1" t="n">
        <v>45379</v>
      </c>
      <c r="C1045" s="1" t="n">
        <v>45803</v>
      </c>
      <c r="D1045" t="inlineStr">
        <is>
          <t>UPPSALA LÄN</t>
        </is>
      </c>
      <c r="E1045" t="inlineStr">
        <is>
          <t>ÖSTHAMMAR</t>
        </is>
      </c>
      <c r="F1045" t="inlineStr">
        <is>
          <t>Bergvik skog öst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12531-2024</t>
        </is>
      </c>
      <c r="B1046" s="1" t="n">
        <v>45379</v>
      </c>
      <c r="C1046" s="1" t="n">
        <v>45803</v>
      </c>
      <c r="D1046" t="inlineStr">
        <is>
          <t>UPPSALA LÄN</t>
        </is>
      </c>
      <c r="E1046" t="inlineStr">
        <is>
          <t>ÖSTHAMMAR</t>
        </is>
      </c>
      <c r="F1046" t="inlineStr">
        <is>
          <t>Bergvik skog öst AB</t>
        </is>
      </c>
      <c r="G1046" t="n">
        <v>17.3</v>
      </c>
      <c r="H1046" t="n">
        <v>0</v>
      </c>
      <c r="I1046" t="n">
        <v>0</v>
      </c>
      <c r="J1046" t="n">
        <v>0</v>
      </c>
      <c r="K1046" t="n">
        <v>0</v>
      </c>
      <c r="L1046" t="n">
        <v>0</v>
      </c>
      <c r="M1046" t="n">
        <v>0</v>
      </c>
      <c r="N1046" t="n">
        <v>0</v>
      </c>
      <c r="O1046" t="n">
        <v>0</v>
      </c>
      <c r="P1046" t="n">
        <v>0</v>
      </c>
      <c r="Q1046" t="n">
        <v>0</v>
      </c>
      <c r="R1046" s="2" t="inlineStr"/>
    </row>
    <row r="1047" ht="15" customHeight="1">
      <c r="A1047" t="inlineStr">
        <is>
          <t>A 12528-2024</t>
        </is>
      </c>
      <c r="B1047" s="1" t="n">
        <v>45379</v>
      </c>
      <c r="C1047" s="1" t="n">
        <v>45803</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12649-2024</t>
        </is>
      </c>
      <c r="B1048" s="1" t="n">
        <v>45384</v>
      </c>
      <c r="C1048" s="1" t="n">
        <v>45803</v>
      </c>
      <c r="D1048" t="inlineStr">
        <is>
          <t>UPPSALA LÄN</t>
        </is>
      </c>
      <c r="E1048" t="inlineStr">
        <is>
          <t>ÖSTHAMMAR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12676-2024</t>
        </is>
      </c>
      <c r="B1049" s="1" t="n">
        <v>45384</v>
      </c>
      <c r="C1049" s="1" t="n">
        <v>45803</v>
      </c>
      <c r="D1049" t="inlineStr">
        <is>
          <t>UPPSALA LÄN</t>
        </is>
      </c>
      <c r="E1049" t="inlineStr">
        <is>
          <t>ÖSTHAMMAR</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45803</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12812-2024</t>
        </is>
      </c>
      <c r="B1051" s="1" t="n">
        <v>45384</v>
      </c>
      <c r="C1051" s="1" t="n">
        <v>45803</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13059-2024</t>
        </is>
      </c>
      <c r="B1052" s="1" t="n">
        <v>45385</v>
      </c>
      <c r="C1052" s="1" t="n">
        <v>45803</v>
      </c>
      <c r="D1052" t="inlineStr">
        <is>
          <t>UPPSALA LÄN</t>
        </is>
      </c>
      <c r="E1052" t="inlineStr">
        <is>
          <t>ÖSTHAMMAR</t>
        </is>
      </c>
      <c r="F1052" t="inlineStr">
        <is>
          <t>Bergvik skog öst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12947-2024</t>
        </is>
      </c>
      <c r="B1053" s="1" t="n">
        <v>45385</v>
      </c>
      <c r="C1053" s="1" t="n">
        <v>45803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13113-2024</t>
        </is>
      </c>
      <c r="B1054" s="1" t="n">
        <v>45385</v>
      </c>
      <c r="C1054" s="1" t="n">
        <v>45803</v>
      </c>
      <c r="D1054" t="inlineStr">
        <is>
          <t>UPPSALA LÄN</t>
        </is>
      </c>
      <c r="E1054" t="inlineStr">
        <is>
          <t>ÖSTHAMMAR</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13114-2024</t>
        </is>
      </c>
      <c r="B1055" s="1" t="n">
        <v>45385</v>
      </c>
      <c r="C1055" s="1" t="n">
        <v>45803</v>
      </c>
      <c r="D1055" t="inlineStr">
        <is>
          <t>UPPSALA LÄN</t>
        </is>
      </c>
      <c r="E1055" t="inlineStr">
        <is>
          <t>ÖSTHAMMAR</t>
        </is>
      </c>
      <c r="F1055" t="inlineStr">
        <is>
          <t>Bergvik skog öst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13315-2024</t>
        </is>
      </c>
      <c r="B1056" s="1" t="n">
        <v>45386</v>
      </c>
      <c r="C1056" s="1" t="n">
        <v>45803</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13312-2024</t>
        </is>
      </c>
      <c r="B1057" s="1" t="n">
        <v>45386</v>
      </c>
      <c r="C1057" s="1" t="n">
        <v>45803</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13729-2024</t>
        </is>
      </c>
      <c r="B1058" s="1" t="n">
        <v>45387</v>
      </c>
      <c r="C1058" s="1" t="n">
        <v>45803</v>
      </c>
      <c r="D1058" t="inlineStr">
        <is>
          <t>UPPSALA LÄN</t>
        </is>
      </c>
      <c r="E1058" t="inlineStr">
        <is>
          <t>ÖSTHAMMAR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13358-2024</t>
        </is>
      </c>
      <c r="B1059" s="1" t="n">
        <v>45387</v>
      </c>
      <c r="C1059" s="1" t="n">
        <v>45803</v>
      </c>
      <c r="D1059" t="inlineStr">
        <is>
          <t>UPPSALA LÄN</t>
        </is>
      </c>
      <c r="E1059" t="inlineStr">
        <is>
          <t>ÖSTHAMMAR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13393-2024</t>
        </is>
      </c>
      <c r="B1060" s="1" t="n">
        <v>45387</v>
      </c>
      <c r="C1060" s="1" t="n">
        <v>45803</v>
      </c>
      <c r="D1060" t="inlineStr">
        <is>
          <t>UPPSALA LÄN</t>
        </is>
      </c>
      <c r="E1060" t="inlineStr">
        <is>
          <t>ÖSTHAMMAR</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13613-2024</t>
        </is>
      </c>
      <c r="B1061" s="1" t="n">
        <v>45390</v>
      </c>
      <c r="C1061" s="1" t="n">
        <v>45803</v>
      </c>
      <c r="D1061" t="inlineStr">
        <is>
          <t>UPPSALA LÄN</t>
        </is>
      </c>
      <c r="E1061" t="inlineStr">
        <is>
          <t>ÖSTHAMMAR</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13616-2024</t>
        </is>
      </c>
      <c r="B1062" s="1" t="n">
        <v>45390</v>
      </c>
      <c r="C1062" s="1" t="n">
        <v>45803</v>
      </c>
      <c r="D1062" t="inlineStr">
        <is>
          <t>UPPSALA LÄN</t>
        </is>
      </c>
      <c r="E1062" t="inlineStr">
        <is>
          <t>ÖSTHAMMAR</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13615-2024</t>
        </is>
      </c>
      <c r="B1063" s="1" t="n">
        <v>45390</v>
      </c>
      <c r="C1063" s="1" t="n">
        <v>45803</v>
      </c>
      <c r="D1063" t="inlineStr">
        <is>
          <t>UPPSALA LÄN</t>
        </is>
      </c>
      <c r="E1063" t="inlineStr">
        <is>
          <t>ÖSTHAMMAR</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13618-2024</t>
        </is>
      </c>
      <c r="B1064" s="1" t="n">
        <v>45390</v>
      </c>
      <c r="C1064" s="1" t="n">
        <v>45803</v>
      </c>
      <c r="D1064" t="inlineStr">
        <is>
          <t>UPPSALA LÄN</t>
        </is>
      </c>
      <c r="E1064" t="inlineStr">
        <is>
          <t>ÖSTHAMMAR</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13879-2024</t>
        </is>
      </c>
      <c r="B1065" s="1" t="n">
        <v>45391</v>
      </c>
      <c r="C1065" s="1" t="n">
        <v>45803</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13779-2024</t>
        </is>
      </c>
      <c r="B1066" s="1" t="n">
        <v>45391</v>
      </c>
      <c r="C1066" s="1" t="n">
        <v>45803</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14516-2024</t>
        </is>
      </c>
      <c r="B1067" s="1" t="n">
        <v>45394</v>
      </c>
      <c r="C1067" s="1" t="n">
        <v>45803</v>
      </c>
      <c r="D1067" t="inlineStr">
        <is>
          <t>UPPSALA LÄN</t>
        </is>
      </c>
      <c r="E1067" t="inlineStr">
        <is>
          <t>ÖSTHAMMAR</t>
        </is>
      </c>
      <c r="F1067" t="inlineStr">
        <is>
          <t>Bergvik skog öst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14509-2024</t>
        </is>
      </c>
      <c r="B1068" s="1" t="n">
        <v>45394</v>
      </c>
      <c r="C1068" s="1" t="n">
        <v>45803</v>
      </c>
      <c r="D1068" t="inlineStr">
        <is>
          <t>UPPSALA LÄN</t>
        </is>
      </c>
      <c r="E1068" t="inlineStr">
        <is>
          <t>ÖSTHAMMAR</t>
        </is>
      </c>
      <c r="F1068" t="inlineStr">
        <is>
          <t>Naturvårdsverket</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14433-2024</t>
        </is>
      </c>
      <c r="B1069" s="1" t="n">
        <v>45394</v>
      </c>
      <c r="C1069" s="1" t="n">
        <v>45803</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15165-2024</t>
        </is>
      </c>
      <c r="B1070" s="1" t="n">
        <v>45400</v>
      </c>
      <c r="C1070" s="1" t="n">
        <v>45803</v>
      </c>
      <c r="D1070" t="inlineStr">
        <is>
          <t>UPPSALA LÄN</t>
        </is>
      </c>
      <c r="E1070" t="inlineStr">
        <is>
          <t>ÖSTHAMMAR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15169-2024</t>
        </is>
      </c>
      <c r="B1071" s="1" t="n">
        <v>45400</v>
      </c>
      <c r="C1071" s="1" t="n">
        <v>45803</v>
      </c>
      <c r="D1071" t="inlineStr">
        <is>
          <t>UPPSALA LÄN</t>
        </is>
      </c>
      <c r="E1071" t="inlineStr">
        <is>
          <t>ÖSTHAMMAR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15166-2024</t>
        </is>
      </c>
      <c r="B1072" s="1" t="n">
        <v>45400</v>
      </c>
      <c r="C1072" s="1" t="n">
        <v>45803</v>
      </c>
      <c r="D1072" t="inlineStr">
        <is>
          <t>UPPSALA LÄN</t>
        </is>
      </c>
      <c r="E1072" t="inlineStr">
        <is>
          <t>ÖSTHAMMAR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15575-2024</t>
        </is>
      </c>
      <c r="B1073" s="1" t="n">
        <v>45401</v>
      </c>
      <c r="C1073" s="1" t="n">
        <v>45803</v>
      </c>
      <c r="D1073" t="inlineStr">
        <is>
          <t>UPPSALA LÄN</t>
        </is>
      </c>
      <c r="E1073" t="inlineStr">
        <is>
          <t>ÖSTHAMMAR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16497-2024</t>
        </is>
      </c>
      <c r="B1074" s="1" t="n">
        <v>45408</v>
      </c>
      <c r="C1074" s="1" t="n">
        <v>45803</v>
      </c>
      <c r="D1074" t="inlineStr">
        <is>
          <t>UPPSALA LÄN</t>
        </is>
      </c>
      <c r="E1074" t="inlineStr">
        <is>
          <t>ÖSTHAMMAR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16736-2024</t>
        </is>
      </c>
      <c r="B1075" s="1" t="n">
        <v>45410</v>
      </c>
      <c r="C1075" s="1" t="n">
        <v>45803</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16737-2024</t>
        </is>
      </c>
      <c r="B1076" s="1" t="n">
        <v>45410</v>
      </c>
      <c r="C1076" s="1" t="n">
        <v>45803</v>
      </c>
      <c r="D1076" t="inlineStr">
        <is>
          <t>UPPSALA LÄN</t>
        </is>
      </c>
      <c r="E1076" t="inlineStr">
        <is>
          <t>ÖSTHAMMAR</t>
        </is>
      </c>
      <c r="F1076" t="inlineStr">
        <is>
          <t>Bergvik skog öst AB</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16735-2024</t>
        </is>
      </c>
      <c r="B1077" s="1" t="n">
        <v>45410</v>
      </c>
      <c r="C1077" s="1" t="n">
        <v>45803</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16734-2024</t>
        </is>
      </c>
      <c r="B1078" s="1" t="n">
        <v>45410</v>
      </c>
      <c r="C1078" s="1" t="n">
        <v>45803</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16983-2024</t>
        </is>
      </c>
      <c r="B1079" s="1" t="n">
        <v>45412</v>
      </c>
      <c r="C1079" s="1" t="n">
        <v>45803</v>
      </c>
      <c r="D1079" t="inlineStr">
        <is>
          <t>UPPSALA LÄN</t>
        </is>
      </c>
      <c r="E1079" t="inlineStr">
        <is>
          <t>ÖSTHAMMAR</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17776-2024</t>
        </is>
      </c>
      <c r="B1080" s="1" t="n">
        <v>45418</v>
      </c>
      <c r="C1080" s="1" t="n">
        <v>45803</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17867-2024</t>
        </is>
      </c>
      <c r="B1081" s="1" t="n">
        <v>45419</v>
      </c>
      <c r="C1081" s="1" t="n">
        <v>45803</v>
      </c>
      <c r="D1081" t="inlineStr">
        <is>
          <t>UPPSALA LÄN</t>
        </is>
      </c>
      <c r="E1081" t="inlineStr">
        <is>
          <t>ÖSTHAMMAR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18693-2024</t>
        </is>
      </c>
      <c r="B1082" s="1" t="n">
        <v>45426</v>
      </c>
      <c r="C1082" s="1" t="n">
        <v>45803</v>
      </c>
      <c r="D1082" t="inlineStr">
        <is>
          <t>UPPSALA LÄN</t>
        </is>
      </c>
      <c r="E1082" t="inlineStr">
        <is>
          <t>ÖSTHAMMAR</t>
        </is>
      </c>
      <c r="F1082" t="inlineStr">
        <is>
          <t>Bergvik skog öst AB</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18691-2024</t>
        </is>
      </c>
      <c r="B1083" s="1" t="n">
        <v>45426</v>
      </c>
      <c r="C1083" s="1" t="n">
        <v>45803</v>
      </c>
      <c r="D1083" t="inlineStr">
        <is>
          <t>UPPSALA LÄN</t>
        </is>
      </c>
      <c r="E1083" t="inlineStr">
        <is>
          <t>ÖSTHAMMAR</t>
        </is>
      </c>
      <c r="F1083" t="inlineStr">
        <is>
          <t>Bergvik skog öst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18705-2024</t>
        </is>
      </c>
      <c r="B1084" s="1" t="n">
        <v>45426</v>
      </c>
      <c r="C1084" s="1" t="n">
        <v>45803</v>
      </c>
      <c r="D1084" t="inlineStr">
        <is>
          <t>UPPSALA LÄN</t>
        </is>
      </c>
      <c r="E1084" t="inlineStr">
        <is>
          <t>ÖSTHAMMAR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19056-2024</t>
        </is>
      </c>
      <c r="B1085" s="1" t="n">
        <v>45427</v>
      </c>
      <c r="C1085" s="1" t="n">
        <v>45803</v>
      </c>
      <c r="D1085" t="inlineStr">
        <is>
          <t>UPPSALA LÄN</t>
        </is>
      </c>
      <c r="E1085" t="inlineStr">
        <is>
          <t>ÖSTHAMMAR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18956-2024</t>
        </is>
      </c>
      <c r="B1086" s="1" t="n">
        <v>45427</v>
      </c>
      <c r="C1086" s="1" t="n">
        <v>45803</v>
      </c>
      <c r="D1086" t="inlineStr">
        <is>
          <t>UPPSALA LÄN</t>
        </is>
      </c>
      <c r="E1086" t="inlineStr">
        <is>
          <t>ÖSTHAMMAR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19375-2024</t>
        </is>
      </c>
      <c r="B1087" s="1" t="n">
        <v>45429</v>
      </c>
      <c r="C1087" s="1" t="n">
        <v>45803</v>
      </c>
      <c r="D1087" t="inlineStr">
        <is>
          <t>UPPSALA LÄN</t>
        </is>
      </c>
      <c r="E1087" t="inlineStr">
        <is>
          <t>ÖSTHAMMAR</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19662-2024</t>
        </is>
      </c>
      <c r="B1088" s="1" t="n">
        <v>45432</v>
      </c>
      <c r="C1088" s="1" t="n">
        <v>45803</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19667-2024</t>
        </is>
      </c>
      <c r="B1089" s="1" t="n">
        <v>45432</v>
      </c>
      <c r="C1089" s="1" t="n">
        <v>45803</v>
      </c>
      <c r="D1089" t="inlineStr">
        <is>
          <t>UPPSALA LÄN</t>
        </is>
      </c>
      <c r="E1089" t="inlineStr">
        <is>
          <t>ÖSTHAMMAR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19908-2024</t>
        </is>
      </c>
      <c r="B1090" s="1" t="n">
        <v>45433</v>
      </c>
      <c r="C1090" s="1" t="n">
        <v>45803</v>
      </c>
      <c r="D1090" t="inlineStr">
        <is>
          <t>UPPSALA LÄN</t>
        </is>
      </c>
      <c r="E1090" t="inlineStr">
        <is>
          <t>ÖSTHAMMAR</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19950-2024</t>
        </is>
      </c>
      <c r="B1091" s="1" t="n">
        <v>45433</v>
      </c>
      <c r="C1091" s="1" t="n">
        <v>45803</v>
      </c>
      <c r="D1091" t="inlineStr">
        <is>
          <t>UPPSALA LÄN</t>
        </is>
      </c>
      <c r="E1091" t="inlineStr">
        <is>
          <t>ÖSTHAMMAR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19947-2024</t>
        </is>
      </c>
      <c r="B1092" s="1" t="n">
        <v>45433</v>
      </c>
      <c r="C1092" s="1" t="n">
        <v>45803</v>
      </c>
      <c r="D1092" t="inlineStr">
        <is>
          <t>UPPSALA LÄN</t>
        </is>
      </c>
      <c r="E1092" t="inlineStr">
        <is>
          <t>ÖSTHAMMAR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19945-2024</t>
        </is>
      </c>
      <c r="B1093" s="1" t="n">
        <v>45433</v>
      </c>
      <c r="C1093" s="1" t="n">
        <v>45803</v>
      </c>
      <c r="D1093" t="inlineStr">
        <is>
          <t>UPPSALA LÄN</t>
        </is>
      </c>
      <c r="E1093" t="inlineStr">
        <is>
          <t>ÖSTHAMMAR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20316-2024</t>
        </is>
      </c>
      <c r="B1094" s="1" t="n">
        <v>45435</v>
      </c>
      <c r="C1094" s="1" t="n">
        <v>45803</v>
      </c>
      <c r="D1094" t="inlineStr">
        <is>
          <t>UPPSALA LÄN</t>
        </is>
      </c>
      <c r="E1094" t="inlineStr">
        <is>
          <t>ÖSTHAMMAR</t>
        </is>
      </c>
      <c r="F1094" t="inlineStr">
        <is>
          <t>Bergvik skog öst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20419-2024</t>
        </is>
      </c>
      <c r="B1095" s="1" t="n">
        <v>45435</v>
      </c>
      <c r="C1095" s="1" t="n">
        <v>45803</v>
      </c>
      <c r="D1095" t="inlineStr">
        <is>
          <t>UPPSALA LÄN</t>
        </is>
      </c>
      <c r="E1095" t="inlineStr">
        <is>
          <t>ÖSTHAMMAR</t>
        </is>
      </c>
      <c r="F1095" t="inlineStr">
        <is>
          <t>Bergvik skog öst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20634-2024</t>
        </is>
      </c>
      <c r="B1096" s="1" t="n">
        <v>45436</v>
      </c>
      <c r="C1096" s="1" t="n">
        <v>45803</v>
      </c>
      <c r="D1096" t="inlineStr">
        <is>
          <t>UPPSALA LÄN</t>
        </is>
      </c>
      <c r="E1096" t="inlineStr">
        <is>
          <t>ÖSTHAMMAR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21231-2024</t>
        </is>
      </c>
      <c r="B1097" s="1" t="n">
        <v>45440</v>
      </c>
      <c r="C1097" s="1" t="n">
        <v>45803</v>
      </c>
      <c r="D1097" t="inlineStr">
        <is>
          <t>UPPSALA LÄN</t>
        </is>
      </c>
      <c r="E1097" t="inlineStr">
        <is>
          <t>ÖSTHAMMAR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21424-2024</t>
        </is>
      </c>
      <c r="B1098" s="1" t="n">
        <v>45441</v>
      </c>
      <c r="C1098" s="1" t="n">
        <v>45803</v>
      </c>
      <c r="D1098" t="inlineStr">
        <is>
          <t>UPPSALA LÄN</t>
        </is>
      </c>
      <c r="E1098" t="inlineStr">
        <is>
          <t>ÖSTHAMMAR</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21413-2024</t>
        </is>
      </c>
      <c r="B1099" s="1" t="n">
        <v>45441</v>
      </c>
      <c r="C1099" s="1" t="n">
        <v>45803</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21547-2024</t>
        </is>
      </c>
      <c r="B1100" s="1" t="n">
        <v>45441</v>
      </c>
      <c r="C1100" s="1" t="n">
        <v>45803</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21505-2024</t>
        </is>
      </c>
      <c r="B1101" s="1" t="n">
        <v>45441</v>
      </c>
      <c r="C1101" s="1" t="n">
        <v>45803</v>
      </c>
      <c r="D1101" t="inlineStr">
        <is>
          <t>UPPSALA LÄN</t>
        </is>
      </c>
      <c r="E1101" t="inlineStr">
        <is>
          <t>ÖSTHAMMAR</t>
        </is>
      </c>
      <c r="F1101" t="inlineStr">
        <is>
          <t>Bergvik skog öst AB</t>
        </is>
      </c>
      <c r="G1101" t="n">
        <v>21.7</v>
      </c>
      <c r="H1101" t="n">
        <v>0</v>
      </c>
      <c r="I1101" t="n">
        <v>0</v>
      </c>
      <c r="J1101" t="n">
        <v>0</v>
      </c>
      <c r="K1101" t="n">
        <v>0</v>
      </c>
      <c r="L1101" t="n">
        <v>0</v>
      </c>
      <c r="M1101" t="n">
        <v>0</v>
      </c>
      <c r="N1101" t="n">
        <v>0</v>
      </c>
      <c r="O1101" t="n">
        <v>0</v>
      </c>
      <c r="P1101" t="n">
        <v>0</v>
      </c>
      <c r="Q1101" t="n">
        <v>0</v>
      </c>
      <c r="R1101" s="2" t="inlineStr"/>
    </row>
    <row r="1102" ht="15" customHeight="1">
      <c r="A1102" t="inlineStr">
        <is>
          <t>A 21655-2024</t>
        </is>
      </c>
      <c r="B1102" s="1" t="n">
        <v>45442</v>
      </c>
      <c r="C1102" s="1" t="n">
        <v>45803</v>
      </c>
      <c r="D1102" t="inlineStr">
        <is>
          <t>UPPSALA LÄN</t>
        </is>
      </c>
      <c r="E1102" t="inlineStr">
        <is>
          <t>ÖSTHAMMAR</t>
        </is>
      </c>
      <c r="F1102" t="inlineStr">
        <is>
          <t>Bergvik skog öst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22057-2024</t>
        </is>
      </c>
      <c r="B1103" s="1" t="n">
        <v>45443</v>
      </c>
      <c r="C1103" s="1" t="n">
        <v>45803</v>
      </c>
      <c r="D1103" t="inlineStr">
        <is>
          <t>UPPSALA LÄN</t>
        </is>
      </c>
      <c r="E1103" t="inlineStr">
        <is>
          <t>ÖSTHAMMAR</t>
        </is>
      </c>
      <c r="F1103" t="inlineStr">
        <is>
          <t>Bergvik skog öst AB</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22217-2024</t>
        </is>
      </c>
      <c r="B1104" s="1" t="n">
        <v>45446</v>
      </c>
      <c r="C1104" s="1" t="n">
        <v>45803</v>
      </c>
      <c r="D1104" t="inlineStr">
        <is>
          <t>UPPSALA LÄN</t>
        </is>
      </c>
      <c r="E1104" t="inlineStr">
        <is>
          <t>ÖSTHAMMAR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22372-2024</t>
        </is>
      </c>
      <c r="B1105" s="1" t="n">
        <v>45446</v>
      </c>
      <c r="C1105" s="1" t="n">
        <v>45803</v>
      </c>
      <c r="D1105" t="inlineStr">
        <is>
          <t>UPPSALA LÄN</t>
        </is>
      </c>
      <c r="E1105" t="inlineStr">
        <is>
          <t>ÖSTHAMMAR</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22373-2024</t>
        </is>
      </c>
      <c r="B1106" s="1" t="n">
        <v>45446</v>
      </c>
      <c r="C1106" s="1" t="n">
        <v>45803</v>
      </c>
      <c r="D1106" t="inlineStr">
        <is>
          <t>UPPSALA LÄN</t>
        </is>
      </c>
      <c r="E1106" t="inlineStr">
        <is>
          <t>ÖSTHAMMAR</t>
        </is>
      </c>
      <c r="F1106" t="inlineStr">
        <is>
          <t>Bergvik skog öst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22371-2024</t>
        </is>
      </c>
      <c r="B1107" s="1" t="n">
        <v>45446</v>
      </c>
      <c r="C1107" s="1" t="n">
        <v>45803</v>
      </c>
      <c r="D1107" t="inlineStr">
        <is>
          <t>UPPSALA LÄN</t>
        </is>
      </c>
      <c r="E1107" t="inlineStr">
        <is>
          <t>ÖSTHAMMAR</t>
        </is>
      </c>
      <c r="F1107" t="inlineStr">
        <is>
          <t>Bergvik skog öst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22884-2024</t>
        </is>
      </c>
      <c r="B1108" s="1" t="n">
        <v>45448</v>
      </c>
      <c r="C1108" s="1" t="n">
        <v>45803</v>
      </c>
      <c r="D1108" t="inlineStr">
        <is>
          <t>UPPSALA LÄN</t>
        </is>
      </c>
      <c r="E1108" t="inlineStr">
        <is>
          <t>ÖSTHAMMAR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22725-2024</t>
        </is>
      </c>
      <c r="B1109" s="1" t="n">
        <v>45448</v>
      </c>
      <c r="C1109" s="1" t="n">
        <v>45803</v>
      </c>
      <c r="D1109" t="inlineStr">
        <is>
          <t>UPPSALA LÄN</t>
        </is>
      </c>
      <c r="E1109" t="inlineStr">
        <is>
          <t>ÖSTHAMMAR</t>
        </is>
      </c>
      <c r="F1109" t="inlineStr">
        <is>
          <t>Bergvik skog öst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22915-2024</t>
        </is>
      </c>
      <c r="B1110" s="1" t="n">
        <v>45448</v>
      </c>
      <c r="C1110" s="1" t="n">
        <v>45803</v>
      </c>
      <c r="D1110" t="inlineStr">
        <is>
          <t>UPPSALA LÄN</t>
        </is>
      </c>
      <c r="E1110" t="inlineStr">
        <is>
          <t>ÖSTHAMMAR</t>
        </is>
      </c>
      <c r="F1110" t="inlineStr">
        <is>
          <t>Bergvik skog öst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22919-2024</t>
        </is>
      </c>
      <c r="B1111" s="1" t="n">
        <v>45448</v>
      </c>
      <c r="C1111" s="1" t="n">
        <v>45803</v>
      </c>
      <c r="D1111" t="inlineStr">
        <is>
          <t>UPPSALA LÄN</t>
        </is>
      </c>
      <c r="E1111" t="inlineStr">
        <is>
          <t>ÖSTHAMMAR</t>
        </is>
      </c>
      <c r="F1111" t="inlineStr">
        <is>
          <t>Bergvik skog öst AB</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23652-2024</t>
        </is>
      </c>
      <c r="B1112" s="1" t="n">
        <v>45454</v>
      </c>
      <c r="C1112" s="1" t="n">
        <v>45803</v>
      </c>
      <c r="D1112" t="inlineStr">
        <is>
          <t>UPPSALA LÄN</t>
        </is>
      </c>
      <c r="E1112" t="inlineStr">
        <is>
          <t>ÖSTHAMMAR</t>
        </is>
      </c>
      <c r="F1112" t="inlineStr">
        <is>
          <t>Bergvik skog öst AB</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23740-2024</t>
        </is>
      </c>
      <c r="B1113" s="1" t="n">
        <v>45455</v>
      </c>
      <c r="C1113" s="1" t="n">
        <v>45803</v>
      </c>
      <c r="D1113" t="inlineStr">
        <is>
          <t>UPPSALA LÄN</t>
        </is>
      </c>
      <c r="E1113" t="inlineStr">
        <is>
          <t>ÖSTHAMMAR</t>
        </is>
      </c>
      <c r="F1113" t="inlineStr">
        <is>
          <t>Bergvik skog öst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23742-2024</t>
        </is>
      </c>
      <c r="B1114" s="1" t="n">
        <v>45455</v>
      </c>
      <c r="C1114" s="1" t="n">
        <v>45803</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23741-2024</t>
        </is>
      </c>
      <c r="B1115" s="1" t="n">
        <v>45455</v>
      </c>
      <c r="C1115" s="1" t="n">
        <v>45803</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45803</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24161-2024</t>
        </is>
      </c>
      <c r="B1117" s="1" t="n">
        <v>45456</v>
      </c>
      <c r="C1117" s="1" t="n">
        <v>45803</v>
      </c>
      <c r="D1117" t="inlineStr">
        <is>
          <t>UPPSALA LÄN</t>
        </is>
      </c>
      <c r="E1117" t="inlineStr">
        <is>
          <t>ÖSTHAMMAR</t>
        </is>
      </c>
      <c r="F1117" t="inlineStr">
        <is>
          <t>Bergvik skog öst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24472-2024</t>
        </is>
      </c>
      <c r="B1118" s="1" t="n">
        <v>45458</v>
      </c>
      <c r="C1118" s="1" t="n">
        <v>45803</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24476-2024</t>
        </is>
      </c>
      <c r="B1119" s="1" t="n">
        <v>45458</v>
      </c>
      <c r="C1119" s="1" t="n">
        <v>45803</v>
      </c>
      <c r="D1119" t="inlineStr">
        <is>
          <t>UPPSALA LÄN</t>
        </is>
      </c>
      <c r="E1119" t="inlineStr">
        <is>
          <t>ÖSTHAMMAR</t>
        </is>
      </c>
      <c r="F1119" t="inlineStr">
        <is>
          <t>Bergvik skog öst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24471-2024</t>
        </is>
      </c>
      <c r="B1120" s="1" t="n">
        <v>45458</v>
      </c>
      <c r="C1120" s="1" t="n">
        <v>45803</v>
      </c>
      <c r="D1120" t="inlineStr">
        <is>
          <t>UPPSALA LÄN</t>
        </is>
      </c>
      <c r="E1120" t="inlineStr">
        <is>
          <t>ÖSTHAMMAR</t>
        </is>
      </c>
      <c r="F1120" t="inlineStr">
        <is>
          <t>Bergvik skog öst AB</t>
        </is>
      </c>
      <c r="G1120" t="n">
        <v>22.7</v>
      </c>
      <c r="H1120" t="n">
        <v>0</v>
      </c>
      <c r="I1120" t="n">
        <v>0</v>
      </c>
      <c r="J1120" t="n">
        <v>0</v>
      </c>
      <c r="K1120" t="n">
        <v>0</v>
      </c>
      <c r="L1120" t="n">
        <v>0</v>
      </c>
      <c r="M1120" t="n">
        <v>0</v>
      </c>
      <c r="N1120" t="n">
        <v>0</v>
      </c>
      <c r="O1120" t="n">
        <v>0</v>
      </c>
      <c r="P1120" t="n">
        <v>0</v>
      </c>
      <c r="Q1120" t="n">
        <v>0</v>
      </c>
      <c r="R1120" s="2" t="inlineStr"/>
    </row>
    <row r="1121" ht="15" customHeight="1">
      <c r="A1121" t="inlineStr">
        <is>
          <t>A 24475-2024</t>
        </is>
      </c>
      <c r="B1121" s="1" t="n">
        <v>45458</v>
      </c>
      <c r="C1121" s="1" t="n">
        <v>45803</v>
      </c>
      <c r="D1121" t="inlineStr">
        <is>
          <t>UPPSALA LÄN</t>
        </is>
      </c>
      <c r="E1121" t="inlineStr">
        <is>
          <t>ÖSTHAMMAR</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24770-2024</t>
        </is>
      </c>
      <c r="B1122" s="1" t="n">
        <v>45460</v>
      </c>
      <c r="C1122" s="1" t="n">
        <v>45803</v>
      </c>
      <c r="D1122" t="inlineStr">
        <is>
          <t>UPPSALA LÄN</t>
        </is>
      </c>
      <c r="E1122" t="inlineStr">
        <is>
          <t>ÖSTHAMMAR</t>
        </is>
      </c>
      <c r="F1122" t="inlineStr">
        <is>
          <t>Bergvik skog öst AB</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24747-2024</t>
        </is>
      </c>
      <c r="B1123" s="1" t="n">
        <v>45460</v>
      </c>
      <c r="C1123" s="1" t="n">
        <v>45803</v>
      </c>
      <c r="D1123" t="inlineStr">
        <is>
          <t>UPPSALA LÄN</t>
        </is>
      </c>
      <c r="E1123" t="inlineStr">
        <is>
          <t>ÖSTHAMMAR</t>
        </is>
      </c>
      <c r="F1123" t="inlineStr">
        <is>
          <t>Bergvik skog öst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24588-2024</t>
        </is>
      </c>
      <c r="B1124" s="1" t="n">
        <v>45460</v>
      </c>
      <c r="C1124" s="1" t="n">
        <v>45803</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24606-2024</t>
        </is>
      </c>
      <c r="B1125" s="1" t="n">
        <v>45460</v>
      </c>
      <c r="C1125" s="1" t="n">
        <v>45803</v>
      </c>
      <c r="D1125" t="inlineStr">
        <is>
          <t>UPPSALA LÄN</t>
        </is>
      </c>
      <c r="E1125" t="inlineStr">
        <is>
          <t>ÖSTHAMMAR</t>
        </is>
      </c>
      <c r="F1125" t="inlineStr">
        <is>
          <t>Bergvik skog öst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24560-2024</t>
        </is>
      </c>
      <c r="B1126" s="1" t="n">
        <v>45460</v>
      </c>
      <c r="C1126" s="1" t="n">
        <v>45803</v>
      </c>
      <c r="D1126" t="inlineStr">
        <is>
          <t>UPPSALA LÄN</t>
        </is>
      </c>
      <c r="E1126" t="inlineStr">
        <is>
          <t>ÖSTHAMMAR</t>
        </is>
      </c>
      <c r="F1126" t="inlineStr">
        <is>
          <t>Bergvik skog öst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24589-2024</t>
        </is>
      </c>
      <c r="B1127" s="1" t="n">
        <v>45460</v>
      </c>
      <c r="C1127" s="1" t="n">
        <v>45803</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24853-2024</t>
        </is>
      </c>
      <c r="B1128" s="1" t="n">
        <v>45461</v>
      </c>
      <c r="C1128" s="1" t="n">
        <v>45803</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25289-2024</t>
        </is>
      </c>
      <c r="B1129" s="1" t="n">
        <v>45462</v>
      </c>
      <c r="C1129" s="1" t="n">
        <v>45803</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25269-2024</t>
        </is>
      </c>
      <c r="B1130" s="1" t="n">
        <v>45462</v>
      </c>
      <c r="C1130" s="1" t="n">
        <v>45803</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25252-2024</t>
        </is>
      </c>
      <c r="B1131" s="1" t="n">
        <v>45462</v>
      </c>
      <c r="C1131" s="1" t="n">
        <v>45803</v>
      </c>
      <c r="D1131" t="inlineStr">
        <is>
          <t>UPPSALA LÄN</t>
        </is>
      </c>
      <c r="E1131" t="inlineStr">
        <is>
          <t>ÖSTHAMMAR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25772-2024</t>
        </is>
      </c>
      <c r="B1132" s="1" t="n">
        <v>45466</v>
      </c>
      <c r="C1132" s="1" t="n">
        <v>45803</v>
      </c>
      <c r="D1132" t="inlineStr">
        <is>
          <t>UPPSALA LÄN</t>
        </is>
      </c>
      <c r="E1132" t="inlineStr">
        <is>
          <t>ÖSTHAMMAR</t>
        </is>
      </c>
      <c r="F1132" t="inlineStr">
        <is>
          <t>Bergvik skog öst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25770-2024</t>
        </is>
      </c>
      <c r="B1133" s="1" t="n">
        <v>45466</v>
      </c>
      <c r="C1133" s="1" t="n">
        <v>45803</v>
      </c>
      <c r="D1133" t="inlineStr">
        <is>
          <t>UPPSALA LÄN</t>
        </is>
      </c>
      <c r="E1133" t="inlineStr">
        <is>
          <t>ÖSTHAMMAR</t>
        </is>
      </c>
      <c r="F1133" t="inlineStr">
        <is>
          <t>Bergvik skog öst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25771-2024</t>
        </is>
      </c>
      <c r="B1134" s="1" t="n">
        <v>45466</v>
      </c>
      <c r="C1134" s="1" t="n">
        <v>45803</v>
      </c>
      <c r="D1134" t="inlineStr">
        <is>
          <t>UPPSALA LÄN</t>
        </is>
      </c>
      <c r="E1134" t="inlineStr">
        <is>
          <t>ÖSTHAMMAR</t>
        </is>
      </c>
      <c r="F1134" t="inlineStr">
        <is>
          <t>Bergvik skog öst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v>
      </c>
      <c r="C1135" s="1" t="n">
        <v>45803</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25859-2024</t>
        </is>
      </c>
      <c r="B1136" s="1" t="n">
        <v>45467</v>
      </c>
      <c r="C1136" s="1" t="n">
        <v>45803</v>
      </c>
      <c r="D1136" t="inlineStr">
        <is>
          <t>UPPSALA LÄN</t>
        </is>
      </c>
      <c r="E1136" t="inlineStr">
        <is>
          <t>ÖSTHAMMAR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25953-2024</t>
        </is>
      </c>
      <c r="B1137" s="1" t="n">
        <v>45467</v>
      </c>
      <c r="C1137" s="1" t="n">
        <v>45803</v>
      </c>
      <c r="D1137" t="inlineStr">
        <is>
          <t>UPPSALA LÄN</t>
        </is>
      </c>
      <c r="E1137" t="inlineStr">
        <is>
          <t>ÖSTHAMMAR</t>
        </is>
      </c>
      <c r="F1137" t="inlineStr">
        <is>
          <t>Bergvik skog öst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26303-2024</t>
        </is>
      </c>
      <c r="B1138" s="1" t="n">
        <v>45468</v>
      </c>
      <c r="C1138" s="1" t="n">
        <v>45803</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26305-2024</t>
        </is>
      </c>
      <c r="B1139" s="1" t="n">
        <v>45468</v>
      </c>
      <c r="C1139" s="1" t="n">
        <v>45803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26272-2024</t>
        </is>
      </c>
      <c r="B1140" s="1" t="n">
        <v>45468</v>
      </c>
      <c r="C1140" s="1" t="n">
        <v>45803</v>
      </c>
      <c r="D1140" t="inlineStr">
        <is>
          <t>UPPSALA LÄN</t>
        </is>
      </c>
      <c r="E1140" t="inlineStr">
        <is>
          <t>ÖSTHAMMAR</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26426-2024</t>
        </is>
      </c>
      <c r="B1141" s="1" t="n">
        <v>45469</v>
      </c>
      <c r="C1141" s="1" t="n">
        <v>45803</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26436-2024</t>
        </is>
      </c>
      <c r="B1142" s="1" t="n">
        <v>45469</v>
      </c>
      <c r="C1142" s="1" t="n">
        <v>45803</v>
      </c>
      <c r="D1142" t="inlineStr">
        <is>
          <t>UPPSALA LÄN</t>
        </is>
      </c>
      <c r="E1142" t="inlineStr">
        <is>
          <t>ÖSTHAMMAR</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26983-2024</t>
        </is>
      </c>
      <c r="B1143" s="1" t="n">
        <v>45471</v>
      </c>
      <c r="C1143" s="1" t="n">
        <v>45803</v>
      </c>
      <c r="D1143" t="inlineStr">
        <is>
          <t>UPPSALA LÄN</t>
        </is>
      </c>
      <c r="E1143" t="inlineStr">
        <is>
          <t>ÖSTHAMMAR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27534-2024</t>
        </is>
      </c>
      <c r="B1144" s="1" t="n">
        <v>45474</v>
      </c>
      <c r="C1144" s="1" t="n">
        <v>45803</v>
      </c>
      <c r="D1144" t="inlineStr">
        <is>
          <t>UPPSALA LÄN</t>
        </is>
      </c>
      <c r="E1144" t="inlineStr">
        <is>
          <t>ÖSTHAMMAR</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27748-2024</t>
        </is>
      </c>
      <c r="B1145" s="1" t="n">
        <v>45475</v>
      </c>
      <c r="C1145" s="1" t="n">
        <v>45803</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28151-2024</t>
        </is>
      </c>
      <c r="B1146" s="1" t="n">
        <v>45476</v>
      </c>
      <c r="C1146" s="1" t="n">
        <v>45803</v>
      </c>
      <c r="D1146" t="inlineStr">
        <is>
          <t>UPPSALA LÄN</t>
        </is>
      </c>
      <c r="E1146" t="inlineStr">
        <is>
          <t>ÖSTHAMMAR</t>
        </is>
      </c>
      <c r="F1146" t="inlineStr">
        <is>
          <t>Bergvik skog öst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28152-2024</t>
        </is>
      </c>
      <c r="B1147" s="1" t="n">
        <v>45476</v>
      </c>
      <c r="C1147" s="1" t="n">
        <v>45803</v>
      </c>
      <c r="D1147" t="inlineStr">
        <is>
          <t>UPPSALA LÄN</t>
        </is>
      </c>
      <c r="E1147" t="inlineStr">
        <is>
          <t>ÖSTHAMMAR</t>
        </is>
      </c>
      <c r="F1147" t="inlineStr">
        <is>
          <t>Bergvik skog öst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28154-2024</t>
        </is>
      </c>
      <c r="B1148" s="1" t="n">
        <v>45476</v>
      </c>
      <c r="C1148" s="1" t="n">
        <v>45803</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28153-2024</t>
        </is>
      </c>
      <c r="B1149" s="1" t="n">
        <v>45476</v>
      </c>
      <c r="C1149" s="1" t="n">
        <v>45803</v>
      </c>
      <c r="D1149" t="inlineStr">
        <is>
          <t>UPPSALA LÄN</t>
        </is>
      </c>
      <c r="E1149" t="inlineStr">
        <is>
          <t>ÖSTHAMMAR</t>
        </is>
      </c>
      <c r="F1149" t="inlineStr">
        <is>
          <t>Bergvik skog öst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28914-2024</t>
        </is>
      </c>
      <c r="B1150" s="1" t="n">
        <v>45480</v>
      </c>
      <c r="C1150" s="1" t="n">
        <v>45803</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28915-2024</t>
        </is>
      </c>
      <c r="B1151" s="1" t="n">
        <v>45480</v>
      </c>
      <c r="C1151" s="1" t="n">
        <v>45803</v>
      </c>
      <c r="D1151" t="inlineStr">
        <is>
          <t>UPPSALA LÄN</t>
        </is>
      </c>
      <c r="E1151" t="inlineStr">
        <is>
          <t>ÖSTHAMMAR</t>
        </is>
      </c>
      <c r="F1151" t="inlineStr">
        <is>
          <t>Bergvik skog öst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29230-2024</t>
        </is>
      </c>
      <c r="B1152" s="1" t="n">
        <v>45482</v>
      </c>
      <c r="C1152" s="1" t="n">
        <v>45803</v>
      </c>
      <c r="D1152" t="inlineStr">
        <is>
          <t>UPPSALA LÄN</t>
        </is>
      </c>
      <c r="E1152" t="inlineStr">
        <is>
          <t>ÖSTHAMMAR</t>
        </is>
      </c>
      <c r="F1152" t="inlineStr">
        <is>
          <t>Bergvik skog öst AB</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29231-2024</t>
        </is>
      </c>
      <c r="B1153" s="1" t="n">
        <v>45482</v>
      </c>
      <c r="C1153" s="1" t="n">
        <v>45803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29438-2024</t>
        </is>
      </c>
      <c r="B1154" s="1" t="n">
        <v>45483</v>
      </c>
      <c r="C1154" s="1" t="n">
        <v>45803</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29823-2024</t>
        </is>
      </c>
      <c r="B1155" s="1" t="n">
        <v>45485</v>
      </c>
      <c r="C1155" s="1" t="n">
        <v>45803</v>
      </c>
      <c r="D1155" t="inlineStr">
        <is>
          <t>UPPSALA LÄN</t>
        </is>
      </c>
      <c r="E1155" t="inlineStr">
        <is>
          <t>ÖSTHAMMAR</t>
        </is>
      </c>
      <c r="F1155" t="inlineStr">
        <is>
          <t>Bergvik skog öst AB</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30605-2024</t>
        </is>
      </c>
      <c r="B1156" s="1" t="n">
        <v>45494</v>
      </c>
      <c r="C1156" s="1" t="n">
        <v>45803</v>
      </c>
      <c r="D1156" t="inlineStr">
        <is>
          <t>UPPSALA LÄN</t>
        </is>
      </c>
      <c r="E1156" t="inlineStr">
        <is>
          <t>ÖSTHAMMAR</t>
        </is>
      </c>
      <c r="F1156" t="inlineStr">
        <is>
          <t>Bergvik skog öst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30604-2024</t>
        </is>
      </c>
      <c r="B1157" s="1" t="n">
        <v>45494</v>
      </c>
      <c r="C1157" s="1" t="n">
        <v>45803</v>
      </c>
      <c r="D1157" t="inlineStr">
        <is>
          <t>UPPSALA LÄN</t>
        </is>
      </c>
      <c r="E1157" t="inlineStr">
        <is>
          <t>ÖSTHAMMAR</t>
        </is>
      </c>
      <c r="F1157" t="inlineStr">
        <is>
          <t>Bergvik skog öst AB</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30756-2024</t>
        </is>
      </c>
      <c r="B1158" s="1" t="n">
        <v>45496</v>
      </c>
      <c r="C1158" s="1" t="n">
        <v>45803</v>
      </c>
      <c r="D1158" t="inlineStr">
        <is>
          <t>UPPSALA LÄN</t>
        </is>
      </c>
      <c r="E1158" t="inlineStr">
        <is>
          <t>ÖSTHAMMAR</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30755-2024</t>
        </is>
      </c>
      <c r="B1159" s="1" t="n">
        <v>45496</v>
      </c>
      <c r="C1159" s="1" t="n">
        <v>45803</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30972-2024</t>
        </is>
      </c>
      <c r="B1160" s="1" t="n">
        <v>45499</v>
      </c>
      <c r="C1160" s="1" t="n">
        <v>45803</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30973-2024</t>
        </is>
      </c>
      <c r="B1161" s="1" t="n">
        <v>45499</v>
      </c>
      <c r="C1161" s="1" t="n">
        <v>45803</v>
      </c>
      <c r="D1161" t="inlineStr">
        <is>
          <t>UPPSALA LÄN</t>
        </is>
      </c>
      <c r="E1161" t="inlineStr">
        <is>
          <t>ÖSTHAMMAR</t>
        </is>
      </c>
      <c r="F1161" t="inlineStr">
        <is>
          <t>Bergvik skog öst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32190-2024</t>
        </is>
      </c>
      <c r="B1162" s="1" t="n">
        <v>45511</v>
      </c>
      <c r="C1162" s="1" t="n">
        <v>45803</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32192-2024</t>
        </is>
      </c>
      <c r="B1163" s="1" t="n">
        <v>45511</v>
      </c>
      <c r="C1163" s="1" t="n">
        <v>45803</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32193-2024</t>
        </is>
      </c>
      <c r="B1164" s="1" t="n">
        <v>45511</v>
      </c>
      <c r="C1164" s="1" t="n">
        <v>45803</v>
      </c>
      <c r="D1164" t="inlineStr">
        <is>
          <t>UPPSALA LÄN</t>
        </is>
      </c>
      <c r="E1164" t="inlineStr">
        <is>
          <t>ÖSTHAMMAR</t>
        </is>
      </c>
      <c r="F1164" t="inlineStr">
        <is>
          <t>Bergvik skog öst AB</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32476-2024</t>
        </is>
      </c>
      <c r="B1165" s="1" t="n">
        <v>45513</v>
      </c>
      <c r="C1165" s="1" t="n">
        <v>45803</v>
      </c>
      <c r="D1165" t="inlineStr">
        <is>
          <t>UPPSALA LÄN</t>
        </is>
      </c>
      <c r="E1165" t="inlineStr">
        <is>
          <t>ÖSTHAMMAR</t>
        </is>
      </c>
      <c r="F1165" t="inlineStr">
        <is>
          <t>Bergvik skog öst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32483-2024</t>
        </is>
      </c>
      <c r="B1166" s="1" t="n">
        <v>45513</v>
      </c>
      <c r="C1166" s="1" t="n">
        <v>45803</v>
      </c>
      <c r="D1166" t="inlineStr">
        <is>
          <t>UPPSALA LÄN</t>
        </is>
      </c>
      <c r="E1166" t="inlineStr">
        <is>
          <t>ÖSTHAMMAR</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32878-2024</t>
        </is>
      </c>
      <c r="B1167" s="1" t="n">
        <v>45516</v>
      </c>
      <c r="C1167" s="1" t="n">
        <v>45803</v>
      </c>
      <c r="D1167" t="inlineStr">
        <is>
          <t>UPPSALA LÄN</t>
        </is>
      </c>
      <c r="E1167" t="inlineStr">
        <is>
          <t>ÖSTHAMMAR</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32815-2024</t>
        </is>
      </c>
      <c r="B1168" s="1" t="n">
        <v>45516</v>
      </c>
      <c r="C1168" s="1" t="n">
        <v>45803</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32884-2024</t>
        </is>
      </c>
      <c r="B1169" s="1" t="n">
        <v>45516</v>
      </c>
      <c r="C1169" s="1" t="n">
        <v>45803</v>
      </c>
      <c r="D1169" t="inlineStr">
        <is>
          <t>UPPSALA LÄN</t>
        </is>
      </c>
      <c r="E1169" t="inlineStr">
        <is>
          <t>ÖSTHAMMAR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32928-2024</t>
        </is>
      </c>
      <c r="B1170" s="1" t="n">
        <v>45517</v>
      </c>
      <c r="C1170" s="1" t="n">
        <v>45803</v>
      </c>
      <c r="D1170" t="inlineStr">
        <is>
          <t>UPPSALA LÄN</t>
        </is>
      </c>
      <c r="E1170" t="inlineStr">
        <is>
          <t>ÖSTHAMMAR</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32967-2024</t>
        </is>
      </c>
      <c r="B1171" s="1" t="n">
        <v>45517</v>
      </c>
      <c r="C1171" s="1" t="n">
        <v>45803</v>
      </c>
      <c r="D1171" t="inlineStr">
        <is>
          <t>UPPSALA LÄN</t>
        </is>
      </c>
      <c r="E1171" t="inlineStr">
        <is>
          <t>ÖSTHAMMAR</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33445-2024</t>
        </is>
      </c>
      <c r="B1172" s="1" t="n">
        <v>45519</v>
      </c>
      <c r="C1172" s="1" t="n">
        <v>45803</v>
      </c>
      <c r="D1172" t="inlineStr">
        <is>
          <t>UPPSALA LÄN</t>
        </is>
      </c>
      <c r="E1172" t="inlineStr">
        <is>
          <t>ÖSTHAMMAR</t>
        </is>
      </c>
      <c r="F1172" t="inlineStr">
        <is>
          <t>Bergvik skog öst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33550-2024</t>
        </is>
      </c>
      <c r="B1173" s="1" t="n">
        <v>45519</v>
      </c>
      <c r="C1173" s="1" t="n">
        <v>45803</v>
      </c>
      <c r="D1173" t="inlineStr">
        <is>
          <t>UPPSALA LÄN</t>
        </is>
      </c>
      <c r="E1173" t="inlineStr">
        <is>
          <t>ÖSTHAMMAR</t>
        </is>
      </c>
      <c r="F1173" t="inlineStr">
        <is>
          <t>Bergvik skog öst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33552-2024</t>
        </is>
      </c>
      <c r="B1174" s="1" t="n">
        <v>45519</v>
      </c>
      <c r="C1174" s="1" t="n">
        <v>45803</v>
      </c>
      <c r="D1174" t="inlineStr">
        <is>
          <t>UPPSALA LÄN</t>
        </is>
      </c>
      <c r="E1174" t="inlineStr">
        <is>
          <t>ÖSTHAMMAR</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33553-2024</t>
        </is>
      </c>
      <c r="B1175" s="1" t="n">
        <v>45519</v>
      </c>
      <c r="C1175" s="1" t="n">
        <v>45803</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33599-2024</t>
        </is>
      </c>
      <c r="B1176" s="1" t="n">
        <v>45520</v>
      </c>
      <c r="C1176" s="1" t="n">
        <v>45803</v>
      </c>
      <c r="D1176" t="inlineStr">
        <is>
          <t>UPPSALA LÄN</t>
        </is>
      </c>
      <c r="E1176" t="inlineStr">
        <is>
          <t>ÖSTHAMMAR</t>
        </is>
      </c>
      <c r="F1176" t="inlineStr">
        <is>
          <t>Övriga Aktiebolag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33603-2024</t>
        </is>
      </c>
      <c r="B1177" s="1" t="n">
        <v>45520</v>
      </c>
      <c r="C1177" s="1" t="n">
        <v>45803</v>
      </c>
      <c r="D1177" t="inlineStr">
        <is>
          <t>UPPSALA LÄN</t>
        </is>
      </c>
      <c r="E1177" t="inlineStr">
        <is>
          <t>ÖSTHAMMAR</t>
        </is>
      </c>
      <c r="F1177" t="inlineStr">
        <is>
          <t>Övriga Aktiebolag</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33601-2024</t>
        </is>
      </c>
      <c r="B1178" s="1" t="n">
        <v>45520</v>
      </c>
      <c r="C1178" s="1" t="n">
        <v>45803</v>
      </c>
      <c r="D1178" t="inlineStr">
        <is>
          <t>UPPSALA LÄN</t>
        </is>
      </c>
      <c r="E1178" t="inlineStr">
        <is>
          <t>ÖSTHAMMAR</t>
        </is>
      </c>
      <c r="F1178" t="inlineStr">
        <is>
          <t>Övriga Aktiebolag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33680-2024</t>
        </is>
      </c>
      <c r="B1179" s="1" t="n">
        <v>45520</v>
      </c>
      <c r="C1179" s="1" t="n">
        <v>45803</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33767-2024</t>
        </is>
      </c>
      <c r="B1180" s="1" t="n">
        <v>45520</v>
      </c>
      <c r="C1180" s="1" t="n">
        <v>45803</v>
      </c>
      <c r="D1180" t="inlineStr">
        <is>
          <t>UPPSALA LÄN</t>
        </is>
      </c>
      <c r="E1180" t="inlineStr">
        <is>
          <t>ÖSTHAMMAR</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33800-2024</t>
        </is>
      </c>
      <c r="B1181" s="1" t="n">
        <v>45520</v>
      </c>
      <c r="C1181" s="1" t="n">
        <v>45803</v>
      </c>
      <c r="D1181" t="inlineStr">
        <is>
          <t>UPPSALA LÄN</t>
        </is>
      </c>
      <c r="E1181" t="inlineStr">
        <is>
          <t>ÖSTHAMMAR</t>
        </is>
      </c>
      <c r="F1181" t="inlineStr">
        <is>
          <t>Naturvårdsverket</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33688-2024</t>
        </is>
      </c>
      <c r="B1182" s="1" t="n">
        <v>45520</v>
      </c>
      <c r="C1182" s="1" t="n">
        <v>45803</v>
      </c>
      <c r="D1182" t="inlineStr">
        <is>
          <t>UPPSALA LÄN</t>
        </is>
      </c>
      <c r="E1182" t="inlineStr">
        <is>
          <t>ÖSTHAMMAR</t>
        </is>
      </c>
      <c r="F1182" t="inlineStr">
        <is>
          <t>Bergvik skog öst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33681-2024</t>
        </is>
      </c>
      <c r="B1183" s="1" t="n">
        <v>45520</v>
      </c>
      <c r="C1183" s="1" t="n">
        <v>45803</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v>
      </c>
      <c r="C1184" s="1" t="n">
        <v>45803</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33760-2024</t>
        </is>
      </c>
      <c r="B1185" s="1" t="n">
        <v>45520</v>
      </c>
      <c r="C1185" s="1" t="n">
        <v>45803</v>
      </c>
      <c r="D1185" t="inlineStr">
        <is>
          <t>UPPSALA LÄN</t>
        </is>
      </c>
      <c r="E1185" t="inlineStr">
        <is>
          <t>ÖSTHAMMAR</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33784-2024</t>
        </is>
      </c>
      <c r="B1186" s="1" t="n">
        <v>45520</v>
      </c>
      <c r="C1186" s="1" t="n">
        <v>45803</v>
      </c>
      <c r="D1186" t="inlineStr">
        <is>
          <t>UPPSALA LÄN</t>
        </is>
      </c>
      <c r="E1186" t="inlineStr">
        <is>
          <t>ÖSTHAMMAR</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33754-2024</t>
        </is>
      </c>
      <c r="B1187" s="1" t="n">
        <v>45520</v>
      </c>
      <c r="C1187" s="1" t="n">
        <v>45803</v>
      </c>
      <c r="D1187" t="inlineStr">
        <is>
          <t>UPPSALA LÄN</t>
        </is>
      </c>
      <c r="E1187" t="inlineStr">
        <is>
          <t>ÖSTHAMMAR</t>
        </is>
      </c>
      <c r="F1187" t="inlineStr">
        <is>
          <t>Övriga Aktiebolag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33758-2024</t>
        </is>
      </c>
      <c r="B1188" s="1" t="n">
        <v>45520</v>
      </c>
      <c r="C1188" s="1" t="n">
        <v>45803</v>
      </c>
      <c r="D1188" t="inlineStr">
        <is>
          <t>UPPSALA LÄN</t>
        </is>
      </c>
      <c r="E1188" t="inlineStr">
        <is>
          <t>ÖSTHAMMAR</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34185-2024</t>
        </is>
      </c>
      <c r="B1189" s="1" t="n">
        <v>45524</v>
      </c>
      <c r="C1189" s="1" t="n">
        <v>45803</v>
      </c>
      <c r="D1189" t="inlineStr">
        <is>
          <t>UPPSALA LÄN</t>
        </is>
      </c>
      <c r="E1189" t="inlineStr">
        <is>
          <t>ÖSTHAMMAR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34189-2024</t>
        </is>
      </c>
      <c r="B1190" s="1" t="n">
        <v>45524</v>
      </c>
      <c r="C1190" s="1" t="n">
        <v>45803</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34178-2024</t>
        </is>
      </c>
      <c r="B1191" s="1" t="n">
        <v>45524</v>
      </c>
      <c r="C1191" s="1" t="n">
        <v>45803</v>
      </c>
      <c r="D1191" t="inlineStr">
        <is>
          <t>UPPSALA LÄN</t>
        </is>
      </c>
      <c r="E1191" t="inlineStr">
        <is>
          <t>ÖSTHAMMAR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34182-2024</t>
        </is>
      </c>
      <c r="B1192" s="1" t="n">
        <v>45524</v>
      </c>
      <c r="C1192" s="1" t="n">
        <v>45803</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35321-2024</t>
        </is>
      </c>
      <c r="B1193" s="1" t="n">
        <v>45530</v>
      </c>
      <c r="C1193" s="1" t="n">
        <v>45803</v>
      </c>
      <c r="D1193" t="inlineStr">
        <is>
          <t>UPPSALA LÄN</t>
        </is>
      </c>
      <c r="E1193" t="inlineStr">
        <is>
          <t>ÖSTHAMMAR</t>
        </is>
      </c>
      <c r="F1193" t="inlineStr">
        <is>
          <t>Bergvik skog öst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35319-2024</t>
        </is>
      </c>
      <c r="B1194" s="1" t="n">
        <v>45530</v>
      </c>
      <c r="C1194" s="1" t="n">
        <v>45803</v>
      </c>
      <c r="D1194" t="inlineStr">
        <is>
          <t>UPPSALA LÄN</t>
        </is>
      </c>
      <c r="E1194" t="inlineStr">
        <is>
          <t>ÖSTHAMMAR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35300-2024</t>
        </is>
      </c>
      <c r="B1195" s="1" t="n">
        <v>45530</v>
      </c>
      <c r="C1195" s="1" t="n">
        <v>45803</v>
      </c>
      <c r="D1195" t="inlineStr">
        <is>
          <t>UPPSALA LÄN</t>
        </is>
      </c>
      <c r="E1195" t="inlineStr">
        <is>
          <t>ÖSTHAMMAR</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35312-2024</t>
        </is>
      </c>
      <c r="B1196" s="1" t="n">
        <v>45530</v>
      </c>
      <c r="C1196" s="1" t="n">
        <v>45803</v>
      </c>
      <c r="D1196" t="inlineStr">
        <is>
          <t>UPPSALA LÄN</t>
        </is>
      </c>
      <c r="E1196" t="inlineStr">
        <is>
          <t>ÖSTHAMMAR</t>
        </is>
      </c>
      <c r="F1196" t="inlineStr">
        <is>
          <t>Bergvik skog öst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35316-2024</t>
        </is>
      </c>
      <c r="B1197" s="1" t="n">
        <v>45530</v>
      </c>
      <c r="C1197" s="1" t="n">
        <v>45803</v>
      </c>
      <c r="D1197" t="inlineStr">
        <is>
          <t>UPPSALA LÄN</t>
        </is>
      </c>
      <c r="E1197" t="inlineStr">
        <is>
          <t>ÖSTHAMMAR</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35177-2024</t>
        </is>
      </c>
      <c r="B1198" s="1" t="n">
        <v>45530</v>
      </c>
      <c r="C1198" s="1" t="n">
        <v>45803</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35306-2024</t>
        </is>
      </c>
      <c r="B1199" s="1" t="n">
        <v>45530</v>
      </c>
      <c r="C1199" s="1" t="n">
        <v>45803</v>
      </c>
      <c r="D1199" t="inlineStr">
        <is>
          <t>UPPSALA LÄN</t>
        </is>
      </c>
      <c r="E1199" t="inlineStr">
        <is>
          <t>ÖSTHAMMAR</t>
        </is>
      </c>
      <c r="F1199" t="inlineStr">
        <is>
          <t>Bergvik skog öst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35810-2024</t>
        </is>
      </c>
      <c r="B1200" s="1" t="n">
        <v>45532</v>
      </c>
      <c r="C1200" s="1" t="n">
        <v>45803</v>
      </c>
      <c r="D1200" t="inlineStr">
        <is>
          <t>UPPSALA LÄN</t>
        </is>
      </c>
      <c r="E1200" t="inlineStr">
        <is>
          <t>ÖSTHAMMAR</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35929-2024</t>
        </is>
      </c>
      <c r="B1201" s="1" t="n">
        <v>45533</v>
      </c>
      <c r="C1201" s="1" t="n">
        <v>45803</v>
      </c>
      <c r="D1201" t="inlineStr">
        <is>
          <t>UPPSALA LÄN</t>
        </is>
      </c>
      <c r="E1201" t="inlineStr">
        <is>
          <t>ÖSTHAMMAR</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35936-2024</t>
        </is>
      </c>
      <c r="B1202" s="1" t="n">
        <v>45533</v>
      </c>
      <c r="C1202" s="1" t="n">
        <v>45803</v>
      </c>
      <c r="D1202" t="inlineStr">
        <is>
          <t>UPPSALA LÄN</t>
        </is>
      </c>
      <c r="E1202" t="inlineStr">
        <is>
          <t>ÖSTHAMMAR</t>
        </is>
      </c>
      <c r="F1202" t="inlineStr">
        <is>
          <t>Övriga Aktiebolag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35933-2024</t>
        </is>
      </c>
      <c r="B1203" s="1" t="n">
        <v>45533</v>
      </c>
      <c r="C1203" s="1" t="n">
        <v>45803</v>
      </c>
      <c r="D1203" t="inlineStr">
        <is>
          <t>UPPSALA LÄN</t>
        </is>
      </c>
      <c r="E1203" t="inlineStr">
        <is>
          <t>ÖSTHAMMAR</t>
        </is>
      </c>
      <c r="F1203" t="inlineStr">
        <is>
          <t>Övriga Aktiebolag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36171-2024</t>
        </is>
      </c>
      <c r="B1204" s="1" t="n">
        <v>45534</v>
      </c>
      <c r="C1204" s="1" t="n">
        <v>45803</v>
      </c>
      <c r="D1204" t="inlineStr">
        <is>
          <t>UPPSALA LÄN</t>
        </is>
      </c>
      <c r="E1204" t="inlineStr">
        <is>
          <t>ÖSTHAMMAR</t>
        </is>
      </c>
      <c r="F1204" t="inlineStr">
        <is>
          <t>Kyrkan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36866-2024</t>
        </is>
      </c>
      <c r="B1205" s="1" t="n">
        <v>45538</v>
      </c>
      <c r="C1205" s="1" t="n">
        <v>45803</v>
      </c>
      <c r="D1205" t="inlineStr">
        <is>
          <t>UPPSALA LÄN</t>
        </is>
      </c>
      <c r="E1205" t="inlineStr">
        <is>
          <t>ÖSTHAMMAR</t>
        </is>
      </c>
      <c r="F1205" t="inlineStr">
        <is>
          <t>Bergvik skog öst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36847-2024</t>
        </is>
      </c>
      <c r="B1206" s="1" t="n">
        <v>45538</v>
      </c>
      <c r="C1206" s="1" t="n">
        <v>45803</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36869-2024</t>
        </is>
      </c>
      <c r="B1207" s="1" t="n">
        <v>45538</v>
      </c>
      <c r="C1207" s="1" t="n">
        <v>45803</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36863-2024</t>
        </is>
      </c>
      <c r="B1208" s="1" t="n">
        <v>45538</v>
      </c>
      <c r="C1208" s="1" t="n">
        <v>45803</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36897-2024</t>
        </is>
      </c>
      <c r="B1209" s="1" t="n">
        <v>45538</v>
      </c>
      <c r="C1209" s="1" t="n">
        <v>45803</v>
      </c>
      <c r="D1209" t="inlineStr">
        <is>
          <t>UPPSALA LÄN</t>
        </is>
      </c>
      <c r="E1209" t="inlineStr">
        <is>
          <t>ÖSTHAMMAR</t>
        </is>
      </c>
      <c r="F1209" t="inlineStr">
        <is>
          <t>Bergvik skog öst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36846-2024</t>
        </is>
      </c>
      <c r="B1210" s="1" t="n">
        <v>45538</v>
      </c>
      <c r="C1210" s="1" t="n">
        <v>45803</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36868-2024</t>
        </is>
      </c>
      <c r="B1211" s="1" t="n">
        <v>45538</v>
      </c>
      <c r="C1211" s="1" t="n">
        <v>45803</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36898-2024</t>
        </is>
      </c>
      <c r="B1212" s="1" t="n">
        <v>45538</v>
      </c>
      <c r="C1212" s="1" t="n">
        <v>45803</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36951-2024</t>
        </is>
      </c>
      <c r="B1213" s="1" t="n">
        <v>45538</v>
      </c>
      <c r="C1213" s="1" t="n">
        <v>45803</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36950-2024</t>
        </is>
      </c>
      <c r="B1214" s="1" t="n">
        <v>45538</v>
      </c>
      <c r="C1214" s="1" t="n">
        <v>45803</v>
      </c>
      <c r="D1214" t="inlineStr">
        <is>
          <t>UPPSALA LÄN</t>
        </is>
      </c>
      <c r="E1214" t="inlineStr">
        <is>
          <t>ÖSTHAMMAR</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36954-2024</t>
        </is>
      </c>
      <c r="B1215" s="1" t="n">
        <v>45538</v>
      </c>
      <c r="C1215" s="1" t="n">
        <v>45803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36940-2024</t>
        </is>
      </c>
      <c r="B1216" s="1" t="n">
        <v>45538</v>
      </c>
      <c r="C1216" s="1" t="n">
        <v>45803</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36948-2024</t>
        </is>
      </c>
      <c r="B1217" s="1" t="n">
        <v>45538</v>
      </c>
      <c r="C1217" s="1" t="n">
        <v>45803</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36952-2024</t>
        </is>
      </c>
      <c r="B1218" s="1" t="n">
        <v>45538</v>
      </c>
      <c r="C1218" s="1" t="n">
        <v>45803</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36956-2024</t>
        </is>
      </c>
      <c r="B1219" s="1" t="n">
        <v>45538</v>
      </c>
      <c r="C1219" s="1" t="n">
        <v>45803</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36937-2024</t>
        </is>
      </c>
      <c r="B1220" s="1" t="n">
        <v>45538</v>
      </c>
      <c r="C1220" s="1" t="n">
        <v>45803</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36953-2024</t>
        </is>
      </c>
      <c r="B1221" s="1" t="n">
        <v>45538</v>
      </c>
      <c r="C1221" s="1" t="n">
        <v>45803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36958-2024</t>
        </is>
      </c>
      <c r="B1222" s="1" t="n">
        <v>45538</v>
      </c>
      <c r="C1222" s="1" t="n">
        <v>45803</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37995-2024</t>
        </is>
      </c>
      <c r="B1223" s="1" t="n">
        <v>45544</v>
      </c>
      <c r="C1223" s="1" t="n">
        <v>45803</v>
      </c>
      <c r="D1223" t="inlineStr">
        <is>
          <t>UPPSALA LÄN</t>
        </is>
      </c>
      <c r="E1223" t="inlineStr">
        <is>
          <t>ÖSTHAMMAR</t>
        </is>
      </c>
      <c r="F1223" t="inlineStr">
        <is>
          <t>Naturvårdsverket</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45803</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38233-2024</t>
        </is>
      </c>
      <c r="B1225" s="1" t="n">
        <v>45545</v>
      </c>
      <c r="C1225" s="1" t="n">
        <v>45803</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38572-2024</t>
        </is>
      </c>
      <c r="B1226" s="1" t="n">
        <v>45546</v>
      </c>
      <c r="C1226" s="1" t="n">
        <v>45803</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38575-2024</t>
        </is>
      </c>
      <c r="B1227" s="1" t="n">
        <v>45546</v>
      </c>
      <c r="C1227" s="1" t="n">
        <v>45803</v>
      </c>
      <c r="D1227" t="inlineStr">
        <is>
          <t>UPPSALA LÄN</t>
        </is>
      </c>
      <c r="E1227" t="inlineStr">
        <is>
          <t>ÖSTHAMMAR</t>
        </is>
      </c>
      <c r="F1227" t="inlineStr">
        <is>
          <t>Bergvik skog öst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39341-2024</t>
        </is>
      </c>
      <c r="B1228" s="1" t="n">
        <v>45551</v>
      </c>
      <c r="C1228" s="1" t="n">
        <v>45803</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39357-2024</t>
        </is>
      </c>
      <c r="B1229" s="1" t="n">
        <v>45551</v>
      </c>
      <c r="C1229" s="1" t="n">
        <v>45803</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39491-2024</t>
        </is>
      </c>
      <c r="B1230" s="1" t="n">
        <v>45551</v>
      </c>
      <c r="C1230" s="1" t="n">
        <v>45803</v>
      </c>
      <c r="D1230" t="inlineStr">
        <is>
          <t>UPPSALA LÄN</t>
        </is>
      </c>
      <c r="E1230" t="inlineStr">
        <is>
          <t>ÖSTHAMMAR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39490-2024</t>
        </is>
      </c>
      <c r="B1231" s="1" t="n">
        <v>45551</v>
      </c>
      <c r="C1231" s="1" t="n">
        <v>45803</v>
      </c>
      <c r="D1231" t="inlineStr">
        <is>
          <t>UPPSALA LÄN</t>
        </is>
      </c>
      <c r="E1231" t="inlineStr">
        <is>
          <t>ÖSTHAMMAR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39633-2024</t>
        </is>
      </c>
      <c r="B1232" s="1" t="n">
        <v>45552</v>
      </c>
      <c r="C1232" s="1" t="n">
        <v>45803</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39759-2024</t>
        </is>
      </c>
      <c r="B1233" s="1" t="n">
        <v>45552</v>
      </c>
      <c r="C1233" s="1" t="n">
        <v>45803</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39632-2024</t>
        </is>
      </c>
      <c r="B1234" s="1" t="n">
        <v>45552</v>
      </c>
      <c r="C1234" s="1" t="n">
        <v>45803</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39758-2024</t>
        </is>
      </c>
      <c r="B1235" s="1" t="n">
        <v>45552</v>
      </c>
      <c r="C1235" s="1" t="n">
        <v>45803</v>
      </c>
      <c r="D1235" t="inlineStr">
        <is>
          <t>UPPSALA LÄN</t>
        </is>
      </c>
      <c r="E1235" t="inlineStr">
        <is>
          <t>ÖSTHAMMAR</t>
        </is>
      </c>
      <c r="F1235" t="inlineStr">
        <is>
          <t>Bergvik skog öst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40434-2024</t>
        </is>
      </c>
      <c r="B1236" s="1" t="n">
        <v>45555</v>
      </c>
      <c r="C1236" s="1" t="n">
        <v>45803</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40454-2024</t>
        </is>
      </c>
      <c r="B1237" s="1" t="n">
        <v>45555</v>
      </c>
      <c r="C1237" s="1" t="n">
        <v>45803</v>
      </c>
      <c r="D1237" t="inlineStr">
        <is>
          <t>UPPSALA LÄN</t>
        </is>
      </c>
      <c r="E1237" t="inlineStr">
        <is>
          <t>ÖSTHAMMAR</t>
        </is>
      </c>
      <c r="F1237" t="inlineStr">
        <is>
          <t>Bergvik skog öst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41341-2024</t>
        </is>
      </c>
      <c r="B1238" s="1" t="n">
        <v>45559</v>
      </c>
      <c r="C1238" s="1" t="n">
        <v>45803</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41478-2024</t>
        </is>
      </c>
      <c r="B1239" s="1" t="n">
        <v>45560</v>
      </c>
      <c r="C1239" s="1" t="n">
        <v>45803</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41998-2024</t>
        </is>
      </c>
      <c r="B1240" s="1" t="n">
        <v>45561</v>
      </c>
      <c r="C1240" s="1" t="n">
        <v>45803</v>
      </c>
      <c r="D1240" t="inlineStr">
        <is>
          <t>UPPSALA LÄN</t>
        </is>
      </c>
      <c r="E1240" t="inlineStr">
        <is>
          <t>ÖSTHAMMAR</t>
        </is>
      </c>
      <c r="F1240" t="inlineStr">
        <is>
          <t>Bergvik skog öst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41996-2024</t>
        </is>
      </c>
      <c r="B1241" s="1" t="n">
        <v>45561</v>
      </c>
      <c r="C1241" s="1" t="n">
        <v>45803</v>
      </c>
      <c r="D1241" t="inlineStr">
        <is>
          <t>UPPSALA LÄN</t>
        </is>
      </c>
      <c r="E1241" t="inlineStr">
        <is>
          <t>ÖSTHAMMAR</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42225-2024</t>
        </is>
      </c>
      <c r="B1242" s="1" t="n">
        <v>45562</v>
      </c>
      <c r="C1242" s="1" t="n">
        <v>45803</v>
      </c>
      <c r="D1242" t="inlineStr">
        <is>
          <t>UPPSALA LÄN</t>
        </is>
      </c>
      <c r="E1242" t="inlineStr">
        <is>
          <t>ÖSTHAMMAR</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42296-2024</t>
        </is>
      </c>
      <c r="B1243" s="1" t="n">
        <v>45562</v>
      </c>
      <c r="C1243" s="1" t="n">
        <v>45803</v>
      </c>
      <c r="D1243" t="inlineStr">
        <is>
          <t>UPPSALA LÄN</t>
        </is>
      </c>
      <c r="E1243" t="inlineStr">
        <is>
          <t>ÖSTHAMMAR</t>
        </is>
      </c>
      <c r="F1243" t="inlineStr">
        <is>
          <t>Bergvik skog öst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42262-2024</t>
        </is>
      </c>
      <c r="B1244" s="1" t="n">
        <v>45562</v>
      </c>
      <c r="C1244" s="1" t="n">
        <v>45803</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42142-2024</t>
        </is>
      </c>
      <c r="B1245" s="1" t="n">
        <v>45562</v>
      </c>
      <c r="C1245" s="1" t="n">
        <v>45803</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42159-2024</t>
        </is>
      </c>
      <c r="B1246" s="1" t="n">
        <v>45562</v>
      </c>
      <c r="C1246" s="1" t="n">
        <v>45803</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43197-2024</t>
        </is>
      </c>
      <c r="B1247" s="1" t="n">
        <v>45567</v>
      </c>
      <c r="C1247" s="1" t="n">
        <v>45803</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43439-2024</t>
        </is>
      </c>
      <c r="B1248" s="1" t="n">
        <v>45568</v>
      </c>
      <c r="C1248" s="1" t="n">
        <v>45803</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43655-2024</t>
        </is>
      </c>
      <c r="B1249" s="1" t="n">
        <v>45569</v>
      </c>
      <c r="C1249" s="1" t="n">
        <v>45803</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43676-2024</t>
        </is>
      </c>
      <c r="B1250" s="1" t="n">
        <v>45569</v>
      </c>
      <c r="C1250" s="1" t="n">
        <v>45803</v>
      </c>
      <c r="D1250" t="inlineStr">
        <is>
          <t>UPPSALA LÄN</t>
        </is>
      </c>
      <c r="E1250" t="inlineStr">
        <is>
          <t>ÖSTHAMMAR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45803</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43679-2024</t>
        </is>
      </c>
      <c r="B1252" s="1" t="n">
        <v>45569</v>
      </c>
      <c r="C1252" s="1" t="n">
        <v>45803</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43666-2024</t>
        </is>
      </c>
      <c r="B1253" s="1" t="n">
        <v>45569</v>
      </c>
      <c r="C1253" s="1" t="n">
        <v>45803</v>
      </c>
      <c r="D1253" t="inlineStr">
        <is>
          <t>UPPSALA LÄN</t>
        </is>
      </c>
      <c r="E1253" t="inlineStr">
        <is>
          <t>ÖSTHAMMAR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43683-2024</t>
        </is>
      </c>
      <c r="B1254" s="1" t="n">
        <v>45569</v>
      </c>
      <c r="C1254" s="1" t="n">
        <v>45803</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44027-2024</t>
        </is>
      </c>
      <c r="B1255" s="1" t="n">
        <v>45572</v>
      </c>
      <c r="C1255" s="1" t="n">
        <v>45803</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44031-2024</t>
        </is>
      </c>
      <c r="B1256" s="1" t="n">
        <v>45572</v>
      </c>
      <c r="C1256" s="1" t="n">
        <v>45803</v>
      </c>
      <c r="D1256" t="inlineStr">
        <is>
          <t>UPPSALA LÄN</t>
        </is>
      </c>
      <c r="E1256" t="inlineStr">
        <is>
          <t>ÖSTHAMMAR</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44020-2024</t>
        </is>
      </c>
      <c r="B1257" s="1" t="n">
        <v>45572</v>
      </c>
      <c r="C1257" s="1" t="n">
        <v>45803</v>
      </c>
      <c r="D1257" t="inlineStr">
        <is>
          <t>UPPSALA LÄN</t>
        </is>
      </c>
      <c r="E1257" t="inlineStr">
        <is>
          <t>ÖSTHAMMAR</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43993-2024</t>
        </is>
      </c>
      <c r="B1258" s="1" t="n">
        <v>45572</v>
      </c>
      <c r="C1258" s="1" t="n">
        <v>45803</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44184-2024</t>
        </is>
      </c>
      <c r="B1259" s="1" t="n">
        <v>45572</v>
      </c>
      <c r="C1259" s="1" t="n">
        <v>45803</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44124-2024</t>
        </is>
      </c>
      <c r="B1260" s="1" t="n">
        <v>45572</v>
      </c>
      <c r="C1260" s="1" t="n">
        <v>45803</v>
      </c>
      <c r="D1260" t="inlineStr">
        <is>
          <t>UPPSALA LÄN</t>
        </is>
      </c>
      <c r="E1260" t="inlineStr">
        <is>
          <t>ÖSTHAMMAR</t>
        </is>
      </c>
      <c r="F1260" t="inlineStr">
        <is>
          <t>Bergvik skog öst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44152-2024</t>
        </is>
      </c>
      <c r="B1261" s="1" t="n">
        <v>45572</v>
      </c>
      <c r="C1261" s="1" t="n">
        <v>45803</v>
      </c>
      <c r="D1261" t="inlineStr">
        <is>
          <t>UPPSALA LÄN</t>
        </is>
      </c>
      <c r="E1261" t="inlineStr">
        <is>
          <t>ÖSTHAMMAR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44807-2024</t>
        </is>
      </c>
      <c r="B1262" s="1" t="n">
        <v>45574</v>
      </c>
      <c r="C1262" s="1" t="n">
        <v>45803</v>
      </c>
      <c r="D1262" t="inlineStr">
        <is>
          <t>UPPSALA LÄN</t>
        </is>
      </c>
      <c r="E1262" t="inlineStr">
        <is>
          <t>ÖSTHAMMAR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44823-2024</t>
        </is>
      </c>
      <c r="B1263" s="1" t="n">
        <v>45574</v>
      </c>
      <c r="C1263" s="1" t="n">
        <v>45803</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44832-2024</t>
        </is>
      </c>
      <c r="B1264" s="1" t="n">
        <v>45574</v>
      </c>
      <c r="C1264" s="1" t="n">
        <v>45803</v>
      </c>
      <c r="D1264" t="inlineStr">
        <is>
          <t>UPPSALA LÄN</t>
        </is>
      </c>
      <c r="E1264" t="inlineStr">
        <is>
          <t>ÖSTHAMMAR</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44796-2024</t>
        </is>
      </c>
      <c r="B1265" s="1" t="n">
        <v>45574</v>
      </c>
      <c r="C1265" s="1" t="n">
        <v>45803</v>
      </c>
      <c r="D1265" t="inlineStr">
        <is>
          <t>UPPSALA LÄN</t>
        </is>
      </c>
      <c r="E1265" t="inlineStr">
        <is>
          <t>ÖSTHAMMAR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45102-2024</t>
        </is>
      </c>
      <c r="B1266" s="1" t="n">
        <v>45575</v>
      </c>
      <c r="C1266" s="1" t="n">
        <v>45803</v>
      </c>
      <c r="D1266" t="inlineStr">
        <is>
          <t>UPPSALA LÄN</t>
        </is>
      </c>
      <c r="E1266" t="inlineStr">
        <is>
          <t>ÖSTHAMMAR</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45228-2024</t>
        </is>
      </c>
      <c r="B1267" s="1" t="n">
        <v>45575</v>
      </c>
      <c r="C1267" s="1" t="n">
        <v>45803</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46488-2024</t>
        </is>
      </c>
      <c r="B1268" s="1" t="n">
        <v>45582</v>
      </c>
      <c r="C1268" s="1" t="n">
        <v>45803</v>
      </c>
      <c r="D1268" t="inlineStr">
        <is>
          <t>UPPSALA LÄN</t>
        </is>
      </c>
      <c r="E1268" t="inlineStr">
        <is>
          <t>ÖSTHAMMAR</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46496-2024</t>
        </is>
      </c>
      <c r="B1269" s="1" t="n">
        <v>45582</v>
      </c>
      <c r="C1269" s="1" t="n">
        <v>45803</v>
      </c>
      <c r="D1269" t="inlineStr">
        <is>
          <t>UPPSALA LÄN</t>
        </is>
      </c>
      <c r="E1269" t="inlineStr">
        <is>
          <t>ÖSTHAMMAR</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46500-2024</t>
        </is>
      </c>
      <c r="B1270" s="1" t="n">
        <v>45582</v>
      </c>
      <c r="C1270" s="1" t="n">
        <v>45803</v>
      </c>
      <c r="D1270" t="inlineStr">
        <is>
          <t>UPPSALA LÄN</t>
        </is>
      </c>
      <c r="E1270" t="inlineStr">
        <is>
          <t>ÖSTHAMMAR</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46504-2024</t>
        </is>
      </c>
      <c r="B1271" s="1" t="n">
        <v>45582</v>
      </c>
      <c r="C1271" s="1" t="n">
        <v>45803</v>
      </c>
      <c r="D1271" t="inlineStr">
        <is>
          <t>UPPSALA LÄN</t>
        </is>
      </c>
      <c r="E1271" t="inlineStr">
        <is>
          <t>ÖSTHAMMAR</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46494-2024</t>
        </is>
      </c>
      <c r="B1272" s="1" t="n">
        <v>45582</v>
      </c>
      <c r="C1272" s="1" t="n">
        <v>45803</v>
      </c>
      <c r="D1272" t="inlineStr">
        <is>
          <t>UPPSALA LÄN</t>
        </is>
      </c>
      <c r="E1272" t="inlineStr">
        <is>
          <t>ÖSTHAMMAR</t>
        </is>
      </c>
      <c r="F1272" t="inlineStr">
        <is>
          <t>Bergvik skog väst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46475-2024</t>
        </is>
      </c>
      <c r="B1273" s="1" t="n">
        <v>45582</v>
      </c>
      <c r="C1273" s="1" t="n">
        <v>45803</v>
      </c>
      <c r="D1273" t="inlineStr">
        <is>
          <t>UPPSALA LÄN</t>
        </is>
      </c>
      <c r="E1273" t="inlineStr">
        <is>
          <t>ÖSTHAMMAR</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46491-2024</t>
        </is>
      </c>
      <c r="B1274" s="1" t="n">
        <v>45582</v>
      </c>
      <c r="C1274" s="1" t="n">
        <v>45803</v>
      </c>
      <c r="D1274" t="inlineStr">
        <is>
          <t>UPPSALA LÄN</t>
        </is>
      </c>
      <c r="E1274" t="inlineStr">
        <is>
          <t>ÖSTHAMMAR</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46624-2024</t>
        </is>
      </c>
      <c r="B1275" s="1" t="n">
        <v>45583</v>
      </c>
      <c r="C1275" s="1" t="n">
        <v>45803</v>
      </c>
      <c r="D1275" t="inlineStr">
        <is>
          <t>UPPSALA LÄN</t>
        </is>
      </c>
      <c r="E1275" t="inlineStr">
        <is>
          <t>ÖSTHAMMAR</t>
        </is>
      </c>
      <c r="F1275" t="inlineStr">
        <is>
          <t>Bergvik skog öst AB</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46818-2024</t>
        </is>
      </c>
      <c r="B1276" s="1" t="n">
        <v>45583</v>
      </c>
      <c r="C1276" s="1" t="n">
        <v>45803</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46810-2024</t>
        </is>
      </c>
      <c r="B1277" s="1" t="n">
        <v>45583</v>
      </c>
      <c r="C1277" s="1" t="n">
        <v>45803</v>
      </c>
      <c r="D1277" t="inlineStr">
        <is>
          <t>UPPSALA LÄN</t>
        </is>
      </c>
      <c r="E1277" t="inlineStr">
        <is>
          <t>ÖSTHAMMAR</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46631-2024</t>
        </is>
      </c>
      <c r="B1278" s="1" t="n">
        <v>45583</v>
      </c>
      <c r="C1278" s="1" t="n">
        <v>45803</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46811-2024</t>
        </is>
      </c>
      <c r="B1279" s="1" t="n">
        <v>45583</v>
      </c>
      <c r="C1279" s="1" t="n">
        <v>45803</v>
      </c>
      <c r="D1279" t="inlineStr">
        <is>
          <t>UPPSALA LÄN</t>
        </is>
      </c>
      <c r="E1279" t="inlineStr">
        <is>
          <t>ÖSTHAMMAR</t>
        </is>
      </c>
      <c r="F1279" t="inlineStr">
        <is>
          <t>Bergvik skog öst AB</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46645-2024</t>
        </is>
      </c>
      <c r="B1280" s="1" t="n">
        <v>45583</v>
      </c>
      <c r="C1280" s="1" t="n">
        <v>45803</v>
      </c>
      <c r="D1280" t="inlineStr">
        <is>
          <t>UPPSALA LÄN</t>
        </is>
      </c>
      <c r="E1280" t="inlineStr">
        <is>
          <t>ÖSTHAMMAR</t>
        </is>
      </c>
      <c r="F1280" t="inlineStr">
        <is>
          <t>Bergvik skog öst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47382-2024</t>
        </is>
      </c>
      <c r="B1281" s="1" t="n">
        <v>45587</v>
      </c>
      <c r="C1281" s="1" t="n">
        <v>45803</v>
      </c>
      <c r="D1281" t="inlineStr">
        <is>
          <t>UPPSALA LÄN</t>
        </is>
      </c>
      <c r="E1281" t="inlineStr">
        <is>
          <t>ÖSTHAMMAR</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48083-2024</t>
        </is>
      </c>
      <c r="B1282" s="1" t="n">
        <v>45589</v>
      </c>
      <c r="C1282" s="1" t="n">
        <v>45803</v>
      </c>
      <c r="D1282" t="inlineStr">
        <is>
          <t>UPPSALA LÄN</t>
        </is>
      </c>
      <c r="E1282" t="inlineStr">
        <is>
          <t>ÖSTHAMMAR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48759-2024</t>
        </is>
      </c>
      <c r="B1283" s="1" t="n">
        <v>45593</v>
      </c>
      <c r="C1283" s="1" t="n">
        <v>45803</v>
      </c>
      <c r="D1283" t="inlineStr">
        <is>
          <t>UPPSALA LÄN</t>
        </is>
      </c>
      <c r="E1283" t="inlineStr">
        <is>
          <t>ÖSTHAMMAR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48856-2024</t>
        </is>
      </c>
      <c r="B1284" s="1" t="n">
        <v>45593</v>
      </c>
      <c r="C1284" s="1" t="n">
        <v>45803</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49796-2024</t>
        </is>
      </c>
      <c r="B1285" s="1" t="n">
        <v>45597</v>
      </c>
      <c r="C1285" s="1" t="n">
        <v>45803</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50459-2024</t>
        </is>
      </c>
      <c r="B1286" s="1" t="n">
        <v>45601</v>
      </c>
      <c r="C1286" s="1" t="n">
        <v>45803</v>
      </c>
      <c r="D1286" t="inlineStr">
        <is>
          <t>UPPSALA LÄN</t>
        </is>
      </c>
      <c r="E1286" t="inlineStr">
        <is>
          <t>ÖSTHAMMAR</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50849-2024</t>
        </is>
      </c>
      <c r="B1287" s="1" t="n">
        <v>45602</v>
      </c>
      <c r="C1287" s="1" t="n">
        <v>45803</v>
      </c>
      <c r="D1287" t="inlineStr">
        <is>
          <t>UPPSALA LÄN</t>
        </is>
      </c>
      <c r="E1287" t="inlineStr">
        <is>
          <t>ÖSTHAMMAR</t>
        </is>
      </c>
      <c r="F1287" t="inlineStr">
        <is>
          <t>Övriga Aktiebolag</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50875-2024</t>
        </is>
      </c>
      <c r="B1288" s="1" t="n">
        <v>45602</v>
      </c>
      <c r="C1288" s="1" t="n">
        <v>45803</v>
      </c>
      <c r="D1288" t="inlineStr">
        <is>
          <t>UPPSALA LÄN</t>
        </is>
      </c>
      <c r="E1288" t="inlineStr">
        <is>
          <t>ÖSTHAMMAR</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50927-2024</t>
        </is>
      </c>
      <c r="B1289" s="1" t="n">
        <v>45602</v>
      </c>
      <c r="C1289" s="1" t="n">
        <v>45803</v>
      </c>
      <c r="D1289" t="inlineStr">
        <is>
          <t>UPPSALA LÄN</t>
        </is>
      </c>
      <c r="E1289" t="inlineStr">
        <is>
          <t>ÖSTHAMMAR</t>
        </is>
      </c>
      <c r="F1289" t="inlineStr">
        <is>
          <t>Bergvik skog öst AB</t>
        </is>
      </c>
      <c r="G1289" t="n">
        <v>45.4</v>
      </c>
      <c r="H1289" t="n">
        <v>0</v>
      </c>
      <c r="I1289" t="n">
        <v>0</v>
      </c>
      <c r="J1289" t="n">
        <v>0</v>
      </c>
      <c r="K1289" t="n">
        <v>0</v>
      </c>
      <c r="L1289" t="n">
        <v>0</v>
      </c>
      <c r="M1289" t="n">
        <v>0</v>
      </c>
      <c r="N1289" t="n">
        <v>0</v>
      </c>
      <c r="O1289" t="n">
        <v>0</v>
      </c>
      <c r="P1289" t="n">
        <v>0</v>
      </c>
      <c r="Q1289" t="n">
        <v>0</v>
      </c>
      <c r="R1289" s="2" t="inlineStr"/>
    </row>
    <row r="1290" ht="15" customHeight="1">
      <c r="A1290" t="inlineStr">
        <is>
          <t>A 50924-2024</t>
        </is>
      </c>
      <c r="B1290" s="1" t="n">
        <v>45602</v>
      </c>
      <c r="C1290" s="1" t="n">
        <v>45803</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50844-2024</t>
        </is>
      </c>
      <c r="B1291" s="1" t="n">
        <v>45602</v>
      </c>
      <c r="C1291" s="1" t="n">
        <v>45803</v>
      </c>
      <c r="D1291" t="inlineStr">
        <is>
          <t>UPPSALA LÄN</t>
        </is>
      </c>
      <c r="E1291" t="inlineStr">
        <is>
          <t>ÖSTHAMMAR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50853-2024</t>
        </is>
      </c>
      <c r="B1292" s="1" t="n">
        <v>45602</v>
      </c>
      <c r="C1292" s="1" t="n">
        <v>45803</v>
      </c>
      <c r="D1292" t="inlineStr">
        <is>
          <t>UPPSALA LÄN</t>
        </is>
      </c>
      <c r="E1292" t="inlineStr">
        <is>
          <t>ÖSTHAMMAR</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52306-2024</t>
        </is>
      </c>
      <c r="B1293" s="1" t="n">
        <v>45608</v>
      </c>
      <c r="C1293" s="1" t="n">
        <v>45803</v>
      </c>
      <c r="D1293" t="inlineStr">
        <is>
          <t>UPPSALA LÄN</t>
        </is>
      </c>
      <c r="E1293" t="inlineStr">
        <is>
          <t>ÖSTHAMMAR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52440-2024</t>
        </is>
      </c>
      <c r="B1294" s="1" t="n">
        <v>45609</v>
      </c>
      <c r="C1294" s="1" t="n">
        <v>45803</v>
      </c>
      <c r="D1294" t="inlineStr">
        <is>
          <t>UPPSALA LÄN</t>
        </is>
      </c>
      <c r="E1294" t="inlineStr">
        <is>
          <t>ÖSTHAMMAR</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52468-2024</t>
        </is>
      </c>
      <c r="B1295" s="1" t="n">
        <v>45609</v>
      </c>
      <c r="C1295" s="1" t="n">
        <v>45803</v>
      </c>
      <c r="D1295" t="inlineStr">
        <is>
          <t>UPPSALA LÄN</t>
        </is>
      </c>
      <c r="E1295" t="inlineStr">
        <is>
          <t>ÖSTHAMMAR</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52469-2024</t>
        </is>
      </c>
      <c r="B1296" s="1" t="n">
        <v>45609</v>
      </c>
      <c r="C1296" s="1" t="n">
        <v>45803</v>
      </c>
      <c r="D1296" t="inlineStr">
        <is>
          <t>UPPSALA LÄN</t>
        </is>
      </c>
      <c r="E1296" t="inlineStr">
        <is>
          <t>ÖSTHAMMAR</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52485-2024</t>
        </is>
      </c>
      <c r="B1297" s="1" t="n">
        <v>45609</v>
      </c>
      <c r="C1297" s="1" t="n">
        <v>45803</v>
      </c>
      <c r="D1297" t="inlineStr">
        <is>
          <t>UPPSALA LÄN</t>
        </is>
      </c>
      <c r="E1297" t="inlineStr">
        <is>
          <t>ÖSTHAMMAR</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52470-2024</t>
        </is>
      </c>
      <c r="B1298" s="1" t="n">
        <v>45609</v>
      </c>
      <c r="C1298" s="1" t="n">
        <v>45803</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52478-2024</t>
        </is>
      </c>
      <c r="B1299" s="1" t="n">
        <v>45609</v>
      </c>
      <c r="C1299" s="1" t="n">
        <v>45803</v>
      </c>
      <c r="D1299" t="inlineStr">
        <is>
          <t>UPPSALA LÄN</t>
        </is>
      </c>
      <c r="E1299" t="inlineStr">
        <is>
          <t>ÖSTHAMMAR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52534-2024</t>
        </is>
      </c>
      <c r="B1300" s="1" t="n">
        <v>45609</v>
      </c>
      <c r="C1300" s="1" t="n">
        <v>45803</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52890-2024</t>
        </is>
      </c>
      <c r="B1301" s="1" t="n">
        <v>45610</v>
      </c>
      <c r="C1301" s="1" t="n">
        <v>45803</v>
      </c>
      <c r="D1301" t="inlineStr">
        <is>
          <t>UPPSALA LÄN</t>
        </is>
      </c>
      <c r="E1301" t="inlineStr">
        <is>
          <t>ÖSTHAMMAR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53095-2024</t>
        </is>
      </c>
      <c r="B1302" s="1" t="n">
        <v>45611</v>
      </c>
      <c r="C1302" s="1" t="n">
        <v>45803</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53913-2024</t>
        </is>
      </c>
      <c r="B1303" s="1" t="n">
        <v>45615</v>
      </c>
      <c r="C1303" s="1" t="n">
        <v>45803</v>
      </c>
      <c r="D1303" t="inlineStr">
        <is>
          <t>UPPSALA LÄN</t>
        </is>
      </c>
      <c r="E1303" t="inlineStr">
        <is>
          <t>ÖSTHAMMAR</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54397-2024</t>
        </is>
      </c>
      <c r="B1304" s="1" t="n">
        <v>45617</v>
      </c>
      <c r="C1304" s="1" t="n">
        <v>45803</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54402-2024</t>
        </is>
      </c>
      <c r="B1305" s="1" t="n">
        <v>45617</v>
      </c>
      <c r="C1305" s="1" t="n">
        <v>45803</v>
      </c>
      <c r="D1305" t="inlineStr">
        <is>
          <t>UPPSALA LÄN</t>
        </is>
      </c>
      <c r="E1305" t="inlineStr">
        <is>
          <t>ÖSTHAMMAR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54437-2024</t>
        </is>
      </c>
      <c r="B1306" s="1" t="n">
        <v>45617</v>
      </c>
      <c r="C1306" s="1" t="n">
        <v>45803</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54759-2024</t>
        </is>
      </c>
      <c r="B1307" s="1" t="n">
        <v>45618</v>
      </c>
      <c r="C1307" s="1" t="n">
        <v>45803</v>
      </c>
      <c r="D1307" t="inlineStr">
        <is>
          <t>UPPSALA LÄN</t>
        </is>
      </c>
      <c r="E1307" t="inlineStr">
        <is>
          <t>ÖSTHAMMAR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54934-2024</t>
        </is>
      </c>
      <c r="B1308" s="1" t="n">
        <v>45618</v>
      </c>
      <c r="C1308" s="1" t="n">
        <v>45803</v>
      </c>
      <c r="D1308" t="inlineStr">
        <is>
          <t>UPPSALA LÄN</t>
        </is>
      </c>
      <c r="E1308" t="inlineStr">
        <is>
          <t>ÖSTHAMMAR</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54935-2024</t>
        </is>
      </c>
      <c r="B1309" s="1" t="n">
        <v>45618</v>
      </c>
      <c r="C1309" s="1" t="n">
        <v>45803</v>
      </c>
      <c r="D1309" t="inlineStr">
        <is>
          <t>UPPSALA LÄN</t>
        </is>
      </c>
      <c r="E1309" t="inlineStr">
        <is>
          <t>ÖSTHAMMAR</t>
        </is>
      </c>
      <c r="F1309" t="inlineStr">
        <is>
          <t>Bergvik skog öst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55093-2024</t>
        </is>
      </c>
      <c r="B1310" s="1" t="n">
        <v>45621</v>
      </c>
      <c r="C1310" s="1" t="n">
        <v>45803</v>
      </c>
      <c r="D1310" t="inlineStr">
        <is>
          <t>UPPSALA LÄN</t>
        </is>
      </c>
      <c r="E1310" t="inlineStr">
        <is>
          <t>ÖSTHAMMAR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55097-2024</t>
        </is>
      </c>
      <c r="B1311" s="1" t="n">
        <v>45621</v>
      </c>
      <c r="C1311" s="1" t="n">
        <v>45803</v>
      </c>
      <c r="D1311" t="inlineStr">
        <is>
          <t>UPPSALA LÄN</t>
        </is>
      </c>
      <c r="E1311" t="inlineStr">
        <is>
          <t>ÖSTHAMMAR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55100-2024</t>
        </is>
      </c>
      <c r="B1312" s="1" t="n">
        <v>45621</v>
      </c>
      <c r="C1312" s="1" t="n">
        <v>45803</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55086-2024</t>
        </is>
      </c>
      <c r="B1313" s="1" t="n">
        <v>45621</v>
      </c>
      <c r="C1313" s="1" t="n">
        <v>45803</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55090-2024</t>
        </is>
      </c>
      <c r="B1314" s="1" t="n">
        <v>45621</v>
      </c>
      <c r="C1314" s="1" t="n">
        <v>45803</v>
      </c>
      <c r="D1314" t="inlineStr">
        <is>
          <t>UPPSALA LÄN</t>
        </is>
      </c>
      <c r="E1314" t="inlineStr">
        <is>
          <t>ÖSTHAMMAR</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55079-2024</t>
        </is>
      </c>
      <c r="B1315" s="1" t="n">
        <v>45621</v>
      </c>
      <c r="C1315" s="1" t="n">
        <v>45803</v>
      </c>
      <c r="D1315" t="inlineStr">
        <is>
          <t>UPPSALA LÄN</t>
        </is>
      </c>
      <c r="E1315" t="inlineStr">
        <is>
          <t>ÖSTHAMMAR</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56759-2024</t>
        </is>
      </c>
      <c r="B1316" s="1" t="n">
        <v>45628</v>
      </c>
      <c r="C1316" s="1" t="n">
        <v>45803</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57187-2024</t>
        </is>
      </c>
      <c r="B1317" s="1" t="n">
        <v>45629</v>
      </c>
      <c r="C1317" s="1" t="n">
        <v>45803</v>
      </c>
      <c r="D1317" t="inlineStr">
        <is>
          <t>UPPSALA LÄN</t>
        </is>
      </c>
      <c r="E1317" t="inlineStr">
        <is>
          <t>ÖSTHAMMAR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57373-2024</t>
        </is>
      </c>
      <c r="B1318" s="1" t="n">
        <v>45629</v>
      </c>
      <c r="C1318" s="1" t="n">
        <v>45803</v>
      </c>
      <c r="D1318" t="inlineStr">
        <is>
          <t>UPPSALA LÄN</t>
        </is>
      </c>
      <c r="E1318" t="inlineStr">
        <is>
          <t>ÖSTHAMMAR</t>
        </is>
      </c>
      <c r="F1318" t="inlineStr">
        <is>
          <t>Bergvik skog öst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58242-2024</t>
        </is>
      </c>
      <c r="B1319" s="1" t="n">
        <v>45632</v>
      </c>
      <c r="C1319" s="1" t="n">
        <v>45803</v>
      </c>
      <c r="D1319" t="inlineStr">
        <is>
          <t>UPPSALA LÄN</t>
        </is>
      </c>
      <c r="E1319" t="inlineStr">
        <is>
          <t>ÖSTHAMMAR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58265-2024</t>
        </is>
      </c>
      <c r="B1320" s="1" t="n">
        <v>45632</v>
      </c>
      <c r="C1320" s="1" t="n">
        <v>45803</v>
      </c>
      <c r="D1320" t="inlineStr">
        <is>
          <t>UPPSALA LÄN</t>
        </is>
      </c>
      <c r="E1320" t="inlineStr">
        <is>
          <t>ÖSTHAMMAR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v>
      </c>
      <c r="C1321" s="1" t="n">
        <v>45803</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58366-2024</t>
        </is>
      </c>
      <c r="B1322" s="1" t="n">
        <v>45632</v>
      </c>
      <c r="C1322" s="1" t="n">
        <v>45803</v>
      </c>
      <c r="D1322" t="inlineStr">
        <is>
          <t>UPPSALA LÄN</t>
        </is>
      </c>
      <c r="E1322" t="inlineStr">
        <is>
          <t>ÖSTHAMMAR</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61235-2024</t>
        </is>
      </c>
      <c r="B1323" s="1" t="n">
        <v>45645</v>
      </c>
      <c r="C1323" s="1" t="n">
        <v>45803</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61443-2024</t>
        </is>
      </c>
      <c r="B1324" s="1" t="n">
        <v>45646</v>
      </c>
      <c r="C1324" s="1" t="n">
        <v>45803</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61455-2024</t>
        </is>
      </c>
      <c r="B1325" s="1" t="n">
        <v>45646</v>
      </c>
      <c r="C1325" s="1" t="n">
        <v>45803</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61461-2024</t>
        </is>
      </c>
      <c r="B1326" s="1" t="n">
        <v>45646</v>
      </c>
      <c r="C1326" s="1" t="n">
        <v>45803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61464-2024</t>
        </is>
      </c>
      <c r="B1327" s="1" t="n">
        <v>45646</v>
      </c>
      <c r="C1327" s="1" t="n">
        <v>45803</v>
      </c>
      <c r="D1327" t="inlineStr">
        <is>
          <t>UPPSALA LÄN</t>
        </is>
      </c>
      <c r="E1327" t="inlineStr">
        <is>
          <t>ÖSTHAMMAR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61458-2024</t>
        </is>
      </c>
      <c r="B1328" s="1" t="n">
        <v>45646</v>
      </c>
      <c r="C1328" s="1" t="n">
        <v>45803</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357-2025</t>
        </is>
      </c>
      <c r="B1329" s="1" t="n">
        <v>45659</v>
      </c>
      <c r="C1329" s="1" t="n">
        <v>45803</v>
      </c>
      <c r="D1329" t="inlineStr">
        <is>
          <t>UPPSALA LÄN</t>
        </is>
      </c>
      <c r="E1329" t="inlineStr">
        <is>
          <t>ÖSTHAMMAR</t>
        </is>
      </c>
      <c r="G1329" t="n">
        <v>15.8</v>
      </c>
      <c r="H1329" t="n">
        <v>0</v>
      </c>
      <c r="I1329" t="n">
        <v>0</v>
      </c>
      <c r="J1329" t="n">
        <v>0</v>
      </c>
      <c r="K1329" t="n">
        <v>0</v>
      </c>
      <c r="L1329" t="n">
        <v>0</v>
      </c>
      <c r="M1329" t="n">
        <v>0</v>
      </c>
      <c r="N1329" t="n">
        <v>0</v>
      </c>
      <c r="O1329" t="n">
        <v>0</v>
      </c>
      <c r="P1329" t="n">
        <v>0</v>
      </c>
      <c r="Q1329" t="n">
        <v>0</v>
      </c>
      <c r="R1329" s="2" t="inlineStr"/>
    </row>
    <row r="1330" ht="15" customHeight="1">
      <c r="A1330" t="inlineStr">
        <is>
          <t>A 358-2025</t>
        </is>
      </c>
      <c r="B1330" s="1" t="n">
        <v>45659</v>
      </c>
      <c r="C1330" s="1" t="n">
        <v>45803</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835-2025</t>
        </is>
      </c>
      <c r="B1331" s="1" t="n">
        <v>45665</v>
      </c>
      <c r="C1331" s="1" t="n">
        <v>45803</v>
      </c>
      <c r="D1331" t="inlineStr">
        <is>
          <t>UPPSALA LÄN</t>
        </is>
      </c>
      <c r="E1331" t="inlineStr">
        <is>
          <t>ÖSTHAMMAR</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1063-2025</t>
        </is>
      </c>
      <c r="B1332" s="1" t="n">
        <v>45666</v>
      </c>
      <c r="C1332" s="1" t="n">
        <v>45803</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1436-2025</t>
        </is>
      </c>
      <c r="B1333" s="1" t="n">
        <v>45669</v>
      </c>
      <c r="C1333" s="1" t="n">
        <v>45803</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v>
      </c>
      <c r="C1334" s="1" t="n">
        <v>45803</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1586-2025</t>
        </is>
      </c>
      <c r="B1335" s="1" t="n">
        <v>45670</v>
      </c>
      <c r="C1335" s="1" t="n">
        <v>45803</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1525-2025</t>
        </is>
      </c>
      <c r="B1336" s="1" t="n">
        <v>45670</v>
      </c>
      <c r="C1336" s="1" t="n">
        <v>45803</v>
      </c>
      <c r="D1336" t="inlineStr">
        <is>
          <t>UPPSALA LÄN</t>
        </is>
      </c>
      <c r="E1336" t="inlineStr">
        <is>
          <t>ÖSTHAMMAR</t>
        </is>
      </c>
      <c r="F1336" t="inlineStr">
        <is>
          <t>Bergvik skog öst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1584-2025</t>
        </is>
      </c>
      <c r="B1337" s="1" t="n">
        <v>45670</v>
      </c>
      <c r="C1337" s="1" t="n">
        <v>45803</v>
      </c>
      <c r="D1337" t="inlineStr">
        <is>
          <t>UPPSALA LÄN</t>
        </is>
      </c>
      <c r="E1337" t="inlineStr">
        <is>
          <t>ÖSTHAMMAR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1575-2025</t>
        </is>
      </c>
      <c r="B1338" s="1" t="n">
        <v>45670</v>
      </c>
      <c r="C1338" s="1" t="n">
        <v>45803</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1567-2025</t>
        </is>
      </c>
      <c r="B1339" s="1" t="n">
        <v>45670</v>
      </c>
      <c r="C1339" s="1" t="n">
        <v>45803</v>
      </c>
      <c r="D1339" t="inlineStr">
        <is>
          <t>UPPSALA LÄN</t>
        </is>
      </c>
      <c r="E1339" t="inlineStr">
        <is>
          <t>ÖSTHAMMAR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1527-2025</t>
        </is>
      </c>
      <c r="B1340" s="1" t="n">
        <v>45670</v>
      </c>
      <c r="C1340" s="1" t="n">
        <v>45803</v>
      </c>
      <c r="D1340" t="inlineStr">
        <is>
          <t>UPPSALA LÄN</t>
        </is>
      </c>
      <c r="E1340" t="inlineStr">
        <is>
          <t>ÖSTHAMMAR</t>
        </is>
      </c>
      <c r="F1340" t="inlineStr">
        <is>
          <t>Bergvik skog öst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2839-2025</t>
        </is>
      </c>
      <c r="B1341" s="1" t="n">
        <v>45677</v>
      </c>
      <c r="C1341" s="1" t="n">
        <v>45803</v>
      </c>
      <c r="D1341" t="inlineStr">
        <is>
          <t>UPPSALA LÄN</t>
        </is>
      </c>
      <c r="E1341" t="inlineStr">
        <is>
          <t>ÖSTHAMMAR</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2847-2025</t>
        </is>
      </c>
      <c r="B1342" s="1" t="n">
        <v>45677</v>
      </c>
      <c r="C1342" s="1" t="n">
        <v>45803</v>
      </c>
      <c r="D1342" t="inlineStr">
        <is>
          <t>UPPSALA LÄN</t>
        </is>
      </c>
      <c r="E1342" t="inlineStr">
        <is>
          <t>ÖSTHAMMAR</t>
        </is>
      </c>
      <c r="F1342" t="inlineStr">
        <is>
          <t>Övriga Aktiebolag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2916-2025</t>
        </is>
      </c>
      <c r="B1343" s="1" t="n">
        <v>45677</v>
      </c>
      <c r="C1343" s="1" t="n">
        <v>45803</v>
      </c>
      <c r="D1343" t="inlineStr">
        <is>
          <t>UPPSALA LÄN</t>
        </is>
      </c>
      <c r="E1343" t="inlineStr">
        <is>
          <t>ÖSTHAMMAR</t>
        </is>
      </c>
      <c r="F1343" t="inlineStr">
        <is>
          <t>Allmännings- och besparingsskogar</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3119-2025</t>
        </is>
      </c>
      <c r="B1344" s="1" t="n">
        <v>45678</v>
      </c>
      <c r="C1344" s="1" t="n">
        <v>45803</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2947-2025</t>
        </is>
      </c>
      <c r="B1345" s="1" t="n">
        <v>45678</v>
      </c>
      <c r="C1345" s="1" t="n">
        <v>45803</v>
      </c>
      <c r="D1345" t="inlineStr">
        <is>
          <t>UPPSALA LÄN</t>
        </is>
      </c>
      <c r="E1345" t="inlineStr">
        <is>
          <t>ÖSTHAMMAR</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3259-2025</t>
        </is>
      </c>
      <c r="B1346" s="1" t="n">
        <v>45679</v>
      </c>
      <c r="C1346" s="1" t="n">
        <v>45803</v>
      </c>
      <c r="D1346" t="inlineStr">
        <is>
          <t>UPPSALA LÄN</t>
        </is>
      </c>
      <c r="E1346" t="inlineStr">
        <is>
          <t>ÖSTHAMMAR</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45803</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3418-2025</t>
        </is>
      </c>
      <c r="B1348" s="1" t="n">
        <v>45680</v>
      </c>
      <c r="C1348" s="1" t="n">
        <v>45803</v>
      </c>
      <c r="D1348" t="inlineStr">
        <is>
          <t>UPPSALA LÄN</t>
        </is>
      </c>
      <c r="E1348" t="inlineStr">
        <is>
          <t>ÖSTHAMMAR</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4099-2025</t>
        </is>
      </c>
      <c r="B1349" s="1" t="n">
        <v>45684</v>
      </c>
      <c r="C1349" s="1" t="n">
        <v>45803</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4096-2025</t>
        </is>
      </c>
      <c r="B1350" s="1" t="n">
        <v>45684</v>
      </c>
      <c r="C1350" s="1" t="n">
        <v>45803</v>
      </c>
      <c r="D1350" t="inlineStr">
        <is>
          <t>UPPSALA LÄN</t>
        </is>
      </c>
      <c r="E1350" t="inlineStr">
        <is>
          <t>ÖSTHAMMAR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4292-2025</t>
        </is>
      </c>
      <c r="B1351" s="1" t="n">
        <v>45685</v>
      </c>
      <c r="C1351" s="1" t="n">
        <v>45803</v>
      </c>
      <c r="D1351" t="inlineStr">
        <is>
          <t>UPPSALA LÄN</t>
        </is>
      </c>
      <c r="E1351" t="inlineStr">
        <is>
          <t>ÖSTHAMMAR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4304-2025</t>
        </is>
      </c>
      <c r="B1352" s="1" t="n">
        <v>45685</v>
      </c>
      <c r="C1352" s="1" t="n">
        <v>45803</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4356-2025</t>
        </is>
      </c>
      <c r="B1353" s="1" t="n">
        <v>45686</v>
      </c>
      <c r="C1353" s="1" t="n">
        <v>45803</v>
      </c>
      <c r="D1353" t="inlineStr">
        <is>
          <t>UPPSALA LÄN</t>
        </is>
      </c>
      <c r="E1353" t="inlineStr">
        <is>
          <t>ÖSTHAMMAR</t>
        </is>
      </c>
      <c r="F1353" t="inlineStr">
        <is>
          <t>Övriga Aktiebolag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4635-2025</t>
        </is>
      </c>
      <c r="B1354" s="1" t="n">
        <v>45687</v>
      </c>
      <c r="C1354" s="1" t="n">
        <v>45803</v>
      </c>
      <c r="D1354" t="inlineStr">
        <is>
          <t>UPPSALA LÄN</t>
        </is>
      </c>
      <c r="E1354" t="inlineStr">
        <is>
          <t>ÖSTHAMMAR</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4643-2025</t>
        </is>
      </c>
      <c r="B1355" s="1" t="n">
        <v>45687</v>
      </c>
      <c r="C1355" s="1" t="n">
        <v>45803</v>
      </c>
      <c r="D1355" t="inlineStr">
        <is>
          <t>UPPSALA LÄN</t>
        </is>
      </c>
      <c r="E1355" t="inlineStr">
        <is>
          <t>ÖSTHAMMAR</t>
        </is>
      </c>
      <c r="F1355" t="inlineStr">
        <is>
          <t>Övriga Aktiebolag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4676-2025</t>
        </is>
      </c>
      <c r="B1356" s="1" t="n">
        <v>45687</v>
      </c>
      <c r="C1356" s="1" t="n">
        <v>45803</v>
      </c>
      <c r="D1356" t="inlineStr">
        <is>
          <t>UPPSALA LÄN</t>
        </is>
      </c>
      <c r="E1356" t="inlineStr">
        <is>
          <t>ÖSTHAMMAR</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4637-2025</t>
        </is>
      </c>
      <c r="B1357" s="1" t="n">
        <v>45687</v>
      </c>
      <c r="C1357" s="1" t="n">
        <v>45803</v>
      </c>
      <c r="D1357" t="inlineStr">
        <is>
          <t>UPPSALA LÄN</t>
        </is>
      </c>
      <c r="E1357" t="inlineStr">
        <is>
          <t>ÖSTHAMMAR</t>
        </is>
      </c>
      <c r="F1357" t="inlineStr">
        <is>
          <t>Övriga Aktiebolag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4641-2025</t>
        </is>
      </c>
      <c r="B1358" s="1" t="n">
        <v>45687</v>
      </c>
      <c r="C1358" s="1" t="n">
        <v>45803</v>
      </c>
      <c r="D1358" t="inlineStr">
        <is>
          <t>UPPSALA LÄN</t>
        </is>
      </c>
      <c r="E1358" t="inlineStr">
        <is>
          <t>ÖSTHAMMAR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4701-2025</t>
        </is>
      </c>
      <c r="B1359" s="1" t="n">
        <v>45688</v>
      </c>
      <c r="C1359" s="1" t="n">
        <v>45803</v>
      </c>
      <c r="D1359" t="inlineStr">
        <is>
          <t>UPPSALA LÄN</t>
        </is>
      </c>
      <c r="E1359" t="inlineStr">
        <is>
          <t>ÖSTHAMMAR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5076-2025</t>
        </is>
      </c>
      <c r="B1360" s="1" t="n">
        <v>45691</v>
      </c>
      <c r="C1360" s="1" t="n">
        <v>45803</v>
      </c>
      <c r="D1360" t="inlineStr">
        <is>
          <t>UPPSALA LÄN</t>
        </is>
      </c>
      <c r="E1360" t="inlineStr">
        <is>
          <t>ÖSTHAMMAR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5188-2025</t>
        </is>
      </c>
      <c r="B1361" s="1" t="n">
        <v>45691</v>
      </c>
      <c r="C1361" s="1" t="n">
        <v>45803</v>
      </c>
      <c r="D1361" t="inlineStr">
        <is>
          <t>UPPSALA LÄN</t>
        </is>
      </c>
      <c r="E1361" t="inlineStr">
        <is>
          <t>ÖSTHAMMAR</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5189-2025</t>
        </is>
      </c>
      <c r="B1362" s="1" t="n">
        <v>45691</v>
      </c>
      <c r="C1362" s="1" t="n">
        <v>45803</v>
      </c>
      <c r="D1362" t="inlineStr">
        <is>
          <t>UPPSALA LÄN</t>
        </is>
      </c>
      <c r="E1362" t="inlineStr">
        <is>
          <t>ÖSTHAMMAR</t>
        </is>
      </c>
      <c r="F1362" t="inlineStr">
        <is>
          <t>Bergvik skog öst AB</t>
        </is>
      </c>
      <c r="G1362" t="n">
        <v>24.4</v>
      </c>
      <c r="H1362" t="n">
        <v>0</v>
      </c>
      <c r="I1362" t="n">
        <v>0</v>
      </c>
      <c r="J1362" t="n">
        <v>0</v>
      </c>
      <c r="K1362" t="n">
        <v>0</v>
      </c>
      <c r="L1362" t="n">
        <v>0</v>
      </c>
      <c r="M1362" t="n">
        <v>0</v>
      </c>
      <c r="N1362" t="n">
        <v>0</v>
      </c>
      <c r="O1362" t="n">
        <v>0</v>
      </c>
      <c r="P1362" t="n">
        <v>0</v>
      </c>
      <c r="Q1362" t="n">
        <v>0</v>
      </c>
      <c r="R1362" s="2" t="inlineStr"/>
    </row>
    <row r="1363" ht="15" customHeight="1">
      <c r="A1363" t="inlineStr">
        <is>
          <t>A 5215-2025</t>
        </is>
      </c>
      <c r="B1363" s="1" t="n">
        <v>45691</v>
      </c>
      <c r="C1363" s="1" t="n">
        <v>45803</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5261-2025</t>
        </is>
      </c>
      <c r="B1364" s="1" t="n">
        <v>45692</v>
      </c>
      <c r="C1364" s="1" t="n">
        <v>45803</v>
      </c>
      <c r="D1364" t="inlineStr">
        <is>
          <t>UPPSALA LÄN</t>
        </is>
      </c>
      <c r="E1364" t="inlineStr">
        <is>
          <t>ÖSTHAMMAR</t>
        </is>
      </c>
      <c r="F1364" t="inlineStr">
        <is>
          <t>Övriga Aktiebolag</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5344-2025</t>
        </is>
      </c>
      <c r="B1365" s="1" t="n">
        <v>45692</v>
      </c>
      <c r="C1365" s="1" t="n">
        <v>45803</v>
      </c>
      <c r="D1365" t="inlineStr">
        <is>
          <t>UPPSALA LÄN</t>
        </is>
      </c>
      <c r="E1365" t="inlineStr">
        <is>
          <t>ÖSTHAMMAR</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5254-2025</t>
        </is>
      </c>
      <c r="B1366" s="1" t="n">
        <v>45692</v>
      </c>
      <c r="C1366" s="1" t="n">
        <v>45803</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5303-2025</t>
        </is>
      </c>
      <c r="B1367" s="1" t="n">
        <v>45692</v>
      </c>
      <c r="C1367" s="1" t="n">
        <v>45803</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5511-2025</t>
        </is>
      </c>
      <c r="B1368" s="1" t="n">
        <v>45693</v>
      </c>
      <c r="C1368" s="1" t="n">
        <v>45803</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5957-2025</t>
        </is>
      </c>
      <c r="B1369" s="1" t="n">
        <v>45695</v>
      </c>
      <c r="C1369" s="1" t="n">
        <v>45803</v>
      </c>
      <c r="D1369" t="inlineStr">
        <is>
          <t>UPPSALA LÄN</t>
        </is>
      </c>
      <c r="E1369" t="inlineStr">
        <is>
          <t>ÖSTHAMMAR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5962-2025</t>
        </is>
      </c>
      <c r="B1370" s="1" t="n">
        <v>45695</v>
      </c>
      <c r="C1370" s="1" t="n">
        <v>45803</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6039-2025</t>
        </is>
      </c>
      <c r="B1371" s="1" t="n">
        <v>45695</v>
      </c>
      <c r="C1371" s="1" t="n">
        <v>45803</v>
      </c>
      <c r="D1371" t="inlineStr">
        <is>
          <t>UPPSALA LÄN</t>
        </is>
      </c>
      <c r="E1371" t="inlineStr">
        <is>
          <t>ÖSTHAMMAR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6046-2025</t>
        </is>
      </c>
      <c r="B1372" s="1" t="n">
        <v>45695</v>
      </c>
      <c r="C1372" s="1" t="n">
        <v>45803</v>
      </c>
      <c r="D1372" t="inlineStr">
        <is>
          <t>UPPSALA LÄN</t>
        </is>
      </c>
      <c r="E1372" t="inlineStr">
        <is>
          <t>ÖSTHAMMAR</t>
        </is>
      </c>
      <c r="G1372" t="n">
        <v>0.8</v>
      </c>
      <c r="H1372" t="n">
        <v>0</v>
      </c>
      <c r="I1372" t="n">
        <v>0</v>
      </c>
      <c r="J1372" t="n">
        <v>0</v>
      </c>
      <c r="K1372" t="n">
        <v>0</v>
      </c>
      <c r="L1372" t="n">
        <v>0</v>
      </c>
      <c r="M1372" t="n">
        <v>0</v>
      </c>
      <c r="N1372" t="n">
        <v>0</v>
      </c>
      <c r="O1372" t="n">
        <v>0</v>
      </c>
      <c r="P1372" t="n">
        <v>0</v>
      </c>
      <c r="Q1372" t="n">
        <v>0</v>
      </c>
      <c r="R1372" s="2" t="inlineStr"/>
      <c r="U1372">
        <f>HYPERLINK("https://klasma.github.io/Logging_0382/knärot/A 6046-2025 karta knärot.png", "A 6046-2025")</f>
        <v/>
      </c>
      <c r="V1372">
        <f>HYPERLINK("https://klasma.github.io/Logging_0382/klagomål/A 6046-2025 FSC-klagomål.docx", "A 6046-2025")</f>
        <v/>
      </c>
      <c r="W1372">
        <f>HYPERLINK("https://klasma.github.io/Logging_0382/klagomålsmail/A 6046-2025 FSC-klagomål mail.docx", "A 6046-2025")</f>
        <v/>
      </c>
      <c r="X1372">
        <f>HYPERLINK("https://klasma.github.io/Logging_0382/tillsyn/A 6046-2025 tillsynsbegäran.docx", "A 6046-2025")</f>
        <v/>
      </c>
      <c r="Y1372">
        <f>HYPERLINK("https://klasma.github.io/Logging_0382/tillsynsmail/A 6046-2025 tillsynsbegäran mail.docx", "A 6046-2025")</f>
        <v/>
      </c>
    </row>
    <row r="1373" ht="15" customHeight="1">
      <c r="A1373" t="inlineStr">
        <is>
          <t>A 6048-2025</t>
        </is>
      </c>
      <c r="B1373" s="1" t="n">
        <v>45695</v>
      </c>
      <c r="C1373" s="1" t="n">
        <v>45803</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6325-2025</t>
        </is>
      </c>
      <c r="B1374" s="1" t="n">
        <v>45698</v>
      </c>
      <c r="C1374" s="1" t="n">
        <v>45803</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6184-2025</t>
        </is>
      </c>
      <c r="B1375" s="1" t="n">
        <v>45698</v>
      </c>
      <c r="C1375" s="1" t="n">
        <v>45803</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6327-2025</t>
        </is>
      </c>
      <c r="B1376" s="1" t="n">
        <v>45698</v>
      </c>
      <c r="C1376" s="1" t="n">
        <v>45803</v>
      </c>
      <c r="D1376" t="inlineStr">
        <is>
          <t>UPPSALA LÄN</t>
        </is>
      </c>
      <c r="E1376" t="inlineStr">
        <is>
          <t>ÖSTHAMMAR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45803</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6360-2025</t>
        </is>
      </c>
      <c r="B1378" s="1" t="n">
        <v>45699</v>
      </c>
      <c r="C1378" s="1" t="n">
        <v>45803</v>
      </c>
      <c r="D1378" t="inlineStr">
        <is>
          <t>UPPSALA LÄN</t>
        </is>
      </c>
      <c r="E1378" t="inlineStr">
        <is>
          <t>ÖSTHAMMAR</t>
        </is>
      </c>
      <c r="F1378" t="inlineStr">
        <is>
          <t>Bergvik skog öst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6548-2025</t>
        </is>
      </c>
      <c r="B1379" s="1" t="n">
        <v>45699</v>
      </c>
      <c r="C1379" s="1" t="n">
        <v>45803</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6552-2025</t>
        </is>
      </c>
      <c r="B1380" s="1" t="n">
        <v>45699</v>
      </c>
      <c r="C1380" s="1" t="n">
        <v>45803</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6543-2025</t>
        </is>
      </c>
      <c r="B1381" s="1" t="n">
        <v>45699</v>
      </c>
      <c r="C1381" s="1" t="n">
        <v>45803</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6359-2025</t>
        </is>
      </c>
      <c r="B1382" s="1" t="n">
        <v>45699</v>
      </c>
      <c r="C1382" s="1" t="n">
        <v>45803</v>
      </c>
      <c r="D1382" t="inlineStr">
        <is>
          <t>UPPSALA LÄN</t>
        </is>
      </c>
      <c r="E1382" t="inlineStr">
        <is>
          <t>ÖSTHAMMAR</t>
        </is>
      </c>
      <c r="F1382" t="inlineStr">
        <is>
          <t>Bergvik skog öst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6343-2025</t>
        </is>
      </c>
      <c r="B1383" s="1" t="n">
        <v>45699</v>
      </c>
      <c r="C1383" s="1" t="n">
        <v>45803</v>
      </c>
      <c r="D1383" t="inlineStr">
        <is>
          <t>UPPSALA LÄN</t>
        </is>
      </c>
      <c r="E1383" t="inlineStr">
        <is>
          <t>ÖSTHAMMAR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6764-2025</t>
        </is>
      </c>
      <c r="B1384" s="1" t="n">
        <v>45700</v>
      </c>
      <c r="C1384" s="1" t="n">
        <v>45803</v>
      </c>
      <c r="D1384" t="inlineStr">
        <is>
          <t>UPPSALA LÄN</t>
        </is>
      </c>
      <c r="E1384" t="inlineStr">
        <is>
          <t>ÖSTHAMMAR</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7100-2025</t>
        </is>
      </c>
      <c r="B1385" s="1" t="n">
        <v>45701</v>
      </c>
      <c r="C1385" s="1" t="n">
        <v>45803</v>
      </c>
      <c r="D1385" t="inlineStr">
        <is>
          <t>UPPSALA LÄN</t>
        </is>
      </c>
      <c r="E1385" t="inlineStr">
        <is>
          <t>ÖSTHAMMAR</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7216-2025</t>
        </is>
      </c>
      <c r="B1386" s="1" t="n">
        <v>45702</v>
      </c>
      <c r="C1386" s="1" t="n">
        <v>45803</v>
      </c>
      <c r="D1386" t="inlineStr">
        <is>
          <t>UPPSALA LÄN</t>
        </is>
      </c>
      <c r="E1386" t="inlineStr">
        <is>
          <t>ÖSTHAMMAR</t>
        </is>
      </c>
      <c r="F1386" t="inlineStr">
        <is>
          <t>Övriga Aktiebolag</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8330-2025</t>
        </is>
      </c>
      <c r="B1387" s="1" t="n">
        <v>45708</v>
      </c>
      <c r="C1387" s="1" t="n">
        <v>45803</v>
      </c>
      <c r="D1387" t="inlineStr">
        <is>
          <t>UPPSALA LÄN</t>
        </is>
      </c>
      <c r="E1387" t="inlineStr">
        <is>
          <t>ÖSTHAMMAR</t>
        </is>
      </c>
      <c r="F1387" t="inlineStr">
        <is>
          <t>Övriga Aktiebolag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8624-2025</t>
        </is>
      </c>
      <c r="B1388" s="1" t="n">
        <v>45711</v>
      </c>
      <c r="C1388" s="1" t="n">
        <v>45803</v>
      </c>
      <c r="D1388" t="inlineStr">
        <is>
          <t>UPPSALA LÄN</t>
        </is>
      </c>
      <c r="E1388" t="inlineStr">
        <is>
          <t>ÖSTHAMMAR</t>
        </is>
      </c>
      <c r="F1388" t="inlineStr">
        <is>
          <t>Bergvik skog väst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8626-2025</t>
        </is>
      </c>
      <c r="B1389" s="1" t="n">
        <v>45711</v>
      </c>
      <c r="C1389" s="1" t="n">
        <v>45803</v>
      </c>
      <c r="D1389" t="inlineStr">
        <is>
          <t>UPPSALA LÄN</t>
        </is>
      </c>
      <c r="E1389" t="inlineStr">
        <is>
          <t>ÖSTHAMMAR</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v>
      </c>
      <c r="C1390" s="1" t="n">
        <v>45803</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8791-2025</t>
        </is>
      </c>
      <c r="B1391" s="1" t="n">
        <v>45712</v>
      </c>
      <c r="C1391" s="1" t="n">
        <v>45803</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8699-2025</t>
        </is>
      </c>
      <c r="B1392" s="1" t="n">
        <v>45712</v>
      </c>
      <c r="C1392" s="1" t="n">
        <v>45803</v>
      </c>
      <c r="D1392" t="inlineStr">
        <is>
          <t>UPPSALA LÄN</t>
        </is>
      </c>
      <c r="E1392" t="inlineStr">
        <is>
          <t>ÖSTHAMMAR</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8769-2025</t>
        </is>
      </c>
      <c r="B1393" s="1" t="n">
        <v>45712</v>
      </c>
      <c r="C1393" s="1" t="n">
        <v>45803</v>
      </c>
      <c r="D1393" t="inlineStr">
        <is>
          <t>UPPSALA LÄN</t>
        </is>
      </c>
      <c r="E1393" t="inlineStr">
        <is>
          <t>ÖSTHAMMAR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8763-2025</t>
        </is>
      </c>
      <c r="B1394" s="1" t="n">
        <v>45712</v>
      </c>
      <c r="C1394" s="1" t="n">
        <v>45803</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8904-2025</t>
        </is>
      </c>
      <c r="B1395" s="1" t="n">
        <v>45713</v>
      </c>
      <c r="C1395" s="1" t="n">
        <v>45803</v>
      </c>
      <c r="D1395" t="inlineStr">
        <is>
          <t>UPPSALA LÄN</t>
        </is>
      </c>
      <c r="E1395" t="inlineStr">
        <is>
          <t>ÖSTHAMMAR</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8908-2025</t>
        </is>
      </c>
      <c r="B1396" s="1" t="n">
        <v>45713</v>
      </c>
      <c r="C1396" s="1" t="n">
        <v>45803</v>
      </c>
      <c r="D1396" t="inlineStr">
        <is>
          <t>UPPSALA LÄN</t>
        </is>
      </c>
      <c r="E1396" t="inlineStr">
        <is>
          <t>ÖSTHAMMAR</t>
        </is>
      </c>
      <c r="F1396" t="inlineStr">
        <is>
          <t>Bergvik skog öst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8902-2025</t>
        </is>
      </c>
      <c r="B1397" s="1" t="n">
        <v>45713</v>
      </c>
      <c r="C1397" s="1" t="n">
        <v>45803</v>
      </c>
      <c r="D1397" t="inlineStr">
        <is>
          <t>UPPSALA LÄN</t>
        </is>
      </c>
      <c r="E1397" t="inlineStr">
        <is>
          <t>ÖSTHAMMAR</t>
        </is>
      </c>
      <c r="F1397" t="inlineStr">
        <is>
          <t>Bergvik skog öst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8874-2025</t>
        </is>
      </c>
      <c r="B1398" s="1" t="n">
        <v>45713</v>
      </c>
      <c r="C1398" s="1" t="n">
        <v>45803</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9121-2025</t>
        </is>
      </c>
      <c r="B1399" s="1" t="n">
        <v>45713</v>
      </c>
      <c r="C1399" s="1" t="n">
        <v>45803</v>
      </c>
      <c r="D1399" t="inlineStr">
        <is>
          <t>UPPSALA LÄN</t>
        </is>
      </c>
      <c r="E1399" t="inlineStr">
        <is>
          <t>ÖSTHAMMAR</t>
        </is>
      </c>
      <c r="F1399" t="inlineStr">
        <is>
          <t>Bergvik skog öst AB</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9303-2025</t>
        </is>
      </c>
      <c r="B1400" s="1" t="n">
        <v>45714</v>
      </c>
      <c r="C1400" s="1" t="n">
        <v>45803</v>
      </c>
      <c r="D1400" t="inlineStr">
        <is>
          <t>UPPSALA LÄN</t>
        </is>
      </c>
      <c r="E1400" t="inlineStr">
        <is>
          <t>ÖSTHAMMAR</t>
        </is>
      </c>
      <c r="F1400" t="inlineStr">
        <is>
          <t>Bergvik skog öst AB</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9307-2025</t>
        </is>
      </c>
      <c r="B1401" s="1" t="n">
        <v>45714</v>
      </c>
      <c r="C1401" s="1" t="n">
        <v>45803</v>
      </c>
      <c r="D1401" t="inlineStr">
        <is>
          <t>UPPSALA LÄN</t>
        </is>
      </c>
      <c r="E1401" t="inlineStr">
        <is>
          <t>ÖSTHAMMAR</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9212-2025</t>
        </is>
      </c>
      <c r="B1402" s="1" t="n">
        <v>45714</v>
      </c>
      <c r="C1402" s="1" t="n">
        <v>45803</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9304-2025</t>
        </is>
      </c>
      <c r="B1403" s="1" t="n">
        <v>45714</v>
      </c>
      <c r="C1403" s="1" t="n">
        <v>45803</v>
      </c>
      <c r="D1403" t="inlineStr">
        <is>
          <t>UPPSALA LÄN</t>
        </is>
      </c>
      <c r="E1403" t="inlineStr">
        <is>
          <t>ÖSTHAMMAR</t>
        </is>
      </c>
      <c r="F1403" t="inlineStr">
        <is>
          <t>Bergvik skog öst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9774-2025</t>
        </is>
      </c>
      <c r="B1404" s="1" t="n">
        <v>45716</v>
      </c>
      <c r="C1404" s="1" t="n">
        <v>45803</v>
      </c>
      <c r="D1404" t="inlineStr">
        <is>
          <t>UPPSALA LÄN</t>
        </is>
      </c>
      <c r="E1404" t="inlineStr">
        <is>
          <t>ÖSTHAMMAR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9772-2025</t>
        </is>
      </c>
      <c r="B1405" s="1" t="n">
        <v>45716</v>
      </c>
      <c r="C1405" s="1" t="n">
        <v>45803</v>
      </c>
      <c r="D1405" t="inlineStr">
        <is>
          <t>UPPSALA LÄN</t>
        </is>
      </c>
      <c r="E1405" t="inlineStr">
        <is>
          <t>ÖSTHAMMAR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10174-2025</t>
        </is>
      </c>
      <c r="B1406" s="1" t="n">
        <v>45719</v>
      </c>
      <c r="C1406" s="1" t="n">
        <v>45803</v>
      </c>
      <c r="D1406" t="inlineStr">
        <is>
          <t>UPPSALA LÄN</t>
        </is>
      </c>
      <c r="E1406" t="inlineStr">
        <is>
          <t>ÖSTHAMMAR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10076-2025</t>
        </is>
      </c>
      <c r="B1407" s="1" t="n">
        <v>45719</v>
      </c>
      <c r="C1407" s="1" t="n">
        <v>45803</v>
      </c>
      <c r="D1407" t="inlineStr">
        <is>
          <t>UPPSALA LÄN</t>
        </is>
      </c>
      <c r="E1407" t="inlineStr">
        <is>
          <t>ÖSTHAMMAR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10027-2025</t>
        </is>
      </c>
      <c r="B1408" s="1" t="n">
        <v>45719</v>
      </c>
      <c r="C1408" s="1" t="n">
        <v>45803</v>
      </c>
      <c r="D1408" t="inlineStr">
        <is>
          <t>UPPSALA LÄN</t>
        </is>
      </c>
      <c r="E1408" t="inlineStr">
        <is>
          <t>ÖSTHAMMAR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v>
      </c>
      <c r="C1409" s="1" t="n">
        <v>45803</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10275-2025</t>
        </is>
      </c>
      <c r="B1410" s="1" t="n">
        <v>45720</v>
      </c>
      <c r="C1410" s="1" t="n">
        <v>45803</v>
      </c>
      <c r="D1410" t="inlineStr">
        <is>
          <t>UPPSALA LÄN</t>
        </is>
      </c>
      <c r="E1410" t="inlineStr">
        <is>
          <t>ÖSTHAMMAR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10290-2025</t>
        </is>
      </c>
      <c r="B1411" s="1" t="n">
        <v>45720</v>
      </c>
      <c r="C1411" s="1" t="n">
        <v>45803</v>
      </c>
      <c r="D1411" t="inlineStr">
        <is>
          <t>UPPSALA LÄN</t>
        </is>
      </c>
      <c r="E1411" t="inlineStr">
        <is>
          <t>ÖSTHAMMAR</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10495-2025</t>
        </is>
      </c>
      <c r="B1412" s="1" t="n">
        <v>45721</v>
      </c>
      <c r="C1412" s="1" t="n">
        <v>45803</v>
      </c>
      <c r="D1412" t="inlineStr">
        <is>
          <t>UPPSALA LÄN</t>
        </is>
      </c>
      <c r="E1412" t="inlineStr">
        <is>
          <t>ÖSTHAMMAR</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10730-2025</t>
        </is>
      </c>
      <c r="B1413" s="1" t="n">
        <v>45722</v>
      </c>
      <c r="C1413" s="1" t="n">
        <v>45803</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11491-2025</t>
        </is>
      </c>
      <c r="B1414" s="1" t="n">
        <v>45726</v>
      </c>
      <c r="C1414" s="1" t="n">
        <v>45803</v>
      </c>
      <c r="D1414" t="inlineStr">
        <is>
          <t>UPPSALA LÄN</t>
        </is>
      </c>
      <c r="E1414" t="inlineStr">
        <is>
          <t>ÖSTHAMMAR</t>
        </is>
      </c>
      <c r="F1414" t="inlineStr">
        <is>
          <t>Bergvik skog öst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11255-2025</t>
        </is>
      </c>
      <c r="B1415" s="1" t="n">
        <v>45726</v>
      </c>
      <c r="C1415" s="1" t="n">
        <v>45803</v>
      </c>
      <c r="D1415" t="inlineStr">
        <is>
          <t>UPPSALA LÄN</t>
        </is>
      </c>
      <c r="E1415" t="inlineStr">
        <is>
          <t>ÖSTHAMMAR</t>
        </is>
      </c>
      <c r="F1415" t="inlineStr">
        <is>
          <t>Kyrkan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11612-2025</t>
        </is>
      </c>
      <c r="B1416" s="1" t="n">
        <v>45727</v>
      </c>
      <c r="C1416" s="1" t="n">
        <v>45803</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12340-2025</t>
        </is>
      </c>
      <c r="B1417" s="1" t="n">
        <v>45730</v>
      </c>
      <c r="C1417" s="1" t="n">
        <v>45803</v>
      </c>
      <c r="D1417" t="inlineStr">
        <is>
          <t>UPPSALA LÄN</t>
        </is>
      </c>
      <c r="E1417" t="inlineStr">
        <is>
          <t>ÖSTHAMMAR</t>
        </is>
      </c>
      <c r="F1417" t="inlineStr">
        <is>
          <t>Bergvik skog öst AB</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12592-2025</t>
        </is>
      </c>
      <c r="B1418" s="1" t="n">
        <v>45732</v>
      </c>
      <c r="C1418" s="1" t="n">
        <v>45803</v>
      </c>
      <c r="D1418" t="inlineStr">
        <is>
          <t>UPPSALA LÄN</t>
        </is>
      </c>
      <c r="E1418" t="inlineStr">
        <is>
          <t>ÖSTHAMMAR</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12591-2025</t>
        </is>
      </c>
      <c r="B1419" s="1" t="n">
        <v>45732</v>
      </c>
      <c r="C1419" s="1" t="n">
        <v>45803</v>
      </c>
      <c r="D1419" t="inlineStr">
        <is>
          <t>UPPSALA LÄN</t>
        </is>
      </c>
      <c r="E1419" t="inlineStr">
        <is>
          <t>ÖSTHAMMAR</t>
        </is>
      </c>
      <c r="F1419" t="inlineStr">
        <is>
          <t>Bergvik skog öst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12904-2025</t>
        </is>
      </c>
      <c r="B1420" s="1" t="n">
        <v>45733</v>
      </c>
      <c r="C1420" s="1" t="n">
        <v>45803</v>
      </c>
      <c r="D1420" t="inlineStr">
        <is>
          <t>UPPSALA LÄN</t>
        </is>
      </c>
      <c r="E1420" t="inlineStr">
        <is>
          <t>ÖSTHAMMAR</t>
        </is>
      </c>
      <c r="F1420" t="inlineStr">
        <is>
          <t>Bergvik skog öst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12903-2025</t>
        </is>
      </c>
      <c r="B1421" s="1" t="n">
        <v>45733</v>
      </c>
      <c r="C1421" s="1" t="n">
        <v>45803</v>
      </c>
      <c r="D1421" t="inlineStr">
        <is>
          <t>UPPSALA LÄN</t>
        </is>
      </c>
      <c r="E1421" t="inlineStr">
        <is>
          <t>ÖSTHAMMAR</t>
        </is>
      </c>
      <c r="F1421" t="inlineStr">
        <is>
          <t>Bergvik skog öst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12654-2025</t>
        </is>
      </c>
      <c r="B1422" s="1" t="n">
        <v>45733</v>
      </c>
      <c r="C1422" s="1" t="n">
        <v>45803</v>
      </c>
      <c r="D1422" t="inlineStr">
        <is>
          <t>UPPSALA LÄN</t>
        </is>
      </c>
      <c r="E1422" t="inlineStr">
        <is>
          <t>ÖSTHAMMAR</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12945-2025</t>
        </is>
      </c>
      <c r="B1423" s="1" t="n">
        <v>45734</v>
      </c>
      <c r="C1423" s="1" t="n">
        <v>45803</v>
      </c>
      <c r="D1423" t="inlineStr">
        <is>
          <t>UPPSALA LÄN</t>
        </is>
      </c>
      <c r="E1423" t="inlineStr">
        <is>
          <t>ÖSTHAMMAR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13248-2025</t>
        </is>
      </c>
      <c r="B1424" s="1" t="n">
        <v>45735</v>
      </c>
      <c r="C1424" s="1" t="n">
        <v>45803</v>
      </c>
      <c r="D1424" t="inlineStr">
        <is>
          <t>UPPSALA LÄN</t>
        </is>
      </c>
      <c r="E1424" t="inlineStr">
        <is>
          <t>ÖSTHAMMAR</t>
        </is>
      </c>
      <c r="F1424" t="inlineStr">
        <is>
          <t>Kyrkan</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13377-2025</t>
        </is>
      </c>
      <c r="B1425" s="1" t="n">
        <v>45735</v>
      </c>
      <c r="C1425" s="1" t="n">
        <v>45803</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13385-2025</t>
        </is>
      </c>
      <c r="B1426" s="1" t="n">
        <v>45735</v>
      </c>
      <c r="C1426" s="1" t="n">
        <v>45803</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13622-2025</t>
        </is>
      </c>
      <c r="B1427" s="1" t="n">
        <v>45736</v>
      </c>
      <c r="C1427" s="1" t="n">
        <v>45803</v>
      </c>
      <c r="D1427" t="inlineStr">
        <is>
          <t>UPPSALA LÄN</t>
        </is>
      </c>
      <c r="E1427" t="inlineStr">
        <is>
          <t>ÖSTHAMMAR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14272-2025</t>
        </is>
      </c>
      <c r="B1428" s="1" t="n">
        <v>45740</v>
      </c>
      <c r="C1428" s="1" t="n">
        <v>45803</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14164-2025</t>
        </is>
      </c>
      <c r="B1429" s="1" t="n">
        <v>45740</v>
      </c>
      <c r="C1429" s="1" t="n">
        <v>45803</v>
      </c>
      <c r="D1429" t="inlineStr">
        <is>
          <t>UPPSALA LÄN</t>
        </is>
      </c>
      <c r="E1429" t="inlineStr">
        <is>
          <t>ÖSTHAMMAR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14173-2025</t>
        </is>
      </c>
      <c r="B1430" s="1" t="n">
        <v>45740</v>
      </c>
      <c r="C1430" s="1" t="n">
        <v>45803</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14269-2025</t>
        </is>
      </c>
      <c r="B1431" s="1" t="n">
        <v>45740</v>
      </c>
      <c r="C1431" s="1" t="n">
        <v>45803</v>
      </c>
      <c r="D1431" t="inlineStr">
        <is>
          <t>UPPSALA LÄN</t>
        </is>
      </c>
      <c r="E1431" t="inlineStr">
        <is>
          <t>ÖSTHAMMAR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14170-2025</t>
        </is>
      </c>
      <c r="B1432" s="1" t="n">
        <v>45740</v>
      </c>
      <c r="C1432" s="1" t="n">
        <v>45803</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15031-2025</t>
        </is>
      </c>
      <c r="B1433" s="1" t="n">
        <v>45743</v>
      </c>
      <c r="C1433" s="1" t="n">
        <v>45803</v>
      </c>
      <c r="D1433" t="inlineStr">
        <is>
          <t>UPPSALA LÄN</t>
        </is>
      </c>
      <c r="E1433" t="inlineStr">
        <is>
          <t>ÖSTHAMMAR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14859-2025</t>
        </is>
      </c>
      <c r="B1434" s="1" t="n">
        <v>45743</v>
      </c>
      <c r="C1434" s="1" t="n">
        <v>45803</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15203-2025</t>
        </is>
      </c>
      <c r="B1435" s="1" t="n">
        <v>45744</v>
      </c>
      <c r="C1435" s="1" t="n">
        <v>45803</v>
      </c>
      <c r="D1435" t="inlineStr">
        <is>
          <t>UPPSALA LÄN</t>
        </is>
      </c>
      <c r="E1435" t="inlineStr">
        <is>
          <t>ÖSTHAMMAR</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16240-2025</t>
        </is>
      </c>
      <c r="B1436" s="1" t="n">
        <v>45746</v>
      </c>
      <c r="C1436" s="1" t="n">
        <v>45803</v>
      </c>
      <c r="D1436" t="inlineStr">
        <is>
          <t>UPPSALA LÄN</t>
        </is>
      </c>
      <c r="E1436" t="inlineStr">
        <is>
          <t>ÖSTHAMMAR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16089-2025</t>
        </is>
      </c>
      <c r="B1437" s="1" t="n">
        <v>45749</v>
      </c>
      <c r="C1437" s="1" t="n">
        <v>45803</v>
      </c>
      <c r="D1437" t="inlineStr">
        <is>
          <t>UPPSALA LÄN</t>
        </is>
      </c>
      <c r="E1437" t="inlineStr">
        <is>
          <t>ÖSTHAMMAR</t>
        </is>
      </c>
      <c r="F1437" t="inlineStr">
        <is>
          <t>Bergvik skog öst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16161-2025</t>
        </is>
      </c>
      <c r="B1438" s="1" t="n">
        <v>45750</v>
      </c>
      <c r="C1438" s="1" t="n">
        <v>45803</v>
      </c>
      <c r="D1438" t="inlineStr">
        <is>
          <t>UPPSALA LÄN</t>
        </is>
      </c>
      <c r="E1438" t="inlineStr">
        <is>
          <t>ÖSTHAMMAR</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16531-2025</t>
        </is>
      </c>
      <c r="B1439" s="1" t="n">
        <v>45751</v>
      </c>
      <c r="C1439" s="1" t="n">
        <v>45803</v>
      </c>
      <c r="D1439" t="inlineStr">
        <is>
          <t>UPPSALA LÄN</t>
        </is>
      </c>
      <c r="E1439" t="inlineStr">
        <is>
          <t>ÖSTHAMMAR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45803</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17090-2025</t>
        </is>
      </c>
      <c r="B1441" s="1" t="n">
        <v>45755</v>
      </c>
      <c r="C1441" s="1" t="n">
        <v>45803</v>
      </c>
      <c r="D1441" t="inlineStr">
        <is>
          <t>UPPSALA LÄN</t>
        </is>
      </c>
      <c r="E1441" t="inlineStr">
        <is>
          <t>ÖSTHAMMAR</t>
        </is>
      </c>
      <c r="F1441" t="inlineStr">
        <is>
          <t>Bergvik skog öst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17085-2025</t>
        </is>
      </c>
      <c r="B1442" s="1" t="n">
        <v>45755</v>
      </c>
      <c r="C1442" s="1" t="n">
        <v>45803</v>
      </c>
      <c r="D1442" t="inlineStr">
        <is>
          <t>UPPSALA LÄN</t>
        </is>
      </c>
      <c r="E1442" t="inlineStr">
        <is>
          <t>ÖSTHAMMAR</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17324-2025</t>
        </is>
      </c>
      <c r="B1443" s="1" t="n">
        <v>45756</v>
      </c>
      <c r="C1443" s="1" t="n">
        <v>45803</v>
      </c>
      <c r="D1443" t="inlineStr">
        <is>
          <t>UPPSALA LÄN</t>
        </is>
      </c>
      <c r="E1443" t="inlineStr">
        <is>
          <t>ÖSTHAMMAR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17325-2025</t>
        </is>
      </c>
      <c r="B1444" s="1" t="n">
        <v>45756</v>
      </c>
      <c r="C1444" s="1" t="n">
        <v>45803</v>
      </c>
      <c r="D1444" t="inlineStr">
        <is>
          <t>UPPSALA LÄN</t>
        </is>
      </c>
      <c r="E1444" t="inlineStr">
        <is>
          <t>ÖSTHAMMAR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45803</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17430-2025</t>
        </is>
      </c>
      <c r="B1446" s="1" t="n">
        <v>45757</v>
      </c>
      <c r="C1446" s="1" t="n">
        <v>45803</v>
      </c>
      <c r="D1446" t="inlineStr">
        <is>
          <t>UPPSALA LÄN</t>
        </is>
      </c>
      <c r="E1446" t="inlineStr">
        <is>
          <t>ÖSTHAMMAR</t>
        </is>
      </c>
      <c r="F1446" t="inlineStr">
        <is>
          <t>Övriga Aktiebolag</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45803</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45803</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45803</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45803</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45803</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17646-2025</t>
        </is>
      </c>
      <c r="B1452" s="1" t="n">
        <v>45758</v>
      </c>
      <c r="C1452" s="1" t="n">
        <v>45803</v>
      </c>
      <c r="D1452" t="inlineStr">
        <is>
          <t>UPPSALA LÄN</t>
        </is>
      </c>
      <c r="E1452" t="inlineStr">
        <is>
          <t>ÖSTHAMMAR</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17648-2025</t>
        </is>
      </c>
      <c r="B1453" s="1" t="n">
        <v>45758</v>
      </c>
      <c r="C1453" s="1" t="n">
        <v>45803</v>
      </c>
      <c r="D1453" t="inlineStr">
        <is>
          <t>UPPSALA LÄN</t>
        </is>
      </c>
      <c r="E1453" t="inlineStr">
        <is>
          <t>ÖSTHAMMAR</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45803</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45803</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45803</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45803</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17931-2025</t>
        </is>
      </c>
      <c r="B1458" s="1" t="n">
        <v>45759</v>
      </c>
      <c r="C1458" s="1" t="n">
        <v>45803</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45803</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45803</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17938-2025</t>
        </is>
      </c>
      <c r="B1461" s="1" t="n">
        <v>45760</v>
      </c>
      <c r="C1461" s="1" t="n">
        <v>45803</v>
      </c>
      <c r="D1461" t="inlineStr">
        <is>
          <t>UPPSALA LÄN</t>
        </is>
      </c>
      <c r="E1461" t="inlineStr">
        <is>
          <t>ÖSTHAMMAR</t>
        </is>
      </c>
      <c r="F1461" t="inlineStr">
        <is>
          <t>Bergvik skog öst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45803</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18095-2025</t>
        </is>
      </c>
      <c r="B1463" s="1" t="n">
        <v>45761</v>
      </c>
      <c r="C1463" s="1" t="n">
        <v>45803</v>
      </c>
      <c r="D1463" t="inlineStr">
        <is>
          <t>UPPSALA LÄN</t>
        </is>
      </c>
      <c r="E1463" t="inlineStr">
        <is>
          <t>ÖSTHAMMAR</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18088-2025</t>
        </is>
      </c>
      <c r="B1464" s="1" t="n">
        <v>45761</v>
      </c>
      <c r="C1464" s="1" t="n">
        <v>45803</v>
      </c>
      <c r="D1464" t="inlineStr">
        <is>
          <t>UPPSALA LÄN</t>
        </is>
      </c>
      <c r="E1464" t="inlineStr">
        <is>
          <t>ÖSTHAMMAR</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18094-2025</t>
        </is>
      </c>
      <c r="B1465" s="1" t="n">
        <v>45761</v>
      </c>
      <c r="C1465" s="1" t="n">
        <v>45803</v>
      </c>
      <c r="D1465" t="inlineStr">
        <is>
          <t>UPPSALA LÄN</t>
        </is>
      </c>
      <c r="E1465" t="inlineStr">
        <is>
          <t>ÖSTHAMMAR</t>
        </is>
      </c>
      <c r="F1465" t="inlineStr">
        <is>
          <t>Bergvik skog öst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18401-2025</t>
        </is>
      </c>
      <c r="B1466" s="1" t="n">
        <v>45762</v>
      </c>
      <c r="C1466" s="1" t="n">
        <v>45803</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45803</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45803</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45803</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45803</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19501-2025</t>
        </is>
      </c>
      <c r="B1471" s="1" t="n">
        <v>45770</v>
      </c>
      <c r="C1471" s="1" t="n">
        <v>45803</v>
      </c>
      <c r="D1471" t="inlineStr">
        <is>
          <t>UPPSALA LÄN</t>
        </is>
      </c>
      <c r="E1471" t="inlineStr">
        <is>
          <t>ÖSTHAMMAR</t>
        </is>
      </c>
      <c r="F1471" t="inlineStr">
        <is>
          <t>Övriga Aktiebolag</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19744-2025</t>
        </is>
      </c>
      <c r="B1472" s="1" t="n">
        <v>45771</v>
      </c>
      <c r="C1472" s="1" t="n">
        <v>45803</v>
      </c>
      <c r="D1472" t="inlineStr">
        <is>
          <t>UPPSALA LÄN</t>
        </is>
      </c>
      <c r="E1472" t="inlineStr">
        <is>
          <t>ÖSTHAMMAR</t>
        </is>
      </c>
      <c r="F1472" t="inlineStr">
        <is>
          <t>Övriga Aktiebolag</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19748-2025</t>
        </is>
      </c>
      <c r="B1473" s="1" t="n">
        <v>45771</v>
      </c>
      <c r="C1473" s="1" t="n">
        <v>45803</v>
      </c>
      <c r="D1473" t="inlineStr">
        <is>
          <t>UPPSALA LÄN</t>
        </is>
      </c>
      <c r="E1473" t="inlineStr">
        <is>
          <t>ÖSTHAMMAR</t>
        </is>
      </c>
      <c r="F1473" t="inlineStr">
        <is>
          <t>Övriga Aktiebolag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20072-2025</t>
        </is>
      </c>
      <c r="B1474" s="1" t="n">
        <v>45772</v>
      </c>
      <c r="C1474" s="1" t="n">
        <v>45803</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20385-2025</t>
        </is>
      </c>
      <c r="B1475" s="1" t="n">
        <v>45775</v>
      </c>
      <c r="C1475" s="1" t="n">
        <v>45803</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45803</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45803</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45803</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45803</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45803</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23305-2025</t>
        </is>
      </c>
      <c r="B1481" s="1" t="n">
        <v>45791</v>
      </c>
      <c r="C1481" s="1" t="n">
        <v>45803</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23728-2025</t>
        </is>
      </c>
      <c r="B1482" s="1" t="n">
        <v>45793</v>
      </c>
      <c r="C1482" s="1" t="n">
        <v>45803</v>
      </c>
      <c r="D1482" t="inlineStr">
        <is>
          <t>UPPSALA LÄN</t>
        </is>
      </c>
      <c r="E1482" t="inlineStr">
        <is>
          <t>ÖSTHAMMAR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24174-2025</t>
        </is>
      </c>
      <c r="B1483" s="1" t="n">
        <v>45796</v>
      </c>
      <c r="C1483" s="1" t="n">
        <v>45803</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45803</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24389-2025</t>
        </is>
      </c>
      <c r="B1485" s="1" t="n">
        <v>45797</v>
      </c>
      <c r="C1485" s="1" t="n">
        <v>45803</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v>
      </c>
      <c r="C1486" s="1" t="n">
        <v>45803</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45803</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24412-2025</t>
        </is>
      </c>
      <c r="B1488" s="1" t="n">
        <v>45797</v>
      </c>
      <c r="C1488" s="1" t="n">
        <v>45803</v>
      </c>
      <c r="D1488" t="inlineStr">
        <is>
          <t>UPPSALA LÄN</t>
        </is>
      </c>
      <c r="E1488" t="inlineStr">
        <is>
          <t>ÖSTHAMMAR</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45803</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25049-2025</t>
        </is>
      </c>
      <c r="B1490" s="1" t="n">
        <v>45799</v>
      </c>
      <c r="C1490" s="1" t="n">
        <v>45803</v>
      </c>
      <c r="D1490" t="inlineStr">
        <is>
          <t>UPPSALA LÄN</t>
        </is>
      </c>
      <c r="E1490" t="inlineStr">
        <is>
          <t>ÖSTHAMMAR</t>
        </is>
      </c>
      <c r="F1490" t="inlineStr">
        <is>
          <t>Bergvik skog öst AB</t>
        </is>
      </c>
      <c r="G1490" t="n">
        <v>3.8</v>
      </c>
      <c r="H1490" t="n">
        <v>0</v>
      </c>
      <c r="I1490" t="n">
        <v>0</v>
      </c>
      <c r="J1490" t="n">
        <v>0</v>
      </c>
      <c r="K1490" t="n">
        <v>0</v>
      </c>
      <c r="L1490" t="n">
        <v>0</v>
      </c>
      <c r="M1490" t="n">
        <v>0</v>
      </c>
      <c r="N1490" t="n">
        <v>0</v>
      </c>
      <c r="O1490" t="n">
        <v>0</v>
      </c>
      <c r="P1490" t="n">
        <v>0</v>
      </c>
      <c r="Q1490" t="n">
        <v>0</v>
      </c>
      <c r="R1490" s="2" t="inlineStr"/>
    </row>
    <row r="1491">
      <c r="A1491" t="inlineStr">
        <is>
          <t>A 24944-2025</t>
        </is>
      </c>
      <c r="B1491" s="1" t="n">
        <v>45799</v>
      </c>
      <c r="C1491" s="1" t="n">
        <v>45803</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2025-05-26T17:35:22Z</dcterms:created>
  <dcterms:modified xmlns:dcterms="http://purl.org/dc/terms/" xmlns:xsi="http://www.w3.org/2001/XMLSchema-instance" xsi:type="dcterms:W3CDTF">2025-05-26T17:35:23Z</dcterms:modified>
</cp:coreProperties>
</file>