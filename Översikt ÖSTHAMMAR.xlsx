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46317</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46317</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46317</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46317</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46317</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46317</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46317</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46317</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46317</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46317</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1101-2026</t>
        </is>
      </c>
      <c r="B14" t="inlineStr">
        <is>
          <t>avverkningsanmälan</t>
        </is>
      </c>
      <c r="C14" t="inlineStr">
        <is>
          <t>Föryngringsavverkning</t>
        </is>
      </c>
      <c r="D14" s="1" t="n">
        <v>46030</v>
      </c>
      <c r="E14" s="1" t="n">
        <v>46317</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21006-2024</t>
        </is>
      </c>
      <c r="B15" t="inlineStr">
        <is>
          <t>avverkningsanmälan</t>
        </is>
      </c>
      <c r="C15" t="inlineStr">
        <is>
          <t>Avverkning för att bevara och utveckla /försöksver</t>
        </is>
      </c>
      <c r="D15" s="1" t="n">
        <v>45439</v>
      </c>
      <c r="E15" s="1" t="n">
        <v>46317</v>
      </c>
      <c r="F15" t="inlineStr">
        <is>
          <t>UPPSALA LÄN</t>
        </is>
      </c>
      <c r="G15" t="inlineStr">
        <is>
          <t>ÖSTHAMMAR</t>
        </is>
      </c>
      <c r="H15" t="inlineStr">
        <is>
          <t>Bergvik skog öst AB</t>
        </is>
      </c>
      <c r="I15" t="n">
        <v>3.8</v>
      </c>
      <c r="J15" t="n">
        <v>2</v>
      </c>
      <c r="K15" t="n">
        <v>13</v>
      </c>
      <c r="L15" t="n">
        <v>5</v>
      </c>
      <c r="M15" t="n">
        <v>6</v>
      </c>
      <c r="N15" t="n">
        <v>0</v>
      </c>
      <c r="O15" t="n">
        <v>0</v>
      </c>
      <c r="P15" t="n">
        <v>0</v>
      </c>
      <c r="Q15" t="n">
        <v>11</v>
      </c>
      <c r="R15" t="n">
        <v>6</v>
      </c>
      <c r="S15" t="n">
        <v>25</v>
      </c>
      <c r="T15" t="n">
        <v>89</v>
      </c>
      <c r="U15" t="n">
        <v>2</v>
      </c>
      <c r="V15"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5">
        <f>HYPERLINK("https://klasma.github.io/Logging_0382/artfynd/A 21006-2024 artfynd.xlsx", "A 21006-2024")</f>
        <v/>
      </c>
      <c r="X15">
        <f>HYPERLINK("https://klasma.github.io/Logging_0382/kartor/A 21006-2024 karta.png", "A 21006-2024")</f>
        <v/>
      </c>
      <c r="Y15">
        <f>HYPERLINK("https://klasma.github.io/Logging_0382/kartor_geotiff/A 21006-2024 georefererad karta.tif", "A 21006-2024")</f>
        <v/>
      </c>
      <c r="AA15">
        <f>HYPERLINK("https://klasma.github.io/Logging_0382/klagomål/A 21006-2024 FSC-klagomål.docx", "A 21006-2024")</f>
        <v/>
      </c>
      <c r="AB15">
        <f>HYPERLINK("https://klasma.github.io/Logging_0382/klagomålsmail/A 21006-2024 FSC-klagomål mail.docx", "A 21006-2024")</f>
        <v/>
      </c>
      <c r="AC15">
        <f>HYPERLINK("https://klasma.github.io/Logging_0382/tillsyn/A 21006-2024 tillsynsbegäran.docx", "A 21006-2024")</f>
        <v/>
      </c>
      <c r="AD15">
        <f>HYPERLINK("https://klasma.github.io/Logging_0382/tillsynsmail/A 21006-2024 tillsynsbegäran mail.docx", "A 21006-2024")</f>
        <v/>
      </c>
    </row>
    <row r="16" ht="15" customHeight="1">
      <c r="A16" t="inlineStr">
        <is>
          <t>A 29564-2023</t>
        </is>
      </c>
      <c r="B16" t="inlineStr">
        <is>
          <t>avverkningsanmälan</t>
        </is>
      </c>
      <c r="C16" t="inlineStr">
        <is>
          <t>Föryngringsavverkning</t>
        </is>
      </c>
      <c r="D16" s="1" t="n">
        <v>45106</v>
      </c>
      <c r="E16" s="1" t="n">
        <v>46317</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46317</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46317</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46317</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46317</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46317</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46317</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46317</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46317</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46317</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46317</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46317</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38964-2026</t>
        </is>
      </c>
      <c r="B28" t="inlineStr">
        <is>
          <t>avverkningsanmälan</t>
        </is>
      </c>
      <c r="C28" t="inlineStr">
        <is>
          <t>Föryngringsavverkning</t>
        </is>
      </c>
      <c r="D28" s="1" t="n">
        <v>46286</v>
      </c>
      <c r="E28" s="1" t="n">
        <v>46317</v>
      </c>
      <c r="F28" t="inlineStr">
        <is>
          <t>UPPSALA LÄN</t>
        </is>
      </c>
      <c r="G28" t="inlineStr">
        <is>
          <t>ÖSTHAMMAR</t>
        </is>
      </c>
      <c r="I28" t="n">
        <v>12.8</v>
      </c>
      <c r="J28" t="n">
        <v>5</v>
      </c>
      <c r="K28" t="n">
        <v>4</v>
      </c>
      <c r="L28" t="n">
        <v>5</v>
      </c>
      <c r="M28" t="n">
        <v>1</v>
      </c>
      <c r="N28" t="n">
        <v>0</v>
      </c>
      <c r="O28" t="n">
        <v>0</v>
      </c>
      <c r="P28" t="n">
        <v>0</v>
      </c>
      <c r="Q28" t="n">
        <v>6</v>
      </c>
      <c r="R28" t="n">
        <v>1</v>
      </c>
      <c r="S28" t="n">
        <v>12</v>
      </c>
      <c r="T28" t="n">
        <v>26</v>
      </c>
      <c r="U28" t="n">
        <v>26</v>
      </c>
      <c r="V28" s="2" t="inlineStr">
        <is>
          <t>Kopparspindling
Duvhök
Fjällig taggsvamp s.str.
Motaggsvamp
Skarp dropptaggsvamp
Talltita
Nästrot
Skogsknipprot
Svavelriska
Tibast
Blåsippa
Kransmossa</t>
        </is>
      </c>
      <c r="W28">
        <f>HYPERLINK("https://klasma.github.io/Logging_0382/artfynd/A 38964-2026 artfynd.xlsx", "A 38964-2026")</f>
        <v/>
      </c>
      <c r="X28">
        <f>HYPERLINK("https://klasma.github.io/Logging_0382/kartor/A 38964-2026 karta.png", "A 38964-2026")</f>
        <v/>
      </c>
      <c r="Y28">
        <f>HYPERLINK("https://klasma.github.io/Logging_0382/kartor_geotiff/A 38964-2026 georefererad karta.tif", "A 38964-2026")</f>
        <v/>
      </c>
      <c r="AA28">
        <f>HYPERLINK("https://klasma.github.io/Logging_0382/klagomål/A 38964-2026 FSC-klagomål.docx", "A 38964-2026")</f>
        <v/>
      </c>
      <c r="AB28">
        <f>HYPERLINK("https://klasma.github.io/Logging_0382/klagomålsmail/A 38964-2026 FSC-klagomål mail.docx", "A 38964-2026")</f>
        <v/>
      </c>
      <c r="AC28">
        <f>HYPERLINK("https://klasma.github.io/Logging_0382/tillsyn/A 38964-2026 tillsynsbegäran.docx", "A 38964-2026")</f>
        <v/>
      </c>
      <c r="AD28">
        <f>HYPERLINK("https://klasma.github.io/Logging_0382/tillsynsmail/A 38964-2026 tillsynsbegäran mail.docx", "A 38964-2026")</f>
        <v/>
      </c>
      <c r="AE28">
        <f>HYPERLINK("https://klasma.github.io/Logging_0382/fåglar/A 38964-2026 prioriterade fågelarter.docx", "A 38964-2026")</f>
        <v/>
      </c>
    </row>
    <row r="29" ht="15" customHeight="1">
      <c r="A29" t="inlineStr">
        <is>
          <t>A 1783-2023</t>
        </is>
      </c>
      <c r="B29" t="inlineStr">
        <is>
          <t>avverkningsanmälan</t>
        </is>
      </c>
      <c r="C29" t="inlineStr">
        <is>
          <t>Föryngringsavverkning</t>
        </is>
      </c>
      <c r="D29" s="1" t="n">
        <v>44938</v>
      </c>
      <c r="E29" s="1" t="n">
        <v>46317</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46317</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46317</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46317</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46204-2023</t>
        </is>
      </c>
      <c r="B33" t="inlineStr">
        <is>
          <t>avverkningsanmälan</t>
        </is>
      </c>
      <c r="C33" t="inlineStr">
        <is>
          <t>Föryngringsavverkning</t>
        </is>
      </c>
      <c r="D33" s="1" t="n">
        <v>45190</v>
      </c>
      <c r="E33" s="1" t="n">
        <v>46317</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51154-2025</t>
        </is>
      </c>
      <c r="B34" t="inlineStr">
        <is>
          <t>avverkningsanmälan</t>
        </is>
      </c>
      <c r="C34" t="inlineStr">
        <is>
          <t>Föryngringsavverkning</t>
        </is>
      </c>
      <c r="D34" s="1" t="n">
        <v>45947</v>
      </c>
      <c r="E34" s="1" t="n">
        <v>46317</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46317</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46317</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46317</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46317</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39834-2025</t>
        </is>
      </c>
      <c r="B39" t="inlineStr">
        <is>
          <t>avverkningsanmälan</t>
        </is>
      </c>
      <c r="C39" t="inlineStr">
        <is>
          <t>Föryngringsavverkning</t>
        </is>
      </c>
      <c r="D39" s="1" t="n">
        <v>45891</v>
      </c>
      <c r="E39" s="1" t="n">
        <v>46317</v>
      </c>
      <c r="F39" t="inlineStr">
        <is>
          <t>UPPSALA LÄN</t>
        </is>
      </c>
      <c r="G39" t="inlineStr">
        <is>
          <t>ÖSTHAMMAR</t>
        </is>
      </c>
      <c r="H39" t="inlineStr">
        <is>
          <t>Bergvik skog öst AB</t>
        </is>
      </c>
      <c r="I39" t="n">
        <v>2.5</v>
      </c>
      <c r="J39" t="n">
        <v>5</v>
      </c>
      <c r="K39" t="n">
        <v>2</v>
      </c>
      <c r="L39" t="n">
        <v>1</v>
      </c>
      <c r="M39" t="n">
        <v>2</v>
      </c>
      <c r="N39" t="n">
        <v>0</v>
      </c>
      <c r="O39" t="n">
        <v>0</v>
      </c>
      <c r="P39" t="n">
        <v>0</v>
      </c>
      <c r="Q39" t="n">
        <v>3</v>
      </c>
      <c r="R39" t="n">
        <v>2</v>
      </c>
      <c r="S39" t="n">
        <v>9</v>
      </c>
      <c r="T39" t="n">
        <v>22</v>
      </c>
      <c r="U39" t="n">
        <v>0</v>
      </c>
      <c r="V39" s="2" t="inlineStr">
        <is>
          <t>Garnlav
Knärot
Kattfotslav
Grönpyrola
Vågbandad barkbock
Blåsippa
Spillkråka
Tjäder
Revlummer</t>
        </is>
      </c>
      <c r="W39">
        <f>HYPERLINK("https://klasma.github.io/Logging_0382/artfynd/A 39834-2025 artfynd.xlsx", "A 39834-2025")</f>
        <v/>
      </c>
      <c r="X39">
        <f>HYPERLINK("https://klasma.github.io/Logging_0382/kartor/A 39834-2025 karta.png", "A 39834-2025")</f>
        <v/>
      </c>
      <c r="Y39">
        <f>HYPERLINK("https://klasma.github.io/Logging_0382/kartor_geotiff/A 39834-2025 georefererad karta.tif", "A 39834-2025")</f>
        <v/>
      </c>
      <c r="Z39">
        <f>HYPERLINK("https://klasma.github.io/Logging_0382/knärot/A 39834-2025 karta knärot.png", "A 39834-2025")</f>
        <v/>
      </c>
      <c r="AA39">
        <f>HYPERLINK("https://klasma.github.io/Logging_0382/klagomål/A 39834-2025 FSC-klagomål.docx", "A 39834-2025")</f>
        <v/>
      </c>
      <c r="AB39">
        <f>HYPERLINK("https://klasma.github.io/Logging_0382/klagomålsmail/A 39834-2025 FSC-klagomål mail.docx", "A 39834-2025")</f>
        <v/>
      </c>
      <c r="AC39">
        <f>HYPERLINK("https://klasma.github.io/Logging_0382/tillsyn/A 39834-2025 tillsynsbegäran.docx", "A 39834-2025")</f>
        <v/>
      </c>
      <c r="AD39">
        <f>HYPERLINK("https://klasma.github.io/Logging_0382/tillsynsmail/A 39834-2025 tillsynsbegäran mail.docx", "A 39834-2025")</f>
        <v/>
      </c>
      <c r="AE39">
        <f>HYPERLINK("https://klasma.github.io/Logging_0382/fåglar/A 39834-2025 prioriterade fågelarter.docx", "A 39834-2025")</f>
        <v/>
      </c>
    </row>
    <row r="40" ht="15" customHeight="1">
      <c r="A40" t="inlineStr">
        <is>
          <t>A 13287-2022</t>
        </is>
      </c>
      <c r="B40" t="inlineStr">
        <is>
          <t>avverkningsanmälan</t>
        </is>
      </c>
      <c r="C40" t="inlineStr">
        <is>
          <t>Föryngringsavverkning</t>
        </is>
      </c>
      <c r="D40" s="1" t="n">
        <v>44644</v>
      </c>
      <c r="E40" s="1" t="n">
        <v>46317</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46317</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46317</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46317</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46317</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46317</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9569-2026</t>
        </is>
      </c>
      <c r="B46" t="inlineStr">
        <is>
          <t>avverkningsanmälan</t>
        </is>
      </c>
      <c r="C46" t="inlineStr">
        <is>
          <t>Föryngringsavverkning</t>
        </is>
      </c>
      <c r="D46" s="1" t="n">
        <v>46071</v>
      </c>
      <c r="E46" s="1" t="n">
        <v>46317</v>
      </c>
      <c r="F46" t="inlineStr">
        <is>
          <t>UPPSALA LÄN</t>
        </is>
      </c>
      <c r="G46" t="inlineStr">
        <is>
          <t>ÖSTHAMMAR</t>
        </is>
      </c>
      <c r="I46" t="n">
        <v>1.4</v>
      </c>
      <c r="J46" t="n">
        <v>0</v>
      </c>
      <c r="K46" t="n">
        <v>3</v>
      </c>
      <c r="L46" t="n">
        <v>2</v>
      </c>
      <c r="M46" t="n">
        <v>0</v>
      </c>
      <c r="N46" t="n">
        <v>2</v>
      </c>
      <c r="O46" t="n">
        <v>0</v>
      </c>
      <c r="P46" t="n">
        <v>0</v>
      </c>
      <c r="Q46" t="n">
        <v>4</v>
      </c>
      <c r="R46" t="n">
        <v>2</v>
      </c>
      <c r="S46" t="n">
        <v>7</v>
      </c>
      <c r="T46" t="n">
        <v>8</v>
      </c>
      <c r="U46" t="n">
        <v>0</v>
      </c>
      <c r="V46" s="2" t="inlineStr">
        <is>
          <t>Gyllenfingersvamp
Koppartaggsvamp
Skarp dropptaggsvamp
Äggspindling
Anisspindling
Olivspindling
Trådticka</t>
        </is>
      </c>
      <c r="W46">
        <f>HYPERLINK("https://klasma.github.io/Logging_0382/artfynd/A 9569-2026 artfynd.xlsx", "A 9569-2026")</f>
        <v/>
      </c>
      <c r="X46">
        <f>HYPERLINK("https://klasma.github.io/Logging_0382/kartor/A 9569-2026 karta.png", "A 9569-2026")</f>
        <v/>
      </c>
      <c r="Y46">
        <f>HYPERLINK("https://klasma.github.io/Logging_0382/kartor_geotiff/A 9569-2026 georefererad karta.tif", "A 9569-2026")</f>
        <v/>
      </c>
      <c r="AA46">
        <f>HYPERLINK("https://klasma.github.io/Logging_0382/klagomål/A 9569-2026 FSC-klagomål.docx", "A 9569-2026")</f>
        <v/>
      </c>
      <c r="AB46">
        <f>HYPERLINK("https://klasma.github.io/Logging_0382/klagomålsmail/A 9569-2026 FSC-klagomål mail.docx", "A 9569-2026")</f>
        <v/>
      </c>
      <c r="AC46">
        <f>HYPERLINK("https://klasma.github.io/Logging_0382/tillsyn/A 9569-2026 tillsynsbegäran.docx", "A 9569-2026")</f>
        <v/>
      </c>
      <c r="AD46">
        <f>HYPERLINK("https://klasma.github.io/Logging_0382/tillsynsmail/A 9569-2026 tillsynsbegäran mail.docx", "A 9569-2026")</f>
        <v/>
      </c>
    </row>
    <row r="47" ht="15" customHeight="1">
      <c r="A47" t="inlineStr">
        <is>
          <t>A 33800-2024</t>
        </is>
      </c>
      <c r="B47" t="inlineStr">
        <is>
          <t>avverkningsanmälan</t>
        </is>
      </c>
      <c r="C47" t="inlineStr">
        <is>
          <t>Avverkning för annat ändamål</t>
        </is>
      </c>
      <c r="D47" s="1" t="n">
        <v>45520</v>
      </c>
      <c r="E47" s="1" t="n">
        <v>46317</v>
      </c>
      <c r="F47" t="inlineStr">
        <is>
          <t>UPPSALA LÄN</t>
        </is>
      </c>
      <c r="G47" t="inlineStr">
        <is>
          <t>ÖSTHAMMAR</t>
        </is>
      </c>
      <c r="H47" t="inlineStr">
        <is>
          <t>Naturvårdsverket</t>
        </is>
      </c>
      <c r="I47" t="n">
        <v>1.5</v>
      </c>
      <c r="J47" t="n">
        <v>3</v>
      </c>
      <c r="K47" t="n">
        <v>2</v>
      </c>
      <c r="L47" t="n">
        <v>3</v>
      </c>
      <c r="M47" t="n">
        <v>0</v>
      </c>
      <c r="N47" t="n">
        <v>0</v>
      </c>
      <c r="O47" t="n">
        <v>0</v>
      </c>
      <c r="P47" t="n">
        <v>0</v>
      </c>
      <c r="Q47" t="n">
        <v>3</v>
      </c>
      <c r="R47" t="n">
        <v>0</v>
      </c>
      <c r="S47" t="n">
        <v>7</v>
      </c>
      <c r="T47" t="n">
        <v>7</v>
      </c>
      <c r="U47" t="n">
        <v>7</v>
      </c>
      <c r="V47" s="2" t="inlineStr">
        <is>
          <t>Kattfotslav
Talltita
Ullticka
Granbarkgnagare
Rödgul trumpetsvamp
Tjäder
Fläcknycklar</t>
        </is>
      </c>
      <c r="W47">
        <f>HYPERLINK("https://klasma.github.io/Logging_0382/artfynd/A 33800-2024 artfynd.xlsx", "A 33800-2024")</f>
        <v/>
      </c>
      <c r="X47">
        <f>HYPERLINK("https://klasma.github.io/Logging_0382/kartor/A 33800-2024 karta.png", "A 33800-2024")</f>
        <v/>
      </c>
      <c r="Y47">
        <f>HYPERLINK("https://klasma.github.io/Logging_0382/kartor_geotiff/A 33800-2024 georefererad karta.tif", "A 33800-2024")</f>
        <v/>
      </c>
      <c r="AA47">
        <f>HYPERLINK("https://klasma.github.io/Logging_0382/klagomål/A 33800-2024 FSC-klagomål.docx", "A 33800-2024")</f>
        <v/>
      </c>
      <c r="AB47">
        <f>HYPERLINK("https://klasma.github.io/Logging_0382/klagomålsmail/A 33800-2024 FSC-klagomål mail.docx", "A 33800-2024")</f>
        <v/>
      </c>
      <c r="AC47">
        <f>HYPERLINK("https://klasma.github.io/Logging_0382/tillsyn/A 33800-2024 tillsynsbegäran.docx", "A 33800-2024")</f>
        <v/>
      </c>
      <c r="AD47">
        <f>HYPERLINK("https://klasma.github.io/Logging_0382/tillsynsmail/A 33800-2024 tillsynsbegäran mail.docx", "A 33800-2024")</f>
        <v/>
      </c>
      <c r="AE47">
        <f>HYPERLINK("https://klasma.github.io/Logging_0382/fåglar/A 33800-2024 prioriterade fågelarter.docx", "A 33800-2024")</f>
        <v/>
      </c>
    </row>
    <row r="48" ht="15" customHeight="1">
      <c r="A48" t="inlineStr">
        <is>
          <t>A 9646-2024</t>
        </is>
      </c>
      <c r="B48" t="inlineStr">
        <is>
          <t>avverkningsanmälan</t>
        </is>
      </c>
      <c r="C48" t="inlineStr">
        <is>
          <t>Föryngringsavverkning</t>
        </is>
      </c>
      <c r="D48" s="1" t="n">
        <v>45362</v>
      </c>
      <c r="E48" s="1" t="n">
        <v>46317</v>
      </c>
      <c r="F48" t="inlineStr">
        <is>
          <t>UPPSALA LÄN</t>
        </is>
      </c>
      <c r="G48" t="inlineStr">
        <is>
          <t>ÖSTHAMMAR</t>
        </is>
      </c>
      <c r="I48" t="n">
        <v>1.6</v>
      </c>
      <c r="J48" t="n">
        <v>2</v>
      </c>
      <c r="K48" t="n">
        <v>2</v>
      </c>
      <c r="L48" t="n">
        <v>2</v>
      </c>
      <c r="M48" t="n">
        <v>2</v>
      </c>
      <c r="N48" t="n">
        <v>1</v>
      </c>
      <c r="O48" t="n">
        <v>0</v>
      </c>
      <c r="P48" t="n">
        <v>0</v>
      </c>
      <c r="Q48" t="n">
        <v>5</v>
      </c>
      <c r="R48" t="n">
        <v>3</v>
      </c>
      <c r="S48" t="n">
        <v>7</v>
      </c>
      <c r="T48" t="n">
        <v>8</v>
      </c>
      <c r="U48" t="n">
        <v>7</v>
      </c>
      <c r="V48" s="2" t="inlineStr">
        <is>
          <t>Violgubbe
Knärot
Läderdoftande fingersvamp
Gultoppig fingersvamp
Ullticka
Kalktallört
Skogsknipprot</t>
        </is>
      </c>
      <c r="W48">
        <f>HYPERLINK("https://klasma.github.io/Logging_0382/artfynd/A 9646-2024 artfynd.xlsx", "A 9646-2024")</f>
        <v/>
      </c>
      <c r="X48">
        <f>HYPERLINK("https://klasma.github.io/Logging_0382/kartor/A 9646-2024 karta.png", "A 9646-2024")</f>
        <v/>
      </c>
      <c r="Y48">
        <f>HYPERLINK("https://klasma.github.io/Logging_0382/kartor_geotiff/A 9646-2024 georefererad karta.tif", "A 9646-2024")</f>
        <v/>
      </c>
      <c r="Z48">
        <f>HYPERLINK("https://klasma.github.io/Logging_0382/knärot/A 9646-2024 karta knärot.png", "A 9646-2024")</f>
        <v/>
      </c>
      <c r="AA48">
        <f>HYPERLINK("https://klasma.github.io/Logging_0382/klagomål/A 9646-2024 FSC-klagomål.docx", "A 9646-2024")</f>
        <v/>
      </c>
      <c r="AB48">
        <f>HYPERLINK("https://klasma.github.io/Logging_0382/klagomålsmail/A 9646-2024 FSC-klagomål mail.docx", "A 9646-2024")</f>
        <v/>
      </c>
      <c r="AC48">
        <f>HYPERLINK("https://klasma.github.io/Logging_0382/tillsyn/A 9646-2024 tillsynsbegäran.docx", "A 9646-2024")</f>
        <v/>
      </c>
      <c r="AD48">
        <f>HYPERLINK("https://klasma.github.io/Logging_0382/tillsynsmail/A 9646-2024 tillsynsbegäran mail.docx", "A 9646-2024")</f>
        <v/>
      </c>
    </row>
    <row r="49" ht="15" customHeight="1">
      <c r="A49" t="inlineStr">
        <is>
          <t>A 43992-2022</t>
        </is>
      </c>
      <c r="B49" t="inlineStr">
        <is>
          <t>avverkningsanmälan</t>
        </is>
      </c>
      <c r="C49" t="inlineStr">
        <is>
          <t>Avverkning för annat ändamål</t>
        </is>
      </c>
      <c r="D49" s="1" t="n">
        <v>44837</v>
      </c>
      <c r="E49" s="1" t="n">
        <v>46317</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33269-2025</t>
        </is>
      </c>
      <c r="B50" t="inlineStr">
        <is>
          <t>avverkningsanmälan</t>
        </is>
      </c>
      <c r="C50" t="inlineStr">
        <is>
          <t>Föryngringsavverkning</t>
        </is>
      </c>
      <c r="D50" s="1" t="n">
        <v>45840</v>
      </c>
      <c r="E50" s="1" t="n">
        <v>46317</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46317</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43548-2026</t>
        </is>
      </c>
      <c r="B52" t="inlineStr">
        <is>
          <t>avverkningsanmälan</t>
        </is>
      </c>
      <c r="C52" t="inlineStr">
        <is>
          <t>Föryngringsavverkning</t>
        </is>
      </c>
      <c r="D52" s="1" t="n">
        <v>46315</v>
      </c>
      <c r="E52" s="1" t="n">
        <v>46317</v>
      </c>
      <c r="F52" t="inlineStr">
        <is>
          <t>UPPSALA LÄN</t>
        </is>
      </c>
      <c r="G52" t="inlineStr">
        <is>
          <t>ÖSTHAMMAR</t>
        </is>
      </c>
      <c r="I52" t="n">
        <v>4.3</v>
      </c>
      <c r="J52" t="n">
        <v>1</v>
      </c>
      <c r="K52" t="n">
        <v>2</v>
      </c>
      <c r="L52" t="n">
        <v>4</v>
      </c>
      <c r="M52" t="n">
        <v>1</v>
      </c>
      <c r="N52" t="n">
        <v>0</v>
      </c>
      <c r="O52" t="n">
        <v>0</v>
      </c>
      <c r="P52" t="n">
        <v>0</v>
      </c>
      <c r="Q52" t="n">
        <v>5</v>
      </c>
      <c r="R52" t="n">
        <v>1</v>
      </c>
      <c r="S52" t="n">
        <v>7</v>
      </c>
      <c r="T52" t="n">
        <v>8</v>
      </c>
      <c r="U52" t="n">
        <v>0</v>
      </c>
      <c r="V52" s="2" t="inlineStr">
        <is>
          <t>Knärot
Fjällig taggsvamp s.str.
Skarp dropptaggsvamp
Ullticka
Vågticka
Fällmossa
Stor aspticka</t>
        </is>
      </c>
      <c r="W52">
        <f>HYPERLINK("https://klasma.github.io/Logging_0382/artfynd/A 43548-2026 artfynd.xlsx", "A 43548-2026")</f>
        <v/>
      </c>
      <c r="X52">
        <f>HYPERLINK("https://klasma.github.io/Logging_0382/kartor/A 43548-2026 karta.png", "A 43548-2026")</f>
        <v/>
      </c>
      <c r="Y52">
        <f>HYPERLINK("https://klasma.github.io/Logging_0382/kartor_geotiff/A 43548-2026 georefererad karta.tif", "A 43548-2026")</f>
        <v/>
      </c>
      <c r="Z52">
        <f>HYPERLINK("https://klasma.github.io/Logging_0382/knärot/A 43548-2026 karta knärot.png", "A 43548-2026")</f>
        <v/>
      </c>
      <c r="AA52">
        <f>HYPERLINK("https://klasma.github.io/Logging_0382/klagomål/A 43548-2026 FSC-klagomål.docx", "A 43548-2026")</f>
        <v/>
      </c>
      <c r="AB52">
        <f>HYPERLINK("https://klasma.github.io/Logging_0382/klagomålsmail/A 43548-2026 FSC-klagomål mail.docx", "A 43548-2026")</f>
        <v/>
      </c>
      <c r="AC52">
        <f>HYPERLINK("https://klasma.github.io/Logging_0382/tillsyn/A 43548-2026 tillsynsbegäran.docx", "A 43548-2026")</f>
        <v/>
      </c>
      <c r="AD52">
        <f>HYPERLINK("https://klasma.github.io/Logging_0382/tillsynsmail/A 43548-2026 tillsynsbegäran mail.docx", "A 43548-2026")</f>
        <v/>
      </c>
    </row>
    <row r="53" ht="15" customHeight="1">
      <c r="A53" t="inlineStr">
        <is>
          <t>S 522-2022</t>
        </is>
      </c>
      <c r="B53" t="inlineStr">
        <is>
          <t>samrådsanmälan</t>
        </is>
      </c>
      <c r="C53" t="inlineStr">
        <is>
          <t>Skogsgödsling</t>
        </is>
      </c>
      <c r="D53" s="1" t="n">
        <v>44588</v>
      </c>
      <c r="E53" s="1" t="n">
        <v>46317</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46317</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46317</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19258-2026</t>
        </is>
      </c>
      <c r="B56" t="inlineStr">
        <is>
          <t>avverkningsanmälan</t>
        </is>
      </c>
      <c r="C56" t="inlineStr">
        <is>
          <t>Föryngringsavverkning</t>
        </is>
      </c>
      <c r="D56" s="1" t="n">
        <v>46132</v>
      </c>
      <c r="E56" s="1" t="n">
        <v>46317</v>
      </c>
      <c r="F56" t="inlineStr">
        <is>
          <t>UPPSALA LÄN</t>
        </is>
      </c>
      <c r="G56" t="inlineStr">
        <is>
          <t>ÖSTHAMMAR</t>
        </is>
      </c>
      <c r="H56" t="inlineStr">
        <is>
          <t>Naturvårdsverket</t>
        </is>
      </c>
      <c r="I56" t="n">
        <v>18.6</v>
      </c>
      <c r="J56" t="n">
        <v>0</v>
      </c>
      <c r="K56" t="n">
        <v>4</v>
      </c>
      <c r="L56" t="n">
        <v>2</v>
      </c>
      <c r="M56" t="n">
        <v>0</v>
      </c>
      <c r="N56" t="n">
        <v>0</v>
      </c>
      <c r="O56" t="n">
        <v>0</v>
      </c>
      <c r="P56" t="n">
        <v>0</v>
      </c>
      <c r="Q56" t="n">
        <v>2</v>
      </c>
      <c r="R56" t="n">
        <v>0</v>
      </c>
      <c r="S56" t="n">
        <v>6</v>
      </c>
      <c r="T56" t="n">
        <v>7</v>
      </c>
      <c r="U56" t="n">
        <v>7</v>
      </c>
      <c r="V56" s="2" t="inlineStr">
        <is>
          <t>Fjällig taggsvamp s.str.
Skarp dropptaggsvamp
Granbarkgnagare
Grönpyrola
Stubbspretmossa
Svavelriska</t>
        </is>
      </c>
      <c r="W56">
        <f>HYPERLINK("https://klasma.github.io/Logging_0382/artfynd/A 19258-2026 artfynd.xlsx", "A 19258-2026")</f>
        <v/>
      </c>
      <c r="X56">
        <f>HYPERLINK("https://klasma.github.io/Logging_0382/kartor/A 19258-2026 karta.png", "A 19258-2026")</f>
        <v/>
      </c>
      <c r="Y56">
        <f>HYPERLINK("https://klasma.github.io/Logging_0382/kartor_geotiff/A 19258-2026 georefererad karta.tif", "A 19258-2026")</f>
        <v/>
      </c>
      <c r="AA56">
        <f>HYPERLINK("https://klasma.github.io/Logging_0382/klagomål/A 19258-2026 FSC-klagomål.docx", "A 19258-2026")</f>
        <v/>
      </c>
      <c r="AB56">
        <f>HYPERLINK("https://klasma.github.io/Logging_0382/klagomålsmail/A 19258-2026 FSC-klagomål mail.docx", "A 19258-2026")</f>
        <v/>
      </c>
      <c r="AC56">
        <f>HYPERLINK("https://klasma.github.io/Logging_0382/tillsyn/A 19258-2026 tillsynsbegäran.docx", "A 19258-2026")</f>
        <v/>
      </c>
      <c r="AD56">
        <f>HYPERLINK("https://klasma.github.io/Logging_0382/tillsynsmail/A 19258-2026 tillsynsbegäran mail.docx", "A 19258-2026")</f>
        <v/>
      </c>
    </row>
    <row r="57" ht="15" customHeight="1">
      <c r="A57" t="inlineStr">
        <is>
          <t>A 24563-2022</t>
        </is>
      </c>
      <c r="B57" t="inlineStr">
        <is>
          <t>avverkningsanmälan</t>
        </is>
      </c>
      <c r="C57" t="inlineStr">
        <is>
          <t>Föryngringsavverkning</t>
        </is>
      </c>
      <c r="D57" s="1" t="n">
        <v>44727</v>
      </c>
      <c r="E57" s="1" t="n">
        <v>46317</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46317</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26552-2022</t>
        </is>
      </c>
      <c r="B59" t="inlineStr">
        <is>
          <t>avverkningsanmälan</t>
        </is>
      </c>
      <c r="C59" t="inlineStr">
        <is>
          <t>Föryngringsavverkning</t>
        </is>
      </c>
      <c r="D59" s="1" t="n">
        <v>44739</v>
      </c>
      <c r="E59" s="1" t="n">
        <v>46317</v>
      </c>
      <c r="F59" t="inlineStr">
        <is>
          <t>UPPSALA LÄN</t>
        </is>
      </c>
      <c r="G59" t="inlineStr">
        <is>
          <t>ÖSTHAMMAR</t>
        </is>
      </c>
      <c r="I59" t="n">
        <v>2.2</v>
      </c>
      <c r="J59" t="n">
        <v>6</v>
      </c>
      <c r="K59" t="n">
        <v>0</v>
      </c>
      <c r="L59" t="n">
        <v>3</v>
      </c>
      <c r="M59" t="n">
        <v>0</v>
      </c>
      <c r="N59" t="n">
        <v>0</v>
      </c>
      <c r="O59" t="n">
        <v>0</v>
      </c>
      <c r="P59" t="n">
        <v>0</v>
      </c>
      <c r="Q59" t="n">
        <v>3</v>
      </c>
      <c r="R59" t="n">
        <v>0</v>
      </c>
      <c r="S59" t="n">
        <v>6</v>
      </c>
      <c r="T59" t="n">
        <v>6</v>
      </c>
      <c r="U59" t="n">
        <v>4</v>
      </c>
      <c r="V59" s="2" t="inlineStr">
        <is>
          <t>Grönsångare
Nordfladdermus
Sädesärla
Mindre flugsnappare
Dvärgpipistrell
Vattenfladdermus</t>
        </is>
      </c>
      <c r="W59">
        <f>HYPERLINK("https://klasma.github.io/Logging_0382/artfynd/A 26552-2022 artfynd.xlsx", "A 26552-2022")</f>
        <v/>
      </c>
      <c r="X59">
        <f>HYPERLINK("https://klasma.github.io/Logging_0382/kartor/A 26552-2022 karta.png", "A 26552-2022")</f>
        <v/>
      </c>
      <c r="Y59">
        <f>HYPERLINK("https://klasma.github.io/Logging_0382/kartor_geotiff/A 26552-2022 georefererad karta.tif", "A 26552-2022")</f>
        <v/>
      </c>
      <c r="AA59">
        <f>HYPERLINK("https://klasma.github.io/Logging_0382/klagomål/A 26552-2022 FSC-klagomål.docx", "A 26552-2022")</f>
        <v/>
      </c>
      <c r="AB59">
        <f>HYPERLINK("https://klasma.github.io/Logging_0382/klagomålsmail/A 26552-2022 FSC-klagomål mail.docx", "A 26552-2022")</f>
        <v/>
      </c>
      <c r="AC59">
        <f>HYPERLINK("https://klasma.github.io/Logging_0382/tillsyn/A 26552-2022 tillsynsbegäran.docx", "A 26552-2022")</f>
        <v/>
      </c>
      <c r="AD59">
        <f>HYPERLINK("https://klasma.github.io/Logging_0382/tillsynsmail/A 26552-2022 tillsynsbegäran mail.docx", "A 26552-2022")</f>
        <v/>
      </c>
      <c r="AE59">
        <f>HYPERLINK("https://klasma.github.io/Logging_0382/fåglar/A 26552-2022 prioriterade fågelarter.docx", "A 26552-2022")</f>
        <v/>
      </c>
    </row>
    <row r="60" ht="15" customHeight="1">
      <c r="A60" t="inlineStr">
        <is>
          <t>A 55492-2023</t>
        </is>
      </c>
      <c r="B60" t="inlineStr">
        <is>
          <t>avverkningsanmälan</t>
        </is>
      </c>
      <c r="C60" t="inlineStr">
        <is>
          <t>Föryngringsavverkning</t>
        </is>
      </c>
      <c r="D60" s="1" t="n">
        <v>45238</v>
      </c>
      <c r="E60" s="1" t="n">
        <v>46317</v>
      </c>
      <c r="F60" t="inlineStr">
        <is>
          <t>UPPSALA LÄN</t>
        </is>
      </c>
      <c r="G60" t="inlineStr">
        <is>
          <t>ÖSTHAMMAR</t>
        </is>
      </c>
      <c r="I60" t="n">
        <v>3.1</v>
      </c>
      <c r="J60" t="n">
        <v>4</v>
      </c>
      <c r="K60" t="n">
        <v>2</v>
      </c>
      <c r="L60" t="n">
        <v>1</v>
      </c>
      <c r="M60" t="n">
        <v>1</v>
      </c>
      <c r="N60" t="n">
        <v>1</v>
      </c>
      <c r="O60" t="n">
        <v>0</v>
      </c>
      <c r="P60" t="n">
        <v>0</v>
      </c>
      <c r="Q60" t="n">
        <v>3</v>
      </c>
      <c r="R60" t="n">
        <v>2</v>
      </c>
      <c r="S60" t="n">
        <v>6</v>
      </c>
      <c r="T60" t="n">
        <v>23</v>
      </c>
      <c r="U60" t="n">
        <v>20</v>
      </c>
      <c r="V60" s="2" t="inlineStr">
        <is>
          <t>Violgubbe
Knärot
Orange taggsvamp
Skogsknipprot
Tvåblad
Fläcknycklar</t>
        </is>
      </c>
      <c r="W60">
        <f>HYPERLINK("https://klasma.github.io/Logging_0382/artfynd/A 55492-2023 artfynd.xlsx", "A 55492-2023")</f>
        <v/>
      </c>
      <c r="X60">
        <f>HYPERLINK("https://klasma.github.io/Logging_0382/kartor/A 55492-2023 karta.png", "A 55492-2023")</f>
        <v/>
      </c>
      <c r="Y60">
        <f>HYPERLINK("https://klasma.github.io/Logging_0382/kartor_geotiff/A 55492-2023 georefererad karta.tif", "A 55492-2023")</f>
        <v/>
      </c>
      <c r="Z60">
        <f>HYPERLINK("https://klasma.github.io/Logging_0382/knärot/A 55492-2023 karta knärot.png", "A 55492-2023")</f>
        <v/>
      </c>
      <c r="AA60">
        <f>HYPERLINK("https://klasma.github.io/Logging_0382/klagomål/A 55492-2023 FSC-klagomål.docx", "A 55492-2023")</f>
        <v/>
      </c>
      <c r="AB60">
        <f>HYPERLINK("https://klasma.github.io/Logging_0382/klagomålsmail/A 55492-2023 FSC-klagomål mail.docx", "A 55492-2023")</f>
        <v/>
      </c>
      <c r="AC60">
        <f>HYPERLINK("https://klasma.github.io/Logging_0382/tillsyn/A 55492-2023 tillsynsbegäran.docx", "A 55492-2023")</f>
        <v/>
      </c>
      <c r="AD60">
        <f>HYPERLINK("https://klasma.github.io/Logging_0382/tillsynsmail/A 55492-2023 tillsynsbegäran mail.docx", "A 55492-2023")</f>
        <v/>
      </c>
    </row>
    <row r="61" ht="15" customHeight="1">
      <c r="A61" t="inlineStr">
        <is>
          <t>A 39763-2022</t>
        </is>
      </c>
      <c r="B61" t="inlineStr">
        <is>
          <t>avverkningsanmälan</t>
        </is>
      </c>
      <c r="C61" t="inlineStr">
        <is>
          <t>Föryngringsavverkning</t>
        </is>
      </c>
      <c r="D61" s="1" t="n">
        <v>44819</v>
      </c>
      <c r="E61" s="1" t="n">
        <v>46317</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46317</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46317</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17004-2024</t>
        </is>
      </c>
      <c r="B64" t="inlineStr">
        <is>
          <t>avverkningsanmälan</t>
        </is>
      </c>
      <c r="C64" t="inlineStr">
        <is>
          <t>Föryngringsavverkning</t>
        </is>
      </c>
      <c r="D64" s="1" t="n">
        <v>45412</v>
      </c>
      <c r="E64" s="1" t="n">
        <v>46317</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52650-2022</t>
        </is>
      </c>
      <c r="B65" t="inlineStr">
        <is>
          <t>avverkningsanmälan</t>
        </is>
      </c>
      <c r="C65" t="inlineStr">
        <is>
          <t>Föryngringsavverkning</t>
        </is>
      </c>
      <c r="D65" s="1" t="n">
        <v>44874</v>
      </c>
      <c r="E65" s="1" t="n">
        <v>46317</v>
      </c>
      <c r="F65" t="inlineStr">
        <is>
          <t>UPPSALA LÄN</t>
        </is>
      </c>
      <c r="G65" t="inlineStr">
        <is>
          <t>ÖSTHAMMAR</t>
        </is>
      </c>
      <c r="H65" t="inlineStr">
        <is>
          <t>Bergvik skog öst AB</t>
        </is>
      </c>
      <c r="I65" t="n">
        <v>0.4</v>
      </c>
      <c r="J65" t="n">
        <v>5</v>
      </c>
      <c r="K65" t="n">
        <v>0</v>
      </c>
      <c r="L65" t="n">
        <v>2</v>
      </c>
      <c r="M65" t="n">
        <v>0</v>
      </c>
      <c r="N65" t="n">
        <v>0</v>
      </c>
      <c r="O65" t="n">
        <v>0</v>
      </c>
      <c r="P65" t="n">
        <v>0</v>
      </c>
      <c r="Q65" t="n">
        <v>2</v>
      </c>
      <c r="R65" t="n">
        <v>0</v>
      </c>
      <c r="S65" t="n">
        <v>5</v>
      </c>
      <c r="T65" t="n">
        <v>5</v>
      </c>
      <c r="U65" t="n">
        <v>0</v>
      </c>
      <c r="V65" s="2" t="inlineStr">
        <is>
          <t>Enkelbeckasin
Gulsparv
Grönsiska
Kungsfågel
Sångsvan</t>
        </is>
      </c>
      <c r="W65">
        <f>HYPERLINK("https://klasma.github.io/Logging_0382/artfynd/A 52650-2022 artfynd.xlsx", "A 52650-2022")</f>
        <v/>
      </c>
      <c r="X65">
        <f>HYPERLINK("https://klasma.github.io/Logging_0382/kartor/A 52650-2022 karta.png", "A 52650-2022")</f>
        <v/>
      </c>
      <c r="Y65">
        <f>HYPERLINK("https://klasma.github.io/Logging_0382/kartor_geotiff/A 52650-2022 georefererad karta.tif", "A 52650-2022")</f>
        <v/>
      </c>
      <c r="AA65">
        <f>HYPERLINK("https://klasma.github.io/Logging_0382/klagomål/A 52650-2022 FSC-klagomål.docx", "A 52650-2022")</f>
        <v/>
      </c>
      <c r="AB65">
        <f>HYPERLINK("https://klasma.github.io/Logging_0382/klagomålsmail/A 52650-2022 FSC-klagomål mail.docx", "A 52650-2022")</f>
        <v/>
      </c>
      <c r="AC65">
        <f>HYPERLINK("https://klasma.github.io/Logging_0382/tillsyn/A 52650-2022 tillsynsbegäran.docx", "A 52650-2022")</f>
        <v/>
      </c>
      <c r="AD65">
        <f>HYPERLINK("https://klasma.github.io/Logging_0382/tillsynsmail/A 52650-2022 tillsynsbegäran mail.docx", "A 52650-2022")</f>
        <v/>
      </c>
      <c r="AE65">
        <f>HYPERLINK("https://klasma.github.io/Logging_0382/fåglar/A 52650-2022 prioriterade fågelarter.docx", "A 52650-2022")</f>
        <v/>
      </c>
    </row>
    <row r="66" ht="15" customHeight="1">
      <c r="A66" t="inlineStr">
        <is>
          <t>A 25179-2023</t>
        </is>
      </c>
      <c r="B66" t="inlineStr">
        <is>
          <t>avverkningsanmälan</t>
        </is>
      </c>
      <c r="C66" t="inlineStr">
        <is>
          <t>Avverkning för annat ändamål</t>
        </is>
      </c>
      <c r="D66" s="1" t="n">
        <v>45078</v>
      </c>
      <c r="E66" s="1" t="n">
        <v>46317</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29679-2023</t>
        </is>
      </c>
      <c r="B67" t="inlineStr">
        <is>
          <t>avverkningsanmälan</t>
        </is>
      </c>
      <c r="C67" t="inlineStr">
        <is>
          <t>Avverkning för att bevara och utveckla /försöksver</t>
        </is>
      </c>
      <c r="D67" s="1" t="n">
        <v>45107</v>
      </c>
      <c r="E67" s="1" t="n">
        <v>46317</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24797-2022</t>
        </is>
      </c>
      <c r="B68" t="inlineStr">
        <is>
          <t>avverkningsanmälan</t>
        </is>
      </c>
      <c r="C68" t="inlineStr">
        <is>
          <t>Föryngringsavverkning</t>
        </is>
      </c>
      <c r="D68" s="1" t="n">
        <v>44728</v>
      </c>
      <c r="E68" s="1" t="n">
        <v>46317</v>
      </c>
      <c r="F68" t="inlineStr">
        <is>
          <t>UPPSALA LÄN</t>
        </is>
      </c>
      <c r="G68" t="inlineStr">
        <is>
          <t>ÖSTHAMMAR</t>
        </is>
      </c>
      <c r="H68" t="inlineStr">
        <is>
          <t>Sveaskog</t>
        </is>
      </c>
      <c r="I68" t="n">
        <v>1.7</v>
      </c>
      <c r="J68" t="n">
        <v>5</v>
      </c>
      <c r="K68" t="n">
        <v>0</v>
      </c>
      <c r="L68" t="n">
        <v>1</v>
      </c>
      <c r="M68" t="n">
        <v>2</v>
      </c>
      <c r="N68" t="n">
        <v>0</v>
      </c>
      <c r="O68" t="n">
        <v>0</v>
      </c>
      <c r="P68" t="n">
        <v>0</v>
      </c>
      <c r="Q68" t="n">
        <v>3</v>
      </c>
      <c r="R68" t="n">
        <v>2</v>
      </c>
      <c r="S68" t="n">
        <v>5</v>
      </c>
      <c r="T68" t="n">
        <v>7</v>
      </c>
      <c r="U68" t="n">
        <v>0</v>
      </c>
      <c r="V68" s="2" t="inlineStr">
        <is>
          <t>Stare
Tofsvipa
Gulsparv
Buskskvätta
Svartvit flugsnappare</t>
        </is>
      </c>
      <c r="W68">
        <f>HYPERLINK("https://klasma.github.io/Logging_0382/artfynd/A 24797-2022 artfynd.xlsx", "A 24797-2022")</f>
        <v/>
      </c>
      <c r="X68">
        <f>HYPERLINK("https://klasma.github.io/Logging_0382/kartor/A 24797-2022 karta.png", "A 24797-2022")</f>
        <v/>
      </c>
      <c r="Y68">
        <f>HYPERLINK("https://klasma.github.io/Logging_0382/kartor_geotiff/A 24797-2022 georefererad karta.tif", "A 24797-2022")</f>
        <v/>
      </c>
      <c r="AA68">
        <f>HYPERLINK("https://klasma.github.io/Logging_0382/klagomål/A 24797-2022 FSC-klagomål.docx", "A 24797-2022")</f>
        <v/>
      </c>
      <c r="AB68">
        <f>HYPERLINK("https://klasma.github.io/Logging_0382/klagomålsmail/A 24797-2022 FSC-klagomål mail.docx", "A 24797-2022")</f>
        <v/>
      </c>
      <c r="AC68">
        <f>HYPERLINK("https://klasma.github.io/Logging_0382/tillsyn/A 24797-2022 tillsynsbegäran.docx", "A 24797-2022")</f>
        <v/>
      </c>
      <c r="AD68">
        <f>HYPERLINK("https://klasma.github.io/Logging_0382/tillsynsmail/A 24797-2022 tillsynsbegäran mail.docx", "A 24797-2022")</f>
        <v/>
      </c>
      <c r="AE68">
        <f>HYPERLINK("https://klasma.github.io/Logging_0382/fåglar/A 24797-2022 prioriterade fågelarter.docx", "A 24797-2022")</f>
        <v/>
      </c>
    </row>
    <row r="69" ht="15" customHeight="1">
      <c r="A69" t="inlineStr">
        <is>
          <t>A 67855-2021</t>
        </is>
      </c>
      <c r="B69" t="inlineStr">
        <is>
          <t>avverkningsanmälan</t>
        </is>
      </c>
      <c r="C69" t="inlineStr">
        <is>
          <t>Föryngringsavverkning</t>
        </is>
      </c>
      <c r="D69" s="1" t="n">
        <v>44525</v>
      </c>
      <c r="E69" s="1" t="n">
        <v>46317</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A 35734-2026</t>
        </is>
      </c>
      <c r="B70" t="inlineStr">
        <is>
          <t>avverkningsanmälan</t>
        </is>
      </c>
      <c r="C70" t="inlineStr">
        <is>
          <t>Föryngringsavverkning</t>
        </is>
      </c>
      <c r="D70" s="1" t="n">
        <v>46265</v>
      </c>
      <c r="E70" s="1" t="n">
        <v>46317</v>
      </c>
      <c r="F70" t="inlineStr">
        <is>
          <t>UPPSALA LÄN</t>
        </is>
      </c>
      <c r="G70" t="inlineStr">
        <is>
          <t>ÖSTHAMMAR</t>
        </is>
      </c>
      <c r="I70" t="n">
        <v>1.5</v>
      </c>
      <c r="J70" t="n">
        <v>0</v>
      </c>
      <c r="K70" t="n">
        <v>2</v>
      </c>
      <c r="L70" t="n">
        <v>2</v>
      </c>
      <c r="M70" t="n">
        <v>1</v>
      </c>
      <c r="N70" t="n">
        <v>0</v>
      </c>
      <c r="O70" t="n">
        <v>0</v>
      </c>
      <c r="P70" t="n">
        <v>0</v>
      </c>
      <c r="Q70" t="n">
        <v>3</v>
      </c>
      <c r="R70" t="n">
        <v>1</v>
      </c>
      <c r="S70" t="n">
        <v>5</v>
      </c>
      <c r="T70" t="n">
        <v>7</v>
      </c>
      <c r="U70" t="n">
        <v>0</v>
      </c>
      <c r="V70" s="2" t="inlineStr">
        <is>
          <t>Kopparspindling
Fjällig taggsvamp s.str.
Skarp dropptaggsvamp
Olivspindling
Rödgul trumpetsvamp</t>
        </is>
      </c>
      <c r="W70">
        <f>HYPERLINK("https://klasma.github.io/Logging_0382/artfynd/A 35734-2026 artfynd.xlsx", "A 35734-2026")</f>
        <v/>
      </c>
      <c r="X70">
        <f>HYPERLINK("https://klasma.github.io/Logging_0382/kartor/A 35734-2026 karta.png", "A 35734-2026")</f>
        <v/>
      </c>
      <c r="Y70">
        <f>HYPERLINK("https://klasma.github.io/Logging_0382/kartor_geotiff/A 35734-2026 georefererad karta.tif", "A 35734-2026")</f>
        <v/>
      </c>
      <c r="AA70">
        <f>HYPERLINK("https://klasma.github.io/Logging_0382/klagomål/A 35734-2026 FSC-klagomål.docx", "A 35734-2026")</f>
        <v/>
      </c>
      <c r="AB70">
        <f>HYPERLINK("https://klasma.github.io/Logging_0382/klagomålsmail/A 35734-2026 FSC-klagomål mail.docx", "A 35734-2026")</f>
        <v/>
      </c>
      <c r="AC70">
        <f>HYPERLINK("https://klasma.github.io/Logging_0382/tillsyn/A 35734-2026 tillsynsbegäran.docx", "A 35734-2026")</f>
        <v/>
      </c>
      <c r="AD70">
        <f>HYPERLINK("https://klasma.github.io/Logging_0382/tillsynsmail/A 35734-2026 tillsynsbegäran mail.docx", "A 35734-2026")</f>
        <v/>
      </c>
    </row>
    <row r="71" ht="15" customHeight="1">
      <c r="A71" t="inlineStr">
        <is>
          <t>S 193-2024</t>
        </is>
      </c>
      <c r="B71" t="inlineStr">
        <is>
          <t>samrådsanmälan</t>
        </is>
      </c>
      <c r="C71" t="inlineStr">
        <is>
          <t>Skogsgödsling</t>
        </is>
      </c>
      <c r="D71" s="1" t="n">
        <v>45315</v>
      </c>
      <c r="E71" s="1" t="n">
        <v>46317</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38233-2024</t>
        </is>
      </c>
      <c r="B72" t="inlineStr">
        <is>
          <t>avverkningsanmälan</t>
        </is>
      </c>
      <c r="C72" t="inlineStr">
        <is>
          <t>Föryngringsavverkning</t>
        </is>
      </c>
      <c r="D72" s="1" t="n">
        <v>45545</v>
      </c>
      <c r="E72" s="1" t="n">
        <v>46317</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48352-2022</t>
        </is>
      </c>
      <c r="B73" t="inlineStr">
        <is>
          <t>avverkningsanmälan</t>
        </is>
      </c>
      <c r="C73" t="inlineStr">
        <is>
          <t>Föryngringsavverkning</t>
        </is>
      </c>
      <c r="D73" s="1" t="n">
        <v>44858</v>
      </c>
      <c r="E73" s="1" t="n">
        <v>46317</v>
      </c>
      <c r="F73" t="inlineStr">
        <is>
          <t>UPPSALA LÄN</t>
        </is>
      </c>
      <c r="G73" t="inlineStr">
        <is>
          <t>ÖSTHAMMAR</t>
        </is>
      </c>
      <c r="I73" t="n">
        <v>4.8</v>
      </c>
      <c r="J73" t="n">
        <v>0</v>
      </c>
      <c r="K73" t="n">
        <v>2</v>
      </c>
      <c r="L73" t="n">
        <v>2</v>
      </c>
      <c r="M73" t="n">
        <v>0</v>
      </c>
      <c r="N73" t="n">
        <v>0</v>
      </c>
      <c r="O73" t="n">
        <v>0</v>
      </c>
      <c r="P73" t="n">
        <v>0</v>
      </c>
      <c r="Q73" t="n">
        <v>2</v>
      </c>
      <c r="R73" t="n">
        <v>0</v>
      </c>
      <c r="S73" t="n">
        <v>4</v>
      </c>
      <c r="T73" t="n">
        <v>4</v>
      </c>
      <c r="U73" t="n">
        <v>0</v>
      </c>
      <c r="V73" s="2" t="inlineStr">
        <is>
          <t>Gultoppig fingersvamp
Skarp dropptaggsvamp
Anisspindling
Diskvaxskivling</t>
        </is>
      </c>
      <c r="W73">
        <f>HYPERLINK("https://klasma.github.io/Logging_0382/artfynd/A 48352-2022 artfynd.xlsx", "A 48352-2022")</f>
        <v/>
      </c>
      <c r="X73">
        <f>HYPERLINK("https://klasma.github.io/Logging_0382/kartor/A 48352-2022 karta.png", "A 48352-2022")</f>
        <v/>
      </c>
      <c r="Y73">
        <f>HYPERLINK("https://klasma.github.io/Logging_0382/kartor_geotiff/A 48352-2022 georefererad karta.tif", "A 48352-2022")</f>
        <v/>
      </c>
      <c r="AA73">
        <f>HYPERLINK("https://klasma.github.io/Logging_0382/klagomål/A 48352-2022 FSC-klagomål.docx", "A 48352-2022")</f>
        <v/>
      </c>
      <c r="AB73">
        <f>HYPERLINK("https://klasma.github.io/Logging_0382/klagomålsmail/A 48352-2022 FSC-klagomål mail.docx", "A 48352-2022")</f>
        <v/>
      </c>
      <c r="AC73">
        <f>HYPERLINK("https://klasma.github.io/Logging_0382/tillsyn/A 48352-2022 tillsynsbegäran.docx", "A 48352-2022")</f>
        <v/>
      </c>
      <c r="AD73">
        <f>HYPERLINK("https://klasma.github.io/Logging_0382/tillsynsmail/A 48352-2022 tillsynsbegäran mail.docx", "A 48352-2022")</f>
        <v/>
      </c>
    </row>
    <row r="74" ht="15" customHeight="1">
      <c r="A74" t="inlineStr">
        <is>
          <t>A 4714-2026</t>
        </is>
      </c>
      <c r="B74" t="inlineStr">
        <is>
          <t>avverkningsanmälan</t>
        </is>
      </c>
      <c r="C74" t="inlineStr">
        <is>
          <t>Avverkning för att bevara och utveckla /försöksver</t>
        </is>
      </c>
      <c r="D74" s="1" t="n">
        <v>46048</v>
      </c>
      <c r="E74" s="1" t="n">
        <v>46317</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60889-2025</t>
        </is>
      </c>
      <c r="B75" t="inlineStr">
        <is>
          <t>avverkningsanmälan</t>
        </is>
      </c>
      <c r="C75" t="inlineStr">
        <is>
          <t>Föryngringsavverkning</t>
        </is>
      </c>
      <c r="D75" s="1" t="n">
        <v>45999</v>
      </c>
      <c r="E75" s="1" t="n">
        <v>46317</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22287-2023</t>
        </is>
      </c>
      <c r="B76" t="inlineStr">
        <is>
          <t>avverkningsanmälan</t>
        </is>
      </c>
      <c r="C76" t="inlineStr">
        <is>
          <t>Föryngringsavverkning</t>
        </is>
      </c>
      <c r="D76" s="1" t="n">
        <v>45070</v>
      </c>
      <c r="E76" s="1" t="n">
        <v>46317</v>
      </c>
      <c r="F76" t="inlineStr">
        <is>
          <t>UPPSALA LÄN</t>
        </is>
      </c>
      <c r="G76" t="inlineStr">
        <is>
          <t>ÖSTHAMMAR</t>
        </is>
      </c>
      <c r="I76" t="n">
        <v>6.3</v>
      </c>
      <c r="J76" t="n">
        <v>2</v>
      </c>
      <c r="K76" t="n">
        <v>2</v>
      </c>
      <c r="L76" t="n">
        <v>1</v>
      </c>
      <c r="M76" t="n">
        <v>0</v>
      </c>
      <c r="N76" t="n">
        <v>0</v>
      </c>
      <c r="O76" t="n">
        <v>0</v>
      </c>
      <c r="P76" t="n">
        <v>0</v>
      </c>
      <c r="Q76" t="n">
        <v>1</v>
      </c>
      <c r="R76" t="n">
        <v>0</v>
      </c>
      <c r="S76" t="n">
        <v>4</v>
      </c>
      <c r="T76" t="n">
        <v>6</v>
      </c>
      <c r="U76" t="n">
        <v>6</v>
      </c>
      <c r="V76" s="2" t="inlineStr">
        <is>
          <t>Vårärt
Guckusko
Rödgul trumpetsvamp
Blåsippa</t>
        </is>
      </c>
      <c r="W76">
        <f>HYPERLINK("https://klasma.github.io/Logging_0382/artfynd/A 22287-2023 artfynd.xlsx", "A 22287-2023")</f>
        <v/>
      </c>
      <c r="X76">
        <f>HYPERLINK("https://klasma.github.io/Logging_0382/kartor/A 22287-2023 karta.png", "A 22287-2023")</f>
        <v/>
      </c>
      <c r="Y76">
        <f>HYPERLINK("https://klasma.github.io/Logging_0382/kartor_geotiff/A 22287-2023 georefererad karta.tif", "A 22287-2023")</f>
        <v/>
      </c>
      <c r="AA76">
        <f>HYPERLINK("https://klasma.github.io/Logging_0382/klagomål/A 22287-2023 FSC-klagomål.docx", "A 22287-2023")</f>
        <v/>
      </c>
      <c r="AB76">
        <f>HYPERLINK("https://klasma.github.io/Logging_0382/klagomålsmail/A 22287-2023 FSC-klagomål mail.docx", "A 22287-2023")</f>
        <v/>
      </c>
      <c r="AC76">
        <f>HYPERLINK("https://klasma.github.io/Logging_0382/tillsyn/A 22287-2023 tillsynsbegäran.docx", "A 22287-2023")</f>
        <v/>
      </c>
      <c r="AD76">
        <f>HYPERLINK("https://klasma.github.io/Logging_0382/tillsynsmail/A 22287-2023 tillsynsbegäran mail.docx", "A 22287-2023")</f>
        <v/>
      </c>
    </row>
    <row r="77" ht="15" customHeight="1">
      <c r="A77" t="inlineStr">
        <is>
          <t>A 9683-2023</t>
        </is>
      </c>
      <c r="B77" t="inlineStr">
        <is>
          <t>avverkningsanmälan</t>
        </is>
      </c>
      <c r="C77" t="inlineStr">
        <is>
          <t>Föryngringsavverkning</t>
        </is>
      </c>
      <c r="D77" s="1" t="n">
        <v>44984</v>
      </c>
      <c r="E77" s="1" t="n">
        <v>46317</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46317</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46317</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46317</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46317</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24606-2024</t>
        </is>
      </c>
      <c r="B82" t="inlineStr">
        <is>
          <t>avverkningsanmälan</t>
        </is>
      </c>
      <c r="C82" t="inlineStr">
        <is>
          <t>Föryngringsavverkning</t>
        </is>
      </c>
      <c r="D82" s="1" t="n">
        <v>45460</v>
      </c>
      <c r="E82" s="1" t="n">
        <v>46317</v>
      </c>
      <c r="F82" t="inlineStr">
        <is>
          <t>UPPSALA LÄN</t>
        </is>
      </c>
      <c r="G82" t="inlineStr">
        <is>
          <t>ÖSTHAMMAR</t>
        </is>
      </c>
      <c r="H82" t="inlineStr">
        <is>
          <t>Bergvik skog öst AB</t>
        </is>
      </c>
      <c r="I82" t="n">
        <v>2.9</v>
      </c>
      <c r="J82" t="n">
        <v>0</v>
      </c>
      <c r="K82" t="n">
        <v>1</v>
      </c>
      <c r="L82" t="n">
        <v>1</v>
      </c>
      <c r="M82" t="n">
        <v>0</v>
      </c>
      <c r="N82" t="n">
        <v>1</v>
      </c>
      <c r="O82" t="n">
        <v>0</v>
      </c>
      <c r="P82" t="n">
        <v>0</v>
      </c>
      <c r="Q82" t="n">
        <v>2</v>
      </c>
      <c r="R82" t="n">
        <v>1</v>
      </c>
      <c r="S82" t="n">
        <v>3</v>
      </c>
      <c r="T82" t="n">
        <v>3</v>
      </c>
      <c r="U82" t="n">
        <v>0</v>
      </c>
      <c r="V82" s="2" t="inlineStr">
        <is>
          <t>Violgubbe
Dofttaggsvamp
Zontaggsvamp</t>
        </is>
      </c>
      <c r="W82">
        <f>HYPERLINK("https://klasma.github.io/Logging_0382/artfynd/A 24606-2024 artfynd.xlsx", "A 24606-2024")</f>
        <v/>
      </c>
      <c r="X82">
        <f>HYPERLINK("https://klasma.github.io/Logging_0382/kartor/A 24606-2024 karta.png", "A 24606-2024")</f>
        <v/>
      </c>
      <c r="Y82">
        <f>HYPERLINK("https://klasma.github.io/Logging_0382/kartor_geotiff/A 24606-2024 georefererad karta.tif", "A 24606-2024")</f>
        <v/>
      </c>
      <c r="AA82">
        <f>HYPERLINK("https://klasma.github.io/Logging_0382/klagomål/A 24606-2024 FSC-klagomål.docx", "A 24606-2024")</f>
        <v/>
      </c>
      <c r="AB82">
        <f>HYPERLINK("https://klasma.github.io/Logging_0382/klagomålsmail/A 24606-2024 FSC-klagomål mail.docx", "A 24606-2024")</f>
        <v/>
      </c>
      <c r="AC82">
        <f>HYPERLINK("https://klasma.github.io/Logging_0382/tillsyn/A 24606-2024 tillsynsbegäran.docx", "A 24606-2024")</f>
        <v/>
      </c>
      <c r="AD82">
        <f>HYPERLINK("https://klasma.github.io/Logging_0382/tillsynsmail/A 24606-2024 tillsynsbegäran mail.docx", "A 24606-2024")</f>
        <v/>
      </c>
    </row>
    <row r="83" ht="15" customHeight="1">
      <c r="A83" t="inlineStr">
        <is>
          <t>A 60898-2025</t>
        </is>
      </c>
      <c r="B83" t="inlineStr">
        <is>
          <t>avverkningsanmälan</t>
        </is>
      </c>
      <c r="C83" t="inlineStr">
        <is>
          <t>Föryngringsavverkning</t>
        </is>
      </c>
      <c r="D83" s="1" t="n">
        <v>45999</v>
      </c>
      <c r="E83" s="1" t="n">
        <v>46317</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17694-2026</t>
        </is>
      </c>
      <c r="B84" t="inlineStr">
        <is>
          <t>avverkningsanmälan</t>
        </is>
      </c>
      <c r="C84" t="inlineStr">
        <is>
          <t>Föryngringsavverkning</t>
        </is>
      </c>
      <c r="D84" s="1" t="n">
        <v>46121</v>
      </c>
      <c r="E84" s="1" t="n">
        <v>46317</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22375-2024</t>
        </is>
      </c>
      <c r="B85" t="inlineStr">
        <is>
          <t>avverkningsanmälan</t>
        </is>
      </c>
      <c r="C85" t="inlineStr">
        <is>
          <t>Föryngringsavverkning</t>
        </is>
      </c>
      <c r="D85" s="1" t="n">
        <v>45446</v>
      </c>
      <c r="E85" s="1" t="n">
        <v>46317</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46317</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46317</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46317</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38318-2026</t>
        </is>
      </c>
      <c r="B89" t="inlineStr">
        <is>
          <t>avverkningsanmälan</t>
        </is>
      </c>
      <c r="C89" t="inlineStr">
        <is>
          <t>Föryngringsavverkning</t>
        </is>
      </c>
      <c r="D89" s="1" t="n">
        <v>46282</v>
      </c>
      <c r="E89" s="1" t="n">
        <v>46317</v>
      </c>
      <c r="F89" t="inlineStr">
        <is>
          <t>UPPSALA LÄN</t>
        </is>
      </c>
      <c r="G89" t="inlineStr">
        <is>
          <t>ÖSTHAMMAR</t>
        </is>
      </c>
      <c r="H89" t="inlineStr">
        <is>
          <t>Kyrkan</t>
        </is>
      </c>
      <c r="I89" t="n">
        <v>6.4</v>
      </c>
      <c r="J89" t="n">
        <v>2</v>
      </c>
      <c r="K89" t="n">
        <v>1</v>
      </c>
      <c r="L89" t="n">
        <v>1</v>
      </c>
      <c r="M89" t="n">
        <v>0</v>
      </c>
      <c r="N89" t="n">
        <v>0</v>
      </c>
      <c r="O89" t="n">
        <v>0</v>
      </c>
      <c r="P89" t="n">
        <v>0</v>
      </c>
      <c r="Q89" t="n">
        <v>1</v>
      </c>
      <c r="R89" t="n">
        <v>0</v>
      </c>
      <c r="S89" t="n">
        <v>3</v>
      </c>
      <c r="T89" t="n">
        <v>13</v>
      </c>
      <c r="U89" t="n">
        <v>13</v>
      </c>
      <c r="V89" s="2" t="inlineStr">
        <is>
          <t>Vårärt
Skogsknipprot
Blåsippa</t>
        </is>
      </c>
      <c r="W89">
        <f>HYPERLINK("https://klasma.github.io/Logging_0382/artfynd/A 38318-2026 artfynd.xlsx", "A 38318-2026")</f>
        <v/>
      </c>
      <c r="X89">
        <f>HYPERLINK("https://klasma.github.io/Logging_0382/kartor/A 38318-2026 karta.png", "A 38318-2026")</f>
        <v/>
      </c>
      <c r="Y89">
        <f>HYPERLINK("https://klasma.github.io/Logging_0382/kartor_geotiff/A 38318-2026 georefererad karta.tif", "A 38318-2026")</f>
        <v/>
      </c>
      <c r="AA89">
        <f>HYPERLINK("https://klasma.github.io/Logging_0382/klagomål/A 38318-2026 FSC-klagomål.docx", "A 38318-2026")</f>
        <v/>
      </c>
      <c r="AB89">
        <f>HYPERLINK("https://klasma.github.io/Logging_0382/klagomålsmail/A 38318-2026 FSC-klagomål mail.docx", "A 38318-2026")</f>
        <v/>
      </c>
      <c r="AC89">
        <f>HYPERLINK("https://klasma.github.io/Logging_0382/tillsyn/A 38318-2026 tillsynsbegäran.docx", "A 38318-2026")</f>
        <v/>
      </c>
      <c r="AD89">
        <f>HYPERLINK("https://klasma.github.io/Logging_0382/tillsynsmail/A 38318-2026 tillsynsbegäran mail.docx", "A 38318-2026")</f>
        <v/>
      </c>
    </row>
    <row r="90" ht="15" customHeight="1">
      <c r="A90" t="inlineStr">
        <is>
          <t>A 17947-2022</t>
        </is>
      </c>
      <c r="B90" t="inlineStr">
        <is>
          <t>avverkningsanmälan</t>
        </is>
      </c>
      <c r="C90" t="inlineStr">
        <is>
          <t>Föryngringsavverkning</t>
        </is>
      </c>
      <c r="D90" s="1" t="n">
        <v>44683</v>
      </c>
      <c r="E90" s="1" t="n">
        <v>46317</v>
      </c>
      <c r="F90" t="inlineStr">
        <is>
          <t>UPPSALA LÄN</t>
        </is>
      </c>
      <c r="G90" t="inlineStr">
        <is>
          <t>ÖSTHAMMAR</t>
        </is>
      </c>
      <c r="I90" t="n">
        <v>5.5</v>
      </c>
      <c r="J90" t="n">
        <v>1</v>
      </c>
      <c r="K90" t="n">
        <v>1</v>
      </c>
      <c r="L90" t="n">
        <v>2</v>
      </c>
      <c r="M90" t="n">
        <v>0</v>
      </c>
      <c r="N90" t="n">
        <v>0</v>
      </c>
      <c r="O90" t="n">
        <v>0</v>
      </c>
      <c r="P90" t="n">
        <v>0</v>
      </c>
      <c r="Q90" t="n">
        <v>2</v>
      </c>
      <c r="R90" t="n">
        <v>0</v>
      </c>
      <c r="S90" t="n">
        <v>3</v>
      </c>
      <c r="T90" t="n">
        <v>4</v>
      </c>
      <c r="U90" t="n">
        <v>2</v>
      </c>
      <c r="V90" s="2" t="inlineStr">
        <is>
          <t>Slåtterfibbla
Solvända
Tvåblad</t>
        </is>
      </c>
      <c r="W90">
        <f>HYPERLINK("https://klasma.github.io/Logging_0382/artfynd/A 17947-2022 artfynd.xlsx", "A 17947-2022")</f>
        <v/>
      </c>
      <c r="X90">
        <f>HYPERLINK("https://klasma.github.io/Logging_0382/kartor/A 17947-2022 karta.png", "A 17947-2022")</f>
        <v/>
      </c>
      <c r="Y90">
        <f>HYPERLINK("https://klasma.github.io/Logging_0382/kartor_geotiff/A 17947-2022 georefererad karta.tif", "A 17947-2022")</f>
        <v/>
      </c>
      <c r="AA90">
        <f>HYPERLINK("https://klasma.github.io/Logging_0382/klagomål/A 17947-2022 FSC-klagomål.docx", "A 17947-2022")</f>
        <v/>
      </c>
      <c r="AB90">
        <f>HYPERLINK("https://klasma.github.io/Logging_0382/klagomålsmail/A 17947-2022 FSC-klagomål mail.docx", "A 17947-2022")</f>
        <v/>
      </c>
      <c r="AC90">
        <f>HYPERLINK("https://klasma.github.io/Logging_0382/tillsyn/A 17947-2022 tillsynsbegäran.docx", "A 17947-2022")</f>
        <v/>
      </c>
      <c r="AD90">
        <f>HYPERLINK("https://klasma.github.io/Logging_0382/tillsynsmail/A 17947-2022 tillsynsbegäran mail.docx", "A 17947-2022")</f>
        <v/>
      </c>
    </row>
    <row r="91" ht="15" customHeight="1">
      <c r="A91" t="inlineStr">
        <is>
          <t>S 4491-2023</t>
        </is>
      </c>
      <c r="B91" t="inlineStr">
        <is>
          <t>samrådsanmälan</t>
        </is>
      </c>
      <c r="C91" t="inlineStr">
        <is>
          <t>Annan skogsbruksåtgärd</t>
        </is>
      </c>
      <c r="D91" s="1" t="n">
        <v>45274</v>
      </c>
      <c r="E91" s="1" t="n">
        <v>46317</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t="n">
        <v>0</v>
      </c>
      <c r="V91" s="2" t="inlineStr">
        <is>
          <t>Violgubbe
Fjällig taggsvamp s.str.
Stor aspticka</t>
        </is>
      </c>
      <c r="W91">
        <f>HYPERLINK("https://klasma.github.io/Logging_0382/artfynd/S 4491-2023 artfynd.xlsx", "S 4491-2023")</f>
        <v/>
      </c>
      <c r="X91">
        <f>HYPERLINK("https://klasma.github.io/Logging_0382/kartor/S 4491-2023 karta.png", "S 4491-2023")</f>
        <v/>
      </c>
      <c r="Y91">
        <f>HYPERLINK("https://klasma.github.io/Logging_0382/kartor_geotiff/S 4491-2023 georefererad karta.tif", "S 4491-2023")</f>
        <v/>
      </c>
      <c r="AA91">
        <f>HYPERLINK("https://klasma.github.io/Logging_0382/klagomål/S 4491-2023 FSC-klagomål.docx", "S 4491-2023")</f>
        <v/>
      </c>
      <c r="AB91">
        <f>HYPERLINK("https://klasma.github.io/Logging_0382/klagomålsmail/S 4491-2023 FSC-klagomål mail.docx", "S 4491-2023")</f>
        <v/>
      </c>
      <c r="AC91">
        <f>HYPERLINK("https://klasma.github.io/Logging_0382/tillsyn/S 4491-2023 tillsynsbegäran.docx", "S 4491-2023")</f>
        <v/>
      </c>
      <c r="AD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46317</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t="n">
        <v>0</v>
      </c>
      <c r="V92" s="2" t="inlineStr">
        <is>
          <t>Gul lammticka
Brun klibbskivling
Tibast</t>
        </is>
      </c>
      <c r="W92">
        <f>HYPERLINK("https://klasma.github.io/Logging_0382/artfynd/S 2399-2025 artfynd.xlsx", "S 2399-2025")</f>
        <v/>
      </c>
      <c r="X92">
        <f>HYPERLINK("https://klasma.github.io/Logging_0382/kartor/S 2399-2025 karta.png", "S 2399-2025")</f>
        <v/>
      </c>
      <c r="Y92">
        <f>HYPERLINK("https://klasma.github.io/Logging_0382/kartor_geotiff/S 2399-2025 georefererad karta.tif", "S 2399-2025")</f>
        <v/>
      </c>
      <c r="AA92">
        <f>HYPERLINK("https://klasma.github.io/Logging_0382/klagomål/S 2399-2025 FSC-klagomål.docx", "S 2399-2025")</f>
        <v/>
      </c>
      <c r="AB92">
        <f>HYPERLINK("https://klasma.github.io/Logging_0382/klagomålsmail/S 2399-2025 FSC-klagomål mail.docx", "S 2399-2025")</f>
        <v/>
      </c>
      <c r="AC92">
        <f>HYPERLINK("https://klasma.github.io/Logging_0382/tillsyn/S 2399-2025 tillsynsbegäran.docx", "S 2399-2025")</f>
        <v/>
      </c>
      <c r="AD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46317</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t="n">
        <v>0</v>
      </c>
      <c r="V93" s="2" t="inlineStr">
        <is>
          <t>Garnlav
Motaggsvamp
Grön sköldmossa</t>
        </is>
      </c>
      <c r="W93">
        <f>HYPERLINK("https://klasma.github.io/Logging_0382/artfynd/S 752-2026 artfynd.xlsx", "S 752-2026")</f>
        <v/>
      </c>
      <c r="X93">
        <f>HYPERLINK("https://klasma.github.io/Logging_0382/kartor/S 752-2026 karta.png", "S 752-2026")</f>
        <v/>
      </c>
      <c r="Y93">
        <f>HYPERLINK("https://klasma.github.io/Logging_0382/kartor_geotiff/S 752-2026 georefererad karta.tif", "S 752-2026")</f>
        <v/>
      </c>
      <c r="AA93">
        <f>HYPERLINK("https://klasma.github.io/Logging_0382/klagomål/S 752-2026 FSC-klagomål.docx", "S 752-2026")</f>
        <v/>
      </c>
      <c r="AB93">
        <f>HYPERLINK("https://klasma.github.io/Logging_0382/klagomålsmail/S 752-2026 FSC-klagomål mail.docx", "S 752-2026")</f>
        <v/>
      </c>
      <c r="AC93">
        <f>HYPERLINK("https://klasma.github.io/Logging_0382/tillsyn/S 752-2026 tillsynsbegäran.docx", "S 752-2026")</f>
        <v/>
      </c>
      <c r="AD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46317</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t="n">
        <v>0</v>
      </c>
      <c r="V94" s="2" t="inlineStr">
        <is>
          <t>Violgubbe
Blek fingersvamp</t>
        </is>
      </c>
      <c r="W94">
        <f>HYPERLINK("https://klasma.github.io/Logging_0382/artfynd/A 60078-2021 artfynd.xlsx", "A 60078-2021")</f>
        <v/>
      </c>
      <c r="X94">
        <f>HYPERLINK("https://klasma.github.io/Logging_0382/kartor/A 60078-2021 karta.png", "A 60078-2021")</f>
        <v/>
      </c>
      <c r="Y94">
        <f>HYPERLINK("https://klasma.github.io/Logging_0382/kartor_geotiff/A 60078-2021 georefererad karta.tif", "A 60078-2021")</f>
        <v/>
      </c>
      <c r="AA94">
        <f>HYPERLINK("https://klasma.github.io/Logging_0382/klagomål/A 60078-2021 FSC-klagomål.docx", "A 60078-2021")</f>
        <v/>
      </c>
      <c r="AB94">
        <f>HYPERLINK("https://klasma.github.io/Logging_0382/klagomålsmail/A 60078-2021 FSC-klagomål mail.docx", "A 60078-2021")</f>
        <v/>
      </c>
      <c r="AC94">
        <f>HYPERLINK("https://klasma.github.io/Logging_0382/tillsyn/A 60078-2021 tillsynsbegäran.docx", "A 60078-2021")</f>
        <v/>
      </c>
      <c r="AD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46317</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t="n">
        <v>3</v>
      </c>
      <c r="V95" s="2" t="inlineStr">
        <is>
          <t>Vedtrappmossa
Spillkråka</t>
        </is>
      </c>
      <c r="W95">
        <f>HYPERLINK("https://klasma.github.io/Logging_0382/artfynd/A 65165-2021 artfynd.xlsx", "A 65165-2021")</f>
        <v/>
      </c>
      <c r="X95">
        <f>HYPERLINK("https://klasma.github.io/Logging_0382/kartor/A 65165-2021 karta.png", "A 65165-2021")</f>
        <v/>
      </c>
      <c r="Y95">
        <f>HYPERLINK("https://klasma.github.io/Logging_0382/kartor_geotiff/A 65165-2021 georefererad karta.tif", "A 65165-2021")</f>
        <v/>
      </c>
      <c r="Z95">
        <f>HYPERLINK("https://klasma.github.io/Logging_0382/knärot/A 65165-2021 karta knärot.png", "A 65165-2021")</f>
        <v/>
      </c>
      <c r="AA95">
        <f>HYPERLINK("https://klasma.github.io/Logging_0382/klagomål/A 65165-2021 FSC-klagomål.docx", "A 65165-2021")</f>
        <v/>
      </c>
      <c r="AB95">
        <f>HYPERLINK("https://klasma.github.io/Logging_0382/klagomålsmail/A 65165-2021 FSC-klagomål mail.docx", "A 65165-2021")</f>
        <v/>
      </c>
      <c r="AC95">
        <f>HYPERLINK("https://klasma.github.io/Logging_0382/tillsyn/A 65165-2021 tillsynsbegäran.docx", "A 65165-2021")</f>
        <v/>
      </c>
      <c r="AD95">
        <f>HYPERLINK("https://klasma.github.io/Logging_0382/tillsynsmail/A 65165-2021 tillsynsbegäran mail.docx", "A 65165-2021")</f>
        <v/>
      </c>
      <c r="AE95">
        <f>HYPERLINK("https://klasma.github.io/Logging_0382/fåglar/A 65165-2021 prioriterade fågelarter.docx", "A 65165-2021")</f>
        <v/>
      </c>
    </row>
    <row r="96" ht="15" customHeight="1">
      <c r="A96" t="inlineStr">
        <is>
          <t>A 2168-2022</t>
        </is>
      </c>
      <c r="B96" t="inlineStr">
        <is>
          <t>avverkningsanmälan</t>
        </is>
      </c>
      <c r="C96" t="inlineStr">
        <is>
          <t>Föryngringsavverkning</t>
        </is>
      </c>
      <c r="D96" s="1" t="n">
        <v>44578</v>
      </c>
      <c r="E96" s="1" t="n">
        <v>46317</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46317</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46317</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46317</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46317</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46317</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46317</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46317</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13279-2022</t>
        </is>
      </c>
      <c r="B104" t="inlineStr">
        <is>
          <t>avverkningsanmälan</t>
        </is>
      </c>
      <c r="C104" t="inlineStr">
        <is>
          <t>Föryngringsavverkning</t>
        </is>
      </c>
      <c r="D104" s="1" t="n">
        <v>44644</v>
      </c>
      <c r="E104" s="1" t="n">
        <v>46317</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20871-2026</t>
        </is>
      </c>
      <c r="B105" t="inlineStr">
        <is>
          <t>avverkningsanmälan</t>
        </is>
      </c>
      <c r="C105" t="inlineStr">
        <is>
          <t>Föryngringsavverkning</t>
        </is>
      </c>
      <c r="D105" s="1" t="n">
        <v>46142</v>
      </c>
      <c r="E105" s="1" t="n">
        <v>46317</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14859-2025</t>
        </is>
      </c>
      <c r="B106" t="inlineStr">
        <is>
          <t>avverkningsanmälan</t>
        </is>
      </c>
      <c r="C106" t="inlineStr">
        <is>
          <t>Föryngringsavverkning</t>
        </is>
      </c>
      <c r="D106" s="1" t="n">
        <v>45743</v>
      </c>
      <c r="E106" s="1" t="n">
        <v>46317</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19009-2023</t>
        </is>
      </c>
      <c r="B107" t="inlineStr">
        <is>
          <t>avverkningsanmälan</t>
        </is>
      </c>
      <c r="C107" t="inlineStr">
        <is>
          <t>Föryngringsavverkning</t>
        </is>
      </c>
      <c r="D107" s="1" t="n">
        <v>45045</v>
      </c>
      <c r="E107" s="1" t="n">
        <v>46317</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21453-2023</t>
        </is>
      </c>
      <c r="B108" t="inlineStr">
        <is>
          <t>avverkningsanmälan</t>
        </is>
      </c>
      <c r="C108" t="inlineStr">
        <is>
          <t>Föryngringsavverkning</t>
        </is>
      </c>
      <c r="D108" s="1" t="n">
        <v>45063</v>
      </c>
      <c r="E108" s="1" t="n">
        <v>46317</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20553-2025</t>
        </is>
      </c>
      <c r="B109" t="inlineStr">
        <is>
          <t>avverkningsanmälan</t>
        </is>
      </c>
      <c r="C109" t="inlineStr">
        <is>
          <t>Föryngringsavverkning</t>
        </is>
      </c>
      <c r="D109" s="1" t="n">
        <v>45775</v>
      </c>
      <c r="E109" s="1" t="n">
        <v>46317</v>
      </c>
      <c r="F109" t="inlineStr">
        <is>
          <t>UPPSALA LÄN</t>
        </is>
      </c>
      <c r="G109" t="inlineStr">
        <is>
          <t>ÖSTHAMMAR</t>
        </is>
      </c>
      <c r="I109" t="n">
        <v>0.4</v>
      </c>
      <c r="J109" t="n">
        <v>0</v>
      </c>
      <c r="K109" t="n">
        <v>2</v>
      </c>
      <c r="L109" t="n">
        <v>0</v>
      </c>
      <c r="M109" t="n">
        <v>0</v>
      </c>
      <c r="N109" t="n">
        <v>0</v>
      </c>
      <c r="O109" t="n">
        <v>0</v>
      </c>
      <c r="P109" t="n">
        <v>0</v>
      </c>
      <c r="Q109" t="n">
        <v>0</v>
      </c>
      <c r="R109" t="n">
        <v>0</v>
      </c>
      <c r="S109" t="n">
        <v>2</v>
      </c>
      <c r="T109" t="n">
        <v>2</v>
      </c>
      <c r="U109" t="n">
        <v>0</v>
      </c>
      <c r="V109" s="2" t="inlineStr">
        <is>
          <t>Jättesvampmal
Robust tickgnagare</t>
        </is>
      </c>
      <c r="W109">
        <f>HYPERLINK("https://klasma.github.io/Logging_0382/artfynd/A 20553-2025 artfynd.xlsx", "A 20553-2025")</f>
        <v/>
      </c>
      <c r="X109">
        <f>HYPERLINK("https://klasma.github.io/Logging_0382/kartor/A 20553-2025 karta.png", "A 20553-2025")</f>
        <v/>
      </c>
      <c r="Y109">
        <f>HYPERLINK("https://klasma.github.io/Logging_0382/kartor_geotiff/A 20553-2025 georefererad karta.tif", "A 20553-2025")</f>
        <v/>
      </c>
      <c r="AA109">
        <f>HYPERLINK("https://klasma.github.io/Logging_0382/klagomål/A 20553-2025 FSC-klagomål.docx", "A 20553-2025")</f>
        <v/>
      </c>
      <c r="AB109">
        <f>HYPERLINK("https://klasma.github.io/Logging_0382/klagomålsmail/A 20553-2025 FSC-klagomål mail.docx", "A 20553-2025")</f>
        <v/>
      </c>
      <c r="AC109">
        <f>HYPERLINK("https://klasma.github.io/Logging_0382/tillsyn/A 20553-2025 tillsynsbegäran.docx", "A 20553-2025")</f>
        <v/>
      </c>
      <c r="AD109">
        <f>HYPERLINK("https://klasma.github.io/Logging_0382/tillsynsmail/A 20553-2025 tillsynsbegäran mail.docx", "A 20553-2025")</f>
        <v/>
      </c>
    </row>
    <row r="110" ht="15" customHeight="1">
      <c r="A110" t="inlineStr">
        <is>
          <t>A 21862-2023</t>
        </is>
      </c>
      <c r="B110" t="inlineStr">
        <is>
          <t>avverkningsanmälan</t>
        </is>
      </c>
      <c r="C110" t="inlineStr">
        <is>
          <t>Föryngringsavverkning</t>
        </is>
      </c>
      <c r="D110" s="1" t="n">
        <v>45068</v>
      </c>
      <c r="E110" s="1" t="n">
        <v>46317</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39200-2026</t>
        </is>
      </c>
      <c r="B111" t="inlineStr">
        <is>
          <t>avverkningsanmälan</t>
        </is>
      </c>
      <c r="C111" t="inlineStr">
        <is>
          <t>Föryngringsavverkning</t>
        </is>
      </c>
      <c r="D111" s="1" t="n">
        <v>46287</v>
      </c>
      <c r="E111" s="1" t="n">
        <v>46317</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46317</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41076-2026</t>
        </is>
      </c>
      <c r="B113" t="inlineStr">
        <is>
          <t>avverkningsanmälan</t>
        </is>
      </c>
      <c r="C113" t="inlineStr">
        <is>
          <t>Föryngringsavverkning</t>
        </is>
      </c>
      <c r="D113" s="1" t="n">
        <v>46300</v>
      </c>
      <c r="E113" s="1" t="n">
        <v>46317</v>
      </c>
      <c r="F113" t="inlineStr">
        <is>
          <t>UPPSALA LÄN</t>
        </is>
      </c>
      <c r="G113" t="inlineStr">
        <is>
          <t>ÖSTHAMMAR</t>
        </is>
      </c>
      <c r="I113" t="n">
        <v>2.5</v>
      </c>
      <c r="J113" t="n">
        <v>0</v>
      </c>
      <c r="K113" t="n">
        <v>2</v>
      </c>
      <c r="L113" t="n">
        <v>0</v>
      </c>
      <c r="M113" t="n">
        <v>0</v>
      </c>
      <c r="N113" t="n">
        <v>0</v>
      </c>
      <c r="O113" t="n">
        <v>0</v>
      </c>
      <c r="P113" t="n">
        <v>0</v>
      </c>
      <c r="Q113" t="n">
        <v>0</v>
      </c>
      <c r="R113" t="n">
        <v>0</v>
      </c>
      <c r="S113" t="n">
        <v>2</v>
      </c>
      <c r="T113" t="n">
        <v>2</v>
      </c>
      <c r="U113" t="n">
        <v>0</v>
      </c>
      <c r="V113" s="2" t="inlineStr">
        <is>
          <t>Bronshjon
Vågbandad barkbock</t>
        </is>
      </c>
      <c r="W113">
        <f>HYPERLINK("https://klasma.github.io/Logging_0382/artfynd/A 41076-2026 artfynd.xlsx", "A 41076-2026")</f>
        <v/>
      </c>
      <c r="X113">
        <f>HYPERLINK("https://klasma.github.io/Logging_0382/kartor/A 41076-2026 karta.png", "A 41076-2026")</f>
        <v/>
      </c>
      <c r="Y113">
        <f>HYPERLINK("https://klasma.github.io/Logging_0382/kartor_geotiff/A 41076-2026 georefererad karta.tif", "A 41076-2026")</f>
        <v/>
      </c>
      <c r="AA113">
        <f>HYPERLINK("https://klasma.github.io/Logging_0382/klagomål/A 41076-2026 FSC-klagomål.docx", "A 41076-2026")</f>
        <v/>
      </c>
      <c r="AB113">
        <f>HYPERLINK("https://klasma.github.io/Logging_0382/klagomålsmail/A 41076-2026 FSC-klagomål mail.docx", "A 41076-2026")</f>
        <v/>
      </c>
      <c r="AC113">
        <f>HYPERLINK("https://klasma.github.io/Logging_0382/tillsyn/A 41076-2026 tillsynsbegäran.docx", "A 41076-2026")</f>
        <v/>
      </c>
      <c r="AD113">
        <f>HYPERLINK("https://klasma.github.io/Logging_0382/tillsynsmail/A 41076-2026 tillsynsbegäran mail.docx", "A 41076-2026")</f>
        <v/>
      </c>
    </row>
    <row r="114" ht="15" customHeight="1">
      <c r="A114" t="inlineStr">
        <is>
          <t>A 14203-2024</t>
        </is>
      </c>
      <c r="B114" t="inlineStr">
        <is>
          <t>avverkningsanmälan</t>
        </is>
      </c>
      <c r="C114" t="inlineStr">
        <is>
          <t>Föryngringsavverkning</t>
        </is>
      </c>
      <c r="D114" s="1" t="n">
        <v>45393</v>
      </c>
      <c r="E114" s="1" t="n">
        <v>46317</v>
      </c>
      <c r="F114" t="inlineStr">
        <is>
          <t>UPPSALA LÄN</t>
        </is>
      </c>
      <c r="G114" t="inlineStr">
        <is>
          <t>ÖSTHAMMAR</t>
        </is>
      </c>
      <c r="I114" t="n">
        <v>1.4</v>
      </c>
      <c r="J114" t="n">
        <v>0</v>
      </c>
      <c r="K114" t="n">
        <v>1</v>
      </c>
      <c r="L114" t="n">
        <v>1</v>
      </c>
      <c r="M114" t="n">
        <v>0</v>
      </c>
      <c r="N114" t="n">
        <v>0</v>
      </c>
      <c r="O114" t="n">
        <v>0</v>
      </c>
      <c r="P114" t="n">
        <v>0</v>
      </c>
      <c r="Q114" t="n">
        <v>1</v>
      </c>
      <c r="R114" t="n">
        <v>0</v>
      </c>
      <c r="S114" t="n">
        <v>2</v>
      </c>
      <c r="T114" t="n">
        <v>2</v>
      </c>
      <c r="U114" t="n">
        <v>0</v>
      </c>
      <c r="V114" s="2" t="inlineStr">
        <is>
          <t>Scharlakansvaxing
Blodvaxing</t>
        </is>
      </c>
      <c r="W114">
        <f>HYPERLINK("https://klasma.github.io/Logging_0382/artfynd/A 14203-2024 artfynd.xlsx", "A 14203-2024")</f>
        <v/>
      </c>
      <c r="X114">
        <f>HYPERLINK("https://klasma.github.io/Logging_0382/kartor/A 14203-2024 karta.png", "A 14203-2024")</f>
        <v/>
      </c>
      <c r="Y114">
        <f>HYPERLINK("https://klasma.github.io/Logging_0382/kartor_geotiff/A 14203-2024 georefererad karta.tif", "A 14203-2024")</f>
        <v/>
      </c>
      <c r="AA114">
        <f>HYPERLINK("https://klasma.github.io/Logging_0382/klagomål/A 14203-2024 FSC-klagomål.docx", "A 14203-2024")</f>
        <v/>
      </c>
      <c r="AB114">
        <f>HYPERLINK("https://klasma.github.io/Logging_0382/klagomålsmail/A 14203-2024 FSC-klagomål mail.docx", "A 14203-2024")</f>
        <v/>
      </c>
      <c r="AC114">
        <f>HYPERLINK("https://klasma.github.io/Logging_0382/tillsyn/A 14203-2024 tillsynsbegäran.docx", "A 14203-2024")</f>
        <v/>
      </c>
      <c r="AD114">
        <f>HYPERLINK("https://klasma.github.io/Logging_0382/tillsynsmail/A 14203-2024 tillsynsbegäran mail.docx", "A 14203-2024")</f>
        <v/>
      </c>
    </row>
    <row r="115" ht="15" customHeight="1">
      <c r="A115" t="inlineStr">
        <is>
          <t>S 4493-2022</t>
        </is>
      </c>
      <c r="B115" t="inlineStr">
        <is>
          <t>samrådsanmälan</t>
        </is>
      </c>
      <c r="C115" t="inlineStr">
        <is>
          <t>Åtgärd i nyckelbiotop</t>
        </is>
      </c>
      <c r="D115" s="1" t="n">
        <v>44782</v>
      </c>
      <c r="E115" s="1" t="n">
        <v>46317</v>
      </c>
      <c r="F115" t="inlineStr">
        <is>
          <t>UPPSALA LÄN</t>
        </is>
      </c>
      <c r="G115" t="inlineStr">
        <is>
          <t>ÖSTHAMMAR</t>
        </is>
      </c>
      <c r="I115" t="n">
        <v>3.6</v>
      </c>
      <c r="J115" t="n">
        <v>0</v>
      </c>
      <c r="K115" t="n">
        <v>1</v>
      </c>
      <c r="L115" t="n">
        <v>0</v>
      </c>
      <c r="M115" t="n">
        <v>1</v>
      </c>
      <c r="N115" t="n">
        <v>0</v>
      </c>
      <c r="O115" t="n">
        <v>0</v>
      </c>
      <c r="P115" t="n">
        <v>0</v>
      </c>
      <c r="Q115" t="n">
        <v>1</v>
      </c>
      <c r="R115" t="n">
        <v>1</v>
      </c>
      <c r="S115" t="n">
        <v>2</v>
      </c>
      <c r="T115" t="n">
        <v>2</v>
      </c>
      <c r="U115" t="n">
        <v>0</v>
      </c>
      <c r="V115" s="2" t="inlineStr">
        <is>
          <t>Gul lammticka
Brandmusseron</t>
        </is>
      </c>
      <c r="W115">
        <f>HYPERLINK("https://klasma.github.io/Logging_0382/artfynd/S 4493-2022 artfynd.xlsx", "S 4493-2022")</f>
        <v/>
      </c>
      <c r="X115">
        <f>HYPERLINK("https://klasma.github.io/Logging_0382/kartor/S 4493-2022 karta.png", "S 4493-2022")</f>
        <v/>
      </c>
      <c r="Y115">
        <f>HYPERLINK("https://klasma.github.io/Logging_0382/kartor_geotiff/S 4493-2022 georefererad karta.tif", "S 4493-2022")</f>
        <v/>
      </c>
      <c r="AA115">
        <f>HYPERLINK("https://klasma.github.io/Logging_0382/klagomål/S 4493-2022 FSC-klagomål.docx", "S 4493-2022")</f>
        <v/>
      </c>
      <c r="AB115">
        <f>HYPERLINK("https://klasma.github.io/Logging_0382/klagomålsmail/S 4493-2022 FSC-klagomål mail.docx", "S 4493-2022")</f>
        <v/>
      </c>
      <c r="AC115">
        <f>HYPERLINK("https://klasma.github.io/Logging_0382/tillsyn/S 4493-2022 tillsynsbegäran.docx", "S 4493-2022")</f>
        <v/>
      </c>
      <c r="AD115">
        <f>HYPERLINK("https://klasma.github.io/Logging_0382/tillsynsmail/S 4493-2022 tillsynsbegäran mail.docx", "S 4493-2022")</f>
        <v/>
      </c>
    </row>
    <row r="116" ht="15" customHeight="1">
      <c r="A116" t="inlineStr">
        <is>
          <t>S 6023-2022</t>
        </is>
      </c>
      <c r="B116" t="inlineStr">
        <is>
          <t>samrådsanmälan</t>
        </is>
      </c>
      <c r="C116" t="inlineStr">
        <is>
          <t>Annan skogsbruksåtgärd</t>
        </is>
      </c>
      <c r="D116" s="1" t="n">
        <v>44859</v>
      </c>
      <c r="E116" s="1" t="n">
        <v>46317</v>
      </c>
      <c r="F116" t="inlineStr">
        <is>
          <t>UPPSALA LÄN</t>
        </is>
      </c>
      <c r="G116" t="inlineStr">
        <is>
          <t>ÖSTHAMMAR</t>
        </is>
      </c>
      <c r="H116" t="inlineStr">
        <is>
          <t>Bergvik skog öst AB</t>
        </is>
      </c>
      <c r="I116" t="n">
        <v>1.4</v>
      </c>
      <c r="J116" t="n">
        <v>1</v>
      </c>
      <c r="K116" t="n">
        <v>0</v>
      </c>
      <c r="L116" t="n">
        <v>1</v>
      </c>
      <c r="M116" t="n">
        <v>0</v>
      </c>
      <c r="N116" t="n">
        <v>1</v>
      </c>
      <c r="O116" t="n">
        <v>0</v>
      </c>
      <c r="P116" t="n">
        <v>0</v>
      </c>
      <c r="Q116" t="n">
        <v>2</v>
      </c>
      <c r="R116" t="n">
        <v>1</v>
      </c>
      <c r="S116" t="n">
        <v>2</v>
      </c>
      <c r="T116" t="n">
        <v>3</v>
      </c>
      <c r="U116" t="n">
        <v>1</v>
      </c>
      <c r="V116" s="2" t="inlineStr">
        <is>
          <t>Ask
Drillsnäppa</t>
        </is>
      </c>
      <c r="W116">
        <f>HYPERLINK("https://klasma.github.io/Logging_0382/artfynd/S 6023-2022 artfynd.xlsx", "S 6023-2022")</f>
        <v/>
      </c>
      <c r="X116">
        <f>HYPERLINK("https://klasma.github.io/Logging_0382/kartor/S 6023-2022 karta.png", "S 6023-2022")</f>
        <v/>
      </c>
      <c r="Y116">
        <f>HYPERLINK("https://klasma.github.io/Logging_0382/kartor_geotiff/S 6023-2022 georefererad karta.tif", "S 6023-2022")</f>
        <v/>
      </c>
      <c r="AA116">
        <f>HYPERLINK("https://klasma.github.io/Logging_0382/klagomål/S 6023-2022 FSC-klagomål.docx", "S 6023-2022")</f>
        <v/>
      </c>
      <c r="AB116">
        <f>HYPERLINK("https://klasma.github.io/Logging_0382/klagomålsmail/S 6023-2022 FSC-klagomål mail.docx", "S 6023-2022")</f>
        <v/>
      </c>
      <c r="AC116">
        <f>HYPERLINK("https://klasma.github.io/Logging_0382/tillsyn/S 6023-2022 tillsynsbegäran.docx", "S 6023-2022")</f>
        <v/>
      </c>
      <c r="AD116">
        <f>HYPERLINK("https://klasma.github.io/Logging_0382/tillsynsmail/S 6023-2022 tillsynsbegäran mail.docx", "S 6023-2022")</f>
        <v/>
      </c>
      <c r="AE116">
        <f>HYPERLINK("https://klasma.github.io/Logging_0382/fåglar/S 6023-2022 prioriterade fågelarter.docx", "S 6023-2022")</f>
        <v/>
      </c>
    </row>
    <row r="117" ht="15" customHeight="1">
      <c r="A117" t="inlineStr">
        <is>
          <t>A 18732-2022</t>
        </is>
      </c>
      <c r="B117" t="inlineStr">
        <is>
          <t>avverkningsanmälan</t>
        </is>
      </c>
      <c r="C117" t="inlineStr">
        <is>
          <t>Föryngringsavverkning</t>
        </is>
      </c>
      <c r="D117" s="1" t="n">
        <v>44687</v>
      </c>
      <c r="E117" s="1" t="n">
        <v>46317</v>
      </c>
      <c r="F117" t="inlineStr">
        <is>
          <t>UPPSALA LÄN</t>
        </is>
      </c>
      <c r="G117" t="inlineStr">
        <is>
          <t>ÖSTHAMMAR</t>
        </is>
      </c>
      <c r="I117" t="n">
        <v>10.5</v>
      </c>
      <c r="J117" t="n">
        <v>1</v>
      </c>
      <c r="K117" t="n">
        <v>0</v>
      </c>
      <c r="L117" t="n">
        <v>0</v>
      </c>
      <c r="M117" t="n">
        <v>0</v>
      </c>
      <c r="N117" t="n">
        <v>0</v>
      </c>
      <c r="O117" t="n">
        <v>0</v>
      </c>
      <c r="P117" t="n">
        <v>0</v>
      </c>
      <c r="Q117" t="n">
        <v>0</v>
      </c>
      <c r="R117" t="n">
        <v>0</v>
      </c>
      <c r="S117" t="n">
        <v>1</v>
      </c>
      <c r="T117" t="n">
        <v>1</v>
      </c>
      <c r="U117" t="n">
        <v>1</v>
      </c>
      <c r="V117" s="2" t="inlineStr">
        <is>
          <t>Skogsödla</t>
        </is>
      </c>
      <c r="W117">
        <f>HYPERLINK("https://klasma.github.io/Logging_0382/artfynd/A 18732-2022 artfynd.xlsx", "A 18732-2022")</f>
        <v/>
      </c>
      <c r="X117">
        <f>HYPERLINK("https://klasma.github.io/Logging_0382/kartor/A 18732-2022 karta.png", "A 18732-2022")</f>
        <v/>
      </c>
      <c r="Y117">
        <f>HYPERLINK("https://klasma.github.io/Logging_0382/kartor_geotiff/A 18732-2022 georefererad karta.tif", "A 18732-2022")</f>
        <v/>
      </c>
      <c r="AA117">
        <f>HYPERLINK("https://klasma.github.io/Logging_0382/klagomål/A 18732-2022 FSC-klagomål.docx", "A 18732-2022")</f>
        <v/>
      </c>
      <c r="AB117">
        <f>HYPERLINK("https://klasma.github.io/Logging_0382/klagomålsmail/A 18732-2022 FSC-klagomål mail.docx", "A 18732-2022")</f>
        <v/>
      </c>
      <c r="AC117">
        <f>HYPERLINK("https://klasma.github.io/Logging_0382/tillsyn/A 18732-2022 tillsynsbegäran.docx", "A 18732-2022")</f>
        <v/>
      </c>
      <c r="AD117">
        <f>HYPERLINK("https://klasma.github.io/Logging_0382/tillsynsmail/A 18732-2022 tillsynsbegäran mail.docx", "A 18732-2022")</f>
        <v/>
      </c>
    </row>
    <row r="118" ht="15" customHeight="1">
      <c r="A118" t="inlineStr">
        <is>
          <t>A 38442-2022</t>
        </is>
      </c>
      <c r="B118" t="inlineStr">
        <is>
          <t>avverkningsanmälan</t>
        </is>
      </c>
      <c r="C118" t="inlineStr">
        <is>
          <t>Föryngringsavverkning</t>
        </is>
      </c>
      <c r="D118" s="1" t="n">
        <v>44813</v>
      </c>
      <c r="E118" s="1" t="n">
        <v>46317</v>
      </c>
      <c r="F118" t="inlineStr">
        <is>
          <t>UPPSALA LÄN</t>
        </is>
      </c>
      <c r="G118" t="inlineStr">
        <is>
          <t>ÖSTHAMMAR</t>
        </is>
      </c>
      <c r="H118" t="inlineStr">
        <is>
          <t>Kyrkan</t>
        </is>
      </c>
      <c r="I118" t="n">
        <v>2.9</v>
      </c>
      <c r="J118" t="n">
        <v>0</v>
      </c>
      <c r="K118" t="n">
        <v>0</v>
      </c>
      <c r="L118" t="n">
        <v>1</v>
      </c>
      <c r="M118" t="n">
        <v>0</v>
      </c>
      <c r="N118" t="n">
        <v>0</v>
      </c>
      <c r="O118" t="n">
        <v>0</v>
      </c>
      <c r="P118" t="n">
        <v>0</v>
      </c>
      <c r="Q118" t="n">
        <v>1</v>
      </c>
      <c r="R118" t="n">
        <v>0</v>
      </c>
      <c r="S118" t="n">
        <v>1</v>
      </c>
      <c r="T118" t="n">
        <v>2</v>
      </c>
      <c r="U118" t="n">
        <v>2</v>
      </c>
      <c r="V118" s="2" t="inlineStr">
        <is>
          <t>Slåtterfibbla</t>
        </is>
      </c>
      <c r="W118">
        <f>HYPERLINK("https://klasma.github.io/Logging_0382/artfynd/A 38442-2022 artfynd.xlsx", "A 38442-2022")</f>
        <v/>
      </c>
      <c r="X118">
        <f>HYPERLINK("https://klasma.github.io/Logging_0382/kartor/A 38442-2022 karta.png", "A 38442-2022")</f>
        <v/>
      </c>
      <c r="Y118">
        <f>HYPERLINK("https://klasma.github.io/Logging_0382/kartor_geotiff/A 38442-2022 georefererad karta.tif", "A 38442-2022")</f>
        <v/>
      </c>
      <c r="AA118">
        <f>HYPERLINK("https://klasma.github.io/Logging_0382/klagomål/A 38442-2022 FSC-klagomål.docx", "A 38442-2022")</f>
        <v/>
      </c>
      <c r="AB118">
        <f>HYPERLINK("https://klasma.github.io/Logging_0382/klagomålsmail/A 38442-2022 FSC-klagomål mail.docx", "A 38442-2022")</f>
        <v/>
      </c>
      <c r="AC118">
        <f>HYPERLINK("https://klasma.github.io/Logging_0382/tillsyn/A 38442-2022 tillsynsbegäran.docx", "A 38442-2022")</f>
        <v/>
      </c>
      <c r="AD118">
        <f>HYPERLINK("https://klasma.github.io/Logging_0382/tillsynsmail/A 38442-2022 tillsynsbegäran mail.docx", "A 38442-2022")</f>
        <v/>
      </c>
    </row>
    <row r="119" ht="15" customHeight="1">
      <c r="A119" t="inlineStr">
        <is>
          <t>A 10294-2022</t>
        </is>
      </c>
      <c r="B119" t="inlineStr">
        <is>
          <t>avverkningsanmälan</t>
        </is>
      </c>
      <c r="C119" t="inlineStr">
        <is>
          <t>Föryngringsavverkning</t>
        </is>
      </c>
      <c r="D119" s="1" t="n">
        <v>44622</v>
      </c>
      <c r="E119" s="1" t="n">
        <v>46317</v>
      </c>
      <c r="F119" t="inlineStr">
        <is>
          <t>UPPSALA LÄN</t>
        </is>
      </c>
      <c r="G119" t="inlineStr">
        <is>
          <t>ÖSTHAMMAR</t>
        </is>
      </c>
      <c r="H119" t="inlineStr">
        <is>
          <t>Bergvik skog öst AB</t>
        </is>
      </c>
      <c r="I119" t="n">
        <v>1</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HYPERLINK("https://klasma.github.io/Logging_0382/artfynd/A 10294-2022 artfynd.xlsx", "A 10294-2022")</f>
        <v/>
      </c>
      <c r="X119">
        <f>HYPERLINK("https://klasma.github.io/Logging_0382/kartor/A 10294-2022 karta.png", "A 10294-2022")</f>
        <v/>
      </c>
      <c r="Y119">
        <f>HYPERLINK("https://klasma.github.io/Logging_0382/kartor_geotiff/A 10294-2022 georefererad karta.tif", "A 10294-2022")</f>
        <v/>
      </c>
      <c r="AA119">
        <f>HYPERLINK("https://klasma.github.io/Logging_0382/klagomål/A 10294-2022 FSC-klagomål.docx", "A 10294-2022")</f>
        <v/>
      </c>
      <c r="AB119">
        <f>HYPERLINK("https://klasma.github.io/Logging_0382/klagomålsmail/A 10294-2022 FSC-klagomål mail.docx", "A 10294-2022")</f>
        <v/>
      </c>
      <c r="AC119">
        <f>HYPERLINK("https://klasma.github.io/Logging_0382/tillsyn/A 10294-2022 tillsynsbegäran.docx", "A 10294-2022")</f>
        <v/>
      </c>
      <c r="AD119">
        <f>HYPERLINK("https://klasma.github.io/Logging_0382/tillsynsmail/A 10294-2022 tillsynsbegäran mail.docx", "A 10294-2022")</f>
        <v/>
      </c>
    </row>
    <row r="120" ht="15" customHeight="1">
      <c r="A120" t="inlineStr">
        <is>
          <t>A 61536-2021</t>
        </is>
      </c>
      <c r="B120" t="inlineStr">
        <is>
          <t>avverkningsanmälan</t>
        </is>
      </c>
      <c r="C120" t="inlineStr">
        <is>
          <t>Föryngringsavverkning</t>
        </is>
      </c>
      <c r="D120" s="1" t="n">
        <v>44501</v>
      </c>
      <c r="E120" s="1" t="n">
        <v>46317</v>
      </c>
      <c r="F120" t="inlineStr">
        <is>
          <t>UPPSALA LÄN</t>
        </is>
      </c>
      <c r="G120" t="inlineStr">
        <is>
          <t>ÖSTHAMMAR</t>
        </is>
      </c>
      <c r="H120" t="inlineStr">
        <is>
          <t>Sveaskog</t>
        </is>
      </c>
      <c r="I120" t="n">
        <v>2.1</v>
      </c>
      <c r="J120" t="n">
        <v>0</v>
      </c>
      <c r="K120" t="n">
        <v>0</v>
      </c>
      <c r="L120" t="n">
        <v>1</v>
      </c>
      <c r="M120" t="n">
        <v>0</v>
      </c>
      <c r="N120" t="n">
        <v>0</v>
      </c>
      <c r="O120" t="n">
        <v>0</v>
      </c>
      <c r="P120" t="n">
        <v>0</v>
      </c>
      <c r="Q120" t="n">
        <v>1</v>
      </c>
      <c r="R120" t="n">
        <v>0</v>
      </c>
      <c r="S120" t="n">
        <v>1</v>
      </c>
      <c r="T120" t="n">
        <v>1</v>
      </c>
      <c r="U120" t="n">
        <v>0</v>
      </c>
      <c r="V120" s="2" t="inlineStr">
        <is>
          <t>Klasefibbla</t>
        </is>
      </c>
      <c r="W120">
        <f>HYPERLINK("https://klasma.github.io/Logging_0382/artfynd/A 61536-2021 artfynd.xlsx", "A 61536-2021")</f>
        <v/>
      </c>
      <c r="X120">
        <f>HYPERLINK("https://klasma.github.io/Logging_0382/kartor/A 61536-2021 karta.png", "A 61536-2021")</f>
        <v/>
      </c>
      <c r="Y120">
        <f>HYPERLINK("https://klasma.github.io/Logging_0382/kartor_geotiff/A 61536-2021 georefererad karta.tif", "A 61536-2021")</f>
        <v/>
      </c>
      <c r="AA120">
        <f>HYPERLINK("https://klasma.github.io/Logging_0382/klagomål/A 61536-2021 FSC-klagomål.docx", "A 61536-2021")</f>
        <v/>
      </c>
      <c r="AB120">
        <f>HYPERLINK("https://klasma.github.io/Logging_0382/klagomålsmail/A 61536-2021 FSC-klagomål mail.docx", "A 61536-2021")</f>
        <v/>
      </c>
      <c r="AC120">
        <f>HYPERLINK("https://klasma.github.io/Logging_0382/tillsyn/A 61536-2021 tillsynsbegäran.docx", "A 61536-2021")</f>
        <v/>
      </c>
      <c r="AD120">
        <f>HYPERLINK("https://klasma.github.io/Logging_0382/tillsynsmail/A 61536-2021 tillsynsbegäran mail.docx", "A 61536-2021")</f>
        <v/>
      </c>
    </row>
    <row r="121" ht="15" customHeight="1">
      <c r="A121" t="inlineStr">
        <is>
          <t>A 22887-2022</t>
        </is>
      </c>
      <c r="B121" t="inlineStr">
        <is>
          <t>avverkningsanmälan</t>
        </is>
      </c>
      <c r="C121" t="inlineStr">
        <is>
          <t>Avverkning för annat ändamål</t>
        </is>
      </c>
      <c r="D121" s="1" t="n">
        <v>44715</v>
      </c>
      <c r="E121" s="1" t="n">
        <v>46317</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t="n">
        <v>1</v>
      </c>
      <c r="V121" s="2" t="inlineStr">
        <is>
          <t>Ullticka</t>
        </is>
      </c>
      <c r="W121">
        <f>HYPERLINK("https://klasma.github.io/Logging_0382/artfynd/A 22887-2022 artfynd.xlsx", "A 22887-2022")</f>
        <v/>
      </c>
      <c r="X121">
        <f>HYPERLINK("https://klasma.github.io/Logging_0382/kartor/A 22887-2022 karta.png", "A 22887-2022")</f>
        <v/>
      </c>
      <c r="Y121">
        <f>HYPERLINK("https://klasma.github.io/Logging_0382/kartor_geotiff/A 22887-2022 georefererad karta.tif", "A 22887-2022")</f>
        <v/>
      </c>
      <c r="AA121">
        <f>HYPERLINK("https://klasma.github.io/Logging_0382/klagomål/A 22887-2022 FSC-klagomål.docx", "A 22887-2022")</f>
        <v/>
      </c>
      <c r="AB121">
        <f>HYPERLINK("https://klasma.github.io/Logging_0382/klagomålsmail/A 22887-2022 FSC-klagomål mail.docx", "A 22887-2022")</f>
        <v/>
      </c>
      <c r="AC121">
        <f>HYPERLINK("https://klasma.github.io/Logging_0382/tillsyn/A 22887-2022 tillsynsbegäran.docx", "A 22887-2022")</f>
        <v/>
      </c>
      <c r="AD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46317</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t="n">
        <v>0</v>
      </c>
      <c r="V122" s="2" t="inlineStr">
        <is>
          <t>Grönpyrola</t>
        </is>
      </c>
      <c r="W122">
        <f>HYPERLINK("https://klasma.github.io/Logging_0382/artfynd/A 34418-2022 artfynd.xlsx", "A 34418-2022")</f>
        <v/>
      </c>
      <c r="X122">
        <f>HYPERLINK("https://klasma.github.io/Logging_0382/kartor/A 34418-2022 karta.png", "A 34418-2022")</f>
        <v/>
      </c>
      <c r="Y122">
        <f>HYPERLINK("https://klasma.github.io/Logging_0382/kartor_geotiff/A 34418-2022 georefererad karta.tif", "A 34418-2022")</f>
        <v/>
      </c>
      <c r="AA122">
        <f>HYPERLINK("https://klasma.github.io/Logging_0382/klagomål/A 34418-2022 FSC-klagomål.docx", "A 34418-2022")</f>
        <v/>
      </c>
      <c r="AB122">
        <f>HYPERLINK("https://klasma.github.io/Logging_0382/klagomålsmail/A 34418-2022 FSC-klagomål mail.docx", "A 34418-2022")</f>
        <v/>
      </c>
      <c r="AC122">
        <f>HYPERLINK("https://klasma.github.io/Logging_0382/tillsyn/A 34418-2022 tillsynsbegäran.docx", "A 34418-2022")</f>
        <v/>
      </c>
      <c r="AD122">
        <f>HYPERLINK("https://klasma.github.io/Logging_0382/tillsynsmail/A 34418-2022 tillsynsbegäran mail.docx", "A 34418-2022")</f>
        <v/>
      </c>
    </row>
    <row r="123" ht="15" customHeight="1">
      <c r="A123" t="inlineStr">
        <is>
          <t>A 32483-2024</t>
        </is>
      </c>
      <c r="B123" t="inlineStr">
        <is>
          <t>avverkningsanmälan</t>
        </is>
      </c>
      <c r="C123" t="inlineStr">
        <is>
          <t>Föryngringsavverkning</t>
        </is>
      </c>
      <c r="D123" s="1" t="n">
        <v>45513</v>
      </c>
      <c r="E123" s="1" t="n">
        <v>46317</v>
      </c>
      <c r="F123" t="inlineStr">
        <is>
          <t>UPPSALA LÄN</t>
        </is>
      </c>
      <c r="G123" t="inlineStr">
        <is>
          <t>ÖSTHAMMAR</t>
        </is>
      </c>
      <c r="H123" t="inlineStr">
        <is>
          <t>Kyrkan</t>
        </is>
      </c>
      <c r="I123" t="n">
        <v>4.7</v>
      </c>
      <c r="J123" t="n">
        <v>1</v>
      </c>
      <c r="K123" t="n">
        <v>0</v>
      </c>
      <c r="L123" t="n">
        <v>0</v>
      </c>
      <c r="M123" t="n">
        <v>0</v>
      </c>
      <c r="N123" t="n">
        <v>0</v>
      </c>
      <c r="O123" t="n">
        <v>0</v>
      </c>
      <c r="P123" t="n">
        <v>0</v>
      </c>
      <c r="Q123" t="n">
        <v>0</v>
      </c>
      <c r="R123" t="n">
        <v>0</v>
      </c>
      <c r="S123" t="n">
        <v>1</v>
      </c>
      <c r="T123" t="n">
        <v>1</v>
      </c>
      <c r="U123" t="n">
        <v>1</v>
      </c>
      <c r="V123" s="2" t="inlineStr">
        <is>
          <t>Blåsippa</t>
        </is>
      </c>
      <c r="W123">
        <f>HYPERLINK("https://klasma.github.io/Logging_0382/artfynd/A 32483-2024 artfynd.xlsx", "A 32483-2024")</f>
        <v/>
      </c>
      <c r="X123">
        <f>HYPERLINK("https://klasma.github.io/Logging_0382/kartor/A 32483-2024 karta.png", "A 32483-2024")</f>
        <v/>
      </c>
      <c r="Y123">
        <f>HYPERLINK("https://klasma.github.io/Logging_0382/kartor_geotiff/A 32483-2024 georefererad karta.tif", "A 32483-2024")</f>
        <v/>
      </c>
      <c r="AA123">
        <f>HYPERLINK("https://klasma.github.io/Logging_0382/klagomål/A 32483-2024 FSC-klagomål.docx", "A 32483-2024")</f>
        <v/>
      </c>
      <c r="AB123">
        <f>HYPERLINK("https://klasma.github.io/Logging_0382/klagomålsmail/A 32483-2024 FSC-klagomål mail.docx", "A 32483-2024")</f>
        <v/>
      </c>
      <c r="AC123">
        <f>HYPERLINK("https://klasma.github.io/Logging_0382/tillsyn/A 32483-2024 tillsynsbegäran.docx", "A 32483-2024")</f>
        <v/>
      </c>
      <c r="AD123">
        <f>HYPERLINK("https://klasma.github.io/Logging_0382/tillsynsmail/A 32483-2024 tillsynsbegäran mail.docx", "A 32483-2024")</f>
        <v/>
      </c>
    </row>
    <row r="124" ht="15" customHeight="1">
      <c r="A124" t="inlineStr">
        <is>
          <t>A 11017-2023</t>
        </is>
      </c>
      <c r="B124" t="inlineStr">
        <is>
          <t>avverkningsanmälan</t>
        </is>
      </c>
      <c r="C124" t="inlineStr">
        <is>
          <t>Avverkning för annat ändamål</t>
        </is>
      </c>
      <c r="D124" s="1" t="n">
        <v>44991</v>
      </c>
      <c r="E124" s="1" t="n">
        <v>46317</v>
      </c>
      <c r="F124" t="inlineStr">
        <is>
          <t>UPPSALA LÄN</t>
        </is>
      </c>
      <c r="G124" t="inlineStr">
        <is>
          <t>ÖSTHAMMAR</t>
        </is>
      </c>
      <c r="I124" t="n">
        <v>1.9</v>
      </c>
      <c r="J124" t="n">
        <v>1</v>
      </c>
      <c r="K124" t="n">
        <v>0</v>
      </c>
      <c r="L124" t="n">
        <v>0</v>
      </c>
      <c r="M124" t="n">
        <v>0</v>
      </c>
      <c r="N124" t="n">
        <v>1</v>
      </c>
      <c r="O124" t="n">
        <v>0</v>
      </c>
      <c r="P124" t="n">
        <v>0</v>
      </c>
      <c r="Q124" t="n">
        <v>1</v>
      </c>
      <c r="R124" t="n">
        <v>1</v>
      </c>
      <c r="S124" t="n">
        <v>1</v>
      </c>
      <c r="T124" t="n">
        <v>1</v>
      </c>
      <c r="U124" t="n">
        <v>1</v>
      </c>
      <c r="V124" s="2" t="inlineStr">
        <is>
          <t>Kornknarr</t>
        </is>
      </c>
      <c r="W124">
        <f>HYPERLINK("https://klasma.github.io/Logging_0382/artfynd/A 11017-2023 artfynd.xlsx", "A 11017-2023")</f>
        <v/>
      </c>
      <c r="X124">
        <f>HYPERLINK("https://klasma.github.io/Logging_0382/kartor/A 11017-2023 karta.png", "A 11017-2023")</f>
        <v/>
      </c>
      <c r="Y124">
        <f>HYPERLINK("https://klasma.github.io/Logging_0382/kartor_geotiff/A 11017-2023 georefererad karta.tif", "A 11017-2023")</f>
        <v/>
      </c>
      <c r="AA124">
        <f>HYPERLINK("https://klasma.github.io/Logging_0382/klagomål/A 11017-2023 FSC-klagomål.docx", "A 11017-2023")</f>
        <v/>
      </c>
      <c r="AB124">
        <f>HYPERLINK("https://klasma.github.io/Logging_0382/klagomålsmail/A 11017-2023 FSC-klagomål mail.docx", "A 11017-2023")</f>
        <v/>
      </c>
      <c r="AC124">
        <f>HYPERLINK("https://klasma.github.io/Logging_0382/tillsyn/A 11017-2023 tillsynsbegäran.docx", "A 11017-2023")</f>
        <v/>
      </c>
      <c r="AD124">
        <f>HYPERLINK("https://klasma.github.io/Logging_0382/tillsynsmail/A 11017-2023 tillsynsbegäran mail.docx", "A 11017-2023")</f>
        <v/>
      </c>
    </row>
    <row r="125" ht="15" customHeight="1">
      <c r="A125" t="inlineStr">
        <is>
          <t>A 36904-2023</t>
        </is>
      </c>
      <c r="B125" t="inlineStr">
        <is>
          <t>avverkningsanmälan</t>
        </is>
      </c>
      <c r="C125" t="inlineStr">
        <is>
          <t>Föryngringsavverkning</t>
        </is>
      </c>
      <c r="D125" s="1" t="n">
        <v>45154</v>
      </c>
      <c r="E125" s="1" t="n">
        <v>46317</v>
      </c>
      <c r="F125" t="inlineStr">
        <is>
          <t>UPPSALA LÄN</t>
        </is>
      </c>
      <c r="G125" t="inlineStr">
        <is>
          <t>ÖSTHAMMAR</t>
        </is>
      </c>
      <c r="H125" t="inlineStr">
        <is>
          <t>Övriga Aktiebolag</t>
        </is>
      </c>
      <c r="I125" t="n">
        <v>1.5</v>
      </c>
      <c r="J125" t="n">
        <v>1</v>
      </c>
      <c r="K125" t="n">
        <v>0</v>
      </c>
      <c r="L125" t="n">
        <v>0</v>
      </c>
      <c r="M125" t="n">
        <v>1</v>
      </c>
      <c r="N125" t="n">
        <v>0</v>
      </c>
      <c r="O125" t="n">
        <v>0</v>
      </c>
      <c r="P125" t="n">
        <v>0</v>
      </c>
      <c r="Q125" t="n">
        <v>1</v>
      </c>
      <c r="R125" t="n">
        <v>1</v>
      </c>
      <c r="S125" t="n">
        <v>1</v>
      </c>
      <c r="T125" t="n">
        <v>1</v>
      </c>
      <c r="U125" t="n">
        <v>0</v>
      </c>
      <c r="V125" s="2" t="inlineStr">
        <is>
          <t>Hällebräcka</t>
        </is>
      </c>
      <c r="W125">
        <f>HYPERLINK("https://klasma.github.io/Logging_0382/artfynd/A 36904-2023 artfynd.xlsx", "A 36904-2023")</f>
        <v/>
      </c>
      <c r="X125">
        <f>HYPERLINK("https://klasma.github.io/Logging_0382/kartor/A 36904-2023 karta.png", "A 36904-2023")</f>
        <v/>
      </c>
      <c r="Y125">
        <f>HYPERLINK("https://klasma.github.io/Logging_0382/kartor_geotiff/A 36904-2023 georefererad karta.tif", "A 36904-2023")</f>
        <v/>
      </c>
      <c r="AA125">
        <f>HYPERLINK("https://klasma.github.io/Logging_0382/klagomål/A 36904-2023 FSC-klagomål.docx", "A 36904-2023")</f>
        <v/>
      </c>
      <c r="AB125">
        <f>HYPERLINK("https://klasma.github.io/Logging_0382/klagomålsmail/A 36904-2023 FSC-klagomål mail.docx", "A 36904-2023")</f>
        <v/>
      </c>
      <c r="AC125">
        <f>HYPERLINK("https://klasma.github.io/Logging_0382/tillsyn/A 36904-2023 tillsynsbegäran.docx", "A 36904-2023")</f>
        <v/>
      </c>
      <c r="AD125">
        <f>HYPERLINK("https://klasma.github.io/Logging_0382/tillsynsmail/A 36904-2023 tillsynsbegäran mail.docx", "A 36904-2023")</f>
        <v/>
      </c>
    </row>
    <row r="126" ht="15" customHeight="1">
      <c r="A126" t="inlineStr">
        <is>
          <t>A 40570-2025</t>
        </is>
      </c>
      <c r="B126" t="inlineStr">
        <is>
          <t>avverkningsanmälan</t>
        </is>
      </c>
      <c r="C126" t="inlineStr">
        <is>
          <t>Föryngringsavverkning</t>
        </is>
      </c>
      <c r="D126" s="1" t="n">
        <v>45896</v>
      </c>
      <c r="E126" s="1" t="n">
        <v>46317</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t="n">
        <v>0</v>
      </c>
      <c r="V126" s="2" t="inlineStr">
        <is>
          <t>Skogskorn</t>
        </is>
      </c>
      <c r="W126">
        <f>HYPERLINK("https://klasma.github.io/Logging_0382/artfynd/A 40570-2025 artfynd.xlsx", "A 40570-2025")</f>
        <v/>
      </c>
      <c r="X126">
        <f>HYPERLINK("https://klasma.github.io/Logging_0382/kartor/A 40570-2025 karta.png", "A 40570-2025")</f>
        <v/>
      </c>
      <c r="Y126">
        <f>HYPERLINK("https://klasma.github.io/Logging_0382/kartor_geotiff/A 40570-2025 georefererad karta.tif", "A 40570-2025")</f>
        <v/>
      </c>
      <c r="AA126">
        <f>HYPERLINK("https://klasma.github.io/Logging_0382/klagomål/A 40570-2025 FSC-klagomål.docx", "A 40570-2025")</f>
        <v/>
      </c>
      <c r="AB126">
        <f>HYPERLINK("https://klasma.github.io/Logging_0382/klagomålsmail/A 40570-2025 FSC-klagomål mail.docx", "A 40570-2025")</f>
        <v/>
      </c>
      <c r="AC126">
        <f>HYPERLINK("https://klasma.github.io/Logging_0382/tillsyn/A 40570-2025 tillsynsbegäran.docx", "A 40570-2025")</f>
        <v/>
      </c>
      <c r="AD126">
        <f>HYPERLINK("https://klasma.github.io/Logging_0382/tillsynsmail/A 40570-2025 tillsynsbegäran mail.docx", "A 40570-2025")</f>
        <v/>
      </c>
    </row>
    <row r="127" ht="15" customHeight="1">
      <c r="A127" t="inlineStr">
        <is>
          <t>A 4984-2024</t>
        </is>
      </c>
      <c r="B127" t="inlineStr">
        <is>
          <t>avverkningsanmälan</t>
        </is>
      </c>
      <c r="C127" t="inlineStr">
        <is>
          <t>Föryngringsavverkning</t>
        </is>
      </c>
      <c r="D127" s="1" t="n">
        <v>45329</v>
      </c>
      <c r="E127" s="1" t="n">
        <v>46317</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52818-2022</t>
        </is>
      </c>
      <c r="B128" t="inlineStr">
        <is>
          <t>avverkningsanmälan</t>
        </is>
      </c>
      <c r="C128" t="inlineStr">
        <is>
          <t>Föryngringsavverkning</t>
        </is>
      </c>
      <c r="D128" s="1" t="n">
        <v>44875</v>
      </c>
      <c r="E128" s="1" t="n">
        <v>46317</v>
      </c>
      <c r="F128" t="inlineStr">
        <is>
          <t>UPPSALA LÄN</t>
        </is>
      </c>
      <c r="G128" t="inlineStr">
        <is>
          <t>ÖSTHAMMAR</t>
        </is>
      </c>
      <c r="I128" t="n">
        <v>0.9</v>
      </c>
      <c r="J128" t="n">
        <v>1</v>
      </c>
      <c r="K128" t="n">
        <v>1</v>
      </c>
      <c r="L128" t="n">
        <v>0</v>
      </c>
      <c r="M128" t="n">
        <v>0</v>
      </c>
      <c r="N128" t="n">
        <v>0</v>
      </c>
      <c r="O128" t="n">
        <v>0</v>
      </c>
      <c r="P128" t="n">
        <v>0</v>
      </c>
      <c r="Q128" t="n">
        <v>0</v>
      </c>
      <c r="R128" t="n">
        <v>0</v>
      </c>
      <c r="S128" t="n">
        <v>1</v>
      </c>
      <c r="T128" t="n">
        <v>1</v>
      </c>
      <c r="U128" t="n">
        <v>1</v>
      </c>
      <c r="V128" s="2" t="inlineStr">
        <is>
          <t>Guckusko</t>
        </is>
      </c>
      <c r="W128">
        <f>HYPERLINK("https://klasma.github.io/Logging_0382/artfynd/A 52818-2022 artfynd.xlsx", "A 52818-2022")</f>
        <v/>
      </c>
      <c r="X128">
        <f>HYPERLINK("https://klasma.github.io/Logging_0382/kartor/A 52818-2022 karta.png", "A 52818-2022")</f>
        <v/>
      </c>
      <c r="Y128">
        <f>HYPERLINK("https://klasma.github.io/Logging_0382/kartor_geotiff/A 52818-2022 georefererad karta.tif", "A 52818-2022")</f>
        <v/>
      </c>
      <c r="AA128">
        <f>HYPERLINK("https://klasma.github.io/Logging_0382/klagomål/A 52818-2022 FSC-klagomål.docx", "A 52818-2022")</f>
        <v/>
      </c>
      <c r="AB128">
        <f>HYPERLINK("https://klasma.github.io/Logging_0382/klagomålsmail/A 52818-2022 FSC-klagomål mail.docx", "A 52818-2022")</f>
        <v/>
      </c>
      <c r="AC128">
        <f>HYPERLINK("https://klasma.github.io/Logging_0382/tillsyn/A 52818-2022 tillsynsbegäran.docx", "A 52818-2022")</f>
        <v/>
      </c>
      <c r="AD128">
        <f>HYPERLINK("https://klasma.github.io/Logging_0382/tillsynsmail/A 52818-2022 tillsynsbegäran mail.docx", "A 52818-2022")</f>
        <v/>
      </c>
    </row>
    <row r="129" ht="15" customHeight="1">
      <c r="A129" t="inlineStr">
        <is>
          <t>A 20634-2024</t>
        </is>
      </c>
      <c r="B129" t="inlineStr">
        <is>
          <t>avverkningsanmälan</t>
        </is>
      </c>
      <c r="C129" t="inlineStr">
        <is>
          <t>Föryngringsavverkning</t>
        </is>
      </c>
      <c r="D129" s="1" t="n">
        <v>45436</v>
      </c>
      <c r="E129" s="1" t="n">
        <v>46317</v>
      </c>
      <c r="F129" t="inlineStr">
        <is>
          <t>UPPSALA LÄN</t>
        </is>
      </c>
      <c r="G129" t="inlineStr">
        <is>
          <t>ÖSTHAMMAR</t>
        </is>
      </c>
      <c r="I129" t="n">
        <v>6.5</v>
      </c>
      <c r="J129" t="n">
        <v>0</v>
      </c>
      <c r="K129" t="n">
        <v>0</v>
      </c>
      <c r="L129" t="n">
        <v>1</v>
      </c>
      <c r="M129" t="n">
        <v>0</v>
      </c>
      <c r="N129" t="n">
        <v>0</v>
      </c>
      <c r="O129" t="n">
        <v>0</v>
      </c>
      <c r="P129" t="n">
        <v>0</v>
      </c>
      <c r="Q129" t="n">
        <v>1</v>
      </c>
      <c r="R129" t="n">
        <v>0</v>
      </c>
      <c r="S129" t="n">
        <v>1</v>
      </c>
      <c r="T129" t="n">
        <v>1</v>
      </c>
      <c r="U129" t="n">
        <v>0</v>
      </c>
      <c r="V129" s="2" t="inlineStr">
        <is>
          <t>Skarp dropptaggsvamp</t>
        </is>
      </c>
      <c r="W129">
        <f>HYPERLINK("https://klasma.github.io/Logging_0382/artfynd/A 20634-2024 artfynd.xlsx", "A 20634-2024")</f>
        <v/>
      </c>
      <c r="X129">
        <f>HYPERLINK("https://klasma.github.io/Logging_0382/kartor/A 20634-2024 karta.png", "A 20634-2024")</f>
        <v/>
      </c>
      <c r="Y129">
        <f>HYPERLINK("https://klasma.github.io/Logging_0382/kartor_geotiff/A 20634-2024 georefererad karta.tif", "A 20634-2024")</f>
        <v/>
      </c>
      <c r="AA129">
        <f>HYPERLINK("https://klasma.github.io/Logging_0382/klagomål/A 20634-2024 FSC-klagomål.docx", "A 20634-2024")</f>
        <v/>
      </c>
      <c r="AB129">
        <f>HYPERLINK("https://klasma.github.io/Logging_0382/klagomålsmail/A 20634-2024 FSC-klagomål mail.docx", "A 20634-2024")</f>
        <v/>
      </c>
      <c r="AC129">
        <f>HYPERLINK("https://klasma.github.io/Logging_0382/tillsyn/A 20634-2024 tillsynsbegäran.docx", "A 20634-2024")</f>
        <v/>
      </c>
      <c r="AD129">
        <f>HYPERLINK("https://klasma.github.io/Logging_0382/tillsynsmail/A 20634-2024 tillsynsbegäran mail.docx", "A 20634-2024")</f>
        <v/>
      </c>
    </row>
    <row r="130" ht="15" customHeight="1">
      <c r="A130" t="inlineStr">
        <is>
          <t>A 2947-2025</t>
        </is>
      </c>
      <c r="B130" t="inlineStr">
        <is>
          <t>avverkningsanmälan</t>
        </is>
      </c>
      <c r="C130" t="inlineStr">
        <is>
          <t>Föryngringsavverkning</t>
        </is>
      </c>
      <c r="D130" s="1" t="n">
        <v>45678</v>
      </c>
      <c r="E130" s="1" t="n">
        <v>46317</v>
      </c>
      <c r="F130" t="inlineStr">
        <is>
          <t>UPPSALA LÄN</t>
        </is>
      </c>
      <c r="G130" t="inlineStr">
        <is>
          <t>ÖSTHAMMAR</t>
        </is>
      </c>
      <c r="I130" t="n">
        <v>3.6</v>
      </c>
      <c r="J130" t="n">
        <v>0</v>
      </c>
      <c r="K130" t="n">
        <v>0</v>
      </c>
      <c r="L130" t="n">
        <v>1</v>
      </c>
      <c r="M130" t="n">
        <v>0</v>
      </c>
      <c r="N130" t="n">
        <v>0</v>
      </c>
      <c r="O130" t="n">
        <v>0</v>
      </c>
      <c r="P130" t="n">
        <v>0</v>
      </c>
      <c r="Q130" t="n">
        <v>1</v>
      </c>
      <c r="R130" t="n">
        <v>0</v>
      </c>
      <c r="S130" t="n">
        <v>1</v>
      </c>
      <c r="T130" t="n">
        <v>1</v>
      </c>
      <c r="U130" t="n">
        <v>0</v>
      </c>
      <c r="V130" s="2" t="inlineStr">
        <is>
          <t>Vedtrappmossa</t>
        </is>
      </c>
      <c r="W130">
        <f>HYPERLINK("https://klasma.github.io/Logging_0382/artfynd/A 2947-2025 artfynd.xlsx", "A 2947-2025")</f>
        <v/>
      </c>
      <c r="X130">
        <f>HYPERLINK("https://klasma.github.io/Logging_0382/kartor/A 2947-2025 karta.png", "A 2947-2025")</f>
        <v/>
      </c>
      <c r="Y130">
        <f>HYPERLINK("https://klasma.github.io/Logging_0382/kartor_geotiff/A 2947-2025 georefererad karta.tif", "A 2947-2025")</f>
        <v/>
      </c>
      <c r="AA130">
        <f>HYPERLINK("https://klasma.github.io/Logging_0382/klagomål/A 2947-2025 FSC-klagomål.docx", "A 2947-2025")</f>
        <v/>
      </c>
      <c r="AB130">
        <f>HYPERLINK("https://klasma.github.io/Logging_0382/klagomålsmail/A 2947-2025 FSC-klagomål mail.docx", "A 2947-2025")</f>
        <v/>
      </c>
      <c r="AC130">
        <f>HYPERLINK("https://klasma.github.io/Logging_0382/tillsyn/A 2947-2025 tillsynsbegäran.docx", "A 2947-2025")</f>
        <v/>
      </c>
      <c r="AD130">
        <f>HYPERLINK("https://klasma.github.io/Logging_0382/tillsynsmail/A 2947-2025 tillsynsbegäran mail.docx", "A 2947-2025")</f>
        <v/>
      </c>
    </row>
    <row r="131" ht="15" customHeight="1">
      <c r="A131" t="inlineStr">
        <is>
          <t>A 22209-2022</t>
        </is>
      </c>
      <c r="B131" t="inlineStr">
        <is>
          <t>avverkningsanmälan</t>
        </is>
      </c>
      <c r="C131" t="inlineStr">
        <is>
          <t>Föryngringsavverkning</t>
        </is>
      </c>
      <c r="D131" s="1" t="n">
        <v>44712</v>
      </c>
      <c r="E131" s="1" t="n">
        <v>46317</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6507-2026</t>
        </is>
      </c>
      <c r="B132" t="inlineStr">
        <is>
          <t>avverkningsanmälan</t>
        </is>
      </c>
      <c r="C132" t="inlineStr">
        <is>
          <t>Föryngringsavverkning</t>
        </is>
      </c>
      <c r="D132" s="1" t="n">
        <v>46056</v>
      </c>
      <c r="E132" s="1" t="n">
        <v>46317</v>
      </c>
      <c r="F132" t="inlineStr">
        <is>
          <t>UPPSALA LÄN</t>
        </is>
      </c>
      <c r="G132" t="inlineStr">
        <is>
          <t>ÖSTHAMMAR</t>
        </is>
      </c>
      <c r="H132" t="inlineStr">
        <is>
          <t>Bergvik skog öst AB</t>
        </is>
      </c>
      <c r="I132" t="n">
        <v>1.5</v>
      </c>
      <c r="J132" t="n">
        <v>0</v>
      </c>
      <c r="K132" t="n">
        <v>1</v>
      </c>
      <c r="L132" t="n">
        <v>0</v>
      </c>
      <c r="M132" t="n">
        <v>0</v>
      </c>
      <c r="N132" t="n">
        <v>0</v>
      </c>
      <c r="O132" t="n">
        <v>0</v>
      </c>
      <c r="P132" t="n">
        <v>0</v>
      </c>
      <c r="Q132" t="n">
        <v>0</v>
      </c>
      <c r="R132" t="n">
        <v>0</v>
      </c>
      <c r="S132" t="n">
        <v>1</v>
      </c>
      <c r="T132" t="n">
        <v>1</v>
      </c>
      <c r="U132" t="n">
        <v>0</v>
      </c>
      <c r="V132" s="2" t="inlineStr">
        <is>
          <t>Tibast</t>
        </is>
      </c>
      <c r="W132">
        <f>HYPERLINK("https://klasma.github.io/Logging_0382/artfynd/A 6507-2026 artfynd.xlsx", "A 6507-2026")</f>
        <v/>
      </c>
      <c r="X132">
        <f>HYPERLINK("https://klasma.github.io/Logging_0382/kartor/A 6507-2026 karta.png", "A 6507-2026")</f>
        <v/>
      </c>
      <c r="Y132">
        <f>HYPERLINK("https://klasma.github.io/Logging_0382/kartor_geotiff/A 6507-2026 georefererad karta.tif", "A 6507-2026")</f>
        <v/>
      </c>
      <c r="AA132">
        <f>HYPERLINK("https://klasma.github.io/Logging_0382/klagomål/A 6507-2026 FSC-klagomål.docx", "A 6507-2026")</f>
        <v/>
      </c>
      <c r="AB132">
        <f>HYPERLINK("https://klasma.github.io/Logging_0382/klagomålsmail/A 6507-2026 FSC-klagomål mail.docx", "A 6507-2026")</f>
        <v/>
      </c>
      <c r="AC132">
        <f>HYPERLINK("https://klasma.github.io/Logging_0382/tillsyn/A 6507-2026 tillsynsbegäran.docx", "A 6507-2026")</f>
        <v/>
      </c>
      <c r="AD132">
        <f>HYPERLINK("https://klasma.github.io/Logging_0382/tillsynsmail/A 6507-2026 tillsynsbegäran mail.docx", "A 6507-2026")</f>
        <v/>
      </c>
    </row>
    <row r="133" ht="15" customHeight="1">
      <c r="A133" t="inlineStr">
        <is>
          <t>A 7855-2026</t>
        </is>
      </c>
      <c r="B133" t="inlineStr">
        <is>
          <t>avverkningsanmälan</t>
        </is>
      </c>
      <c r="C133" t="inlineStr">
        <is>
          <t>Föryngringsavverkning</t>
        </is>
      </c>
      <c r="D133" s="1" t="n">
        <v>46062</v>
      </c>
      <c r="E133" s="1" t="n">
        <v>46317</v>
      </c>
      <c r="F133" t="inlineStr">
        <is>
          <t>UPPSALA LÄN</t>
        </is>
      </c>
      <c r="G133" t="inlineStr">
        <is>
          <t>ÖSTHAMMAR</t>
        </is>
      </c>
      <c r="I133" t="n">
        <v>3.8</v>
      </c>
      <c r="J133" t="n">
        <v>0</v>
      </c>
      <c r="K133" t="n">
        <v>0</v>
      </c>
      <c r="L133" t="n">
        <v>1</v>
      </c>
      <c r="M133" t="n">
        <v>0</v>
      </c>
      <c r="N133" t="n">
        <v>0</v>
      </c>
      <c r="O133" t="n">
        <v>0</v>
      </c>
      <c r="P133" t="n">
        <v>0</v>
      </c>
      <c r="Q133" t="n">
        <v>1</v>
      </c>
      <c r="R133" t="n">
        <v>0</v>
      </c>
      <c r="S133" t="n">
        <v>1</v>
      </c>
      <c r="T133" t="n">
        <v>1</v>
      </c>
      <c r="U133" t="n">
        <v>0</v>
      </c>
      <c r="V133" s="2" t="inlineStr">
        <is>
          <t>Skogsklocka</t>
        </is>
      </c>
      <c r="W133">
        <f>HYPERLINK("https://klasma.github.io/Logging_0382/artfynd/A 7855-2026 artfynd.xlsx", "A 7855-2026")</f>
        <v/>
      </c>
      <c r="X133">
        <f>HYPERLINK("https://klasma.github.io/Logging_0382/kartor/A 7855-2026 karta.png", "A 7855-2026")</f>
        <v/>
      </c>
      <c r="Y133">
        <f>HYPERLINK("https://klasma.github.io/Logging_0382/kartor_geotiff/A 7855-2026 georefererad karta.tif", "A 7855-2026")</f>
        <v/>
      </c>
      <c r="AA133">
        <f>HYPERLINK("https://klasma.github.io/Logging_0382/klagomål/A 7855-2026 FSC-klagomål.docx", "A 7855-2026")</f>
        <v/>
      </c>
      <c r="AB133">
        <f>HYPERLINK("https://klasma.github.io/Logging_0382/klagomålsmail/A 7855-2026 FSC-klagomål mail.docx", "A 7855-2026")</f>
        <v/>
      </c>
      <c r="AC133">
        <f>HYPERLINK("https://klasma.github.io/Logging_0382/tillsyn/A 7855-2026 tillsynsbegäran.docx", "A 7855-2026")</f>
        <v/>
      </c>
      <c r="AD133">
        <f>HYPERLINK("https://klasma.github.io/Logging_0382/tillsynsmail/A 7855-2026 tillsynsbegäran mail.docx", "A 7855-2026")</f>
        <v/>
      </c>
    </row>
    <row r="134" ht="15" customHeight="1">
      <c r="A134" t="inlineStr">
        <is>
          <t>A 7470-2022</t>
        </is>
      </c>
      <c r="B134" t="inlineStr">
        <is>
          <t>avverkningsanmälan</t>
        </is>
      </c>
      <c r="C134" t="inlineStr">
        <is>
          <t>Föryngringsavverkning</t>
        </is>
      </c>
      <c r="D134" s="1" t="n">
        <v>44607</v>
      </c>
      <c r="E134" s="1" t="n">
        <v>46317</v>
      </c>
      <c r="F134" t="inlineStr">
        <is>
          <t>UPPSALA LÄN</t>
        </is>
      </c>
      <c r="G134" t="inlineStr">
        <is>
          <t>ÖSTHAMMAR</t>
        </is>
      </c>
      <c r="I134" t="n">
        <v>2.6</v>
      </c>
      <c r="J134" t="n">
        <v>1</v>
      </c>
      <c r="K134" t="n">
        <v>1</v>
      </c>
      <c r="L134" t="n">
        <v>0</v>
      </c>
      <c r="M134" t="n">
        <v>0</v>
      </c>
      <c r="N134" t="n">
        <v>0</v>
      </c>
      <c r="O134" t="n">
        <v>0</v>
      </c>
      <c r="P134" t="n">
        <v>0</v>
      </c>
      <c r="Q134" t="n">
        <v>0</v>
      </c>
      <c r="R134" t="n">
        <v>0</v>
      </c>
      <c r="S134" t="n">
        <v>1</v>
      </c>
      <c r="T134" t="n">
        <v>1</v>
      </c>
      <c r="U134" t="n">
        <v>0</v>
      </c>
      <c r="V134" s="2" t="inlineStr">
        <is>
          <t>Grön sköldmossa</t>
        </is>
      </c>
      <c r="W134">
        <f>HYPERLINK("https://klasma.github.io/Logging_0382/artfynd/A 7470-2022 artfynd.xlsx", "A 7470-2022")</f>
        <v/>
      </c>
      <c r="X134">
        <f>HYPERLINK("https://klasma.github.io/Logging_0382/kartor/A 7470-2022 karta.png", "A 7470-2022")</f>
        <v/>
      </c>
      <c r="Y134">
        <f>HYPERLINK("https://klasma.github.io/Logging_0382/kartor_geotiff/A 7470-2022 georefererad karta.tif", "A 7470-2022")</f>
        <v/>
      </c>
      <c r="AA134">
        <f>HYPERLINK("https://klasma.github.io/Logging_0382/klagomål/A 7470-2022 FSC-klagomål.docx", "A 7470-2022")</f>
        <v/>
      </c>
      <c r="AB134">
        <f>HYPERLINK("https://klasma.github.io/Logging_0382/klagomålsmail/A 7470-2022 FSC-klagomål mail.docx", "A 7470-2022")</f>
        <v/>
      </c>
      <c r="AC134">
        <f>HYPERLINK("https://klasma.github.io/Logging_0382/tillsyn/A 7470-2022 tillsynsbegäran.docx", "A 7470-2022")</f>
        <v/>
      </c>
      <c r="AD134">
        <f>HYPERLINK("https://klasma.github.io/Logging_0382/tillsynsmail/A 7470-2022 tillsynsbegäran mail.docx", "A 7470-2022")</f>
        <v/>
      </c>
    </row>
    <row r="135" ht="15" customHeight="1">
      <c r="A135" t="inlineStr">
        <is>
          <t>A 14006-2026</t>
        </is>
      </c>
      <c r="B135" t="inlineStr">
        <is>
          <t>avverkningsanmälan</t>
        </is>
      </c>
      <c r="C135" t="inlineStr">
        <is>
          <t>Föryngringsavverkning</t>
        </is>
      </c>
      <c r="D135" s="1" t="n">
        <v>46098</v>
      </c>
      <c r="E135" s="1" t="n">
        <v>46317</v>
      </c>
      <c r="F135" t="inlineStr">
        <is>
          <t>UPPSALA LÄN</t>
        </is>
      </c>
      <c r="G135" t="inlineStr">
        <is>
          <t>ÖSTHAMMAR</t>
        </is>
      </c>
      <c r="I135" t="n">
        <v>2</v>
      </c>
      <c r="J135" t="n">
        <v>0</v>
      </c>
      <c r="K135" t="n">
        <v>0</v>
      </c>
      <c r="L135" t="n">
        <v>0</v>
      </c>
      <c r="M135" t="n">
        <v>1</v>
      </c>
      <c r="N135" t="n">
        <v>0</v>
      </c>
      <c r="O135" t="n">
        <v>0</v>
      </c>
      <c r="P135" t="n">
        <v>0</v>
      </c>
      <c r="Q135" t="n">
        <v>1</v>
      </c>
      <c r="R135" t="n">
        <v>1</v>
      </c>
      <c r="S135" t="n">
        <v>1</v>
      </c>
      <c r="T135" t="n">
        <v>1</v>
      </c>
      <c r="U135" t="n">
        <v>0</v>
      </c>
      <c r="V135" s="2" t="inlineStr">
        <is>
          <t>Igelkott</t>
        </is>
      </c>
      <c r="W135">
        <f>HYPERLINK("https://klasma.github.io/Logging_0382/artfynd/A 14006-2026 artfynd.xlsx", "A 14006-2026")</f>
        <v/>
      </c>
      <c r="X135">
        <f>HYPERLINK("https://klasma.github.io/Logging_0382/kartor/A 14006-2026 karta.png", "A 14006-2026")</f>
        <v/>
      </c>
      <c r="Y135">
        <f>HYPERLINK("https://klasma.github.io/Logging_0382/kartor_geotiff/A 14006-2026 georefererad karta.tif", "A 14006-2026")</f>
        <v/>
      </c>
      <c r="AA135">
        <f>HYPERLINK("https://klasma.github.io/Logging_0382/klagomål/A 14006-2026 FSC-klagomål.docx", "A 14006-2026")</f>
        <v/>
      </c>
      <c r="AB135">
        <f>HYPERLINK("https://klasma.github.io/Logging_0382/klagomålsmail/A 14006-2026 FSC-klagomål mail.docx", "A 14006-2026")</f>
        <v/>
      </c>
      <c r="AC135">
        <f>HYPERLINK("https://klasma.github.io/Logging_0382/tillsyn/A 14006-2026 tillsynsbegäran.docx", "A 14006-2026")</f>
        <v/>
      </c>
      <c r="AD135">
        <f>HYPERLINK("https://klasma.github.io/Logging_0382/tillsynsmail/A 14006-2026 tillsynsbegäran mail.docx", "A 14006-2026")</f>
        <v/>
      </c>
    </row>
    <row r="136" ht="15" customHeight="1">
      <c r="A136" t="inlineStr">
        <is>
          <t>A 49899-2023</t>
        </is>
      </c>
      <c r="B136" t="inlineStr">
        <is>
          <t>avverkningsanmälan</t>
        </is>
      </c>
      <c r="C136" t="inlineStr">
        <is>
          <t>Avverkning för att bevara och utveckla /försöksver</t>
        </is>
      </c>
      <c r="D136" s="1" t="n">
        <v>45213</v>
      </c>
      <c r="E136" s="1" t="n">
        <v>46317</v>
      </c>
      <c r="F136" t="inlineStr">
        <is>
          <t>UPPSALA LÄN</t>
        </is>
      </c>
      <c r="G136" t="inlineStr">
        <is>
          <t>ÖSTHAMMAR</t>
        </is>
      </c>
      <c r="I136" t="n">
        <v>6.2</v>
      </c>
      <c r="J136" t="n">
        <v>1</v>
      </c>
      <c r="K136" t="n">
        <v>0</v>
      </c>
      <c r="L136" t="n">
        <v>0</v>
      </c>
      <c r="M136" t="n">
        <v>0</v>
      </c>
      <c r="N136" t="n">
        <v>0</v>
      </c>
      <c r="O136" t="n">
        <v>0</v>
      </c>
      <c r="P136" t="n">
        <v>0</v>
      </c>
      <c r="Q136" t="n">
        <v>0</v>
      </c>
      <c r="R136" t="n">
        <v>0</v>
      </c>
      <c r="S136" t="n">
        <v>1</v>
      </c>
      <c r="T136" t="n">
        <v>1</v>
      </c>
      <c r="U136" t="n">
        <v>1</v>
      </c>
      <c r="V136" s="2" t="inlineStr">
        <is>
          <t>Grönvit nattviol</t>
        </is>
      </c>
      <c r="W136">
        <f>HYPERLINK("https://klasma.github.io/Logging_0382/artfynd/A 49899-2023 artfynd.xlsx", "A 49899-2023")</f>
        <v/>
      </c>
      <c r="X136">
        <f>HYPERLINK("https://klasma.github.io/Logging_0382/kartor/A 49899-2023 karta.png", "A 49899-2023")</f>
        <v/>
      </c>
      <c r="Y136">
        <f>HYPERLINK("https://klasma.github.io/Logging_0382/kartor_geotiff/A 49899-2023 georefererad karta.tif", "A 49899-2023")</f>
        <v/>
      </c>
      <c r="AA136">
        <f>HYPERLINK("https://klasma.github.io/Logging_0382/klagomål/A 49899-2023 FSC-klagomål.docx", "A 49899-2023")</f>
        <v/>
      </c>
      <c r="AB136">
        <f>HYPERLINK("https://klasma.github.io/Logging_0382/klagomålsmail/A 49899-2023 FSC-klagomål mail.docx", "A 49899-2023")</f>
        <v/>
      </c>
      <c r="AC136">
        <f>HYPERLINK("https://klasma.github.io/Logging_0382/tillsyn/A 49899-2023 tillsynsbegäran.docx", "A 49899-2023")</f>
        <v/>
      </c>
      <c r="AD136">
        <f>HYPERLINK("https://klasma.github.io/Logging_0382/tillsynsmail/A 49899-2023 tillsynsbegäran mail.docx", "A 49899-2023")</f>
        <v/>
      </c>
    </row>
    <row r="137" ht="15" customHeight="1">
      <c r="A137" t="inlineStr">
        <is>
          <t>A 8014-2026</t>
        </is>
      </c>
      <c r="B137" t="inlineStr">
        <is>
          <t>avverkningsanmälan</t>
        </is>
      </c>
      <c r="C137" t="inlineStr">
        <is>
          <t>Föryngringsavverkning</t>
        </is>
      </c>
      <c r="D137" s="1" t="n">
        <v>46063</v>
      </c>
      <c r="E137" s="1" t="n">
        <v>46317</v>
      </c>
      <c r="F137" t="inlineStr">
        <is>
          <t>UPPSALA LÄN</t>
        </is>
      </c>
      <c r="G137" t="inlineStr">
        <is>
          <t>ÖSTHAMMAR</t>
        </is>
      </c>
      <c r="I137" t="n">
        <v>15.2</v>
      </c>
      <c r="J137" t="n">
        <v>1</v>
      </c>
      <c r="K137" t="n">
        <v>1</v>
      </c>
      <c r="L137" t="n">
        <v>0</v>
      </c>
      <c r="M137" t="n">
        <v>0</v>
      </c>
      <c r="N137" t="n">
        <v>0</v>
      </c>
      <c r="O137" t="n">
        <v>0</v>
      </c>
      <c r="P137" t="n">
        <v>0</v>
      </c>
      <c r="Q137" t="n">
        <v>0</v>
      </c>
      <c r="R137" t="n">
        <v>0</v>
      </c>
      <c r="S137" t="n">
        <v>1</v>
      </c>
      <c r="T137" t="n">
        <v>1</v>
      </c>
      <c r="U137" t="n">
        <v>0</v>
      </c>
      <c r="V137" s="2" t="inlineStr">
        <is>
          <t>Skogsknipprot</t>
        </is>
      </c>
      <c r="W137">
        <f>HYPERLINK("https://klasma.github.io/Logging_0382/artfynd/A 8014-2026 artfynd.xlsx", "A 8014-2026")</f>
        <v/>
      </c>
      <c r="X137">
        <f>HYPERLINK("https://klasma.github.io/Logging_0382/kartor/A 8014-2026 karta.png", "A 8014-2026")</f>
        <v/>
      </c>
      <c r="Y137">
        <f>HYPERLINK("https://klasma.github.io/Logging_0382/kartor_geotiff/A 8014-2026 georefererad karta.tif", "A 8014-2026")</f>
        <v/>
      </c>
      <c r="AA137">
        <f>HYPERLINK("https://klasma.github.io/Logging_0382/klagomål/A 8014-2026 FSC-klagomål.docx", "A 8014-2026")</f>
        <v/>
      </c>
      <c r="AB137">
        <f>HYPERLINK("https://klasma.github.io/Logging_0382/klagomålsmail/A 8014-2026 FSC-klagomål mail.docx", "A 8014-2026")</f>
        <v/>
      </c>
      <c r="AC137">
        <f>HYPERLINK("https://klasma.github.io/Logging_0382/tillsyn/A 8014-2026 tillsynsbegäran.docx", "A 8014-2026")</f>
        <v/>
      </c>
      <c r="AD137">
        <f>HYPERLINK("https://klasma.github.io/Logging_0382/tillsynsmail/A 8014-2026 tillsynsbegäran mail.docx", "A 8014-2026")</f>
        <v/>
      </c>
    </row>
    <row r="138" ht="15" customHeight="1">
      <c r="A138" t="inlineStr">
        <is>
          <t>A 37296-2023</t>
        </is>
      </c>
      <c r="B138" t="inlineStr">
        <is>
          <t>avverkningsanmälan</t>
        </is>
      </c>
      <c r="C138" t="inlineStr">
        <is>
          <t>Föryngringsavverkning</t>
        </is>
      </c>
      <c r="D138" s="1" t="n">
        <v>45156</v>
      </c>
      <c r="E138" s="1" t="n">
        <v>46317</v>
      </c>
      <c r="F138" t="inlineStr">
        <is>
          <t>UPPSALA LÄN</t>
        </is>
      </c>
      <c r="G138" t="inlineStr">
        <is>
          <t>ÖSTHAMMAR</t>
        </is>
      </c>
      <c r="I138" t="n">
        <v>4.7</v>
      </c>
      <c r="J138" t="n">
        <v>1</v>
      </c>
      <c r="K138" t="n">
        <v>0</v>
      </c>
      <c r="L138" t="n">
        <v>0</v>
      </c>
      <c r="M138" t="n">
        <v>1</v>
      </c>
      <c r="N138" t="n">
        <v>0</v>
      </c>
      <c r="O138" t="n">
        <v>0</v>
      </c>
      <c r="P138" t="n">
        <v>0</v>
      </c>
      <c r="Q138" t="n">
        <v>1</v>
      </c>
      <c r="R138" t="n">
        <v>1</v>
      </c>
      <c r="S138" t="n">
        <v>1</v>
      </c>
      <c r="T138" t="n">
        <v>1</v>
      </c>
      <c r="U138" t="n">
        <v>1</v>
      </c>
      <c r="V138" s="2" t="inlineStr">
        <is>
          <t>Backsippa</t>
        </is>
      </c>
      <c r="W138">
        <f>HYPERLINK("https://klasma.github.io/Logging_0382/artfynd/A 37296-2023 artfynd.xlsx", "A 37296-2023")</f>
        <v/>
      </c>
      <c r="X138">
        <f>HYPERLINK("https://klasma.github.io/Logging_0382/kartor/A 37296-2023 karta.png", "A 37296-2023")</f>
        <v/>
      </c>
      <c r="Y138">
        <f>HYPERLINK("https://klasma.github.io/Logging_0382/kartor_geotiff/A 37296-2023 georefererad karta.tif", "A 37296-2023")</f>
        <v/>
      </c>
      <c r="AA138">
        <f>HYPERLINK("https://klasma.github.io/Logging_0382/klagomål/A 37296-2023 FSC-klagomål.docx", "A 37296-2023")</f>
        <v/>
      </c>
      <c r="AB138">
        <f>HYPERLINK("https://klasma.github.io/Logging_0382/klagomålsmail/A 37296-2023 FSC-klagomål mail.docx", "A 37296-2023")</f>
        <v/>
      </c>
      <c r="AC138">
        <f>HYPERLINK("https://klasma.github.io/Logging_0382/tillsyn/A 37296-2023 tillsynsbegäran.docx", "A 37296-2023")</f>
        <v/>
      </c>
      <c r="AD138">
        <f>HYPERLINK("https://klasma.github.io/Logging_0382/tillsynsmail/A 37296-2023 tillsynsbegäran mail.docx", "A 37296-2023")</f>
        <v/>
      </c>
    </row>
    <row r="139" ht="15" customHeight="1">
      <c r="A139" t="inlineStr">
        <is>
          <t>A 30605-2025</t>
        </is>
      </c>
      <c r="B139" t="inlineStr">
        <is>
          <t>avverkningsanmälan</t>
        </is>
      </c>
      <c r="C139" t="inlineStr">
        <is>
          <t>Föryngringsavverkning</t>
        </is>
      </c>
      <c r="D139" s="1" t="n">
        <v>45831</v>
      </c>
      <c r="E139" s="1" t="n">
        <v>46317</v>
      </c>
      <c r="F139" t="inlineStr">
        <is>
          <t>UPPSALA LÄN</t>
        </is>
      </c>
      <c r="G139" t="inlineStr">
        <is>
          <t>ÖSTHAMMAR</t>
        </is>
      </c>
      <c r="I139" t="n">
        <v>1.7</v>
      </c>
      <c r="J139" t="n">
        <v>0</v>
      </c>
      <c r="K139" t="n">
        <v>0</v>
      </c>
      <c r="L139" t="n">
        <v>0</v>
      </c>
      <c r="M139" t="n">
        <v>1</v>
      </c>
      <c r="N139" t="n">
        <v>0</v>
      </c>
      <c r="O139" t="n">
        <v>0</v>
      </c>
      <c r="P139" t="n">
        <v>0</v>
      </c>
      <c r="Q139" t="n">
        <v>1</v>
      </c>
      <c r="R139" t="n">
        <v>1</v>
      </c>
      <c r="S139" t="n">
        <v>1</v>
      </c>
      <c r="T139" t="n">
        <v>1</v>
      </c>
      <c r="U139" t="n">
        <v>0</v>
      </c>
      <c r="V139" s="2" t="inlineStr">
        <is>
          <t>Plattsäv</t>
        </is>
      </c>
      <c r="W139">
        <f>HYPERLINK("https://klasma.github.io/Logging_0382/artfynd/A 30605-2025 artfynd.xlsx", "A 30605-2025")</f>
        <v/>
      </c>
      <c r="X139">
        <f>HYPERLINK("https://klasma.github.io/Logging_0382/kartor/A 30605-2025 karta.png", "A 30605-2025")</f>
        <v/>
      </c>
      <c r="Y139">
        <f>HYPERLINK("https://klasma.github.io/Logging_0382/kartor_geotiff/A 30605-2025 georefererad karta.tif", "A 30605-2025")</f>
        <v/>
      </c>
      <c r="AA139">
        <f>HYPERLINK("https://klasma.github.io/Logging_0382/klagomål/A 30605-2025 FSC-klagomål.docx", "A 30605-2025")</f>
        <v/>
      </c>
      <c r="AB139">
        <f>HYPERLINK("https://klasma.github.io/Logging_0382/klagomålsmail/A 30605-2025 FSC-klagomål mail.docx", "A 30605-2025")</f>
        <v/>
      </c>
      <c r="AC139">
        <f>HYPERLINK("https://klasma.github.io/Logging_0382/tillsyn/A 30605-2025 tillsynsbegäran.docx", "A 30605-2025")</f>
        <v/>
      </c>
      <c r="AD139">
        <f>HYPERLINK("https://klasma.github.io/Logging_0382/tillsynsmail/A 30605-2025 tillsynsbegäran mail.docx", "A 30605-2025")</f>
        <v/>
      </c>
    </row>
    <row r="140" ht="15" customHeight="1">
      <c r="A140" t="inlineStr">
        <is>
          <t>A 20396-2026</t>
        </is>
      </c>
      <c r="B140" t="inlineStr">
        <is>
          <t>avverkningsanmälan</t>
        </is>
      </c>
      <c r="C140" t="inlineStr">
        <is>
          <t>Föryngringsavverkning</t>
        </is>
      </c>
      <c r="D140" s="1" t="n">
        <v>46139</v>
      </c>
      <c r="E140" s="1" t="n">
        <v>46317</v>
      </c>
      <c r="F140" t="inlineStr">
        <is>
          <t>UPPSALA LÄN</t>
        </is>
      </c>
      <c r="G140" t="inlineStr">
        <is>
          <t>ÖSTHAMMAR</t>
        </is>
      </c>
      <c r="I140" t="n">
        <v>1.4</v>
      </c>
      <c r="J140" t="n">
        <v>1</v>
      </c>
      <c r="K140" t="n">
        <v>0</v>
      </c>
      <c r="L140" t="n">
        <v>1</v>
      </c>
      <c r="M140" t="n">
        <v>0</v>
      </c>
      <c r="N140" t="n">
        <v>0</v>
      </c>
      <c r="O140" t="n">
        <v>0</v>
      </c>
      <c r="P140" t="n">
        <v>0</v>
      </c>
      <c r="Q140" t="n">
        <v>1</v>
      </c>
      <c r="R140" t="n">
        <v>0</v>
      </c>
      <c r="S140" t="n">
        <v>1</v>
      </c>
      <c r="T140" t="n">
        <v>1</v>
      </c>
      <c r="U140" t="n">
        <v>0</v>
      </c>
      <c r="V140" s="2" t="inlineStr">
        <is>
          <t>Bivråk</t>
        </is>
      </c>
      <c r="W140">
        <f>HYPERLINK("https://klasma.github.io/Logging_0382/artfynd/A 20396-2026 artfynd.xlsx", "A 20396-2026")</f>
        <v/>
      </c>
      <c r="X140">
        <f>HYPERLINK("https://klasma.github.io/Logging_0382/kartor/A 20396-2026 karta.png", "A 20396-2026")</f>
        <v/>
      </c>
      <c r="Y140">
        <f>HYPERLINK("https://klasma.github.io/Logging_0382/kartor_geotiff/A 20396-2026 georefererad karta.tif", "A 20396-2026")</f>
        <v/>
      </c>
      <c r="AA140">
        <f>HYPERLINK("https://klasma.github.io/Logging_0382/klagomål/A 20396-2026 FSC-klagomål.docx", "A 20396-2026")</f>
        <v/>
      </c>
      <c r="AB140">
        <f>HYPERLINK("https://klasma.github.io/Logging_0382/klagomålsmail/A 20396-2026 FSC-klagomål mail.docx", "A 20396-2026")</f>
        <v/>
      </c>
      <c r="AC140">
        <f>HYPERLINK("https://klasma.github.io/Logging_0382/tillsyn/A 20396-2026 tillsynsbegäran.docx", "A 20396-2026")</f>
        <v/>
      </c>
      <c r="AD140">
        <f>HYPERLINK("https://klasma.github.io/Logging_0382/tillsynsmail/A 20396-2026 tillsynsbegäran mail.docx", "A 20396-2026")</f>
        <v/>
      </c>
      <c r="AE140">
        <f>HYPERLINK("https://klasma.github.io/Logging_0382/fåglar/A 20396-2026 prioriterade fågelarter.docx", "A 20396-2026")</f>
        <v/>
      </c>
    </row>
    <row r="141" ht="15" customHeight="1">
      <c r="A141" t="inlineStr">
        <is>
          <t>A 65989-2021</t>
        </is>
      </c>
      <c r="B141" t="inlineStr">
        <is>
          <t>avverkningsanmälan</t>
        </is>
      </c>
      <c r="C141" t="inlineStr">
        <is>
          <t>Föryngringsavverkning</t>
        </is>
      </c>
      <c r="D141" s="1" t="n">
        <v>44517</v>
      </c>
      <c r="E141" s="1" t="n">
        <v>46317</v>
      </c>
      <c r="F141" t="inlineStr">
        <is>
          <t>UPPSALA LÄN</t>
        </is>
      </c>
      <c r="G141" t="inlineStr">
        <is>
          <t>ÖSTHAMMAR</t>
        </is>
      </c>
      <c r="I141" t="n">
        <v>6.9</v>
      </c>
      <c r="J141" t="n">
        <v>1</v>
      </c>
      <c r="K141" t="n">
        <v>1</v>
      </c>
      <c r="L141" t="n">
        <v>0</v>
      </c>
      <c r="M141" t="n">
        <v>0</v>
      </c>
      <c r="N141" t="n">
        <v>0</v>
      </c>
      <c r="O141" t="n">
        <v>0</v>
      </c>
      <c r="P141" t="n">
        <v>0</v>
      </c>
      <c r="Q141" t="n">
        <v>0</v>
      </c>
      <c r="R141" t="n">
        <v>0</v>
      </c>
      <c r="S141" t="n">
        <v>1</v>
      </c>
      <c r="T141" t="n">
        <v>2</v>
      </c>
      <c r="U141" t="n">
        <v>0</v>
      </c>
      <c r="V141" s="2" t="inlineStr">
        <is>
          <t>Skogsknipprot</t>
        </is>
      </c>
      <c r="W141">
        <f>HYPERLINK("https://klasma.github.io/Logging_0382/artfynd/A 65989-2021 artfynd.xlsx", "A 65989-2021")</f>
        <v/>
      </c>
      <c r="X141">
        <f>HYPERLINK("https://klasma.github.io/Logging_0382/kartor/A 65989-2021 karta.png", "A 65989-2021")</f>
        <v/>
      </c>
      <c r="Y141">
        <f>HYPERLINK("https://klasma.github.io/Logging_0382/kartor_geotiff/A 65989-2021 georefererad karta.tif", "A 65989-2021")</f>
        <v/>
      </c>
      <c r="AA141">
        <f>HYPERLINK("https://klasma.github.io/Logging_0382/klagomål/A 65989-2021 FSC-klagomål.docx", "A 65989-2021")</f>
        <v/>
      </c>
      <c r="AB141">
        <f>HYPERLINK("https://klasma.github.io/Logging_0382/klagomålsmail/A 65989-2021 FSC-klagomål mail.docx", "A 65989-2021")</f>
        <v/>
      </c>
      <c r="AC141">
        <f>HYPERLINK("https://klasma.github.io/Logging_0382/tillsyn/A 65989-2021 tillsynsbegäran.docx", "A 65989-2021")</f>
        <v/>
      </c>
      <c r="AD141">
        <f>HYPERLINK("https://klasma.github.io/Logging_0382/tillsynsmail/A 65989-2021 tillsynsbegäran mail.docx", "A 65989-2021")</f>
        <v/>
      </c>
    </row>
    <row r="142" ht="15" customHeight="1">
      <c r="A142" t="inlineStr">
        <is>
          <t>A 7446-2022</t>
        </is>
      </c>
      <c r="B142" t="inlineStr">
        <is>
          <t>avverkningsanmälan</t>
        </is>
      </c>
      <c r="C142" t="inlineStr">
        <is>
          <t>Föryngringsavverkning</t>
        </is>
      </c>
      <c r="D142" s="1" t="n">
        <v>44606</v>
      </c>
      <c r="E142" s="1" t="n">
        <v>46317</v>
      </c>
      <c r="F142" t="inlineStr">
        <is>
          <t>UPPSALA LÄN</t>
        </is>
      </c>
      <c r="G142" t="inlineStr">
        <is>
          <t>ÖSTHAMMAR</t>
        </is>
      </c>
      <c r="I142" t="n">
        <v>5</v>
      </c>
      <c r="J142" t="n">
        <v>1</v>
      </c>
      <c r="K142" t="n">
        <v>0</v>
      </c>
      <c r="L142" t="n">
        <v>0</v>
      </c>
      <c r="M142" t="n">
        <v>0</v>
      </c>
      <c r="N142" t="n">
        <v>0</v>
      </c>
      <c r="O142" t="n">
        <v>0</v>
      </c>
      <c r="P142" t="n">
        <v>0</v>
      </c>
      <c r="Q142" t="n">
        <v>0</v>
      </c>
      <c r="R142" t="n">
        <v>0</v>
      </c>
      <c r="S142" t="n">
        <v>1</v>
      </c>
      <c r="T142" t="n">
        <v>1</v>
      </c>
      <c r="U142" t="n">
        <v>0</v>
      </c>
      <c r="V142" s="2" t="inlineStr">
        <is>
          <t>Mattlummer</t>
        </is>
      </c>
      <c r="W142">
        <f>HYPERLINK("https://klasma.github.io/Logging_0382/artfynd/A 7446-2022 artfynd.xlsx", "A 7446-2022")</f>
        <v/>
      </c>
      <c r="X142">
        <f>HYPERLINK("https://klasma.github.io/Logging_0382/kartor/A 7446-2022 karta.png", "A 7446-2022")</f>
        <v/>
      </c>
      <c r="Y142">
        <f>HYPERLINK("https://klasma.github.io/Logging_0382/kartor_geotiff/A 7446-2022 georefererad karta.tif", "A 7446-2022")</f>
        <v/>
      </c>
      <c r="AA142">
        <f>HYPERLINK("https://klasma.github.io/Logging_0382/klagomål/A 7446-2022 FSC-klagomål.docx", "A 7446-2022")</f>
        <v/>
      </c>
      <c r="AB142">
        <f>HYPERLINK("https://klasma.github.io/Logging_0382/klagomålsmail/A 7446-2022 FSC-klagomål mail.docx", "A 7446-2022")</f>
        <v/>
      </c>
      <c r="AC142">
        <f>HYPERLINK("https://klasma.github.io/Logging_0382/tillsyn/A 7446-2022 tillsynsbegäran.docx", "A 7446-2022")</f>
        <v/>
      </c>
      <c r="AD142">
        <f>HYPERLINK("https://klasma.github.io/Logging_0382/tillsynsmail/A 7446-2022 tillsynsbegäran mail.docx", "A 7446-2022")</f>
        <v/>
      </c>
    </row>
    <row r="143" ht="15" customHeight="1">
      <c r="A143" t="inlineStr">
        <is>
          <t>A 10034-2023</t>
        </is>
      </c>
      <c r="B143" t="inlineStr">
        <is>
          <t>avverkningsanmälan</t>
        </is>
      </c>
      <c r="C143" t="inlineStr">
        <is>
          <t>Avverkning för annat ändamål</t>
        </is>
      </c>
      <c r="D143" s="1" t="n">
        <v>44985</v>
      </c>
      <c r="E143" s="1" t="n">
        <v>46317</v>
      </c>
      <c r="F143" t="inlineStr">
        <is>
          <t>UPPSALA LÄN</t>
        </is>
      </c>
      <c r="G143" t="inlineStr">
        <is>
          <t>ÖSTHAMMAR</t>
        </is>
      </c>
      <c r="I143" t="n">
        <v>2.1</v>
      </c>
      <c r="J143" t="n">
        <v>1</v>
      </c>
      <c r="K143" t="n">
        <v>0</v>
      </c>
      <c r="L143" t="n">
        <v>0</v>
      </c>
      <c r="M143" t="n">
        <v>0</v>
      </c>
      <c r="N143" t="n">
        <v>0</v>
      </c>
      <c r="O143" t="n">
        <v>0</v>
      </c>
      <c r="P143" t="n">
        <v>0</v>
      </c>
      <c r="Q143" t="n">
        <v>0</v>
      </c>
      <c r="R143" t="n">
        <v>0</v>
      </c>
      <c r="S143" t="n">
        <v>1</v>
      </c>
      <c r="T143" t="n">
        <v>1</v>
      </c>
      <c r="U143" t="n">
        <v>1</v>
      </c>
      <c r="V143" s="2" t="inlineStr">
        <is>
          <t>Blåsippa</t>
        </is>
      </c>
      <c r="W143">
        <f>HYPERLINK("https://klasma.github.io/Logging_0382/artfynd/A 10034-2023 artfynd.xlsx", "A 10034-2023")</f>
        <v/>
      </c>
      <c r="X143">
        <f>HYPERLINK("https://klasma.github.io/Logging_0382/kartor/A 10034-2023 karta.png", "A 10034-2023")</f>
        <v/>
      </c>
      <c r="Y143">
        <f>HYPERLINK("https://klasma.github.io/Logging_0382/kartor_geotiff/A 10034-2023 georefererad karta.tif", "A 10034-2023")</f>
        <v/>
      </c>
      <c r="AA143">
        <f>HYPERLINK("https://klasma.github.io/Logging_0382/klagomål/A 10034-2023 FSC-klagomål.docx", "A 10034-2023")</f>
        <v/>
      </c>
      <c r="AB143">
        <f>HYPERLINK("https://klasma.github.io/Logging_0382/klagomålsmail/A 10034-2023 FSC-klagomål mail.docx", "A 10034-2023")</f>
        <v/>
      </c>
      <c r="AC143">
        <f>HYPERLINK("https://klasma.github.io/Logging_0382/tillsyn/A 10034-2023 tillsynsbegäran.docx", "A 10034-2023")</f>
        <v/>
      </c>
      <c r="AD143">
        <f>HYPERLINK("https://klasma.github.io/Logging_0382/tillsynsmail/A 10034-2023 tillsynsbegäran mail.docx", "A 10034-2023")</f>
        <v/>
      </c>
    </row>
    <row r="144" ht="15" customHeight="1">
      <c r="A144" t="inlineStr">
        <is>
          <t>A 1227-2022</t>
        </is>
      </c>
      <c r="B144" t="inlineStr">
        <is>
          <t>avverkningsanmälan</t>
        </is>
      </c>
      <c r="C144" t="inlineStr">
        <is>
          <t>Föryngringsavverkning</t>
        </is>
      </c>
      <c r="D144" s="1" t="n">
        <v>44572</v>
      </c>
      <c r="E144" s="1" t="n">
        <v>46317</v>
      </c>
      <c r="F144" t="inlineStr">
        <is>
          <t>UPPSALA LÄN</t>
        </is>
      </c>
      <c r="G144" t="inlineStr">
        <is>
          <t>ÖSTHAMMAR</t>
        </is>
      </c>
      <c r="I144" t="n">
        <v>1.7</v>
      </c>
      <c r="J144" t="n">
        <v>0</v>
      </c>
      <c r="K144" t="n">
        <v>1</v>
      </c>
      <c r="L144" t="n">
        <v>0</v>
      </c>
      <c r="M144" t="n">
        <v>0</v>
      </c>
      <c r="N144" t="n">
        <v>0</v>
      </c>
      <c r="O144" t="n">
        <v>0</v>
      </c>
      <c r="P144" t="n">
        <v>0</v>
      </c>
      <c r="Q144" t="n">
        <v>0</v>
      </c>
      <c r="R144" t="n">
        <v>0</v>
      </c>
      <c r="S144" t="n">
        <v>1</v>
      </c>
      <c r="T144" t="n">
        <v>1</v>
      </c>
      <c r="U144" t="n">
        <v>0</v>
      </c>
      <c r="V144" s="2" t="inlineStr">
        <is>
          <t>Guldkremla</t>
        </is>
      </c>
      <c r="W144">
        <f>HYPERLINK("https://klasma.github.io/Logging_0382/artfynd/A 1227-2022 artfynd.xlsx", "A 1227-2022")</f>
        <v/>
      </c>
      <c r="X144">
        <f>HYPERLINK("https://klasma.github.io/Logging_0382/kartor/A 1227-2022 karta.png", "A 1227-2022")</f>
        <v/>
      </c>
      <c r="Y144">
        <f>HYPERLINK("https://klasma.github.io/Logging_0382/kartor_geotiff/A 1227-2022 georefererad karta.tif", "A 1227-2022")</f>
        <v/>
      </c>
      <c r="AA144">
        <f>HYPERLINK("https://klasma.github.io/Logging_0382/klagomål/A 1227-2022 FSC-klagomål.docx", "A 1227-2022")</f>
        <v/>
      </c>
      <c r="AB144">
        <f>HYPERLINK("https://klasma.github.io/Logging_0382/klagomålsmail/A 1227-2022 FSC-klagomål mail.docx", "A 1227-2022")</f>
        <v/>
      </c>
      <c r="AC144">
        <f>HYPERLINK("https://klasma.github.io/Logging_0382/tillsyn/A 1227-2022 tillsynsbegäran.docx", "A 1227-2022")</f>
        <v/>
      </c>
      <c r="AD144">
        <f>HYPERLINK("https://klasma.github.io/Logging_0382/tillsynsmail/A 1227-2022 tillsynsbegäran mail.docx", "A 1227-2022")</f>
        <v/>
      </c>
    </row>
    <row r="145" ht="15" customHeight="1">
      <c r="A145" t="inlineStr">
        <is>
          <t>A 22409-2026</t>
        </is>
      </c>
      <c r="B145" t="inlineStr">
        <is>
          <t>avverkningsanmälan</t>
        </is>
      </c>
      <c r="C145" t="inlineStr">
        <is>
          <t>Föryngringsavverkning</t>
        </is>
      </c>
      <c r="D145" s="1" t="n">
        <v>46154</v>
      </c>
      <c r="E145" s="1" t="n">
        <v>46317</v>
      </c>
      <c r="F145" t="inlineStr">
        <is>
          <t>UPPSALA LÄN</t>
        </is>
      </c>
      <c r="G145" t="inlineStr">
        <is>
          <t>ÖSTHAMMAR</t>
        </is>
      </c>
      <c r="H145" t="inlineStr">
        <is>
          <t>Övriga Aktiebolag</t>
        </is>
      </c>
      <c r="I145" t="n">
        <v>4.8</v>
      </c>
      <c r="J145" t="n">
        <v>0</v>
      </c>
      <c r="K145" t="n">
        <v>0</v>
      </c>
      <c r="L145" t="n">
        <v>1</v>
      </c>
      <c r="M145" t="n">
        <v>0</v>
      </c>
      <c r="N145" t="n">
        <v>0</v>
      </c>
      <c r="O145" t="n">
        <v>0</v>
      </c>
      <c r="P145" t="n">
        <v>0</v>
      </c>
      <c r="Q145" t="n">
        <v>1</v>
      </c>
      <c r="R145" t="n">
        <v>0</v>
      </c>
      <c r="S145" t="n">
        <v>1</v>
      </c>
      <c r="T145" t="n">
        <v>1</v>
      </c>
      <c r="U145" t="n">
        <v>0</v>
      </c>
      <c r="V145" s="2" t="inlineStr">
        <is>
          <t>Backklöver</t>
        </is>
      </c>
      <c r="W145">
        <f>HYPERLINK("https://klasma.github.io/Logging_0382/artfynd/A 22409-2026 artfynd.xlsx", "A 22409-2026")</f>
        <v/>
      </c>
      <c r="X145">
        <f>HYPERLINK("https://klasma.github.io/Logging_0382/kartor/A 22409-2026 karta.png", "A 22409-2026")</f>
        <v/>
      </c>
      <c r="Y145">
        <f>HYPERLINK("https://klasma.github.io/Logging_0382/kartor_geotiff/A 22409-2026 georefererad karta.tif", "A 22409-2026")</f>
        <v/>
      </c>
      <c r="AA145">
        <f>HYPERLINK("https://klasma.github.io/Logging_0382/klagomål/A 22409-2026 FSC-klagomål.docx", "A 22409-2026")</f>
        <v/>
      </c>
      <c r="AB145">
        <f>HYPERLINK("https://klasma.github.io/Logging_0382/klagomålsmail/A 22409-2026 FSC-klagomål mail.docx", "A 22409-2026")</f>
        <v/>
      </c>
      <c r="AC145">
        <f>HYPERLINK("https://klasma.github.io/Logging_0382/tillsyn/A 22409-2026 tillsynsbegäran.docx", "A 22409-2026")</f>
        <v/>
      </c>
      <c r="AD145">
        <f>HYPERLINK("https://klasma.github.io/Logging_0382/tillsynsmail/A 22409-2026 tillsynsbegäran mail.docx", "A 22409-2026")</f>
        <v/>
      </c>
    </row>
    <row r="146" ht="15" customHeight="1">
      <c r="A146" t="inlineStr">
        <is>
          <t>A 13358-2024</t>
        </is>
      </c>
      <c r="B146" t="inlineStr">
        <is>
          <t>avverkningsanmälan</t>
        </is>
      </c>
      <c r="C146" t="inlineStr">
        <is>
          <t>Föryngringsavverkning</t>
        </is>
      </c>
      <c r="D146" s="1" t="n">
        <v>45387</v>
      </c>
      <c r="E146" s="1" t="n">
        <v>46317</v>
      </c>
      <c r="F146" t="inlineStr">
        <is>
          <t>UPPSALA LÄN</t>
        </is>
      </c>
      <c r="G146" t="inlineStr">
        <is>
          <t>ÖSTHAMMAR</t>
        </is>
      </c>
      <c r="I146" t="n">
        <v>2.2</v>
      </c>
      <c r="J146" t="n">
        <v>1</v>
      </c>
      <c r="K146" t="n">
        <v>0</v>
      </c>
      <c r="L146" t="n">
        <v>0</v>
      </c>
      <c r="M146" t="n">
        <v>0</v>
      </c>
      <c r="N146" t="n">
        <v>1</v>
      </c>
      <c r="O146" t="n">
        <v>0</v>
      </c>
      <c r="P146" t="n">
        <v>0</v>
      </c>
      <c r="Q146" t="n">
        <v>1</v>
      </c>
      <c r="R146" t="n">
        <v>1</v>
      </c>
      <c r="S146" t="n">
        <v>1</v>
      </c>
      <c r="T146" t="n">
        <v>1</v>
      </c>
      <c r="U146" t="n">
        <v>1</v>
      </c>
      <c r="V146" s="2" t="inlineStr">
        <is>
          <t>Kornknarr</t>
        </is>
      </c>
      <c r="W146">
        <f>HYPERLINK("https://klasma.github.io/Logging_0382/artfynd/A 13358-2024 artfynd.xlsx", "A 13358-2024")</f>
        <v/>
      </c>
      <c r="X146">
        <f>HYPERLINK("https://klasma.github.io/Logging_0382/kartor/A 13358-2024 karta.png", "A 13358-2024")</f>
        <v/>
      </c>
      <c r="Y146">
        <f>HYPERLINK("https://klasma.github.io/Logging_0382/kartor_geotiff/A 13358-2024 georefererad karta.tif", "A 13358-2024")</f>
        <v/>
      </c>
      <c r="AA146">
        <f>HYPERLINK("https://klasma.github.io/Logging_0382/klagomål/A 13358-2024 FSC-klagomål.docx", "A 13358-2024")</f>
        <v/>
      </c>
      <c r="AB146">
        <f>HYPERLINK("https://klasma.github.io/Logging_0382/klagomålsmail/A 13358-2024 FSC-klagomål mail.docx", "A 13358-2024")</f>
        <v/>
      </c>
      <c r="AC146">
        <f>HYPERLINK("https://klasma.github.io/Logging_0382/tillsyn/A 13358-2024 tillsynsbegäran.docx", "A 13358-2024")</f>
        <v/>
      </c>
      <c r="AD146">
        <f>HYPERLINK("https://klasma.github.io/Logging_0382/tillsynsmail/A 13358-2024 tillsynsbegäran mail.docx", "A 13358-2024")</f>
        <v/>
      </c>
    </row>
    <row r="147" ht="15" customHeight="1">
      <c r="A147" t="inlineStr">
        <is>
          <t>A 38600-2023</t>
        </is>
      </c>
      <c r="B147" t="inlineStr">
        <is>
          <t>avverkningsanmälan</t>
        </is>
      </c>
      <c r="C147" t="inlineStr">
        <is>
          <t>Avverkning för annat ändamål</t>
        </is>
      </c>
      <c r="D147" s="1" t="n">
        <v>45162</v>
      </c>
      <c r="E147" s="1" t="n">
        <v>46317</v>
      </c>
      <c r="F147" t="inlineStr">
        <is>
          <t>UPPSALA LÄN</t>
        </is>
      </c>
      <c r="G147" t="inlineStr">
        <is>
          <t>ÖSTHAMMAR</t>
        </is>
      </c>
      <c r="H147" t="inlineStr">
        <is>
          <t>Bergvik skog väst AB</t>
        </is>
      </c>
      <c r="I147" t="n">
        <v>0.1</v>
      </c>
      <c r="J147" t="n">
        <v>1</v>
      </c>
      <c r="K147" t="n">
        <v>0</v>
      </c>
      <c r="L147" t="n">
        <v>0</v>
      </c>
      <c r="M147" t="n">
        <v>0</v>
      </c>
      <c r="N147" t="n">
        <v>0</v>
      </c>
      <c r="O147" t="n">
        <v>0</v>
      </c>
      <c r="P147" t="n">
        <v>0</v>
      </c>
      <c r="Q147" t="n">
        <v>0</v>
      </c>
      <c r="R147" t="n">
        <v>0</v>
      </c>
      <c r="S147" t="n">
        <v>1</v>
      </c>
      <c r="T147" t="n">
        <v>1</v>
      </c>
      <c r="U147" t="n">
        <v>0</v>
      </c>
      <c r="V147" s="2" t="inlineStr">
        <is>
          <t>Blåsippa</t>
        </is>
      </c>
      <c r="W147">
        <f>HYPERLINK("https://klasma.github.io/Logging_0382/artfynd/A 38600-2023 artfynd.xlsx", "A 38600-2023")</f>
        <v/>
      </c>
      <c r="X147">
        <f>HYPERLINK("https://klasma.github.io/Logging_0382/kartor/A 38600-2023 karta.png", "A 38600-2023")</f>
        <v/>
      </c>
      <c r="Y147">
        <f>HYPERLINK("https://klasma.github.io/Logging_0382/kartor_geotiff/A 38600-2023 georefererad karta.tif", "A 38600-2023")</f>
        <v/>
      </c>
      <c r="AA147">
        <f>HYPERLINK("https://klasma.github.io/Logging_0382/klagomål/A 38600-2023 FSC-klagomål.docx", "A 38600-2023")</f>
        <v/>
      </c>
      <c r="AB147">
        <f>HYPERLINK("https://klasma.github.io/Logging_0382/klagomålsmail/A 38600-2023 FSC-klagomål mail.docx", "A 38600-2023")</f>
        <v/>
      </c>
      <c r="AC147">
        <f>HYPERLINK("https://klasma.github.io/Logging_0382/tillsyn/A 38600-2023 tillsynsbegäran.docx", "A 38600-2023")</f>
        <v/>
      </c>
      <c r="AD147">
        <f>HYPERLINK("https://klasma.github.io/Logging_0382/tillsynsmail/A 38600-2023 tillsynsbegäran mail.docx", "A 38600-2023")</f>
        <v/>
      </c>
    </row>
    <row r="148" ht="15" customHeight="1">
      <c r="A148" t="inlineStr">
        <is>
          <t>A 28046-2026</t>
        </is>
      </c>
      <c r="B148" t="inlineStr">
        <is>
          <t>avverkningsanmälan</t>
        </is>
      </c>
      <c r="C148" t="inlineStr">
        <is>
          <t>Föryngringsavverkning</t>
        </is>
      </c>
      <c r="D148" s="1" t="n">
        <v>46195</v>
      </c>
      <c r="E148" s="1" t="n">
        <v>46317</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28024-2026</t>
        </is>
      </c>
      <c r="B149" t="inlineStr">
        <is>
          <t>avverkningsanmälan</t>
        </is>
      </c>
      <c r="C149" t="inlineStr">
        <is>
          <t>Föryngringsavverkning</t>
        </is>
      </c>
      <c r="D149" s="1" t="n">
        <v>46195</v>
      </c>
      <c r="E149" s="1" t="n">
        <v>46317</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2</v>
      </c>
      <c r="U149" t="n">
        <v>0</v>
      </c>
      <c r="V149" s="2" t="inlineStr">
        <is>
          <t>Tjäder</t>
        </is>
      </c>
      <c r="W149">
        <f>HYPERLINK("https://klasma.github.io/Logging_0382/artfynd/A 28024-2026 artfynd.xlsx", "A 28024-2026")</f>
        <v/>
      </c>
      <c r="X149">
        <f>HYPERLINK("https://klasma.github.io/Logging_0382/kartor/A 28024-2026 karta.png", "A 28024-2026")</f>
        <v/>
      </c>
      <c r="Y149">
        <f>HYPERLINK("https://klasma.github.io/Logging_0382/kartor_geotiff/A 28024-2026 georefererad karta.tif", "A 28024-2026")</f>
        <v/>
      </c>
      <c r="AA149">
        <f>HYPERLINK("https://klasma.github.io/Logging_0382/klagomål/A 28024-2026 FSC-klagomål.docx", "A 28024-2026")</f>
        <v/>
      </c>
      <c r="AB149">
        <f>HYPERLINK("https://klasma.github.io/Logging_0382/klagomålsmail/A 28024-2026 FSC-klagomål mail.docx", "A 28024-2026")</f>
        <v/>
      </c>
      <c r="AC149">
        <f>HYPERLINK("https://klasma.github.io/Logging_0382/tillsyn/A 28024-2026 tillsynsbegäran.docx", "A 28024-2026")</f>
        <v/>
      </c>
      <c r="AD149">
        <f>HYPERLINK("https://klasma.github.io/Logging_0382/tillsynsmail/A 28024-2026 tillsynsbegäran mail.docx", "A 28024-2026")</f>
        <v/>
      </c>
      <c r="AE149">
        <f>HYPERLINK("https://klasma.github.io/Logging_0382/fåglar/A 28024-2026 prioriterade fågelarter.docx", "A 28024-2026")</f>
        <v/>
      </c>
    </row>
    <row r="150" ht="15" customHeight="1">
      <c r="A150" t="inlineStr">
        <is>
          <t>A 9052-2023</t>
        </is>
      </c>
      <c r="B150" t="inlineStr">
        <is>
          <t>avverkningsanmälan</t>
        </is>
      </c>
      <c r="C150" t="inlineStr">
        <is>
          <t>Avverkning för annat ändamål</t>
        </is>
      </c>
      <c r="D150" s="1" t="n">
        <v>44979</v>
      </c>
      <c r="E150" s="1" t="n">
        <v>46317</v>
      </c>
      <c r="F150" t="inlineStr">
        <is>
          <t>UPPSALA LÄN</t>
        </is>
      </c>
      <c r="G150" t="inlineStr">
        <is>
          <t>ÖSTHAMMAR</t>
        </is>
      </c>
      <c r="H150" t="inlineStr">
        <is>
          <t>Kyrkan</t>
        </is>
      </c>
      <c r="I150" t="n">
        <v>0.2</v>
      </c>
      <c r="J150" t="n">
        <v>0</v>
      </c>
      <c r="K150" t="n">
        <v>0</v>
      </c>
      <c r="L150" t="n">
        <v>1</v>
      </c>
      <c r="M150" t="n">
        <v>0</v>
      </c>
      <c r="N150" t="n">
        <v>0</v>
      </c>
      <c r="O150" t="n">
        <v>0</v>
      </c>
      <c r="P150" t="n">
        <v>0</v>
      </c>
      <c r="Q150" t="n">
        <v>1</v>
      </c>
      <c r="R150" t="n">
        <v>0</v>
      </c>
      <c r="S150" t="n">
        <v>1</v>
      </c>
      <c r="T150" t="n">
        <v>1</v>
      </c>
      <c r="U150" t="n">
        <v>0</v>
      </c>
      <c r="V150" s="2" t="inlineStr">
        <is>
          <t>Slåtterfibbla</t>
        </is>
      </c>
      <c r="W150">
        <f>HYPERLINK("https://klasma.github.io/Logging_0382/artfynd/A 9052-2023 artfynd.xlsx", "A 9052-2023")</f>
        <v/>
      </c>
      <c r="X150">
        <f>HYPERLINK("https://klasma.github.io/Logging_0382/kartor/A 9052-2023 karta.png", "A 9052-2023")</f>
        <v/>
      </c>
      <c r="Y150">
        <f>HYPERLINK("https://klasma.github.io/Logging_0382/kartor_geotiff/A 9052-2023 georefererad karta.tif", "A 9052-2023")</f>
        <v/>
      </c>
      <c r="AA150">
        <f>HYPERLINK("https://klasma.github.io/Logging_0382/klagomål/A 9052-2023 FSC-klagomål.docx", "A 9052-2023")</f>
        <v/>
      </c>
      <c r="AB150">
        <f>HYPERLINK("https://klasma.github.io/Logging_0382/klagomålsmail/A 9052-2023 FSC-klagomål mail.docx", "A 9052-2023")</f>
        <v/>
      </c>
      <c r="AC150">
        <f>HYPERLINK("https://klasma.github.io/Logging_0382/tillsyn/A 9052-2023 tillsynsbegäran.docx", "A 9052-2023")</f>
        <v/>
      </c>
      <c r="AD150">
        <f>HYPERLINK("https://klasma.github.io/Logging_0382/tillsynsmail/A 9052-2023 tillsynsbegäran mail.docx", "A 9052-2023")</f>
        <v/>
      </c>
    </row>
    <row r="151" ht="15" customHeight="1">
      <c r="A151" t="inlineStr">
        <is>
          <t>A 30703-2026</t>
        </is>
      </c>
      <c r="B151" t="inlineStr">
        <is>
          <t>avverkningsanmälan</t>
        </is>
      </c>
      <c r="C151" t="inlineStr">
        <is>
          <t>Föryngringsavverkning</t>
        </is>
      </c>
      <c r="D151" s="1" t="n">
        <v>46211</v>
      </c>
      <c r="E151" s="1" t="n">
        <v>46317</v>
      </c>
      <c r="F151" t="inlineStr">
        <is>
          <t>UPPSALA LÄN</t>
        </is>
      </c>
      <c r="G151" t="inlineStr">
        <is>
          <t>ÖSTHAMMAR</t>
        </is>
      </c>
      <c r="H151" t="inlineStr">
        <is>
          <t>Bergvik skog öst AB</t>
        </is>
      </c>
      <c r="I151" t="n">
        <v>0.9</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30703-2026 artfynd.xlsx", "A 30703-2026")</f>
        <v/>
      </c>
      <c r="X151">
        <f>HYPERLINK("https://klasma.github.io/Logging_0382/kartor/A 30703-2026 karta.png", "A 30703-2026")</f>
        <v/>
      </c>
      <c r="Y151">
        <f>HYPERLINK("https://klasma.github.io/Logging_0382/kartor_geotiff/A 30703-2026 georefererad karta.tif", "A 30703-2026")</f>
        <v/>
      </c>
      <c r="AA151">
        <f>HYPERLINK("https://klasma.github.io/Logging_0382/klagomål/A 30703-2026 FSC-klagomål.docx", "A 30703-2026")</f>
        <v/>
      </c>
      <c r="AB151">
        <f>HYPERLINK("https://klasma.github.io/Logging_0382/klagomålsmail/A 30703-2026 FSC-klagomål mail.docx", "A 30703-2026")</f>
        <v/>
      </c>
      <c r="AC151">
        <f>HYPERLINK("https://klasma.github.io/Logging_0382/tillsyn/A 30703-2026 tillsynsbegäran.docx", "A 30703-2026")</f>
        <v/>
      </c>
      <c r="AD151">
        <f>HYPERLINK("https://klasma.github.io/Logging_0382/tillsynsmail/A 30703-2026 tillsynsbegäran mail.docx", "A 30703-2026")</f>
        <v/>
      </c>
    </row>
    <row r="152" ht="15" customHeight="1">
      <c r="A152" t="inlineStr">
        <is>
          <t>A 13755-2023</t>
        </is>
      </c>
      <c r="B152" t="inlineStr">
        <is>
          <t>avverkningsanmälan</t>
        </is>
      </c>
      <c r="C152" t="inlineStr">
        <is>
          <t>Föryngringsavverkning</t>
        </is>
      </c>
      <c r="D152" s="1" t="n">
        <v>45007</v>
      </c>
      <c r="E152" s="1" t="n">
        <v>46317</v>
      </c>
      <c r="F152" t="inlineStr">
        <is>
          <t>UPPSALA LÄN</t>
        </is>
      </c>
      <c r="G152" t="inlineStr">
        <is>
          <t>ÖSTHAMMAR</t>
        </is>
      </c>
      <c r="I152" t="n">
        <v>2.4</v>
      </c>
      <c r="J152" t="n">
        <v>1</v>
      </c>
      <c r="K152" t="n">
        <v>1</v>
      </c>
      <c r="L152" t="n">
        <v>0</v>
      </c>
      <c r="M152" t="n">
        <v>0</v>
      </c>
      <c r="N152" t="n">
        <v>0</v>
      </c>
      <c r="O152" t="n">
        <v>0</v>
      </c>
      <c r="P152" t="n">
        <v>0</v>
      </c>
      <c r="Q152" t="n">
        <v>0</v>
      </c>
      <c r="R152" t="n">
        <v>0</v>
      </c>
      <c r="S152" t="n">
        <v>1</v>
      </c>
      <c r="T152" t="n">
        <v>2</v>
      </c>
      <c r="U152" t="n">
        <v>2</v>
      </c>
      <c r="V152" s="2" t="inlineStr">
        <is>
          <t>Guckusko</t>
        </is>
      </c>
      <c r="W152">
        <f>HYPERLINK("https://klasma.github.io/Logging_0382/artfynd/A 13755-2023 artfynd.xlsx", "A 13755-2023")</f>
        <v/>
      </c>
      <c r="X152">
        <f>HYPERLINK("https://klasma.github.io/Logging_0382/kartor/A 13755-2023 karta.png", "A 13755-2023")</f>
        <v/>
      </c>
      <c r="Y152">
        <f>HYPERLINK("https://klasma.github.io/Logging_0382/kartor_geotiff/A 13755-2023 georefererad karta.tif", "A 13755-2023")</f>
        <v/>
      </c>
      <c r="AA152">
        <f>HYPERLINK("https://klasma.github.io/Logging_0382/klagomål/A 13755-2023 FSC-klagomål.docx", "A 13755-2023")</f>
        <v/>
      </c>
      <c r="AB152">
        <f>HYPERLINK("https://klasma.github.io/Logging_0382/klagomålsmail/A 13755-2023 FSC-klagomål mail.docx", "A 13755-2023")</f>
        <v/>
      </c>
      <c r="AC152">
        <f>HYPERLINK("https://klasma.github.io/Logging_0382/tillsyn/A 13755-2023 tillsynsbegäran.docx", "A 13755-2023")</f>
        <v/>
      </c>
      <c r="AD152">
        <f>HYPERLINK("https://klasma.github.io/Logging_0382/tillsynsmail/A 13755-2023 tillsynsbegäran mail.docx", "A 13755-2023")</f>
        <v/>
      </c>
    </row>
    <row r="153" ht="15" customHeight="1">
      <c r="A153" t="inlineStr">
        <is>
          <t>A 61574-2025</t>
        </is>
      </c>
      <c r="B153" t="inlineStr">
        <is>
          <t>avverkningsanmälan</t>
        </is>
      </c>
      <c r="C153" t="inlineStr">
        <is>
          <t>Föryngringsavverkning</t>
        </is>
      </c>
      <c r="D153" s="1" t="n">
        <v>46002</v>
      </c>
      <c r="E153" s="1" t="n">
        <v>46317</v>
      </c>
      <c r="F153" t="inlineStr">
        <is>
          <t>UPPSALA LÄN</t>
        </is>
      </c>
      <c r="G153" t="inlineStr">
        <is>
          <t>ÖSTHAMMAR</t>
        </is>
      </c>
      <c r="H153" t="inlineStr">
        <is>
          <t>Övriga Aktiebolag</t>
        </is>
      </c>
      <c r="I153" t="n">
        <v>16.6</v>
      </c>
      <c r="J153" t="n">
        <v>1</v>
      </c>
      <c r="K153" t="n">
        <v>0</v>
      </c>
      <c r="L153" t="n">
        <v>0</v>
      </c>
      <c r="M153" t="n">
        <v>1</v>
      </c>
      <c r="N153" t="n">
        <v>0</v>
      </c>
      <c r="O153" t="n">
        <v>0</v>
      </c>
      <c r="P153" t="n">
        <v>0</v>
      </c>
      <c r="Q153" t="n">
        <v>1</v>
      </c>
      <c r="R153" t="n">
        <v>1</v>
      </c>
      <c r="S153" t="n">
        <v>1</v>
      </c>
      <c r="T153" t="n">
        <v>4</v>
      </c>
      <c r="U153" t="n">
        <v>0</v>
      </c>
      <c r="V153" s="2" t="inlineStr">
        <is>
          <t>Hällebräcka</t>
        </is>
      </c>
      <c r="W153">
        <f>HYPERLINK("https://klasma.github.io/Logging_0382/artfynd/A 61574-2025 artfynd.xlsx", "A 61574-2025")</f>
        <v/>
      </c>
      <c r="X153">
        <f>HYPERLINK("https://klasma.github.io/Logging_0382/kartor/A 61574-2025 karta.png", "A 61574-2025")</f>
        <v/>
      </c>
      <c r="Y153">
        <f>HYPERLINK("https://klasma.github.io/Logging_0382/kartor_geotiff/A 61574-2025 georefererad karta.tif", "A 61574-2025")</f>
        <v/>
      </c>
      <c r="AA153">
        <f>HYPERLINK("https://klasma.github.io/Logging_0382/klagomål/A 61574-2025 FSC-klagomål.docx", "A 61574-2025")</f>
        <v/>
      </c>
      <c r="AB153">
        <f>HYPERLINK("https://klasma.github.io/Logging_0382/klagomålsmail/A 61574-2025 FSC-klagomål mail.docx", "A 61574-2025")</f>
        <v/>
      </c>
      <c r="AC153">
        <f>HYPERLINK("https://klasma.github.io/Logging_0382/tillsyn/A 61574-2025 tillsynsbegäran.docx", "A 61574-2025")</f>
        <v/>
      </c>
      <c r="AD153">
        <f>HYPERLINK("https://klasma.github.io/Logging_0382/tillsynsmail/A 61574-2025 tillsynsbegäran mail.docx", "A 61574-2025")</f>
        <v/>
      </c>
    </row>
    <row r="154" ht="15" customHeight="1">
      <c r="A154" t="inlineStr">
        <is>
          <t>A 34090-2023</t>
        </is>
      </c>
      <c r="B154" t="inlineStr">
        <is>
          <t>avverkningsanmälan</t>
        </is>
      </c>
      <c r="C154" t="inlineStr">
        <is>
          <t>Föryngringsavverkning</t>
        </is>
      </c>
      <c r="D154" s="1" t="n">
        <v>45135</v>
      </c>
      <c r="E154" s="1" t="n">
        <v>46317</v>
      </c>
      <c r="F154" t="inlineStr">
        <is>
          <t>UPPSALA LÄN</t>
        </is>
      </c>
      <c r="G154" t="inlineStr">
        <is>
          <t>ÖSTHAMMAR</t>
        </is>
      </c>
      <c r="H154" t="inlineStr">
        <is>
          <t>Bergvik skog öst AB</t>
        </is>
      </c>
      <c r="I154" t="n">
        <v>5.7</v>
      </c>
      <c r="J154" t="n">
        <v>1</v>
      </c>
      <c r="K154" t="n">
        <v>0</v>
      </c>
      <c r="L154" t="n">
        <v>0</v>
      </c>
      <c r="M154" t="n">
        <v>0</v>
      </c>
      <c r="N154" t="n">
        <v>0</v>
      </c>
      <c r="O154" t="n">
        <v>0</v>
      </c>
      <c r="P154" t="n">
        <v>0</v>
      </c>
      <c r="Q154" t="n">
        <v>0</v>
      </c>
      <c r="R154" t="n">
        <v>0</v>
      </c>
      <c r="S154" t="n">
        <v>1</v>
      </c>
      <c r="T154" t="n">
        <v>1</v>
      </c>
      <c r="U154" t="n">
        <v>1</v>
      </c>
      <c r="V154" s="2" t="inlineStr">
        <is>
          <t>Spillkråka</t>
        </is>
      </c>
      <c r="W154">
        <f>HYPERLINK("https://klasma.github.io/Logging_0382/artfynd/A 34090-2023 artfynd.xlsx", "A 34090-2023")</f>
        <v/>
      </c>
      <c r="X154">
        <f>HYPERLINK("https://klasma.github.io/Logging_0382/kartor/A 34090-2023 karta.png", "A 34090-2023")</f>
        <v/>
      </c>
      <c r="Y154">
        <f>HYPERLINK("https://klasma.github.io/Logging_0382/kartor_geotiff/A 34090-2023 georefererad karta.tif", "A 34090-2023")</f>
        <v/>
      </c>
      <c r="AA154">
        <f>HYPERLINK("https://klasma.github.io/Logging_0382/klagomål/A 34090-2023 FSC-klagomål.docx", "A 34090-2023")</f>
        <v/>
      </c>
      <c r="AB154">
        <f>HYPERLINK("https://klasma.github.io/Logging_0382/klagomålsmail/A 34090-2023 FSC-klagomål mail.docx", "A 34090-2023")</f>
        <v/>
      </c>
      <c r="AC154">
        <f>HYPERLINK("https://klasma.github.io/Logging_0382/tillsyn/A 34090-2023 tillsynsbegäran.docx", "A 34090-2023")</f>
        <v/>
      </c>
      <c r="AD154">
        <f>HYPERLINK("https://klasma.github.io/Logging_0382/tillsynsmail/A 34090-2023 tillsynsbegäran mail.docx", "A 34090-2023")</f>
        <v/>
      </c>
      <c r="AE154">
        <f>HYPERLINK("https://klasma.github.io/Logging_0382/fåglar/A 34090-2023 prioriterade fågelarter.docx", "A 34090-2023")</f>
        <v/>
      </c>
    </row>
    <row r="155" ht="15" customHeight="1">
      <c r="A155" t="inlineStr">
        <is>
          <t>A 61257-2022</t>
        </is>
      </c>
      <c r="B155" t="inlineStr">
        <is>
          <t>avverkningsanmälan</t>
        </is>
      </c>
      <c r="C155" t="inlineStr">
        <is>
          <t>Föryngringsavverkning</t>
        </is>
      </c>
      <c r="D155" s="1" t="n">
        <v>44915</v>
      </c>
      <c r="E155" s="1" t="n">
        <v>46317</v>
      </c>
      <c r="F155" t="inlineStr">
        <is>
          <t>UPPSALA LÄN</t>
        </is>
      </c>
      <c r="G155" t="inlineStr">
        <is>
          <t>ÖSTHAMMAR</t>
        </is>
      </c>
      <c r="I155" t="n">
        <v>1</v>
      </c>
      <c r="J155" t="n">
        <v>1</v>
      </c>
      <c r="K155" t="n">
        <v>0</v>
      </c>
      <c r="L155" t="n">
        <v>0</v>
      </c>
      <c r="M155" t="n">
        <v>1</v>
      </c>
      <c r="N155" t="n">
        <v>0</v>
      </c>
      <c r="O155" t="n">
        <v>0</v>
      </c>
      <c r="P155" t="n">
        <v>0</v>
      </c>
      <c r="Q155" t="n">
        <v>1</v>
      </c>
      <c r="R155" t="n">
        <v>1</v>
      </c>
      <c r="S155" t="n">
        <v>1</v>
      </c>
      <c r="T155" t="n">
        <v>1</v>
      </c>
      <c r="U155" t="n">
        <v>0</v>
      </c>
      <c r="V155" s="2" t="inlineStr">
        <is>
          <t>Hällebräcka</t>
        </is>
      </c>
      <c r="W155">
        <f>HYPERLINK("https://klasma.github.io/Logging_0382/artfynd/A 61257-2022 artfynd.xlsx", "A 61257-2022")</f>
        <v/>
      </c>
      <c r="X155">
        <f>HYPERLINK("https://klasma.github.io/Logging_0382/kartor/A 61257-2022 karta.png", "A 61257-2022")</f>
        <v/>
      </c>
      <c r="Y155">
        <f>HYPERLINK("https://klasma.github.io/Logging_0382/kartor_geotiff/A 61257-2022 georefererad karta.tif", "A 61257-2022")</f>
        <v/>
      </c>
      <c r="AA155">
        <f>HYPERLINK("https://klasma.github.io/Logging_0382/klagomål/A 61257-2022 FSC-klagomål.docx", "A 61257-2022")</f>
        <v/>
      </c>
      <c r="AB155">
        <f>HYPERLINK("https://klasma.github.io/Logging_0382/klagomålsmail/A 61257-2022 FSC-klagomål mail.docx", "A 61257-2022")</f>
        <v/>
      </c>
      <c r="AC155">
        <f>HYPERLINK("https://klasma.github.io/Logging_0382/tillsyn/A 61257-2022 tillsynsbegäran.docx", "A 61257-2022")</f>
        <v/>
      </c>
      <c r="AD155">
        <f>HYPERLINK("https://klasma.github.io/Logging_0382/tillsynsmail/A 61257-2022 tillsynsbegäran mail.docx", "A 61257-2022")</f>
        <v/>
      </c>
    </row>
    <row r="156" ht="15" customHeight="1">
      <c r="A156" t="inlineStr">
        <is>
          <t>A 37341-2026</t>
        </is>
      </c>
      <c r="B156" t="inlineStr">
        <is>
          <t>avverkningsanmälan</t>
        </is>
      </c>
      <c r="C156" t="inlineStr">
        <is>
          <t>Föryngringsavverkning</t>
        </is>
      </c>
      <c r="D156" s="1" t="n">
        <v>46275</v>
      </c>
      <c r="E156" s="1" t="n">
        <v>46317</v>
      </c>
      <c r="F156" t="inlineStr">
        <is>
          <t>UPPSALA LÄN</t>
        </is>
      </c>
      <c r="G156" t="inlineStr">
        <is>
          <t>ÖSTHAMMAR</t>
        </is>
      </c>
      <c r="I156" t="n">
        <v>2</v>
      </c>
      <c r="J156" t="n">
        <v>1</v>
      </c>
      <c r="K156" t="n">
        <v>0</v>
      </c>
      <c r="L156" t="n">
        <v>0</v>
      </c>
      <c r="M156" t="n">
        <v>0</v>
      </c>
      <c r="N156" t="n">
        <v>0</v>
      </c>
      <c r="O156" t="n">
        <v>0</v>
      </c>
      <c r="P156" t="n">
        <v>0</v>
      </c>
      <c r="Q156" t="n">
        <v>0</v>
      </c>
      <c r="R156" t="n">
        <v>0</v>
      </c>
      <c r="S156" t="n">
        <v>1</v>
      </c>
      <c r="T156" t="n">
        <v>1</v>
      </c>
      <c r="U156" t="n">
        <v>0</v>
      </c>
      <c r="V156" s="2" t="inlineStr">
        <is>
          <t>Blåsippa</t>
        </is>
      </c>
      <c r="W156">
        <f>HYPERLINK("https://klasma.github.io/Logging_0382/artfynd/A 37341-2026 artfynd.xlsx", "A 37341-2026")</f>
        <v/>
      </c>
      <c r="X156">
        <f>HYPERLINK("https://klasma.github.io/Logging_0382/kartor/A 37341-2026 karta.png", "A 37341-2026")</f>
        <v/>
      </c>
      <c r="Y156">
        <f>HYPERLINK("https://klasma.github.io/Logging_0382/kartor_geotiff/A 37341-2026 georefererad karta.tif", "A 37341-2026")</f>
        <v/>
      </c>
      <c r="AA156">
        <f>HYPERLINK("https://klasma.github.io/Logging_0382/klagomål/A 37341-2026 FSC-klagomål.docx", "A 37341-2026")</f>
        <v/>
      </c>
      <c r="AB156">
        <f>HYPERLINK("https://klasma.github.io/Logging_0382/klagomålsmail/A 37341-2026 FSC-klagomål mail.docx", "A 37341-2026")</f>
        <v/>
      </c>
      <c r="AC156">
        <f>HYPERLINK("https://klasma.github.io/Logging_0382/tillsyn/A 37341-2026 tillsynsbegäran.docx", "A 37341-2026")</f>
        <v/>
      </c>
      <c r="AD156">
        <f>HYPERLINK("https://klasma.github.io/Logging_0382/tillsynsmail/A 37341-2026 tillsynsbegäran mail.docx", "A 37341-2026")</f>
        <v/>
      </c>
    </row>
    <row r="157" ht="15" customHeight="1">
      <c r="A157" t="inlineStr">
        <is>
          <t>A 32152-2026</t>
        </is>
      </c>
      <c r="B157" t="inlineStr">
        <is>
          <t>avverkningsanmälan</t>
        </is>
      </c>
      <c r="C157" t="inlineStr">
        <is>
          <t>Föryngringsavverkning</t>
        </is>
      </c>
      <c r="D157" s="1" t="n">
        <v>46235</v>
      </c>
      <c r="E157" s="1" t="n">
        <v>46317</v>
      </c>
      <c r="F157" t="inlineStr">
        <is>
          <t>UPPSALA LÄN</t>
        </is>
      </c>
      <c r="G157" t="inlineStr">
        <is>
          <t>ÖSTHAMMAR</t>
        </is>
      </c>
      <c r="H157" t="inlineStr">
        <is>
          <t>Bergvik skog öst AB</t>
        </is>
      </c>
      <c r="I157" t="n">
        <v>5.2</v>
      </c>
      <c r="J157" t="n">
        <v>0</v>
      </c>
      <c r="K157" t="n">
        <v>1</v>
      </c>
      <c r="L157" t="n">
        <v>0</v>
      </c>
      <c r="M157" t="n">
        <v>0</v>
      </c>
      <c r="N157" t="n">
        <v>0</v>
      </c>
      <c r="O157" t="n">
        <v>0</v>
      </c>
      <c r="P157" t="n">
        <v>0</v>
      </c>
      <c r="Q157" t="n">
        <v>0</v>
      </c>
      <c r="R157" t="n">
        <v>0</v>
      </c>
      <c r="S157" t="n">
        <v>1</v>
      </c>
      <c r="T157" t="n">
        <v>1</v>
      </c>
      <c r="U157" t="n">
        <v>0</v>
      </c>
      <c r="V157" s="2" t="inlineStr">
        <is>
          <t>Trädporella</t>
        </is>
      </c>
      <c r="W157">
        <f>HYPERLINK("https://klasma.github.io/Logging_0382/artfynd/A 32152-2026 artfynd.xlsx", "A 32152-2026")</f>
        <v/>
      </c>
      <c r="X157">
        <f>HYPERLINK("https://klasma.github.io/Logging_0382/kartor/A 32152-2026 karta.png", "A 32152-2026")</f>
        <v/>
      </c>
      <c r="Y157">
        <f>HYPERLINK("https://klasma.github.io/Logging_0382/kartor_geotiff/A 32152-2026 georefererad karta.tif", "A 32152-2026")</f>
        <v/>
      </c>
      <c r="AA157">
        <f>HYPERLINK("https://klasma.github.io/Logging_0382/klagomål/A 32152-2026 FSC-klagomål.docx", "A 32152-2026")</f>
        <v/>
      </c>
      <c r="AB157">
        <f>HYPERLINK("https://klasma.github.io/Logging_0382/klagomålsmail/A 32152-2026 FSC-klagomål mail.docx", "A 32152-2026")</f>
        <v/>
      </c>
      <c r="AC157">
        <f>HYPERLINK("https://klasma.github.io/Logging_0382/tillsyn/A 32152-2026 tillsynsbegäran.docx", "A 32152-2026")</f>
        <v/>
      </c>
      <c r="AD157">
        <f>HYPERLINK("https://klasma.github.io/Logging_0382/tillsynsmail/A 32152-2026 tillsynsbegäran mail.docx", "A 32152-2026")</f>
        <v/>
      </c>
    </row>
    <row r="158" ht="15" customHeight="1">
      <c r="A158" t="inlineStr">
        <is>
          <t>A 14706-2023</t>
        </is>
      </c>
      <c r="B158" t="inlineStr">
        <is>
          <t>avverkningsanmälan</t>
        </is>
      </c>
      <c r="C158" t="inlineStr">
        <is>
          <t>Föryngringsavverkning</t>
        </is>
      </c>
      <c r="D158" s="1" t="n">
        <v>45013</v>
      </c>
      <c r="E158" s="1" t="n">
        <v>46317</v>
      </c>
      <c r="F158" t="inlineStr">
        <is>
          <t>UPPSALA LÄN</t>
        </is>
      </c>
      <c r="G158" t="inlineStr">
        <is>
          <t>ÖSTHAMMAR</t>
        </is>
      </c>
      <c r="I158" t="n">
        <v>0.9</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HYPERLINK("https://klasma.github.io/Logging_0382/artfynd/A 14706-2023 artfynd.xlsx", "A 14706-2023")</f>
        <v/>
      </c>
      <c r="X158">
        <f>HYPERLINK("https://klasma.github.io/Logging_0382/kartor/A 14706-2023 karta.png", "A 14706-2023")</f>
        <v/>
      </c>
      <c r="Y158">
        <f>HYPERLINK("https://klasma.github.io/Logging_0382/kartor_geotiff/A 14706-2023 georefererad karta.tif", "A 14706-2023")</f>
        <v/>
      </c>
      <c r="AA158">
        <f>HYPERLINK("https://klasma.github.io/Logging_0382/klagomål/A 14706-2023 FSC-klagomål.docx", "A 14706-2023")</f>
        <v/>
      </c>
      <c r="AB158">
        <f>HYPERLINK("https://klasma.github.io/Logging_0382/klagomålsmail/A 14706-2023 FSC-klagomål mail.docx", "A 14706-2023")</f>
        <v/>
      </c>
      <c r="AC158">
        <f>HYPERLINK("https://klasma.github.io/Logging_0382/tillsyn/A 14706-2023 tillsynsbegäran.docx", "A 14706-2023")</f>
        <v/>
      </c>
      <c r="AD158">
        <f>HYPERLINK("https://klasma.github.io/Logging_0382/tillsynsmail/A 14706-2023 tillsynsbegäran mail.docx", "A 14706-2023")</f>
        <v/>
      </c>
    </row>
    <row r="159" ht="15" customHeight="1">
      <c r="A159" t="inlineStr">
        <is>
          <t>A 39838-2026</t>
        </is>
      </c>
      <c r="B159" t="inlineStr">
        <is>
          <t>avverkningsanmälan</t>
        </is>
      </c>
      <c r="C159" t="inlineStr">
        <is>
          <t>Föryngringsavverkning</t>
        </is>
      </c>
      <c r="D159" s="1" t="n">
        <v>46290</v>
      </c>
      <c r="E159" s="1" t="n">
        <v>46317</v>
      </c>
      <c r="F159" t="inlineStr">
        <is>
          <t>UPPSALA LÄN</t>
        </is>
      </c>
      <c r="G159" t="inlineStr">
        <is>
          <t>ÖSTHAMMAR</t>
        </is>
      </c>
      <c r="I159" t="n">
        <v>3.6</v>
      </c>
      <c r="J159" t="n">
        <v>1</v>
      </c>
      <c r="K159" t="n">
        <v>1</v>
      </c>
      <c r="L159" t="n">
        <v>0</v>
      </c>
      <c r="M159" t="n">
        <v>0</v>
      </c>
      <c r="N159" t="n">
        <v>0</v>
      </c>
      <c r="O159" t="n">
        <v>0</v>
      </c>
      <c r="P159" t="n">
        <v>0</v>
      </c>
      <c r="Q159" t="n">
        <v>0</v>
      </c>
      <c r="R159" t="n">
        <v>0</v>
      </c>
      <c r="S159" t="n">
        <v>1</v>
      </c>
      <c r="T159" t="n">
        <v>1</v>
      </c>
      <c r="U159" t="n">
        <v>0</v>
      </c>
      <c r="V159" s="2" t="inlineStr">
        <is>
          <t>Guckusko</t>
        </is>
      </c>
      <c r="W159">
        <f>HYPERLINK("https://klasma.github.io/Logging_0382/artfynd/A 39838-2026 artfynd.xlsx", "A 39838-2026")</f>
        <v/>
      </c>
      <c r="X159">
        <f>HYPERLINK("https://klasma.github.io/Logging_0382/kartor/A 39838-2026 karta.png", "A 39838-2026")</f>
        <v/>
      </c>
      <c r="Y159">
        <f>HYPERLINK("https://klasma.github.io/Logging_0382/kartor_geotiff/A 39838-2026 georefererad karta.tif", "A 39838-2026")</f>
        <v/>
      </c>
      <c r="AA159">
        <f>HYPERLINK("https://klasma.github.io/Logging_0382/klagomål/A 39838-2026 FSC-klagomål.docx", "A 39838-2026")</f>
        <v/>
      </c>
      <c r="AB159">
        <f>HYPERLINK("https://klasma.github.io/Logging_0382/klagomålsmail/A 39838-2026 FSC-klagomål mail.docx", "A 39838-2026")</f>
        <v/>
      </c>
      <c r="AC159">
        <f>HYPERLINK("https://klasma.github.io/Logging_0382/tillsyn/A 39838-2026 tillsynsbegäran.docx", "A 39838-2026")</f>
        <v/>
      </c>
      <c r="AD159">
        <f>HYPERLINK("https://klasma.github.io/Logging_0382/tillsynsmail/A 39838-2026 tillsynsbegäran mail.docx", "A 39838-2026")</f>
        <v/>
      </c>
    </row>
    <row r="160" ht="15" customHeight="1">
      <c r="A160" t="inlineStr">
        <is>
          <t>A 6046-2025</t>
        </is>
      </c>
      <c r="B160" t="inlineStr">
        <is>
          <t>avverkningsanmälan</t>
        </is>
      </c>
      <c r="C160" t="inlineStr">
        <is>
          <t>Föryngringsavverkning</t>
        </is>
      </c>
      <c r="D160" s="1" t="n">
        <v>45695</v>
      </c>
      <c r="E160" s="1" t="n">
        <v>46317</v>
      </c>
      <c r="F160" t="inlineStr">
        <is>
          <t>UPPSALA LÄN</t>
        </is>
      </c>
      <c r="G160" t="inlineStr">
        <is>
          <t>ÖSTHAMMAR</t>
        </is>
      </c>
      <c r="I160" t="n">
        <v>0.8</v>
      </c>
      <c r="J160" t="n">
        <v>1</v>
      </c>
      <c r="K160" t="n">
        <v>0</v>
      </c>
      <c r="L160" t="n">
        <v>0</v>
      </c>
      <c r="M160" t="n">
        <v>1</v>
      </c>
      <c r="N160" t="n">
        <v>0</v>
      </c>
      <c r="O160" t="n">
        <v>0</v>
      </c>
      <c r="P160" t="n">
        <v>0</v>
      </c>
      <c r="Q160" t="n">
        <v>1</v>
      </c>
      <c r="R160" t="n">
        <v>1</v>
      </c>
      <c r="S160" t="n">
        <v>1</v>
      </c>
      <c r="T160" t="n">
        <v>2</v>
      </c>
      <c r="U160" t="n">
        <v>0</v>
      </c>
      <c r="V160" s="2" t="inlineStr">
        <is>
          <t>Knärot</t>
        </is>
      </c>
      <c r="W160">
        <f>HYPERLINK("https://klasma.github.io/Logging_0382/artfynd/A 6046-2025 artfynd.xlsx", "A 6046-2025")</f>
        <v/>
      </c>
      <c r="X160">
        <f>HYPERLINK("https://klasma.github.io/Logging_0382/kartor/A 6046-2025 karta.png", "A 6046-2025")</f>
        <v/>
      </c>
      <c r="Y160">
        <f>HYPERLINK("https://klasma.github.io/Logging_0382/kartor_geotiff/A 6046-2025 georefererad karta.tif", "A 6046-2025")</f>
        <v/>
      </c>
      <c r="Z160">
        <f>HYPERLINK("https://klasma.github.io/Logging_0382/knärot/A 6046-2025 karta knärot.png", "A 6046-2025")</f>
        <v/>
      </c>
      <c r="AA160">
        <f>HYPERLINK("https://klasma.github.io/Logging_0382/klagomål/A 6046-2025 FSC-klagomål.docx", "A 6046-2025")</f>
        <v/>
      </c>
      <c r="AB160">
        <f>HYPERLINK("https://klasma.github.io/Logging_0382/klagomålsmail/A 6046-2025 FSC-klagomål mail.docx", "A 6046-2025")</f>
        <v/>
      </c>
      <c r="AC160">
        <f>HYPERLINK("https://klasma.github.io/Logging_0382/tillsyn/A 6046-2025 tillsynsbegäran.docx", "A 6046-2025")</f>
        <v/>
      </c>
      <c r="AD160">
        <f>HYPERLINK("https://klasma.github.io/Logging_0382/tillsynsmail/A 6046-2025 tillsynsbegäran mail.docx", "A 6046-2025")</f>
        <v/>
      </c>
    </row>
    <row r="161" ht="15" customHeight="1">
      <c r="A161" t="inlineStr">
        <is>
          <t>A 58270-2023</t>
        </is>
      </c>
      <c r="B161" t="inlineStr">
        <is>
          <t>avverkningsanmälan</t>
        </is>
      </c>
      <c r="C161" t="inlineStr">
        <is>
          <t>Föryngringsavverkning</t>
        </is>
      </c>
      <c r="D161" s="1" t="n">
        <v>45250</v>
      </c>
      <c r="E161" s="1" t="n">
        <v>46317</v>
      </c>
      <c r="F161" t="inlineStr">
        <is>
          <t>UPPSALA LÄN</t>
        </is>
      </c>
      <c r="G161" t="inlineStr">
        <is>
          <t>ÖSTHAMMAR</t>
        </is>
      </c>
      <c r="I161" t="n">
        <v>1.3</v>
      </c>
      <c r="J161" t="n">
        <v>1</v>
      </c>
      <c r="K161" t="n">
        <v>0</v>
      </c>
      <c r="L161" t="n">
        <v>0</v>
      </c>
      <c r="M161" t="n">
        <v>0</v>
      </c>
      <c r="N161" t="n">
        <v>0</v>
      </c>
      <c r="O161" t="n">
        <v>0</v>
      </c>
      <c r="P161" t="n">
        <v>0</v>
      </c>
      <c r="Q161" t="n">
        <v>0</v>
      </c>
      <c r="R161" t="n">
        <v>0</v>
      </c>
      <c r="S161" t="n">
        <v>1</v>
      </c>
      <c r="T161" t="n">
        <v>1</v>
      </c>
      <c r="U161" t="n">
        <v>0</v>
      </c>
      <c r="V161" s="2" t="inlineStr">
        <is>
          <t>Gullviva</t>
        </is>
      </c>
      <c r="W161">
        <f>HYPERLINK("https://klasma.github.io/Logging_0382/artfynd/A 58270-2023 artfynd.xlsx", "A 58270-2023")</f>
        <v/>
      </c>
      <c r="X161">
        <f>HYPERLINK("https://klasma.github.io/Logging_0382/kartor/A 58270-2023 karta.png", "A 58270-2023")</f>
        <v/>
      </c>
      <c r="Y161">
        <f>HYPERLINK("https://klasma.github.io/Logging_0382/kartor_geotiff/A 58270-2023 georefererad karta.tif", "A 58270-2023")</f>
        <v/>
      </c>
      <c r="AA161">
        <f>HYPERLINK("https://klasma.github.io/Logging_0382/klagomål/A 58270-2023 FSC-klagomål.docx", "A 58270-2023")</f>
        <v/>
      </c>
      <c r="AB161">
        <f>HYPERLINK("https://klasma.github.io/Logging_0382/klagomålsmail/A 58270-2023 FSC-klagomål mail.docx", "A 58270-2023")</f>
        <v/>
      </c>
      <c r="AC161">
        <f>HYPERLINK("https://klasma.github.io/Logging_0382/tillsyn/A 58270-2023 tillsynsbegäran.docx", "A 58270-2023")</f>
        <v/>
      </c>
      <c r="AD161">
        <f>HYPERLINK("https://klasma.github.io/Logging_0382/tillsynsmail/A 58270-2023 tillsynsbegäran mail.docx", "A 58270-2023")</f>
        <v/>
      </c>
    </row>
    <row r="162" ht="15" customHeight="1">
      <c r="A162" t="inlineStr">
        <is>
          <t>A 24033-2023</t>
        </is>
      </c>
      <c r="B162" t="inlineStr">
        <is>
          <t>avverkningsanmälan</t>
        </is>
      </c>
      <c r="C162" t="inlineStr">
        <is>
          <t>Föryngringsavverkning</t>
        </is>
      </c>
      <c r="D162" s="1" t="n">
        <v>45078</v>
      </c>
      <c r="E162" s="1" t="n">
        <v>46317</v>
      </c>
      <c r="F162" t="inlineStr">
        <is>
          <t>UPPSALA LÄN</t>
        </is>
      </c>
      <c r="G162" t="inlineStr">
        <is>
          <t>ÖSTHAMMAR</t>
        </is>
      </c>
      <c r="H162" t="inlineStr">
        <is>
          <t>Bergvik skog öst AB</t>
        </is>
      </c>
      <c r="I162" t="n">
        <v>0.7</v>
      </c>
      <c r="J162" t="n">
        <v>1</v>
      </c>
      <c r="K162" t="n">
        <v>0</v>
      </c>
      <c r="L162" t="n">
        <v>0</v>
      </c>
      <c r="M162" t="n">
        <v>0</v>
      </c>
      <c r="N162" t="n">
        <v>0</v>
      </c>
      <c r="O162" t="n">
        <v>0</v>
      </c>
      <c r="P162" t="n">
        <v>0</v>
      </c>
      <c r="Q162" t="n">
        <v>0</v>
      </c>
      <c r="R162" t="n">
        <v>0</v>
      </c>
      <c r="S162" t="n">
        <v>1</v>
      </c>
      <c r="T162" t="n">
        <v>1</v>
      </c>
      <c r="U162" t="n">
        <v>0</v>
      </c>
      <c r="V162" s="2" t="inlineStr">
        <is>
          <t>Vattenfladdermus</t>
        </is>
      </c>
      <c r="W162">
        <f>HYPERLINK("https://klasma.github.io/Logging_0382/artfynd/A 24033-2023 artfynd.xlsx", "A 24033-2023")</f>
        <v/>
      </c>
      <c r="X162">
        <f>HYPERLINK("https://klasma.github.io/Logging_0382/kartor/A 24033-2023 karta.png", "A 24033-2023")</f>
        <v/>
      </c>
      <c r="Y162">
        <f>HYPERLINK("https://klasma.github.io/Logging_0382/kartor_geotiff/A 24033-2023 georefererad karta.tif", "A 24033-2023")</f>
        <v/>
      </c>
      <c r="AA162">
        <f>HYPERLINK("https://klasma.github.io/Logging_0382/klagomål/A 24033-2023 FSC-klagomål.docx", "A 24033-2023")</f>
        <v/>
      </c>
      <c r="AB162">
        <f>HYPERLINK("https://klasma.github.io/Logging_0382/klagomålsmail/A 24033-2023 FSC-klagomål mail.docx", "A 24033-2023")</f>
        <v/>
      </c>
      <c r="AC162">
        <f>HYPERLINK("https://klasma.github.io/Logging_0382/tillsyn/A 24033-2023 tillsynsbegäran.docx", "A 24033-2023")</f>
        <v/>
      </c>
      <c r="AD162">
        <f>HYPERLINK("https://klasma.github.io/Logging_0382/tillsynsmail/A 24033-2023 tillsynsbegäran mail.docx", "A 24033-2023")</f>
        <v/>
      </c>
    </row>
    <row r="163" ht="15" customHeight="1">
      <c r="A163" t="inlineStr">
        <is>
          <t>A 12262-2023</t>
        </is>
      </c>
      <c r="B163" t="inlineStr">
        <is>
          <t>avverkningsanmälan</t>
        </is>
      </c>
      <c r="C163" t="inlineStr">
        <is>
          <t>Föryngringsavverkning</t>
        </is>
      </c>
      <c r="D163" s="1" t="n">
        <v>44998</v>
      </c>
      <c r="E163" s="1" t="n">
        <v>46317</v>
      </c>
      <c r="F163" t="inlineStr">
        <is>
          <t>UPPSALA LÄN</t>
        </is>
      </c>
      <c r="G163" t="inlineStr">
        <is>
          <t>ÖSTHAMMAR</t>
        </is>
      </c>
      <c r="I163" t="n">
        <v>4.1</v>
      </c>
      <c r="J163" t="n">
        <v>0</v>
      </c>
      <c r="K163" t="n">
        <v>0</v>
      </c>
      <c r="L163" t="n">
        <v>1</v>
      </c>
      <c r="M163" t="n">
        <v>0</v>
      </c>
      <c r="N163" t="n">
        <v>0</v>
      </c>
      <c r="O163" t="n">
        <v>0</v>
      </c>
      <c r="P163" t="n">
        <v>0</v>
      </c>
      <c r="Q163" t="n">
        <v>1</v>
      </c>
      <c r="R163" t="n">
        <v>0</v>
      </c>
      <c r="S163" t="n">
        <v>1</v>
      </c>
      <c r="T163" t="n">
        <v>1</v>
      </c>
      <c r="U163" t="n">
        <v>1</v>
      </c>
      <c r="V163" s="2" t="inlineStr">
        <is>
          <t>Vårärt</t>
        </is>
      </c>
      <c r="W163">
        <f>HYPERLINK("https://klasma.github.io/Logging_0382/artfynd/A 12262-2023 artfynd.xlsx", "A 12262-2023")</f>
        <v/>
      </c>
      <c r="X163">
        <f>HYPERLINK("https://klasma.github.io/Logging_0382/kartor/A 12262-2023 karta.png", "A 12262-2023")</f>
        <v/>
      </c>
      <c r="Y163">
        <f>HYPERLINK("https://klasma.github.io/Logging_0382/kartor_geotiff/A 12262-2023 georefererad karta.tif", "A 12262-2023")</f>
        <v/>
      </c>
      <c r="AA163">
        <f>HYPERLINK("https://klasma.github.io/Logging_0382/klagomål/A 12262-2023 FSC-klagomål.docx", "A 12262-2023")</f>
        <v/>
      </c>
      <c r="AB163">
        <f>HYPERLINK("https://klasma.github.io/Logging_0382/klagomålsmail/A 12262-2023 FSC-klagomål mail.docx", "A 12262-2023")</f>
        <v/>
      </c>
      <c r="AC163">
        <f>HYPERLINK("https://klasma.github.io/Logging_0382/tillsyn/A 12262-2023 tillsynsbegäran.docx", "A 12262-2023")</f>
        <v/>
      </c>
      <c r="AD163">
        <f>HYPERLINK("https://klasma.github.io/Logging_0382/tillsynsmail/A 12262-2023 tillsynsbegäran mail.docx", "A 12262-2023")</f>
        <v/>
      </c>
    </row>
    <row r="164" ht="15" customHeight="1">
      <c r="A164" t="inlineStr">
        <is>
          <t>A 37865-2023</t>
        </is>
      </c>
      <c r="B164" t="inlineStr">
        <is>
          <t>avverkningsanmälan</t>
        </is>
      </c>
      <c r="C164" t="inlineStr">
        <is>
          <t>Föryngringsavverkning</t>
        </is>
      </c>
      <c r="D164" s="1" t="n">
        <v>45160</v>
      </c>
      <c r="E164" s="1" t="n">
        <v>46317</v>
      </c>
      <c r="F164" t="inlineStr">
        <is>
          <t>UPPSALA LÄN</t>
        </is>
      </c>
      <c r="G164" t="inlineStr">
        <is>
          <t>ÖSTHAMMAR</t>
        </is>
      </c>
      <c r="I164" t="n">
        <v>1.4</v>
      </c>
      <c r="J164" t="n">
        <v>0</v>
      </c>
      <c r="K164" t="n">
        <v>0</v>
      </c>
      <c r="L164" t="n">
        <v>1</v>
      </c>
      <c r="M164" t="n">
        <v>0</v>
      </c>
      <c r="N164" t="n">
        <v>0</v>
      </c>
      <c r="O164" t="n">
        <v>0</v>
      </c>
      <c r="P164" t="n">
        <v>0</v>
      </c>
      <c r="Q164" t="n">
        <v>1</v>
      </c>
      <c r="R164" t="n">
        <v>0</v>
      </c>
      <c r="S164" t="n">
        <v>1</v>
      </c>
      <c r="T164" t="n">
        <v>2</v>
      </c>
      <c r="U164" t="n">
        <v>1</v>
      </c>
      <c r="V164" s="2" t="inlineStr">
        <is>
          <t>Backklöver</t>
        </is>
      </c>
      <c r="W164">
        <f>HYPERLINK("https://klasma.github.io/Logging_0382/artfynd/A 37865-2023 artfynd.xlsx", "A 37865-2023")</f>
        <v/>
      </c>
      <c r="X164">
        <f>HYPERLINK("https://klasma.github.io/Logging_0382/kartor/A 37865-2023 karta.png", "A 37865-2023")</f>
        <v/>
      </c>
      <c r="Y164">
        <f>HYPERLINK("https://klasma.github.io/Logging_0382/kartor_geotiff/A 37865-2023 georefererad karta.tif", "A 37865-2023")</f>
        <v/>
      </c>
      <c r="AA164">
        <f>HYPERLINK("https://klasma.github.io/Logging_0382/klagomål/A 37865-2023 FSC-klagomål.docx", "A 37865-2023")</f>
        <v/>
      </c>
      <c r="AB164">
        <f>HYPERLINK("https://klasma.github.io/Logging_0382/klagomålsmail/A 37865-2023 FSC-klagomål mail.docx", "A 37865-2023")</f>
        <v/>
      </c>
      <c r="AC164">
        <f>HYPERLINK("https://klasma.github.io/Logging_0382/tillsyn/A 37865-2023 tillsynsbegäran.docx", "A 37865-2023")</f>
        <v/>
      </c>
      <c r="AD164">
        <f>HYPERLINK("https://klasma.github.io/Logging_0382/tillsynsmail/A 37865-2023 tillsynsbegäran mail.docx", "A 37865-2023")</f>
        <v/>
      </c>
    </row>
    <row r="165" ht="15" customHeight="1">
      <c r="A165" t="inlineStr">
        <is>
          <t>A 12753-2024</t>
        </is>
      </c>
      <c r="B165" t="inlineStr">
        <is>
          <t>avverkningsanmälan</t>
        </is>
      </c>
      <c r="C165" t="inlineStr">
        <is>
          <t>Föryngringsavverkning</t>
        </is>
      </c>
      <c r="D165" s="1" t="n">
        <v>45384</v>
      </c>
      <c r="E165" s="1" t="n">
        <v>46317</v>
      </c>
      <c r="F165" t="inlineStr">
        <is>
          <t>UPPSALA LÄN</t>
        </is>
      </c>
      <c r="G165" t="inlineStr">
        <is>
          <t>ÖSTHAMMAR</t>
        </is>
      </c>
      <c r="I165" t="n">
        <v>1.7</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HYPERLINK("https://klasma.github.io/Logging_0382/artfynd/A 12753-2024 artfynd.xlsx", "A 12753-2024")</f>
        <v/>
      </c>
      <c r="X165">
        <f>HYPERLINK("https://klasma.github.io/Logging_0382/kartor/A 12753-2024 karta.png", "A 12753-2024")</f>
        <v/>
      </c>
      <c r="Y165">
        <f>HYPERLINK("https://klasma.github.io/Logging_0382/kartor_geotiff/A 12753-2024 georefererad karta.tif", "A 12753-2024")</f>
        <v/>
      </c>
      <c r="AA165">
        <f>HYPERLINK("https://klasma.github.io/Logging_0382/klagomål/A 12753-2024 FSC-klagomål.docx", "A 12753-2024")</f>
        <v/>
      </c>
      <c r="AB165">
        <f>HYPERLINK("https://klasma.github.io/Logging_0382/klagomålsmail/A 12753-2024 FSC-klagomål mail.docx", "A 12753-2024")</f>
        <v/>
      </c>
      <c r="AC165">
        <f>HYPERLINK("https://klasma.github.io/Logging_0382/tillsyn/A 12753-2024 tillsynsbegäran.docx", "A 12753-2024")</f>
        <v/>
      </c>
      <c r="AD165">
        <f>HYPERLINK("https://klasma.github.io/Logging_0382/tillsynsmail/A 12753-2024 tillsynsbegäran mail.docx", "A 12753-2024")</f>
        <v/>
      </c>
    </row>
    <row r="166" ht="15" customHeight="1">
      <c r="A166" t="inlineStr">
        <is>
          <t>A 63615-2021</t>
        </is>
      </c>
      <c r="B166" t="inlineStr">
        <is>
          <t>avverkningsanmälan</t>
        </is>
      </c>
      <c r="C166" t="inlineStr">
        <is>
          <t>Föryngringsavverkning</t>
        </is>
      </c>
      <c r="D166" s="1" t="n">
        <v>44509</v>
      </c>
      <c r="E166" s="1" t="n">
        <v>46317</v>
      </c>
      <c r="F166" t="inlineStr">
        <is>
          <t>UPPSALA LÄN</t>
        </is>
      </c>
      <c r="G166" t="inlineStr">
        <is>
          <t>ÖSTHAMMAR</t>
        </is>
      </c>
      <c r="I166" t="n">
        <v>1.9</v>
      </c>
      <c r="J166" t="n">
        <v>0</v>
      </c>
      <c r="K166" t="n">
        <v>0</v>
      </c>
      <c r="L166" t="n">
        <v>0</v>
      </c>
      <c r="M166" t="n">
        <v>1</v>
      </c>
      <c r="N166" t="n">
        <v>0</v>
      </c>
      <c r="O166" t="n">
        <v>0</v>
      </c>
      <c r="P166" t="n">
        <v>0</v>
      </c>
      <c r="Q166" t="n">
        <v>1</v>
      </c>
      <c r="R166" t="n">
        <v>1</v>
      </c>
      <c r="S166" t="n">
        <v>1</v>
      </c>
      <c r="T166" t="n">
        <v>1</v>
      </c>
      <c r="U166" t="n">
        <v>0</v>
      </c>
      <c r="V166" s="2" t="inlineStr">
        <is>
          <t>Gul taggsvamp</t>
        </is>
      </c>
      <c r="W166">
        <f>HYPERLINK("https://klasma.github.io/Logging_0382/artfynd/A 63615-2021 artfynd.xlsx", "A 63615-2021")</f>
        <v/>
      </c>
      <c r="X166">
        <f>HYPERLINK("https://klasma.github.io/Logging_0382/kartor/A 63615-2021 karta.png", "A 63615-2021")</f>
        <v/>
      </c>
      <c r="Y166">
        <f>HYPERLINK("https://klasma.github.io/Logging_0382/kartor_geotiff/A 63615-2021 georefererad karta.tif", "A 63615-2021")</f>
        <v/>
      </c>
      <c r="AA166">
        <f>HYPERLINK("https://klasma.github.io/Logging_0382/klagomål/A 63615-2021 FSC-klagomål.docx", "A 63615-2021")</f>
        <v/>
      </c>
      <c r="AB166">
        <f>HYPERLINK("https://klasma.github.io/Logging_0382/klagomålsmail/A 63615-2021 FSC-klagomål mail.docx", "A 63615-2021")</f>
        <v/>
      </c>
      <c r="AC166">
        <f>HYPERLINK("https://klasma.github.io/Logging_0382/tillsyn/A 63615-2021 tillsynsbegäran.docx", "A 63615-2021")</f>
        <v/>
      </c>
      <c r="AD166">
        <f>HYPERLINK("https://klasma.github.io/Logging_0382/tillsynsmail/A 63615-2021 tillsynsbegäran mail.docx", "A 63615-2021")</f>
        <v/>
      </c>
    </row>
    <row r="167" ht="15" customHeight="1">
      <c r="A167" t="inlineStr">
        <is>
          <t>A 34967-2026</t>
        </is>
      </c>
      <c r="B167" t="inlineStr">
        <is>
          <t>avverkningsanmälan</t>
        </is>
      </c>
      <c r="C167" t="inlineStr">
        <is>
          <t>Föryngringsavverkning</t>
        </is>
      </c>
      <c r="D167" s="1" t="n">
        <v>46259</v>
      </c>
      <c r="E167" s="1" t="n">
        <v>46317</v>
      </c>
      <c r="F167" t="inlineStr">
        <is>
          <t>UPPSALA LÄN</t>
        </is>
      </c>
      <c r="G167" t="inlineStr">
        <is>
          <t>ÖSTHAMMAR</t>
        </is>
      </c>
      <c r="H167" t="inlineStr">
        <is>
          <t>Bergvik skog öst AB</t>
        </is>
      </c>
      <c r="I167" t="n">
        <v>1.2</v>
      </c>
      <c r="J167" t="n">
        <v>0</v>
      </c>
      <c r="K167" t="n">
        <v>0</v>
      </c>
      <c r="L167" t="n">
        <v>1</v>
      </c>
      <c r="M167" t="n">
        <v>0</v>
      </c>
      <c r="N167" t="n">
        <v>0</v>
      </c>
      <c r="O167" t="n">
        <v>0</v>
      </c>
      <c r="P167" t="n">
        <v>0</v>
      </c>
      <c r="Q167" t="n">
        <v>1</v>
      </c>
      <c r="R167" t="n">
        <v>0</v>
      </c>
      <c r="S167" t="n">
        <v>1</v>
      </c>
      <c r="T167" t="n">
        <v>1</v>
      </c>
      <c r="U167" t="n">
        <v>0</v>
      </c>
      <c r="V167" s="2" t="inlineStr">
        <is>
          <t>Gullpudra</t>
        </is>
      </c>
      <c r="W167">
        <f>HYPERLINK("https://klasma.github.io/Logging_0382/artfynd/A 34967-2026 artfynd.xlsx", "A 34967-2026")</f>
        <v/>
      </c>
      <c r="X167">
        <f>HYPERLINK("https://klasma.github.io/Logging_0382/kartor/A 34967-2026 karta.png", "A 34967-2026")</f>
        <v/>
      </c>
      <c r="Y167">
        <f>HYPERLINK("https://klasma.github.io/Logging_0382/kartor_geotiff/A 34967-2026 georefererad karta.tif", "A 34967-2026")</f>
        <v/>
      </c>
      <c r="AA167">
        <f>HYPERLINK("https://klasma.github.io/Logging_0382/klagomål/A 34967-2026 FSC-klagomål.docx", "A 34967-2026")</f>
        <v/>
      </c>
      <c r="AB167">
        <f>HYPERLINK("https://klasma.github.io/Logging_0382/klagomålsmail/A 34967-2026 FSC-klagomål mail.docx", "A 34967-2026")</f>
        <v/>
      </c>
      <c r="AC167">
        <f>HYPERLINK("https://klasma.github.io/Logging_0382/tillsyn/A 34967-2026 tillsynsbegäran.docx", "A 34967-2026")</f>
        <v/>
      </c>
      <c r="AD167">
        <f>HYPERLINK("https://klasma.github.io/Logging_0382/tillsynsmail/A 34967-2026 tillsynsbegäran mail.docx", "A 34967-2026")</f>
        <v/>
      </c>
    </row>
    <row r="168" ht="15" customHeight="1">
      <c r="A168" t="inlineStr">
        <is>
          <t>A 35195-2026</t>
        </is>
      </c>
      <c r="B168" t="inlineStr">
        <is>
          <t>avverkningsanmälan</t>
        </is>
      </c>
      <c r="C168" t="inlineStr">
        <is>
          <t>Föryngringsavverkning</t>
        </is>
      </c>
      <c r="D168" s="1" t="n">
        <v>46260</v>
      </c>
      <c r="E168" s="1" t="n">
        <v>46317</v>
      </c>
      <c r="F168" t="inlineStr">
        <is>
          <t>UPPSALA LÄN</t>
        </is>
      </c>
      <c r="G168" t="inlineStr">
        <is>
          <t>ÖSTHAMMAR</t>
        </is>
      </c>
      <c r="H168" t="inlineStr">
        <is>
          <t>Bergvik skog öst AB</t>
        </is>
      </c>
      <c r="I168" t="n">
        <v>11.2</v>
      </c>
      <c r="J168" t="n">
        <v>1</v>
      </c>
      <c r="K168" t="n">
        <v>0</v>
      </c>
      <c r="L168" t="n">
        <v>0</v>
      </c>
      <c r="M168" t="n">
        <v>0</v>
      </c>
      <c r="N168" t="n">
        <v>0</v>
      </c>
      <c r="O168" t="n">
        <v>0</v>
      </c>
      <c r="P168" t="n">
        <v>0</v>
      </c>
      <c r="Q168" t="n">
        <v>0</v>
      </c>
      <c r="R168" t="n">
        <v>0</v>
      </c>
      <c r="S168" t="n">
        <v>1</v>
      </c>
      <c r="T168" t="n">
        <v>1</v>
      </c>
      <c r="U168" t="n">
        <v>0</v>
      </c>
      <c r="V168" s="2" t="inlineStr">
        <is>
          <t>Lopplummer (aggregat)</t>
        </is>
      </c>
      <c r="W168">
        <f>HYPERLINK("https://klasma.github.io/Logging_0382/artfynd/A 35195-2026 artfynd.xlsx", "A 35195-2026")</f>
        <v/>
      </c>
      <c r="X168">
        <f>HYPERLINK("https://klasma.github.io/Logging_0382/kartor/A 35195-2026 karta.png", "A 35195-2026")</f>
        <v/>
      </c>
      <c r="Y168">
        <f>HYPERLINK("https://klasma.github.io/Logging_0382/kartor_geotiff/A 35195-2026 georefererad karta.tif", "A 35195-2026")</f>
        <v/>
      </c>
      <c r="AA168">
        <f>HYPERLINK("https://klasma.github.io/Logging_0382/klagomål/A 35195-2026 FSC-klagomål.docx", "A 35195-2026")</f>
        <v/>
      </c>
      <c r="AB168">
        <f>HYPERLINK("https://klasma.github.io/Logging_0382/klagomålsmail/A 35195-2026 FSC-klagomål mail.docx", "A 35195-2026")</f>
        <v/>
      </c>
      <c r="AC168">
        <f>HYPERLINK("https://klasma.github.io/Logging_0382/tillsyn/A 35195-2026 tillsynsbegäran.docx", "A 35195-2026")</f>
        <v/>
      </c>
      <c r="AD168">
        <f>HYPERLINK("https://klasma.github.io/Logging_0382/tillsynsmail/A 35195-2026 tillsynsbegäran mail.docx", "A 35195-2026")</f>
        <v/>
      </c>
    </row>
    <row r="169" ht="15" customHeight="1">
      <c r="A169" t="inlineStr">
        <is>
          <t>A 36231-2026</t>
        </is>
      </c>
      <c r="B169" t="inlineStr">
        <is>
          <t>avverkningsanmälan</t>
        </is>
      </c>
      <c r="C169" t="inlineStr">
        <is>
          <t>Föryngringsavverkning</t>
        </is>
      </c>
      <c r="D169" s="1" t="n">
        <v>46268</v>
      </c>
      <c r="E169" s="1" t="n">
        <v>46317</v>
      </c>
      <c r="F169" t="inlineStr">
        <is>
          <t>UPPSALA LÄN</t>
        </is>
      </c>
      <c r="G169" t="inlineStr">
        <is>
          <t>ÖSTHAMMAR</t>
        </is>
      </c>
      <c r="H169" t="inlineStr">
        <is>
          <t>Övriga Aktiebolag</t>
        </is>
      </c>
      <c r="I169" t="n">
        <v>9.199999999999999</v>
      </c>
      <c r="J169" t="n">
        <v>1</v>
      </c>
      <c r="K169" t="n">
        <v>0</v>
      </c>
      <c r="L169" t="n">
        <v>1</v>
      </c>
      <c r="M169" t="n">
        <v>0</v>
      </c>
      <c r="N169" t="n">
        <v>0</v>
      </c>
      <c r="O169" t="n">
        <v>0</v>
      </c>
      <c r="P169" t="n">
        <v>0</v>
      </c>
      <c r="Q169" t="n">
        <v>1</v>
      </c>
      <c r="R169" t="n">
        <v>0</v>
      </c>
      <c r="S169" t="n">
        <v>1</v>
      </c>
      <c r="T169" t="n">
        <v>1</v>
      </c>
      <c r="U169" t="n">
        <v>0</v>
      </c>
      <c r="V169" s="2" t="inlineStr">
        <is>
          <t>Sparvuggla</t>
        </is>
      </c>
      <c r="W169">
        <f>HYPERLINK("https://klasma.github.io/Logging_0382/artfynd/A 36231-2026 artfynd.xlsx", "A 36231-2026")</f>
        <v/>
      </c>
      <c r="X169">
        <f>HYPERLINK("https://klasma.github.io/Logging_0382/kartor/A 36231-2026 karta.png", "A 36231-2026")</f>
        <v/>
      </c>
      <c r="Y169">
        <f>HYPERLINK("https://klasma.github.io/Logging_0382/kartor_geotiff/A 36231-2026 georefererad karta.tif", "A 36231-2026")</f>
        <v/>
      </c>
      <c r="AA169">
        <f>HYPERLINK("https://klasma.github.io/Logging_0382/klagomål/A 36231-2026 FSC-klagomål.docx", "A 36231-2026")</f>
        <v/>
      </c>
      <c r="AB169">
        <f>HYPERLINK("https://klasma.github.io/Logging_0382/klagomålsmail/A 36231-2026 FSC-klagomål mail.docx", "A 36231-2026")</f>
        <v/>
      </c>
      <c r="AC169">
        <f>HYPERLINK("https://klasma.github.io/Logging_0382/tillsyn/A 36231-2026 tillsynsbegäran.docx", "A 36231-2026")</f>
        <v/>
      </c>
      <c r="AD169">
        <f>HYPERLINK("https://klasma.github.io/Logging_0382/tillsynsmail/A 36231-2026 tillsynsbegäran mail.docx", "A 36231-2026")</f>
        <v/>
      </c>
      <c r="AE169">
        <f>HYPERLINK("https://klasma.github.io/Logging_0382/fåglar/A 36231-2026 prioriterade fågelarter.docx", "A 36231-2026")</f>
        <v/>
      </c>
    </row>
    <row r="170" ht="15" customHeight="1">
      <c r="A170" t="inlineStr">
        <is>
          <t>S 3291-2022</t>
        </is>
      </c>
      <c r="B170" t="inlineStr">
        <is>
          <t>samrådsanmälan</t>
        </is>
      </c>
      <c r="C170" t="inlineStr">
        <is>
          <t>Annan skogsbruksåtgärd</t>
        </is>
      </c>
      <c r="D170" s="1" t="n">
        <v>44726</v>
      </c>
      <c r="E170" s="1" t="n">
        <v>46317</v>
      </c>
      <c r="F170" t="inlineStr">
        <is>
          <t>UPPSALA LÄN</t>
        </is>
      </c>
      <c r="G170" t="inlineStr">
        <is>
          <t>ÖSTHAMMAR</t>
        </is>
      </c>
      <c r="I170" t="n">
        <v>1.4</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3291-2022 artfynd.xlsx", "S 3291-2022")</f>
        <v/>
      </c>
      <c r="X170">
        <f>HYPERLINK("https://klasma.github.io/Logging_0382/kartor/S 3291-2022 karta.png", "S 3291-2022")</f>
        <v/>
      </c>
      <c r="Y170">
        <f>HYPERLINK("https://klasma.github.io/Logging_0382/kartor_geotiff/S 3291-2022 georefererad karta.tif", "S 3291-2022")</f>
        <v/>
      </c>
      <c r="AA170">
        <f>HYPERLINK("https://klasma.github.io/Logging_0382/klagomål/S 3291-2022 FSC-klagomål.docx", "S 3291-2022")</f>
        <v/>
      </c>
      <c r="AB170">
        <f>HYPERLINK("https://klasma.github.io/Logging_0382/klagomålsmail/S 3291-2022 FSC-klagomål mail.docx", "S 3291-2022")</f>
        <v/>
      </c>
      <c r="AC170">
        <f>HYPERLINK("https://klasma.github.io/Logging_0382/tillsyn/S 3291-2022 tillsynsbegäran.docx", "S 3291-2022")</f>
        <v/>
      </c>
      <c r="AD170">
        <f>HYPERLINK("https://klasma.github.io/Logging_0382/tillsynsmail/S 3291-2022 tillsynsbegäran mail.docx", "S 3291-2022")</f>
        <v/>
      </c>
    </row>
    <row r="171" ht="15" customHeight="1">
      <c r="A171" t="inlineStr">
        <is>
          <t>S 1001-2022</t>
        </is>
      </c>
      <c r="B171" t="inlineStr">
        <is>
          <t>samrådsanmälan</t>
        </is>
      </c>
      <c r="C171" t="inlineStr">
        <is>
          <t>Annan skogsbruksåtgärd</t>
        </is>
      </c>
      <c r="D171" s="1" t="n">
        <v>44610</v>
      </c>
      <c r="E171" s="1" t="n">
        <v>46317</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1922-2023</t>
        </is>
      </c>
      <c r="B172" t="inlineStr">
        <is>
          <t>samrådsanmälan</t>
        </is>
      </c>
      <c r="C172" t="inlineStr">
        <is>
          <t>Annan skogsbruksåtgärd</t>
        </is>
      </c>
      <c r="D172" s="1" t="n">
        <v>45078</v>
      </c>
      <c r="E172" s="1" t="n">
        <v>46317</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t="n">
        <v>0</v>
      </c>
      <c r="V172" s="2" t="inlineStr">
        <is>
          <t>Nästrot</t>
        </is>
      </c>
      <c r="W172">
        <f>HYPERLINK("https://klasma.github.io/Logging_0382/artfynd/S 1922-2023 artfynd.xlsx", "S 1922-2023")</f>
        <v/>
      </c>
      <c r="X172">
        <f>HYPERLINK("https://klasma.github.io/Logging_0382/kartor/S 1922-2023 karta.png", "S 1922-2023")</f>
        <v/>
      </c>
      <c r="Y172">
        <f>HYPERLINK("https://klasma.github.io/Logging_0382/kartor_geotiff/S 1922-2023 georefererad karta.tif", "S 1922-2023")</f>
        <v/>
      </c>
      <c r="AA172">
        <f>HYPERLINK("https://klasma.github.io/Logging_0382/klagomål/S 1922-2023 FSC-klagomål.docx", "S 1922-2023")</f>
        <v/>
      </c>
      <c r="AB172">
        <f>HYPERLINK("https://klasma.github.io/Logging_0382/klagomålsmail/S 1922-2023 FSC-klagomål mail.docx", "S 1922-2023")</f>
        <v/>
      </c>
      <c r="AC172">
        <f>HYPERLINK("https://klasma.github.io/Logging_0382/tillsyn/S 1922-2023 tillsynsbegäran.docx", "S 1922-2023")</f>
        <v/>
      </c>
      <c r="AD172">
        <f>HYPERLINK("https://klasma.github.io/Logging_0382/tillsynsmail/S 1922-2023 tillsynsbegäran mail.docx", "S 1922-2023")</f>
        <v/>
      </c>
    </row>
    <row r="173" ht="15" customHeight="1">
      <c r="A173" t="inlineStr">
        <is>
          <t>S 3586-2023</t>
        </is>
      </c>
      <c r="B173" t="inlineStr">
        <is>
          <t>samrådsanmälan</t>
        </is>
      </c>
      <c r="C173" t="inlineStr">
        <is>
          <t>Annan skogsbruksåtgärd</t>
        </is>
      </c>
      <c r="D173" s="1" t="n">
        <v>45218</v>
      </c>
      <c r="E173" s="1" t="n">
        <v>46317</v>
      </c>
      <c r="F173" t="inlineStr">
        <is>
          <t>UPPSALA LÄN</t>
        </is>
      </c>
      <c r="G173" t="inlineStr">
        <is>
          <t>ÖSTHAMMAR</t>
        </is>
      </c>
      <c r="I173" t="n">
        <v>0.2</v>
      </c>
      <c r="J173" t="n">
        <v>0</v>
      </c>
      <c r="K173" t="n">
        <v>1</v>
      </c>
      <c r="L173" t="n">
        <v>0</v>
      </c>
      <c r="M173" t="n">
        <v>0</v>
      </c>
      <c r="N173" t="n">
        <v>0</v>
      </c>
      <c r="O173" t="n">
        <v>0</v>
      </c>
      <c r="P173" t="n">
        <v>0</v>
      </c>
      <c r="Q173" t="n">
        <v>0</v>
      </c>
      <c r="R173" t="n">
        <v>0</v>
      </c>
      <c r="S173" t="n">
        <v>1</v>
      </c>
      <c r="T173" t="n">
        <v>1</v>
      </c>
      <c r="U173" t="n">
        <v>0</v>
      </c>
      <c r="V173" s="2" t="inlineStr">
        <is>
          <t>Diskvaxskivling</t>
        </is>
      </c>
      <c r="W173">
        <f>HYPERLINK("https://klasma.github.io/Logging_0382/artfynd/S 3586-2023 artfynd.xlsx", "S 3586-2023")</f>
        <v/>
      </c>
      <c r="X173">
        <f>HYPERLINK("https://klasma.github.io/Logging_0382/kartor/S 3586-2023 karta.png", "S 3586-2023")</f>
        <v/>
      </c>
      <c r="Y173">
        <f>HYPERLINK("https://klasma.github.io/Logging_0382/kartor_geotiff/S 3586-2023 georefererad karta.tif", "S 3586-2023")</f>
        <v/>
      </c>
      <c r="AA173">
        <f>HYPERLINK("https://klasma.github.io/Logging_0382/klagomål/S 3586-2023 FSC-klagomål.docx", "S 3586-2023")</f>
        <v/>
      </c>
      <c r="AB173">
        <f>HYPERLINK("https://klasma.github.io/Logging_0382/klagomålsmail/S 3586-2023 FSC-klagomål mail.docx", "S 3586-2023")</f>
        <v/>
      </c>
      <c r="AC173">
        <f>HYPERLINK("https://klasma.github.io/Logging_0382/tillsyn/S 3586-2023 tillsynsbegäran.docx", "S 3586-2023")</f>
        <v/>
      </c>
      <c r="AD173">
        <f>HYPERLINK("https://klasma.github.io/Logging_0382/tillsynsmail/S 3586-2023 tillsynsbegäran mail.docx", "S 3586-2023")</f>
        <v/>
      </c>
    </row>
    <row r="174" ht="15" customHeight="1">
      <c r="A174" t="inlineStr">
        <is>
          <t>S 3126-2023</t>
        </is>
      </c>
      <c r="B174" t="inlineStr">
        <is>
          <t>samrådsanmälan</t>
        </is>
      </c>
      <c r="C174" t="inlineStr">
        <is>
          <t>Annan skogsbruksåtgärd</t>
        </is>
      </c>
      <c r="D174" s="1" t="n">
        <v>45178</v>
      </c>
      <c r="E174" s="1" t="n">
        <v>46317</v>
      </c>
      <c r="F174" t="inlineStr">
        <is>
          <t>UPPSALA LÄN</t>
        </is>
      </c>
      <c r="G174" t="inlineStr">
        <is>
          <t>ÖSTHAMMAR</t>
        </is>
      </c>
      <c r="H174" t="inlineStr">
        <is>
          <t>Bergvik skog öst AB</t>
        </is>
      </c>
      <c r="I174" t="n">
        <v>42.4</v>
      </c>
      <c r="J174" t="n">
        <v>0</v>
      </c>
      <c r="K174" t="n">
        <v>1</v>
      </c>
      <c r="L174" t="n">
        <v>0</v>
      </c>
      <c r="M174" t="n">
        <v>0</v>
      </c>
      <c r="N174" t="n">
        <v>0</v>
      </c>
      <c r="O174" t="n">
        <v>0</v>
      </c>
      <c r="P174" t="n">
        <v>0</v>
      </c>
      <c r="Q174" t="n">
        <v>0</v>
      </c>
      <c r="R174" t="n">
        <v>0</v>
      </c>
      <c r="S174" t="n">
        <v>1</v>
      </c>
      <c r="T174" t="n">
        <v>1</v>
      </c>
      <c r="U174" t="n">
        <v>0</v>
      </c>
      <c r="V174" s="2" t="inlineStr">
        <is>
          <t>Granbarkgnagare</t>
        </is>
      </c>
      <c r="W174">
        <f>HYPERLINK("https://klasma.github.io/Logging_0382/artfynd/S 3126-2023 artfynd.xlsx", "S 3126-2023")</f>
        <v/>
      </c>
      <c r="X174">
        <f>HYPERLINK("https://klasma.github.io/Logging_0382/kartor/S 3126-2023 karta.png", "S 3126-2023")</f>
        <v/>
      </c>
      <c r="Y174">
        <f>HYPERLINK("https://klasma.github.io/Logging_0382/kartor_geotiff/S 3126-2023 georefererad karta.tif", "S 3126-2023")</f>
        <v/>
      </c>
      <c r="AA174">
        <f>HYPERLINK("https://klasma.github.io/Logging_0382/klagomål/S 3126-2023 FSC-klagomål.docx", "S 3126-2023")</f>
        <v/>
      </c>
      <c r="AB174">
        <f>HYPERLINK("https://klasma.github.io/Logging_0382/klagomålsmail/S 3126-2023 FSC-klagomål mail.docx", "S 3126-2023")</f>
        <v/>
      </c>
      <c r="AC174">
        <f>HYPERLINK("https://klasma.github.io/Logging_0382/tillsyn/S 3126-2023 tillsynsbegäran.docx", "S 3126-2023")</f>
        <v/>
      </c>
      <c r="AD174">
        <f>HYPERLINK("https://klasma.github.io/Logging_0382/tillsynsmail/S 3126-2023 tillsynsbegäran mail.docx", "S 3126-2023")</f>
        <v/>
      </c>
    </row>
    <row r="175" ht="15" customHeight="1">
      <c r="A175" t="inlineStr">
        <is>
          <t>S 1000-2023</t>
        </is>
      </c>
      <c r="B175" t="inlineStr">
        <is>
          <t>samrådsanmälan</t>
        </is>
      </c>
      <c r="C175" t="inlineStr">
        <is>
          <t>Annan skogsbruksåtgärd</t>
        </is>
      </c>
      <c r="D175" s="1" t="n">
        <v>45007</v>
      </c>
      <c r="E175" s="1" t="n">
        <v>46317</v>
      </c>
      <c r="F175" t="inlineStr">
        <is>
          <t>UPPSALA LÄN</t>
        </is>
      </c>
      <c r="G175" t="inlineStr">
        <is>
          <t>ÖSTHAMMAR</t>
        </is>
      </c>
      <c r="I175" t="n">
        <v>0.2</v>
      </c>
      <c r="J175" t="n">
        <v>0</v>
      </c>
      <c r="K175" t="n">
        <v>0</v>
      </c>
      <c r="L175" t="n">
        <v>0</v>
      </c>
      <c r="M175" t="n">
        <v>0</v>
      </c>
      <c r="N175" t="n">
        <v>1</v>
      </c>
      <c r="O175" t="n">
        <v>0</v>
      </c>
      <c r="P175" t="n">
        <v>0</v>
      </c>
      <c r="Q175" t="n">
        <v>1</v>
      </c>
      <c r="R175" t="n">
        <v>1</v>
      </c>
      <c r="S175" t="n">
        <v>1</v>
      </c>
      <c r="T175" t="n">
        <v>2</v>
      </c>
      <c r="U175" t="n">
        <v>0</v>
      </c>
      <c r="V175" s="2" t="inlineStr">
        <is>
          <t>Violgubbe</t>
        </is>
      </c>
      <c r="W175">
        <f>HYPERLINK("https://klasma.github.io/Logging_0382/artfynd/S 1000-2023 artfynd.xlsx", "S 1000-2023")</f>
        <v/>
      </c>
      <c r="X175">
        <f>HYPERLINK("https://klasma.github.io/Logging_0382/kartor/S 1000-2023 karta.png", "S 1000-2023")</f>
        <v/>
      </c>
      <c r="Y175">
        <f>HYPERLINK("https://klasma.github.io/Logging_0382/kartor_geotiff/S 1000-2023 georefererad karta.tif", "S 1000-2023")</f>
        <v/>
      </c>
      <c r="AA175">
        <f>HYPERLINK("https://klasma.github.io/Logging_0382/klagomål/S 1000-2023 FSC-klagomål.docx", "S 1000-2023")</f>
        <v/>
      </c>
      <c r="AB175">
        <f>HYPERLINK("https://klasma.github.io/Logging_0382/klagomålsmail/S 1000-2023 FSC-klagomål mail.docx", "S 1000-2023")</f>
        <v/>
      </c>
      <c r="AC175">
        <f>HYPERLINK("https://klasma.github.io/Logging_0382/tillsyn/S 1000-2023 tillsynsbegäran.docx", "S 1000-2023")</f>
        <v/>
      </c>
      <c r="AD175">
        <f>HYPERLINK("https://klasma.github.io/Logging_0382/tillsynsmail/S 1000-2023 tillsynsbegäran mail.docx", "S 1000-2023")</f>
        <v/>
      </c>
    </row>
    <row r="176" ht="15" customHeight="1">
      <c r="A176" t="inlineStr">
        <is>
          <t>S 8274-2021</t>
        </is>
      </c>
      <c r="B176" t="inlineStr">
        <is>
          <t>samrådsanmälan</t>
        </is>
      </c>
      <c r="C176" t="inlineStr">
        <is>
          <t>Annan skogsbruksåtgärd</t>
        </is>
      </c>
      <c r="D176" s="1" t="n">
        <v>44491</v>
      </c>
      <c r="E176" s="1" t="n">
        <v>46317</v>
      </c>
      <c r="F176" t="inlineStr">
        <is>
          <t>UPPSALA LÄN</t>
        </is>
      </c>
      <c r="G176" t="inlineStr">
        <is>
          <t>ÖSTHAMMAR</t>
        </is>
      </c>
      <c r="I176" t="n">
        <v>1.7</v>
      </c>
      <c r="J176" t="n">
        <v>0</v>
      </c>
      <c r="K176" t="n">
        <v>0</v>
      </c>
      <c r="L176" t="n">
        <v>0</v>
      </c>
      <c r="M176" t="n">
        <v>1</v>
      </c>
      <c r="N176" t="n">
        <v>0</v>
      </c>
      <c r="O176" t="n">
        <v>0</v>
      </c>
      <c r="P176" t="n">
        <v>0</v>
      </c>
      <c r="Q176" t="n">
        <v>1</v>
      </c>
      <c r="R176" t="n">
        <v>1</v>
      </c>
      <c r="S176" t="n">
        <v>1</v>
      </c>
      <c r="T176" t="n">
        <v>1</v>
      </c>
      <c r="U176" t="n">
        <v>0</v>
      </c>
      <c r="V176" s="2" t="inlineStr">
        <is>
          <t>Gul taggsvamp</t>
        </is>
      </c>
      <c r="W176">
        <f>HYPERLINK("https://klasma.github.io/Logging_0382/artfynd/S 8274-2021 artfynd.xlsx", "S 8274-2021")</f>
        <v/>
      </c>
      <c r="X176">
        <f>HYPERLINK("https://klasma.github.io/Logging_0382/kartor/S 8274-2021 karta.png", "S 8274-2021")</f>
        <v/>
      </c>
      <c r="Y176">
        <f>HYPERLINK("https://klasma.github.io/Logging_0382/kartor_geotiff/S 8274-2021 georefererad karta.tif", "S 8274-2021")</f>
        <v/>
      </c>
      <c r="AA176">
        <f>HYPERLINK("https://klasma.github.io/Logging_0382/klagomål/S 8274-2021 FSC-klagomål.docx", "S 8274-2021")</f>
        <v/>
      </c>
      <c r="AB176">
        <f>HYPERLINK("https://klasma.github.io/Logging_0382/klagomålsmail/S 8274-2021 FSC-klagomål mail.docx", "S 8274-2021")</f>
        <v/>
      </c>
      <c r="AC176">
        <f>HYPERLINK("https://klasma.github.io/Logging_0382/tillsyn/S 8274-2021 tillsynsbegäran.docx", "S 8274-2021")</f>
        <v/>
      </c>
      <c r="AD176">
        <f>HYPERLINK("https://klasma.github.io/Logging_0382/tillsynsmail/S 8274-2021 tillsynsbegäran mail.docx", "S 8274-2021")</f>
        <v/>
      </c>
    </row>
    <row r="177" ht="15" customHeight="1">
      <c r="A177" t="inlineStr">
        <is>
          <t>S 1926-2023</t>
        </is>
      </c>
      <c r="B177" t="inlineStr">
        <is>
          <t>samrådsanmälan</t>
        </is>
      </c>
      <c r="C177" t="inlineStr">
        <is>
          <t>Annan skogsbruksåtgärd</t>
        </is>
      </c>
      <c r="D177" s="1" t="n">
        <v>45078</v>
      </c>
      <c r="E177" s="1" t="n">
        <v>46317</v>
      </c>
      <c r="F177" t="inlineStr">
        <is>
          <t>UPPSALA LÄN</t>
        </is>
      </c>
      <c r="G177" t="inlineStr">
        <is>
          <t>ÖSTHAMMAR</t>
        </is>
      </c>
      <c r="I177" t="n">
        <v>3.1</v>
      </c>
      <c r="J177" t="n">
        <v>1</v>
      </c>
      <c r="K177" t="n">
        <v>1</v>
      </c>
      <c r="L177" t="n">
        <v>0</v>
      </c>
      <c r="M177" t="n">
        <v>0</v>
      </c>
      <c r="N177" t="n">
        <v>0</v>
      </c>
      <c r="O177" t="n">
        <v>0</v>
      </c>
      <c r="P177" t="n">
        <v>0</v>
      </c>
      <c r="Q177" t="n">
        <v>0</v>
      </c>
      <c r="R177" t="n">
        <v>0</v>
      </c>
      <c r="S177" t="n">
        <v>1</v>
      </c>
      <c r="T177" t="n">
        <v>1</v>
      </c>
      <c r="U177" t="n">
        <v>0</v>
      </c>
      <c r="V177" s="2" t="inlineStr">
        <is>
          <t>Nästrot</t>
        </is>
      </c>
      <c r="W177">
        <f>HYPERLINK("https://klasma.github.io/Logging_0382/artfynd/S 1926-2023 artfynd.xlsx", "S 1926-2023")</f>
        <v/>
      </c>
      <c r="X177">
        <f>HYPERLINK("https://klasma.github.io/Logging_0382/kartor/S 1926-2023 karta.png", "S 1926-2023")</f>
        <v/>
      </c>
      <c r="Y177">
        <f>HYPERLINK("https://klasma.github.io/Logging_0382/kartor_geotiff/S 1926-2023 georefererad karta.tif", "S 1926-2023")</f>
        <v/>
      </c>
      <c r="AA177">
        <f>HYPERLINK("https://klasma.github.io/Logging_0382/klagomål/S 1926-2023 FSC-klagomål.docx", "S 1926-2023")</f>
        <v/>
      </c>
      <c r="AB177">
        <f>HYPERLINK("https://klasma.github.io/Logging_0382/klagomålsmail/S 1926-2023 FSC-klagomål mail.docx", "S 1926-2023")</f>
        <v/>
      </c>
      <c r="AC177">
        <f>HYPERLINK("https://klasma.github.io/Logging_0382/tillsyn/S 1926-2023 tillsynsbegäran.docx", "S 1926-2023")</f>
        <v/>
      </c>
      <c r="AD177">
        <f>HYPERLINK("https://klasma.github.io/Logging_0382/tillsynsmail/S 1926-2023 tillsynsbegäran mail.docx", "S 1926-2023")</f>
        <v/>
      </c>
    </row>
    <row r="178" ht="15" customHeight="1">
      <c r="A178" t="inlineStr">
        <is>
          <t>S 1836-2025</t>
        </is>
      </c>
      <c r="B178" t="inlineStr">
        <is>
          <t>samrådsanmälan</t>
        </is>
      </c>
      <c r="C178" t="inlineStr">
        <is>
          <t>Annan skogsbruksåtgärd</t>
        </is>
      </c>
      <c r="D178" s="1" t="n">
        <v>45820</v>
      </c>
      <c r="E178" s="1" t="n">
        <v>46317</v>
      </c>
      <c r="F178" t="inlineStr">
        <is>
          <t>UPPSALA LÄN</t>
        </is>
      </c>
      <c r="G178" t="inlineStr">
        <is>
          <t>ÖSTHAMMAR</t>
        </is>
      </c>
      <c r="I178" t="n">
        <v>5.1</v>
      </c>
      <c r="J178" t="n">
        <v>0</v>
      </c>
      <c r="K178" t="n">
        <v>1</v>
      </c>
      <c r="L178" t="n">
        <v>0</v>
      </c>
      <c r="M178" t="n">
        <v>0</v>
      </c>
      <c r="N178" t="n">
        <v>0</v>
      </c>
      <c r="O178" t="n">
        <v>0</v>
      </c>
      <c r="P178" t="n">
        <v>0</v>
      </c>
      <c r="Q178" t="n">
        <v>0</v>
      </c>
      <c r="R178" t="n">
        <v>0</v>
      </c>
      <c r="S178" t="n">
        <v>1</v>
      </c>
      <c r="T178" t="n">
        <v>1</v>
      </c>
      <c r="U178" t="n">
        <v>0</v>
      </c>
      <c r="V178" s="2" t="inlineStr">
        <is>
          <t>Flagellkvastmossa</t>
        </is>
      </c>
      <c r="W178">
        <f>HYPERLINK("https://klasma.github.io/Logging_0382/artfynd/S 1836-2025 artfynd.xlsx", "S 1836-2025")</f>
        <v/>
      </c>
      <c r="X178">
        <f>HYPERLINK("https://klasma.github.io/Logging_0382/kartor/S 1836-2025 karta.png", "S 1836-2025")</f>
        <v/>
      </c>
      <c r="Y178">
        <f>HYPERLINK("https://klasma.github.io/Logging_0382/kartor_geotiff/S 1836-2025 georefererad karta.tif", "S 1836-2025")</f>
        <v/>
      </c>
      <c r="AA178">
        <f>HYPERLINK("https://klasma.github.io/Logging_0382/klagomål/S 1836-2025 FSC-klagomål.docx", "S 1836-2025")</f>
        <v/>
      </c>
      <c r="AB178">
        <f>HYPERLINK("https://klasma.github.io/Logging_0382/klagomålsmail/S 1836-2025 FSC-klagomål mail.docx", "S 1836-2025")</f>
        <v/>
      </c>
      <c r="AC178">
        <f>HYPERLINK("https://klasma.github.io/Logging_0382/tillsyn/S 1836-2025 tillsynsbegäran.docx", "S 1836-2025")</f>
        <v/>
      </c>
      <c r="AD178">
        <f>HYPERLINK("https://klasma.github.io/Logging_0382/tillsynsmail/S 1836-2025 tillsynsbegäran mail.docx", "S 1836-2025")</f>
        <v/>
      </c>
    </row>
    <row r="179" ht="15" customHeight="1">
      <c r="A179" t="inlineStr">
        <is>
          <t>S 785-2025</t>
        </is>
      </c>
      <c r="B179" t="inlineStr">
        <is>
          <t>samrådsanmälan</t>
        </is>
      </c>
      <c r="C179" t="inlineStr">
        <is>
          <t>Annan skogsbruksåtgärd</t>
        </is>
      </c>
      <c r="D179" s="1" t="n">
        <v>45728</v>
      </c>
      <c r="E179" s="1" t="n">
        <v>46317</v>
      </c>
      <c r="F179" t="inlineStr">
        <is>
          <t>UPPSALA LÄN</t>
        </is>
      </c>
      <c r="G179" t="inlineStr">
        <is>
          <t>ÖSTHAMMAR</t>
        </is>
      </c>
      <c r="I179" t="n">
        <v>16.9</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HYPERLINK("https://klasma.github.io/Logging_0382/artfynd/S 785-2025 artfynd.xlsx", "S 785-2025")</f>
        <v/>
      </c>
      <c r="X179">
        <f>HYPERLINK("https://klasma.github.io/Logging_0382/kartor/S 785-2025 karta.png", "S 785-2025")</f>
        <v/>
      </c>
      <c r="Y179">
        <f>HYPERLINK("https://klasma.github.io/Logging_0382/kartor_geotiff/S 785-2025 georefererad karta.tif", "S 785-2025")</f>
        <v/>
      </c>
      <c r="AA179">
        <f>HYPERLINK("https://klasma.github.io/Logging_0382/klagomål/S 785-2025 FSC-klagomål.docx", "S 785-2025")</f>
        <v/>
      </c>
      <c r="AB179">
        <f>HYPERLINK("https://klasma.github.io/Logging_0382/klagomålsmail/S 785-2025 FSC-klagomål mail.docx", "S 785-2025")</f>
        <v/>
      </c>
      <c r="AC179">
        <f>HYPERLINK("https://klasma.github.io/Logging_0382/tillsyn/S 785-2025 tillsynsbegäran.docx", "S 785-2025")</f>
        <v/>
      </c>
      <c r="AD179">
        <f>HYPERLINK("https://klasma.github.io/Logging_0382/tillsynsmail/S 785-2025 tillsynsbegäran mail.docx", "S 785-2025")</f>
        <v/>
      </c>
    </row>
    <row r="180" ht="15" customHeight="1">
      <c r="A180" t="inlineStr">
        <is>
          <t>S 941-2026</t>
        </is>
      </c>
      <c r="B180" t="inlineStr">
        <is>
          <t>samrådsanmälan</t>
        </is>
      </c>
      <c r="C180" t="inlineStr">
        <is>
          <t>Annan skogsbruksåtgärd</t>
        </is>
      </c>
      <c r="D180" s="1" t="n">
        <v>46112</v>
      </c>
      <c r="E180" s="1" t="n">
        <v>46317</v>
      </c>
      <c r="F180" t="inlineStr">
        <is>
          <t>UPPSALA LÄN</t>
        </is>
      </c>
      <c r="G180" t="inlineStr">
        <is>
          <t>ÖSTHAMMAR</t>
        </is>
      </c>
      <c r="I180" t="n">
        <v>0.2</v>
      </c>
      <c r="J180" t="n">
        <v>1</v>
      </c>
      <c r="K180" t="n">
        <v>1</v>
      </c>
      <c r="L180" t="n">
        <v>0</v>
      </c>
      <c r="M180" t="n">
        <v>0</v>
      </c>
      <c r="N180" t="n">
        <v>0</v>
      </c>
      <c r="O180" t="n">
        <v>0</v>
      </c>
      <c r="P180" t="n">
        <v>0</v>
      </c>
      <c r="Q180" t="n">
        <v>0</v>
      </c>
      <c r="R180" t="n">
        <v>0</v>
      </c>
      <c r="S180" t="n">
        <v>1</v>
      </c>
      <c r="T180" t="n">
        <v>6</v>
      </c>
      <c r="U180" t="n">
        <v>0</v>
      </c>
      <c r="V180" s="2" t="inlineStr">
        <is>
          <t>Guckusko</t>
        </is>
      </c>
      <c r="W180">
        <f>HYPERLINK("https://klasma.github.io/Logging_0382/artfynd/S 941-2026 artfynd.xlsx", "S 941-2026")</f>
        <v/>
      </c>
      <c r="X180">
        <f>HYPERLINK("https://klasma.github.io/Logging_0382/kartor/S 941-2026 karta.png", "S 941-2026")</f>
        <v/>
      </c>
      <c r="Y180">
        <f>HYPERLINK("https://klasma.github.io/Logging_0382/kartor_geotiff/S 941-2026 georefererad karta.tif", "S 941-2026")</f>
        <v/>
      </c>
      <c r="AA180">
        <f>HYPERLINK("https://klasma.github.io/Logging_0382/klagomål/S 941-2026 FSC-klagomål.docx", "S 941-2026")</f>
        <v/>
      </c>
      <c r="AB180">
        <f>HYPERLINK("https://klasma.github.io/Logging_0382/klagomålsmail/S 941-2026 FSC-klagomål mail.docx", "S 941-2026")</f>
        <v/>
      </c>
      <c r="AC180">
        <f>HYPERLINK("https://klasma.github.io/Logging_0382/tillsyn/S 941-2026 tillsynsbegäran.docx", "S 941-2026")</f>
        <v/>
      </c>
      <c r="AD180">
        <f>HYPERLINK("https://klasma.github.io/Logging_0382/tillsynsmail/S 941-2026 tillsynsbegäran mail.docx", "S 941-2026")</f>
        <v/>
      </c>
    </row>
    <row r="181" ht="15" customHeight="1">
      <c r="A181" t="inlineStr">
        <is>
          <t>S 1833-2026</t>
        </is>
      </c>
      <c r="B181" t="inlineStr">
        <is>
          <t>samrådsanmälan</t>
        </is>
      </c>
      <c r="C181" t="inlineStr">
        <is>
          <t>Annan skogsbruksåtgärd</t>
        </is>
      </c>
      <c r="D181" s="1" t="n">
        <v>46191</v>
      </c>
      <c r="E181" s="1" t="n">
        <v>46317</v>
      </c>
      <c r="F181" t="inlineStr">
        <is>
          <t>UPPSALA LÄN</t>
        </is>
      </c>
      <c r="G181" t="inlineStr">
        <is>
          <t>ÖSTHAMMAR</t>
        </is>
      </c>
      <c r="I181" t="n">
        <v>0.5</v>
      </c>
      <c r="J181" t="n">
        <v>1</v>
      </c>
      <c r="K181" t="n">
        <v>1</v>
      </c>
      <c r="L181" t="n">
        <v>0</v>
      </c>
      <c r="M181" t="n">
        <v>0</v>
      </c>
      <c r="N181" t="n">
        <v>0</v>
      </c>
      <c r="O181" t="n">
        <v>0</v>
      </c>
      <c r="P181" t="n">
        <v>0</v>
      </c>
      <c r="Q181" t="n">
        <v>0</v>
      </c>
      <c r="R181" t="n">
        <v>0</v>
      </c>
      <c r="S181" t="n">
        <v>1</v>
      </c>
      <c r="T181" t="n">
        <v>1</v>
      </c>
      <c r="U181" t="n">
        <v>0</v>
      </c>
      <c r="V181" s="2" t="inlineStr">
        <is>
          <t>Guckusko</t>
        </is>
      </c>
      <c r="W181">
        <f>HYPERLINK("https://klasma.github.io/Logging_0382/artfynd/S 1833-2026 artfynd.xlsx", "S 1833-2026")</f>
        <v/>
      </c>
      <c r="X181">
        <f>HYPERLINK("https://klasma.github.io/Logging_0382/kartor/S 1833-2026 karta.png", "S 1833-2026")</f>
        <v/>
      </c>
      <c r="Y181">
        <f>HYPERLINK("https://klasma.github.io/Logging_0382/kartor_geotiff/S 1833-2026 georefererad karta.tif", "S 1833-2026")</f>
        <v/>
      </c>
      <c r="AA181">
        <f>HYPERLINK("https://klasma.github.io/Logging_0382/klagomål/S 1833-2026 FSC-klagomål.docx", "S 1833-2026")</f>
        <v/>
      </c>
      <c r="AB181">
        <f>HYPERLINK("https://klasma.github.io/Logging_0382/klagomålsmail/S 1833-2026 FSC-klagomål mail.docx", "S 1833-2026")</f>
        <v/>
      </c>
      <c r="AC181">
        <f>HYPERLINK("https://klasma.github.io/Logging_0382/tillsyn/S 1833-2026 tillsynsbegäran.docx", "S 1833-2026")</f>
        <v/>
      </c>
      <c r="AD181">
        <f>HYPERLINK("https://klasma.github.io/Logging_0382/tillsynsmail/S 1833-2026 tillsynsbegäran mail.docx", "S 1833-2026")</f>
        <v/>
      </c>
    </row>
    <row r="182" ht="15" customHeight="1">
      <c r="A182" t="inlineStr">
        <is>
          <t>A 73983-2021</t>
        </is>
      </c>
      <c r="B182" t="inlineStr">
        <is>
          <t>avverkningsanmälan</t>
        </is>
      </c>
      <c r="C182" t="inlineStr">
        <is>
          <t>Föryngringsavverkning</t>
        </is>
      </c>
      <c r="D182" s="1" t="n">
        <v>44555</v>
      </c>
      <c r="E182" s="1" t="n">
        <v>46317</v>
      </c>
      <c r="F182" t="inlineStr">
        <is>
          <t>UPPSALA LÄN</t>
        </is>
      </c>
      <c r="G182" t="inlineStr">
        <is>
          <t>ÖSTHAMMAR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46317</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25434-2022</t>
        </is>
      </c>
      <c r="B184" t="inlineStr">
        <is>
          <t>avverkningsanmälan</t>
        </is>
      </c>
      <c r="C184" t="inlineStr">
        <is>
          <t>Föryngringsavverkning</t>
        </is>
      </c>
      <c r="D184" s="1" t="n">
        <v>44732</v>
      </c>
      <c r="E184" s="1" t="n">
        <v>46317</v>
      </c>
      <c r="F184" t="inlineStr">
        <is>
          <t>UPPSALA LÄN</t>
        </is>
      </c>
      <c r="G184" t="inlineStr">
        <is>
          <t>ÖSTHAMMAR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8775-2022</t>
        </is>
      </c>
      <c r="B185" t="inlineStr">
        <is>
          <t>avverkningsanmälan</t>
        </is>
      </c>
      <c r="C185" t="inlineStr">
        <is>
          <t>Föryngringsavverkning</t>
        </is>
      </c>
      <c r="D185" s="1" t="n">
        <v>44614</v>
      </c>
      <c r="E185" s="1" t="n">
        <v>46317</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10287-2022</t>
        </is>
      </c>
      <c r="B186" t="inlineStr">
        <is>
          <t>avverkningsanmälan</t>
        </is>
      </c>
      <c r="C186" t="inlineStr">
        <is>
          <t>Föryngringsavverkning</t>
        </is>
      </c>
      <c r="D186" s="1" t="n">
        <v>44622</v>
      </c>
      <c r="E186" s="1" t="n">
        <v>46317</v>
      </c>
      <c r="F186" t="inlineStr">
        <is>
          <t>UPPSALA LÄN</t>
        </is>
      </c>
      <c r="G186" t="inlineStr">
        <is>
          <t>ÖSTHAMMAR</t>
        </is>
      </c>
      <c r="H186" t="inlineStr">
        <is>
          <t>Bergvik skog öst AB</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61555-2021</t>
        </is>
      </c>
      <c r="B187" t="inlineStr">
        <is>
          <t>avverkningsanmälan</t>
        </is>
      </c>
      <c r="C187" t="inlineStr">
        <is>
          <t>Föryngringsavverkning</t>
        </is>
      </c>
      <c r="D187" s="1" t="n">
        <v>44501</v>
      </c>
      <c r="E187" s="1" t="n">
        <v>46317</v>
      </c>
      <c r="F187" t="inlineStr">
        <is>
          <t>UPPSALA LÄN</t>
        </is>
      </c>
      <c r="G187" t="inlineStr">
        <is>
          <t>ÖSTHAMMAR</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10288-2022</t>
        </is>
      </c>
      <c r="B188" t="inlineStr">
        <is>
          <t>avverkningsanmälan</t>
        </is>
      </c>
      <c r="C188" t="inlineStr">
        <is>
          <t>Föryngringsavverkning</t>
        </is>
      </c>
      <c r="D188" s="1" t="n">
        <v>44622</v>
      </c>
      <c r="E188" s="1" t="n">
        <v>46317</v>
      </c>
      <c r="F188" t="inlineStr">
        <is>
          <t>UPPSALA LÄN</t>
        </is>
      </c>
      <c r="G188" t="inlineStr">
        <is>
          <t>ÖSTHAMMAR</t>
        </is>
      </c>
      <c r="H188" t="inlineStr">
        <is>
          <t>Bergvik skog öst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18727-2022</t>
        </is>
      </c>
      <c r="B189" t="inlineStr">
        <is>
          <t>avverkningsanmälan</t>
        </is>
      </c>
      <c r="C189" t="inlineStr">
        <is>
          <t>Föryngringsavverkning</t>
        </is>
      </c>
      <c r="D189" s="1" t="n">
        <v>44687</v>
      </c>
      <c r="E189" s="1" t="n">
        <v>46317</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15847-2022</t>
        </is>
      </c>
      <c r="B190" t="inlineStr">
        <is>
          <t>avverkningsanmälan</t>
        </is>
      </c>
      <c r="C190" t="inlineStr">
        <is>
          <t>Föryngringsavverkning</t>
        </is>
      </c>
      <c r="D190" s="1" t="n">
        <v>44664</v>
      </c>
      <c r="E190" s="1" t="n">
        <v>46317</v>
      </c>
      <c r="F190" t="inlineStr">
        <is>
          <t>UPPSALA LÄN</t>
        </is>
      </c>
      <c r="G190" t="inlineStr">
        <is>
          <t>ÖSTHAMMAR</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14271-2022</t>
        </is>
      </c>
      <c r="B191" t="inlineStr">
        <is>
          <t>avverkningsanmälan</t>
        </is>
      </c>
      <c r="C191" t="inlineStr">
        <is>
          <t>Föryngringsavverkning</t>
        </is>
      </c>
      <c r="D191" s="1" t="n">
        <v>44651</v>
      </c>
      <c r="E191" s="1" t="n">
        <v>46317</v>
      </c>
      <c r="F191" t="inlineStr">
        <is>
          <t>UPPSALA LÄN</t>
        </is>
      </c>
      <c r="G191" t="inlineStr">
        <is>
          <t>ÖSTHAMMAR</t>
        </is>
      </c>
      <c r="H191" t="inlineStr">
        <is>
          <t>Bergvik skog öst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13238-2022</t>
        </is>
      </c>
      <c r="B192" t="inlineStr">
        <is>
          <t>avverkningsanmälan</t>
        </is>
      </c>
      <c r="C192" t="inlineStr">
        <is>
          <t>Föryngringsavverkning</t>
        </is>
      </c>
      <c r="D192" s="1" t="n">
        <v>44644</v>
      </c>
      <c r="E192" s="1" t="n">
        <v>46317</v>
      </c>
      <c r="F192" t="inlineStr">
        <is>
          <t>UPPSALA LÄN</t>
        </is>
      </c>
      <c r="G192" t="inlineStr">
        <is>
          <t>ÖSTHAMMAR</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51055-2022</t>
        </is>
      </c>
      <c r="B193" t="inlineStr">
        <is>
          <t>avverkningsanmälan</t>
        </is>
      </c>
      <c r="C193" t="inlineStr">
        <is>
          <t>Föryngringsavverkning</t>
        </is>
      </c>
      <c r="D193" s="1" t="n">
        <v>44868</v>
      </c>
      <c r="E193" s="1" t="n">
        <v>46317</v>
      </c>
      <c r="F193" t="inlineStr">
        <is>
          <t>UPPSALA LÄN</t>
        </is>
      </c>
      <c r="G193" t="inlineStr">
        <is>
          <t>ÖSTHAMMAR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61746-2021</t>
        </is>
      </c>
      <c r="B194" t="inlineStr">
        <is>
          <t>avverkningsanmälan</t>
        </is>
      </c>
      <c r="C194" t="inlineStr">
        <is>
          <t>Föryngringsavverkning</t>
        </is>
      </c>
      <c r="D194" s="1" t="n">
        <v>44498</v>
      </c>
      <c r="E194" s="1" t="n">
        <v>46317</v>
      </c>
      <c r="F194" t="inlineStr">
        <is>
          <t>UPPSALA LÄN</t>
        </is>
      </c>
      <c r="G194" t="inlineStr">
        <is>
          <t>ÖSTHAMMAR</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59498-2021</t>
        </is>
      </c>
      <c r="B195" t="inlineStr">
        <is>
          <t>avverkningsanmälan</t>
        </is>
      </c>
      <c r="C195" t="inlineStr">
        <is>
          <t>Föryngringsavverkning</t>
        </is>
      </c>
      <c r="D195" s="1" t="n">
        <v>44491</v>
      </c>
      <c r="E195" s="1" t="n">
        <v>46317</v>
      </c>
      <c r="F195" t="inlineStr">
        <is>
          <t>UPPSALA LÄN</t>
        </is>
      </c>
      <c r="G195" t="inlineStr">
        <is>
          <t>ÖSTHAMMAR</t>
        </is>
      </c>
      <c r="H195" t="inlineStr">
        <is>
          <t>Bergvik skog öst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44019-2022</t>
        </is>
      </c>
      <c r="B196" t="inlineStr">
        <is>
          <t>avverkningsanmälan</t>
        </is>
      </c>
      <c r="C196" t="inlineStr">
        <is>
          <t>Föryngringsavverkning</t>
        </is>
      </c>
      <c r="D196" s="1" t="n">
        <v>44838</v>
      </c>
      <c r="E196" s="1" t="n">
        <v>46317</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46317</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19174-2022</t>
        </is>
      </c>
      <c r="B198" t="inlineStr">
        <is>
          <t>avverkningsanmälan</t>
        </is>
      </c>
      <c r="C198" t="inlineStr">
        <is>
          <t>Föryngringsavverkning</t>
        </is>
      </c>
      <c r="D198" s="1" t="n">
        <v>44691</v>
      </c>
      <c r="E198" s="1" t="n">
        <v>46317</v>
      </c>
      <c r="F198" t="inlineStr">
        <is>
          <t>UPPSALA LÄN</t>
        </is>
      </c>
      <c r="G198" t="inlineStr">
        <is>
          <t>ÖSTHAMMAR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46317</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46317</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67859-2021</t>
        </is>
      </c>
      <c r="B201" t="inlineStr">
        <is>
          <t>avverkningsanmälan</t>
        </is>
      </c>
      <c r="C201" t="inlineStr">
        <is>
          <t>Föryngringsavverkning</t>
        </is>
      </c>
      <c r="D201" s="1" t="n">
        <v>44525</v>
      </c>
      <c r="E201" s="1" t="n">
        <v>46317</v>
      </c>
      <c r="F201" t="inlineStr">
        <is>
          <t>UPPSALA LÄN</t>
        </is>
      </c>
      <c r="G201" t="inlineStr">
        <is>
          <t>ÖSTHAMMAR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10298-2022</t>
        </is>
      </c>
      <c r="B202" t="inlineStr">
        <is>
          <t>avverkningsanmälan</t>
        </is>
      </c>
      <c r="C202" t="inlineStr">
        <is>
          <t>Föryngringsavverkning</t>
        </is>
      </c>
      <c r="D202" s="1" t="n">
        <v>44622</v>
      </c>
      <c r="E202" s="1" t="n">
        <v>46317</v>
      </c>
      <c r="F202" t="inlineStr">
        <is>
          <t>UPPSALA LÄN</t>
        </is>
      </c>
      <c r="G202" t="inlineStr">
        <is>
          <t>ÖSTHAMMAR</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8556-2022</t>
        </is>
      </c>
      <c r="B203" t="inlineStr">
        <is>
          <t>avverkningsanmälan</t>
        </is>
      </c>
      <c r="C203" t="inlineStr">
        <is>
          <t>Föryngringsavverkning</t>
        </is>
      </c>
      <c r="D203" s="1" t="n">
        <v>44613</v>
      </c>
      <c r="E203" s="1" t="n">
        <v>46317</v>
      </c>
      <c r="F203" t="inlineStr">
        <is>
          <t>UPPSALA LÄN</t>
        </is>
      </c>
      <c r="G203" t="inlineStr">
        <is>
          <t>ÖSTHAMMAR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4315-2022</t>
        </is>
      </c>
      <c r="B204" t="inlineStr">
        <is>
          <t>avverkningsanmälan</t>
        </is>
      </c>
      <c r="C204" t="inlineStr">
        <is>
          <t>Föryngringsavverkning</t>
        </is>
      </c>
      <c r="D204" s="1" t="n">
        <v>44588</v>
      </c>
      <c r="E204" s="1" t="n">
        <v>46317</v>
      </c>
      <c r="F204" t="inlineStr">
        <is>
          <t>UPPSALA LÄN</t>
        </is>
      </c>
      <c r="G204" t="inlineStr">
        <is>
          <t>ÖSTHAMMAR</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46317</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46317</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46317</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66549-2021</t>
        </is>
      </c>
      <c r="B208" t="inlineStr">
        <is>
          <t>avverkningsanmälan</t>
        </is>
      </c>
      <c r="C208" t="inlineStr">
        <is>
          <t>Föryngringsavverkning</t>
        </is>
      </c>
      <c r="D208" s="1" t="n">
        <v>44519</v>
      </c>
      <c r="E208" s="1" t="n">
        <v>46317</v>
      </c>
      <c r="F208" t="inlineStr">
        <is>
          <t>UPPSALA LÄN</t>
        </is>
      </c>
      <c r="G208" t="inlineStr">
        <is>
          <t>ÖSTHAMMAR</t>
        </is>
      </c>
      <c r="H208" t="inlineStr">
        <is>
          <t>Bergvik skog öst AB</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5932-2022</t>
        </is>
      </c>
      <c r="B209" t="inlineStr">
        <is>
          <t>avverkningsanmälan</t>
        </is>
      </c>
      <c r="C209" t="inlineStr">
        <is>
          <t>Föryngringsavverkning</t>
        </is>
      </c>
      <c r="D209" s="1" t="n">
        <v>44598</v>
      </c>
      <c r="E209" s="1" t="n">
        <v>46317</v>
      </c>
      <c r="F209" t="inlineStr">
        <is>
          <t>UPPSALA LÄN</t>
        </is>
      </c>
      <c r="G209" t="inlineStr">
        <is>
          <t>ÖSTHAMMAR</t>
        </is>
      </c>
      <c r="H209" t="inlineStr">
        <is>
          <t>Bergvik skog öst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46317</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46317</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46317</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46317</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46317</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46317</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46317</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46317</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46317</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46317</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46317</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46317</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46317</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46317</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46317</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46317</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46317</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46317</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46317</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46317</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46317</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46317</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46317</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46317</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46317</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46317</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46317</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46317</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46317</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46317</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46317</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19040-2023</t>
        </is>
      </c>
      <c r="B241" t="inlineStr">
        <is>
          <t>avverkningsanmälan</t>
        </is>
      </c>
      <c r="C241" t="inlineStr">
        <is>
          <t>Föryngringsavverkning</t>
        </is>
      </c>
      <c r="D241" s="1" t="n">
        <v>45047</v>
      </c>
      <c r="E241" s="1" t="n">
        <v>46317</v>
      </c>
      <c r="F241" t="inlineStr">
        <is>
          <t>UPPSALA LÄN</t>
        </is>
      </c>
      <c r="G241" t="inlineStr">
        <is>
          <t>ÖSTHAMMAR</t>
        </is>
      </c>
      <c r="H241" t="inlineStr">
        <is>
          <t>Bergvik skog öst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18838-2023</t>
        </is>
      </c>
      <c r="B242" t="inlineStr">
        <is>
          <t>avverkningsanmälan</t>
        </is>
      </c>
      <c r="C242" t="inlineStr">
        <is>
          <t>Föryngringsavverkning</t>
        </is>
      </c>
      <c r="D242" s="1" t="n">
        <v>45044</v>
      </c>
      <c r="E242" s="1" t="n">
        <v>46317</v>
      </c>
      <c r="F242" t="inlineStr">
        <is>
          <t>UPPSALA LÄN</t>
        </is>
      </c>
      <c r="G242" t="inlineStr">
        <is>
          <t>ÖSTHAMMAR</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38702-2022</t>
        </is>
      </c>
      <c r="B243" t="inlineStr">
        <is>
          <t>avverkningsanmälan</t>
        </is>
      </c>
      <c r="C243" t="inlineStr">
        <is>
          <t>Föryngringsavverkning</t>
        </is>
      </c>
      <c r="D243" s="1" t="n">
        <v>44814</v>
      </c>
      <c r="E243" s="1" t="n">
        <v>46317</v>
      </c>
      <c r="F243" t="inlineStr">
        <is>
          <t>UPPSALA LÄN</t>
        </is>
      </c>
      <c r="G243" t="inlineStr">
        <is>
          <t>ÖSTHAMMAR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49097-2022</t>
        </is>
      </c>
      <c r="B244" t="inlineStr">
        <is>
          <t>avverkningsanmälan</t>
        </is>
      </c>
      <c r="C244" t="inlineStr">
        <is>
          <t>Föryngringsavverkning</t>
        </is>
      </c>
      <c r="D244" s="1" t="n">
        <v>44860</v>
      </c>
      <c r="E244" s="1" t="n">
        <v>46317</v>
      </c>
      <c r="F244" t="inlineStr">
        <is>
          <t>UPPSALA LÄN</t>
        </is>
      </c>
      <c r="G244" t="inlineStr">
        <is>
          <t>ÖSTHAMMAR</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28421-2023</t>
        </is>
      </c>
      <c r="B245" t="inlineStr">
        <is>
          <t>avverkningsanmälan</t>
        </is>
      </c>
      <c r="C245" t="inlineStr">
        <is>
          <t>Föryngringsavverkning</t>
        </is>
      </c>
      <c r="D245" s="1" t="n">
        <v>45102</v>
      </c>
      <c r="E245" s="1" t="n">
        <v>46317</v>
      </c>
      <c r="F245" t="inlineStr">
        <is>
          <t>UPPSALA LÄN</t>
        </is>
      </c>
      <c r="G245" t="inlineStr">
        <is>
          <t>ÖSTHAMMAR</t>
        </is>
      </c>
      <c r="H245" t="inlineStr">
        <is>
          <t>Bergvik skog öst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17867-2024</t>
        </is>
      </c>
      <c r="B246" t="inlineStr">
        <is>
          <t>avverkningsanmälan</t>
        </is>
      </c>
      <c r="C246" t="inlineStr">
        <is>
          <t>Föryngringsavverkning</t>
        </is>
      </c>
      <c r="D246" s="1" t="n">
        <v>45419</v>
      </c>
      <c r="E246" s="1" t="n">
        <v>46317</v>
      </c>
      <c r="F246" t="inlineStr">
        <is>
          <t>UPPSALA LÄN</t>
        </is>
      </c>
      <c r="G246" t="inlineStr">
        <is>
          <t>ÖSTHAMMAR</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12756-2024</t>
        </is>
      </c>
      <c r="B247" t="inlineStr">
        <is>
          <t>avverkningsanmälan</t>
        </is>
      </c>
      <c r="C247" t="inlineStr">
        <is>
          <t>Föryngringsavverkning</t>
        </is>
      </c>
      <c r="D247" s="1" t="n">
        <v>45384</v>
      </c>
      <c r="E247" s="1" t="n">
        <v>46317</v>
      </c>
      <c r="F247" t="inlineStr">
        <is>
          <t>UPPSALA LÄN</t>
        </is>
      </c>
      <c r="G247" t="inlineStr">
        <is>
          <t>ÖSTHAMMAR</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57-2023</t>
        </is>
      </c>
      <c r="B248" t="inlineStr">
        <is>
          <t>avverkningsanmälan</t>
        </is>
      </c>
      <c r="C248" t="inlineStr">
        <is>
          <t>Föryngringsavverkning</t>
        </is>
      </c>
      <c r="D248" s="1" t="n">
        <v>44928</v>
      </c>
      <c r="E248" s="1" t="n">
        <v>46317</v>
      </c>
      <c r="F248" t="inlineStr">
        <is>
          <t>UPPSALA LÄN</t>
        </is>
      </c>
      <c r="G248" t="inlineStr">
        <is>
          <t>ÖSTHAMMAR</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59-2023</t>
        </is>
      </c>
      <c r="B249" t="inlineStr">
        <is>
          <t>avverkningsanmälan</t>
        </is>
      </c>
      <c r="C249" t="inlineStr">
        <is>
          <t>Föryngringsavverkning</t>
        </is>
      </c>
      <c r="D249" s="1" t="n">
        <v>44928</v>
      </c>
      <c r="E249" s="1" t="n">
        <v>46317</v>
      </c>
      <c r="F249" t="inlineStr">
        <is>
          <t>UPPSALA LÄN</t>
        </is>
      </c>
      <c r="G249" t="inlineStr">
        <is>
          <t>ÖSTHAMMAR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19947-2024</t>
        </is>
      </c>
      <c r="B250" t="inlineStr">
        <is>
          <t>avverkningsanmälan</t>
        </is>
      </c>
      <c r="C250" t="inlineStr">
        <is>
          <t>Föryngringsavverkning</t>
        </is>
      </c>
      <c r="D250" s="1" t="n">
        <v>45433</v>
      </c>
      <c r="E250" s="1" t="n">
        <v>46317</v>
      </c>
      <c r="F250" t="inlineStr">
        <is>
          <t>UPPSALA LÄN</t>
        </is>
      </c>
      <c r="G250" t="inlineStr">
        <is>
          <t>ÖSTHAMMAR</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14595-2023</t>
        </is>
      </c>
      <c r="B251" t="inlineStr">
        <is>
          <t>avverkningsanmälan</t>
        </is>
      </c>
      <c r="C251" t="inlineStr">
        <is>
          <t>Föryngringsavverkning</t>
        </is>
      </c>
      <c r="D251" s="1" t="n">
        <v>45013</v>
      </c>
      <c r="E251" s="1" t="n">
        <v>46317</v>
      </c>
      <c r="F251" t="inlineStr">
        <is>
          <t>UPPSALA LÄN</t>
        </is>
      </c>
      <c r="G251" t="inlineStr">
        <is>
          <t>ÖSTHAMMAR</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14433-2024</t>
        </is>
      </c>
      <c r="B252" t="inlineStr">
        <is>
          <t>avverkningsanmälan</t>
        </is>
      </c>
      <c r="C252" t="inlineStr">
        <is>
          <t>Föryngringsavverkning</t>
        </is>
      </c>
      <c r="D252" s="1" t="n">
        <v>45394</v>
      </c>
      <c r="E252" s="1" t="n">
        <v>46317</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33685-2024</t>
        </is>
      </c>
      <c r="B253" t="inlineStr">
        <is>
          <t>avverkningsanmälan</t>
        </is>
      </c>
      <c r="C253" t="inlineStr">
        <is>
          <t>Föryngringsavverkning</t>
        </is>
      </c>
      <c r="D253" s="1" t="n">
        <v>45520</v>
      </c>
      <c r="E253" s="1" t="n">
        <v>46317</v>
      </c>
      <c r="F253" t="inlineStr">
        <is>
          <t>UPPSALA LÄN</t>
        </is>
      </c>
      <c r="G253" t="inlineStr">
        <is>
          <t>ÖSTHAMMAR</t>
        </is>
      </c>
      <c r="H253" t="inlineStr">
        <is>
          <t>Bergvik skog öst AB</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44027-2024</t>
        </is>
      </c>
      <c r="B254" t="inlineStr">
        <is>
          <t>avverkningsanmälan</t>
        </is>
      </c>
      <c r="C254" t="inlineStr">
        <is>
          <t>Föryngringsavverkning</t>
        </is>
      </c>
      <c r="D254" s="1" t="n">
        <v>45572</v>
      </c>
      <c r="E254" s="1" t="n">
        <v>46317</v>
      </c>
      <c r="F254" t="inlineStr">
        <is>
          <t>UPPSALA LÄN</t>
        </is>
      </c>
      <c r="G254" t="inlineStr">
        <is>
          <t>ÖSTHAMMAR</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25252-2024</t>
        </is>
      </c>
      <c r="B255" t="inlineStr">
        <is>
          <t>avverkningsanmälan</t>
        </is>
      </c>
      <c r="C255" t="inlineStr">
        <is>
          <t>Föryngringsavverkning</t>
        </is>
      </c>
      <c r="D255" s="1" t="n">
        <v>45462</v>
      </c>
      <c r="E255" s="1" t="n">
        <v>46317</v>
      </c>
      <c r="F255" t="inlineStr">
        <is>
          <t>UPPSALA LÄN</t>
        </is>
      </c>
      <c r="G255" t="inlineStr">
        <is>
          <t>ÖSTHAMMAR</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56382-2022</t>
        </is>
      </c>
      <c r="B256" t="inlineStr">
        <is>
          <t>avverkningsanmälan</t>
        </is>
      </c>
      <c r="C256" t="inlineStr">
        <is>
          <t>Föryngringsavverkning</t>
        </is>
      </c>
      <c r="D256" s="1" t="n">
        <v>44890</v>
      </c>
      <c r="E256" s="1" t="n">
        <v>46317</v>
      </c>
      <c r="F256" t="inlineStr">
        <is>
          <t>UPPSALA LÄN</t>
        </is>
      </c>
      <c r="G256" t="inlineStr">
        <is>
          <t>ÖSTHAMMAR</t>
        </is>
      </c>
      <c r="H256" t="inlineStr">
        <is>
          <t>Allmännings- och besparingsskogar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5877-2023</t>
        </is>
      </c>
      <c r="B257" t="inlineStr">
        <is>
          <t>avverkningsanmälan</t>
        </is>
      </c>
      <c r="C257" t="inlineStr">
        <is>
          <t>Föryngringsavverkning</t>
        </is>
      </c>
      <c r="D257" s="1" t="n">
        <v>44963</v>
      </c>
      <c r="E257" s="1" t="n">
        <v>46317</v>
      </c>
      <c r="F257" t="inlineStr">
        <is>
          <t>UPPSALA LÄN</t>
        </is>
      </c>
      <c r="G257" t="inlineStr">
        <is>
          <t>ÖSTHAMMAR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25938-2024</t>
        </is>
      </c>
      <c r="B258" t="inlineStr">
        <is>
          <t>avverkningsanmälan</t>
        </is>
      </c>
      <c r="C258" t="inlineStr">
        <is>
          <t>Föryngringsavverkning</t>
        </is>
      </c>
      <c r="D258" s="1" t="n">
        <v>45467</v>
      </c>
      <c r="E258" s="1" t="n">
        <v>46317</v>
      </c>
      <c r="F258" t="inlineStr">
        <is>
          <t>UPPSALA LÄN</t>
        </is>
      </c>
      <c r="G258" t="inlineStr">
        <is>
          <t>ÖSTHAMMAR</t>
        </is>
      </c>
      <c r="H258" t="inlineStr">
        <is>
          <t>Bergvik skog öst AB</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33552-2024</t>
        </is>
      </c>
      <c r="B259" t="inlineStr">
        <is>
          <t>avverkningsanmälan</t>
        </is>
      </c>
      <c r="C259" t="inlineStr">
        <is>
          <t>Föryngringsavverkning</t>
        </is>
      </c>
      <c r="D259" s="1" t="n">
        <v>45519</v>
      </c>
      <c r="E259" s="1" t="n">
        <v>46317</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62745-2025</t>
        </is>
      </c>
      <c r="B260" t="inlineStr">
        <is>
          <t>avverkningsanmälan</t>
        </is>
      </c>
      <c r="C260" t="inlineStr">
        <is>
          <t>Föryngringsavverkning</t>
        </is>
      </c>
      <c r="D260" s="1" t="n">
        <v>46008</v>
      </c>
      <c r="E260" s="1" t="n">
        <v>46317</v>
      </c>
      <c r="F260" t="inlineStr">
        <is>
          <t>UPPSALA LÄN</t>
        </is>
      </c>
      <c r="G260" t="inlineStr">
        <is>
          <t>ÖSTHAMMAR</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5429-2023</t>
        </is>
      </c>
      <c r="B261" t="inlineStr">
        <is>
          <t>avverkningsanmälan</t>
        </is>
      </c>
      <c r="C261" t="inlineStr">
        <is>
          <t>Föryngringsavverkning</t>
        </is>
      </c>
      <c r="D261" s="1" t="n">
        <v>44959</v>
      </c>
      <c r="E261" s="1" t="n">
        <v>46317</v>
      </c>
      <c r="F261" t="inlineStr">
        <is>
          <t>UPPSALA LÄN</t>
        </is>
      </c>
      <c r="G261" t="inlineStr">
        <is>
          <t>ÖSTHAMMAR</t>
        </is>
      </c>
      <c r="H261" t="inlineStr">
        <is>
          <t>Bergvik skog öst AB</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59731-2023</t>
        </is>
      </c>
      <c r="B262" t="inlineStr">
        <is>
          <t>avverkningsanmälan</t>
        </is>
      </c>
      <c r="C262" t="inlineStr">
        <is>
          <t>Föryngringsavverkning</t>
        </is>
      </c>
      <c r="D262" s="1" t="n">
        <v>45257</v>
      </c>
      <c r="E262" s="1" t="n">
        <v>46317</v>
      </c>
      <c r="F262" t="inlineStr">
        <is>
          <t>UPPSALA LÄN</t>
        </is>
      </c>
      <c r="G262" t="inlineStr">
        <is>
          <t>ÖSTHAMMAR</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24160-2024</t>
        </is>
      </c>
      <c r="B263" t="inlineStr">
        <is>
          <t>avverkningsanmälan</t>
        </is>
      </c>
      <c r="C263" t="inlineStr">
        <is>
          <t>Föryngringsavverkning</t>
        </is>
      </c>
      <c r="D263" s="1" t="n">
        <v>45456</v>
      </c>
      <c r="E263" s="1" t="n">
        <v>46317</v>
      </c>
      <c r="F263" t="inlineStr">
        <is>
          <t>UPPSALA LÄN</t>
        </is>
      </c>
      <c r="G263" t="inlineStr">
        <is>
          <t>ÖSTHAMMAR</t>
        </is>
      </c>
      <c r="H263" t="inlineStr">
        <is>
          <t>Bergvik skog öst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34607-2023</t>
        </is>
      </c>
      <c r="B264" t="inlineStr">
        <is>
          <t>avverkningsanmälan</t>
        </is>
      </c>
      <c r="C264" t="inlineStr">
        <is>
          <t>Föryngringsavverkning</t>
        </is>
      </c>
      <c r="D264" s="1" t="n">
        <v>45138</v>
      </c>
      <c r="E264" s="1" t="n">
        <v>46317</v>
      </c>
      <c r="F264" t="inlineStr">
        <is>
          <t>UPPSALA LÄN</t>
        </is>
      </c>
      <c r="G264" t="inlineStr">
        <is>
          <t>ÖSTHAMMAR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1584-2025</t>
        </is>
      </c>
      <c r="B265" t="inlineStr">
        <is>
          <t>avverkningsanmälan</t>
        </is>
      </c>
      <c r="C265" t="inlineStr">
        <is>
          <t>Föryngringsavverkning</t>
        </is>
      </c>
      <c r="D265" s="1" t="n">
        <v>45670</v>
      </c>
      <c r="E265" s="1" t="n">
        <v>46317</v>
      </c>
      <c r="F265" t="inlineStr">
        <is>
          <t>UPPSALA LÄN</t>
        </is>
      </c>
      <c r="G265" t="inlineStr">
        <is>
          <t>ÖSTHAMMAR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30972-2024</t>
        </is>
      </c>
      <c r="B266" t="inlineStr">
        <is>
          <t>avverkningsanmälan</t>
        </is>
      </c>
      <c r="C266" t="inlineStr">
        <is>
          <t>Föryngringsavverkning</t>
        </is>
      </c>
      <c r="D266" s="1" t="n">
        <v>45499</v>
      </c>
      <c r="E266" s="1" t="n">
        <v>46317</v>
      </c>
      <c r="F266" t="inlineStr">
        <is>
          <t>UPPSALA LÄN</t>
        </is>
      </c>
      <c r="G266" t="inlineStr">
        <is>
          <t>ÖSTHAMMAR</t>
        </is>
      </c>
      <c r="H266" t="inlineStr">
        <is>
          <t>Bergvik skog öst AB</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56969-2022</t>
        </is>
      </c>
      <c r="B267" t="inlineStr">
        <is>
          <t>avverkningsanmälan</t>
        </is>
      </c>
      <c r="C267" t="inlineStr">
        <is>
          <t>Föryngringsavverkning</t>
        </is>
      </c>
      <c r="D267" s="1" t="n">
        <v>44894</v>
      </c>
      <c r="E267" s="1" t="n">
        <v>46317</v>
      </c>
      <c r="F267" t="inlineStr">
        <is>
          <t>UPPSALA LÄN</t>
        </is>
      </c>
      <c r="G267" t="inlineStr">
        <is>
          <t>ÖSTHAMMAR</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7876-2023</t>
        </is>
      </c>
      <c r="B268" t="inlineStr">
        <is>
          <t>avverkningsanmälan</t>
        </is>
      </c>
      <c r="C268" t="inlineStr">
        <is>
          <t>Föryngringsavverkning</t>
        </is>
      </c>
      <c r="D268" s="1" t="n">
        <v>44973</v>
      </c>
      <c r="E268" s="1" t="n">
        <v>46317</v>
      </c>
      <c r="F268" t="inlineStr">
        <is>
          <t>UPPSALA LÄN</t>
        </is>
      </c>
      <c r="G268" t="inlineStr">
        <is>
          <t>ÖSTHAMMAR</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35539-2023</t>
        </is>
      </c>
      <c r="B269" t="inlineStr">
        <is>
          <t>avverkningsanmälan</t>
        </is>
      </c>
      <c r="C269" t="inlineStr">
        <is>
          <t>Föryngringsavverkning</t>
        </is>
      </c>
      <c r="D269" s="1" t="n">
        <v>45147</v>
      </c>
      <c r="E269" s="1" t="n">
        <v>46317</v>
      </c>
      <c r="F269" t="inlineStr">
        <is>
          <t>UPPSALA LÄN</t>
        </is>
      </c>
      <c r="G269" t="inlineStr">
        <is>
          <t>ÖSTHAMMAR</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24415-2025</t>
        </is>
      </c>
      <c r="B270" t="inlineStr">
        <is>
          <t>avverkningsanmälan</t>
        </is>
      </c>
      <c r="C270" t="inlineStr">
        <is>
          <t>Föryngringsavverkning</t>
        </is>
      </c>
      <c r="D270" s="1" t="n">
        <v>45797</v>
      </c>
      <c r="E270" s="1" t="n">
        <v>46317</v>
      </c>
      <c r="F270" t="inlineStr">
        <is>
          <t>UPPSALA LÄN</t>
        </is>
      </c>
      <c r="G270" t="inlineStr">
        <is>
          <t>ÖSTHAMMAR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56260-2022</t>
        </is>
      </c>
      <c r="B271" t="inlineStr">
        <is>
          <t>avverkningsanmälan</t>
        </is>
      </c>
      <c r="C271" t="inlineStr">
        <is>
          <t>Avverkning för annat ändamål</t>
        </is>
      </c>
      <c r="D271" s="1" t="n">
        <v>44890</v>
      </c>
      <c r="E271" s="1" t="n">
        <v>46317</v>
      </c>
      <c r="F271" t="inlineStr">
        <is>
          <t>UPPSALA LÄN</t>
        </is>
      </c>
      <c r="G271" t="inlineStr">
        <is>
          <t>ÖSTHAMMAR</t>
        </is>
      </c>
      <c r="H271" t="inlineStr">
        <is>
          <t>Bergvik skog öst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40416-2025</t>
        </is>
      </c>
      <c r="B272" t="inlineStr">
        <is>
          <t>avverkningsanmälan</t>
        </is>
      </c>
      <c r="C272" t="inlineStr">
        <is>
          <t>Föryngringsavverkning</t>
        </is>
      </c>
      <c r="D272" s="1" t="n">
        <v>45895</v>
      </c>
      <c r="E272" s="1" t="n">
        <v>46317</v>
      </c>
      <c r="F272" t="inlineStr">
        <is>
          <t>UPPSALA LÄN</t>
        </is>
      </c>
      <c r="G272" t="inlineStr">
        <is>
          <t>ÖSTHAMMAR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40462-2025</t>
        </is>
      </c>
      <c r="B273" t="inlineStr">
        <is>
          <t>avverkningsanmälan</t>
        </is>
      </c>
      <c r="C273" t="inlineStr">
        <is>
          <t>Föryngringsavverkning</t>
        </is>
      </c>
      <c r="D273" s="1" t="n">
        <v>45895</v>
      </c>
      <c r="E273" s="1" t="n">
        <v>46317</v>
      </c>
      <c r="F273" t="inlineStr">
        <is>
          <t>UPPSALA LÄN</t>
        </is>
      </c>
      <c r="G273" t="inlineStr">
        <is>
          <t>ÖSTHAMMAR</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40382-2025</t>
        </is>
      </c>
      <c r="B274" t="inlineStr">
        <is>
          <t>avverkningsanmälan</t>
        </is>
      </c>
      <c r="C274" t="inlineStr">
        <is>
          <t>Föryngringsavverkning</t>
        </is>
      </c>
      <c r="D274" s="1" t="n">
        <v>45895</v>
      </c>
      <c r="E274" s="1" t="n">
        <v>46317</v>
      </c>
      <c r="F274" t="inlineStr">
        <is>
          <t>UPPSALA LÄN</t>
        </is>
      </c>
      <c r="G274" t="inlineStr">
        <is>
          <t>ÖSTHAMMAR</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40384-2025</t>
        </is>
      </c>
      <c r="B275" t="inlineStr">
        <is>
          <t>avverkningsanmälan</t>
        </is>
      </c>
      <c r="C275" t="inlineStr">
        <is>
          <t>Föryngringsavverkning</t>
        </is>
      </c>
      <c r="D275" s="1" t="n">
        <v>45895</v>
      </c>
      <c r="E275" s="1" t="n">
        <v>46317</v>
      </c>
      <c r="F275" t="inlineStr">
        <is>
          <t>UPPSALA LÄN</t>
        </is>
      </c>
      <c r="G275" t="inlineStr">
        <is>
          <t>ÖSTHAMMAR</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40460-2025</t>
        </is>
      </c>
      <c r="B276" t="inlineStr">
        <is>
          <t>avverkningsanmälan</t>
        </is>
      </c>
      <c r="C276" t="inlineStr">
        <is>
          <t>Föryngringsavverkning</t>
        </is>
      </c>
      <c r="D276" s="1" t="n">
        <v>45895</v>
      </c>
      <c r="E276" s="1" t="n">
        <v>46317</v>
      </c>
      <c r="F276" t="inlineStr">
        <is>
          <t>UPPSALA LÄN</t>
        </is>
      </c>
      <c r="G276" t="inlineStr">
        <is>
          <t>ÖSTHAMMAR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29231-2024</t>
        </is>
      </c>
      <c r="B277" t="inlineStr">
        <is>
          <t>avverkningsanmälan</t>
        </is>
      </c>
      <c r="C277" t="inlineStr">
        <is>
          <t>Föryngringsavverkning</t>
        </is>
      </c>
      <c r="D277" s="1" t="n">
        <v>45482</v>
      </c>
      <c r="E277" s="1" t="n">
        <v>46317</v>
      </c>
      <c r="F277" t="inlineStr">
        <is>
          <t>UPPSALA LÄN</t>
        </is>
      </c>
      <c r="G277" t="inlineStr">
        <is>
          <t>ÖSTHAMMAR</t>
        </is>
      </c>
      <c r="H277" t="inlineStr">
        <is>
          <t>Bergvik skog öst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16089-2025</t>
        </is>
      </c>
      <c r="B278" t="inlineStr">
        <is>
          <t>avverkningsanmälan</t>
        </is>
      </c>
      <c r="C278" t="inlineStr">
        <is>
          <t>Föryngringsavverkning</t>
        </is>
      </c>
      <c r="D278" s="1" t="n">
        <v>45749</v>
      </c>
      <c r="E278" s="1" t="n">
        <v>46317</v>
      </c>
      <c r="F278" t="inlineStr">
        <is>
          <t>UPPSALA LÄN</t>
        </is>
      </c>
      <c r="G278" t="inlineStr">
        <is>
          <t>ÖSTHAMMAR</t>
        </is>
      </c>
      <c r="H278" t="inlineStr">
        <is>
          <t>Bergvik skog öst AB</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34185-2024</t>
        </is>
      </c>
      <c r="B279" t="inlineStr">
        <is>
          <t>avverkningsanmälan</t>
        </is>
      </c>
      <c r="C279" t="inlineStr">
        <is>
          <t>Föryngringsavverkning</t>
        </is>
      </c>
      <c r="D279" s="1" t="n">
        <v>45524</v>
      </c>
      <c r="E279" s="1" t="n">
        <v>46317</v>
      </c>
      <c r="F279" t="inlineStr">
        <is>
          <t>UPPSALA LÄN</t>
        </is>
      </c>
      <c r="G279" t="inlineStr">
        <is>
          <t>ÖSTHAMMAR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14170-2025</t>
        </is>
      </c>
      <c r="B280" t="inlineStr">
        <is>
          <t>avverkningsanmälan</t>
        </is>
      </c>
      <c r="C280" t="inlineStr">
        <is>
          <t>Föryngringsavverkning</t>
        </is>
      </c>
      <c r="D280" s="1" t="n">
        <v>45740</v>
      </c>
      <c r="E280" s="1" t="n">
        <v>46317</v>
      </c>
      <c r="F280" t="inlineStr">
        <is>
          <t>UPPSALA LÄN</t>
        </is>
      </c>
      <c r="G280" t="inlineStr">
        <is>
          <t>ÖSTHAMMAR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41220-2025</t>
        </is>
      </c>
      <c r="B281" t="inlineStr">
        <is>
          <t>avverkningsanmälan</t>
        </is>
      </c>
      <c r="C281" t="inlineStr">
        <is>
          <t>Föryngringsavverkning</t>
        </is>
      </c>
      <c r="D281" s="1" t="n">
        <v>45898</v>
      </c>
      <c r="E281" s="1" t="n">
        <v>46317</v>
      </c>
      <c r="F281" t="inlineStr">
        <is>
          <t>UPPSALA LÄN</t>
        </is>
      </c>
      <c r="G281" t="inlineStr">
        <is>
          <t>ÖSTHAMMAR</t>
        </is>
      </c>
      <c r="H281" t="inlineStr">
        <is>
          <t>Bergvik skog öst AB</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12945-2025</t>
        </is>
      </c>
      <c r="B282" t="inlineStr">
        <is>
          <t>avverkningsanmälan</t>
        </is>
      </c>
      <c r="C282" t="inlineStr">
        <is>
          <t>Föryngringsavverkning</t>
        </is>
      </c>
      <c r="D282" s="1" t="n">
        <v>45734</v>
      </c>
      <c r="E282" s="1" t="n">
        <v>46317</v>
      </c>
      <c r="F282" t="inlineStr">
        <is>
          <t>UPPSALA LÄN</t>
        </is>
      </c>
      <c r="G282" t="inlineStr">
        <is>
          <t>ÖSTHAMMAR</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58297-2024</t>
        </is>
      </c>
      <c r="B283" t="inlineStr">
        <is>
          <t>avverkningsanmälan</t>
        </is>
      </c>
      <c r="C283" t="inlineStr">
        <is>
          <t>Föryngringsavverkning</t>
        </is>
      </c>
      <c r="D283" s="1" t="n">
        <v>45632</v>
      </c>
      <c r="E283" s="1" t="n">
        <v>46317</v>
      </c>
      <c r="F283" t="inlineStr">
        <is>
          <t>UPPSALA LÄN</t>
        </is>
      </c>
      <c r="G283" t="inlineStr">
        <is>
          <t>ÖSTHAMMAR</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24401-2025</t>
        </is>
      </c>
      <c r="B284" t="inlineStr">
        <is>
          <t>avverkningsanmälan</t>
        </is>
      </c>
      <c r="C284" t="inlineStr">
        <is>
          <t>Föryngringsavverkning</t>
        </is>
      </c>
      <c r="D284" s="1" t="n">
        <v>45797</v>
      </c>
      <c r="E284" s="1" t="n">
        <v>46317</v>
      </c>
      <c r="F284" t="inlineStr">
        <is>
          <t>UPPSALA LÄN</t>
        </is>
      </c>
      <c r="G284" t="inlineStr">
        <is>
          <t>ÖSTHAMMAR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26330-2025</t>
        </is>
      </c>
      <c r="B285" t="inlineStr">
        <is>
          <t>avverkningsanmälan</t>
        </is>
      </c>
      <c r="C285" t="inlineStr">
        <is>
          <t>Föryngringsavverkning</t>
        </is>
      </c>
      <c r="D285" s="1" t="n">
        <v>45805</v>
      </c>
      <c r="E285" s="1" t="n">
        <v>46317</v>
      </c>
      <c r="F285" t="inlineStr">
        <is>
          <t>UPPSALA LÄN</t>
        </is>
      </c>
      <c r="G285" t="inlineStr">
        <is>
          <t>ÖSTHAMMAR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24408-2025</t>
        </is>
      </c>
      <c r="B286" t="inlineStr">
        <is>
          <t>avverkningsanmälan</t>
        </is>
      </c>
      <c r="C286" t="inlineStr">
        <is>
          <t>Föryngringsavverkning</t>
        </is>
      </c>
      <c r="D286" s="1" t="n">
        <v>45797</v>
      </c>
      <c r="E286" s="1" t="n">
        <v>46317</v>
      </c>
      <c r="F286" t="inlineStr">
        <is>
          <t>UPPSALA LÄN</t>
        </is>
      </c>
      <c r="G286" t="inlineStr">
        <is>
          <t>ÖSTHAMMAR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64811-2021</t>
        </is>
      </c>
      <c r="B287" t="inlineStr">
        <is>
          <t>avverkningsanmälan</t>
        </is>
      </c>
      <c r="C287" t="inlineStr">
        <is>
          <t>Föryngringsavverkning</t>
        </is>
      </c>
      <c r="D287" s="1" t="n">
        <v>44512</v>
      </c>
      <c r="E287" s="1" t="n">
        <v>46317</v>
      </c>
      <c r="F287" t="inlineStr">
        <is>
          <t>UPPSALA LÄN</t>
        </is>
      </c>
      <c r="G287" t="inlineStr">
        <is>
          <t>ÖSTHAMMAR</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8830-2023</t>
        </is>
      </c>
      <c r="B288" t="inlineStr">
        <is>
          <t>avverkningsanmälan</t>
        </is>
      </c>
      <c r="C288" t="inlineStr">
        <is>
          <t>Föryngringsavverkning</t>
        </is>
      </c>
      <c r="D288" s="1" t="n">
        <v>44978</v>
      </c>
      <c r="E288" s="1" t="n">
        <v>46317</v>
      </c>
      <c r="F288" t="inlineStr">
        <is>
          <t>UPPSALA LÄN</t>
        </is>
      </c>
      <c r="G288" t="inlineStr">
        <is>
          <t>ÖSTHAMMAR</t>
        </is>
      </c>
      <c r="H288" t="inlineStr">
        <is>
          <t>Bergvik skog öst AB</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6106-2024</t>
        </is>
      </c>
      <c r="B289" t="inlineStr">
        <is>
          <t>avverkningsanmälan</t>
        </is>
      </c>
      <c r="C289" t="inlineStr">
        <is>
          <t>Föryngringsavverkning</t>
        </is>
      </c>
      <c r="D289" s="1" t="n">
        <v>45337</v>
      </c>
      <c r="E289" s="1" t="n">
        <v>46317</v>
      </c>
      <c r="F289" t="inlineStr">
        <is>
          <t>UPPSALA LÄN</t>
        </is>
      </c>
      <c r="G289" t="inlineStr">
        <is>
          <t>ÖSTHAMMAR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24389-2025</t>
        </is>
      </c>
      <c r="B290" t="inlineStr">
        <is>
          <t>avverkningsanmälan</t>
        </is>
      </c>
      <c r="C290" t="inlineStr">
        <is>
          <t>Föryngringsavverkning</t>
        </is>
      </c>
      <c r="D290" s="1" t="n">
        <v>45797</v>
      </c>
      <c r="E290" s="1" t="n">
        <v>46317</v>
      </c>
      <c r="F290" t="inlineStr">
        <is>
          <t>UPPSALA LÄN</t>
        </is>
      </c>
      <c r="G290" t="inlineStr">
        <is>
          <t>ÖSTHAMMAR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28099-2025</t>
        </is>
      </c>
      <c r="B291" t="inlineStr">
        <is>
          <t>avverkningsanmälan</t>
        </is>
      </c>
      <c r="C291" t="inlineStr">
        <is>
          <t>Föryngringsavverkning</t>
        </is>
      </c>
      <c r="D291" s="1" t="n">
        <v>45817</v>
      </c>
      <c r="E291" s="1" t="n">
        <v>46317</v>
      </c>
      <c r="F291" t="inlineStr">
        <is>
          <t>UPPSALA LÄN</t>
        </is>
      </c>
      <c r="G291" t="inlineStr">
        <is>
          <t>ÖSTHAMMAR</t>
        </is>
      </c>
      <c r="H291" t="inlineStr">
        <is>
          <t>Bergvik skog öst AB</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62295-2022</t>
        </is>
      </c>
      <c r="B292" t="inlineStr">
        <is>
          <t>avverkningsanmälan</t>
        </is>
      </c>
      <c r="C292" t="inlineStr">
        <is>
          <t>Föryngringsavverkning</t>
        </is>
      </c>
      <c r="D292" s="1" t="n">
        <v>44916</v>
      </c>
      <c r="E292" s="1" t="n">
        <v>46317</v>
      </c>
      <c r="F292" t="inlineStr">
        <is>
          <t>UPPSALA LÄN</t>
        </is>
      </c>
      <c r="G292" t="inlineStr">
        <is>
          <t>ÖSTHAMMAR</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27347-2025</t>
        </is>
      </c>
      <c r="B293" t="inlineStr">
        <is>
          <t>avverkningsanmälan</t>
        </is>
      </c>
      <c r="C293" t="inlineStr">
        <is>
          <t>Föryngringsavverkning</t>
        </is>
      </c>
      <c r="D293" s="1" t="n">
        <v>45812</v>
      </c>
      <c r="E293" s="1" t="n">
        <v>46317</v>
      </c>
      <c r="F293" t="inlineStr">
        <is>
          <t>UPPSALA LÄN</t>
        </is>
      </c>
      <c r="G293" t="inlineStr">
        <is>
          <t>ÖSTHAMMAR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32815-2024</t>
        </is>
      </c>
      <c r="B294" t="inlineStr">
        <is>
          <t>avverkningsanmälan</t>
        </is>
      </c>
      <c r="C294" t="inlineStr">
        <is>
          <t>Föryngringsavverkning</t>
        </is>
      </c>
      <c r="D294" s="1" t="n">
        <v>45516</v>
      </c>
      <c r="E294" s="1" t="n">
        <v>46317</v>
      </c>
      <c r="F294" t="inlineStr">
        <is>
          <t>UPPSALA LÄN</t>
        </is>
      </c>
      <c r="G294" t="inlineStr">
        <is>
          <t>ÖSTHAMMAR</t>
        </is>
      </c>
      <c r="H294" t="inlineStr">
        <is>
          <t>Bergvik skog öst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32884-2024</t>
        </is>
      </c>
      <c r="B295" t="inlineStr">
        <is>
          <t>avverkningsanmälan</t>
        </is>
      </c>
      <c r="C295" t="inlineStr">
        <is>
          <t>Föryngringsavverkning</t>
        </is>
      </c>
      <c r="D295" s="1" t="n">
        <v>45516</v>
      </c>
      <c r="E295" s="1" t="n">
        <v>46317</v>
      </c>
      <c r="F295" t="inlineStr">
        <is>
          <t>UPPSALA LÄN</t>
        </is>
      </c>
      <c r="G295" t="inlineStr">
        <is>
          <t>ÖSTHAMMAR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42940-2025</t>
        </is>
      </c>
      <c r="B296" t="inlineStr">
        <is>
          <t>avverkningsanmälan</t>
        </is>
      </c>
      <c r="C296" t="inlineStr">
        <is>
          <t>Föryngringsavverkning</t>
        </is>
      </c>
      <c r="D296" s="1" t="n">
        <v>45909</v>
      </c>
      <c r="E296" s="1" t="n">
        <v>46317</v>
      </c>
      <c r="F296" t="inlineStr">
        <is>
          <t>UPPSALA LÄN</t>
        </is>
      </c>
      <c r="G296" t="inlineStr">
        <is>
          <t>ÖSTHAMMAR</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27132-2025</t>
        </is>
      </c>
      <c r="B297" t="inlineStr">
        <is>
          <t>avverkningsanmälan</t>
        </is>
      </c>
      <c r="C297" t="inlineStr">
        <is>
          <t>Föryngringsavverkning</t>
        </is>
      </c>
      <c r="D297" s="1" t="n">
        <v>45811</v>
      </c>
      <c r="E297" s="1" t="n">
        <v>46317</v>
      </c>
      <c r="F297" t="inlineStr">
        <is>
          <t>UPPSALA LÄN</t>
        </is>
      </c>
      <c r="G297" t="inlineStr">
        <is>
          <t>ÖSTHAMMAR</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8330-2025</t>
        </is>
      </c>
      <c r="B298" t="inlineStr">
        <is>
          <t>avverkningsanmälan</t>
        </is>
      </c>
      <c r="C298" t="inlineStr">
        <is>
          <t>Föryngringsavverkning</t>
        </is>
      </c>
      <c r="D298" s="1" t="n">
        <v>45708</v>
      </c>
      <c r="E298" s="1" t="n">
        <v>46317</v>
      </c>
      <c r="F298" t="inlineStr">
        <is>
          <t>UPPSALA LÄN</t>
        </is>
      </c>
      <c r="G298" t="inlineStr">
        <is>
          <t>ÖSTHAMMAR</t>
        </is>
      </c>
      <c r="H298" t="inlineStr">
        <is>
          <t>Övriga Aktiebolag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27920-2025</t>
        </is>
      </c>
      <c r="B299" t="inlineStr">
        <is>
          <t>avverkningsanmälan</t>
        </is>
      </c>
      <c r="C299" t="inlineStr">
        <is>
          <t>Föryngringsavverkning</t>
        </is>
      </c>
      <c r="D299" s="1" t="n">
        <v>45817</v>
      </c>
      <c r="E299" s="1" t="n">
        <v>46317</v>
      </c>
      <c r="F299" t="inlineStr">
        <is>
          <t>UPPSALA LÄN</t>
        </is>
      </c>
      <c r="G299" t="inlineStr">
        <is>
          <t>ÖSTHAMMAR</t>
        </is>
      </c>
      <c r="H299" t="inlineStr">
        <is>
          <t>Bergvik skog öst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61261-2022</t>
        </is>
      </c>
      <c r="B300" t="inlineStr">
        <is>
          <t>avverkningsanmälan</t>
        </is>
      </c>
      <c r="C300" t="inlineStr">
        <is>
          <t>Föryngringsavverkning</t>
        </is>
      </c>
      <c r="D300" s="1" t="n">
        <v>44915</v>
      </c>
      <c r="E300" s="1" t="n">
        <v>46317</v>
      </c>
      <c r="F300" t="inlineStr">
        <is>
          <t>UPPSALA LÄN</t>
        </is>
      </c>
      <c r="G300" t="inlineStr">
        <is>
          <t>ÖSTHAMMAR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21478-2023</t>
        </is>
      </c>
      <c r="B301" t="inlineStr">
        <is>
          <t>avverkningsanmälan</t>
        </is>
      </c>
      <c r="C301" t="inlineStr">
        <is>
          <t>Föryngringsavverkning</t>
        </is>
      </c>
      <c r="D301" s="1" t="n">
        <v>45063</v>
      </c>
      <c r="E301" s="1" t="n">
        <v>46317</v>
      </c>
      <c r="F301" t="inlineStr">
        <is>
          <t>UPPSALA LÄN</t>
        </is>
      </c>
      <c r="G301" t="inlineStr">
        <is>
          <t>ÖSTHAMMAR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74429-2021</t>
        </is>
      </c>
      <c r="B302" t="inlineStr">
        <is>
          <t>avverkningsanmälan</t>
        </is>
      </c>
      <c r="C302" t="inlineStr">
        <is>
          <t>Föryngringsavverkning</t>
        </is>
      </c>
      <c r="D302" s="1" t="n">
        <v>44560</v>
      </c>
      <c r="E302" s="1" t="n">
        <v>46317</v>
      </c>
      <c r="F302" t="inlineStr">
        <is>
          <t>UPPSALA LÄN</t>
        </is>
      </c>
      <c r="G302" t="inlineStr">
        <is>
          <t>ÖSTHAMMAR</t>
        </is>
      </c>
      <c r="H302" t="inlineStr">
        <is>
          <t>Bergvik skog öst AB</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27509-2025</t>
        </is>
      </c>
      <c r="B303" t="inlineStr">
        <is>
          <t>avverkningsanmälan</t>
        </is>
      </c>
      <c r="C303" t="inlineStr">
        <is>
          <t>Föryngringsavverkning</t>
        </is>
      </c>
      <c r="D303" s="1" t="n">
        <v>45813</v>
      </c>
      <c r="E303" s="1" t="n">
        <v>46317</v>
      </c>
      <c r="F303" t="inlineStr">
        <is>
          <t>UPPSALA LÄN</t>
        </is>
      </c>
      <c r="G303" t="inlineStr">
        <is>
          <t>ÖSTHAMMAR</t>
        </is>
      </c>
      <c r="H303" t="inlineStr">
        <is>
          <t>Bergvik skog öst AB</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7543-2023</t>
        </is>
      </c>
      <c r="B304" t="inlineStr">
        <is>
          <t>avverkningsanmälan</t>
        </is>
      </c>
      <c r="C304" t="inlineStr">
        <is>
          <t>Föryngringsavverkning</t>
        </is>
      </c>
      <c r="D304" s="1" t="n">
        <v>44972</v>
      </c>
      <c r="E304" s="1" t="n">
        <v>46317</v>
      </c>
      <c r="F304" t="inlineStr">
        <is>
          <t>UPPSALA LÄN</t>
        </is>
      </c>
      <c r="G304" t="inlineStr">
        <is>
          <t>ÖSTHAMMAR</t>
        </is>
      </c>
      <c r="H304" t="inlineStr">
        <is>
          <t>Bergvik skog öst AB</t>
        </is>
      </c>
      <c r="I304" t="n">
        <v>13.3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29384-2025</t>
        </is>
      </c>
      <c r="B305" t="inlineStr">
        <is>
          <t>avverkningsanmälan</t>
        </is>
      </c>
      <c r="C305" t="inlineStr">
        <is>
          <t>Föryngringsavverkning</t>
        </is>
      </c>
      <c r="D305" s="1" t="n">
        <v>45824</v>
      </c>
      <c r="E305" s="1" t="n">
        <v>46317</v>
      </c>
      <c r="F305" t="inlineStr">
        <is>
          <t>UPPSALA LÄN</t>
        </is>
      </c>
      <c r="G305" t="inlineStr">
        <is>
          <t>ÖSTHAMMAR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45993-2025</t>
        </is>
      </c>
      <c r="B306" t="inlineStr">
        <is>
          <t>avverkningsanmälan</t>
        </is>
      </c>
      <c r="C306" t="inlineStr">
        <is>
          <t>Föryngringsavverkning</t>
        </is>
      </c>
      <c r="D306" s="1" t="n">
        <v>45924</v>
      </c>
      <c r="E306" s="1" t="n">
        <v>46317</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52661-2022</t>
        </is>
      </c>
      <c r="B307" t="inlineStr">
        <is>
          <t>avverkningsanmälan</t>
        </is>
      </c>
      <c r="C307" t="inlineStr">
        <is>
          <t>Föryngringsavverkning</t>
        </is>
      </c>
      <c r="D307" s="1" t="n">
        <v>44874</v>
      </c>
      <c r="E307" s="1" t="n">
        <v>46317</v>
      </c>
      <c r="F307" t="inlineStr">
        <is>
          <t>UPPSALA LÄN</t>
        </is>
      </c>
      <c r="G307" t="inlineStr">
        <is>
          <t>ÖSTHAMMAR</t>
        </is>
      </c>
      <c r="H307" t="inlineStr">
        <is>
          <t>Bergvik skog öst AB</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3732-2022</t>
        </is>
      </c>
      <c r="B308" t="inlineStr">
        <is>
          <t>avverkningsanmälan</t>
        </is>
      </c>
      <c r="C308" t="inlineStr">
        <is>
          <t>Föryngringsavverkning</t>
        </is>
      </c>
      <c r="D308" s="1" t="n">
        <v>44586</v>
      </c>
      <c r="E308" s="1" t="n">
        <v>46317</v>
      </c>
      <c r="F308" t="inlineStr">
        <is>
          <t>UPPSALA LÄN</t>
        </is>
      </c>
      <c r="G308" t="inlineStr">
        <is>
          <t>ÖSTHAMMAR</t>
        </is>
      </c>
      <c r="H308" t="inlineStr">
        <is>
          <t>Bergvik skog öst AB</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30504-2025</t>
        </is>
      </c>
      <c r="B309" t="inlineStr">
        <is>
          <t>avverkningsanmälan</t>
        </is>
      </c>
      <c r="C309" t="inlineStr">
        <is>
          <t>Föryngringsavverkning</t>
        </is>
      </c>
      <c r="D309" s="1" t="n">
        <v>45830</v>
      </c>
      <c r="E309" s="1" t="n">
        <v>46317</v>
      </c>
      <c r="F309" t="inlineStr">
        <is>
          <t>UPPSALA LÄN</t>
        </is>
      </c>
      <c r="G309" t="inlineStr">
        <is>
          <t>ÖSTHAMMAR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30503-2025</t>
        </is>
      </c>
      <c r="B310" t="inlineStr">
        <is>
          <t>avverkningsanmälan</t>
        </is>
      </c>
      <c r="C310" t="inlineStr">
        <is>
          <t>Föryngringsavverkning</t>
        </is>
      </c>
      <c r="D310" s="1" t="n">
        <v>45830</v>
      </c>
      <c r="E310" s="1" t="n">
        <v>46317</v>
      </c>
      <c r="F310" t="inlineStr">
        <is>
          <t>UPPSALA LÄN</t>
        </is>
      </c>
      <c r="G310" t="inlineStr">
        <is>
          <t>ÖSTHAMMAR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38003-2024</t>
        </is>
      </c>
      <c r="B311" t="inlineStr">
        <is>
          <t>avverkningsanmälan</t>
        </is>
      </c>
      <c r="C311" t="inlineStr">
        <is>
          <t>Föryngringsavverkning</t>
        </is>
      </c>
      <c r="D311" s="1" t="n">
        <v>45544</v>
      </c>
      <c r="E311" s="1" t="n">
        <v>46317</v>
      </c>
      <c r="F311" t="inlineStr">
        <is>
          <t>UPPSALA LÄN</t>
        </is>
      </c>
      <c r="G311" t="inlineStr">
        <is>
          <t>ÖSTHAMMAR</t>
        </is>
      </c>
      <c r="H311" t="inlineStr">
        <is>
          <t>Naturvårdsverket</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1575-2025</t>
        </is>
      </c>
      <c r="B312" t="inlineStr">
        <is>
          <t>avverkningsanmälan</t>
        </is>
      </c>
      <c r="C312" t="inlineStr">
        <is>
          <t>Avverkning för annat ändamål</t>
        </is>
      </c>
      <c r="D312" s="1" t="n">
        <v>45670</v>
      </c>
      <c r="E312" s="1" t="n">
        <v>46317</v>
      </c>
      <c r="F312" t="inlineStr">
        <is>
          <t>UPPSALA LÄN</t>
        </is>
      </c>
      <c r="G312" t="inlineStr">
        <is>
          <t>ÖSTHAMMAR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16141-2022</t>
        </is>
      </c>
      <c r="B313" t="inlineStr">
        <is>
          <t>avverkningsanmälan</t>
        </is>
      </c>
      <c r="C313" t="inlineStr">
        <is>
          <t>Föryngringsavverkning</t>
        </is>
      </c>
      <c r="D313" s="1" t="n">
        <v>44665</v>
      </c>
      <c r="E313" s="1" t="n">
        <v>46317</v>
      </c>
      <c r="F313" t="inlineStr">
        <is>
          <t>UPPSALA LÄN</t>
        </is>
      </c>
      <c r="G313" t="inlineStr">
        <is>
          <t>ÖSTHAMMAR</t>
        </is>
      </c>
      <c r="H313" t="inlineStr">
        <is>
          <t>Bergvik skog öst AB</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28152-2024</t>
        </is>
      </c>
      <c r="B314" t="inlineStr">
        <is>
          <t>avverkningsanmälan</t>
        </is>
      </c>
      <c r="C314" t="inlineStr">
        <is>
          <t>Föryngringsavverkning</t>
        </is>
      </c>
      <c r="D314" s="1" t="n">
        <v>45476</v>
      </c>
      <c r="E314" s="1" t="n">
        <v>46317</v>
      </c>
      <c r="F314" t="inlineStr">
        <is>
          <t>UPPSALA LÄN</t>
        </is>
      </c>
      <c r="G314" t="inlineStr">
        <is>
          <t>ÖSTHAMMAR</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70495-2021</t>
        </is>
      </c>
      <c r="B315" t="inlineStr">
        <is>
          <t>avverkningsanmälan</t>
        </is>
      </c>
      <c r="C315" t="inlineStr">
        <is>
          <t>Föryngringsavverkning</t>
        </is>
      </c>
      <c r="D315" s="1" t="n">
        <v>44536</v>
      </c>
      <c r="E315" s="1" t="n">
        <v>46317</v>
      </c>
      <c r="F315" t="inlineStr">
        <is>
          <t>UPPSALA LÄN</t>
        </is>
      </c>
      <c r="G315" t="inlineStr">
        <is>
          <t>ÖSTHAMMAR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30610-2025</t>
        </is>
      </c>
      <c r="B316" t="inlineStr">
        <is>
          <t>avverkningsanmälan</t>
        </is>
      </c>
      <c r="C316" t="inlineStr">
        <is>
          <t>Föryngringsavverkning</t>
        </is>
      </c>
      <c r="D316" s="1" t="n">
        <v>45831</v>
      </c>
      <c r="E316" s="1" t="n">
        <v>46317</v>
      </c>
      <c r="F316" t="inlineStr">
        <is>
          <t>UPPSALA LÄN</t>
        </is>
      </c>
      <c r="G316" t="inlineStr">
        <is>
          <t>ÖSTHAMMAR</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31579-2025</t>
        </is>
      </c>
      <c r="B317" t="inlineStr">
        <is>
          <t>avverkningsanmälan</t>
        </is>
      </c>
      <c r="C317" t="inlineStr">
        <is>
          <t>Föryngringsavverkning</t>
        </is>
      </c>
      <c r="D317" s="1" t="n">
        <v>45833</v>
      </c>
      <c r="E317" s="1" t="n">
        <v>46317</v>
      </c>
      <c r="F317" t="inlineStr">
        <is>
          <t>UPPSALA LÄN</t>
        </is>
      </c>
      <c r="G317" t="inlineStr">
        <is>
          <t>ÖSTHAMMAR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57453-2022</t>
        </is>
      </c>
      <c r="B318" t="inlineStr">
        <is>
          <t>avverkningsanmälan</t>
        </is>
      </c>
      <c r="C318" t="inlineStr">
        <is>
          <t>Föryngringsavverkning</t>
        </is>
      </c>
      <c r="D318" s="1" t="n">
        <v>44896</v>
      </c>
      <c r="E318" s="1" t="n">
        <v>46317</v>
      </c>
      <c r="F318" t="inlineStr">
        <is>
          <t>UPPSALA LÄN</t>
        </is>
      </c>
      <c r="G318" t="inlineStr">
        <is>
          <t>ÖSTHAMMAR</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57462-2022</t>
        </is>
      </c>
      <c r="B319" t="inlineStr">
        <is>
          <t>avverkningsanmälan</t>
        </is>
      </c>
      <c r="C319" t="inlineStr">
        <is>
          <t>Föryngringsavverkning</t>
        </is>
      </c>
      <c r="D319" s="1" t="n">
        <v>44896</v>
      </c>
      <c r="E319" s="1" t="n">
        <v>46317</v>
      </c>
      <c r="F319" t="inlineStr">
        <is>
          <t>UPPSALA LÄN</t>
        </is>
      </c>
      <c r="G319" t="inlineStr">
        <is>
          <t>ÖSTHAMMAR</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47615-2025</t>
        </is>
      </c>
      <c r="B320" t="inlineStr">
        <is>
          <t>avverkningsanmälan</t>
        </is>
      </c>
      <c r="C320" t="inlineStr">
        <is>
          <t>Föryngringsavverkning</t>
        </is>
      </c>
      <c r="D320" s="1" t="n">
        <v>45931</v>
      </c>
      <c r="E320" s="1" t="n">
        <v>46317</v>
      </c>
      <c r="F320" t="inlineStr">
        <is>
          <t>UPPSALA LÄN</t>
        </is>
      </c>
      <c r="G320" t="inlineStr">
        <is>
          <t>ÖSTHAMMAR</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61817-2021</t>
        </is>
      </c>
      <c r="B321" t="inlineStr">
        <is>
          <t>avverkningsanmälan</t>
        </is>
      </c>
      <c r="C321" t="inlineStr">
        <is>
          <t>Föryngringsavverkning</t>
        </is>
      </c>
      <c r="D321" s="1" t="n">
        <v>44501</v>
      </c>
      <c r="E321" s="1" t="n">
        <v>46317</v>
      </c>
      <c r="F321" t="inlineStr">
        <is>
          <t>UPPSALA LÄN</t>
        </is>
      </c>
      <c r="G321" t="inlineStr">
        <is>
          <t>ÖSTHAMMAR</t>
        </is>
      </c>
      <c r="H321" t="inlineStr">
        <is>
          <t>Bergvik skog öst AB</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73982-2021</t>
        </is>
      </c>
      <c r="B322" t="inlineStr">
        <is>
          <t>avverkningsanmälan</t>
        </is>
      </c>
      <c r="C322" t="inlineStr">
        <is>
          <t>Föryngringsavverkning</t>
        </is>
      </c>
      <c r="D322" s="1" t="n">
        <v>44555</v>
      </c>
      <c r="E322" s="1" t="n">
        <v>46317</v>
      </c>
      <c r="F322" t="inlineStr">
        <is>
          <t>UPPSALA LÄN</t>
        </is>
      </c>
      <c r="G322" t="inlineStr">
        <is>
          <t>ÖSTHAMMAR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14272-2025</t>
        </is>
      </c>
      <c r="B323" t="inlineStr">
        <is>
          <t>avverkningsanmälan</t>
        </is>
      </c>
      <c r="C323" t="inlineStr">
        <is>
          <t>Föryngringsavverkning</t>
        </is>
      </c>
      <c r="D323" s="1" t="n">
        <v>45740</v>
      </c>
      <c r="E323" s="1" t="n">
        <v>46317</v>
      </c>
      <c r="F323" t="inlineStr">
        <is>
          <t>UPPSALA LÄN</t>
        </is>
      </c>
      <c r="G323" t="inlineStr">
        <is>
          <t>ÖSTHAMMAR</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48854-2025</t>
        </is>
      </c>
      <c r="B324" t="inlineStr">
        <is>
          <t>avverkningsanmälan</t>
        </is>
      </c>
      <c r="C324" t="inlineStr">
        <is>
          <t>Föryngringsavverkning</t>
        </is>
      </c>
      <c r="D324" s="1" t="n">
        <v>45937</v>
      </c>
      <c r="E324" s="1" t="n">
        <v>46317</v>
      </c>
      <c r="F324" t="inlineStr">
        <is>
          <t>UPPSALA LÄN</t>
        </is>
      </c>
      <c r="G324" t="inlineStr">
        <is>
          <t>ÖSTHAMMAR</t>
        </is>
      </c>
      <c r="H324" t="inlineStr">
        <is>
          <t>Övriga Aktiebolag</t>
        </is>
      </c>
      <c r="I324" t="n">
        <v>18.9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27660-2023</t>
        </is>
      </c>
      <c r="B325" t="inlineStr">
        <is>
          <t>avverkningsanmälan</t>
        </is>
      </c>
      <c r="C325" t="inlineStr">
        <is>
          <t>Föryngringsavverkning</t>
        </is>
      </c>
      <c r="D325" s="1" t="n">
        <v>45097</v>
      </c>
      <c r="E325" s="1" t="n">
        <v>46317</v>
      </c>
      <c r="F325" t="inlineStr">
        <is>
          <t>UPPSALA LÄN</t>
        </is>
      </c>
      <c r="G325" t="inlineStr">
        <is>
          <t>ÖSTHAMMAR</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33972-2025</t>
        </is>
      </c>
      <c r="B326" t="inlineStr">
        <is>
          <t>avverkningsanmälan</t>
        </is>
      </c>
      <c r="C326" t="inlineStr">
        <is>
          <t>Föryngringsavverkning</t>
        </is>
      </c>
      <c r="D326" s="1" t="n">
        <v>45842</v>
      </c>
      <c r="E326" s="1" t="n">
        <v>46317</v>
      </c>
      <c r="F326" t="inlineStr">
        <is>
          <t>UPPSALA LÄN</t>
        </is>
      </c>
      <c r="G326" t="inlineStr">
        <is>
          <t>ÖSTHAMMAR</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26395-2025</t>
        </is>
      </c>
      <c r="B327" t="inlineStr">
        <is>
          <t>avverkningsanmälan</t>
        </is>
      </c>
      <c r="C327" t="inlineStr">
        <is>
          <t>Föryngringsavverkning</t>
        </is>
      </c>
      <c r="D327" s="1" t="n">
        <v>45807</v>
      </c>
      <c r="E327" s="1" t="n">
        <v>46317</v>
      </c>
      <c r="F327" t="inlineStr">
        <is>
          <t>UPPSALA LÄN</t>
        </is>
      </c>
      <c r="G327" t="inlineStr">
        <is>
          <t>ÖSTHAMMAR</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62394-2022</t>
        </is>
      </c>
      <c r="B328" t="inlineStr">
        <is>
          <t>avverkningsanmälan</t>
        </is>
      </c>
      <c r="C328" t="inlineStr">
        <is>
          <t>Föryngringsavverkning</t>
        </is>
      </c>
      <c r="D328" s="1" t="n">
        <v>44923</v>
      </c>
      <c r="E328" s="1" t="n">
        <v>46317</v>
      </c>
      <c r="F328" t="inlineStr">
        <is>
          <t>UPPSALA LÄN</t>
        </is>
      </c>
      <c r="G328" t="inlineStr">
        <is>
          <t>ÖSTHAMMAR</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10117-2025</t>
        </is>
      </c>
      <c r="B329" t="inlineStr">
        <is>
          <t>avverkningsanmälan</t>
        </is>
      </c>
      <c r="C329" t="inlineStr">
        <is>
          <t>Föryngringsavverkning</t>
        </is>
      </c>
      <c r="D329" s="1" t="n">
        <v>45719</v>
      </c>
      <c r="E329" s="1" t="n">
        <v>46317</v>
      </c>
      <c r="F329" t="inlineStr">
        <is>
          <t>UPPSALA LÄN</t>
        </is>
      </c>
      <c r="G329" t="inlineStr">
        <is>
          <t>ÖSTHAMMAR</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25859-2024</t>
        </is>
      </c>
      <c r="B330" t="inlineStr">
        <is>
          <t>avverkningsanmälan</t>
        </is>
      </c>
      <c r="C330" t="inlineStr">
        <is>
          <t>Föryngringsavverkning</t>
        </is>
      </c>
      <c r="D330" s="1" t="n">
        <v>45467</v>
      </c>
      <c r="E330" s="1" t="n">
        <v>46317</v>
      </c>
      <c r="F330" t="inlineStr">
        <is>
          <t>UPPSALA LÄN</t>
        </is>
      </c>
      <c r="G330" t="inlineStr">
        <is>
          <t>ÖSTHAMMAR</t>
        </is>
      </c>
      <c r="I330" t="n">
        <v>7.9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19640-2025</t>
        </is>
      </c>
      <c r="B331" t="inlineStr">
        <is>
          <t>avverkningsanmälan</t>
        </is>
      </c>
      <c r="C331" t="inlineStr">
        <is>
          <t>Föryngringsavverkning</t>
        </is>
      </c>
      <c r="D331" s="1" t="n">
        <v>45770</v>
      </c>
      <c r="E331" s="1" t="n">
        <v>46317</v>
      </c>
      <c r="F331" t="inlineStr">
        <is>
          <t>UPPSALA LÄN</t>
        </is>
      </c>
      <c r="G331" t="inlineStr">
        <is>
          <t>ÖSTHAMMAR</t>
        </is>
      </c>
      <c r="H331" t="inlineStr">
        <is>
          <t>Övriga Aktiebolag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6153-2022</t>
        </is>
      </c>
      <c r="B332" t="inlineStr">
        <is>
          <t>avverkningsanmälan</t>
        </is>
      </c>
      <c r="C332" t="inlineStr">
        <is>
          <t>Föryngringsavverkning</t>
        </is>
      </c>
      <c r="D332" s="1" t="n">
        <v>44599</v>
      </c>
      <c r="E332" s="1" t="n">
        <v>46317</v>
      </c>
      <c r="F332" t="inlineStr">
        <is>
          <t>UPPSALA LÄN</t>
        </is>
      </c>
      <c r="G332" t="inlineStr">
        <is>
          <t>ÖSTHAMMAR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1800-2023</t>
        </is>
      </c>
      <c r="B333" t="inlineStr">
        <is>
          <t>avverkningsanmälan</t>
        </is>
      </c>
      <c r="C333" t="inlineStr">
        <is>
          <t>Föryngringsavverkning</t>
        </is>
      </c>
      <c r="D333" s="1" t="n">
        <v>44938</v>
      </c>
      <c r="E333" s="1" t="n">
        <v>46317</v>
      </c>
      <c r="F333" t="inlineStr">
        <is>
          <t>UPPSALA LÄN</t>
        </is>
      </c>
      <c r="G333" t="inlineStr">
        <is>
          <t>ÖSTHAMMAR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47341-2023</t>
        </is>
      </c>
      <c r="B334" t="inlineStr">
        <is>
          <t>avverkningsanmälan</t>
        </is>
      </c>
      <c r="C334" t="inlineStr">
        <is>
          <t>Föryngringsavverkning</t>
        </is>
      </c>
      <c r="D334" s="1" t="n">
        <v>45202</v>
      </c>
      <c r="E334" s="1" t="n">
        <v>46317</v>
      </c>
      <c r="F334" t="inlineStr">
        <is>
          <t>UPPSALA LÄN</t>
        </is>
      </c>
      <c r="G334" t="inlineStr">
        <is>
          <t>ÖSTHAMMAR</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51379-2025</t>
        </is>
      </c>
      <c r="B335" t="inlineStr">
        <is>
          <t>avverkningsanmälan</t>
        </is>
      </c>
      <c r="C335" t="inlineStr">
        <is>
          <t>Föryngringsavverkning</t>
        </is>
      </c>
      <c r="D335" s="1" t="n">
        <v>45950</v>
      </c>
      <c r="E335" s="1" t="n">
        <v>46317</v>
      </c>
      <c r="F335" t="inlineStr">
        <is>
          <t>UPPSALA LÄN</t>
        </is>
      </c>
      <c r="G335" t="inlineStr">
        <is>
          <t>ÖSTHAMMAR</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51266-2025</t>
        </is>
      </c>
      <c r="B336" t="inlineStr">
        <is>
          <t>avverkningsanmälan</t>
        </is>
      </c>
      <c r="C336" t="inlineStr">
        <is>
          <t>Föryngringsavverkning</t>
        </is>
      </c>
      <c r="D336" s="1" t="n">
        <v>45949</v>
      </c>
      <c r="E336" s="1" t="n">
        <v>46317</v>
      </c>
      <c r="F336" t="inlineStr">
        <is>
          <t>UPPSALA LÄN</t>
        </is>
      </c>
      <c r="G336" t="inlineStr">
        <is>
          <t>ÖSTHAMMAR</t>
        </is>
      </c>
      <c r="H336" t="inlineStr">
        <is>
          <t>Bergvik skog öst AB</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51156-2025</t>
        </is>
      </c>
      <c r="B337" t="inlineStr">
        <is>
          <t>avverkningsanmälan</t>
        </is>
      </c>
      <c r="C337" t="inlineStr">
        <is>
          <t>Föryngringsavverkning</t>
        </is>
      </c>
      <c r="D337" s="1" t="n">
        <v>45947</v>
      </c>
      <c r="E337" s="1" t="n">
        <v>46317</v>
      </c>
      <c r="F337" t="inlineStr">
        <is>
          <t>UPPSALA LÄN</t>
        </is>
      </c>
      <c r="G337" t="inlineStr">
        <is>
          <t>ÖSTHAMMAR</t>
        </is>
      </c>
      <c r="H337" t="inlineStr">
        <is>
          <t>Allmännings- och besparingsskogar</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51255-2025</t>
        </is>
      </c>
      <c r="B338" t="inlineStr">
        <is>
          <t>avverkningsanmälan</t>
        </is>
      </c>
      <c r="C338" t="inlineStr">
        <is>
          <t>Föryngringsavverkning</t>
        </is>
      </c>
      <c r="D338" s="1" t="n">
        <v>45949</v>
      </c>
      <c r="E338" s="1" t="n">
        <v>46317</v>
      </c>
      <c r="F338" t="inlineStr">
        <is>
          <t>UPPSALA LÄN</t>
        </is>
      </c>
      <c r="G338" t="inlineStr">
        <is>
          <t>ÖSTHAMMAR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51265-2025</t>
        </is>
      </c>
      <c r="B339" t="inlineStr">
        <is>
          <t>avverkningsanmälan</t>
        </is>
      </c>
      <c r="C339" t="inlineStr">
        <is>
          <t>Föryngringsavverkning</t>
        </is>
      </c>
      <c r="D339" s="1" t="n">
        <v>45949</v>
      </c>
      <c r="E339" s="1" t="n">
        <v>46317</v>
      </c>
      <c r="F339" t="inlineStr">
        <is>
          <t>UPPSALA LÄN</t>
        </is>
      </c>
      <c r="G339" t="inlineStr">
        <is>
          <t>ÖSTHAMMAR</t>
        </is>
      </c>
      <c r="H339" t="inlineStr">
        <is>
          <t>Bergvik skog öst AB</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51254-2025</t>
        </is>
      </c>
      <c r="B340" t="inlineStr">
        <is>
          <t>avverkningsanmälan</t>
        </is>
      </c>
      <c r="C340" t="inlineStr">
        <is>
          <t>Föryngringsavverkning</t>
        </is>
      </c>
      <c r="D340" s="1" t="n">
        <v>45948</v>
      </c>
      <c r="E340" s="1" t="n">
        <v>46317</v>
      </c>
      <c r="F340" t="inlineStr">
        <is>
          <t>UPPSALA LÄN</t>
        </is>
      </c>
      <c r="G340" t="inlineStr">
        <is>
          <t>ÖSTHAMMAR</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61216-2022</t>
        </is>
      </c>
      <c r="B341" t="inlineStr">
        <is>
          <t>avverkningsanmälan</t>
        </is>
      </c>
      <c r="C341" t="inlineStr">
        <is>
          <t>Föryngringsavverkning</t>
        </is>
      </c>
      <c r="D341" s="1" t="n">
        <v>44915</v>
      </c>
      <c r="E341" s="1" t="n">
        <v>46317</v>
      </c>
      <c r="F341" t="inlineStr">
        <is>
          <t>UPPSALA LÄN</t>
        </is>
      </c>
      <c r="G341" t="inlineStr">
        <is>
          <t>ÖSTHAMMAR</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17929-2025</t>
        </is>
      </c>
      <c r="B342" t="inlineStr">
        <is>
          <t>avverkningsanmälan</t>
        </is>
      </c>
      <c r="C342" t="inlineStr">
        <is>
          <t>Föryngringsavverkning</t>
        </is>
      </c>
      <c r="D342" s="1" t="n">
        <v>45759</v>
      </c>
      <c r="E342" s="1" t="n">
        <v>46317</v>
      </c>
      <c r="F342" t="inlineStr">
        <is>
          <t>UPPSALA LÄN</t>
        </is>
      </c>
      <c r="G342" t="inlineStr">
        <is>
          <t>ÖSTHAMMAR</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70008-2021</t>
        </is>
      </c>
      <c r="B343" t="inlineStr">
        <is>
          <t>avverkningsanmälan</t>
        </is>
      </c>
      <c r="C343" t="inlineStr">
        <is>
          <t>Föryngringsavverkning</t>
        </is>
      </c>
      <c r="D343" s="1" t="n">
        <v>44533</v>
      </c>
      <c r="E343" s="1" t="n">
        <v>46317</v>
      </c>
      <c r="F343" t="inlineStr">
        <is>
          <t>UPPSALA LÄN</t>
        </is>
      </c>
      <c r="G343" t="inlineStr">
        <is>
          <t>ÖSTHAMMAR</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42213-2025</t>
        </is>
      </c>
      <c r="B344" t="inlineStr">
        <is>
          <t>avverkningsanmälan</t>
        </is>
      </c>
      <c r="C344" t="inlineStr">
        <is>
          <t>Föryngringsavverkning</t>
        </is>
      </c>
      <c r="D344" s="1" t="n">
        <v>45904</v>
      </c>
      <c r="E344" s="1" t="n">
        <v>46317</v>
      </c>
      <c r="F344" t="inlineStr">
        <is>
          <t>UPPSALA LÄN</t>
        </is>
      </c>
      <c r="G344" t="inlineStr">
        <is>
          <t>ÖSTHAMMAR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36451-2025</t>
        </is>
      </c>
      <c r="B345" t="inlineStr">
        <is>
          <t>avverkningsanmälan</t>
        </is>
      </c>
      <c r="C345" t="inlineStr">
        <is>
          <t>Föryngringsavverkning</t>
        </is>
      </c>
      <c r="D345" s="1" t="n">
        <v>45869</v>
      </c>
      <c r="E345" s="1" t="n">
        <v>46317</v>
      </c>
      <c r="F345" t="inlineStr">
        <is>
          <t>UPPSALA LÄN</t>
        </is>
      </c>
      <c r="G345" t="inlineStr">
        <is>
          <t>ÖSTHAMMAR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2733-2023</t>
        </is>
      </c>
      <c r="B346" t="inlineStr">
        <is>
          <t>avverkningsanmälan</t>
        </is>
      </c>
      <c r="C346" t="inlineStr">
        <is>
          <t>Avverkning för annat ändamål</t>
        </is>
      </c>
      <c r="D346" s="1" t="n">
        <v>44943</v>
      </c>
      <c r="E346" s="1" t="n">
        <v>46317</v>
      </c>
      <c r="F346" t="inlineStr">
        <is>
          <t>UPPSALA LÄN</t>
        </is>
      </c>
      <c r="G346" t="inlineStr">
        <is>
          <t>ÖSTHAMMAR</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12812-2024</t>
        </is>
      </c>
      <c r="B347" t="inlineStr">
        <is>
          <t>avverkningsanmälan</t>
        </is>
      </c>
      <c r="C347" t="inlineStr">
        <is>
          <t>Föryngringsavverkning</t>
        </is>
      </c>
      <c r="D347" s="1" t="n">
        <v>45384</v>
      </c>
      <c r="E347" s="1" t="n">
        <v>46317</v>
      </c>
      <c r="F347" t="inlineStr">
        <is>
          <t>UPPSALA LÄN</t>
        </is>
      </c>
      <c r="G347" t="inlineStr">
        <is>
          <t>ÖSTHAMMAR</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53735-2025</t>
        </is>
      </c>
      <c r="B348" t="inlineStr">
        <is>
          <t>avverkningsanmälan</t>
        </is>
      </c>
      <c r="C348" t="inlineStr">
        <is>
          <t>Föryngringsavverkning</t>
        </is>
      </c>
      <c r="D348" s="1" t="n">
        <v>45960</v>
      </c>
      <c r="E348" s="1" t="n">
        <v>46317</v>
      </c>
      <c r="F348" t="inlineStr">
        <is>
          <t>UPPSALA LÄN</t>
        </is>
      </c>
      <c r="G348" t="inlineStr">
        <is>
          <t>ÖSTHAMMAR</t>
        </is>
      </c>
      <c r="H348" t="inlineStr">
        <is>
          <t>Bergvik skog öst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53737-2025</t>
        </is>
      </c>
      <c r="B349" t="inlineStr">
        <is>
          <t>avverkningsanmälan</t>
        </is>
      </c>
      <c r="C349" t="inlineStr">
        <is>
          <t>Föryngringsavverkning</t>
        </is>
      </c>
      <c r="D349" s="1" t="n">
        <v>45960</v>
      </c>
      <c r="E349" s="1" t="n">
        <v>46317</v>
      </c>
      <c r="F349" t="inlineStr">
        <is>
          <t>UPPSALA LÄN</t>
        </is>
      </c>
      <c r="G349" t="inlineStr">
        <is>
          <t>ÖSTHAMMAR</t>
        </is>
      </c>
      <c r="H349" t="inlineStr">
        <is>
          <t>Bergvik skog öst AB</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31574-2022</t>
        </is>
      </c>
      <c r="B350" t="inlineStr">
        <is>
          <t>avverkningsanmälan</t>
        </is>
      </c>
      <c r="C350" t="inlineStr">
        <is>
          <t>Föryngringsavverkning</t>
        </is>
      </c>
      <c r="D350" s="1" t="n">
        <v>44775</v>
      </c>
      <c r="E350" s="1" t="n">
        <v>46317</v>
      </c>
      <c r="F350" t="inlineStr">
        <is>
          <t>UPPSALA LÄN</t>
        </is>
      </c>
      <c r="G350" t="inlineStr">
        <is>
          <t>ÖSTHAMMAR</t>
        </is>
      </c>
      <c r="I350" t="n">
        <v>29.7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7118-2023</t>
        </is>
      </c>
      <c r="B351" t="inlineStr">
        <is>
          <t>avverkningsanmälan</t>
        </is>
      </c>
      <c r="C351" t="inlineStr">
        <is>
          <t>Föryngringsavverkning</t>
        </is>
      </c>
      <c r="D351" s="1" t="n">
        <v>44970</v>
      </c>
      <c r="E351" s="1" t="n">
        <v>46317</v>
      </c>
      <c r="F351" t="inlineStr">
        <is>
          <t>UPPSALA LÄN</t>
        </is>
      </c>
      <c r="G351" t="inlineStr">
        <is>
          <t>ÖSTHAMMAR</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24181-2022</t>
        </is>
      </c>
      <c r="B352" t="inlineStr">
        <is>
          <t>avverkningsanmälan</t>
        </is>
      </c>
      <c r="C352" t="inlineStr">
        <is>
          <t>Föryngringsavverkning</t>
        </is>
      </c>
      <c r="D352" s="1" t="n">
        <v>44725</v>
      </c>
      <c r="E352" s="1" t="n">
        <v>46317</v>
      </c>
      <c r="F352" t="inlineStr">
        <is>
          <t>UPPSALA LÄN</t>
        </is>
      </c>
      <c r="G352" t="inlineStr">
        <is>
          <t>ÖSTHAMMAR</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54647-2025</t>
        </is>
      </c>
      <c r="B353" t="inlineStr">
        <is>
          <t>avverkningsanmälan</t>
        </is>
      </c>
      <c r="C353" t="inlineStr">
        <is>
          <t>Föryngringsavverkning</t>
        </is>
      </c>
      <c r="D353" s="1" t="n">
        <v>45966</v>
      </c>
      <c r="E353" s="1" t="n">
        <v>46317</v>
      </c>
      <c r="F353" t="inlineStr">
        <is>
          <t>UPPSALA LÄN</t>
        </is>
      </c>
      <c r="G353" t="inlineStr">
        <is>
          <t>ÖSTHAMMAR</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54649-2025</t>
        </is>
      </c>
      <c r="B354" t="inlineStr">
        <is>
          <t>avverkningsanmälan</t>
        </is>
      </c>
      <c r="C354" t="inlineStr">
        <is>
          <t>Föryngringsavverkning</t>
        </is>
      </c>
      <c r="D354" s="1" t="n">
        <v>45966</v>
      </c>
      <c r="E354" s="1" t="n">
        <v>46317</v>
      </c>
      <c r="F354" t="inlineStr">
        <is>
          <t>UPPSALA LÄN</t>
        </is>
      </c>
      <c r="G354" t="inlineStr">
        <is>
          <t>ÖSTHAMMAR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3095-2026</t>
        </is>
      </c>
      <c r="B355" t="inlineStr">
        <is>
          <t>avverkningsanmälan</t>
        </is>
      </c>
      <c r="C355" t="inlineStr">
        <is>
          <t>Föryngringsavverkning</t>
        </is>
      </c>
      <c r="D355" s="1" t="n">
        <v>46040</v>
      </c>
      <c r="E355" s="1" t="n">
        <v>46317</v>
      </c>
      <c r="F355" t="inlineStr">
        <is>
          <t>UPPSALA LÄN</t>
        </is>
      </c>
      <c r="G355" t="inlineStr">
        <is>
          <t>ÖSTHAMMAR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25418-2022</t>
        </is>
      </c>
      <c r="B356" t="inlineStr">
        <is>
          <t>avverkningsanmälan</t>
        </is>
      </c>
      <c r="C356" t="inlineStr">
        <is>
          <t>Föryngringsavverkning</t>
        </is>
      </c>
      <c r="D356" s="1" t="n">
        <v>44732</v>
      </c>
      <c r="E356" s="1" t="n">
        <v>46317</v>
      </c>
      <c r="F356" t="inlineStr">
        <is>
          <t>UPPSALA LÄN</t>
        </is>
      </c>
      <c r="G356" t="inlineStr">
        <is>
          <t>ÖSTHAMMAR</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56757-2025</t>
        </is>
      </c>
      <c r="B357" t="inlineStr">
        <is>
          <t>avverkningsanmälan</t>
        </is>
      </c>
      <c r="C357" t="inlineStr">
        <is>
          <t>Föryngringsavverkning</t>
        </is>
      </c>
      <c r="D357" s="1" t="n">
        <v>45978</v>
      </c>
      <c r="E357" s="1" t="n">
        <v>46317</v>
      </c>
      <c r="F357" t="inlineStr">
        <is>
          <t>UPPSALA LÄN</t>
        </is>
      </c>
      <c r="G357" t="inlineStr">
        <is>
          <t>ÖSTHAMMAR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56823-2025</t>
        </is>
      </c>
      <c r="B358" t="inlineStr">
        <is>
          <t>avverkningsanmälan</t>
        </is>
      </c>
      <c r="C358" t="inlineStr">
        <is>
          <t>Föryngringsavverkning</t>
        </is>
      </c>
      <c r="D358" s="1" t="n">
        <v>45978</v>
      </c>
      <c r="E358" s="1" t="n">
        <v>46317</v>
      </c>
      <c r="F358" t="inlineStr">
        <is>
          <t>UPPSALA LÄN</t>
        </is>
      </c>
      <c r="G358" t="inlineStr">
        <is>
          <t>ÖSTHAMMAR</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3926-2026</t>
        </is>
      </c>
      <c r="B359" t="inlineStr">
        <is>
          <t>avverkningsanmälan</t>
        </is>
      </c>
      <c r="C359" t="inlineStr">
        <is>
          <t>Föryngringsavverkning</t>
        </is>
      </c>
      <c r="D359" s="1" t="n">
        <v>46043</v>
      </c>
      <c r="E359" s="1" t="n">
        <v>46317</v>
      </c>
      <c r="F359" t="inlineStr">
        <is>
          <t>UPPSALA LÄN</t>
        </is>
      </c>
      <c r="G359" t="inlineStr">
        <is>
          <t>ÖSTHAMMAR</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62391-2022</t>
        </is>
      </c>
      <c r="B360" t="inlineStr">
        <is>
          <t>avverkningsanmälan</t>
        </is>
      </c>
      <c r="C360" t="inlineStr">
        <is>
          <t>Föryngringsavverkning</t>
        </is>
      </c>
      <c r="D360" s="1" t="n">
        <v>44923</v>
      </c>
      <c r="E360" s="1" t="n">
        <v>46317</v>
      </c>
      <c r="F360" t="inlineStr">
        <is>
          <t>UPPSALA LÄN</t>
        </is>
      </c>
      <c r="G360" t="inlineStr">
        <is>
          <t>ÖSTHAMMAR</t>
        </is>
      </c>
      <c r="H360" t="inlineStr">
        <is>
          <t>Bergvik skog öst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56748-2025</t>
        </is>
      </c>
      <c r="B361" t="inlineStr">
        <is>
          <t>avverkningsanmälan</t>
        </is>
      </c>
      <c r="C361" t="inlineStr">
        <is>
          <t>Föryngringsavverkning</t>
        </is>
      </c>
      <c r="D361" s="1" t="n">
        <v>45978</v>
      </c>
      <c r="E361" s="1" t="n">
        <v>46317</v>
      </c>
      <c r="F361" t="inlineStr">
        <is>
          <t>UPPSALA LÄN</t>
        </is>
      </c>
      <c r="G361" t="inlineStr">
        <is>
          <t>ÖSTHAMMAR</t>
        </is>
      </c>
      <c r="H361" t="inlineStr">
        <is>
          <t>Sveaskog</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31485-2023</t>
        </is>
      </c>
      <c r="B362" t="inlineStr">
        <is>
          <t>avverkningsanmälan</t>
        </is>
      </c>
      <c r="C362" t="inlineStr">
        <is>
          <t>Föryngringsavverkning</t>
        </is>
      </c>
      <c r="D362" s="1" t="n">
        <v>45114</v>
      </c>
      <c r="E362" s="1" t="n">
        <v>46317</v>
      </c>
      <c r="F362" t="inlineStr">
        <is>
          <t>UPPSALA LÄN</t>
        </is>
      </c>
      <c r="G362" t="inlineStr">
        <is>
          <t>ÖSTHAMMAR</t>
        </is>
      </c>
      <c r="H362" t="inlineStr">
        <is>
          <t>Bergvik skog öst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56753-2025</t>
        </is>
      </c>
      <c r="B363" t="inlineStr">
        <is>
          <t>avverkningsanmälan</t>
        </is>
      </c>
      <c r="C363" t="inlineStr">
        <is>
          <t>Föryngringsavverkning</t>
        </is>
      </c>
      <c r="D363" s="1" t="n">
        <v>45978</v>
      </c>
      <c r="E363" s="1" t="n">
        <v>46317</v>
      </c>
      <c r="F363" t="inlineStr">
        <is>
          <t>UPPSALA LÄN</t>
        </is>
      </c>
      <c r="G363" t="inlineStr">
        <is>
          <t>ÖSTHAMMAR</t>
        </is>
      </c>
      <c r="H363" t="inlineStr">
        <is>
          <t>Sveaskog</t>
        </is>
      </c>
      <c r="I363" t="n">
        <v>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32744-2022</t>
        </is>
      </c>
      <c r="B364" t="inlineStr">
        <is>
          <t>avverkningsanmälan</t>
        </is>
      </c>
      <c r="C364" t="inlineStr">
        <is>
          <t>Föryngringsavverkning</t>
        </is>
      </c>
      <c r="D364" s="1" t="n">
        <v>44783</v>
      </c>
      <c r="E364" s="1" t="n">
        <v>46317</v>
      </c>
      <c r="F364" t="inlineStr">
        <is>
          <t>UPPSALA LÄN</t>
        </is>
      </c>
      <c r="G364" t="inlineStr">
        <is>
          <t>ÖSTHAMMAR</t>
        </is>
      </c>
      <c r="H364" t="inlineStr">
        <is>
          <t>Bergvik skog öst AB</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3668-2026</t>
        </is>
      </c>
      <c r="B365" t="inlineStr">
        <is>
          <t>avverkningsanmälan</t>
        </is>
      </c>
      <c r="C365" t="inlineStr">
        <is>
          <t>Föryngringsavverkning</t>
        </is>
      </c>
      <c r="D365" s="1" t="n">
        <v>46043</v>
      </c>
      <c r="E365" s="1" t="n">
        <v>46317</v>
      </c>
      <c r="F365" t="inlineStr">
        <is>
          <t>UPPSALA LÄN</t>
        </is>
      </c>
      <c r="G365" t="inlineStr">
        <is>
          <t>ÖSTHAMMAR</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4570-2026</t>
        </is>
      </c>
      <c r="B366" t="inlineStr">
        <is>
          <t>avverkningsanmälan</t>
        </is>
      </c>
      <c r="C366" t="inlineStr">
        <is>
          <t>Föryngringsavverkning</t>
        </is>
      </c>
      <c r="D366" s="1" t="n">
        <v>46048</v>
      </c>
      <c r="E366" s="1" t="n">
        <v>46317</v>
      </c>
      <c r="F366" t="inlineStr">
        <is>
          <t>UPPSALA LÄN</t>
        </is>
      </c>
      <c r="G366" t="inlineStr">
        <is>
          <t>ÖSTHAMMAR</t>
        </is>
      </c>
      <c r="H366" t="inlineStr">
        <is>
          <t>Allmännings- och besparingsskogar</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4559-2022</t>
        </is>
      </c>
      <c r="B367" t="inlineStr">
        <is>
          <t>avverkningsanmälan</t>
        </is>
      </c>
      <c r="C367" t="inlineStr">
        <is>
          <t>Föryngringsavverkning</t>
        </is>
      </c>
      <c r="D367" s="1" t="n">
        <v>44591</v>
      </c>
      <c r="E367" s="1" t="n">
        <v>46317</v>
      </c>
      <c r="F367" t="inlineStr">
        <is>
          <t>UPPSALA LÄN</t>
        </is>
      </c>
      <c r="G367" t="inlineStr">
        <is>
          <t>ÖSTHAMMAR</t>
        </is>
      </c>
      <c r="H367" t="inlineStr">
        <is>
          <t>Bergvik skog öst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11643-2022</t>
        </is>
      </c>
      <c r="B368" t="inlineStr">
        <is>
          <t>avverkningsanmälan</t>
        </is>
      </c>
      <c r="C368" t="inlineStr">
        <is>
          <t>Föryngringsavverkning</t>
        </is>
      </c>
      <c r="D368" s="1" t="n">
        <v>44631</v>
      </c>
      <c r="E368" s="1" t="n">
        <v>46317</v>
      </c>
      <c r="F368" t="inlineStr">
        <is>
          <t>UPPSALA LÄN</t>
        </is>
      </c>
      <c r="G368" t="inlineStr">
        <is>
          <t>ÖSTHAMMAR</t>
        </is>
      </c>
      <c r="H368" t="inlineStr">
        <is>
          <t>Bergvik skog öst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58399-2025</t>
        </is>
      </c>
      <c r="B369" t="inlineStr">
        <is>
          <t>avverkningsanmälan</t>
        </is>
      </c>
      <c r="C369" t="inlineStr">
        <is>
          <t>Föryngringsavverkning</t>
        </is>
      </c>
      <c r="D369" s="1" t="n">
        <v>45985</v>
      </c>
      <c r="E369" s="1" t="n">
        <v>46317</v>
      </c>
      <c r="F369" t="inlineStr">
        <is>
          <t>UPPSALA LÄN</t>
        </is>
      </c>
      <c r="G369" t="inlineStr">
        <is>
          <t>ÖSTHAMMAR</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11036-2023</t>
        </is>
      </c>
      <c r="B370" t="inlineStr">
        <is>
          <t>avverkningsanmälan</t>
        </is>
      </c>
      <c r="C370" t="inlineStr">
        <is>
          <t>Föryngringsavverkning</t>
        </is>
      </c>
      <c r="D370" s="1" t="n">
        <v>44991</v>
      </c>
      <c r="E370" s="1" t="n">
        <v>46317</v>
      </c>
      <c r="F370" t="inlineStr">
        <is>
          <t>UPPSALA LÄN</t>
        </is>
      </c>
      <c r="G370" t="inlineStr">
        <is>
          <t>ÖSTHAMMAR</t>
        </is>
      </c>
      <c r="H370" t="inlineStr">
        <is>
          <t>Bergvik skog öst AB</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3418-2025</t>
        </is>
      </c>
      <c r="B371" t="inlineStr">
        <is>
          <t>avverkningsanmälan</t>
        </is>
      </c>
      <c r="C371" t="inlineStr">
        <is>
          <t>Föryngringsavverkning</t>
        </is>
      </c>
      <c r="D371" s="1" t="n">
        <v>45680</v>
      </c>
      <c r="E371" s="1" t="n">
        <v>46317</v>
      </c>
      <c r="F371" t="inlineStr">
        <is>
          <t>UPPSALA LÄN</t>
        </is>
      </c>
      <c r="G371" t="inlineStr">
        <is>
          <t>ÖSTHAMMAR</t>
        </is>
      </c>
      <c r="H371" t="inlineStr">
        <is>
          <t>Bergvik skog väst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14505-2023</t>
        </is>
      </c>
      <c r="B372" t="inlineStr">
        <is>
          <t>avverkningsanmälan</t>
        </is>
      </c>
      <c r="C372" t="inlineStr">
        <is>
          <t>Föryngringsavverkning</t>
        </is>
      </c>
      <c r="D372" s="1" t="n">
        <v>45012</v>
      </c>
      <c r="E372" s="1" t="n">
        <v>46317</v>
      </c>
      <c r="F372" t="inlineStr">
        <is>
          <t>UPPSALA LÄN</t>
        </is>
      </c>
      <c r="G372" t="inlineStr">
        <is>
          <t>ÖSTHAMMAR</t>
        </is>
      </c>
      <c r="H372" t="inlineStr">
        <is>
          <t>Bergvik skog öst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60577-2021</t>
        </is>
      </c>
      <c r="B373" t="inlineStr">
        <is>
          <t>avverkningsanmälan</t>
        </is>
      </c>
      <c r="C373" t="inlineStr">
        <is>
          <t>Föryngringsavverkning</t>
        </is>
      </c>
      <c r="D373" s="1" t="n">
        <v>44496</v>
      </c>
      <c r="E373" s="1" t="n">
        <v>46317</v>
      </c>
      <c r="F373" t="inlineStr">
        <is>
          <t>UPPSALA LÄN</t>
        </is>
      </c>
      <c r="G373" t="inlineStr">
        <is>
          <t>ÖSTHAMMAR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5469-2026</t>
        </is>
      </c>
      <c r="B374" t="inlineStr">
        <is>
          <t>avverkningsanmälan</t>
        </is>
      </c>
      <c r="C374" t="inlineStr">
        <is>
          <t>Avverkning för annat ändamål</t>
        </is>
      </c>
      <c r="D374" s="1" t="n">
        <v>46050</v>
      </c>
      <c r="E374" s="1" t="n">
        <v>46317</v>
      </c>
      <c r="F374" t="inlineStr">
        <is>
          <t>UPPSALA LÄN</t>
        </is>
      </c>
      <c r="G374" t="inlineStr">
        <is>
          <t>ÖSTHAMMAR</t>
        </is>
      </c>
      <c r="H374" t="inlineStr">
        <is>
          <t>Övriga Aktiebolag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62695-2023</t>
        </is>
      </c>
      <c r="B375" t="inlineStr">
        <is>
          <t>avverkningsanmälan</t>
        </is>
      </c>
      <c r="C375" t="inlineStr">
        <is>
          <t>Föryngringsavverkning</t>
        </is>
      </c>
      <c r="D375" s="1" t="n">
        <v>45271</v>
      </c>
      <c r="E375" s="1" t="n">
        <v>46317</v>
      </c>
      <c r="F375" t="inlineStr">
        <is>
          <t>UPPSALA LÄN</t>
        </is>
      </c>
      <c r="G375" t="inlineStr">
        <is>
          <t>ÖSTHAMMAR</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54437-2024</t>
        </is>
      </c>
      <c r="B376" t="inlineStr">
        <is>
          <t>avverkningsanmälan</t>
        </is>
      </c>
      <c r="C376" t="inlineStr">
        <is>
          <t>Föryngringsavverkning</t>
        </is>
      </c>
      <c r="D376" s="1" t="n">
        <v>45617</v>
      </c>
      <c r="E376" s="1" t="n">
        <v>46317</v>
      </c>
      <c r="F376" t="inlineStr">
        <is>
          <t>UPPSALA LÄN</t>
        </is>
      </c>
      <c r="G376" t="inlineStr">
        <is>
          <t>ÖSTHAMMAR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60603-2025</t>
        </is>
      </c>
      <c r="B377" t="inlineStr">
        <is>
          <t>avverkningsanmälan</t>
        </is>
      </c>
      <c r="C377" t="inlineStr">
        <is>
          <t>Föryngringsavverkning</t>
        </is>
      </c>
      <c r="D377" s="1" t="n">
        <v>45996</v>
      </c>
      <c r="E377" s="1" t="n">
        <v>46317</v>
      </c>
      <c r="F377" t="inlineStr">
        <is>
          <t>UPPSALA LÄN</t>
        </is>
      </c>
      <c r="G377" t="inlineStr">
        <is>
          <t>ÖSTHAMMAR</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60910-2025</t>
        </is>
      </c>
      <c r="B378" t="inlineStr">
        <is>
          <t>avverkningsanmälan</t>
        </is>
      </c>
      <c r="C378" t="inlineStr">
        <is>
          <t>Föryngringsavverkning</t>
        </is>
      </c>
      <c r="D378" s="1" t="n">
        <v>45999</v>
      </c>
      <c r="E378" s="1" t="n">
        <v>46317</v>
      </c>
      <c r="F378" t="inlineStr">
        <is>
          <t>UPPSALA LÄN</t>
        </is>
      </c>
      <c r="G378" t="inlineStr">
        <is>
          <t>ÖSTHAMMAR</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23742-2024</t>
        </is>
      </c>
      <c r="B379" t="inlineStr">
        <is>
          <t>avverkningsanmälan</t>
        </is>
      </c>
      <c r="C379" t="inlineStr">
        <is>
          <t>Föryngringsavverkning</t>
        </is>
      </c>
      <c r="D379" s="1" t="n">
        <v>45455</v>
      </c>
      <c r="E379" s="1" t="n">
        <v>46317</v>
      </c>
      <c r="F379" t="inlineStr">
        <is>
          <t>UPPSALA LÄN</t>
        </is>
      </c>
      <c r="G379" t="inlineStr">
        <is>
          <t>ÖSTHAMMAR</t>
        </is>
      </c>
      <c r="H379" t="inlineStr">
        <is>
          <t>Bergvik skog öst AB</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55086-2024</t>
        </is>
      </c>
      <c r="B380" t="inlineStr">
        <is>
          <t>avverkningsanmälan</t>
        </is>
      </c>
      <c r="C380" t="inlineStr">
        <is>
          <t>Föryngringsavverkning</t>
        </is>
      </c>
      <c r="D380" s="1" t="n">
        <v>45621</v>
      </c>
      <c r="E380" s="1" t="n">
        <v>46317</v>
      </c>
      <c r="F380" t="inlineStr">
        <is>
          <t>UPPSALA LÄN</t>
        </is>
      </c>
      <c r="G380" t="inlineStr">
        <is>
          <t>ÖSTHAMMAR</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55090-2024</t>
        </is>
      </c>
      <c r="B381" t="inlineStr">
        <is>
          <t>avverkningsanmälan</t>
        </is>
      </c>
      <c r="C381" t="inlineStr">
        <is>
          <t>Föryngringsavverkning</t>
        </is>
      </c>
      <c r="D381" s="1" t="n">
        <v>45621</v>
      </c>
      <c r="E381" s="1" t="n">
        <v>46317</v>
      </c>
      <c r="F381" t="inlineStr">
        <is>
          <t>UPPSALA LÄN</t>
        </is>
      </c>
      <c r="G381" t="inlineStr">
        <is>
          <t>ÖSTHAMMAR</t>
        </is>
      </c>
      <c r="H381" t="inlineStr">
        <is>
          <t>Sveaskog</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55093-2024</t>
        </is>
      </c>
      <c r="B382" t="inlineStr">
        <is>
          <t>avverkningsanmälan</t>
        </is>
      </c>
      <c r="C382" t="inlineStr">
        <is>
          <t>Föryngringsavverkning</t>
        </is>
      </c>
      <c r="D382" s="1" t="n">
        <v>45621</v>
      </c>
      <c r="E382" s="1" t="n">
        <v>46317</v>
      </c>
      <c r="F382" t="inlineStr">
        <is>
          <t>UPPSALA LÄN</t>
        </is>
      </c>
      <c r="G382" t="inlineStr">
        <is>
          <t>ÖSTHAMMAR</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61838-2025</t>
        </is>
      </c>
      <c r="B383" t="inlineStr">
        <is>
          <t>avverkningsanmälan</t>
        </is>
      </c>
      <c r="C383" t="inlineStr">
        <is>
          <t>Föryngringsavverkning</t>
        </is>
      </c>
      <c r="D383" s="1" t="n">
        <v>46003</v>
      </c>
      <c r="E383" s="1" t="n">
        <v>46317</v>
      </c>
      <c r="F383" t="inlineStr">
        <is>
          <t>UPPSALA LÄN</t>
        </is>
      </c>
      <c r="G383" t="inlineStr">
        <is>
          <t>ÖSTHAMMAR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28432-2023</t>
        </is>
      </c>
      <c r="B384" t="inlineStr">
        <is>
          <t>avverkningsanmälan</t>
        </is>
      </c>
      <c r="C384" t="inlineStr">
        <is>
          <t>Föryngringsavverkning</t>
        </is>
      </c>
      <c r="D384" s="1" t="n">
        <v>45102</v>
      </c>
      <c r="E384" s="1" t="n">
        <v>46317</v>
      </c>
      <c r="F384" t="inlineStr">
        <is>
          <t>UPPSALA LÄN</t>
        </is>
      </c>
      <c r="G384" t="inlineStr">
        <is>
          <t>ÖSTHAMMAR</t>
        </is>
      </c>
      <c r="H384" t="inlineStr">
        <is>
          <t>Bergvik skog öst AB</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43915-2023</t>
        </is>
      </c>
      <c r="B385" t="inlineStr">
        <is>
          <t>avverkningsanmälan</t>
        </is>
      </c>
      <c r="C385" t="inlineStr">
        <is>
          <t>Föryngringsavverkning</t>
        </is>
      </c>
      <c r="D385" s="1" t="n">
        <v>45187</v>
      </c>
      <c r="E385" s="1" t="n">
        <v>46317</v>
      </c>
      <c r="F385" t="inlineStr">
        <is>
          <t>UPPSALA LÄN</t>
        </is>
      </c>
      <c r="G385" t="inlineStr">
        <is>
          <t>ÖSTHAMMAR</t>
        </is>
      </c>
      <c r="H385" t="inlineStr">
        <is>
          <t>Bergvik skog öst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13352-2023</t>
        </is>
      </c>
      <c r="B386" t="inlineStr">
        <is>
          <t>avverkningsanmälan</t>
        </is>
      </c>
      <c r="C386" t="inlineStr">
        <is>
          <t>Föryngringsavverkning</t>
        </is>
      </c>
      <c r="D386" s="1" t="n">
        <v>45005</v>
      </c>
      <c r="E386" s="1" t="n">
        <v>46317</v>
      </c>
      <c r="F386" t="inlineStr">
        <is>
          <t>UPPSALA LÄN</t>
        </is>
      </c>
      <c r="G386" t="inlineStr">
        <is>
          <t>ÖSTHAMMAR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36343-2022</t>
        </is>
      </c>
      <c r="B387" t="inlineStr">
        <is>
          <t>avverkningsanmälan</t>
        </is>
      </c>
      <c r="C387" t="inlineStr">
        <is>
          <t>Föryngringsavverkning</t>
        </is>
      </c>
      <c r="D387" s="1" t="n">
        <v>44803</v>
      </c>
      <c r="E387" s="1" t="n">
        <v>46317</v>
      </c>
      <c r="F387" t="inlineStr">
        <is>
          <t>UPPSALA LÄN</t>
        </is>
      </c>
      <c r="G387" t="inlineStr">
        <is>
          <t>ÖSTHAMMAR</t>
        </is>
      </c>
      <c r="H387" t="inlineStr">
        <is>
          <t>Bergvik skog öst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18731-2022</t>
        </is>
      </c>
      <c r="B388" t="inlineStr">
        <is>
          <t>avverkningsanmälan</t>
        </is>
      </c>
      <c r="C388" t="inlineStr">
        <is>
          <t>Föryngringsavverkning</t>
        </is>
      </c>
      <c r="D388" s="1" t="n">
        <v>44687</v>
      </c>
      <c r="E388" s="1" t="n">
        <v>46317</v>
      </c>
      <c r="F388" t="inlineStr">
        <is>
          <t>UPPSALA LÄN</t>
        </is>
      </c>
      <c r="G388" t="inlineStr">
        <is>
          <t>ÖSTHAMMAR</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23495-2023</t>
        </is>
      </c>
      <c r="B389" t="inlineStr">
        <is>
          <t>avverkningsanmälan</t>
        </is>
      </c>
      <c r="C389" t="inlineStr">
        <is>
          <t>Föryngringsavverkning</t>
        </is>
      </c>
      <c r="D389" s="1" t="n">
        <v>45076</v>
      </c>
      <c r="E389" s="1" t="n">
        <v>46317</v>
      </c>
      <c r="F389" t="inlineStr">
        <is>
          <t>UPPSALA LÄN</t>
        </is>
      </c>
      <c r="G389" t="inlineStr">
        <is>
          <t>ÖSTHAMMAR</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8291-2026</t>
        </is>
      </c>
      <c r="B390" t="inlineStr">
        <is>
          <t>avverkningsanmälan</t>
        </is>
      </c>
      <c r="C390" t="inlineStr">
        <is>
          <t>Föryngringsavverkning</t>
        </is>
      </c>
      <c r="D390" s="1" t="n">
        <v>46064</v>
      </c>
      <c r="E390" s="1" t="n">
        <v>46317</v>
      </c>
      <c r="F390" t="inlineStr">
        <is>
          <t>UPPSALA LÄN</t>
        </is>
      </c>
      <c r="G390" t="inlineStr">
        <is>
          <t>ÖSTHAMMAR</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8269-2026</t>
        </is>
      </c>
      <c r="B391" t="inlineStr">
        <is>
          <t>avverkningsanmälan</t>
        </is>
      </c>
      <c r="C391" t="inlineStr">
        <is>
          <t>Föryngringsavverkning</t>
        </is>
      </c>
      <c r="D391" s="1" t="n">
        <v>46064</v>
      </c>
      <c r="E391" s="1" t="n">
        <v>46317</v>
      </c>
      <c r="F391" t="inlineStr">
        <is>
          <t>UPPSALA LÄN</t>
        </is>
      </c>
      <c r="G391" t="inlineStr">
        <is>
          <t>ÖSTHAMMAR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17085-2025</t>
        </is>
      </c>
      <c r="B392" t="inlineStr">
        <is>
          <t>avverkningsanmälan</t>
        </is>
      </c>
      <c r="C392" t="inlineStr">
        <is>
          <t>Föryngringsavverkning</t>
        </is>
      </c>
      <c r="D392" s="1" t="n">
        <v>45755</v>
      </c>
      <c r="E392" s="1" t="n">
        <v>46317</v>
      </c>
      <c r="F392" t="inlineStr">
        <is>
          <t>UPPSALA LÄN</t>
        </is>
      </c>
      <c r="G392" t="inlineStr">
        <is>
          <t>ÖSTHAMMAR</t>
        </is>
      </c>
      <c r="H392" t="inlineStr">
        <is>
          <t>Bergvik skog öst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8525-2026</t>
        </is>
      </c>
      <c r="B393" t="inlineStr">
        <is>
          <t>avverkningsanmälan</t>
        </is>
      </c>
      <c r="C393" t="inlineStr">
        <is>
          <t>Föryngringsavverkning</t>
        </is>
      </c>
      <c r="D393" s="1" t="n">
        <v>46065</v>
      </c>
      <c r="E393" s="1" t="n">
        <v>46317</v>
      </c>
      <c r="F393" t="inlineStr">
        <is>
          <t>UPPSALA LÄN</t>
        </is>
      </c>
      <c r="G393" t="inlineStr">
        <is>
          <t>ÖSTHAMMAR</t>
        </is>
      </c>
      <c r="H393" t="inlineStr">
        <is>
          <t>Övriga Aktiebolag</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8530-2026</t>
        </is>
      </c>
      <c r="B394" t="inlineStr">
        <is>
          <t>avverkningsanmälan</t>
        </is>
      </c>
      <c r="C394" t="inlineStr">
        <is>
          <t>Föryngringsavverkning</t>
        </is>
      </c>
      <c r="D394" s="1" t="n">
        <v>46065</v>
      </c>
      <c r="E394" s="1" t="n">
        <v>46317</v>
      </c>
      <c r="F394" t="inlineStr">
        <is>
          <t>UPPSALA LÄN</t>
        </is>
      </c>
      <c r="G394" t="inlineStr">
        <is>
          <t>ÖSTHAMMAR</t>
        </is>
      </c>
      <c r="H394" t="inlineStr">
        <is>
          <t>Övriga Aktiebolag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9664-2026</t>
        </is>
      </c>
      <c r="B395" t="inlineStr">
        <is>
          <t>avverkningsanmälan</t>
        </is>
      </c>
      <c r="C395" t="inlineStr">
        <is>
          <t>Föryngringsavverkning</t>
        </is>
      </c>
      <c r="D395" s="1" t="n">
        <v>46072</v>
      </c>
      <c r="E395" s="1" t="n">
        <v>46317</v>
      </c>
      <c r="F395" t="inlineStr">
        <is>
          <t>UPPSALA LÄN</t>
        </is>
      </c>
      <c r="G395" t="inlineStr">
        <is>
          <t>ÖSTHAMMAR</t>
        </is>
      </c>
      <c r="H395" t="inlineStr">
        <is>
          <t>Bergvik skog öst AB</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8592-2022</t>
        </is>
      </c>
      <c r="B396" t="inlineStr">
        <is>
          <t>avverkningsanmälan</t>
        </is>
      </c>
      <c r="C396" t="inlineStr">
        <is>
          <t>Föryngringsavverkning</t>
        </is>
      </c>
      <c r="D396" s="1" t="n">
        <v>44613</v>
      </c>
      <c r="E396" s="1" t="n">
        <v>46317</v>
      </c>
      <c r="F396" t="inlineStr">
        <is>
          <t>UPPSALA LÄN</t>
        </is>
      </c>
      <c r="G396" t="inlineStr">
        <is>
          <t>ÖSTHAMMAR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60047-2021</t>
        </is>
      </c>
      <c r="B397" t="inlineStr">
        <is>
          <t>avverkningsanmälan</t>
        </is>
      </c>
      <c r="C397" t="inlineStr">
        <is>
          <t>Föryngringsavverkning</t>
        </is>
      </c>
      <c r="D397" s="1" t="n">
        <v>44495</v>
      </c>
      <c r="E397" s="1" t="n">
        <v>46317</v>
      </c>
      <c r="F397" t="inlineStr">
        <is>
          <t>UPPSALA LÄN</t>
        </is>
      </c>
      <c r="G397" t="inlineStr">
        <is>
          <t>ÖSTHAMMAR</t>
        </is>
      </c>
      <c r="H397" t="inlineStr">
        <is>
          <t>Övriga Aktiebolag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30086-2023</t>
        </is>
      </c>
      <c r="B398" t="inlineStr">
        <is>
          <t>avverkningsanmälan</t>
        </is>
      </c>
      <c r="C398" t="inlineStr">
        <is>
          <t>Föryngringsavverkning</t>
        </is>
      </c>
      <c r="D398" s="1" t="n">
        <v>45110</v>
      </c>
      <c r="E398" s="1" t="n">
        <v>46317</v>
      </c>
      <c r="F398" t="inlineStr">
        <is>
          <t>UPPSALA LÄN</t>
        </is>
      </c>
      <c r="G398" t="inlineStr">
        <is>
          <t>ÖSTHAMMAR</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11008-2023</t>
        </is>
      </c>
      <c r="B399" t="inlineStr">
        <is>
          <t>avverkningsanmälan</t>
        </is>
      </c>
      <c r="C399" t="inlineStr">
        <is>
          <t>Föryngringsavverkning</t>
        </is>
      </c>
      <c r="D399" s="1" t="n">
        <v>44991</v>
      </c>
      <c r="E399" s="1" t="n">
        <v>46317</v>
      </c>
      <c r="F399" t="inlineStr">
        <is>
          <t>UPPSALA LÄN</t>
        </is>
      </c>
      <c r="G399" t="inlineStr">
        <is>
          <t>ÖSTHAMMAR</t>
        </is>
      </c>
      <c r="H399" t="inlineStr">
        <is>
          <t>Bergvik skog öst AB</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12263-2026</t>
        </is>
      </c>
      <c r="B400" t="inlineStr">
        <is>
          <t>avverkningsanmälan</t>
        </is>
      </c>
      <c r="C400" t="inlineStr">
        <is>
          <t>Föryngringsavverkning</t>
        </is>
      </c>
      <c r="D400" s="1" t="n">
        <v>46087</v>
      </c>
      <c r="E400" s="1" t="n">
        <v>46317</v>
      </c>
      <c r="F400" t="inlineStr">
        <is>
          <t>UPPSALA LÄN</t>
        </is>
      </c>
      <c r="G400" t="inlineStr">
        <is>
          <t>ÖSTHAMMAR</t>
        </is>
      </c>
      <c r="H400" t="inlineStr">
        <is>
          <t>Övriga Aktiebolag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12261-2026</t>
        </is>
      </c>
      <c r="B401" t="inlineStr">
        <is>
          <t>avverkningsanmälan</t>
        </is>
      </c>
      <c r="C401" t="inlineStr">
        <is>
          <t>Föryngringsavverkning</t>
        </is>
      </c>
      <c r="D401" s="1" t="n">
        <v>46087</v>
      </c>
      <c r="E401" s="1" t="n">
        <v>46317</v>
      </c>
      <c r="F401" t="inlineStr">
        <is>
          <t>UPPSALA LÄN</t>
        </is>
      </c>
      <c r="G401" t="inlineStr">
        <is>
          <t>ÖSTHAMMAR</t>
        </is>
      </c>
      <c r="H401" t="inlineStr">
        <is>
          <t>Övriga Aktiebolag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12262-2026</t>
        </is>
      </c>
      <c r="B402" t="inlineStr">
        <is>
          <t>avverkningsanmälan</t>
        </is>
      </c>
      <c r="C402" t="inlineStr">
        <is>
          <t>Föryngringsavverkning</t>
        </is>
      </c>
      <c r="D402" s="1" t="n">
        <v>46087</v>
      </c>
      <c r="E402" s="1" t="n">
        <v>46317</v>
      </c>
      <c r="F402" t="inlineStr">
        <is>
          <t>UPPSALA LÄN</t>
        </is>
      </c>
      <c r="G402" t="inlineStr">
        <is>
          <t>ÖSTHAMMAR</t>
        </is>
      </c>
      <c r="H402" t="inlineStr">
        <is>
          <t>Övriga Aktiebolag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58324-2023</t>
        </is>
      </c>
      <c r="B403" t="inlineStr">
        <is>
          <t>avverkningsanmälan</t>
        </is>
      </c>
      <c r="C403" t="inlineStr">
        <is>
          <t>Föryngringsavverkning</t>
        </is>
      </c>
      <c r="D403" s="1" t="n">
        <v>45250</v>
      </c>
      <c r="E403" s="1" t="n">
        <v>46317</v>
      </c>
      <c r="F403" t="inlineStr">
        <is>
          <t>UPPSALA LÄN</t>
        </is>
      </c>
      <c r="G403" t="inlineStr">
        <is>
          <t>ÖSTHAMMAR</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69411-2021</t>
        </is>
      </c>
      <c r="B404" t="inlineStr">
        <is>
          <t>avverkningsanmälan</t>
        </is>
      </c>
      <c r="C404" t="inlineStr">
        <is>
          <t>Föryngringsavverkning</t>
        </is>
      </c>
      <c r="D404" s="1" t="n">
        <v>44531</v>
      </c>
      <c r="E404" s="1" t="n">
        <v>46317</v>
      </c>
      <c r="F404" t="inlineStr">
        <is>
          <t>UPPSALA LÄN</t>
        </is>
      </c>
      <c r="G404" t="inlineStr">
        <is>
          <t>ÖSTHAMMAR</t>
        </is>
      </c>
      <c r="H404" t="inlineStr">
        <is>
          <t>Bergvik skog öst AB</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14007-2026</t>
        </is>
      </c>
      <c r="B405" t="inlineStr">
        <is>
          <t>avverkningsanmälan</t>
        </is>
      </c>
      <c r="C405" t="inlineStr">
        <is>
          <t>Föryngringsavverkning</t>
        </is>
      </c>
      <c r="D405" s="1" t="n">
        <v>46098</v>
      </c>
      <c r="E405" s="1" t="n">
        <v>46317</v>
      </c>
      <c r="F405" t="inlineStr">
        <is>
          <t>UPPSALA LÄN</t>
        </is>
      </c>
      <c r="G405" t="inlineStr">
        <is>
          <t>ÖSTHAMMAR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49831-2023</t>
        </is>
      </c>
      <c r="B406" t="inlineStr">
        <is>
          <t>avverkningsanmälan</t>
        </is>
      </c>
      <c r="C406" t="inlineStr">
        <is>
          <t>Föryngringsavverkning</t>
        </is>
      </c>
      <c r="D406" s="1" t="n">
        <v>45212</v>
      </c>
      <c r="E406" s="1" t="n">
        <v>46317</v>
      </c>
      <c r="F406" t="inlineStr">
        <is>
          <t>UPPSALA LÄN</t>
        </is>
      </c>
      <c r="G406" t="inlineStr">
        <is>
          <t>ÖSTHAMMAR</t>
        </is>
      </c>
      <c r="H406" t="inlineStr">
        <is>
          <t>Bergvik skog öst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15006-2026</t>
        </is>
      </c>
      <c r="B407" t="inlineStr">
        <is>
          <t>avverkningsanmälan</t>
        </is>
      </c>
      <c r="C407" t="inlineStr">
        <is>
          <t>Föryngringsavverkning</t>
        </is>
      </c>
      <c r="D407" s="1" t="n">
        <v>46104</v>
      </c>
      <c r="E407" s="1" t="n">
        <v>46317</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5855-2022</t>
        </is>
      </c>
      <c r="B408" t="inlineStr">
        <is>
          <t>avverkningsanmälan</t>
        </is>
      </c>
      <c r="C408" t="inlineStr">
        <is>
          <t>Föryngringsavverkning</t>
        </is>
      </c>
      <c r="D408" s="1" t="n">
        <v>44596</v>
      </c>
      <c r="E408" s="1" t="n">
        <v>46317</v>
      </c>
      <c r="F408" t="inlineStr">
        <is>
          <t>UPPSALA LÄN</t>
        </is>
      </c>
      <c r="G408" t="inlineStr">
        <is>
          <t>ÖSTHAMMAR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54366-2023</t>
        </is>
      </c>
      <c r="B409" t="inlineStr">
        <is>
          <t>avverkningsanmälan</t>
        </is>
      </c>
      <c r="C409" t="inlineStr">
        <is>
          <t>Föryngringsavverkning</t>
        </is>
      </c>
      <c r="D409" s="1" t="n">
        <v>45233</v>
      </c>
      <c r="E409" s="1" t="n">
        <v>46317</v>
      </c>
      <c r="F409" t="inlineStr">
        <is>
          <t>UPPSALA LÄN</t>
        </is>
      </c>
      <c r="G409" t="inlineStr">
        <is>
          <t>ÖSTHAMMAR</t>
        </is>
      </c>
      <c r="H409" t="inlineStr">
        <is>
          <t>Bergvik skog öst AB</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15478-2026</t>
        </is>
      </c>
      <c r="B410" t="inlineStr">
        <is>
          <t>avverkningsanmälan</t>
        </is>
      </c>
      <c r="C410" t="inlineStr">
        <is>
          <t>Föryngringsavverkning</t>
        </is>
      </c>
      <c r="D410" s="1" t="n">
        <v>46106</v>
      </c>
      <c r="E410" s="1" t="n">
        <v>46317</v>
      </c>
      <c r="F410" t="inlineStr">
        <is>
          <t>UPPSALA LÄN</t>
        </is>
      </c>
      <c r="G410" t="inlineStr">
        <is>
          <t>ÖSTHAMMAR</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16359-2026</t>
        </is>
      </c>
      <c r="B411" t="inlineStr">
        <is>
          <t>avverkningsanmälan</t>
        </is>
      </c>
      <c r="C411" t="inlineStr">
        <is>
          <t>Föryngringsavverkning</t>
        </is>
      </c>
      <c r="D411" s="1" t="n">
        <v>46111</v>
      </c>
      <c r="E411" s="1" t="n">
        <v>46317</v>
      </c>
      <c r="F411" t="inlineStr">
        <is>
          <t>UPPSALA LÄN</t>
        </is>
      </c>
      <c r="G411" t="inlineStr">
        <is>
          <t>ÖSTHAMMAR</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61062-2023</t>
        </is>
      </c>
      <c r="B412" t="inlineStr">
        <is>
          <t>avverkningsanmälan</t>
        </is>
      </c>
      <c r="C412" t="inlineStr">
        <is>
          <t>Föryngringsavverkning</t>
        </is>
      </c>
      <c r="D412" s="1" t="n">
        <v>45259</v>
      </c>
      <c r="E412" s="1" t="n">
        <v>46317</v>
      </c>
      <c r="F412" t="inlineStr">
        <is>
          <t>UPPSALA LÄN</t>
        </is>
      </c>
      <c r="G412" t="inlineStr">
        <is>
          <t>ÖSTHAMMAR</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16042-2026</t>
        </is>
      </c>
      <c r="B413" t="inlineStr">
        <is>
          <t>avverkningsanmälan</t>
        </is>
      </c>
      <c r="C413" t="inlineStr">
        <is>
          <t>Föryngringsavverkning</t>
        </is>
      </c>
      <c r="D413" s="1" t="n">
        <v>46108</v>
      </c>
      <c r="E413" s="1" t="n">
        <v>46317</v>
      </c>
      <c r="F413" t="inlineStr">
        <is>
          <t>UPPSALA LÄN</t>
        </is>
      </c>
      <c r="G413" t="inlineStr">
        <is>
          <t>ÖSTHAMMAR</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16038-2026</t>
        </is>
      </c>
      <c r="B414" t="inlineStr">
        <is>
          <t>avverkningsanmälan</t>
        </is>
      </c>
      <c r="C414" t="inlineStr">
        <is>
          <t>Föryngringsavverkning</t>
        </is>
      </c>
      <c r="D414" s="1" t="n">
        <v>46108</v>
      </c>
      <c r="E414" s="1" t="n">
        <v>46317</v>
      </c>
      <c r="F414" t="inlineStr">
        <is>
          <t>UPPSALA LÄN</t>
        </is>
      </c>
      <c r="G414" t="inlineStr">
        <is>
          <t>ÖSTHAMMAR</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61443-2024</t>
        </is>
      </c>
      <c r="B415" t="inlineStr">
        <is>
          <t>avverkningsanmälan</t>
        </is>
      </c>
      <c r="C415" t="inlineStr">
        <is>
          <t>Föryngringsavverkning</t>
        </is>
      </c>
      <c r="D415" s="1" t="n">
        <v>45646</v>
      </c>
      <c r="E415" s="1" t="n">
        <v>46317</v>
      </c>
      <c r="F415" t="inlineStr">
        <is>
          <t>UPPSALA LÄN</t>
        </is>
      </c>
      <c r="G415" t="inlineStr">
        <is>
          <t>ÖSTHAMMAR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16788-2026</t>
        </is>
      </c>
      <c r="B416" t="inlineStr">
        <is>
          <t>avverkningsanmälan</t>
        </is>
      </c>
      <c r="C416" t="inlineStr">
        <is>
          <t>Föryngringsavverkning</t>
        </is>
      </c>
      <c r="D416" s="1" t="n">
        <v>46113</v>
      </c>
      <c r="E416" s="1" t="n">
        <v>46317</v>
      </c>
      <c r="F416" t="inlineStr">
        <is>
          <t>UPPSALA LÄN</t>
        </is>
      </c>
      <c r="G416" t="inlineStr">
        <is>
          <t>ÖSTHAMMAR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16494-2026</t>
        </is>
      </c>
      <c r="B417" t="inlineStr">
        <is>
          <t>avverkningsanmälan</t>
        </is>
      </c>
      <c r="C417" t="inlineStr">
        <is>
          <t>Föryngringsavverkning</t>
        </is>
      </c>
      <c r="D417" s="1" t="n">
        <v>46112</v>
      </c>
      <c r="E417" s="1" t="n">
        <v>46317</v>
      </c>
      <c r="F417" t="inlineStr">
        <is>
          <t>UPPSALA LÄN</t>
        </is>
      </c>
      <c r="G417" t="inlineStr">
        <is>
          <t>ÖSTHAMMAR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16796-2026</t>
        </is>
      </c>
      <c r="B418" t="inlineStr">
        <is>
          <t>avverkningsanmälan</t>
        </is>
      </c>
      <c r="C418" t="inlineStr">
        <is>
          <t>Föryngringsavverkning</t>
        </is>
      </c>
      <c r="D418" s="1" t="n">
        <v>46113</v>
      </c>
      <c r="E418" s="1" t="n">
        <v>46317</v>
      </c>
      <c r="F418" t="inlineStr">
        <is>
          <t>UPPSALA LÄN</t>
        </is>
      </c>
      <c r="G418" t="inlineStr">
        <is>
          <t>ÖSTHAMMAR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26612-2023</t>
        </is>
      </c>
      <c r="B419" t="inlineStr">
        <is>
          <t>avverkningsanmälan</t>
        </is>
      </c>
      <c r="C419" t="inlineStr">
        <is>
          <t>Föryngringsavverkning</t>
        </is>
      </c>
      <c r="D419" s="1" t="n">
        <v>45089</v>
      </c>
      <c r="E419" s="1" t="n">
        <v>46317</v>
      </c>
      <c r="F419" t="inlineStr">
        <is>
          <t>UPPSALA LÄN</t>
        </is>
      </c>
      <c r="G419" t="inlineStr">
        <is>
          <t>ÖSTHAMMAR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16498-2026</t>
        </is>
      </c>
      <c r="B420" t="inlineStr">
        <is>
          <t>avverkningsanmälan</t>
        </is>
      </c>
      <c r="C420" t="inlineStr">
        <is>
          <t>Föryngringsavverkning</t>
        </is>
      </c>
      <c r="D420" s="1" t="n">
        <v>46112</v>
      </c>
      <c r="E420" s="1" t="n">
        <v>46317</v>
      </c>
      <c r="F420" t="inlineStr">
        <is>
          <t>UPPSALA LÄN</t>
        </is>
      </c>
      <c r="G420" t="inlineStr">
        <is>
          <t>ÖSTHAMMAR</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16522-2026</t>
        </is>
      </c>
      <c r="B421" t="inlineStr">
        <is>
          <t>avverkningsanmälan</t>
        </is>
      </c>
      <c r="C421" t="inlineStr">
        <is>
          <t>Föryngringsavverkning</t>
        </is>
      </c>
      <c r="D421" s="1" t="n">
        <v>46112</v>
      </c>
      <c r="E421" s="1" t="n">
        <v>46317</v>
      </c>
      <c r="F421" t="inlineStr">
        <is>
          <t>UPPSALA LÄN</t>
        </is>
      </c>
      <c r="G421" t="inlineStr">
        <is>
          <t>ÖSTHAMMAR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16640-2026</t>
        </is>
      </c>
      <c r="B422" t="inlineStr">
        <is>
          <t>avverkningsanmälan</t>
        </is>
      </c>
      <c r="C422" t="inlineStr">
        <is>
          <t>Föryngringsavverkning</t>
        </is>
      </c>
      <c r="D422" s="1" t="n">
        <v>46112</v>
      </c>
      <c r="E422" s="1" t="n">
        <v>46317</v>
      </c>
      <c r="F422" t="inlineStr">
        <is>
          <t>UPPSALA LÄN</t>
        </is>
      </c>
      <c r="G422" t="inlineStr">
        <is>
          <t>ÖSTHAMMAR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25897-2023</t>
        </is>
      </c>
      <c r="B423" t="inlineStr">
        <is>
          <t>avverkningsanmälan</t>
        </is>
      </c>
      <c r="C423" t="inlineStr">
        <is>
          <t>Föryngringsavverkning</t>
        </is>
      </c>
      <c r="D423" s="1" t="n">
        <v>45090</v>
      </c>
      <c r="E423" s="1" t="n">
        <v>46317</v>
      </c>
      <c r="F423" t="inlineStr">
        <is>
          <t>UPPSALA LÄN</t>
        </is>
      </c>
      <c r="G423" t="inlineStr">
        <is>
          <t>ÖSTHAMMAR</t>
        </is>
      </c>
      <c r="H423" t="inlineStr">
        <is>
          <t>Bergvik skog öst AB</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20046-2023</t>
        </is>
      </c>
      <c r="B424" t="inlineStr">
        <is>
          <t>avverkningsanmälan</t>
        </is>
      </c>
      <c r="C424" t="inlineStr">
        <is>
          <t>Avverkning för annat ändamål</t>
        </is>
      </c>
      <c r="D424" s="1" t="n">
        <v>45054</v>
      </c>
      <c r="E424" s="1" t="n">
        <v>46317</v>
      </c>
      <c r="F424" t="inlineStr">
        <is>
          <t>UPPSALA LÄN</t>
        </is>
      </c>
      <c r="G424" t="inlineStr">
        <is>
          <t>ÖSTHAMMAR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41478-2024</t>
        </is>
      </c>
      <c r="B425" t="inlineStr">
        <is>
          <t>avverkningsanmälan</t>
        </is>
      </c>
      <c r="C425" t="inlineStr">
        <is>
          <t>Föryngringsavverkning</t>
        </is>
      </c>
      <c r="D425" s="1" t="n">
        <v>45560</v>
      </c>
      <c r="E425" s="1" t="n">
        <v>46317</v>
      </c>
      <c r="F425" t="inlineStr">
        <is>
          <t>UPPSALA LÄN</t>
        </is>
      </c>
      <c r="G425" t="inlineStr">
        <is>
          <t>ÖSTHAMMAR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3638-2022</t>
        </is>
      </c>
      <c r="B426" t="inlineStr">
        <is>
          <t>avverkningsanmälan</t>
        </is>
      </c>
      <c r="C426" t="inlineStr">
        <is>
          <t>Föryngringsavverkning</t>
        </is>
      </c>
      <c r="D426" s="1" t="n">
        <v>44578</v>
      </c>
      <c r="E426" s="1" t="n">
        <v>46317</v>
      </c>
      <c r="F426" t="inlineStr">
        <is>
          <t>UPPSALA LÄN</t>
        </is>
      </c>
      <c r="G426" t="inlineStr">
        <is>
          <t>ÖSTHAMMAR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17969-2023</t>
        </is>
      </c>
      <c r="B427" t="inlineStr">
        <is>
          <t>avverkningsanmälan</t>
        </is>
      </c>
      <c r="C427" t="inlineStr">
        <is>
          <t>Föryngringsavverkning</t>
        </is>
      </c>
      <c r="D427" s="1" t="n">
        <v>45040</v>
      </c>
      <c r="E427" s="1" t="n">
        <v>46317</v>
      </c>
      <c r="F427" t="inlineStr">
        <is>
          <t>UPPSALA LÄN</t>
        </is>
      </c>
      <c r="G427" t="inlineStr">
        <is>
          <t>ÖSTHAMMAR</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12528-2024</t>
        </is>
      </c>
      <c r="B428" t="inlineStr">
        <is>
          <t>avverkningsanmälan</t>
        </is>
      </c>
      <c r="C428" t="inlineStr">
        <is>
          <t>Föryngringsavverkning</t>
        </is>
      </c>
      <c r="D428" s="1" t="n">
        <v>45379</v>
      </c>
      <c r="E428" s="1" t="n">
        <v>46317</v>
      </c>
      <c r="F428" t="inlineStr">
        <is>
          <t>UPPSALA LÄN</t>
        </is>
      </c>
      <c r="G428" t="inlineStr">
        <is>
          <t>ÖSTHAMMAR</t>
        </is>
      </c>
      <c r="H428" t="inlineStr">
        <is>
          <t>Bergvik skog öst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4228-2023</t>
        </is>
      </c>
      <c r="B429" t="inlineStr">
        <is>
          <t>avverkningsanmälan</t>
        </is>
      </c>
      <c r="C429" t="inlineStr">
        <is>
          <t>Föryngringsavverkning</t>
        </is>
      </c>
      <c r="D429" s="1" t="n">
        <v>44953</v>
      </c>
      <c r="E429" s="1" t="n">
        <v>46317</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19485-2026</t>
        </is>
      </c>
      <c r="B430" t="inlineStr">
        <is>
          <t>avverkningsanmälan</t>
        </is>
      </c>
      <c r="C430" t="inlineStr">
        <is>
          <t>Föryngringsavverkning</t>
        </is>
      </c>
      <c r="D430" s="1" t="n">
        <v>46134</v>
      </c>
      <c r="E430" s="1" t="n">
        <v>46317</v>
      </c>
      <c r="F430" t="inlineStr">
        <is>
          <t>UPPSALA LÄN</t>
        </is>
      </c>
      <c r="G430" t="inlineStr">
        <is>
          <t>ÖSTHAMMAR</t>
        </is>
      </c>
      <c r="H430" t="inlineStr">
        <is>
          <t>Övriga Aktiebolag</t>
        </is>
      </c>
      <c r="I430" t="n">
        <v>12.1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18091-2023</t>
        </is>
      </c>
      <c r="B431" t="inlineStr">
        <is>
          <t>avverkningsanmälan</t>
        </is>
      </c>
      <c r="C431" t="inlineStr">
        <is>
          <t>Föryngringsavverkning</t>
        </is>
      </c>
      <c r="D431" s="1" t="n">
        <v>45040</v>
      </c>
      <c r="E431" s="1" t="n">
        <v>46317</v>
      </c>
      <c r="F431" t="inlineStr">
        <is>
          <t>UPPSALA LÄN</t>
        </is>
      </c>
      <c r="G431" t="inlineStr">
        <is>
          <t>ÖSTHAMMAR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19631-2026</t>
        </is>
      </c>
      <c r="B432" t="inlineStr">
        <is>
          <t>avverkningsanmälan</t>
        </is>
      </c>
      <c r="C432" t="inlineStr">
        <is>
          <t>Föryngringsavverkning</t>
        </is>
      </c>
      <c r="D432" s="1" t="n">
        <v>46134</v>
      </c>
      <c r="E432" s="1" t="n">
        <v>46317</v>
      </c>
      <c r="F432" t="inlineStr">
        <is>
          <t>UPPSALA LÄN</t>
        </is>
      </c>
      <c r="G432" t="inlineStr">
        <is>
          <t>ÖSTHAMMAR</t>
        </is>
      </c>
      <c r="H432" t="inlineStr">
        <is>
          <t>Övriga Aktiebolag</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66779-2021</t>
        </is>
      </c>
      <c r="B433" t="inlineStr">
        <is>
          <t>avverkningsanmälan</t>
        </is>
      </c>
      <c r="C433" t="inlineStr">
        <is>
          <t>Föryngringsavverkning</t>
        </is>
      </c>
      <c r="D433" s="1" t="n">
        <v>44522</v>
      </c>
      <c r="E433" s="1" t="n">
        <v>46317</v>
      </c>
      <c r="F433" t="inlineStr">
        <is>
          <t>UPPSALA LÄN</t>
        </is>
      </c>
      <c r="G433" t="inlineStr">
        <is>
          <t>ÖSTHAMMAR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23197-2023</t>
        </is>
      </c>
      <c r="B434" t="inlineStr">
        <is>
          <t>avverkningsanmälan</t>
        </is>
      </c>
      <c r="C434" t="inlineStr">
        <is>
          <t>Föryngringsavverkning</t>
        </is>
      </c>
      <c r="D434" s="1" t="n">
        <v>45075</v>
      </c>
      <c r="E434" s="1" t="n">
        <v>46317</v>
      </c>
      <c r="F434" t="inlineStr">
        <is>
          <t>UPPSALA LÄN</t>
        </is>
      </c>
      <c r="G434" t="inlineStr">
        <is>
          <t>ÖSTHAMMAR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60079-2022</t>
        </is>
      </c>
      <c r="B435" t="inlineStr">
        <is>
          <t>avverkningsanmälan</t>
        </is>
      </c>
      <c r="C435" t="inlineStr">
        <is>
          <t>Föryngringsavverkning</t>
        </is>
      </c>
      <c r="D435" s="1" t="n">
        <v>44909</v>
      </c>
      <c r="E435" s="1" t="n">
        <v>46317</v>
      </c>
      <c r="F435" t="inlineStr">
        <is>
          <t>UPPSALA LÄN</t>
        </is>
      </c>
      <c r="G435" t="inlineStr">
        <is>
          <t>ÖSTHAMMAR</t>
        </is>
      </c>
      <c r="I435" t="n">
        <v>9.6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20058-2026</t>
        </is>
      </c>
      <c r="B436" t="inlineStr">
        <is>
          <t>avverkningsanmälan</t>
        </is>
      </c>
      <c r="C436" t="inlineStr">
        <is>
          <t>Föryngringsavverkning</t>
        </is>
      </c>
      <c r="D436" s="1" t="n">
        <v>46136</v>
      </c>
      <c r="E436" s="1" t="n">
        <v>46317</v>
      </c>
      <c r="F436" t="inlineStr">
        <is>
          <t>UPPSALA LÄN</t>
        </is>
      </c>
      <c r="G436" t="inlineStr">
        <is>
          <t>ÖSTHAMMAR</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33271-2025</t>
        </is>
      </c>
      <c r="B437" t="inlineStr">
        <is>
          <t>avverkningsanmälan</t>
        </is>
      </c>
      <c r="C437" t="inlineStr">
        <is>
          <t>Föryngringsavverkning</t>
        </is>
      </c>
      <c r="D437" s="1" t="n">
        <v>45840</v>
      </c>
      <c r="E437" s="1" t="n">
        <v>46317</v>
      </c>
      <c r="F437" t="inlineStr">
        <is>
          <t>UPPSALA LÄN</t>
        </is>
      </c>
      <c r="G437" t="inlineStr">
        <is>
          <t>ÖSTHAMMAR</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9267-2024</t>
        </is>
      </c>
      <c r="B438" t="inlineStr">
        <is>
          <t>avverkningsanmälan</t>
        </is>
      </c>
      <c r="C438" t="inlineStr">
        <is>
          <t>Föryngringsavverkning</t>
        </is>
      </c>
      <c r="D438" s="1" t="n">
        <v>45358</v>
      </c>
      <c r="E438" s="1" t="n">
        <v>46317</v>
      </c>
      <c r="F438" t="inlineStr">
        <is>
          <t>UPPSALA LÄN</t>
        </is>
      </c>
      <c r="G438" t="inlineStr">
        <is>
          <t>ÖSTHAMMAR</t>
        </is>
      </c>
      <c r="H438" t="inlineStr">
        <is>
          <t>Bergvik skog öst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19901-2026</t>
        </is>
      </c>
      <c r="B439" t="inlineStr">
        <is>
          <t>avverkningsanmälan</t>
        </is>
      </c>
      <c r="C439" t="inlineStr">
        <is>
          <t>Föryngringsavverkning</t>
        </is>
      </c>
      <c r="D439" s="1" t="n">
        <v>46136</v>
      </c>
      <c r="E439" s="1" t="n">
        <v>46317</v>
      </c>
      <c r="F439" t="inlineStr">
        <is>
          <t>UPPSALA LÄN</t>
        </is>
      </c>
      <c r="G439" t="inlineStr">
        <is>
          <t>ÖSTHAMMAR</t>
        </is>
      </c>
      <c r="H439" t="inlineStr">
        <is>
          <t>Övriga Aktiebolag</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35316-2024</t>
        </is>
      </c>
      <c r="B440" t="inlineStr">
        <is>
          <t>avverkningsanmälan</t>
        </is>
      </c>
      <c r="C440" t="inlineStr">
        <is>
          <t>Föryngringsavverkning</t>
        </is>
      </c>
      <c r="D440" s="1" t="n">
        <v>45530</v>
      </c>
      <c r="E440" s="1" t="n">
        <v>46317</v>
      </c>
      <c r="F440" t="inlineStr">
        <is>
          <t>UPPSALA LÄN</t>
        </is>
      </c>
      <c r="G440" t="inlineStr">
        <is>
          <t>ÖSTHAMMAR</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38571-2023</t>
        </is>
      </c>
      <c r="B441" t="inlineStr">
        <is>
          <t>avverkningsanmälan</t>
        </is>
      </c>
      <c r="C441" t="inlineStr">
        <is>
          <t>Föryngringsavverkning</t>
        </is>
      </c>
      <c r="D441" s="1" t="n">
        <v>45162</v>
      </c>
      <c r="E441" s="1" t="n">
        <v>46317</v>
      </c>
      <c r="F441" t="inlineStr">
        <is>
          <t>UPPSALA LÄN</t>
        </is>
      </c>
      <c r="G441" t="inlineStr">
        <is>
          <t>ÖSTHAMMAR</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24174-2025</t>
        </is>
      </c>
      <c r="B442" t="inlineStr">
        <is>
          <t>avverkningsanmälan</t>
        </is>
      </c>
      <c r="C442" t="inlineStr">
        <is>
          <t>Föryngringsavverkning</t>
        </is>
      </c>
      <c r="D442" s="1" t="n">
        <v>45796</v>
      </c>
      <c r="E442" s="1" t="n">
        <v>46317</v>
      </c>
      <c r="F442" t="inlineStr">
        <is>
          <t>UPPSALA LÄN</t>
        </is>
      </c>
      <c r="G442" t="inlineStr">
        <is>
          <t>ÖSTHAMMAR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64885-2021</t>
        </is>
      </c>
      <c r="B443" t="inlineStr">
        <is>
          <t>avverkningsanmälan</t>
        </is>
      </c>
      <c r="C443" t="inlineStr">
        <is>
          <t>Föryngringsavverkning</t>
        </is>
      </c>
      <c r="D443" s="1" t="n">
        <v>44512</v>
      </c>
      <c r="E443" s="1" t="n">
        <v>46317</v>
      </c>
      <c r="F443" t="inlineStr">
        <is>
          <t>UPPSALA LÄN</t>
        </is>
      </c>
      <c r="G443" t="inlineStr">
        <is>
          <t>ÖSTHAMMAR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7560-2023</t>
        </is>
      </c>
      <c r="B444" t="inlineStr">
        <is>
          <t>avverkningsanmälan</t>
        </is>
      </c>
      <c r="C444" t="inlineStr">
        <is>
          <t>Föryngringsavverkning</t>
        </is>
      </c>
      <c r="D444" s="1" t="n">
        <v>44972</v>
      </c>
      <c r="E444" s="1" t="n">
        <v>46317</v>
      </c>
      <c r="F444" t="inlineStr">
        <is>
          <t>UPPSALA LÄN</t>
        </is>
      </c>
      <c r="G444" t="inlineStr">
        <is>
          <t>ÖSTHAMMAR</t>
        </is>
      </c>
      <c r="H444" t="inlineStr">
        <is>
          <t>Bergvik skog öst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74436-2021</t>
        </is>
      </c>
      <c r="B445" t="inlineStr">
        <is>
          <t>avverkningsanmälan</t>
        </is>
      </c>
      <c r="C445" t="inlineStr">
        <is>
          <t>Föryngringsavverkning</t>
        </is>
      </c>
      <c r="D445" s="1" t="n">
        <v>44560</v>
      </c>
      <c r="E445" s="1" t="n">
        <v>46317</v>
      </c>
      <c r="F445" t="inlineStr">
        <is>
          <t>UPPSALA LÄN</t>
        </is>
      </c>
      <c r="G445" t="inlineStr">
        <is>
          <t>ÖSTHAMMAR</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32778-2023</t>
        </is>
      </c>
      <c r="B446" t="inlineStr">
        <is>
          <t>avverkningsanmälan</t>
        </is>
      </c>
      <c r="C446" t="inlineStr">
        <is>
          <t>Föryngringsavverkning</t>
        </is>
      </c>
      <c r="D446" s="1" t="n">
        <v>45123</v>
      </c>
      <c r="E446" s="1" t="n">
        <v>46317</v>
      </c>
      <c r="F446" t="inlineStr">
        <is>
          <t>UPPSALA LÄN</t>
        </is>
      </c>
      <c r="G446" t="inlineStr">
        <is>
          <t>ÖSTHAMMAR</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28442-2025</t>
        </is>
      </c>
      <c r="B447" t="inlineStr">
        <is>
          <t>avverkningsanmälan</t>
        </is>
      </c>
      <c r="C447" t="inlineStr">
        <is>
          <t>Föryngringsavverkning</t>
        </is>
      </c>
      <c r="D447" s="1" t="n">
        <v>45819</v>
      </c>
      <c r="E447" s="1" t="n">
        <v>46317</v>
      </c>
      <c r="F447" t="inlineStr">
        <is>
          <t>UPPSALA LÄN</t>
        </is>
      </c>
      <c r="G447" t="inlineStr">
        <is>
          <t>ÖSTHAMMAR</t>
        </is>
      </c>
      <c r="H447" t="inlineStr">
        <is>
          <t>Övriga Aktiebolag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21133-2025</t>
        </is>
      </c>
      <c r="B448" t="inlineStr">
        <is>
          <t>avverkningsanmälan</t>
        </is>
      </c>
      <c r="C448" t="inlineStr">
        <is>
          <t>Föryngringsavverkning</t>
        </is>
      </c>
      <c r="D448" s="1" t="n">
        <v>45778</v>
      </c>
      <c r="E448" s="1" t="n">
        <v>46317</v>
      </c>
      <c r="F448" t="inlineStr">
        <is>
          <t>UPPSALA LÄN</t>
        </is>
      </c>
      <c r="G448" t="inlineStr">
        <is>
          <t>ÖSTHAMMAR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33680-2024</t>
        </is>
      </c>
      <c r="B449" t="inlineStr">
        <is>
          <t>avverkningsanmälan</t>
        </is>
      </c>
      <c r="C449" t="inlineStr">
        <is>
          <t>Föryngringsavverkning</t>
        </is>
      </c>
      <c r="D449" s="1" t="n">
        <v>45520</v>
      </c>
      <c r="E449" s="1" t="n">
        <v>46317</v>
      </c>
      <c r="F449" t="inlineStr">
        <is>
          <t>UPPSALA LÄN</t>
        </is>
      </c>
      <c r="G449" t="inlineStr">
        <is>
          <t>ÖSTHAMMAR</t>
        </is>
      </c>
      <c r="H449" t="inlineStr">
        <is>
          <t>Bergvik skog öst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26319-2025</t>
        </is>
      </c>
      <c r="B450" t="inlineStr">
        <is>
          <t>avverkningsanmälan</t>
        </is>
      </c>
      <c r="C450" t="inlineStr">
        <is>
          <t>Föryngringsavverkning</t>
        </is>
      </c>
      <c r="D450" s="1" t="n">
        <v>45805</v>
      </c>
      <c r="E450" s="1" t="n">
        <v>46317</v>
      </c>
      <c r="F450" t="inlineStr">
        <is>
          <t>UPPSALA LÄN</t>
        </is>
      </c>
      <c r="G450" t="inlineStr">
        <is>
          <t>ÖSTHAMMAR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7944-2023</t>
        </is>
      </c>
      <c r="B451" t="inlineStr">
        <is>
          <t>avverkningsanmälan</t>
        </is>
      </c>
      <c r="C451" t="inlineStr">
        <is>
          <t>Föryngringsavverkning</t>
        </is>
      </c>
      <c r="D451" s="1" t="n">
        <v>44973</v>
      </c>
      <c r="E451" s="1" t="n">
        <v>46317</v>
      </c>
      <c r="F451" t="inlineStr">
        <is>
          <t>UPPSALA LÄN</t>
        </is>
      </c>
      <c r="G451" t="inlineStr">
        <is>
          <t>ÖSTHAMMAR</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12654-2025</t>
        </is>
      </c>
      <c r="B452" t="inlineStr">
        <is>
          <t>avverkningsanmälan</t>
        </is>
      </c>
      <c r="C452" t="inlineStr">
        <is>
          <t>Föryngringsavverkning</t>
        </is>
      </c>
      <c r="D452" s="1" t="n">
        <v>45733</v>
      </c>
      <c r="E452" s="1" t="n">
        <v>46317</v>
      </c>
      <c r="F452" t="inlineStr">
        <is>
          <t>UPPSALA LÄN</t>
        </is>
      </c>
      <c r="G452" t="inlineStr">
        <is>
          <t>ÖSTHAMMAR</t>
        </is>
      </c>
      <c r="I452" t="n">
        <v>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8616-2023</t>
        </is>
      </c>
      <c r="B453" t="inlineStr">
        <is>
          <t>avverkningsanmälan</t>
        </is>
      </c>
      <c r="C453" t="inlineStr">
        <is>
          <t>Föryngringsavverkning</t>
        </is>
      </c>
      <c r="D453" s="1" t="n">
        <v>44977</v>
      </c>
      <c r="E453" s="1" t="n">
        <v>46317</v>
      </c>
      <c r="F453" t="inlineStr">
        <is>
          <t>UPPSALA LÄN</t>
        </is>
      </c>
      <c r="G453" t="inlineStr">
        <is>
          <t>ÖSTHAMMAR</t>
        </is>
      </c>
      <c r="H453" t="inlineStr">
        <is>
          <t>Bergvik skog öst AB</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2352-2026</t>
        </is>
      </c>
      <c r="B454" t="inlineStr">
        <is>
          <t>avverkningsanmälan</t>
        </is>
      </c>
      <c r="C454" t="inlineStr">
        <is>
          <t>Föryngringsavverkning</t>
        </is>
      </c>
      <c r="D454" s="1" t="n">
        <v>46034</v>
      </c>
      <c r="E454" s="1" t="n">
        <v>46317</v>
      </c>
      <c r="F454" t="inlineStr">
        <is>
          <t>UPPSALA LÄN</t>
        </is>
      </c>
      <c r="G454" t="inlineStr">
        <is>
          <t>ÖSTHAMMAR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56658-2025</t>
        </is>
      </c>
      <c r="B455" t="inlineStr">
        <is>
          <t>avverkningsanmälan</t>
        </is>
      </c>
      <c r="C455" t="inlineStr">
        <is>
          <t>Föryngringsavverkning</t>
        </is>
      </c>
      <c r="D455" s="1" t="n">
        <v>45975</v>
      </c>
      <c r="E455" s="1" t="n">
        <v>46317</v>
      </c>
      <c r="F455" t="inlineStr">
        <is>
          <t>UPPSALA LÄN</t>
        </is>
      </c>
      <c r="G455" t="inlineStr">
        <is>
          <t>ÖSTHAMMAR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17938-2025</t>
        </is>
      </c>
      <c r="B456" t="inlineStr">
        <is>
          <t>avverkningsanmälan</t>
        </is>
      </c>
      <c r="C456" t="inlineStr">
        <is>
          <t>Föryngringsavverkning</t>
        </is>
      </c>
      <c r="D456" s="1" t="n">
        <v>45760</v>
      </c>
      <c r="E456" s="1" t="n">
        <v>46317</v>
      </c>
      <c r="F456" t="inlineStr">
        <is>
          <t>UPPSALA LÄN</t>
        </is>
      </c>
      <c r="G456" t="inlineStr">
        <is>
          <t>ÖSTHAMMAR</t>
        </is>
      </c>
      <c r="H456" t="inlineStr">
        <is>
          <t>Bergvik skog öst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73965-2021</t>
        </is>
      </c>
      <c r="B457" t="inlineStr">
        <is>
          <t>avverkningsanmälan</t>
        </is>
      </c>
      <c r="C457" t="inlineStr">
        <is>
          <t>Föryngringsavverkning</t>
        </is>
      </c>
      <c r="D457" s="1" t="n">
        <v>44553</v>
      </c>
      <c r="E457" s="1" t="n">
        <v>46317</v>
      </c>
      <c r="F457" t="inlineStr">
        <is>
          <t>UPPSALA LÄN</t>
        </is>
      </c>
      <c r="G457" t="inlineStr">
        <is>
          <t>ÖSTHAMMAR</t>
        </is>
      </c>
      <c r="H457" t="inlineStr">
        <is>
          <t>Bergvik skog öst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73592-2021</t>
        </is>
      </c>
      <c r="B458" t="inlineStr">
        <is>
          <t>avverkningsanmälan</t>
        </is>
      </c>
      <c r="C458" t="inlineStr">
        <is>
          <t>Föryngringsavverkning</t>
        </is>
      </c>
      <c r="D458" s="1" t="n">
        <v>44552</v>
      </c>
      <c r="E458" s="1" t="n">
        <v>46317</v>
      </c>
      <c r="F458" t="inlineStr">
        <is>
          <t>UPPSALA LÄN</t>
        </is>
      </c>
      <c r="G458" t="inlineStr">
        <is>
          <t>ÖSTHAMMAR</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31479-2023</t>
        </is>
      </c>
      <c r="B459" t="inlineStr">
        <is>
          <t>avverkningsanmälan</t>
        </is>
      </c>
      <c r="C459" t="inlineStr">
        <is>
          <t>Föryngringsavverkning</t>
        </is>
      </c>
      <c r="D459" s="1" t="n">
        <v>45114</v>
      </c>
      <c r="E459" s="1" t="n">
        <v>46317</v>
      </c>
      <c r="F459" t="inlineStr">
        <is>
          <t>UPPSALA LÄN</t>
        </is>
      </c>
      <c r="G459" t="inlineStr">
        <is>
          <t>ÖSTHAMMAR</t>
        </is>
      </c>
      <c r="H459" t="inlineStr">
        <is>
          <t>Bergvik skog öst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24128-2023</t>
        </is>
      </c>
      <c r="B460" t="inlineStr">
        <is>
          <t>avverkningsanmälan</t>
        </is>
      </c>
      <c r="C460" t="inlineStr">
        <is>
          <t>Föryngringsavverkning</t>
        </is>
      </c>
      <c r="D460" s="1" t="n">
        <v>45079</v>
      </c>
      <c r="E460" s="1" t="n">
        <v>46317</v>
      </c>
      <c r="F460" t="inlineStr">
        <is>
          <t>UPPSALA LÄN</t>
        </is>
      </c>
      <c r="G460" t="inlineStr">
        <is>
          <t>ÖSTHAMMAR</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35918-2023</t>
        </is>
      </c>
      <c r="B461" t="inlineStr">
        <is>
          <t>avverkningsanmälan</t>
        </is>
      </c>
      <c r="C461" t="inlineStr">
        <is>
          <t>Föryngringsavverkning</t>
        </is>
      </c>
      <c r="D461" s="1" t="n">
        <v>45148</v>
      </c>
      <c r="E461" s="1" t="n">
        <v>46317</v>
      </c>
      <c r="F461" t="inlineStr">
        <is>
          <t>UPPSALA LÄN</t>
        </is>
      </c>
      <c r="G461" t="inlineStr">
        <is>
          <t>ÖSTHAMMAR</t>
        </is>
      </c>
      <c r="H461" t="inlineStr">
        <is>
          <t>Bergvik skog öst AB</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31956-2025</t>
        </is>
      </c>
      <c r="B462" t="inlineStr">
        <is>
          <t>avverkningsanmälan</t>
        </is>
      </c>
      <c r="C462" t="inlineStr">
        <is>
          <t>Föryngringsavverkning</t>
        </is>
      </c>
      <c r="D462" s="1" t="n">
        <v>45835</v>
      </c>
      <c r="E462" s="1" t="n">
        <v>46317</v>
      </c>
      <c r="F462" t="inlineStr">
        <is>
          <t>UPPSALA LÄN</t>
        </is>
      </c>
      <c r="G462" t="inlineStr">
        <is>
          <t>ÖSTHAMMAR</t>
        </is>
      </c>
      <c r="H462" t="inlineStr">
        <is>
          <t>Övriga Aktiebolag</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4004-2023</t>
        </is>
      </c>
      <c r="B463" t="inlineStr">
        <is>
          <t>avverkningsanmälan</t>
        </is>
      </c>
      <c r="C463" t="inlineStr">
        <is>
          <t>Föryngringsavverkning</t>
        </is>
      </c>
      <c r="D463" s="1" t="n">
        <v>44952</v>
      </c>
      <c r="E463" s="1" t="n">
        <v>46317</v>
      </c>
      <c r="F463" t="inlineStr">
        <is>
          <t>UPPSALA LÄN</t>
        </is>
      </c>
      <c r="G463" t="inlineStr">
        <is>
          <t>ÖSTHAMMAR</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27352-2025</t>
        </is>
      </c>
      <c r="B464" t="inlineStr">
        <is>
          <t>avverkningsanmälan</t>
        </is>
      </c>
      <c r="C464" t="inlineStr">
        <is>
          <t>Föryngringsavverkning</t>
        </is>
      </c>
      <c r="D464" s="1" t="n">
        <v>45812</v>
      </c>
      <c r="E464" s="1" t="n">
        <v>46317</v>
      </c>
      <c r="F464" t="inlineStr">
        <is>
          <t>UPPSALA LÄN</t>
        </is>
      </c>
      <c r="G464" t="inlineStr">
        <is>
          <t>ÖSTHAMMAR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35474-2023</t>
        </is>
      </c>
      <c r="B465" t="inlineStr">
        <is>
          <t>avverkningsanmälan</t>
        </is>
      </c>
      <c r="C465" t="inlineStr">
        <is>
          <t>Föryngringsavverkning</t>
        </is>
      </c>
      <c r="D465" s="1" t="n">
        <v>45146</v>
      </c>
      <c r="E465" s="1" t="n">
        <v>46317</v>
      </c>
      <c r="F465" t="inlineStr">
        <is>
          <t>UPPSALA LÄN</t>
        </is>
      </c>
      <c r="G465" t="inlineStr">
        <is>
          <t>ÖSTHAMMAR</t>
        </is>
      </c>
      <c r="H465" t="inlineStr">
        <is>
          <t>Sveaskog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20393-2026</t>
        </is>
      </c>
      <c r="B466" t="inlineStr">
        <is>
          <t>avverkningsanmälan</t>
        </is>
      </c>
      <c r="C466" t="inlineStr">
        <is>
          <t>Föryngringsavverkning</t>
        </is>
      </c>
      <c r="D466" s="1" t="n">
        <v>46139</v>
      </c>
      <c r="E466" s="1" t="n">
        <v>46317</v>
      </c>
      <c r="F466" t="inlineStr">
        <is>
          <t>UPPSALA LÄN</t>
        </is>
      </c>
      <c r="G466" t="inlineStr">
        <is>
          <t>ÖSTHAMMAR</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26303-2024</t>
        </is>
      </c>
      <c r="B467" t="inlineStr">
        <is>
          <t>avverkningsanmälan</t>
        </is>
      </c>
      <c r="C467" t="inlineStr">
        <is>
          <t>Föryngringsavverkning</t>
        </is>
      </c>
      <c r="D467" s="1" t="n">
        <v>45468</v>
      </c>
      <c r="E467" s="1" t="n">
        <v>46317</v>
      </c>
      <c r="F467" t="inlineStr">
        <is>
          <t>UPPSALA LÄN</t>
        </is>
      </c>
      <c r="G467" t="inlineStr">
        <is>
          <t>ÖSTHAMMAR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44152-2024</t>
        </is>
      </c>
      <c r="B468" t="inlineStr">
        <is>
          <t>avverkningsanmälan</t>
        </is>
      </c>
      <c r="C468" t="inlineStr">
        <is>
          <t>Föryngringsavverkning</t>
        </is>
      </c>
      <c r="D468" s="1" t="n">
        <v>45572</v>
      </c>
      <c r="E468" s="1" t="n">
        <v>46317</v>
      </c>
      <c r="F468" t="inlineStr">
        <is>
          <t>UPPSALA LÄN</t>
        </is>
      </c>
      <c r="G468" t="inlineStr">
        <is>
          <t>ÖSTHAMMAR</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4561-2022</t>
        </is>
      </c>
      <c r="B469" t="inlineStr">
        <is>
          <t>avverkningsanmälan</t>
        </is>
      </c>
      <c r="C469" t="inlineStr">
        <is>
          <t>Föryngringsavverkning</t>
        </is>
      </c>
      <c r="D469" s="1" t="n">
        <v>44591</v>
      </c>
      <c r="E469" s="1" t="n">
        <v>46317</v>
      </c>
      <c r="F469" t="inlineStr">
        <is>
          <t>UPPSALA LÄN</t>
        </is>
      </c>
      <c r="G469" t="inlineStr">
        <is>
          <t>ÖSTHAMMAR</t>
        </is>
      </c>
      <c r="H469" t="inlineStr">
        <is>
          <t>Bergvik skog öst AB</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2358-2026</t>
        </is>
      </c>
      <c r="B470" t="inlineStr">
        <is>
          <t>avverkningsanmälan</t>
        </is>
      </c>
      <c r="C470" t="inlineStr">
        <is>
          <t>Föryngringsavverkning</t>
        </is>
      </c>
      <c r="D470" s="1" t="n">
        <v>46034</v>
      </c>
      <c r="E470" s="1" t="n">
        <v>46317</v>
      </c>
      <c r="F470" t="inlineStr">
        <is>
          <t>UPPSALA LÄN</t>
        </is>
      </c>
      <c r="G470" t="inlineStr">
        <is>
          <t>ÖSTHAMMAR</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6120-2024</t>
        </is>
      </c>
      <c r="B471" t="inlineStr">
        <is>
          <t>avverkningsanmälan</t>
        </is>
      </c>
      <c r="C471" t="inlineStr">
        <is>
          <t>Föryngringsavverkning</t>
        </is>
      </c>
      <c r="D471" s="1" t="n">
        <v>45337</v>
      </c>
      <c r="E471" s="1" t="n">
        <v>46317</v>
      </c>
      <c r="F471" t="inlineStr">
        <is>
          <t>UPPSALA LÄN</t>
        </is>
      </c>
      <c r="G471" t="inlineStr">
        <is>
          <t>ÖSTHAMMAR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20394-2026</t>
        </is>
      </c>
      <c r="B472" t="inlineStr">
        <is>
          <t>avverkningsanmälan</t>
        </is>
      </c>
      <c r="C472" t="inlineStr">
        <is>
          <t>Föryngringsavverkning</t>
        </is>
      </c>
      <c r="D472" s="1" t="n">
        <v>46139</v>
      </c>
      <c r="E472" s="1" t="n">
        <v>46317</v>
      </c>
      <c r="F472" t="inlineStr">
        <is>
          <t>UPPSALA LÄN</t>
        </is>
      </c>
      <c r="G472" t="inlineStr">
        <is>
          <t>ÖSTHAMMAR</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20779-2026</t>
        </is>
      </c>
      <c r="B473" t="inlineStr">
        <is>
          <t>avverkningsanmälan</t>
        </is>
      </c>
      <c r="C473" t="inlineStr">
        <is>
          <t>Föryngringsavverkning</t>
        </is>
      </c>
      <c r="D473" s="1" t="n">
        <v>46141</v>
      </c>
      <c r="E473" s="1" t="n">
        <v>46317</v>
      </c>
      <c r="F473" t="inlineStr">
        <is>
          <t>UPPSALA LÄN</t>
        </is>
      </c>
      <c r="G473" t="inlineStr">
        <is>
          <t>ÖSTHAMMAR</t>
        </is>
      </c>
      <c r="H473" t="inlineStr">
        <is>
          <t>Övriga Aktiebolag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14878-2026</t>
        </is>
      </c>
      <c r="B474" t="inlineStr">
        <is>
          <t>avverkningsanmälan</t>
        </is>
      </c>
      <c r="C474" t="inlineStr">
        <is>
          <t>Föryngringsavverkning</t>
        </is>
      </c>
      <c r="D474" s="1" t="n">
        <v>46104</v>
      </c>
      <c r="E474" s="1" t="n">
        <v>46317</v>
      </c>
      <c r="F474" t="inlineStr">
        <is>
          <t>UPPSALA LÄN</t>
        </is>
      </c>
      <c r="G474" t="inlineStr">
        <is>
          <t>ÖSTHAMMAR</t>
        </is>
      </c>
      <c r="H474" t="inlineStr">
        <is>
          <t>Övriga Aktiebolag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45307-2023</t>
        </is>
      </c>
      <c r="B475" t="inlineStr">
        <is>
          <t>avverkningsanmälan</t>
        </is>
      </c>
      <c r="C475" t="inlineStr">
        <is>
          <t>Föryngringsavverkning</t>
        </is>
      </c>
      <c r="D475" s="1" t="n">
        <v>45191</v>
      </c>
      <c r="E475" s="1" t="n">
        <v>46317</v>
      </c>
      <c r="F475" t="inlineStr">
        <is>
          <t>UPPSALA LÄN</t>
        </is>
      </c>
      <c r="G475" t="inlineStr">
        <is>
          <t>ÖSTHAMMAR</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6661-2024</t>
        </is>
      </c>
      <c r="B476" t="inlineStr">
        <is>
          <t>avverkningsanmälan</t>
        </is>
      </c>
      <c r="C476" t="inlineStr">
        <is>
          <t>Föryngringsavverkning</t>
        </is>
      </c>
      <c r="D476" s="1" t="n">
        <v>45341</v>
      </c>
      <c r="E476" s="1" t="n">
        <v>46317</v>
      </c>
      <c r="F476" t="inlineStr">
        <is>
          <t>UPPSALA LÄN</t>
        </is>
      </c>
      <c r="G476" t="inlineStr">
        <is>
          <t>ÖSTHAMMAR</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5933-2022</t>
        </is>
      </c>
      <c r="B477" t="inlineStr">
        <is>
          <t>avverkningsanmälan</t>
        </is>
      </c>
      <c r="C477" t="inlineStr">
        <is>
          <t>Föryngringsavverkning</t>
        </is>
      </c>
      <c r="D477" s="1" t="n">
        <v>44598</v>
      </c>
      <c r="E477" s="1" t="n">
        <v>46317</v>
      </c>
      <c r="F477" t="inlineStr">
        <is>
          <t>UPPSALA LÄN</t>
        </is>
      </c>
      <c r="G477" t="inlineStr">
        <is>
          <t>ÖSTHAMMAR</t>
        </is>
      </c>
      <c r="H477" t="inlineStr">
        <is>
          <t>Bergvik skog öst AB</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29873-2023</t>
        </is>
      </c>
      <c r="B478" t="inlineStr">
        <is>
          <t>avverkningsanmälan</t>
        </is>
      </c>
      <c r="C478" t="inlineStr">
        <is>
          <t>Föryngringsavverkning</t>
        </is>
      </c>
      <c r="D478" s="1" t="n">
        <v>45107</v>
      </c>
      <c r="E478" s="1" t="n">
        <v>46317</v>
      </c>
      <c r="F478" t="inlineStr">
        <is>
          <t>UPPSALA LÄN</t>
        </is>
      </c>
      <c r="G478" t="inlineStr">
        <is>
          <t>ÖSTHAMMAR</t>
        </is>
      </c>
      <c r="H478" t="inlineStr">
        <is>
          <t>Naturvårdsverket</t>
        </is>
      </c>
      <c r="I478" t="n">
        <v>7.8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14989-2026</t>
        </is>
      </c>
      <c r="B479" t="inlineStr">
        <is>
          <t>avverkningsanmälan</t>
        </is>
      </c>
      <c r="C479" t="inlineStr">
        <is>
          <t>Föryngringsavverkning</t>
        </is>
      </c>
      <c r="D479" s="1" t="n">
        <v>46104</v>
      </c>
      <c r="E479" s="1" t="n">
        <v>46317</v>
      </c>
      <c r="F479" t="inlineStr">
        <is>
          <t>UPPSALA LÄN</t>
        </is>
      </c>
      <c r="G479" t="inlineStr">
        <is>
          <t>ÖSTHAMMAR</t>
        </is>
      </c>
      <c r="H479" t="inlineStr">
        <is>
          <t>Övriga Aktiebolag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20776-2026</t>
        </is>
      </c>
      <c r="B480" t="inlineStr">
        <is>
          <t>avverkningsanmälan</t>
        </is>
      </c>
      <c r="C480" t="inlineStr">
        <is>
          <t>Föryngringsavverkning</t>
        </is>
      </c>
      <c r="D480" s="1" t="n">
        <v>46141</v>
      </c>
      <c r="E480" s="1" t="n">
        <v>46317</v>
      </c>
      <c r="F480" t="inlineStr">
        <is>
          <t>UPPSALA LÄN</t>
        </is>
      </c>
      <c r="G480" t="inlineStr">
        <is>
          <t>ÖSTHAMMAR</t>
        </is>
      </c>
      <c r="H480" t="inlineStr">
        <is>
          <t>Övriga Aktiebolag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6892-2022</t>
        </is>
      </c>
      <c r="B481" t="inlineStr">
        <is>
          <t>avverkningsanmälan</t>
        </is>
      </c>
      <c r="C481" t="inlineStr">
        <is>
          <t>Föryngringsavverkning</t>
        </is>
      </c>
      <c r="D481" s="1" t="n">
        <v>44602</v>
      </c>
      <c r="E481" s="1" t="n">
        <v>46317</v>
      </c>
      <c r="F481" t="inlineStr">
        <is>
          <t>UPPSALA LÄN</t>
        </is>
      </c>
      <c r="G481" t="inlineStr">
        <is>
          <t>ÖSTHAMMAR</t>
        </is>
      </c>
      <c r="H481" t="inlineStr">
        <is>
          <t>Bergvik skog öst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13044-2022</t>
        </is>
      </c>
      <c r="B482" t="inlineStr">
        <is>
          <t>avverkningsanmälan</t>
        </is>
      </c>
      <c r="C482" t="inlineStr">
        <is>
          <t>Föryngringsavverkning</t>
        </is>
      </c>
      <c r="D482" s="1" t="n">
        <v>44643</v>
      </c>
      <c r="E482" s="1" t="n">
        <v>46317</v>
      </c>
      <c r="F482" t="inlineStr">
        <is>
          <t>UPPSALA LÄN</t>
        </is>
      </c>
      <c r="G482" t="inlineStr">
        <is>
          <t>ÖSTHAMMAR</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21360-2026</t>
        </is>
      </c>
      <c r="B483" t="inlineStr">
        <is>
          <t>avverkningsanmälan</t>
        </is>
      </c>
      <c r="C483" t="inlineStr">
        <is>
          <t>Föryngringsavverkning</t>
        </is>
      </c>
      <c r="D483" s="1" t="n">
        <v>46147</v>
      </c>
      <c r="E483" s="1" t="n">
        <v>46317</v>
      </c>
      <c r="F483" t="inlineStr">
        <is>
          <t>UPPSALA LÄN</t>
        </is>
      </c>
      <c r="G483" t="inlineStr">
        <is>
          <t>ÖSTHAMMAR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52694-2023</t>
        </is>
      </c>
      <c r="B484" t="inlineStr">
        <is>
          <t>avverkningsanmälan</t>
        </is>
      </c>
      <c r="C484" t="inlineStr">
        <is>
          <t>Föryngringsavverkning</t>
        </is>
      </c>
      <c r="D484" s="1" t="n">
        <v>45225</v>
      </c>
      <c r="E484" s="1" t="n">
        <v>46317</v>
      </c>
      <c r="F484" t="inlineStr">
        <is>
          <t>UPPSALA LÄN</t>
        </is>
      </c>
      <c r="G484" t="inlineStr">
        <is>
          <t>ÖSTHAMMAR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22059-2026</t>
        </is>
      </c>
      <c r="B485" t="inlineStr">
        <is>
          <t>avverkningsanmälan</t>
        </is>
      </c>
      <c r="C485" t="inlineStr">
        <is>
          <t>Föryngringsavverkning</t>
        </is>
      </c>
      <c r="D485" s="1" t="n">
        <v>46153</v>
      </c>
      <c r="E485" s="1" t="n">
        <v>46317</v>
      </c>
      <c r="F485" t="inlineStr">
        <is>
          <t>UPPSALA LÄN</t>
        </is>
      </c>
      <c r="G485" t="inlineStr">
        <is>
          <t>ÖSTHAMMAR</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24493-2023</t>
        </is>
      </c>
      <c r="B486" t="inlineStr">
        <is>
          <t>avverkningsanmälan</t>
        </is>
      </c>
      <c r="C486" t="inlineStr">
        <is>
          <t>Föryngringsavverkning</t>
        </is>
      </c>
      <c r="D486" s="1" t="n">
        <v>45082</v>
      </c>
      <c r="E486" s="1" t="n">
        <v>46317</v>
      </c>
      <c r="F486" t="inlineStr">
        <is>
          <t>UPPSALA LÄN</t>
        </is>
      </c>
      <c r="G486" t="inlineStr">
        <is>
          <t>ÖSTHAMMAR</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34742-2022</t>
        </is>
      </c>
      <c r="B487" t="inlineStr">
        <is>
          <t>avverkningsanmälan</t>
        </is>
      </c>
      <c r="C487" t="inlineStr">
        <is>
          <t>Föryngringsavverkning</t>
        </is>
      </c>
      <c r="D487" s="1" t="n">
        <v>44795</v>
      </c>
      <c r="E487" s="1" t="n">
        <v>46317</v>
      </c>
      <c r="F487" t="inlineStr">
        <is>
          <t>UPPSALA LÄN</t>
        </is>
      </c>
      <c r="G487" t="inlineStr">
        <is>
          <t>ÖSTHAMMAR</t>
        </is>
      </c>
      <c r="H487" t="inlineStr">
        <is>
          <t>Bergvik skog öst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46399-2023</t>
        </is>
      </c>
      <c r="B488" t="inlineStr">
        <is>
          <t>avverkningsanmälan</t>
        </is>
      </c>
      <c r="C488" t="inlineStr">
        <is>
          <t>Föryngringsavverkning</t>
        </is>
      </c>
      <c r="D488" s="1" t="n">
        <v>45197</v>
      </c>
      <c r="E488" s="1" t="n">
        <v>46317</v>
      </c>
      <c r="F488" t="inlineStr">
        <is>
          <t>UPPSALA LÄN</t>
        </is>
      </c>
      <c r="G488" t="inlineStr">
        <is>
          <t>ÖSTHAMMAR</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55079-2024</t>
        </is>
      </c>
      <c r="B489" t="inlineStr">
        <is>
          <t>avverkningsanmälan</t>
        </is>
      </c>
      <c r="C489" t="inlineStr">
        <is>
          <t>Föryngringsavverkning</t>
        </is>
      </c>
      <c r="D489" s="1" t="n">
        <v>45621</v>
      </c>
      <c r="E489" s="1" t="n">
        <v>46317</v>
      </c>
      <c r="F489" t="inlineStr">
        <is>
          <t>UPPSALA LÄN</t>
        </is>
      </c>
      <c r="G489" t="inlineStr">
        <is>
          <t>ÖSTHAMMAR</t>
        </is>
      </c>
      <c r="H489" t="inlineStr">
        <is>
          <t>Sveaskog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36873-2022</t>
        </is>
      </c>
      <c r="B490" t="inlineStr">
        <is>
          <t>avverkningsanmälan</t>
        </is>
      </c>
      <c r="C490" t="inlineStr">
        <is>
          <t>Föryngringsavverkning</t>
        </is>
      </c>
      <c r="D490" s="1" t="n">
        <v>44805</v>
      </c>
      <c r="E490" s="1" t="n">
        <v>46317</v>
      </c>
      <c r="F490" t="inlineStr">
        <is>
          <t>UPPSALA LÄN</t>
        </is>
      </c>
      <c r="G490" t="inlineStr">
        <is>
          <t>ÖSTHAMMAR</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53733-2023</t>
        </is>
      </c>
      <c r="B491" t="inlineStr">
        <is>
          <t>avverkningsanmälan</t>
        </is>
      </c>
      <c r="C491" t="inlineStr">
        <is>
          <t>Föryngringsavverkning</t>
        </is>
      </c>
      <c r="D491" s="1" t="n">
        <v>45230</v>
      </c>
      <c r="E491" s="1" t="n">
        <v>46317</v>
      </c>
      <c r="F491" t="inlineStr">
        <is>
          <t>UPPSALA LÄN</t>
        </is>
      </c>
      <c r="G491" t="inlineStr">
        <is>
          <t>ÖSTHAMMAR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53735-2023</t>
        </is>
      </c>
      <c r="B492" t="inlineStr">
        <is>
          <t>avverkningsanmälan</t>
        </is>
      </c>
      <c r="C492" t="inlineStr">
        <is>
          <t>Föryngringsavverkning</t>
        </is>
      </c>
      <c r="D492" s="1" t="n">
        <v>45230</v>
      </c>
      <c r="E492" s="1" t="n">
        <v>46317</v>
      </c>
      <c r="F492" t="inlineStr">
        <is>
          <t>UPPSALA LÄN</t>
        </is>
      </c>
      <c r="G492" t="inlineStr">
        <is>
          <t>ÖSTHAMMAR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22641-2026</t>
        </is>
      </c>
      <c r="B493" t="inlineStr">
        <is>
          <t>avverkningsanmälan</t>
        </is>
      </c>
      <c r="C493" t="inlineStr">
        <is>
          <t>Föryngringsavverkning</t>
        </is>
      </c>
      <c r="D493" s="1" t="n">
        <v>46155</v>
      </c>
      <c r="E493" s="1" t="n">
        <v>46317</v>
      </c>
      <c r="F493" t="inlineStr">
        <is>
          <t>UPPSALA LÄN</t>
        </is>
      </c>
      <c r="G493" t="inlineStr">
        <is>
          <t>ÖSTHAMMAR</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22567-2026</t>
        </is>
      </c>
      <c r="B494" t="inlineStr">
        <is>
          <t>avverkningsanmälan</t>
        </is>
      </c>
      <c r="C494" t="inlineStr">
        <is>
          <t>Föryngringsavverkning</t>
        </is>
      </c>
      <c r="D494" s="1" t="n">
        <v>46155</v>
      </c>
      <c r="E494" s="1" t="n">
        <v>46317</v>
      </c>
      <c r="F494" t="inlineStr">
        <is>
          <t>UPPSALA LÄN</t>
        </is>
      </c>
      <c r="G494" t="inlineStr">
        <is>
          <t>ÖSTHAMMAR</t>
        </is>
      </c>
      <c r="H494" t="inlineStr">
        <is>
          <t>Bergvik skog öst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21522-2022</t>
        </is>
      </c>
      <c r="B495" t="inlineStr">
        <is>
          <t>avverkningsanmälan</t>
        </is>
      </c>
      <c r="C495" t="inlineStr">
        <is>
          <t>Föryngringsavverkning</t>
        </is>
      </c>
      <c r="D495" s="1" t="n">
        <v>44706</v>
      </c>
      <c r="E495" s="1" t="n">
        <v>46317</v>
      </c>
      <c r="F495" t="inlineStr">
        <is>
          <t>UPPSALA LÄN</t>
        </is>
      </c>
      <c r="G495" t="inlineStr">
        <is>
          <t>ÖSTHAMMAR</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14187-2022</t>
        </is>
      </c>
      <c r="B496" t="inlineStr">
        <is>
          <t>avverkningsanmälan</t>
        </is>
      </c>
      <c r="C496" t="inlineStr">
        <is>
          <t>Föryngringsavverkning</t>
        </is>
      </c>
      <c r="D496" s="1" t="n">
        <v>44651</v>
      </c>
      <c r="E496" s="1" t="n">
        <v>46317</v>
      </c>
      <c r="F496" t="inlineStr">
        <is>
          <t>UPPSALA LÄN</t>
        </is>
      </c>
      <c r="G496" t="inlineStr">
        <is>
          <t>ÖSTHAMMAR</t>
        </is>
      </c>
      <c r="H496" t="inlineStr">
        <is>
          <t>Övriga Aktiebolag</t>
        </is>
      </c>
      <c r="I496" t="n">
        <v>14.1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22640-2026</t>
        </is>
      </c>
      <c r="B497" t="inlineStr">
        <is>
          <t>avverkningsanmälan</t>
        </is>
      </c>
      <c r="C497" t="inlineStr">
        <is>
          <t>Föryngringsavverkning</t>
        </is>
      </c>
      <c r="D497" s="1" t="n">
        <v>46155</v>
      </c>
      <c r="E497" s="1" t="n">
        <v>46317</v>
      </c>
      <c r="F497" t="inlineStr">
        <is>
          <t>UPPSALA LÄN</t>
        </is>
      </c>
      <c r="G497" t="inlineStr">
        <is>
          <t>ÖSTHAMMAR</t>
        </is>
      </c>
      <c r="H497" t="inlineStr">
        <is>
          <t>Bergvik skog öst AB</t>
        </is>
      </c>
      <c r="I497" t="n">
        <v>19.4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7997-2022</t>
        </is>
      </c>
      <c r="B498" t="inlineStr">
        <is>
          <t>avverkningsanmälan</t>
        </is>
      </c>
      <c r="C498" t="inlineStr">
        <is>
          <t>Föryngringsavverkning</t>
        </is>
      </c>
      <c r="D498" s="1" t="n">
        <v>44609</v>
      </c>
      <c r="E498" s="1" t="n">
        <v>46317</v>
      </c>
      <c r="F498" t="inlineStr">
        <is>
          <t>UPPSALA LÄN</t>
        </is>
      </c>
      <c r="G498" t="inlineStr">
        <is>
          <t>ÖSTHAMMAR</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4676-2025</t>
        </is>
      </c>
      <c r="B499" t="inlineStr">
        <is>
          <t>avverkningsanmälan</t>
        </is>
      </c>
      <c r="C499" t="inlineStr">
        <is>
          <t>Föryngringsavverkning</t>
        </is>
      </c>
      <c r="D499" s="1" t="n">
        <v>45687</v>
      </c>
      <c r="E499" s="1" t="n">
        <v>46317</v>
      </c>
      <c r="F499" t="inlineStr">
        <is>
          <t>UPPSALA LÄN</t>
        </is>
      </c>
      <c r="G499" t="inlineStr">
        <is>
          <t>ÖSTHAMMAR</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22642-2026</t>
        </is>
      </c>
      <c r="B500" t="inlineStr">
        <is>
          <t>avverkningsanmälan</t>
        </is>
      </c>
      <c r="C500" t="inlineStr">
        <is>
          <t>Föryngringsavverkning</t>
        </is>
      </c>
      <c r="D500" s="1" t="n">
        <v>46155</v>
      </c>
      <c r="E500" s="1" t="n">
        <v>46317</v>
      </c>
      <c r="F500" t="inlineStr">
        <is>
          <t>UPPSALA LÄN</t>
        </is>
      </c>
      <c r="G500" t="inlineStr">
        <is>
          <t>ÖSTHAMMAR</t>
        </is>
      </c>
      <c r="H500" t="inlineStr">
        <is>
          <t>Bergvik skog öst AB</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55837-2023</t>
        </is>
      </c>
      <c r="B501" t="inlineStr">
        <is>
          <t>avverkningsanmälan</t>
        </is>
      </c>
      <c r="C501" t="inlineStr">
        <is>
          <t>Föryngringsavverkning</t>
        </is>
      </c>
      <c r="D501" s="1" t="n">
        <v>45239</v>
      </c>
      <c r="E501" s="1" t="n">
        <v>46317</v>
      </c>
      <c r="F501" t="inlineStr">
        <is>
          <t>UPPSALA LÄN</t>
        </is>
      </c>
      <c r="G501" t="inlineStr">
        <is>
          <t>ÖSTHAMMAR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13093-2022</t>
        </is>
      </c>
      <c r="B502" t="inlineStr">
        <is>
          <t>avverkningsanmälan</t>
        </is>
      </c>
      <c r="C502" t="inlineStr">
        <is>
          <t>Föryngringsavverkning</t>
        </is>
      </c>
      <c r="D502" s="1" t="n">
        <v>44643</v>
      </c>
      <c r="E502" s="1" t="n">
        <v>46317</v>
      </c>
      <c r="F502" t="inlineStr">
        <is>
          <t>UPPSALA LÄN</t>
        </is>
      </c>
      <c r="G502" t="inlineStr">
        <is>
          <t>ÖSTHAMMAR</t>
        </is>
      </c>
      <c r="H502" t="inlineStr">
        <is>
          <t>Bergvik skog öst AB</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45795-2023</t>
        </is>
      </c>
      <c r="B503" t="inlineStr">
        <is>
          <t>avverkningsanmälan</t>
        </is>
      </c>
      <c r="C503" t="inlineStr">
        <is>
          <t>Avverkning för annat ändamål</t>
        </is>
      </c>
      <c r="D503" s="1" t="n">
        <v>45195</v>
      </c>
      <c r="E503" s="1" t="n">
        <v>46317</v>
      </c>
      <c r="F503" t="inlineStr">
        <is>
          <t>UPPSALA LÄN</t>
        </is>
      </c>
      <c r="G503" t="inlineStr">
        <is>
          <t>ÖSTHAMMAR</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23363-2023</t>
        </is>
      </c>
      <c r="B504" t="inlineStr">
        <is>
          <t>avverkningsanmälan</t>
        </is>
      </c>
      <c r="C504" t="inlineStr">
        <is>
          <t>Föryngringsavverkning</t>
        </is>
      </c>
      <c r="D504" s="1" t="n">
        <v>45076</v>
      </c>
      <c r="E504" s="1" t="n">
        <v>46317</v>
      </c>
      <c r="F504" t="inlineStr">
        <is>
          <t>UPPSALA LÄN</t>
        </is>
      </c>
      <c r="G504" t="inlineStr">
        <is>
          <t>ÖSTHAMMAR</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27308-2023</t>
        </is>
      </c>
      <c r="B505" t="inlineStr">
        <is>
          <t>avverkningsanmälan</t>
        </is>
      </c>
      <c r="C505" t="inlineStr">
        <is>
          <t>Föryngringsavverkning</t>
        </is>
      </c>
      <c r="D505" s="1" t="n">
        <v>45096</v>
      </c>
      <c r="E505" s="1" t="n">
        <v>46317</v>
      </c>
      <c r="F505" t="inlineStr">
        <is>
          <t>UPPSALA LÄN</t>
        </is>
      </c>
      <c r="G505" t="inlineStr">
        <is>
          <t>ÖSTHAMMAR</t>
        </is>
      </c>
      <c r="H505" t="inlineStr">
        <is>
          <t>Bergvik skog öst AB</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18183-2022</t>
        </is>
      </c>
      <c r="B506" t="inlineStr">
        <is>
          <t>avverkningsanmälan</t>
        </is>
      </c>
      <c r="C506" t="inlineStr">
        <is>
          <t>Föryngringsavverkning</t>
        </is>
      </c>
      <c r="D506" s="1" t="n">
        <v>44684</v>
      </c>
      <c r="E506" s="1" t="n">
        <v>46317</v>
      </c>
      <c r="F506" t="inlineStr">
        <is>
          <t>UPPSALA LÄN</t>
        </is>
      </c>
      <c r="G506" t="inlineStr">
        <is>
          <t>ÖSTHAMMAR</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23415-2026</t>
        </is>
      </c>
      <c r="B507" t="inlineStr">
        <is>
          <t>avverkningsanmälan</t>
        </is>
      </c>
      <c r="C507" t="inlineStr">
        <is>
          <t>Föryngringsavverkning</t>
        </is>
      </c>
      <c r="D507" s="1" t="n">
        <v>46163</v>
      </c>
      <c r="E507" s="1" t="n">
        <v>46317</v>
      </c>
      <c r="F507" t="inlineStr">
        <is>
          <t>UPPSALA LÄN</t>
        </is>
      </c>
      <c r="G507" t="inlineStr">
        <is>
          <t>ÖSTHAMMAR</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23416-2026</t>
        </is>
      </c>
      <c r="B508" t="inlineStr">
        <is>
          <t>avverkningsanmälan</t>
        </is>
      </c>
      <c r="C508" t="inlineStr">
        <is>
          <t>Föryngringsavverkning</t>
        </is>
      </c>
      <c r="D508" s="1" t="n">
        <v>46163</v>
      </c>
      <c r="E508" s="1" t="n">
        <v>46317</v>
      </c>
      <c r="F508" t="inlineStr">
        <is>
          <t>UPPSALA LÄN</t>
        </is>
      </c>
      <c r="G508" t="inlineStr">
        <is>
          <t>ÖSTHAMMAR</t>
        </is>
      </c>
      <c r="I508" t="n">
        <v>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23414-2026</t>
        </is>
      </c>
      <c r="B509" t="inlineStr">
        <is>
          <t>avverkningsanmälan</t>
        </is>
      </c>
      <c r="C509" t="inlineStr">
        <is>
          <t>Föryngringsavverkning</t>
        </is>
      </c>
      <c r="D509" s="1" t="n">
        <v>46163</v>
      </c>
      <c r="E509" s="1" t="n">
        <v>46317</v>
      </c>
      <c r="F509" t="inlineStr">
        <is>
          <t>UPPSALA LÄN</t>
        </is>
      </c>
      <c r="G509" t="inlineStr">
        <is>
          <t>ÖSTHAMMAR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28170-2023</t>
        </is>
      </c>
      <c r="B510" t="inlineStr">
        <is>
          <t>avverkningsanmälan</t>
        </is>
      </c>
      <c r="C510" t="inlineStr">
        <is>
          <t>Föryngringsavverkning</t>
        </is>
      </c>
      <c r="D510" s="1" t="n">
        <v>45093</v>
      </c>
      <c r="E510" s="1" t="n">
        <v>46317</v>
      </c>
      <c r="F510" t="inlineStr">
        <is>
          <t>UPPSALA LÄN</t>
        </is>
      </c>
      <c r="G510" t="inlineStr">
        <is>
          <t>ÖSTHAMMAR</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23741-2024</t>
        </is>
      </c>
      <c r="B511" t="inlineStr">
        <is>
          <t>avverkningsanmälan</t>
        </is>
      </c>
      <c r="C511" t="inlineStr">
        <is>
          <t>Föryngringsavverkning</t>
        </is>
      </c>
      <c r="D511" s="1" t="n">
        <v>45455</v>
      </c>
      <c r="E511" s="1" t="n">
        <v>46317</v>
      </c>
      <c r="F511" t="inlineStr">
        <is>
          <t>UPPSALA LÄN</t>
        </is>
      </c>
      <c r="G511" t="inlineStr">
        <is>
          <t>ÖSTHAMMAR</t>
        </is>
      </c>
      <c r="H511" t="inlineStr">
        <is>
          <t>Bergvik skog öst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9264-2024</t>
        </is>
      </c>
      <c r="B512" t="inlineStr">
        <is>
          <t>avverkningsanmälan</t>
        </is>
      </c>
      <c r="C512" t="inlineStr">
        <is>
          <t>Föryngringsavverkning</t>
        </is>
      </c>
      <c r="D512" s="1" t="n">
        <v>45358</v>
      </c>
      <c r="E512" s="1" t="n">
        <v>46317</v>
      </c>
      <c r="F512" t="inlineStr">
        <is>
          <t>UPPSALA LÄN</t>
        </is>
      </c>
      <c r="G512" t="inlineStr">
        <is>
          <t>ÖSTHAMMAR</t>
        </is>
      </c>
      <c r="H512" t="inlineStr">
        <is>
          <t>Bergvik skog öst AB</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57043-2022</t>
        </is>
      </c>
      <c r="B513" t="inlineStr">
        <is>
          <t>avverkningsanmälan</t>
        </is>
      </c>
      <c r="C513" t="inlineStr">
        <is>
          <t>Föryngringsavverkning</t>
        </is>
      </c>
      <c r="D513" s="1" t="n">
        <v>44895</v>
      </c>
      <c r="E513" s="1" t="n">
        <v>46317</v>
      </c>
      <c r="F513" t="inlineStr">
        <is>
          <t>UPPSALA LÄN</t>
        </is>
      </c>
      <c r="G513" t="inlineStr">
        <is>
          <t>ÖSTHAMMAR</t>
        </is>
      </c>
      <c r="H513" t="inlineStr">
        <is>
          <t>Bergvik skog öst AB</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15928-2022</t>
        </is>
      </c>
      <c r="B514" t="inlineStr">
        <is>
          <t>avverkningsanmälan</t>
        </is>
      </c>
      <c r="C514" t="inlineStr">
        <is>
          <t>Föryngringsavverkning</t>
        </is>
      </c>
      <c r="D514" s="1" t="n">
        <v>44664</v>
      </c>
      <c r="E514" s="1" t="n">
        <v>46317</v>
      </c>
      <c r="F514" t="inlineStr">
        <is>
          <t>UPPSALA LÄN</t>
        </is>
      </c>
      <c r="G514" t="inlineStr">
        <is>
          <t>ÖSTHAMMAR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28228-2022</t>
        </is>
      </c>
      <c r="B515" t="inlineStr">
        <is>
          <t>avverkningsanmälan</t>
        </is>
      </c>
      <c r="C515" t="inlineStr">
        <is>
          <t>Föryngringsavverkning</t>
        </is>
      </c>
      <c r="D515" s="1" t="n">
        <v>44746</v>
      </c>
      <c r="E515" s="1" t="n">
        <v>46317</v>
      </c>
      <c r="F515" t="inlineStr">
        <is>
          <t>UPPSALA LÄN</t>
        </is>
      </c>
      <c r="G515" t="inlineStr">
        <is>
          <t>ÖSTHAMMAR</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15445-2022</t>
        </is>
      </c>
      <c r="B516" t="inlineStr">
        <is>
          <t>avverkningsanmälan</t>
        </is>
      </c>
      <c r="C516" t="inlineStr">
        <is>
          <t>Föryngringsavverkning</t>
        </is>
      </c>
      <c r="D516" s="1" t="n">
        <v>44660</v>
      </c>
      <c r="E516" s="1" t="n">
        <v>46317</v>
      </c>
      <c r="F516" t="inlineStr">
        <is>
          <t>UPPSALA LÄN</t>
        </is>
      </c>
      <c r="G516" t="inlineStr">
        <is>
          <t>ÖSTHAMMAR</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14124-2022</t>
        </is>
      </c>
      <c r="B517" t="inlineStr">
        <is>
          <t>avverkningsanmälan</t>
        </is>
      </c>
      <c r="C517" t="inlineStr">
        <is>
          <t>Föryngringsavverkning</t>
        </is>
      </c>
      <c r="D517" s="1" t="n">
        <v>44651</v>
      </c>
      <c r="E517" s="1" t="n">
        <v>46317</v>
      </c>
      <c r="F517" t="inlineStr">
        <is>
          <t>UPPSALA LÄN</t>
        </is>
      </c>
      <c r="G517" t="inlineStr">
        <is>
          <t>ÖSTHAMMAR</t>
        </is>
      </c>
      <c r="H517" t="inlineStr">
        <is>
          <t>Bergvik skog öst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37812-2022</t>
        </is>
      </c>
      <c r="B518" t="inlineStr">
        <is>
          <t>avverkningsanmälan</t>
        </is>
      </c>
      <c r="C518" t="inlineStr">
        <is>
          <t>Föryngringsavverkning</t>
        </is>
      </c>
      <c r="D518" s="1" t="n">
        <v>44810</v>
      </c>
      <c r="E518" s="1" t="n">
        <v>46317</v>
      </c>
      <c r="F518" t="inlineStr">
        <is>
          <t>UPPSALA LÄN</t>
        </is>
      </c>
      <c r="G518" t="inlineStr">
        <is>
          <t>ÖSTHAMMAR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41821-2023</t>
        </is>
      </c>
      <c r="B519" t="inlineStr">
        <is>
          <t>avverkningsanmälan</t>
        </is>
      </c>
      <c r="C519" t="inlineStr">
        <is>
          <t>Föryngringsavverkning</t>
        </is>
      </c>
      <c r="D519" s="1" t="n">
        <v>45176</v>
      </c>
      <c r="E519" s="1" t="n">
        <v>46317</v>
      </c>
      <c r="F519" t="inlineStr">
        <is>
          <t>UPPSALA LÄN</t>
        </is>
      </c>
      <c r="G519" t="inlineStr">
        <is>
          <t>ÖSTHAMMAR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32742-2022</t>
        </is>
      </c>
      <c r="B520" t="inlineStr">
        <is>
          <t>avverkningsanmälan</t>
        </is>
      </c>
      <c r="C520" t="inlineStr">
        <is>
          <t>Föryngringsavverkning</t>
        </is>
      </c>
      <c r="D520" s="1" t="n">
        <v>44783</v>
      </c>
      <c r="E520" s="1" t="n">
        <v>46317</v>
      </c>
      <c r="F520" t="inlineStr">
        <is>
          <t>UPPSALA LÄN</t>
        </is>
      </c>
      <c r="G520" t="inlineStr">
        <is>
          <t>ÖSTHAMMAR</t>
        </is>
      </c>
      <c r="H520" t="inlineStr">
        <is>
          <t>Bergvik skog öst AB</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41308-2023</t>
        </is>
      </c>
      <c r="B521" t="inlineStr">
        <is>
          <t>avverkningsanmälan</t>
        </is>
      </c>
      <c r="C521" t="inlineStr">
        <is>
          <t>Föryngringsavverkning</t>
        </is>
      </c>
      <c r="D521" s="1" t="n">
        <v>45174</v>
      </c>
      <c r="E521" s="1" t="n">
        <v>46317</v>
      </c>
      <c r="F521" t="inlineStr">
        <is>
          <t>UPPSALA LÄN</t>
        </is>
      </c>
      <c r="G521" t="inlineStr">
        <is>
          <t>ÖSTHAMMAR</t>
        </is>
      </c>
      <c r="H521" t="inlineStr">
        <is>
          <t>Övriga Aktiebolag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18401-2025</t>
        </is>
      </c>
      <c r="B522" t="inlineStr">
        <is>
          <t>avverkningsanmälan</t>
        </is>
      </c>
      <c r="C522" t="inlineStr">
        <is>
          <t>Föryngringsavverkning</t>
        </is>
      </c>
      <c r="D522" s="1" t="n">
        <v>45762</v>
      </c>
      <c r="E522" s="1" t="n">
        <v>46317</v>
      </c>
      <c r="F522" t="inlineStr">
        <is>
          <t>UPPSALA LÄN</t>
        </is>
      </c>
      <c r="G522" t="inlineStr">
        <is>
          <t>ÖSTHAMMAR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49833-2023</t>
        </is>
      </c>
      <c r="B523" t="inlineStr">
        <is>
          <t>avverkningsanmälan</t>
        </is>
      </c>
      <c r="C523" t="inlineStr">
        <is>
          <t>Föryngringsavverkning</t>
        </is>
      </c>
      <c r="D523" s="1" t="n">
        <v>45212</v>
      </c>
      <c r="E523" s="1" t="n">
        <v>46317</v>
      </c>
      <c r="F523" t="inlineStr">
        <is>
          <t>UPPSALA LÄN</t>
        </is>
      </c>
      <c r="G523" t="inlineStr">
        <is>
          <t>ÖSTHAMMAR</t>
        </is>
      </c>
      <c r="H523" t="inlineStr">
        <is>
          <t>Bergvik skog öst AB</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33973-2025</t>
        </is>
      </c>
      <c r="B524" t="inlineStr">
        <is>
          <t>avverkningsanmälan</t>
        </is>
      </c>
      <c r="C524" t="inlineStr">
        <is>
          <t>Föryngringsavverkning</t>
        </is>
      </c>
      <c r="D524" s="1" t="n">
        <v>45842</v>
      </c>
      <c r="E524" s="1" t="n">
        <v>46317</v>
      </c>
      <c r="F524" t="inlineStr">
        <is>
          <t>UPPSALA LÄN</t>
        </is>
      </c>
      <c r="G524" t="inlineStr">
        <is>
          <t>ÖSTHAMMAR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17433-2025</t>
        </is>
      </c>
      <c r="B525" t="inlineStr">
        <is>
          <t>avverkningsanmälan</t>
        </is>
      </c>
      <c r="C525" t="inlineStr">
        <is>
          <t>Föryngringsavverkning</t>
        </is>
      </c>
      <c r="D525" s="1" t="n">
        <v>45757</v>
      </c>
      <c r="E525" s="1" t="n">
        <v>46317</v>
      </c>
      <c r="F525" t="inlineStr">
        <is>
          <t>UPPSALA LÄN</t>
        </is>
      </c>
      <c r="G525" t="inlineStr">
        <is>
          <t>ÖSTHAMMAR</t>
        </is>
      </c>
      <c r="H525" t="inlineStr">
        <is>
          <t>Övriga Aktiebolag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45550-2023</t>
        </is>
      </c>
      <c r="B526" t="inlineStr">
        <is>
          <t>avverkningsanmälan</t>
        </is>
      </c>
      <c r="C526" t="inlineStr">
        <is>
          <t>Föryngringsavverkning</t>
        </is>
      </c>
      <c r="D526" s="1" t="n">
        <v>45194</v>
      </c>
      <c r="E526" s="1" t="n">
        <v>46317</v>
      </c>
      <c r="F526" t="inlineStr">
        <is>
          <t>UPPSALA LÄN</t>
        </is>
      </c>
      <c r="G526" t="inlineStr">
        <is>
          <t>ÖSTHAMMAR</t>
        </is>
      </c>
      <c r="H526" t="inlineStr">
        <is>
          <t>Bergvik skog öst AB</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54368-2023</t>
        </is>
      </c>
      <c r="B527" t="inlineStr">
        <is>
          <t>avverkningsanmälan</t>
        </is>
      </c>
      <c r="C527" t="inlineStr">
        <is>
          <t>Föryngringsavverkning</t>
        </is>
      </c>
      <c r="D527" s="1" t="n">
        <v>45233</v>
      </c>
      <c r="E527" s="1" t="n">
        <v>46317</v>
      </c>
      <c r="F527" t="inlineStr">
        <is>
          <t>UPPSALA LÄN</t>
        </is>
      </c>
      <c r="G527" t="inlineStr">
        <is>
          <t>ÖSTHAMMAR</t>
        </is>
      </c>
      <c r="H527" t="inlineStr">
        <is>
          <t>Bergvik skog öst AB</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16531-2025</t>
        </is>
      </c>
      <c r="B528" t="inlineStr">
        <is>
          <t>avverkningsanmälan</t>
        </is>
      </c>
      <c r="C528" t="inlineStr">
        <is>
          <t>Avverkning för annat ändamål</t>
        </is>
      </c>
      <c r="D528" s="1" t="n">
        <v>45751</v>
      </c>
      <c r="E528" s="1" t="n">
        <v>46317</v>
      </c>
      <c r="F528" t="inlineStr">
        <is>
          <t>UPPSALA LÄN</t>
        </is>
      </c>
      <c r="G528" t="inlineStr">
        <is>
          <t>ÖSTHAMMAR</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25398-2026</t>
        </is>
      </c>
      <c r="B529" t="inlineStr">
        <is>
          <t>avverkningsanmälan</t>
        </is>
      </c>
      <c r="C529" t="inlineStr">
        <is>
          <t>Föryngringsavverkning</t>
        </is>
      </c>
      <c r="D529" s="1" t="n">
        <v>46176</v>
      </c>
      <c r="E529" s="1" t="n">
        <v>46317</v>
      </c>
      <c r="F529" t="inlineStr">
        <is>
          <t>UPPSALA LÄN</t>
        </is>
      </c>
      <c r="G529" t="inlineStr">
        <is>
          <t>ÖSTHAMMAR</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7216-2025</t>
        </is>
      </c>
      <c r="B530" t="inlineStr">
        <is>
          <t>avverkningsanmälan</t>
        </is>
      </c>
      <c r="C530" t="inlineStr">
        <is>
          <t>Föryngringsavverkning</t>
        </is>
      </c>
      <c r="D530" s="1" t="n">
        <v>45702</v>
      </c>
      <c r="E530" s="1" t="n">
        <v>46317</v>
      </c>
      <c r="F530" t="inlineStr">
        <is>
          <t>UPPSALA LÄN</t>
        </is>
      </c>
      <c r="G530" t="inlineStr">
        <is>
          <t>ÖSTHAMMAR</t>
        </is>
      </c>
      <c r="H530" t="inlineStr">
        <is>
          <t>Övriga Aktiebolag</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25394-2026</t>
        </is>
      </c>
      <c r="B531" t="inlineStr">
        <is>
          <t>avverkningsanmälan</t>
        </is>
      </c>
      <c r="C531" t="inlineStr">
        <is>
          <t>Föryngringsavverkning</t>
        </is>
      </c>
      <c r="D531" s="1" t="n">
        <v>46176</v>
      </c>
      <c r="E531" s="1" t="n">
        <v>46317</v>
      </c>
      <c r="F531" t="inlineStr">
        <is>
          <t>UPPSALA LÄN</t>
        </is>
      </c>
      <c r="G531" t="inlineStr">
        <is>
          <t>ÖSTHAMMAR</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31137-2022</t>
        </is>
      </c>
      <c r="B532" t="inlineStr">
        <is>
          <t>avverkningsanmälan</t>
        </is>
      </c>
      <c r="C532" t="inlineStr">
        <is>
          <t>Föryngringsavverkning</t>
        </is>
      </c>
      <c r="D532" s="1" t="n">
        <v>44770</v>
      </c>
      <c r="E532" s="1" t="n">
        <v>46317</v>
      </c>
      <c r="F532" t="inlineStr">
        <is>
          <t>UPPSALA LÄN</t>
        </is>
      </c>
      <c r="G532" t="inlineStr">
        <is>
          <t>ÖSTHAMMAR</t>
        </is>
      </c>
      <c r="H532" t="inlineStr">
        <is>
          <t>Bergvik skog öst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25366-2026</t>
        </is>
      </c>
      <c r="B533" t="inlineStr">
        <is>
          <t>avverkningsanmälan</t>
        </is>
      </c>
      <c r="C533" t="inlineStr">
        <is>
          <t>Föryngringsavverkning</t>
        </is>
      </c>
      <c r="D533" s="1" t="n">
        <v>46176</v>
      </c>
      <c r="E533" s="1" t="n">
        <v>46317</v>
      </c>
      <c r="F533" t="inlineStr">
        <is>
          <t>UPPSALA LÄN</t>
        </is>
      </c>
      <c r="G533" t="inlineStr">
        <is>
          <t>ÖSTHAMMAR</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25377-2026</t>
        </is>
      </c>
      <c r="B534" t="inlineStr">
        <is>
          <t>avverkningsanmälan</t>
        </is>
      </c>
      <c r="C534" t="inlineStr">
        <is>
          <t>Föryngringsavverkning</t>
        </is>
      </c>
      <c r="D534" s="1" t="n">
        <v>46176</v>
      </c>
      <c r="E534" s="1" t="n">
        <v>46317</v>
      </c>
      <c r="F534" t="inlineStr">
        <is>
          <t>UPPSALA LÄN</t>
        </is>
      </c>
      <c r="G534" t="inlineStr">
        <is>
          <t>ÖSTHAMMAR</t>
        </is>
      </c>
      <c r="I534" t="n">
        <v>14.3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14269-2025</t>
        </is>
      </c>
      <c r="B535" t="inlineStr">
        <is>
          <t>avverkningsanmälan</t>
        </is>
      </c>
      <c r="C535" t="inlineStr">
        <is>
          <t>Föryngringsavverkning</t>
        </is>
      </c>
      <c r="D535" s="1" t="n">
        <v>45740</v>
      </c>
      <c r="E535" s="1" t="n">
        <v>46317</v>
      </c>
      <c r="F535" t="inlineStr">
        <is>
          <t>UPPSALA LÄN</t>
        </is>
      </c>
      <c r="G535" t="inlineStr">
        <is>
          <t>ÖSTHAMMAR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25381-2026</t>
        </is>
      </c>
      <c r="B536" t="inlineStr">
        <is>
          <t>avverkningsanmälan</t>
        </is>
      </c>
      <c r="C536" t="inlineStr">
        <is>
          <t>Föryngringsavverkning</t>
        </is>
      </c>
      <c r="D536" s="1" t="n">
        <v>46176</v>
      </c>
      <c r="E536" s="1" t="n">
        <v>46317</v>
      </c>
      <c r="F536" t="inlineStr">
        <is>
          <t>UPPSALA LÄN</t>
        </is>
      </c>
      <c r="G536" t="inlineStr">
        <is>
          <t>ÖSTHAMMAR</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25396-2026</t>
        </is>
      </c>
      <c r="B537" t="inlineStr">
        <is>
          <t>avverkningsanmälan</t>
        </is>
      </c>
      <c r="C537" t="inlineStr">
        <is>
          <t>Föryngringsavverkning</t>
        </is>
      </c>
      <c r="D537" s="1" t="n">
        <v>46176</v>
      </c>
      <c r="E537" s="1" t="n">
        <v>46317</v>
      </c>
      <c r="F537" t="inlineStr">
        <is>
          <t>UPPSALA LÄN</t>
        </is>
      </c>
      <c r="G537" t="inlineStr">
        <is>
          <t>ÖSTHAMMAR</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44815-2022</t>
        </is>
      </c>
      <c r="B538" t="inlineStr">
        <is>
          <t>avverkningsanmälan</t>
        </is>
      </c>
      <c r="C538" t="inlineStr">
        <is>
          <t>Föryngringsavverkning</t>
        </is>
      </c>
      <c r="D538" s="1" t="n">
        <v>44841</v>
      </c>
      <c r="E538" s="1" t="n">
        <v>46317</v>
      </c>
      <c r="F538" t="inlineStr">
        <is>
          <t>UPPSALA LÄN</t>
        </is>
      </c>
      <c r="G538" t="inlineStr">
        <is>
          <t>ÖSTHAMMAR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29753-2022</t>
        </is>
      </c>
      <c r="B539" t="inlineStr">
        <is>
          <t>avverkningsanmälan</t>
        </is>
      </c>
      <c r="C539" t="inlineStr">
        <is>
          <t>Föryngringsavverkning</t>
        </is>
      </c>
      <c r="D539" s="1" t="n">
        <v>44755</v>
      </c>
      <c r="E539" s="1" t="n">
        <v>46317</v>
      </c>
      <c r="F539" t="inlineStr">
        <is>
          <t>UPPSALA LÄN</t>
        </is>
      </c>
      <c r="G539" t="inlineStr">
        <is>
          <t>ÖSTHAMMAR</t>
        </is>
      </c>
      <c r="I539" t="n">
        <v>9.4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26162-2026</t>
        </is>
      </c>
      <c r="B540" t="inlineStr">
        <is>
          <t>avverkningsanmälan</t>
        </is>
      </c>
      <c r="C540" t="inlineStr">
        <is>
          <t>Föryngringsavverkning</t>
        </is>
      </c>
      <c r="D540" s="1" t="n">
        <v>46181</v>
      </c>
      <c r="E540" s="1" t="n">
        <v>46317</v>
      </c>
      <c r="F540" t="inlineStr">
        <is>
          <t>UPPSALA LÄN</t>
        </is>
      </c>
      <c r="G540" t="inlineStr">
        <is>
          <t>ÖSTHAMMAR</t>
        </is>
      </c>
      <c r="H540" t="inlineStr">
        <is>
          <t>Bergvik skog öst AB</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52629-2023</t>
        </is>
      </c>
      <c r="B541" t="inlineStr">
        <is>
          <t>avverkningsanmälan</t>
        </is>
      </c>
      <c r="C541" t="inlineStr">
        <is>
          <t>Föryngringsavverkning</t>
        </is>
      </c>
      <c r="D541" s="1" t="n">
        <v>45225</v>
      </c>
      <c r="E541" s="1" t="n">
        <v>46317</v>
      </c>
      <c r="F541" t="inlineStr">
        <is>
          <t>UPPSALA LÄN</t>
        </is>
      </c>
      <c r="G541" t="inlineStr">
        <is>
          <t>ÖSTHAMMAR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9642-2024</t>
        </is>
      </c>
      <c r="B542" t="inlineStr">
        <is>
          <t>avverkningsanmälan</t>
        </is>
      </c>
      <c r="C542" t="inlineStr">
        <is>
          <t>Föryngringsavverkning</t>
        </is>
      </c>
      <c r="D542" s="1" t="n">
        <v>45362</v>
      </c>
      <c r="E542" s="1" t="n">
        <v>46317</v>
      </c>
      <c r="F542" t="inlineStr">
        <is>
          <t>UPPSALA LÄN</t>
        </is>
      </c>
      <c r="G542" t="inlineStr">
        <is>
          <t>ÖSTHAMMAR</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31549-2022</t>
        </is>
      </c>
      <c r="B543" t="inlineStr">
        <is>
          <t>avverkningsanmälan</t>
        </is>
      </c>
      <c r="C543" t="inlineStr">
        <is>
          <t>Föryngringsavverkning</t>
        </is>
      </c>
      <c r="D543" s="1" t="n">
        <v>44775</v>
      </c>
      <c r="E543" s="1" t="n">
        <v>46317</v>
      </c>
      <c r="F543" t="inlineStr">
        <is>
          <t>UPPSALA LÄN</t>
        </is>
      </c>
      <c r="G543" t="inlineStr">
        <is>
          <t>ÖSTHAMMAR</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47522-2023</t>
        </is>
      </c>
      <c r="B544" t="inlineStr">
        <is>
          <t>avverkningsanmälan</t>
        </is>
      </c>
      <c r="C544" t="inlineStr">
        <is>
          <t>Föryngringsavverkning</t>
        </is>
      </c>
      <c r="D544" s="1" t="n">
        <v>45203</v>
      </c>
      <c r="E544" s="1" t="n">
        <v>46317</v>
      </c>
      <c r="F544" t="inlineStr">
        <is>
          <t>UPPSALA LÄN</t>
        </is>
      </c>
      <c r="G544" t="inlineStr">
        <is>
          <t>ÖSTHAMMAR</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26305-2026</t>
        </is>
      </c>
      <c r="B545" t="inlineStr">
        <is>
          <t>avverkningsanmälan</t>
        </is>
      </c>
      <c r="C545" t="inlineStr">
        <is>
          <t>Föryngringsavverkning</t>
        </is>
      </c>
      <c r="D545" s="1" t="n">
        <v>46182</v>
      </c>
      <c r="E545" s="1" t="n">
        <v>46317</v>
      </c>
      <c r="F545" t="inlineStr">
        <is>
          <t>UPPSALA LÄN</t>
        </is>
      </c>
      <c r="G545" t="inlineStr">
        <is>
          <t>ÖSTHAMMAR</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26581-2026</t>
        </is>
      </c>
      <c r="B546" t="inlineStr">
        <is>
          <t>avverkningsanmälan</t>
        </is>
      </c>
      <c r="C546" t="inlineStr">
        <is>
          <t>Föryngringsavverkning</t>
        </is>
      </c>
      <c r="D546" s="1" t="n">
        <v>46183</v>
      </c>
      <c r="E546" s="1" t="n">
        <v>46317</v>
      </c>
      <c r="F546" t="inlineStr">
        <is>
          <t>UPPSALA LÄN</t>
        </is>
      </c>
      <c r="G546" t="inlineStr">
        <is>
          <t>ÖSTHAMMAR</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26524-2026</t>
        </is>
      </c>
      <c r="B547" t="inlineStr">
        <is>
          <t>avverkningsanmälan</t>
        </is>
      </c>
      <c r="C547" t="inlineStr">
        <is>
          <t>Föryngringsavverkning</t>
        </is>
      </c>
      <c r="D547" s="1" t="n">
        <v>46183</v>
      </c>
      <c r="E547" s="1" t="n">
        <v>46317</v>
      </c>
      <c r="F547" t="inlineStr">
        <is>
          <t>UPPSALA LÄN</t>
        </is>
      </c>
      <c r="G547" t="inlineStr">
        <is>
          <t>ÖSTHAMMAR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13738-2023</t>
        </is>
      </c>
      <c r="B548" t="inlineStr">
        <is>
          <t>avverkningsanmälan</t>
        </is>
      </c>
      <c r="C548" t="inlineStr">
        <is>
          <t>Föryngringsavverkning</t>
        </is>
      </c>
      <c r="D548" s="1" t="n">
        <v>45007</v>
      </c>
      <c r="E548" s="1" t="n">
        <v>46317</v>
      </c>
      <c r="F548" t="inlineStr">
        <is>
          <t>UPPSALA LÄN</t>
        </is>
      </c>
      <c r="G548" t="inlineStr">
        <is>
          <t>ÖSTHAMMAR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34971-2022</t>
        </is>
      </c>
      <c r="B549" t="inlineStr">
        <is>
          <t>avverkningsanmälan</t>
        </is>
      </c>
      <c r="C549" t="inlineStr">
        <is>
          <t>Föryngringsavverkning</t>
        </is>
      </c>
      <c r="D549" s="1" t="n">
        <v>44796</v>
      </c>
      <c r="E549" s="1" t="n">
        <v>46317</v>
      </c>
      <c r="F549" t="inlineStr">
        <is>
          <t>UPPSALA LÄN</t>
        </is>
      </c>
      <c r="G549" t="inlineStr">
        <is>
          <t>ÖSTHAMMAR</t>
        </is>
      </c>
      <c r="H549" t="inlineStr">
        <is>
          <t>Bergvik skog öst AB</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26778-2026</t>
        </is>
      </c>
      <c r="B550" t="inlineStr">
        <is>
          <t>avverkningsanmälan</t>
        </is>
      </c>
      <c r="C550" t="inlineStr">
        <is>
          <t>Föryngringsavverkning</t>
        </is>
      </c>
      <c r="D550" s="1" t="n">
        <v>46184</v>
      </c>
      <c r="E550" s="1" t="n">
        <v>46317</v>
      </c>
      <c r="F550" t="inlineStr">
        <is>
          <t>UPPSALA LÄN</t>
        </is>
      </c>
      <c r="G550" t="inlineStr">
        <is>
          <t>ÖSTHAMMAR</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20038-2023</t>
        </is>
      </c>
      <c r="B551" t="inlineStr">
        <is>
          <t>avverkningsanmälan</t>
        </is>
      </c>
      <c r="C551" t="inlineStr">
        <is>
          <t>Föryngringsavverkning</t>
        </is>
      </c>
      <c r="D551" s="1" t="n">
        <v>45054</v>
      </c>
      <c r="E551" s="1" t="n">
        <v>46317</v>
      </c>
      <c r="F551" t="inlineStr">
        <is>
          <t>UPPSALA LÄN</t>
        </is>
      </c>
      <c r="G551" t="inlineStr">
        <is>
          <t>ÖSTHAMMAR</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6121-2024</t>
        </is>
      </c>
      <c r="B552" t="inlineStr">
        <is>
          <t>avverkningsanmälan</t>
        </is>
      </c>
      <c r="C552" t="inlineStr">
        <is>
          <t>Föryngringsavverkning</t>
        </is>
      </c>
      <c r="D552" s="1" t="n">
        <v>45337</v>
      </c>
      <c r="E552" s="1" t="n">
        <v>46317</v>
      </c>
      <c r="F552" t="inlineStr">
        <is>
          <t>UPPSALA LÄN</t>
        </is>
      </c>
      <c r="G552" t="inlineStr">
        <is>
          <t>ÖSTHAMMAR</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60555-2023</t>
        </is>
      </c>
      <c r="B553" t="inlineStr">
        <is>
          <t>avverkningsanmälan</t>
        </is>
      </c>
      <c r="C553" t="inlineStr">
        <is>
          <t>Föryngringsavverkning</t>
        </is>
      </c>
      <c r="D553" s="1" t="n">
        <v>45259</v>
      </c>
      <c r="E553" s="1" t="n">
        <v>46317</v>
      </c>
      <c r="F553" t="inlineStr">
        <is>
          <t>UPPSALA LÄN</t>
        </is>
      </c>
      <c r="G553" t="inlineStr">
        <is>
          <t>ÖSTHAMMAR</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60584-2021</t>
        </is>
      </c>
      <c r="B554" t="inlineStr">
        <is>
          <t>avverkningsanmälan</t>
        </is>
      </c>
      <c r="C554" t="inlineStr">
        <is>
          <t>Föryngringsavverkning</t>
        </is>
      </c>
      <c r="D554" s="1" t="n">
        <v>44496</v>
      </c>
      <c r="E554" s="1" t="n">
        <v>46317</v>
      </c>
      <c r="F554" t="inlineStr">
        <is>
          <t>UPPSALA LÄN</t>
        </is>
      </c>
      <c r="G554" t="inlineStr">
        <is>
          <t>ÖSTHAMMAR</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6884-2026</t>
        </is>
      </c>
      <c r="B555" t="inlineStr">
        <is>
          <t>avverkningsanmälan</t>
        </is>
      </c>
      <c r="C555" t="inlineStr">
        <is>
          <t>Föryngringsavverkning</t>
        </is>
      </c>
      <c r="D555" s="1" t="n">
        <v>46057</v>
      </c>
      <c r="E555" s="1" t="n">
        <v>46317</v>
      </c>
      <c r="F555" t="inlineStr">
        <is>
          <t>UPPSALA LÄN</t>
        </is>
      </c>
      <c r="G555" t="inlineStr">
        <is>
          <t>ÖSTHAMMAR</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48719-2023</t>
        </is>
      </c>
      <c r="B556" t="inlineStr">
        <is>
          <t>avverkningsanmälan</t>
        </is>
      </c>
      <c r="C556" t="inlineStr">
        <is>
          <t>Föryngringsavverkning</t>
        </is>
      </c>
      <c r="D556" s="1" t="n">
        <v>45208</v>
      </c>
      <c r="E556" s="1" t="n">
        <v>46317</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33601-2024</t>
        </is>
      </c>
      <c r="B557" t="inlineStr">
        <is>
          <t>avverkningsanmälan</t>
        </is>
      </c>
      <c r="C557" t="inlineStr">
        <is>
          <t>Föryngringsavverkning</t>
        </is>
      </c>
      <c r="D557" s="1" t="n">
        <v>45520</v>
      </c>
      <c r="E557" s="1" t="n">
        <v>46317</v>
      </c>
      <c r="F557" t="inlineStr">
        <is>
          <t>UPPSALA LÄN</t>
        </is>
      </c>
      <c r="G557" t="inlineStr">
        <is>
          <t>ÖSTHAMMAR</t>
        </is>
      </c>
      <c r="H557" t="inlineStr">
        <is>
          <t>Övriga Aktiebolag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28021-2026</t>
        </is>
      </c>
      <c r="B558" t="inlineStr">
        <is>
          <t>avverkningsanmälan</t>
        </is>
      </c>
      <c r="C558" t="inlineStr">
        <is>
          <t>Föryngringsavverkning</t>
        </is>
      </c>
      <c r="D558" s="1" t="n">
        <v>46195</v>
      </c>
      <c r="E558" s="1" t="n">
        <v>46317</v>
      </c>
      <c r="F558" t="inlineStr">
        <is>
          <t>UPPSALA LÄN</t>
        </is>
      </c>
      <c r="G558" t="inlineStr">
        <is>
          <t>ÖSTHAMMAR</t>
        </is>
      </c>
      <c r="H558" t="inlineStr">
        <is>
          <t>Bergvik skog öst AB</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28385-2026</t>
        </is>
      </c>
      <c r="B559" t="inlineStr">
        <is>
          <t>avverkningsanmälan</t>
        </is>
      </c>
      <c r="C559" t="inlineStr">
        <is>
          <t>Föryngringsavverkning</t>
        </is>
      </c>
      <c r="D559" s="1" t="n">
        <v>46196</v>
      </c>
      <c r="E559" s="1" t="n">
        <v>46317</v>
      </c>
      <c r="F559" t="inlineStr">
        <is>
          <t>UPPSALA LÄN</t>
        </is>
      </c>
      <c r="G559" t="inlineStr">
        <is>
          <t>ÖSTHAMMAR</t>
        </is>
      </c>
      <c r="H559" t="inlineStr">
        <is>
          <t>Bergvik skog öst AB</t>
        </is>
      </c>
      <c r="I559" t="n">
        <v>18.6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30755-2024</t>
        </is>
      </c>
      <c r="B560" t="inlineStr">
        <is>
          <t>avverkningsanmälan</t>
        </is>
      </c>
      <c r="C560" t="inlineStr">
        <is>
          <t>Föryngringsavverkning</t>
        </is>
      </c>
      <c r="D560" s="1" t="n">
        <v>45496</v>
      </c>
      <c r="E560" s="1" t="n">
        <v>46317</v>
      </c>
      <c r="F560" t="inlineStr">
        <is>
          <t>UPPSALA LÄN</t>
        </is>
      </c>
      <c r="G560" t="inlineStr">
        <is>
          <t>ÖSTHAMMAR</t>
        </is>
      </c>
      <c r="H560" t="inlineStr">
        <is>
          <t>Bergvik skog öst AB</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33760-2024</t>
        </is>
      </c>
      <c r="B561" t="inlineStr">
        <is>
          <t>avverkningsanmälan</t>
        </is>
      </c>
      <c r="C561" t="inlineStr">
        <is>
          <t>Föryngringsavverkning</t>
        </is>
      </c>
      <c r="D561" s="1" t="n">
        <v>45520</v>
      </c>
      <c r="E561" s="1" t="n">
        <v>46317</v>
      </c>
      <c r="F561" t="inlineStr">
        <is>
          <t>UPPSALA LÄN</t>
        </is>
      </c>
      <c r="G561" t="inlineStr">
        <is>
          <t>ÖSTHAMMAR</t>
        </is>
      </c>
      <c r="H561" t="inlineStr">
        <is>
          <t>Övriga Aktiebolag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29100-2026</t>
        </is>
      </c>
      <c r="B562" t="inlineStr">
        <is>
          <t>avverkningsanmälan</t>
        </is>
      </c>
      <c r="C562" t="inlineStr">
        <is>
          <t>Föryngringsavverkning</t>
        </is>
      </c>
      <c r="D562" s="1" t="n">
        <v>46200</v>
      </c>
      <c r="E562" s="1" t="n">
        <v>46317</v>
      </c>
      <c r="F562" t="inlineStr">
        <is>
          <t>UPPSALA LÄN</t>
        </is>
      </c>
      <c r="G562" t="inlineStr">
        <is>
          <t>ÖSTHAMMAR</t>
        </is>
      </c>
      <c r="H562" t="inlineStr">
        <is>
          <t>Bergvik skog öst AB</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29101-2026</t>
        </is>
      </c>
      <c r="B563" t="inlineStr">
        <is>
          <t>avverkningsanmälan</t>
        </is>
      </c>
      <c r="C563" t="inlineStr">
        <is>
          <t>Föryngringsavverkning</t>
        </is>
      </c>
      <c r="D563" s="1" t="n">
        <v>46200</v>
      </c>
      <c r="E563" s="1" t="n">
        <v>46317</v>
      </c>
      <c r="F563" t="inlineStr">
        <is>
          <t>UPPSALA LÄN</t>
        </is>
      </c>
      <c r="G563" t="inlineStr">
        <is>
          <t>ÖSTHAMMAR</t>
        </is>
      </c>
      <c r="H563" t="inlineStr">
        <is>
          <t>Bergvik skog öst AB</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29106-2026</t>
        </is>
      </c>
      <c r="B564" t="inlineStr">
        <is>
          <t>avverkningsanmälan</t>
        </is>
      </c>
      <c r="C564" t="inlineStr">
        <is>
          <t>Föryngringsavverkning</t>
        </is>
      </c>
      <c r="D564" s="1" t="n">
        <v>46200</v>
      </c>
      <c r="E564" s="1" t="n">
        <v>46317</v>
      </c>
      <c r="F564" t="inlineStr">
        <is>
          <t>UPPSALA LÄN</t>
        </is>
      </c>
      <c r="G564" t="inlineStr">
        <is>
          <t>ÖSTHAMMAR</t>
        </is>
      </c>
      <c r="H564" t="inlineStr">
        <is>
          <t>Bergvik skog öst AB</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3725-2022</t>
        </is>
      </c>
      <c r="B565" t="inlineStr">
        <is>
          <t>avverkningsanmälan</t>
        </is>
      </c>
      <c r="C565" t="inlineStr">
        <is>
          <t>Avverkning för annat ändamål</t>
        </is>
      </c>
      <c r="D565" s="1" t="n">
        <v>44586</v>
      </c>
      <c r="E565" s="1" t="n">
        <v>46317</v>
      </c>
      <c r="F565" t="inlineStr">
        <is>
          <t>UPPSALA LÄN</t>
        </is>
      </c>
      <c r="G565" t="inlineStr">
        <is>
          <t>ÖSTHAMMAR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8006-2023</t>
        </is>
      </c>
      <c r="B566" t="inlineStr">
        <is>
          <t>avverkningsanmälan</t>
        </is>
      </c>
      <c r="C566" t="inlineStr">
        <is>
          <t>Föryngringsavverkning</t>
        </is>
      </c>
      <c r="D566" s="1" t="n">
        <v>44973</v>
      </c>
      <c r="E566" s="1" t="n">
        <v>46317</v>
      </c>
      <c r="F566" t="inlineStr">
        <is>
          <t>UPPSALA LÄN</t>
        </is>
      </c>
      <c r="G566" t="inlineStr">
        <is>
          <t>ÖSTHAMMAR</t>
        </is>
      </c>
      <c r="H566" t="inlineStr">
        <is>
          <t>Bergvik skog öst AB</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28938-2026</t>
        </is>
      </c>
      <c r="B567" t="inlineStr">
        <is>
          <t>avverkningsanmälan</t>
        </is>
      </c>
      <c r="C567" t="inlineStr">
        <is>
          <t>Föryngringsavverkning</t>
        </is>
      </c>
      <c r="D567" s="1" t="n">
        <v>46199</v>
      </c>
      <c r="E567" s="1" t="n">
        <v>46317</v>
      </c>
      <c r="F567" t="inlineStr">
        <is>
          <t>UPPSALA LÄN</t>
        </is>
      </c>
      <c r="G567" t="inlineStr">
        <is>
          <t>ÖSTHAMMAR</t>
        </is>
      </c>
      <c r="H567" t="inlineStr">
        <is>
          <t>Övriga Aktiebolag</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28949-2026</t>
        </is>
      </c>
      <c r="B568" t="inlineStr">
        <is>
          <t>avverkningsanmälan</t>
        </is>
      </c>
      <c r="C568" t="inlineStr">
        <is>
          <t>Föryngringsavverkning</t>
        </is>
      </c>
      <c r="D568" s="1" t="n">
        <v>46199</v>
      </c>
      <c r="E568" s="1" t="n">
        <v>46317</v>
      </c>
      <c r="F568" t="inlineStr">
        <is>
          <t>UPPSALA LÄN</t>
        </is>
      </c>
      <c r="G568" t="inlineStr">
        <is>
          <t>ÖSTHAMMAR</t>
        </is>
      </c>
      <c r="H568" t="inlineStr">
        <is>
          <t>Naturvårdsverket</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11469-2023</t>
        </is>
      </c>
      <c r="B569" t="inlineStr">
        <is>
          <t>avverkningsanmälan</t>
        </is>
      </c>
      <c r="C569" t="inlineStr">
        <is>
          <t>Föryngringsavverkning</t>
        </is>
      </c>
      <c r="D569" s="1" t="n">
        <v>44993</v>
      </c>
      <c r="E569" s="1" t="n">
        <v>46317</v>
      </c>
      <c r="F569" t="inlineStr">
        <is>
          <t>UPPSALA LÄN</t>
        </is>
      </c>
      <c r="G569" t="inlineStr">
        <is>
          <t>ÖSTHAMMAR</t>
        </is>
      </c>
      <c r="H569" t="inlineStr">
        <is>
          <t>Bergvik skog öst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18113-2023</t>
        </is>
      </c>
      <c r="B570" t="inlineStr">
        <is>
          <t>avverkningsanmälan</t>
        </is>
      </c>
      <c r="C570" t="inlineStr">
        <is>
          <t>Föryngringsavverkning</t>
        </is>
      </c>
      <c r="D570" s="1" t="n">
        <v>45040</v>
      </c>
      <c r="E570" s="1" t="n">
        <v>46317</v>
      </c>
      <c r="F570" t="inlineStr">
        <is>
          <t>UPPSALA LÄN</t>
        </is>
      </c>
      <c r="G570" t="inlineStr">
        <is>
          <t>ÖSTHAMMAR</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52389-2022</t>
        </is>
      </c>
      <c r="B571" t="inlineStr">
        <is>
          <t>avverkningsanmälan</t>
        </is>
      </c>
      <c r="C571" t="inlineStr">
        <is>
          <t>Föryngringsavverkning</t>
        </is>
      </c>
      <c r="D571" s="1" t="n">
        <v>44874</v>
      </c>
      <c r="E571" s="1" t="n">
        <v>46317</v>
      </c>
      <c r="F571" t="inlineStr">
        <is>
          <t>UPPSALA LÄN</t>
        </is>
      </c>
      <c r="G571" t="inlineStr">
        <is>
          <t>ÖSTHAMMAR</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1238-2022</t>
        </is>
      </c>
      <c r="B572" t="inlineStr">
        <is>
          <t>avverkningsanmälan</t>
        </is>
      </c>
      <c r="C572" t="inlineStr">
        <is>
          <t>Föryngringsavverkning</t>
        </is>
      </c>
      <c r="D572" s="1" t="n">
        <v>44572</v>
      </c>
      <c r="E572" s="1" t="n">
        <v>46317</v>
      </c>
      <c r="F572" t="inlineStr">
        <is>
          <t>UPPSALA LÄN</t>
        </is>
      </c>
      <c r="G572" t="inlineStr">
        <is>
          <t>ÖSTHAMMAR</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3327-2023</t>
        </is>
      </c>
      <c r="B573" t="inlineStr">
        <is>
          <t>avverkningsanmälan</t>
        </is>
      </c>
      <c r="C573" t="inlineStr">
        <is>
          <t>Föryngringsavverkning</t>
        </is>
      </c>
      <c r="D573" s="1" t="n">
        <v>44949</v>
      </c>
      <c r="E573" s="1" t="n">
        <v>46317</v>
      </c>
      <c r="F573" t="inlineStr">
        <is>
          <t>UPPSALA LÄN</t>
        </is>
      </c>
      <c r="G573" t="inlineStr">
        <is>
          <t>ÖSTHAMMAR</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4233-2023</t>
        </is>
      </c>
      <c r="B574" t="inlineStr">
        <is>
          <t>avverkningsanmälan</t>
        </is>
      </c>
      <c r="C574" t="inlineStr">
        <is>
          <t>Föryngringsavverkning</t>
        </is>
      </c>
      <c r="D574" s="1" t="n">
        <v>44953</v>
      </c>
      <c r="E574" s="1" t="n">
        <v>46317</v>
      </c>
      <c r="F574" t="inlineStr">
        <is>
          <t>UPPSALA LÄN</t>
        </is>
      </c>
      <c r="G574" t="inlineStr">
        <is>
          <t>ÖSTHAMMAR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30427-2026</t>
        </is>
      </c>
      <c r="B575" t="inlineStr">
        <is>
          <t>avverkningsanmälan</t>
        </is>
      </c>
      <c r="C575" t="inlineStr">
        <is>
          <t>Föryngringsavverkning</t>
        </is>
      </c>
      <c r="D575" s="1" t="n">
        <v>46209</v>
      </c>
      <c r="E575" s="1" t="n">
        <v>46317</v>
      </c>
      <c r="F575" t="inlineStr">
        <is>
          <t>UPPSALA LÄN</t>
        </is>
      </c>
      <c r="G575" t="inlineStr">
        <is>
          <t>ÖSTHAMMAR</t>
        </is>
      </c>
      <c r="H575" t="inlineStr">
        <is>
          <t>Bergvik skog öst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30429-2026</t>
        </is>
      </c>
      <c r="B576" t="inlineStr">
        <is>
          <t>avverkningsanmälan</t>
        </is>
      </c>
      <c r="C576" t="inlineStr">
        <is>
          <t>Föryngringsavverkning</t>
        </is>
      </c>
      <c r="D576" s="1" t="n">
        <v>46209</v>
      </c>
      <c r="E576" s="1" t="n">
        <v>46317</v>
      </c>
      <c r="F576" t="inlineStr">
        <is>
          <t>UPPSALA LÄN</t>
        </is>
      </c>
      <c r="G576" t="inlineStr">
        <is>
          <t>ÖSTHAMMAR</t>
        </is>
      </c>
      <c r="H576" t="inlineStr">
        <is>
          <t>Bergvik skog öst AB</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30811-2023</t>
        </is>
      </c>
      <c r="B577" t="inlineStr">
        <is>
          <t>avverkningsanmälan</t>
        </is>
      </c>
      <c r="C577" t="inlineStr">
        <is>
          <t>Föryngringsavverkning</t>
        </is>
      </c>
      <c r="D577" s="1" t="n">
        <v>45112</v>
      </c>
      <c r="E577" s="1" t="n">
        <v>46317</v>
      </c>
      <c r="F577" t="inlineStr">
        <is>
          <t>UPPSALA LÄN</t>
        </is>
      </c>
      <c r="G577" t="inlineStr">
        <is>
          <t>ÖSTHAMMAR</t>
        </is>
      </c>
      <c r="H577" t="inlineStr">
        <is>
          <t>Bergvik skog öst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26557-2022</t>
        </is>
      </c>
      <c r="B578" t="inlineStr">
        <is>
          <t>avverkningsanmälan</t>
        </is>
      </c>
      <c r="C578" t="inlineStr">
        <is>
          <t>Föryngringsavverkning</t>
        </is>
      </c>
      <c r="D578" s="1" t="n">
        <v>44739</v>
      </c>
      <c r="E578" s="1" t="n">
        <v>46317</v>
      </c>
      <c r="F578" t="inlineStr">
        <is>
          <t>UPPSALA LÄN</t>
        </is>
      </c>
      <c r="G578" t="inlineStr">
        <is>
          <t>ÖSTHAMMAR</t>
        </is>
      </c>
      <c r="H578" t="inlineStr">
        <is>
          <t>Övriga statliga verk och myndigheter</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30207-2026</t>
        </is>
      </c>
      <c r="B579" t="inlineStr">
        <is>
          <t>avverkningsanmälan</t>
        </is>
      </c>
      <c r="C579" t="inlineStr">
        <is>
          <t>Föryngringsavverkning</t>
        </is>
      </c>
      <c r="D579" s="1" t="n">
        <v>46206</v>
      </c>
      <c r="E579" s="1" t="n">
        <v>46317</v>
      </c>
      <c r="F579" t="inlineStr">
        <is>
          <t>UPPSALA LÄN</t>
        </is>
      </c>
      <c r="G579" t="inlineStr">
        <is>
          <t>ÖSTHAMMAR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8708-2022</t>
        </is>
      </c>
      <c r="B580" t="inlineStr">
        <is>
          <t>avverkningsanmälan</t>
        </is>
      </c>
      <c r="C580" t="inlineStr">
        <is>
          <t>Föryngringsavverkning</t>
        </is>
      </c>
      <c r="D580" s="1" t="n">
        <v>44613</v>
      </c>
      <c r="E580" s="1" t="n">
        <v>46317</v>
      </c>
      <c r="F580" t="inlineStr">
        <is>
          <t>UPPSALA LÄN</t>
        </is>
      </c>
      <c r="G580" t="inlineStr">
        <is>
          <t>ÖSTHAMMAR</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30242-2026</t>
        </is>
      </c>
      <c r="B581" t="inlineStr">
        <is>
          <t>avverkningsanmälan</t>
        </is>
      </c>
      <c r="C581" t="inlineStr">
        <is>
          <t>Föryngringsavverkning</t>
        </is>
      </c>
      <c r="D581" s="1" t="n">
        <v>46206</v>
      </c>
      <c r="E581" s="1" t="n">
        <v>46317</v>
      </c>
      <c r="F581" t="inlineStr">
        <is>
          <t>UPPSALA LÄN</t>
        </is>
      </c>
      <c r="G581" t="inlineStr">
        <is>
          <t>ÖSTHAMMAR</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30420-2026</t>
        </is>
      </c>
      <c r="B582" t="inlineStr">
        <is>
          <t>avverkningsanmälan</t>
        </is>
      </c>
      <c r="C582" t="inlineStr">
        <is>
          <t>Föryngringsavverkning</t>
        </is>
      </c>
      <c r="D582" s="1" t="n">
        <v>46209</v>
      </c>
      <c r="E582" s="1" t="n">
        <v>46317</v>
      </c>
      <c r="F582" t="inlineStr">
        <is>
          <t>UPPSALA LÄN</t>
        </is>
      </c>
      <c r="G582" t="inlineStr">
        <is>
          <t>ÖSTHAMMAR</t>
        </is>
      </c>
      <c r="H582" t="inlineStr">
        <is>
          <t>Bergvik skog öst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30421-2026</t>
        </is>
      </c>
      <c r="B583" t="inlineStr">
        <is>
          <t>avverkningsanmälan</t>
        </is>
      </c>
      <c r="C583" t="inlineStr">
        <is>
          <t>Föryngringsavverkning</t>
        </is>
      </c>
      <c r="D583" s="1" t="n">
        <v>46209</v>
      </c>
      <c r="E583" s="1" t="n">
        <v>46317</v>
      </c>
      <c r="F583" t="inlineStr">
        <is>
          <t>UPPSALA LÄN</t>
        </is>
      </c>
      <c r="G583" t="inlineStr">
        <is>
          <t>ÖSTHAMMAR</t>
        </is>
      </c>
      <c r="H583" t="inlineStr">
        <is>
          <t>Bergvik skog öst AB</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30338-2026</t>
        </is>
      </c>
      <c r="B584" t="inlineStr">
        <is>
          <t>avverkningsanmälan</t>
        </is>
      </c>
      <c r="C584" t="inlineStr">
        <is>
          <t>Föryngringsavverkning</t>
        </is>
      </c>
      <c r="D584" s="1" t="n">
        <v>46209</v>
      </c>
      <c r="E584" s="1" t="n">
        <v>46317</v>
      </c>
      <c r="F584" t="inlineStr">
        <is>
          <t>UPPSALA LÄN</t>
        </is>
      </c>
      <c r="G584" t="inlineStr">
        <is>
          <t>ÖSTHAMMAR</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30189-2026</t>
        </is>
      </c>
      <c r="B585" t="inlineStr">
        <is>
          <t>avverkningsanmälan</t>
        </is>
      </c>
      <c r="C585" t="inlineStr">
        <is>
          <t>Föryngringsavverkning</t>
        </is>
      </c>
      <c r="D585" s="1" t="n">
        <v>46206</v>
      </c>
      <c r="E585" s="1" t="n">
        <v>46317</v>
      </c>
      <c r="F585" t="inlineStr">
        <is>
          <t>UPPSALA LÄN</t>
        </is>
      </c>
      <c r="G585" t="inlineStr">
        <is>
          <t>ÖSTHAMMAR</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30424-2026</t>
        </is>
      </c>
      <c r="B586" t="inlineStr">
        <is>
          <t>avverkningsanmälan</t>
        </is>
      </c>
      <c r="C586" t="inlineStr">
        <is>
          <t>Föryngringsavverkning</t>
        </is>
      </c>
      <c r="D586" s="1" t="n">
        <v>46209</v>
      </c>
      <c r="E586" s="1" t="n">
        <v>46317</v>
      </c>
      <c r="F586" t="inlineStr">
        <is>
          <t>UPPSALA LÄN</t>
        </is>
      </c>
      <c r="G586" t="inlineStr">
        <is>
          <t>ÖSTHAMMAR</t>
        </is>
      </c>
      <c r="H586" t="inlineStr">
        <is>
          <t>Bergvik skog öst AB</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25269-2024</t>
        </is>
      </c>
      <c r="B587" t="inlineStr">
        <is>
          <t>avverkningsanmälan</t>
        </is>
      </c>
      <c r="C587" t="inlineStr">
        <is>
          <t>Föryngringsavverkning</t>
        </is>
      </c>
      <c r="D587" s="1" t="n">
        <v>45462</v>
      </c>
      <c r="E587" s="1" t="n">
        <v>46317</v>
      </c>
      <c r="F587" t="inlineStr">
        <is>
          <t>UPPSALA LÄN</t>
        </is>
      </c>
      <c r="G587" t="inlineStr">
        <is>
          <t>ÖSTHAMMAR</t>
        </is>
      </c>
      <c r="H587" t="inlineStr">
        <is>
          <t>Bergvik skog öst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59382-2022</t>
        </is>
      </c>
      <c r="B588" t="inlineStr">
        <is>
          <t>avverkningsanmälan</t>
        </is>
      </c>
      <c r="C588" t="inlineStr">
        <is>
          <t>Föryngringsavverkning</t>
        </is>
      </c>
      <c r="D588" s="1" t="n">
        <v>44905</v>
      </c>
      <c r="E588" s="1" t="n">
        <v>46317</v>
      </c>
      <c r="F588" t="inlineStr">
        <is>
          <t>UPPSALA LÄN</t>
        </is>
      </c>
      <c r="G588" t="inlineStr">
        <is>
          <t>ÖSTHAMMAR</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25969-2023</t>
        </is>
      </c>
      <c r="B589" t="inlineStr">
        <is>
          <t>avverkningsanmälan</t>
        </is>
      </c>
      <c r="C589" t="inlineStr">
        <is>
          <t>Föryngringsavverkning</t>
        </is>
      </c>
      <c r="D589" s="1" t="n">
        <v>45090</v>
      </c>
      <c r="E589" s="1" t="n">
        <v>46317</v>
      </c>
      <c r="F589" t="inlineStr">
        <is>
          <t>UPPSALA LÄN</t>
        </is>
      </c>
      <c r="G589" t="inlineStr">
        <is>
          <t>ÖSTHAMMAR</t>
        </is>
      </c>
      <c r="H589" t="inlineStr">
        <is>
          <t>Sveaskog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56903-2023</t>
        </is>
      </c>
      <c r="B590" t="inlineStr">
        <is>
          <t>avverkningsanmälan</t>
        </is>
      </c>
      <c r="C590" t="inlineStr">
        <is>
          <t>Föryngringsavverkning</t>
        </is>
      </c>
      <c r="D590" s="1" t="n">
        <v>45244</v>
      </c>
      <c r="E590" s="1" t="n">
        <v>46317</v>
      </c>
      <c r="F590" t="inlineStr">
        <is>
          <t>UPPSALA LÄN</t>
        </is>
      </c>
      <c r="G590" t="inlineStr">
        <is>
          <t>ÖSTHAMMAR</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30680-2026</t>
        </is>
      </c>
      <c r="B591" t="inlineStr">
        <is>
          <t>avverkningsanmälan</t>
        </is>
      </c>
      <c r="C591" t="inlineStr">
        <is>
          <t>Föryngringsavverkning</t>
        </is>
      </c>
      <c r="D591" s="1" t="n">
        <v>46211</v>
      </c>
      <c r="E591" s="1" t="n">
        <v>46317</v>
      </c>
      <c r="F591" t="inlineStr">
        <is>
          <t>UPPSALA LÄN</t>
        </is>
      </c>
      <c r="G591" t="inlineStr">
        <is>
          <t>ÖSTHAMMAR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67151-2021</t>
        </is>
      </c>
      <c r="B592" t="inlineStr">
        <is>
          <t>avverkningsanmälan</t>
        </is>
      </c>
      <c r="C592" t="inlineStr">
        <is>
          <t>Föryngringsavverkning</t>
        </is>
      </c>
      <c r="D592" s="1" t="n">
        <v>44523</v>
      </c>
      <c r="E592" s="1" t="n">
        <v>46317</v>
      </c>
      <c r="F592" t="inlineStr">
        <is>
          <t>UPPSALA LÄN</t>
        </is>
      </c>
      <c r="G592" t="inlineStr">
        <is>
          <t>ÖSTHAMMAR</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29824-2023</t>
        </is>
      </c>
      <c r="B593" t="inlineStr">
        <is>
          <t>avverkningsanmälan</t>
        </is>
      </c>
      <c r="C593" t="inlineStr">
        <is>
          <t>Föryngringsavverkning</t>
        </is>
      </c>
      <c r="D593" s="1" t="n">
        <v>45107</v>
      </c>
      <c r="E593" s="1" t="n">
        <v>46317</v>
      </c>
      <c r="F593" t="inlineStr">
        <is>
          <t>UPPSALA LÄN</t>
        </is>
      </c>
      <c r="G593" t="inlineStr">
        <is>
          <t>ÖSTHAMMAR</t>
        </is>
      </c>
      <c r="H593" t="inlineStr">
        <is>
          <t>Naturvårdsverket</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30728-2026</t>
        </is>
      </c>
      <c r="B594" t="inlineStr">
        <is>
          <t>avverkningsanmälan</t>
        </is>
      </c>
      <c r="C594" t="inlineStr">
        <is>
          <t>Föryngringsavverkning</t>
        </is>
      </c>
      <c r="D594" s="1" t="n">
        <v>46211</v>
      </c>
      <c r="E594" s="1" t="n">
        <v>46317</v>
      </c>
      <c r="F594" t="inlineStr">
        <is>
          <t>UPPSALA LÄN</t>
        </is>
      </c>
      <c r="G594" t="inlineStr">
        <is>
          <t>ÖSTHAMMAR</t>
        </is>
      </c>
      <c r="H594" t="inlineStr">
        <is>
          <t>Övriga Aktiebolag</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64586-2021</t>
        </is>
      </c>
      <c r="B595" t="inlineStr">
        <is>
          <t>avverkningsanmälan</t>
        </is>
      </c>
      <c r="C595" t="inlineStr">
        <is>
          <t>Föryngringsavverkning</t>
        </is>
      </c>
      <c r="D595" s="1" t="n">
        <v>44511</v>
      </c>
      <c r="E595" s="1" t="n">
        <v>46317</v>
      </c>
      <c r="F595" t="inlineStr">
        <is>
          <t>UPPSALA LÄN</t>
        </is>
      </c>
      <c r="G595" t="inlineStr">
        <is>
          <t>ÖSTHAMMAR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31240-2026</t>
        </is>
      </c>
      <c r="B596" t="inlineStr">
        <is>
          <t>avverkningsanmälan</t>
        </is>
      </c>
      <c r="C596" t="inlineStr">
        <is>
          <t>Föryngringsavverkning</t>
        </is>
      </c>
      <c r="D596" s="1" t="n">
        <v>46217</v>
      </c>
      <c r="E596" s="1" t="n">
        <v>46317</v>
      </c>
      <c r="F596" t="inlineStr">
        <is>
          <t>UPPSALA LÄN</t>
        </is>
      </c>
      <c r="G596" t="inlineStr">
        <is>
          <t>ÖSTHAMMAR</t>
        </is>
      </c>
      <c r="H596" t="inlineStr">
        <is>
          <t>Bergvik skog öst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64774-2023</t>
        </is>
      </c>
      <c r="B597" t="inlineStr">
        <is>
          <t>avverkningsanmälan</t>
        </is>
      </c>
      <c r="C597" t="inlineStr">
        <is>
          <t>Avverkning för annat ändamål</t>
        </is>
      </c>
      <c r="D597" s="1" t="n">
        <v>45282</v>
      </c>
      <c r="E597" s="1" t="n">
        <v>46317</v>
      </c>
      <c r="F597" t="inlineStr">
        <is>
          <t>UPPSALA LÄN</t>
        </is>
      </c>
      <c r="G597" t="inlineStr">
        <is>
          <t>ÖSTHAMMAR</t>
        </is>
      </c>
      <c r="H597" t="inlineStr">
        <is>
          <t>Övriga Aktiebolag</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31241-2026</t>
        </is>
      </c>
      <c r="B598" t="inlineStr">
        <is>
          <t>avverkningsanmälan</t>
        </is>
      </c>
      <c r="C598" t="inlineStr">
        <is>
          <t>Föryngringsavverkning</t>
        </is>
      </c>
      <c r="D598" s="1" t="n">
        <v>46217</v>
      </c>
      <c r="E598" s="1" t="n">
        <v>46317</v>
      </c>
      <c r="F598" t="inlineStr">
        <is>
          <t>UPPSALA LÄN</t>
        </is>
      </c>
      <c r="G598" t="inlineStr">
        <is>
          <t>ÖSTHAMMAR</t>
        </is>
      </c>
      <c r="H598" t="inlineStr">
        <is>
          <t>Bergvik skog öst AB</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65020-2021</t>
        </is>
      </c>
      <c r="B599" t="inlineStr">
        <is>
          <t>avverkningsanmälan</t>
        </is>
      </c>
      <c r="C599" t="inlineStr">
        <is>
          <t>Avverkning för att bevara och utveckla /försöksver</t>
        </is>
      </c>
      <c r="D599" s="1" t="n">
        <v>44515</v>
      </c>
      <c r="E599" s="1" t="n">
        <v>46317</v>
      </c>
      <c r="F599" t="inlineStr">
        <is>
          <t>UPPSALA LÄN</t>
        </is>
      </c>
      <c r="G599" t="inlineStr">
        <is>
          <t>ÖSTHAMMAR</t>
        </is>
      </c>
      <c r="H599" t="inlineStr">
        <is>
          <t>Sveaskog</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31330-2026</t>
        </is>
      </c>
      <c r="B600" t="inlineStr">
        <is>
          <t>avverkningsanmälan</t>
        </is>
      </c>
      <c r="C600" t="inlineStr">
        <is>
          <t>Föryngringsavverkning</t>
        </is>
      </c>
      <c r="D600" s="1" t="n">
        <v>46219</v>
      </c>
      <c r="E600" s="1" t="n">
        <v>46317</v>
      </c>
      <c r="F600" t="inlineStr">
        <is>
          <t>UPPSALA LÄN</t>
        </is>
      </c>
      <c r="G600" t="inlineStr">
        <is>
          <t>ÖSTHAMMAR</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31372-2026</t>
        </is>
      </c>
      <c r="B601" t="inlineStr">
        <is>
          <t>avverkningsanmälan</t>
        </is>
      </c>
      <c r="C601" t="inlineStr">
        <is>
          <t>Föryngringsavverkning</t>
        </is>
      </c>
      <c r="D601" s="1" t="n">
        <v>46219</v>
      </c>
      <c r="E601" s="1" t="n">
        <v>46317</v>
      </c>
      <c r="F601" t="inlineStr">
        <is>
          <t>UPPSALA LÄN</t>
        </is>
      </c>
      <c r="G601" t="inlineStr">
        <is>
          <t>ÖSTHAMMAR</t>
        </is>
      </c>
      <c r="H601" t="inlineStr">
        <is>
          <t>Bergvik skog öst AB</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25983-2026</t>
        </is>
      </c>
      <c r="B602" t="inlineStr">
        <is>
          <t>avverkningsanmälan</t>
        </is>
      </c>
      <c r="C602" t="inlineStr">
        <is>
          <t>Avverkning för annat ändamål</t>
        </is>
      </c>
      <c r="D602" s="1" t="n">
        <v>46181</v>
      </c>
      <c r="E602" s="1" t="n">
        <v>46317</v>
      </c>
      <c r="F602" t="inlineStr">
        <is>
          <t>UPPSALA LÄN</t>
        </is>
      </c>
      <c r="G602" t="inlineStr">
        <is>
          <t>ÖSTHAMMAR</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31333-2026</t>
        </is>
      </c>
      <c r="B603" t="inlineStr">
        <is>
          <t>avverkningsanmälan</t>
        </is>
      </c>
      <c r="C603" t="inlineStr">
        <is>
          <t>Föryngringsavverkning</t>
        </is>
      </c>
      <c r="D603" s="1" t="n">
        <v>46219</v>
      </c>
      <c r="E603" s="1" t="n">
        <v>46317</v>
      </c>
      <c r="F603" t="inlineStr">
        <is>
          <t>UPPSALA LÄN</t>
        </is>
      </c>
      <c r="G603" t="inlineStr">
        <is>
          <t>ÖSTHAMMAR</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2085-2022</t>
        </is>
      </c>
      <c r="B604" t="inlineStr">
        <is>
          <t>avverkningsanmälan</t>
        </is>
      </c>
      <c r="C604" t="inlineStr">
        <is>
          <t>Föryngringsavverkning</t>
        </is>
      </c>
      <c r="D604" s="1" t="n">
        <v>44576</v>
      </c>
      <c r="E604" s="1" t="n">
        <v>46317</v>
      </c>
      <c r="F604" t="inlineStr">
        <is>
          <t>UPPSALA LÄN</t>
        </is>
      </c>
      <c r="G604" t="inlineStr">
        <is>
          <t>ÖSTHAMMAR</t>
        </is>
      </c>
      <c r="H604" t="inlineStr">
        <is>
          <t>Bergvik skog öst AB</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14671-2022</t>
        </is>
      </c>
      <c r="B605" t="inlineStr">
        <is>
          <t>avverkningsanmälan</t>
        </is>
      </c>
      <c r="C605" t="inlineStr">
        <is>
          <t>Föryngringsavverkning</t>
        </is>
      </c>
      <c r="D605" s="1" t="n">
        <v>44655</v>
      </c>
      <c r="E605" s="1" t="n">
        <v>46317</v>
      </c>
      <c r="F605" t="inlineStr">
        <is>
          <t>UPPSALA LÄN</t>
        </is>
      </c>
      <c r="G605" t="inlineStr">
        <is>
          <t>ÖSTHAMMAR</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12215-2023</t>
        </is>
      </c>
      <c r="B606" t="inlineStr">
        <is>
          <t>avverkningsanmälan</t>
        </is>
      </c>
      <c r="C606" t="inlineStr">
        <is>
          <t>Föryngringsavverkning</t>
        </is>
      </c>
      <c r="D606" s="1" t="n">
        <v>44998</v>
      </c>
      <c r="E606" s="1" t="n">
        <v>46317</v>
      </c>
      <c r="F606" t="inlineStr">
        <is>
          <t>UPPSALA LÄN</t>
        </is>
      </c>
      <c r="G606" t="inlineStr">
        <is>
          <t>ÖSTHAMMAR</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41996-2024</t>
        </is>
      </c>
      <c r="B607" t="inlineStr">
        <is>
          <t>avverkningsanmälan</t>
        </is>
      </c>
      <c r="C607" t="inlineStr">
        <is>
          <t>Föryngringsavverkning</t>
        </is>
      </c>
      <c r="D607" s="1" t="n">
        <v>45561</v>
      </c>
      <c r="E607" s="1" t="n">
        <v>46317</v>
      </c>
      <c r="F607" t="inlineStr">
        <is>
          <t>UPPSALA LÄN</t>
        </is>
      </c>
      <c r="G607" t="inlineStr">
        <is>
          <t>ÖSTHAMMAR</t>
        </is>
      </c>
      <c r="H607" t="inlineStr">
        <is>
          <t>Bergvik skog öst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15449-2022</t>
        </is>
      </c>
      <c r="B608" t="inlineStr">
        <is>
          <t>avverkningsanmälan</t>
        </is>
      </c>
      <c r="C608" t="inlineStr">
        <is>
          <t>Föryngringsavverkning</t>
        </is>
      </c>
      <c r="D608" s="1" t="n">
        <v>44660</v>
      </c>
      <c r="E608" s="1" t="n">
        <v>46317</v>
      </c>
      <c r="F608" t="inlineStr">
        <is>
          <t>UPPSALA LÄN</t>
        </is>
      </c>
      <c r="G608" t="inlineStr">
        <is>
          <t>ÖSTHAMMAR</t>
        </is>
      </c>
      <c r="H608" t="inlineStr">
        <is>
          <t>Bergvik skog öst AB</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5884-2023</t>
        </is>
      </c>
      <c r="B609" t="inlineStr">
        <is>
          <t>avverkningsanmälan</t>
        </is>
      </c>
      <c r="C609" t="inlineStr">
        <is>
          <t>Föryngringsavverkning</t>
        </is>
      </c>
      <c r="D609" s="1" t="n">
        <v>44963</v>
      </c>
      <c r="E609" s="1" t="n">
        <v>46317</v>
      </c>
      <c r="F609" t="inlineStr">
        <is>
          <t>UPPSALA LÄN</t>
        </is>
      </c>
      <c r="G609" t="inlineStr">
        <is>
          <t>ÖSTHAMMAR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5215-2025</t>
        </is>
      </c>
      <c r="B610" t="inlineStr">
        <is>
          <t>avverkningsanmälan</t>
        </is>
      </c>
      <c r="C610" t="inlineStr">
        <is>
          <t>Föryngringsavverkning</t>
        </is>
      </c>
      <c r="D610" s="1" t="n">
        <v>45691</v>
      </c>
      <c r="E610" s="1" t="n">
        <v>46317</v>
      </c>
      <c r="F610" t="inlineStr">
        <is>
          <t>UPPSALA LÄN</t>
        </is>
      </c>
      <c r="G610" t="inlineStr">
        <is>
          <t>ÖSTHAMMAR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65028-2021</t>
        </is>
      </c>
      <c r="B611" t="inlineStr">
        <is>
          <t>avverkningsanmälan</t>
        </is>
      </c>
      <c r="C611" t="inlineStr">
        <is>
          <t>Avverkning för att bevara och utveckla /försöksver</t>
        </is>
      </c>
      <c r="D611" s="1" t="n">
        <v>44515</v>
      </c>
      <c r="E611" s="1" t="n">
        <v>46317</v>
      </c>
      <c r="F611" t="inlineStr">
        <is>
          <t>UPPSALA LÄN</t>
        </is>
      </c>
      <c r="G611" t="inlineStr">
        <is>
          <t>ÖSTHAMMAR</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36857-2023</t>
        </is>
      </c>
      <c r="B612" t="inlineStr">
        <is>
          <t>avverkningsanmälan</t>
        </is>
      </c>
      <c r="C612" t="inlineStr">
        <is>
          <t>Föryngringsavverkning</t>
        </is>
      </c>
      <c r="D612" s="1" t="n">
        <v>45154</v>
      </c>
      <c r="E612" s="1" t="n">
        <v>46317</v>
      </c>
      <c r="F612" t="inlineStr">
        <is>
          <t>UPPSALA LÄN</t>
        </is>
      </c>
      <c r="G612" t="inlineStr">
        <is>
          <t>ÖSTHAMMAR</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6143-2022</t>
        </is>
      </c>
      <c r="B613" t="inlineStr">
        <is>
          <t>avverkningsanmälan</t>
        </is>
      </c>
      <c r="C613" t="inlineStr">
        <is>
          <t>Föryngringsavverkning</t>
        </is>
      </c>
      <c r="D613" s="1" t="n">
        <v>44599</v>
      </c>
      <c r="E613" s="1" t="n">
        <v>46317</v>
      </c>
      <c r="F613" t="inlineStr">
        <is>
          <t>UPPSALA LÄN</t>
        </is>
      </c>
      <c r="G613" t="inlineStr">
        <is>
          <t>ÖSTHAMMAR</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3514-2023</t>
        </is>
      </c>
      <c r="B614" t="inlineStr">
        <is>
          <t>avverkningsanmälan</t>
        </is>
      </c>
      <c r="C614" t="inlineStr">
        <is>
          <t>Föryngringsavverkning</t>
        </is>
      </c>
      <c r="D614" s="1" t="n">
        <v>44950</v>
      </c>
      <c r="E614" s="1" t="n">
        <v>46317</v>
      </c>
      <c r="F614" t="inlineStr">
        <is>
          <t>UPPSALA LÄN</t>
        </is>
      </c>
      <c r="G614" t="inlineStr">
        <is>
          <t>ÖSTHAMMAR</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37521-2026</t>
        </is>
      </c>
      <c r="B615" t="inlineStr">
        <is>
          <t>avverkningsanmälan</t>
        </is>
      </c>
      <c r="C615" t="inlineStr">
        <is>
          <t>Föryngringsavverkning</t>
        </is>
      </c>
      <c r="D615" s="1" t="n">
        <v>46276</v>
      </c>
      <c r="E615" s="1" t="n">
        <v>46317</v>
      </c>
      <c r="F615" t="inlineStr">
        <is>
          <t>UPPSALA LÄN</t>
        </is>
      </c>
      <c r="G615" t="inlineStr">
        <is>
          <t>ÖSTHAMMAR</t>
        </is>
      </c>
      <c r="H615" t="inlineStr">
        <is>
          <t>Bergvik skog öst AB</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45561-2023</t>
        </is>
      </c>
      <c r="B616" t="inlineStr">
        <is>
          <t>avverkningsanmälan</t>
        </is>
      </c>
      <c r="C616" t="inlineStr">
        <is>
          <t>Föryngringsavverkning</t>
        </is>
      </c>
      <c r="D616" s="1" t="n">
        <v>45194</v>
      </c>
      <c r="E616" s="1" t="n">
        <v>46317</v>
      </c>
      <c r="F616" t="inlineStr">
        <is>
          <t>UPPSALA LÄN</t>
        </is>
      </c>
      <c r="G616" t="inlineStr">
        <is>
          <t>ÖSTHAMMAR</t>
        </is>
      </c>
      <c r="H616" t="inlineStr">
        <is>
          <t>Bergvik skog öst AB</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37518-2026</t>
        </is>
      </c>
      <c r="B617" t="inlineStr">
        <is>
          <t>avverkningsanmälan</t>
        </is>
      </c>
      <c r="C617" t="inlineStr">
        <is>
          <t>Föryngringsavverkning</t>
        </is>
      </c>
      <c r="D617" s="1" t="n">
        <v>46276</v>
      </c>
      <c r="E617" s="1" t="n">
        <v>46317</v>
      </c>
      <c r="F617" t="inlineStr">
        <is>
          <t>UPPSALA LÄN</t>
        </is>
      </c>
      <c r="G617" t="inlineStr">
        <is>
          <t>ÖSTHAMMAR</t>
        </is>
      </c>
      <c r="H617" t="inlineStr">
        <is>
          <t>Bergvik skog öst AB</t>
        </is>
      </c>
      <c r="I617" t="n">
        <v>9.699999999999999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43439-2024</t>
        </is>
      </c>
      <c r="B618" t="inlineStr">
        <is>
          <t>avverkningsanmälan</t>
        </is>
      </c>
      <c r="C618" t="inlineStr">
        <is>
          <t>Föryngringsavverkning</t>
        </is>
      </c>
      <c r="D618" s="1" t="n">
        <v>45568</v>
      </c>
      <c r="E618" s="1" t="n">
        <v>46317</v>
      </c>
      <c r="F618" t="inlineStr">
        <is>
          <t>UPPSALA LÄN</t>
        </is>
      </c>
      <c r="G618" t="inlineStr">
        <is>
          <t>ÖSTHAMMAR</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37856-2026</t>
        </is>
      </c>
      <c r="B619" t="inlineStr">
        <is>
          <t>avverkningsanmälan</t>
        </is>
      </c>
      <c r="C619" t="inlineStr">
        <is>
          <t>Föryngringsavverkning</t>
        </is>
      </c>
      <c r="D619" s="1" t="n">
        <v>46279</v>
      </c>
      <c r="E619" s="1" t="n">
        <v>46317</v>
      </c>
      <c r="F619" t="inlineStr">
        <is>
          <t>UPPSALA LÄN</t>
        </is>
      </c>
      <c r="G619" t="inlineStr">
        <is>
          <t>ÖSTHAMMAR</t>
        </is>
      </c>
      <c r="H619" t="inlineStr">
        <is>
          <t>Bergvik skog öst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59880-2022</t>
        </is>
      </c>
      <c r="B620" t="inlineStr">
        <is>
          <t>avverkningsanmälan</t>
        </is>
      </c>
      <c r="C620" t="inlineStr">
        <is>
          <t>Föryngringsavverkning</t>
        </is>
      </c>
      <c r="D620" s="1" t="n">
        <v>44908</v>
      </c>
      <c r="E620" s="1" t="n">
        <v>46317</v>
      </c>
      <c r="F620" t="inlineStr">
        <is>
          <t>UPPSALA LÄN</t>
        </is>
      </c>
      <c r="G620" t="inlineStr">
        <is>
          <t>ÖSTHAMMAR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4562-2022</t>
        </is>
      </c>
      <c r="B621" t="inlineStr">
        <is>
          <t>avverkningsanmälan</t>
        </is>
      </c>
      <c r="C621" t="inlineStr">
        <is>
          <t>Föryngringsavverkning</t>
        </is>
      </c>
      <c r="D621" s="1" t="n">
        <v>44591</v>
      </c>
      <c r="E621" s="1" t="n">
        <v>46317</v>
      </c>
      <c r="F621" t="inlineStr">
        <is>
          <t>UPPSALA LÄN</t>
        </is>
      </c>
      <c r="G621" t="inlineStr">
        <is>
          <t>ÖSTHAMMAR</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32514-2026</t>
        </is>
      </c>
      <c r="B622" t="inlineStr">
        <is>
          <t>avverkningsanmälan</t>
        </is>
      </c>
      <c r="C622" t="inlineStr">
        <is>
          <t>Föryngringsavverkning</t>
        </is>
      </c>
      <c r="D622" s="1" t="n">
        <v>46239</v>
      </c>
      <c r="E622" s="1" t="n">
        <v>46317</v>
      </c>
      <c r="F622" t="inlineStr">
        <is>
          <t>UPPSALA LÄN</t>
        </is>
      </c>
      <c r="G622" t="inlineStr">
        <is>
          <t>ÖSTHAMMAR</t>
        </is>
      </c>
      <c r="H622" t="inlineStr">
        <is>
          <t>Bergvik skog öst AB</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38254-2026</t>
        </is>
      </c>
      <c r="B623" t="inlineStr">
        <is>
          <t>avverkningsanmälan</t>
        </is>
      </c>
      <c r="C623" t="inlineStr">
        <is>
          <t>Föryngringsavverkning</t>
        </is>
      </c>
      <c r="D623" s="1" t="n">
        <v>46281</v>
      </c>
      <c r="E623" s="1" t="n">
        <v>46317</v>
      </c>
      <c r="F623" t="inlineStr">
        <is>
          <t>UPPSALA LÄN</t>
        </is>
      </c>
      <c r="G623" t="inlineStr">
        <is>
          <t>ÖSTHAMMAR</t>
        </is>
      </c>
      <c r="H623" t="inlineStr">
        <is>
          <t>Bergvik skog öst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38257-2026</t>
        </is>
      </c>
      <c r="B624" t="inlineStr">
        <is>
          <t>avverkningsanmälan</t>
        </is>
      </c>
      <c r="C624" t="inlineStr">
        <is>
          <t>Föryngringsavverkning</t>
        </is>
      </c>
      <c r="D624" s="1" t="n">
        <v>46281</v>
      </c>
      <c r="E624" s="1" t="n">
        <v>46317</v>
      </c>
      <c r="F624" t="inlineStr">
        <is>
          <t>UPPSALA LÄN</t>
        </is>
      </c>
      <c r="G624" t="inlineStr">
        <is>
          <t>ÖSTHAMMAR</t>
        </is>
      </c>
      <c r="H624" t="inlineStr">
        <is>
          <t>Bergvik skog öst AB</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36301-2023</t>
        </is>
      </c>
      <c r="B625" t="inlineStr">
        <is>
          <t>avverkningsanmälan</t>
        </is>
      </c>
      <c r="C625" t="inlineStr">
        <is>
          <t>Föryngringsavverkning</t>
        </is>
      </c>
      <c r="D625" s="1" t="n">
        <v>45152</v>
      </c>
      <c r="E625" s="1" t="n">
        <v>46317</v>
      </c>
      <c r="F625" t="inlineStr">
        <is>
          <t>UPPSALA LÄN</t>
        </is>
      </c>
      <c r="G625" t="inlineStr">
        <is>
          <t>ÖSTHAMMAR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38324-2026</t>
        </is>
      </c>
      <c r="B626" t="inlineStr">
        <is>
          <t>avverkningsanmälan</t>
        </is>
      </c>
      <c r="C626" t="inlineStr">
        <is>
          <t>Föryngringsavverkning</t>
        </is>
      </c>
      <c r="D626" s="1" t="n">
        <v>46282</v>
      </c>
      <c r="E626" s="1" t="n">
        <v>46317</v>
      </c>
      <c r="F626" t="inlineStr">
        <is>
          <t>UPPSALA LÄN</t>
        </is>
      </c>
      <c r="G626" t="inlineStr">
        <is>
          <t>ÖSTHAMMAR</t>
        </is>
      </c>
      <c r="H626" t="inlineStr">
        <is>
          <t>Kyrkan</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32515-2026</t>
        </is>
      </c>
      <c r="B627" t="inlineStr">
        <is>
          <t>avverkningsanmälan</t>
        </is>
      </c>
      <c r="C627" t="inlineStr">
        <is>
          <t>Föryngringsavverkning</t>
        </is>
      </c>
      <c r="D627" s="1" t="n">
        <v>46239</v>
      </c>
      <c r="E627" s="1" t="n">
        <v>46317</v>
      </c>
      <c r="F627" t="inlineStr">
        <is>
          <t>UPPSALA LÄN</t>
        </is>
      </c>
      <c r="G627" t="inlineStr">
        <is>
          <t>ÖSTHAMMAR</t>
        </is>
      </c>
      <c r="H627" t="inlineStr">
        <is>
          <t>Bergvik skog öst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28429-2023</t>
        </is>
      </c>
      <c r="B628" t="inlineStr">
        <is>
          <t>avverkningsanmälan</t>
        </is>
      </c>
      <c r="C628" t="inlineStr">
        <is>
          <t>Föryngringsavverkning</t>
        </is>
      </c>
      <c r="D628" s="1" t="n">
        <v>45102</v>
      </c>
      <c r="E628" s="1" t="n">
        <v>46317</v>
      </c>
      <c r="F628" t="inlineStr">
        <is>
          <t>UPPSALA LÄN</t>
        </is>
      </c>
      <c r="G628" t="inlineStr">
        <is>
          <t>ÖSTHAMMAR</t>
        </is>
      </c>
      <c r="H628" t="inlineStr">
        <is>
          <t>Bergvik skog öst AB</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32593-2026</t>
        </is>
      </c>
      <c r="B629" t="inlineStr">
        <is>
          <t>avverkningsanmälan</t>
        </is>
      </c>
      <c r="C629" t="inlineStr">
        <is>
          <t>Föryngringsavverkning</t>
        </is>
      </c>
      <c r="D629" s="1" t="n">
        <v>46240</v>
      </c>
      <c r="E629" s="1" t="n">
        <v>46317</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67199-2021</t>
        </is>
      </c>
      <c r="B630" t="inlineStr">
        <is>
          <t>avverkningsanmälan</t>
        </is>
      </c>
      <c r="C630" t="inlineStr">
        <is>
          <t>Föryngringsavverkning</t>
        </is>
      </c>
      <c r="D630" s="1" t="n">
        <v>44523</v>
      </c>
      <c r="E630" s="1" t="n">
        <v>46317</v>
      </c>
      <c r="F630" t="inlineStr">
        <is>
          <t>UPPSALA LÄN</t>
        </is>
      </c>
      <c r="G630" t="inlineStr">
        <is>
          <t>ÖSTHAMMAR</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24259-2022</t>
        </is>
      </c>
      <c r="B631" t="inlineStr">
        <is>
          <t>avverkningsanmälan</t>
        </is>
      </c>
      <c r="C631" t="inlineStr">
        <is>
          <t>Föryngringsavverkning</t>
        </is>
      </c>
      <c r="D631" s="1" t="n">
        <v>44725</v>
      </c>
      <c r="E631" s="1" t="n">
        <v>46317</v>
      </c>
      <c r="F631" t="inlineStr">
        <is>
          <t>UPPSALA LÄN</t>
        </is>
      </c>
      <c r="G631" t="inlineStr">
        <is>
          <t>ÖSTHAMMAR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24367-2022</t>
        </is>
      </c>
      <c r="B632" t="inlineStr">
        <is>
          <t>avverkningsanmälan</t>
        </is>
      </c>
      <c r="C632" t="inlineStr">
        <is>
          <t>Föryngringsavverkning</t>
        </is>
      </c>
      <c r="D632" s="1" t="n">
        <v>44726</v>
      </c>
      <c r="E632" s="1" t="n">
        <v>46317</v>
      </c>
      <c r="F632" t="inlineStr">
        <is>
          <t>UPPSALA LÄN</t>
        </is>
      </c>
      <c r="G632" t="inlineStr">
        <is>
          <t>ÖSTHAMMAR</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32694-2026</t>
        </is>
      </c>
      <c r="B633" t="inlineStr">
        <is>
          <t>avverkningsanmälan</t>
        </is>
      </c>
      <c r="C633" t="inlineStr">
        <is>
          <t>Föryngringsavverkning</t>
        </is>
      </c>
      <c r="D633" s="1" t="n">
        <v>46240</v>
      </c>
      <c r="E633" s="1" t="n">
        <v>46317</v>
      </c>
      <c r="F633" t="inlineStr">
        <is>
          <t>UPPSALA LÄN</t>
        </is>
      </c>
      <c r="G633" t="inlineStr">
        <is>
          <t>ÖSTHAMMAR</t>
        </is>
      </c>
      <c r="H633" t="inlineStr">
        <is>
          <t>Bergvik skog öst AB</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32696-2026</t>
        </is>
      </c>
      <c r="B634" t="inlineStr">
        <is>
          <t>avverkningsanmälan</t>
        </is>
      </c>
      <c r="C634" t="inlineStr">
        <is>
          <t>Föryngringsavverkning</t>
        </is>
      </c>
      <c r="D634" s="1" t="n">
        <v>46240</v>
      </c>
      <c r="E634" s="1" t="n">
        <v>46317</v>
      </c>
      <c r="F634" t="inlineStr">
        <is>
          <t>UPPSALA LÄN</t>
        </is>
      </c>
      <c r="G634" t="inlineStr">
        <is>
          <t>ÖSTHAMMAR</t>
        </is>
      </c>
      <c r="H634" t="inlineStr">
        <is>
          <t>Bergvik skog öst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49897-2023</t>
        </is>
      </c>
      <c r="B635" t="inlineStr">
        <is>
          <t>avverkningsanmälan</t>
        </is>
      </c>
      <c r="C635" t="inlineStr">
        <is>
          <t>Avverkning för att bevara och utveckla /försöksver</t>
        </is>
      </c>
      <c r="D635" s="1" t="n">
        <v>45213</v>
      </c>
      <c r="E635" s="1" t="n">
        <v>46317</v>
      </c>
      <c r="F635" t="inlineStr">
        <is>
          <t>UPPSALA LÄN</t>
        </is>
      </c>
      <c r="G635" t="inlineStr">
        <is>
          <t>ÖSTHAMMAR</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32697-2026</t>
        </is>
      </c>
      <c r="B636" t="inlineStr">
        <is>
          <t>avverkningsanmälan</t>
        </is>
      </c>
      <c r="C636" t="inlineStr">
        <is>
          <t>Föryngringsavverkning</t>
        </is>
      </c>
      <c r="D636" s="1" t="n">
        <v>46240</v>
      </c>
      <c r="E636" s="1" t="n">
        <v>46317</v>
      </c>
      <c r="F636" t="inlineStr">
        <is>
          <t>UPPSALA LÄN</t>
        </is>
      </c>
      <c r="G636" t="inlineStr">
        <is>
          <t>ÖSTHAMMAR</t>
        </is>
      </c>
      <c r="H636" t="inlineStr">
        <is>
          <t>Bergvik skog öst AB</t>
        </is>
      </c>
      <c r="I636" t="n">
        <v>11.2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34922-2023</t>
        </is>
      </c>
      <c r="B637" t="inlineStr">
        <is>
          <t>avverkningsanmälan</t>
        </is>
      </c>
      <c r="C637" t="inlineStr">
        <is>
          <t>Föryngringsavverkning</t>
        </is>
      </c>
      <c r="D637" s="1" t="n">
        <v>45142</v>
      </c>
      <c r="E637" s="1" t="n">
        <v>46317</v>
      </c>
      <c r="F637" t="inlineStr">
        <is>
          <t>UPPSALA LÄN</t>
        </is>
      </c>
      <c r="G637" t="inlineStr">
        <is>
          <t>ÖSTHAMMAR</t>
        </is>
      </c>
      <c r="H637" t="inlineStr">
        <is>
          <t>Bergvik skog öst AB</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32812-2026</t>
        </is>
      </c>
      <c r="B638" t="inlineStr">
        <is>
          <t>avverkningsanmälan</t>
        </is>
      </c>
      <c r="C638" t="inlineStr">
        <is>
          <t>Föryngringsavverkning</t>
        </is>
      </c>
      <c r="D638" s="1" t="n">
        <v>46241</v>
      </c>
      <c r="E638" s="1" t="n">
        <v>46317</v>
      </c>
      <c r="F638" t="inlineStr">
        <is>
          <t>UPPSALA LÄN</t>
        </is>
      </c>
      <c r="G638" t="inlineStr">
        <is>
          <t>ÖSTHAMMAR</t>
        </is>
      </c>
      <c r="H638" t="inlineStr">
        <is>
          <t>Bergvik skog öst AB</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50998-2023</t>
        </is>
      </c>
      <c r="B639" t="inlineStr">
        <is>
          <t>avverkningsanmälan</t>
        </is>
      </c>
      <c r="C639" t="inlineStr">
        <is>
          <t>Föryngringsavverkning</t>
        </is>
      </c>
      <c r="D639" s="1" t="n">
        <v>45218</v>
      </c>
      <c r="E639" s="1" t="n">
        <v>46317</v>
      </c>
      <c r="F639" t="inlineStr">
        <is>
          <t>UPPSALA LÄN</t>
        </is>
      </c>
      <c r="G639" t="inlineStr">
        <is>
          <t>ÖSTHAMMAR</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31669-2022</t>
        </is>
      </c>
      <c r="B640" t="inlineStr">
        <is>
          <t>avverkningsanmälan</t>
        </is>
      </c>
      <c r="C640" t="inlineStr">
        <is>
          <t>Föryngringsavverkning</t>
        </is>
      </c>
      <c r="D640" s="1" t="n">
        <v>44775</v>
      </c>
      <c r="E640" s="1" t="n">
        <v>46317</v>
      </c>
      <c r="F640" t="inlineStr">
        <is>
          <t>UPPSALA LÄN</t>
        </is>
      </c>
      <c r="G640" t="inlineStr">
        <is>
          <t>ÖSTHAMMAR</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39199-2026</t>
        </is>
      </c>
      <c r="B641" t="inlineStr">
        <is>
          <t>avverkningsanmälan</t>
        </is>
      </c>
      <c r="C641" t="inlineStr">
        <is>
          <t>Föryngringsavverkning</t>
        </is>
      </c>
      <c r="D641" s="1" t="n">
        <v>46287</v>
      </c>
      <c r="E641" s="1" t="n">
        <v>46317</v>
      </c>
      <c r="F641" t="inlineStr">
        <is>
          <t>UPPSALA LÄN</t>
        </is>
      </c>
      <c r="G641" t="inlineStr">
        <is>
          <t>ÖSTHAMMAR</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33172-2026</t>
        </is>
      </c>
      <c r="B642" t="inlineStr">
        <is>
          <t>avverkningsanmälan</t>
        </is>
      </c>
      <c r="C642" t="inlineStr">
        <is>
          <t>Föryngringsavverkning</t>
        </is>
      </c>
      <c r="D642" s="1" t="n">
        <v>46245</v>
      </c>
      <c r="E642" s="1" t="n">
        <v>46317</v>
      </c>
      <c r="F642" t="inlineStr">
        <is>
          <t>UPPSALA LÄN</t>
        </is>
      </c>
      <c r="G642" t="inlineStr">
        <is>
          <t>ÖSTHAMMAR</t>
        </is>
      </c>
      <c r="H642" t="inlineStr">
        <is>
          <t>Övriga Aktiebolag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28420-2023</t>
        </is>
      </c>
      <c r="B643" t="inlineStr">
        <is>
          <t>avverkningsanmälan</t>
        </is>
      </c>
      <c r="C643" t="inlineStr">
        <is>
          <t>Föryngringsavverkning</t>
        </is>
      </c>
      <c r="D643" s="1" t="n">
        <v>45102</v>
      </c>
      <c r="E643" s="1" t="n">
        <v>46317</v>
      </c>
      <c r="F643" t="inlineStr">
        <is>
          <t>UPPSALA LÄN</t>
        </is>
      </c>
      <c r="G643" t="inlineStr">
        <is>
          <t>ÖSTHAMMAR</t>
        </is>
      </c>
      <c r="H643" t="inlineStr">
        <is>
          <t>Bergvik skog öst AB</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40547-2023</t>
        </is>
      </c>
      <c r="B644" t="inlineStr">
        <is>
          <t>avverkningsanmälan</t>
        </is>
      </c>
      <c r="C644" t="inlineStr">
        <is>
          <t>Föryngringsavverkning</t>
        </is>
      </c>
      <c r="D644" s="1" t="n">
        <v>45170</v>
      </c>
      <c r="E644" s="1" t="n">
        <v>46317</v>
      </c>
      <c r="F644" t="inlineStr">
        <is>
          <t>UPPSALA LÄN</t>
        </is>
      </c>
      <c r="G644" t="inlineStr">
        <is>
          <t>ÖSTHAMMAR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10449-2023</t>
        </is>
      </c>
      <c r="B645" t="inlineStr">
        <is>
          <t>avverkningsanmälan</t>
        </is>
      </c>
      <c r="C645" t="inlineStr">
        <is>
          <t>Föryngringsavverkning</t>
        </is>
      </c>
      <c r="D645" s="1" t="n">
        <v>44987</v>
      </c>
      <c r="E645" s="1" t="n">
        <v>46317</v>
      </c>
      <c r="F645" t="inlineStr">
        <is>
          <t>UPPSALA LÄN</t>
        </is>
      </c>
      <c r="G645" t="inlineStr">
        <is>
          <t>ÖSTHAMMAR</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31035-2022</t>
        </is>
      </c>
      <c r="B646" t="inlineStr">
        <is>
          <t>avverkningsanmälan</t>
        </is>
      </c>
      <c r="C646" t="inlineStr">
        <is>
          <t>Föryngringsavverkning</t>
        </is>
      </c>
      <c r="D646" s="1" t="n">
        <v>44768</v>
      </c>
      <c r="E646" s="1" t="n">
        <v>46317</v>
      </c>
      <c r="F646" t="inlineStr">
        <is>
          <t>UPPSALA LÄN</t>
        </is>
      </c>
      <c r="G646" t="inlineStr">
        <is>
          <t>ÖSTHAMMAR</t>
        </is>
      </c>
      <c r="H646" t="inlineStr">
        <is>
          <t>Bergvik skog öst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33330-2026</t>
        </is>
      </c>
      <c r="B647" t="inlineStr">
        <is>
          <t>avverkningsanmälan</t>
        </is>
      </c>
      <c r="C647" t="inlineStr">
        <is>
          <t>Föryngringsavverkning</t>
        </is>
      </c>
      <c r="D647" s="1" t="n">
        <v>46246</v>
      </c>
      <c r="E647" s="1" t="n">
        <v>46317</v>
      </c>
      <c r="F647" t="inlineStr">
        <is>
          <t>UPPSALA LÄN</t>
        </is>
      </c>
      <c r="G647" t="inlineStr">
        <is>
          <t>ÖSTHAMMAR</t>
        </is>
      </c>
      <c r="H647" t="inlineStr">
        <is>
          <t>Bergvik skog öst AB</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33331-2026</t>
        </is>
      </c>
      <c r="B648" t="inlineStr">
        <is>
          <t>avverkningsanmälan</t>
        </is>
      </c>
      <c r="C648" t="inlineStr">
        <is>
          <t>Föryngringsavverkning</t>
        </is>
      </c>
      <c r="D648" s="1" t="n">
        <v>46246</v>
      </c>
      <c r="E648" s="1" t="n">
        <v>46317</v>
      </c>
      <c r="F648" t="inlineStr">
        <is>
          <t>UPPSALA LÄN</t>
        </is>
      </c>
      <c r="G648" t="inlineStr">
        <is>
          <t>ÖSTHAMMAR</t>
        </is>
      </c>
      <c r="H648" t="inlineStr">
        <is>
          <t>Bergvik skog öst AB</t>
        </is>
      </c>
      <c r="I648" t="n">
        <v>10.2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22798-2023</t>
        </is>
      </c>
      <c r="B649" t="inlineStr">
        <is>
          <t>avverkningsanmälan</t>
        </is>
      </c>
      <c r="C649" t="inlineStr">
        <is>
          <t>Avverkning för annat ändamål</t>
        </is>
      </c>
      <c r="D649" s="1" t="n">
        <v>45072</v>
      </c>
      <c r="E649" s="1" t="n">
        <v>46317</v>
      </c>
      <c r="F649" t="inlineStr">
        <is>
          <t>UPPSALA LÄN</t>
        </is>
      </c>
      <c r="G649" t="inlineStr">
        <is>
          <t>ÖSTHAMMAR</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10982-2023</t>
        </is>
      </c>
      <c r="B650" t="inlineStr">
        <is>
          <t>avverkningsanmälan</t>
        </is>
      </c>
      <c r="C650" t="inlineStr">
        <is>
          <t>Föryngringsavverkning</t>
        </is>
      </c>
      <c r="D650" s="1" t="n">
        <v>44991</v>
      </c>
      <c r="E650" s="1" t="n">
        <v>46317</v>
      </c>
      <c r="F650" t="inlineStr">
        <is>
          <t>UPPSALA LÄN</t>
        </is>
      </c>
      <c r="G650" t="inlineStr">
        <is>
          <t>ÖSTHAMMAR</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39520-2026</t>
        </is>
      </c>
      <c r="B651" t="inlineStr">
        <is>
          <t>avverkningsanmälan</t>
        </is>
      </c>
      <c r="C651" t="inlineStr">
        <is>
          <t>Föryngringsavverkning</t>
        </is>
      </c>
      <c r="D651" s="1" t="n">
        <v>46289</v>
      </c>
      <c r="E651" s="1" t="n">
        <v>46317</v>
      </c>
      <c r="F651" t="inlineStr">
        <is>
          <t>UPPSALA LÄN</t>
        </is>
      </c>
      <c r="G651" t="inlineStr">
        <is>
          <t>ÖSTHAMMAR</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40637-2022</t>
        </is>
      </c>
      <c r="B652" t="inlineStr">
        <is>
          <t>avverkningsanmälan</t>
        </is>
      </c>
      <c r="C652" t="inlineStr">
        <is>
          <t>Avverkning för annat ändamål</t>
        </is>
      </c>
      <c r="D652" s="1" t="n">
        <v>44824</v>
      </c>
      <c r="E652" s="1" t="n">
        <v>46317</v>
      </c>
      <c r="F652" t="inlineStr">
        <is>
          <t>UPPSALA LÄN</t>
        </is>
      </c>
      <c r="G652" t="inlineStr">
        <is>
          <t>ÖSTHAMMAR</t>
        </is>
      </c>
      <c r="H652" t="inlineStr">
        <is>
          <t>Övriga Aktiebolag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21624-2023</t>
        </is>
      </c>
      <c r="B653" t="inlineStr">
        <is>
          <t>avverkningsanmälan</t>
        </is>
      </c>
      <c r="C653" t="inlineStr">
        <is>
          <t>Föryngringsavverkning</t>
        </is>
      </c>
      <c r="D653" s="1" t="n">
        <v>45063</v>
      </c>
      <c r="E653" s="1" t="n">
        <v>46317</v>
      </c>
      <c r="F653" t="inlineStr">
        <is>
          <t>UPPSALA LÄN</t>
        </is>
      </c>
      <c r="G653" t="inlineStr">
        <is>
          <t>ÖSTHAMMAR</t>
        </is>
      </c>
      <c r="H653" t="inlineStr">
        <is>
          <t>Sveaskog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39833-2026</t>
        </is>
      </c>
      <c r="B654" t="inlineStr">
        <is>
          <t>avverkningsanmälan</t>
        </is>
      </c>
      <c r="C654" t="inlineStr">
        <is>
          <t>Föryngringsavverkning</t>
        </is>
      </c>
      <c r="D654" s="1" t="n">
        <v>46290</v>
      </c>
      <c r="E654" s="1" t="n">
        <v>46317</v>
      </c>
      <c r="F654" t="inlineStr">
        <is>
          <t>UPPSALA LÄN</t>
        </is>
      </c>
      <c r="G654" t="inlineStr">
        <is>
          <t>ÖSTHAMMAR</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40106-2026</t>
        </is>
      </c>
      <c r="B655" t="inlineStr">
        <is>
          <t>avverkningsanmälan</t>
        </is>
      </c>
      <c r="C655" t="inlineStr">
        <is>
          <t>Föryngringsavverkning</t>
        </is>
      </c>
      <c r="D655" s="1" t="n">
        <v>46293</v>
      </c>
      <c r="E655" s="1" t="n">
        <v>46317</v>
      </c>
      <c r="F655" t="inlineStr">
        <is>
          <t>UPPSALA LÄN</t>
        </is>
      </c>
      <c r="G655" t="inlineStr">
        <is>
          <t>ÖSTHAMMAR</t>
        </is>
      </c>
      <c r="H655" t="inlineStr">
        <is>
          <t>Bergvik skog öst AB</t>
        </is>
      </c>
      <c r="I655" t="n">
        <v>26.6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22804-2022</t>
        </is>
      </c>
      <c r="B656" t="inlineStr">
        <is>
          <t>avverkningsanmälan</t>
        </is>
      </c>
      <c r="C656" t="inlineStr">
        <is>
          <t>Föryngringsavverkning</t>
        </is>
      </c>
      <c r="D656" s="1" t="n">
        <v>44715</v>
      </c>
      <c r="E656" s="1" t="n">
        <v>46317</v>
      </c>
      <c r="F656" t="inlineStr">
        <is>
          <t>UPPSALA LÄN</t>
        </is>
      </c>
      <c r="G656" t="inlineStr">
        <is>
          <t>ÖSTHAMMAR</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73483-2021</t>
        </is>
      </c>
      <c r="B657" t="inlineStr">
        <is>
          <t>avverkningsanmälan</t>
        </is>
      </c>
      <c r="C657" t="inlineStr">
        <is>
          <t>Föryngringsavverkning</t>
        </is>
      </c>
      <c r="D657" s="1" t="n">
        <v>44550</v>
      </c>
      <c r="E657" s="1" t="n">
        <v>46317</v>
      </c>
      <c r="F657" t="inlineStr">
        <is>
          <t>UPPSALA LÄN</t>
        </is>
      </c>
      <c r="G657" t="inlineStr">
        <is>
          <t>ÖSTHAMMAR</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7195-2023</t>
        </is>
      </c>
      <c r="B658" t="inlineStr">
        <is>
          <t>avverkningsanmälan</t>
        </is>
      </c>
      <c r="C658" t="inlineStr">
        <is>
          <t>Föryngringsavverkning</t>
        </is>
      </c>
      <c r="D658" s="1" t="n">
        <v>44970</v>
      </c>
      <c r="E658" s="1" t="n">
        <v>46317</v>
      </c>
      <c r="F658" t="inlineStr">
        <is>
          <t>UPPSALA LÄN</t>
        </is>
      </c>
      <c r="G658" t="inlineStr">
        <is>
          <t>ÖSTHAMMAR</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37568-2022</t>
        </is>
      </c>
      <c r="B659" t="inlineStr">
        <is>
          <t>avverkningsanmälan</t>
        </is>
      </c>
      <c r="C659" t="inlineStr">
        <is>
          <t>Föryngringsavverkning</t>
        </is>
      </c>
      <c r="D659" s="1" t="n">
        <v>44809</v>
      </c>
      <c r="E659" s="1" t="n">
        <v>46317</v>
      </c>
      <c r="F659" t="inlineStr">
        <is>
          <t>UPPSALA LÄN</t>
        </is>
      </c>
      <c r="G659" t="inlineStr">
        <is>
          <t>ÖSTHAMMAR</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9542-2023</t>
        </is>
      </c>
      <c r="B660" t="inlineStr">
        <is>
          <t>avverkningsanmälan</t>
        </is>
      </c>
      <c r="C660" t="inlineStr">
        <is>
          <t>Föryngringsavverkning</t>
        </is>
      </c>
      <c r="D660" s="1" t="n">
        <v>44981</v>
      </c>
      <c r="E660" s="1" t="n">
        <v>46317</v>
      </c>
      <c r="F660" t="inlineStr">
        <is>
          <t>UPPSALA LÄN</t>
        </is>
      </c>
      <c r="G660" t="inlineStr">
        <is>
          <t>ÖSTHAMMAR</t>
        </is>
      </c>
      <c r="H660" t="inlineStr">
        <is>
          <t>Bergvik skog öst AB</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55100-2024</t>
        </is>
      </c>
      <c r="B661" t="inlineStr">
        <is>
          <t>avverkningsanmälan</t>
        </is>
      </c>
      <c r="C661" t="inlineStr">
        <is>
          <t>Föryngringsavverkning</t>
        </is>
      </c>
      <c r="D661" s="1" t="n">
        <v>45621</v>
      </c>
      <c r="E661" s="1" t="n">
        <v>46317</v>
      </c>
      <c r="F661" t="inlineStr">
        <is>
          <t>UPPSALA LÄN</t>
        </is>
      </c>
      <c r="G661" t="inlineStr">
        <is>
          <t>ÖSTHAMMAR</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26774-2023</t>
        </is>
      </c>
      <c r="B662" t="inlineStr">
        <is>
          <t>avverkningsanmälan</t>
        </is>
      </c>
      <c r="C662" t="inlineStr">
        <is>
          <t>Föryngringsavverkning</t>
        </is>
      </c>
      <c r="D662" s="1" t="n">
        <v>45093</v>
      </c>
      <c r="E662" s="1" t="n">
        <v>46317</v>
      </c>
      <c r="F662" t="inlineStr">
        <is>
          <t>UPPSALA LÄN</t>
        </is>
      </c>
      <c r="G662" t="inlineStr">
        <is>
          <t>ÖSTHAMMAR</t>
        </is>
      </c>
      <c r="H662" t="inlineStr">
        <is>
          <t>Bergvik skog öst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67848-2021</t>
        </is>
      </c>
      <c r="B663" t="inlineStr">
        <is>
          <t>avverkningsanmälan</t>
        </is>
      </c>
      <c r="C663" t="inlineStr">
        <is>
          <t>Föryngringsavverkning</t>
        </is>
      </c>
      <c r="D663" s="1" t="n">
        <v>44525</v>
      </c>
      <c r="E663" s="1" t="n">
        <v>46317</v>
      </c>
      <c r="F663" t="inlineStr">
        <is>
          <t>UPPSALA LÄN</t>
        </is>
      </c>
      <c r="G663" t="inlineStr">
        <is>
          <t>ÖSTHAMMAR</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33988-2026</t>
        </is>
      </c>
      <c r="B664" t="inlineStr">
        <is>
          <t>avverkningsanmälan</t>
        </is>
      </c>
      <c r="C664" t="inlineStr">
        <is>
          <t>Föryngringsavverkning</t>
        </is>
      </c>
      <c r="D664" s="1" t="n">
        <v>46252</v>
      </c>
      <c r="E664" s="1" t="n">
        <v>46317</v>
      </c>
      <c r="F664" t="inlineStr">
        <is>
          <t>UPPSALA LÄN</t>
        </is>
      </c>
      <c r="G664" t="inlineStr">
        <is>
          <t>ÖSTHAMMAR</t>
        </is>
      </c>
      <c r="H664" t="inlineStr">
        <is>
          <t>Övriga Aktiebolag</t>
        </is>
      </c>
      <c r="I664" t="n">
        <v>6.9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55097-2024</t>
        </is>
      </c>
      <c r="B665" t="inlineStr">
        <is>
          <t>avverkningsanmälan</t>
        </is>
      </c>
      <c r="C665" t="inlineStr">
        <is>
          <t>Föryngringsavverkning</t>
        </is>
      </c>
      <c r="D665" s="1" t="n">
        <v>45621</v>
      </c>
      <c r="E665" s="1" t="n">
        <v>46317</v>
      </c>
      <c r="F665" t="inlineStr">
        <is>
          <t>UPPSALA LÄN</t>
        </is>
      </c>
      <c r="G665" t="inlineStr">
        <is>
          <t>ÖSTHAMMAR</t>
        </is>
      </c>
      <c r="H665" t="inlineStr">
        <is>
          <t>Sveaskog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34276-2026</t>
        </is>
      </c>
      <c r="B666" t="inlineStr">
        <is>
          <t>avverkningsanmälan</t>
        </is>
      </c>
      <c r="C666" t="inlineStr">
        <is>
          <t>Föryngringsavverkning</t>
        </is>
      </c>
      <c r="D666" s="1" t="n">
        <v>46253</v>
      </c>
      <c r="E666" s="1" t="n">
        <v>46317</v>
      </c>
      <c r="F666" t="inlineStr">
        <is>
          <t>UPPSALA LÄN</t>
        </is>
      </c>
      <c r="G666" t="inlineStr">
        <is>
          <t>ÖSTHAMMAR</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37857-2026</t>
        </is>
      </c>
      <c r="B667" t="inlineStr">
        <is>
          <t>avverkningsanmälan</t>
        </is>
      </c>
      <c r="C667" t="inlineStr">
        <is>
          <t>Föryngringsavverkning</t>
        </is>
      </c>
      <c r="D667" s="1" t="n">
        <v>46279</v>
      </c>
      <c r="E667" s="1" t="n">
        <v>46317</v>
      </c>
      <c r="F667" t="inlineStr">
        <is>
          <t>UPPSALA LÄN</t>
        </is>
      </c>
      <c r="G667" t="inlineStr">
        <is>
          <t>ÖSTHAMMAR</t>
        </is>
      </c>
      <c r="H667" t="inlineStr">
        <is>
          <t>Bergvik skog öst AB</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54314-2023</t>
        </is>
      </c>
      <c r="B668" t="inlineStr">
        <is>
          <t>avverkningsanmälan</t>
        </is>
      </c>
      <c r="C668" t="inlineStr">
        <is>
          <t>Föryngringsavverkning</t>
        </is>
      </c>
      <c r="D668" s="1" t="n">
        <v>45225</v>
      </c>
      <c r="E668" s="1" t="n">
        <v>46317</v>
      </c>
      <c r="F668" t="inlineStr">
        <is>
          <t>UPPSALA LÄN</t>
        </is>
      </c>
      <c r="G668" t="inlineStr">
        <is>
          <t>ÖSTHAMMAR</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49796-2024</t>
        </is>
      </c>
      <c r="B669" t="inlineStr">
        <is>
          <t>avverkningsanmälan</t>
        </is>
      </c>
      <c r="C669" t="inlineStr">
        <is>
          <t>Föryngringsavverkning</t>
        </is>
      </c>
      <c r="D669" s="1" t="n">
        <v>45597</v>
      </c>
      <c r="E669" s="1" t="n">
        <v>46317</v>
      </c>
      <c r="F669" t="inlineStr">
        <is>
          <t>UPPSALA LÄN</t>
        </is>
      </c>
      <c r="G669" t="inlineStr">
        <is>
          <t>ÖSTHAMMAR</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41148-2026</t>
        </is>
      </c>
      <c r="B670" t="inlineStr">
        <is>
          <t>avverkningsanmälan</t>
        </is>
      </c>
      <c r="C670" t="inlineStr">
        <is>
          <t>Föryngringsavverkning</t>
        </is>
      </c>
      <c r="D670" s="1" t="n">
        <v>46300</v>
      </c>
      <c r="E670" s="1" t="n">
        <v>46317</v>
      </c>
      <c r="F670" t="inlineStr">
        <is>
          <t>UPPSALA LÄN</t>
        </is>
      </c>
      <c r="G670" t="inlineStr">
        <is>
          <t>ÖSTHAMMAR</t>
        </is>
      </c>
      <c r="H670" t="inlineStr">
        <is>
          <t>Övriga Aktiebolag</t>
        </is>
      </c>
      <c r="I670" t="n">
        <v>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1791-2023</t>
        </is>
      </c>
      <c r="B671" t="inlineStr">
        <is>
          <t>avverkningsanmälan</t>
        </is>
      </c>
      <c r="C671" t="inlineStr">
        <is>
          <t>Föryngringsavverkning</t>
        </is>
      </c>
      <c r="D671" s="1" t="n">
        <v>44938</v>
      </c>
      <c r="E671" s="1" t="n">
        <v>46317</v>
      </c>
      <c r="F671" t="inlineStr">
        <is>
          <t>UPPSALA LÄN</t>
        </is>
      </c>
      <c r="G671" t="inlineStr">
        <is>
          <t>ÖSTHAMMAR</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25399-2026</t>
        </is>
      </c>
      <c r="B672" t="inlineStr">
        <is>
          <t>avverkningsanmälan</t>
        </is>
      </c>
      <c r="C672" t="inlineStr">
        <is>
          <t>Föryngringsavverkning</t>
        </is>
      </c>
      <c r="D672" s="1" t="n">
        <v>46176</v>
      </c>
      <c r="E672" s="1" t="n">
        <v>46317</v>
      </c>
      <c r="F672" t="inlineStr">
        <is>
          <t>UPPSALA LÄN</t>
        </is>
      </c>
      <c r="G672" t="inlineStr">
        <is>
          <t>ÖSTHAMMAR</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41127-2026</t>
        </is>
      </c>
      <c r="B673" t="inlineStr">
        <is>
          <t>avverkningsanmälan</t>
        </is>
      </c>
      <c r="C673" t="inlineStr">
        <is>
          <t>Föryngringsavverkning</t>
        </is>
      </c>
      <c r="D673" s="1" t="n">
        <v>46300</v>
      </c>
      <c r="E673" s="1" t="n">
        <v>46317</v>
      </c>
      <c r="F673" t="inlineStr">
        <is>
          <t>UPPSALA LÄN</t>
        </is>
      </c>
      <c r="G673" t="inlineStr">
        <is>
          <t>ÖSTHAMMAR</t>
        </is>
      </c>
      <c r="H673" t="inlineStr">
        <is>
          <t>Övriga Aktiebolag</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41078-2026</t>
        </is>
      </c>
      <c r="B674" t="inlineStr">
        <is>
          <t>avverkningsanmälan</t>
        </is>
      </c>
      <c r="C674" t="inlineStr">
        <is>
          <t>Föryngringsavverkning</t>
        </is>
      </c>
      <c r="D674" s="1" t="n">
        <v>46300</v>
      </c>
      <c r="E674" s="1" t="n">
        <v>46317</v>
      </c>
      <c r="F674" t="inlineStr">
        <is>
          <t>UPPSALA LÄN</t>
        </is>
      </c>
      <c r="G674" t="inlineStr">
        <is>
          <t>ÖSTHAMMAR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42262-2024</t>
        </is>
      </c>
      <c r="B675" t="inlineStr">
        <is>
          <t>avverkningsanmälan</t>
        </is>
      </c>
      <c r="C675" t="inlineStr">
        <is>
          <t>Föryngringsavverkning</t>
        </is>
      </c>
      <c r="D675" s="1" t="n">
        <v>45562</v>
      </c>
      <c r="E675" s="1" t="n">
        <v>46317</v>
      </c>
      <c r="F675" t="inlineStr">
        <is>
          <t>UPPSALA LÄN</t>
        </is>
      </c>
      <c r="G675" t="inlineStr">
        <is>
          <t>ÖSTHAMMAR</t>
        </is>
      </c>
      <c r="H675" t="inlineStr">
        <is>
          <t>Bergvik skog öst AB</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41138-2026</t>
        </is>
      </c>
      <c r="B676" t="inlineStr">
        <is>
          <t>avverkningsanmälan</t>
        </is>
      </c>
      <c r="C676" t="inlineStr">
        <is>
          <t>Föryngringsavverkning</t>
        </is>
      </c>
      <c r="D676" s="1" t="n">
        <v>46300</v>
      </c>
      <c r="E676" s="1" t="n">
        <v>46317</v>
      </c>
      <c r="F676" t="inlineStr">
        <is>
          <t>UPPSALA LÄN</t>
        </is>
      </c>
      <c r="G676" t="inlineStr">
        <is>
          <t>ÖSTHAMMAR</t>
        </is>
      </c>
      <c r="H676" t="inlineStr">
        <is>
          <t>Övriga Aktiebolag</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41143-2026</t>
        </is>
      </c>
      <c r="B677" t="inlineStr">
        <is>
          <t>avverkningsanmälan</t>
        </is>
      </c>
      <c r="C677" t="inlineStr">
        <is>
          <t>Föryngringsavverkning</t>
        </is>
      </c>
      <c r="D677" s="1" t="n">
        <v>46300</v>
      </c>
      <c r="E677" s="1" t="n">
        <v>46317</v>
      </c>
      <c r="F677" t="inlineStr">
        <is>
          <t>UPPSALA LÄN</t>
        </is>
      </c>
      <c r="G677" t="inlineStr">
        <is>
          <t>ÖSTHAMMAR</t>
        </is>
      </c>
      <c r="H677" t="inlineStr">
        <is>
          <t>Övriga Aktiebolag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41146-2026</t>
        </is>
      </c>
      <c r="B678" t="inlineStr">
        <is>
          <t>avverkningsanmälan</t>
        </is>
      </c>
      <c r="C678" t="inlineStr">
        <is>
          <t>Föryngringsavverkning</t>
        </is>
      </c>
      <c r="D678" s="1" t="n">
        <v>46300</v>
      </c>
      <c r="E678" s="1" t="n">
        <v>46317</v>
      </c>
      <c r="F678" t="inlineStr">
        <is>
          <t>UPPSALA LÄN</t>
        </is>
      </c>
      <c r="G678" t="inlineStr">
        <is>
          <t>ÖSTHAMMAR</t>
        </is>
      </c>
      <c r="H678" t="inlineStr">
        <is>
          <t>Övriga Aktiebolag</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44796-2024</t>
        </is>
      </c>
      <c r="B679" t="inlineStr">
        <is>
          <t>avverkningsanmälan</t>
        </is>
      </c>
      <c r="C679" t="inlineStr">
        <is>
          <t>Avverkning för annat ändamål</t>
        </is>
      </c>
      <c r="D679" s="1" t="n">
        <v>45574</v>
      </c>
      <c r="E679" s="1" t="n">
        <v>46317</v>
      </c>
      <c r="F679" t="inlineStr">
        <is>
          <t>UPPSALA LÄN</t>
        </is>
      </c>
      <c r="G679" t="inlineStr">
        <is>
          <t>ÖSTHAMMAR</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36954-2024</t>
        </is>
      </c>
      <c r="B680" t="inlineStr">
        <is>
          <t>avverkningsanmälan</t>
        </is>
      </c>
      <c r="C680" t="inlineStr">
        <is>
          <t>Föryngringsavverkning</t>
        </is>
      </c>
      <c r="D680" s="1" t="n">
        <v>45538</v>
      </c>
      <c r="E680" s="1" t="n">
        <v>46317</v>
      </c>
      <c r="F680" t="inlineStr">
        <is>
          <t>UPPSALA LÄN</t>
        </is>
      </c>
      <c r="G680" t="inlineStr">
        <is>
          <t>ÖSTHAMMAR</t>
        </is>
      </c>
      <c r="H680" t="inlineStr">
        <is>
          <t>Bergvik skog öst AB</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26161-2026</t>
        </is>
      </c>
      <c r="B681" t="inlineStr">
        <is>
          <t>avverkningsanmälan</t>
        </is>
      </c>
      <c r="C681" t="inlineStr">
        <is>
          <t>Föryngringsavverkning</t>
        </is>
      </c>
      <c r="D681" s="1" t="n">
        <v>46181</v>
      </c>
      <c r="E681" s="1" t="n">
        <v>46317</v>
      </c>
      <c r="F681" t="inlineStr">
        <is>
          <t>UPPSALA LÄN</t>
        </is>
      </c>
      <c r="G681" t="inlineStr">
        <is>
          <t>ÖSTHAMMAR</t>
        </is>
      </c>
      <c r="H681" t="inlineStr">
        <is>
          <t>Bergvik skog öst AB</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59291-2023</t>
        </is>
      </c>
      <c r="B682" t="inlineStr">
        <is>
          <t>avverkningsanmälan</t>
        </is>
      </c>
      <c r="C682" t="inlineStr">
        <is>
          <t>Föryngringsavverkning</t>
        </is>
      </c>
      <c r="D682" s="1" t="n">
        <v>45253</v>
      </c>
      <c r="E682" s="1" t="n">
        <v>46317</v>
      </c>
      <c r="F682" t="inlineStr">
        <is>
          <t>UPPSALA LÄN</t>
        </is>
      </c>
      <c r="G682" t="inlineStr">
        <is>
          <t>ÖSTHAMMAR</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43685-2024</t>
        </is>
      </c>
      <c r="B683" t="inlineStr">
        <is>
          <t>avverkningsanmälan</t>
        </is>
      </c>
      <c r="C683" t="inlineStr">
        <is>
          <t>Föryngringsavverkning</t>
        </is>
      </c>
      <c r="D683" s="1" t="n">
        <v>45569</v>
      </c>
      <c r="E683" s="1" t="n">
        <v>46317</v>
      </c>
      <c r="F683" t="inlineStr">
        <is>
          <t>UPPSALA LÄN</t>
        </is>
      </c>
      <c r="G683" t="inlineStr">
        <is>
          <t>ÖSTHAMMAR</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38575-2024</t>
        </is>
      </c>
      <c r="B684" t="inlineStr">
        <is>
          <t>avverkningsanmälan</t>
        </is>
      </c>
      <c r="C684" t="inlineStr">
        <is>
          <t>Föryngringsavverkning</t>
        </is>
      </c>
      <c r="D684" s="1" t="n">
        <v>45546</v>
      </c>
      <c r="E684" s="1" t="n">
        <v>46317</v>
      </c>
      <c r="F684" t="inlineStr">
        <is>
          <t>UPPSALA LÄN</t>
        </is>
      </c>
      <c r="G684" t="inlineStr">
        <is>
          <t>ÖSTHAMMAR</t>
        </is>
      </c>
      <c r="H684" t="inlineStr">
        <is>
          <t>Bergvik skog öst AB</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43993-2024</t>
        </is>
      </c>
      <c r="B685" t="inlineStr">
        <is>
          <t>avverkningsanmälan</t>
        </is>
      </c>
      <c r="C685" t="inlineStr">
        <is>
          <t>Föryngringsavverkning</t>
        </is>
      </c>
      <c r="D685" s="1" t="n">
        <v>45572</v>
      </c>
      <c r="E685" s="1" t="n">
        <v>46317</v>
      </c>
      <c r="F685" t="inlineStr">
        <is>
          <t>UPPSALA LÄN</t>
        </is>
      </c>
      <c r="G685" t="inlineStr">
        <is>
          <t>ÖSTHAMMAR</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5931-2022</t>
        </is>
      </c>
      <c r="B686" t="inlineStr">
        <is>
          <t>avverkningsanmälan</t>
        </is>
      </c>
      <c r="C686" t="inlineStr">
        <is>
          <t>Föryngringsavverkning</t>
        </is>
      </c>
      <c r="D686" s="1" t="n">
        <v>44598</v>
      </c>
      <c r="E686" s="1" t="n">
        <v>46317</v>
      </c>
      <c r="F686" t="inlineStr">
        <is>
          <t>UPPSALA LÄN</t>
        </is>
      </c>
      <c r="G686" t="inlineStr">
        <is>
          <t>ÖSTHAMMAR</t>
        </is>
      </c>
      <c r="H686" t="inlineStr">
        <is>
          <t>Bergvik skog öst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43655-2024</t>
        </is>
      </c>
      <c r="B687" t="inlineStr">
        <is>
          <t>avverkningsanmälan</t>
        </is>
      </c>
      <c r="C687" t="inlineStr">
        <is>
          <t>Föryngringsavverkning</t>
        </is>
      </c>
      <c r="D687" s="1" t="n">
        <v>45569</v>
      </c>
      <c r="E687" s="1" t="n">
        <v>46317</v>
      </c>
      <c r="F687" t="inlineStr">
        <is>
          <t>UPPSALA LÄN</t>
        </is>
      </c>
      <c r="G687" t="inlineStr">
        <is>
          <t>ÖSTHAMMAR</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43683-2024</t>
        </is>
      </c>
      <c r="B688" t="inlineStr">
        <is>
          <t>avverkningsanmälan</t>
        </is>
      </c>
      <c r="C688" t="inlineStr">
        <is>
          <t>Föryngringsavverkning</t>
        </is>
      </c>
      <c r="D688" s="1" t="n">
        <v>45569</v>
      </c>
      <c r="E688" s="1" t="n">
        <v>46317</v>
      </c>
      <c r="F688" t="inlineStr">
        <is>
          <t>UPPSALA LÄN</t>
        </is>
      </c>
      <c r="G688" t="inlineStr">
        <is>
          <t>ÖSTHAMMAR</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6517-2026</t>
        </is>
      </c>
      <c r="B689" t="inlineStr">
        <is>
          <t>avverkningsanmälan</t>
        </is>
      </c>
      <c r="C689" t="inlineStr">
        <is>
          <t>Föryngringsavverkning</t>
        </is>
      </c>
      <c r="D689" s="1" t="n">
        <v>46056</v>
      </c>
      <c r="E689" s="1" t="n">
        <v>46317</v>
      </c>
      <c r="F689" t="inlineStr">
        <is>
          <t>UPPSALA LÄN</t>
        </is>
      </c>
      <c r="G689" t="inlineStr">
        <is>
          <t>ÖSTHAMMAR</t>
        </is>
      </c>
      <c r="H689" t="inlineStr">
        <is>
          <t>Bergvik skog öst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6522-2026</t>
        </is>
      </c>
      <c r="B690" t="inlineStr">
        <is>
          <t>avverkningsanmälan</t>
        </is>
      </c>
      <c r="C690" t="inlineStr">
        <is>
          <t>Föryngringsavverkning</t>
        </is>
      </c>
      <c r="D690" s="1" t="n">
        <v>46056</v>
      </c>
      <c r="E690" s="1" t="n">
        <v>46317</v>
      </c>
      <c r="F690" t="inlineStr">
        <is>
          <t>UPPSALA LÄN</t>
        </is>
      </c>
      <c r="G690" t="inlineStr">
        <is>
          <t>ÖSTHAMMAR</t>
        </is>
      </c>
      <c r="H690" t="inlineStr">
        <is>
          <t>Bergvik skog öst AB</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27476-2025</t>
        </is>
      </c>
      <c r="B691" t="inlineStr">
        <is>
          <t>avverkningsanmälan</t>
        </is>
      </c>
      <c r="C691" t="inlineStr">
        <is>
          <t>Föryngringsavverkning</t>
        </is>
      </c>
      <c r="D691" s="1" t="n">
        <v>45813</v>
      </c>
      <c r="E691" s="1" t="n">
        <v>46317</v>
      </c>
      <c r="F691" t="inlineStr">
        <is>
          <t>UPPSALA LÄN</t>
        </is>
      </c>
      <c r="G691" t="inlineStr">
        <is>
          <t>ÖSTHAMMAR</t>
        </is>
      </c>
      <c r="H691" t="inlineStr">
        <is>
          <t>Bergvik skog öst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3642-2026</t>
        </is>
      </c>
      <c r="B692" t="inlineStr">
        <is>
          <t>avverkningsanmälan</t>
        </is>
      </c>
      <c r="C692" t="inlineStr">
        <is>
          <t>Föryngringsavverkning</t>
        </is>
      </c>
      <c r="D692" s="1" t="n">
        <v>46043</v>
      </c>
      <c r="E692" s="1" t="n">
        <v>46317</v>
      </c>
      <c r="F692" t="inlineStr">
        <is>
          <t>UPPSALA LÄN</t>
        </is>
      </c>
      <c r="G692" t="inlineStr">
        <is>
          <t>ÖSTHAMMAR</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34782-2026</t>
        </is>
      </c>
      <c r="B693" t="inlineStr">
        <is>
          <t>avverkningsanmälan</t>
        </is>
      </c>
      <c r="C693" t="inlineStr">
        <is>
          <t>Föryngringsavverkning</t>
        </is>
      </c>
      <c r="D693" s="1" t="n">
        <v>46258</v>
      </c>
      <c r="E693" s="1" t="n">
        <v>46317</v>
      </c>
      <c r="F693" t="inlineStr">
        <is>
          <t>UPPSALA LÄN</t>
        </is>
      </c>
      <c r="G693" t="inlineStr">
        <is>
          <t>ÖSTHAMMAR</t>
        </is>
      </c>
      <c r="H693" t="inlineStr">
        <is>
          <t>Övriga Aktiebolag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34786-2026</t>
        </is>
      </c>
      <c r="B694" t="inlineStr">
        <is>
          <t>avverkningsanmälan</t>
        </is>
      </c>
      <c r="C694" t="inlineStr">
        <is>
          <t>Föryngringsavverkning</t>
        </is>
      </c>
      <c r="D694" s="1" t="n">
        <v>46258</v>
      </c>
      <c r="E694" s="1" t="n">
        <v>46317</v>
      </c>
      <c r="F694" t="inlineStr">
        <is>
          <t>UPPSALA LÄN</t>
        </is>
      </c>
      <c r="G694" t="inlineStr">
        <is>
          <t>ÖSTHAMMAR</t>
        </is>
      </c>
      <c r="H694" t="inlineStr">
        <is>
          <t>Övriga Aktiebolag</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34978-2026</t>
        </is>
      </c>
      <c r="B695" t="inlineStr">
        <is>
          <t>avverkningsanmälan</t>
        </is>
      </c>
      <c r="C695" t="inlineStr">
        <is>
          <t>Föryngringsavverkning</t>
        </is>
      </c>
      <c r="D695" s="1" t="n">
        <v>46259</v>
      </c>
      <c r="E695" s="1" t="n">
        <v>46317</v>
      </c>
      <c r="F695" t="inlineStr">
        <is>
          <t>UPPSALA LÄN</t>
        </is>
      </c>
      <c r="G695" t="inlineStr">
        <is>
          <t>ÖSTHAMMAR</t>
        </is>
      </c>
      <c r="H695" t="inlineStr">
        <is>
          <t>Bergvik skog öst AB</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34779-2026</t>
        </is>
      </c>
      <c r="B696" t="inlineStr">
        <is>
          <t>avverkningsanmälan</t>
        </is>
      </c>
      <c r="C696" t="inlineStr">
        <is>
          <t>Föryngringsavverkning</t>
        </is>
      </c>
      <c r="D696" s="1" t="n">
        <v>46258</v>
      </c>
      <c r="E696" s="1" t="n">
        <v>46317</v>
      </c>
      <c r="F696" t="inlineStr">
        <is>
          <t>UPPSALA LÄN</t>
        </is>
      </c>
      <c r="G696" t="inlineStr">
        <is>
          <t>ÖSTHAMMAR</t>
        </is>
      </c>
      <c r="H696" t="inlineStr">
        <is>
          <t>Övriga Aktiebolag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34847-2026</t>
        </is>
      </c>
      <c r="B697" t="inlineStr">
        <is>
          <t>avverkningsanmälan</t>
        </is>
      </c>
      <c r="C697" t="inlineStr">
        <is>
          <t>Föryngringsavverkning</t>
        </is>
      </c>
      <c r="D697" s="1" t="n">
        <v>46258</v>
      </c>
      <c r="E697" s="1" t="n">
        <v>46317</v>
      </c>
      <c r="F697" t="inlineStr">
        <is>
          <t>UPPSALA LÄN</t>
        </is>
      </c>
      <c r="G697" t="inlineStr">
        <is>
          <t>ÖSTHAMMAR</t>
        </is>
      </c>
      <c r="H697" t="inlineStr">
        <is>
          <t>Bergvik skog öst AB</t>
        </is>
      </c>
      <c r="I697" t="n">
        <v>11.2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35197-2026</t>
        </is>
      </c>
      <c r="B698" t="inlineStr">
        <is>
          <t>avverkningsanmälan</t>
        </is>
      </c>
      <c r="C698" t="inlineStr">
        <is>
          <t>Föryngringsavverkning</t>
        </is>
      </c>
      <c r="D698" s="1" t="n">
        <v>46260</v>
      </c>
      <c r="E698" s="1" t="n">
        <v>46317</v>
      </c>
      <c r="F698" t="inlineStr">
        <is>
          <t>UPPSALA LÄN</t>
        </is>
      </c>
      <c r="G698" t="inlineStr">
        <is>
          <t>ÖSTHAMMAR</t>
        </is>
      </c>
      <c r="H698" t="inlineStr">
        <is>
          <t>Bergvik skog öst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42142-2026</t>
        </is>
      </c>
      <c r="B699" t="inlineStr">
        <is>
          <t>avverkningsanmälan</t>
        </is>
      </c>
      <c r="C699" t="inlineStr">
        <is>
          <t>Föryngringsavverkning</t>
        </is>
      </c>
      <c r="D699" s="1" t="n">
        <v>46304</v>
      </c>
      <c r="E699" s="1" t="n">
        <v>46317</v>
      </c>
      <c r="F699" t="inlineStr">
        <is>
          <t>UPPSALA LÄN</t>
        </is>
      </c>
      <c r="G699" t="inlineStr">
        <is>
          <t>ÖSTHAMMAR</t>
        </is>
      </c>
      <c r="H699" t="inlineStr">
        <is>
          <t>Bergvik skog öst AB</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42141-2026</t>
        </is>
      </c>
      <c r="B700" t="inlineStr">
        <is>
          <t>avverkningsanmälan</t>
        </is>
      </c>
      <c r="C700" t="inlineStr">
        <is>
          <t>Föryngringsavverkning</t>
        </is>
      </c>
      <c r="D700" s="1" t="n">
        <v>46304</v>
      </c>
      <c r="E700" s="1" t="n">
        <v>46317</v>
      </c>
      <c r="F700" t="inlineStr">
        <is>
          <t>UPPSALA LÄN</t>
        </is>
      </c>
      <c r="G700" t="inlineStr">
        <is>
          <t>ÖSTHAMMAR</t>
        </is>
      </c>
      <c r="H700" t="inlineStr">
        <is>
          <t>Bergvik skog öst AB</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28973-2026</t>
        </is>
      </c>
      <c r="B701" t="inlineStr">
        <is>
          <t>avverkningsanmälan</t>
        </is>
      </c>
      <c r="C701" t="inlineStr">
        <is>
          <t>Föryngringsavverkning</t>
        </is>
      </c>
      <c r="D701" s="1" t="n">
        <v>46199</v>
      </c>
      <c r="E701" s="1" t="n">
        <v>46317</v>
      </c>
      <c r="F701" t="inlineStr">
        <is>
          <t>UPPSALA LÄN</t>
        </is>
      </c>
      <c r="G701" t="inlineStr">
        <is>
          <t>ÖSTHAMMAR</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47614-2025</t>
        </is>
      </c>
      <c r="B702" t="inlineStr">
        <is>
          <t>avverkningsanmälan</t>
        </is>
      </c>
      <c r="C702" t="inlineStr">
        <is>
          <t>Föryngringsavverkning</t>
        </is>
      </c>
      <c r="D702" s="1" t="n">
        <v>45931</v>
      </c>
      <c r="E702" s="1" t="n">
        <v>46317</v>
      </c>
      <c r="F702" t="inlineStr">
        <is>
          <t>UPPSALA LÄN</t>
        </is>
      </c>
      <c r="G702" t="inlineStr">
        <is>
          <t>ÖSTHAMMAR</t>
        </is>
      </c>
      <c r="I702" t="n">
        <v>22.8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22709-2026</t>
        </is>
      </c>
      <c r="B703" t="inlineStr">
        <is>
          <t>avverkningsanmälan</t>
        </is>
      </c>
      <c r="C703" t="inlineStr">
        <is>
          <t>Föryngringsavverkning</t>
        </is>
      </c>
      <c r="D703" s="1" t="n">
        <v>46156</v>
      </c>
      <c r="E703" s="1" t="n">
        <v>46317</v>
      </c>
      <c r="F703" t="inlineStr">
        <is>
          <t>UPPSALA LÄN</t>
        </is>
      </c>
      <c r="G703" t="inlineStr">
        <is>
          <t>ÖSTHAMMAR</t>
        </is>
      </c>
      <c r="H703" t="inlineStr">
        <is>
          <t>Övriga Aktiebolag</t>
        </is>
      </c>
      <c r="I703" t="n">
        <v>15.5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22241-2026</t>
        </is>
      </c>
      <c r="B704" t="inlineStr">
        <is>
          <t>avverkningsanmälan</t>
        </is>
      </c>
      <c r="C704" t="inlineStr">
        <is>
          <t>Föryngringsavverkning</t>
        </is>
      </c>
      <c r="D704" s="1" t="n">
        <v>46154</v>
      </c>
      <c r="E704" s="1" t="n">
        <v>46317</v>
      </c>
      <c r="F704" t="inlineStr">
        <is>
          <t>UPPSALA LÄN</t>
        </is>
      </c>
      <c r="G704" t="inlineStr">
        <is>
          <t>ÖSTHAMMAR</t>
        </is>
      </c>
      <c r="H704" t="inlineStr">
        <is>
          <t>Övriga Aktiebolag</t>
        </is>
      </c>
      <c r="I704" t="n">
        <v>14.6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33078-2026</t>
        </is>
      </c>
      <c r="B705" t="inlineStr">
        <is>
          <t>avverkningsanmälan</t>
        </is>
      </c>
      <c r="C705" t="inlineStr">
        <is>
          <t>Föryngringsavverkning</t>
        </is>
      </c>
      <c r="D705" s="1" t="n">
        <v>46245</v>
      </c>
      <c r="E705" s="1" t="n">
        <v>46317</v>
      </c>
      <c r="F705" t="inlineStr">
        <is>
          <t>UPPSALA LÄN</t>
        </is>
      </c>
      <c r="G705" t="inlineStr">
        <is>
          <t>ÖSTHAMMAR</t>
        </is>
      </c>
      <c r="H705" t="inlineStr">
        <is>
          <t>Övriga Aktiebolag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31336-2026</t>
        </is>
      </c>
      <c r="B706" t="inlineStr">
        <is>
          <t>avverkningsanmälan</t>
        </is>
      </c>
      <c r="C706" t="inlineStr">
        <is>
          <t>Föryngringsavverkning</t>
        </is>
      </c>
      <c r="D706" s="1" t="n">
        <v>46219</v>
      </c>
      <c r="E706" s="1" t="n">
        <v>46317</v>
      </c>
      <c r="F706" t="inlineStr">
        <is>
          <t>UPPSALA LÄN</t>
        </is>
      </c>
      <c r="G706" t="inlineStr">
        <is>
          <t>ÖSTHAMMAR</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35517-2026</t>
        </is>
      </c>
      <c r="B707" t="inlineStr">
        <is>
          <t>avverkningsanmälan</t>
        </is>
      </c>
      <c r="C707" t="inlineStr">
        <is>
          <t>Föryngringsavverkning</t>
        </is>
      </c>
      <c r="D707" s="1" t="n">
        <v>46262</v>
      </c>
      <c r="E707" s="1" t="n">
        <v>46317</v>
      </c>
      <c r="F707" t="inlineStr">
        <is>
          <t>UPPSALA LÄN</t>
        </is>
      </c>
      <c r="G707" t="inlineStr">
        <is>
          <t>ÖSTHAMMAR</t>
        </is>
      </c>
      <c r="H707" t="inlineStr">
        <is>
          <t>Bergvik skog öst AB</t>
        </is>
      </c>
      <c r="I707" t="n">
        <v>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27490-2025</t>
        </is>
      </c>
      <c r="B708" t="inlineStr">
        <is>
          <t>avverkningsanmälan</t>
        </is>
      </c>
      <c r="C708" t="inlineStr">
        <is>
          <t>Föryngringsavverkning</t>
        </is>
      </c>
      <c r="D708" s="1" t="n">
        <v>45813</v>
      </c>
      <c r="E708" s="1" t="n">
        <v>46317</v>
      </c>
      <c r="F708" t="inlineStr">
        <is>
          <t>UPPSALA LÄN</t>
        </is>
      </c>
      <c r="G708" t="inlineStr">
        <is>
          <t>ÖSTHAMMAR</t>
        </is>
      </c>
      <c r="H708" t="inlineStr">
        <is>
          <t>Bergvik skog öst AB</t>
        </is>
      </c>
      <c r="I708" t="n">
        <v>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35949-2026</t>
        </is>
      </c>
      <c r="B709" t="inlineStr">
        <is>
          <t>avverkningsanmälan</t>
        </is>
      </c>
      <c r="C709" t="inlineStr">
        <is>
          <t>Avverkning för annat ändamål</t>
        </is>
      </c>
      <c r="D709" s="1" t="n">
        <v>46266</v>
      </c>
      <c r="E709" s="1" t="n">
        <v>46317</v>
      </c>
      <c r="F709" t="inlineStr">
        <is>
          <t>UPPSALA LÄN</t>
        </is>
      </c>
      <c r="G709" t="inlineStr">
        <is>
          <t>ÖSTHAMMAR</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42628-2026</t>
        </is>
      </c>
      <c r="B710" t="inlineStr">
        <is>
          <t>avverkningsanmälan</t>
        </is>
      </c>
      <c r="C710" t="inlineStr">
        <is>
          <t>Föryngringsavverkning</t>
        </is>
      </c>
      <c r="D710" s="1" t="n">
        <v>46309</v>
      </c>
      <c r="E710" s="1" t="n">
        <v>46317</v>
      </c>
      <c r="F710" t="inlineStr">
        <is>
          <t>UPPSALA LÄN</t>
        </is>
      </c>
      <c r="G710" t="inlineStr">
        <is>
          <t>ÖSTHAMMAR</t>
        </is>
      </c>
      <c r="H710" t="inlineStr">
        <is>
          <t>Bergvik skog öst AB</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42724-2026</t>
        </is>
      </c>
      <c r="B711" t="inlineStr">
        <is>
          <t>avverkningsanmälan</t>
        </is>
      </c>
      <c r="C711" t="inlineStr">
        <is>
          <t>Föryngringsavverkning</t>
        </is>
      </c>
      <c r="D711" s="1" t="n">
        <v>46309</v>
      </c>
      <c r="E711" s="1" t="n">
        <v>46317</v>
      </c>
      <c r="F711" t="inlineStr">
        <is>
          <t>UPPSALA LÄN</t>
        </is>
      </c>
      <c r="G711" t="inlineStr">
        <is>
          <t>ÖSTHAMMAR</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42772-2026</t>
        </is>
      </c>
      <c r="B712" t="inlineStr">
        <is>
          <t>avverkningsanmälan</t>
        </is>
      </c>
      <c r="C712" t="inlineStr">
        <is>
          <t>Föryngringsavverkning</t>
        </is>
      </c>
      <c r="D712" s="1" t="n">
        <v>46309</v>
      </c>
      <c r="E712" s="1" t="n">
        <v>46317</v>
      </c>
      <c r="F712" t="inlineStr">
        <is>
          <t>UPPSALA LÄN</t>
        </is>
      </c>
      <c r="G712" t="inlineStr">
        <is>
          <t>ÖSTHAMMAR</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39518-2026</t>
        </is>
      </c>
      <c r="B713" t="inlineStr">
        <is>
          <t>avverkningsanmälan</t>
        </is>
      </c>
      <c r="C713" t="inlineStr">
        <is>
          <t>Föryngringsavverkning</t>
        </is>
      </c>
      <c r="D713" s="1" t="n">
        <v>46289</v>
      </c>
      <c r="E713" s="1" t="n">
        <v>46317</v>
      </c>
      <c r="F713" t="inlineStr">
        <is>
          <t>UPPSALA LÄN</t>
        </is>
      </c>
      <c r="G713" t="inlineStr">
        <is>
          <t>ÖSTHAMMAR</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36186-2026</t>
        </is>
      </c>
      <c r="B714" t="inlineStr">
        <is>
          <t>avverkningsanmälan</t>
        </is>
      </c>
      <c r="C714" t="inlineStr">
        <is>
          <t>Föryngringsavverkning</t>
        </is>
      </c>
      <c r="D714" s="1" t="n">
        <v>46267</v>
      </c>
      <c r="E714" s="1" t="n">
        <v>46317</v>
      </c>
      <c r="F714" t="inlineStr">
        <is>
          <t>UPPSALA LÄN</t>
        </is>
      </c>
      <c r="G714" t="inlineStr">
        <is>
          <t>ÖSTHAMMAR</t>
        </is>
      </c>
      <c r="H714" t="inlineStr">
        <is>
          <t>Övriga Aktiebolag</t>
        </is>
      </c>
      <c r="I714" t="n">
        <v>21.5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35888-2026</t>
        </is>
      </c>
      <c r="B715" t="inlineStr">
        <is>
          <t>avverkningsanmälan</t>
        </is>
      </c>
      <c r="C715" t="inlineStr">
        <is>
          <t>Föryngringsavverkning</t>
        </is>
      </c>
      <c r="D715" s="1" t="n">
        <v>46266</v>
      </c>
      <c r="E715" s="1" t="n">
        <v>46317</v>
      </c>
      <c r="F715" t="inlineStr">
        <is>
          <t>UPPSALA LÄN</t>
        </is>
      </c>
      <c r="G715" t="inlineStr">
        <is>
          <t>ÖSTHAMMAR</t>
        </is>
      </c>
      <c r="H715" t="inlineStr">
        <is>
          <t>Kyrkan</t>
        </is>
      </c>
      <c r="I715" t="n">
        <v>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43026-2026</t>
        </is>
      </c>
      <c r="B716" t="inlineStr">
        <is>
          <t>avverkningsanmälan</t>
        </is>
      </c>
      <c r="C716" t="inlineStr">
        <is>
          <t>Avverkning för att bevara och utveckla /försöksver</t>
        </is>
      </c>
      <c r="D716" s="1" t="n">
        <v>46311</v>
      </c>
      <c r="E716" s="1" t="n">
        <v>46317</v>
      </c>
      <c r="F716" t="inlineStr">
        <is>
          <t>UPPSALA LÄN</t>
        </is>
      </c>
      <c r="G716" t="inlineStr">
        <is>
          <t>ÖSTHAMMAR</t>
        </is>
      </c>
      <c r="I716" t="n">
        <v>10.7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43335-2026</t>
        </is>
      </c>
      <c r="B717" t="inlineStr">
        <is>
          <t>avverkningsanmälan</t>
        </is>
      </c>
      <c r="C717" t="inlineStr">
        <is>
          <t>Föryngringsavverkning</t>
        </is>
      </c>
      <c r="D717" s="1" t="n">
        <v>46314</v>
      </c>
      <c r="E717" s="1" t="n">
        <v>46317</v>
      </c>
      <c r="F717" t="inlineStr">
        <is>
          <t>UPPSALA LÄN</t>
        </is>
      </c>
      <c r="G717" t="inlineStr">
        <is>
          <t>ÖSTHAMMAR</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43383-2026</t>
        </is>
      </c>
      <c r="B718" t="inlineStr">
        <is>
          <t>avverkningsanmälan</t>
        </is>
      </c>
      <c r="C718" t="inlineStr">
        <is>
          <t>Föryngringsavverkning</t>
        </is>
      </c>
      <c r="D718" s="1" t="n">
        <v>46314</v>
      </c>
      <c r="E718" s="1" t="n">
        <v>46317</v>
      </c>
      <c r="F718" t="inlineStr">
        <is>
          <t>UPPSALA LÄN</t>
        </is>
      </c>
      <c r="G718" t="inlineStr">
        <is>
          <t>ÖSTHAMMAR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8030-2026</t>
        </is>
      </c>
      <c r="B719" t="inlineStr">
        <is>
          <t>avverkningsanmälan</t>
        </is>
      </c>
      <c r="C719" t="inlineStr">
        <is>
          <t>Föryngringsavverkning</t>
        </is>
      </c>
      <c r="D719" s="1" t="n">
        <v>46063</v>
      </c>
      <c r="E719" s="1" t="n">
        <v>46317</v>
      </c>
      <c r="F719" t="inlineStr">
        <is>
          <t>UPPSALA LÄN</t>
        </is>
      </c>
      <c r="G719" t="inlineStr">
        <is>
          <t>ÖSTHAMMAR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43714-2026</t>
        </is>
      </c>
      <c r="B720" t="inlineStr">
        <is>
          <t>avverkningsanmälan</t>
        </is>
      </c>
      <c r="C720" t="inlineStr">
        <is>
          <t>Föryngringsavverkning</t>
        </is>
      </c>
      <c r="D720" s="1" t="n">
        <v>46316</v>
      </c>
      <c r="E720" s="1" t="n">
        <v>46317</v>
      </c>
      <c r="F720" t="inlineStr">
        <is>
          <t>UPPSALA LÄN</t>
        </is>
      </c>
      <c r="G720" t="inlineStr">
        <is>
          <t>ÖSTHAMMAR</t>
        </is>
      </c>
      <c r="H720" t="inlineStr">
        <is>
          <t>Bergvik skog öst AB</t>
        </is>
      </c>
      <c r="I720" t="n">
        <v>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43550-2026</t>
        </is>
      </c>
      <c r="B721" t="inlineStr">
        <is>
          <t>avverkningsanmälan</t>
        </is>
      </c>
      <c r="C721" t="inlineStr">
        <is>
          <t>Föryngringsavverkning</t>
        </is>
      </c>
      <c r="D721" s="1" t="n">
        <v>46315</v>
      </c>
      <c r="E721" s="1" t="n">
        <v>46317</v>
      </c>
      <c r="F721" t="inlineStr">
        <is>
          <t>UPPSALA LÄN</t>
        </is>
      </c>
      <c r="G721" t="inlineStr">
        <is>
          <t>ÖSTHAMMAR</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37225-2026</t>
        </is>
      </c>
      <c r="B722" t="inlineStr">
        <is>
          <t>avverkningsanmälan</t>
        </is>
      </c>
      <c r="C722" t="inlineStr">
        <is>
          <t>Föryngringsavverkning</t>
        </is>
      </c>
      <c r="D722" s="1" t="n">
        <v>46274</v>
      </c>
      <c r="E722" s="1" t="n">
        <v>46317</v>
      </c>
      <c r="F722" t="inlineStr">
        <is>
          <t>UPPSALA LÄN</t>
        </is>
      </c>
      <c r="G722" t="inlineStr">
        <is>
          <t>ÖSTHAMMAR</t>
        </is>
      </c>
      <c r="H722" t="inlineStr">
        <is>
          <t>Bergvik skog öst AB</t>
        </is>
      </c>
      <c r="I722" t="n">
        <v>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37175-2026</t>
        </is>
      </c>
      <c r="B723" t="inlineStr">
        <is>
          <t>avverkningsanmälan</t>
        </is>
      </c>
      <c r="C723" t="inlineStr">
        <is>
          <t>Föryngringsavverkning</t>
        </is>
      </c>
      <c r="D723" s="1" t="n">
        <v>46274</v>
      </c>
      <c r="E723" s="1" t="n">
        <v>46317</v>
      </c>
      <c r="F723" t="inlineStr">
        <is>
          <t>UPPSALA LÄN</t>
        </is>
      </c>
      <c r="G723" t="inlineStr">
        <is>
          <t>ÖSTHAMMAR</t>
        </is>
      </c>
      <c r="H723" t="inlineStr">
        <is>
          <t>Bergvik skog öst AB</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43711-2026</t>
        </is>
      </c>
      <c r="B724" t="inlineStr">
        <is>
          <t>avverkningsanmälan</t>
        </is>
      </c>
      <c r="C724" t="inlineStr">
        <is>
          <t>Föryngringsavverkning</t>
        </is>
      </c>
      <c r="D724" s="1" t="n">
        <v>46316</v>
      </c>
      <c r="E724" s="1" t="n">
        <v>46317</v>
      </c>
      <c r="F724" t="inlineStr">
        <is>
          <t>UPPSALA LÄN</t>
        </is>
      </c>
      <c r="G724" t="inlineStr">
        <is>
          <t>ÖSTHAMMAR</t>
        </is>
      </c>
      <c r="H724" t="inlineStr">
        <is>
          <t>Bergvik skog öst AB</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37190-2026</t>
        </is>
      </c>
      <c r="B725" t="inlineStr">
        <is>
          <t>avverkningsanmälan</t>
        </is>
      </c>
      <c r="C725" t="inlineStr">
        <is>
          <t>Föryngringsavverkning</t>
        </is>
      </c>
      <c r="D725" s="1" t="n">
        <v>46274</v>
      </c>
      <c r="E725" s="1" t="n">
        <v>46317</v>
      </c>
      <c r="F725" t="inlineStr">
        <is>
          <t>UPPSALA LÄN</t>
        </is>
      </c>
      <c r="G725" t="inlineStr">
        <is>
          <t>ÖSTHAMMAR</t>
        </is>
      </c>
      <c r="H725" t="inlineStr">
        <is>
          <t>Bergvik skog öst AB</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37176-2026</t>
        </is>
      </c>
      <c r="B726" t="inlineStr">
        <is>
          <t>avverkningsanmälan</t>
        </is>
      </c>
      <c r="C726" t="inlineStr">
        <is>
          <t>Föryngringsavverkning</t>
        </is>
      </c>
      <c r="D726" s="1" t="n">
        <v>46274</v>
      </c>
      <c r="E726" s="1" t="n">
        <v>46317</v>
      </c>
      <c r="F726" t="inlineStr">
        <is>
          <t>UPPSALA LÄN</t>
        </is>
      </c>
      <c r="G726" t="inlineStr">
        <is>
          <t>ÖSTHAMMAR</t>
        </is>
      </c>
      <c r="H726" t="inlineStr">
        <is>
          <t>Bergvik skog öst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3374-2022</t>
        </is>
      </c>
      <c r="B727" t="inlineStr">
        <is>
          <t>samrådsanmälan</t>
        </is>
      </c>
      <c r="C727" t="inlineStr">
        <is>
          <t>Skogsbilväg</t>
        </is>
      </c>
      <c r="D727" s="1" t="n">
        <v>44729</v>
      </c>
      <c r="E727" s="1" t="n">
        <v>46317</v>
      </c>
      <c r="F727" t="inlineStr">
        <is>
          <t>UPPSALA LÄN</t>
        </is>
      </c>
      <c r="G727" t="inlineStr">
        <is>
          <t>ÖSTHAMMAR</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2054-2022</t>
        </is>
      </c>
      <c r="B728" t="inlineStr">
        <is>
          <t>samrådsanmälan</t>
        </is>
      </c>
      <c r="C728" t="inlineStr">
        <is>
          <t>Annan skogsbruksåtgärd</t>
        </is>
      </c>
      <c r="D728" s="1" t="n">
        <v>44672</v>
      </c>
      <c r="E728" s="1" t="n">
        <v>46317</v>
      </c>
      <c r="F728" t="inlineStr">
        <is>
          <t>UPPSALA LÄN</t>
        </is>
      </c>
      <c r="G728" t="inlineStr">
        <is>
          <t>ÖSTHAMMAR</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457-2023</t>
        </is>
      </c>
      <c r="B729" t="inlineStr">
        <is>
          <t>samrådsanmälan</t>
        </is>
      </c>
      <c r="C729" t="inlineStr">
        <is>
          <t>Annan skogsbruksåtgärd</t>
        </is>
      </c>
      <c r="D729" s="1" t="n">
        <v>44964</v>
      </c>
      <c r="E729" s="1" t="n">
        <v>46317</v>
      </c>
      <c r="F729" t="inlineStr">
        <is>
          <t>UPPSALA LÄN</t>
        </is>
      </c>
      <c r="G729" t="inlineStr">
        <is>
          <t>ÖSTHAMMAR</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1925-2023</t>
        </is>
      </c>
      <c r="B730" t="inlineStr">
        <is>
          <t>samrådsanmälan</t>
        </is>
      </c>
      <c r="C730" t="inlineStr">
        <is>
          <t>Annan skogsbruksåtgärd</t>
        </is>
      </c>
      <c r="D730" s="1" t="n">
        <v>45078</v>
      </c>
      <c r="E730" s="1" t="n">
        <v>46317</v>
      </c>
      <c r="F730" t="inlineStr">
        <is>
          <t>UPPSALA LÄN</t>
        </is>
      </c>
      <c r="G730" t="inlineStr">
        <is>
          <t>ÖSTHAMMAR</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1620-2024</t>
        </is>
      </c>
      <c r="B731" t="inlineStr">
        <is>
          <t>samrådsanmälan</t>
        </is>
      </c>
      <c r="C731" t="inlineStr">
        <is>
          <t>Annan skogsbruksåtgärd</t>
        </is>
      </c>
      <c r="D731" s="1" t="n">
        <v>45428</v>
      </c>
      <c r="E731" s="1" t="n">
        <v>46317</v>
      </c>
      <c r="F731" t="inlineStr">
        <is>
          <t>UPPSALA LÄN</t>
        </is>
      </c>
      <c r="G731" t="inlineStr">
        <is>
          <t>ÖSTHAMMAR</t>
        </is>
      </c>
      <c r="I731" t="n">
        <v>8.199999999999999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1619-2024</t>
        </is>
      </c>
      <c r="B732" t="inlineStr">
        <is>
          <t>samrådsanmälan</t>
        </is>
      </c>
      <c r="C732" t="inlineStr">
        <is>
          <t>Annan skogsbruksåtgärd</t>
        </is>
      </c>
      <c r="D732" s="1" t="n">
        <v>45428</v>
      </c>
      <c r="E732" s="1" t="n">
        <v>46317</v>
      </c>
      <c r="F732" t="inlineStr">
        <is>
          <t>UPPSALA LÄN</t>
        </is>
      </c>
      <c r="G732" t="inlineStr">
        <is>
          <t>ÖSTHAMMAR</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1090-2024</t>
        </is>
      </c>
      <c r="B733" t="inlineStr">
        <is>
          <t>samrådsanmälan</t>
        </is>
      </c>
      <c r="C733" t="inlineStr">
        <is>
          <t>Annan skogsbruksåtgärd</t>
        </is>
      </c>
      <c r="D733" s="1" t="n">
        <v>45390</v>
      </c>
      <c r="E733" s="1" t="n">
        <v>46317</v>
      </c>
      <c r="F733" t="inlineStr">
        <is>
          <t>UPPSALA LÄN</t>
        </is>
      </c>
      <c r="G733" t="inlineStr">
        <is>
          <t>ÖSTHAMMAR</t>
        </is>
      </c>
      <c r="H733" t="inlineStr">
        <is>
          <t>Bergvik skog öst AB</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3110-2023</t>
        </is>
      </c>
      <c r="B734" t="inlineStr">
        <is>
          <t>samrådsanmälan</t>
        </is>
      </c>
      <c r="C734" t="inlineStr">
        <is>
          <t>Annan skogsbruksåtgärd</t>
        </is>
      </c>
      <c r="D734" s="1" t="n">
        <v>45182</v>
      </c>
      <c r="E734" s="1" t="n">
        <v>46317</v>
      </c>
      <c r="F734" t="inlineStr">
        <is>
          <t>UPPSALA LÄN</t>
        </is>
      </c>
      <c r="G734" t="inlineStr">
        <is>
          <t>ÖSTHAMMAR</t>
        </is>
      </c>
      <c r="H734" t="inlineStr">
        <is>
          <t>Bergvik skog öst AB</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2611-2025</t>
        </is>
      </c>
      <c r="B735" t="inlineStr">
        <is>
          <t>samrådsanmälan</t>
        </is>
      </c>
      <c r="C735" t="inlineStr">
        <is>
          <t>Annan skogsbruksåtgärd</t>
        </is>
      </c>
      <c r="D735" s="1" t="n">
        <v>45916</v>
      </c>
      <c r="E735" s="1" t="n">
        <v>46317</v>
      </c>
      <c r="F735" t="inlineStr">
        <is>
          <t>UPPSALA LÄN</t>
        </is>
      </c>
      <c r="G735" t="inlineStr">
        <is>
          <t>ÖSTHAMMAR</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2995-2025</t>
        </is>
      </c>
      <c r="B736" t="inlineStr">
        <is>
          <t>samrådsanmälan</t>
        </is>
      </c>
      <c r="C736" t="inlineStr">
        <is>
          <t>Annan skogsbruksåtgärd</t>
        </is>
      </c>
      <c r="D736" s="1" t="n">
        <v>45957</v>
      </c>
      <c r="E736" s="1" t="n">
        <v>46317</v>
      </c>
      <c r="F736" t="inlineStr">
        <is>
          <t>UPPSALA LÄN</t>
        </is>
      </c>
      <c r="G736" t="inlineStr">
        <is>
          <t>ÖSTHAMMAR</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84-2026</t>
        </is>
      </c>
      <c r="B737" t="inlineStr">
        <is>
          <t>samrådsanmälan</t>
        </is>
      </c>
      <c r="C737" t="inlineStr">
        <is>
          <t>Annan skogsbruksåtgärd</t>
        </is>
      </c>
      <c r="D737" s="1" t="n">
        <v>46034</v>
      </c>
      <c r="E737" s="1" t="n">
        <v>46317</v>
      </c>
      <c r="F737" t="inlineStr">
        <is>
          <t>UPPSALA LÄN</t>
        </is>
      </c>
      <c r="G737" t="inlineStr">
        <is>
          <t>ÖSTHAMMAR</t>
        </is>
      </c>
      <c r="H737" t="inlineStr">
        <is>
          <t>Bergvik skog öst AB</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750-2026</t>
        </is>
      </c>
      <c r="B738" t="inlineStr">
        <is>
          <t>samrådsanmälan</t>
        </is>
      </c>
      <c r="C738" t="inlineStr">
        <is>
          <t>Skogsgödsling</t>
        </is>
      </c>
      <c r="D738" s="1" t="n">
        <v>46089</v>
      </c>
      <c r="E738" s="1" t="n">
        <v>46317</v>
      </c>
      <c r="F738" t="inlineStr">
        <is>
          <t>UPPSALA LÄN</t>
        </is>
      </c>
      <c r="G738" t="inlineStr">
        <is>
          <t>ÖSTHAMMAR</t>
        </is>
      </c>
      <c r="H738" t="inlineStr">
        <is>
          <t>Bergvik skog öst AB</t>
        </is>
      </c>
      <c r="I738" t="n">
        <v>7.6</v>
      </c>
      <c r="J738" t="n">
        <v>0</v>
      </c>
      <c r="K738" t="n">
        <v>0</v>
      </c>
      <c r="L738" t="n">
        <v>0</v>
      </c>
      <c r="M738" t="n">
        <v>0</v>
      </c>
      <c r="N738" t="n">
        <v>0</v>
      </c>
      <c r="O738" t="n">
        <v>0</v>
      </c>
      <c r="P738" t="n">
        <v>0</v>
      </c>
      <c r="Q738" t="n">
        <v>0</v>
      </c>
      <c r="R738" t="n">
        <v>0</v>
      </c>
      <c r="S738" t="n">
        <v>0</v>
      </c>
      <c r="T738" t="n">
        <v>0</v>
      </c>
      <c r="U738" t="n">
        <v>0</v>
      </c>
      <c r="V738" s="2" t="inlineStr"/>
    </row>
    <row r="739">
      <c r="A739" t="inlineStr">
        <is>
          <t>S 2588-2026</t>
        </is>
      </c>
      <c r="B739" t="inlineStr">
        <is>
          <t>samrådsanmälan</t>
        </is>
      </c>
      <c r="C739" t="inlineStr">
        <is>
          <t>Annan skogsbruksåtgärd</t>
        </is>
      </c>
      <c r="D739" s="1" t="n">
        <v>46296</v>
      </c>
      <c r="E739" s="1" t="n">
        <v>46317</v>
      </c>
      <c r="F739" t="inlineStr">
        <is>
          <t>UPPSALA LÄN</t>
        </is>
      </c>
      <c r="G739" t="inlineStr">
        <is>
          <t>ÖSTHAMMAR</t>
        </is>
      </c>
      <c r="I739" t="n">
        <v>0.4</v>
      </c>
      <c r="J739" t="n">
        <v>0</v>
      </c>
      <c r="K739" t="n">
        <v>0</v>
      </c>
      <c r="L739" t="n">
        <v>0</v>
      </c>
      <c r="M739" t="n">
        <v>0</v>
      </c>
      <c r="N739" t="n">
        <v>0</v>
      </c>
      <c r="O739" t="n">
        <v>0</v>
      </c>
      <c r="P739" t="n">
        <v>0</v>
      </c>
      <c r="Q739" t="n">
        <v>0</v>
      </c>
      <c r="R739" t="n">
        <v>0</v>
      </c>
      <c r="S739" t="n">
        <v>0</v>
      </c>
      <c r="T739" t="n">
        <v>0</v>
      </c>
      <c r="U739" t="n">
        <v>0</v>
      </c>
      <c r="V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2026-10-22T01:59:31Z</dcterms:created>
  <dcterms:modified xmlns:dcterms="http://purl.org/dc/terms/" xmlns:xsi="http://www.w3.org/2001/XMLSchema-instance" xsi:type="dcterms:W3CDTF">2026-10-22T01:59:31Z</dcterms:modified>
</cp:coreProperties>
</file>