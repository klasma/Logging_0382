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45636</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45636</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45636</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45636</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45636</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45636</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45636</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45636</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45636</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45636</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45636</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45636</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45636</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45636</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45636</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45636</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45636</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45636</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45636</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45636</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45636</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45636</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45636</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45636</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45636</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45636</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45636</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45636</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45636</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45636</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45636</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45636</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45636</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45636</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45636</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45636</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45636</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45636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45636</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45636</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26600-2023</t>
        </is>
      </c>
      <c r="B53" s="1" t="n">
        <v>45092</v>
      </c>
      <c r="C53" s="1" t="n">
        <v>45636</v>
      </c>
      <c r="D53" t="inlineStr">
        <is>
          <t>UPPSALA LÄN</t>
        </is>
      </c>
      <c r="E53" t="inlineStr">
        <is>
          <t>ÖSTHAMMAR</t>
        </is>
      </c>
      <c r="F53" t="inlineStr">
        <is>
          <t>Sveaskog</t>
        </is>
      </c>
      <c r="G53" t="n">
        <v>3.5</v>
      </c>
      <c r="H53" t="n">
        <v>4</v>
      </c>
      <c r="I53" t="n">
        <v>0</v>
      </c>
      <c r="J53" t="n">
        <v>3</v>
      </c>
      <c r="K53" t="n">
        <v>0</v>
      </c>
      <c r="L53" t="n">
        <v>1</v>
      </c>
      <c r="M53" t="n">
        <v>0</v>
      </c>
      <c r="N53" t="n">
        <v>0</v>
      </c>
      <c r="O53" t="n">
        <v>4</v>
      </c>
      <c r="P53" t="n">
        <v>1</v>
      </c>
      <c r="Q53" t="n">
        <v>4</v>
      </c>
      <c r="R53" s="2" t="inlineStr">
        <is>
          <t>Grönfink
Fiskmås
Nordfladdermus
Rörsångare</t>
        </is>
      </c>
      <c r="S53">
        <f>HYPERLINK("https://klasma.github.io/Logging_0382/artfynd/A 26600-2023 artfynd.xlsx", "A 26600-2023")</f>
        <v/>
      </c>
      <c r="T53">
        <f>HYPERLINK("https://klasma.github.io/Logging_0382/kartor/A 26600-2023 karta.png", "A 26600-2023")</f>
        <v/>
      </c>
      <c r="V53">
        <f>HYPERLINK("https://klasma.github.io/Logging_0382/klagomål/A 26600-2023 FSC-klagomål.docx", "A 26600-2023")</f>
        <v/>
      </c>
      <c r="W53">
        <f>HYPERLINK("https://klasma.github.io/Logging_0382/klagomålsmail/A 26600-2023 FSC-klagomål mail.docx", "A 26600-2023")</f>
        <v/>
      </c>
      <c r="X53">
        <f>HYPERLINK("https://klasma.github.io/Logging_0382/tillsyn/A 26600-2023 tillsynsbegäran.docx", "A 26600-2023")</f>
        <v/>
      </c>
      <c r="Y53">
        <f>HYPERLINK("https://klasma.github.io/Logging_0382/tillsynsmail/A 26600-2023 tillsynsbegäran mail.docx", "A 26600-2023")</f>
        <v/>
      </c>
      <c r="Z53">
        <f>HYPERLINK("https://klasma.github.io/Logging_0382/fåglar/A 26600-2023 prioriterade fågelarter.docx", "A 26600-2023")</f>
        <v/>
      </c>
    </row>
    <row r="54" ht="15" customHeight="1">
      <c r="A54" t="inlineStr">
        <is>
          <t>A 11738-2024</t>
        </is>
      </c>
      <c r="B54" s="1" t="n">
        <v>45373</v>
      </c>
      <c r="C54" s="1" t="n">
        <v>45636</v>
      </c>
      <c r="D54" t="inlineStr">
        <is>
          <t>UPPSALA LÄN</t>
        </is>
      </c>
      <c r="E54" t="inlineStr">
        <is>
          <t>ÖSTHAMMAR</t>
        </is>
      </c>
      <c r="G54" t="n">
        <v>2.6</v>
      </c>
      <c r="H54" t="n">
        <v>1</v>
      </c>
      <c r="I54" t="n">
        <v>2</v>
      </c>
      <c r="J54" t="n">
        <v>1</v>
      </c>
      <c r="K54" t="n">
        <v>0</v>
      </c>
      <c r="L54" t="n">
        <v>0</v>
      </c>
      <c r="M54" t="n">
        <v>0</v>
      </c>
      <c r="N54" t="n">
        <v>0</v>
      </c>
      <c r="O54" t="n">
        <v>1</v>
      </c>
      <c r="P54" t="n">
        <v>0</v>
      </c>
      <c r="Q54" t="n">
        <v>4</v>
      </c>
      <c r="R54" s="2" t="inlineStr">
        <is>
          <t>Såpfingersvamp
Fjällig taggsvamp s.str.
Stor aspticka
Blåsippa</t>
        </is>
      </c>
      <c r="S54">
        <f>HYPERLINK("https://klasma.github.io/Logging_0382/artfynd/A 11738-2024 artfynd.xlsx", "A 11738-2024")</f>
        <v/>
      </c>
      <c r="T54">
        <f>HYPERLINK("https://klasma.github.io/Logging_0382/kartor/A 11738-2024 karta.png", "A 11738-2024")</f>
        <v/>
      </c>
      <c r="V54">
        <f>HYPERLINK("https://klasma.github.io/Logging_0382/klagomål/A 11738-2024 FSC-klagomål.docx", "A 11738-2024")</f>
        <v/>
      </c>
      <c r="W54">
        <f>HYPERLINK("https://klasma.github.io/Logging_0382/klagomålsmail/A 11738-2024 FSC-klagomål mail.docx", "A 11738-2024")</f>
        <v/>
      </c>
      <c r="X54">
        <f>HYPERLINK("https://klasma.github.io/Logging_0382/tillsyn/A 11738-2024 tillsynsbegäran.docx", "A 11738-2024")</f>
        <v/>
      </c>
      <c r="Y54">
        <f>HYPERLINK("https://klasma.github.io/Logging_0382/tillsynsmail/A 11738-2024 tillsynsbegäran mail.docx", "A 11738-2024")</f>
        <v/>
      </c>
    </row>
    <row r="55" ht="15" customHeight="1">
      <c r="A55" t="inlineStr">
        <is>
          <t>A 26279-2024</t>
        </is>
      </c>
      <c r="B55" s="1" t="n">
        <v>45468</v>
      </c>
      <c r="C55" s="1" t="n">
        <v>45636</v>
      </c>
      <c r="D55" t="inlineStr">
        <is>
          <t>UPPSALA LÄN</t>
        </is>
      </c>
      <c r="E55" t="inlineStr">
        <is>
          <t>ÖSTHAMMAR</t>
        </is>
      </c>
      <c r="G55" t="n">
        <v>2.8</v>
      </c>
      <c r="H55" t="n">
        <v>2</v>
      </c>
      <c r="I55" t="n">
        <v>4</v>
      </c>
      <c r="J55" t="n">
        <v>0</v>
      </c>
      <c r="K55" t="n">
        <v>0</v>
      </c>
      <c r="L55" t="n">
        <v>0</v>
      </c>
      <c r="M55" t="n">
        <v>0</v>
      </c>
      <c r="N55" t="n">
        <v>0</v>
      </c>
      <c r="O55" t="n">
        <v>0</v>
      </c>
      <c r="P55" t="n">
        <v>0</v>
      </c>
      <c r="Q55" t="n">
        <v>4</v>
      </c>
      <c r="R55" s="2" t="inlineStr">
        <is>
          <t>Nästrot
Skogsknipprot
Sårläka
Vårärt</t>
        </is>
      </c>
      <c r="S55">
        <f>HYPERLINK("https://klasma.github.io/Logging_0382/artfynd/A 26279-2024 artfynd.xlsx", "A 26279-2024")</f>
        <v/>
      </c>
      <c r="T55">
        <f>HYPERLINK("https://klasma.github.io/Logging_0382/kartor/A 26279-2024 karta.png", "A 26279-2024")</f>
        <v/>
      </c>
      <c r="V55">
        <f>HYPERLINK("https://klasma.github.io/Logging_0382/klagomål/A 26279-2024 FSC-klagomål.docx", "A 26279-2024")</f>
        <v/>
      </c>
      <c r="W55">
        <f>HYPERLINK("https://klasma.github.io/Logging_0382/klagomålsmail/A 26279-2024 FSC-klagomål mail.docx", "A 26279-2024")</f>
        <v/>
      </c>
      <c r="X55">
        <f>HYPERLINK("https://klasma.github.io/Logging_0382/tillsyn/A 26279-2024 tillsynsbegäran.docx", "A 26279-2024")</f>
        <v/>
      </c>
      <c r="Y55">
        <f>HYPERLINK("https://klasma.github.io/Logging_0382/tillsynsmail/A 26279-2024 tillsynsbegäran mail.docx", "A 26279-2024")</f>
        <v/>
      </c>
    </row>
    <row r="56" ht="15" customHeight="1">
      <c r="A56" t="inlineStr">
        <is>
          <t>A 53479-2024</t>
        </is>
      </c>
      <c r="B56" s="1" t="n">
        <v>45614</v>
      </c>
      <c r="C56" s="1" t="n">
        <v>45636</v>
      </c>
      <c r="D56" t="inlineStr">
        <is>
          <t>UPPSALA LÄN</t>
        </is>
      </c>
      <c r="E56" t="inlineStr">
        <is>
          <t>ÖSTHAMMAR</t>
        </is>
      </c>
      <c r="G56" t="n">
        <v>2.8</v>
      </c>
      <c r="H56" t="n">
        <v>0</v>
      </c>
      <c r="I56" t="n">
        <v>3</v>
      </c>
      <c r="J56" t="n">
        <v>1</v>
      </c>
      <c r="K56" t="n">
        <v>0</v>
      </c>
      <c r="L56" t="n">
        <v>0</v>
      </c>
      <c r="M56" t="n">
        <v>0</v>
      </c>
      <c r="N56" t="n">
        <v>0</v>
      </c>
      <c r="O56" t="n">
        <v>1</v>
      </c>
      <c r="P56" t="n">
        <v>0</v>
      </c>
      <c r="Q56" t="n">
        <v>4</v>
      </c>
      <c r="R56" s="2" t="inlineStr">
        <is>
          <t>Kungsspindling
Brandmusseron
Olivspindling
Strimspindling</t>
        </is>
      </c>
      <c r="S56">
        <f>HYPERLINK("https://klasma.github.io/Logging_0382/artfynd/A 53479-2024 artfynd.xlsx", "A 53479-2024")</f>
        <v/>
      </c>
      <c r="T56">
        <f>HYPERLINK("https://klasma.github.io/Logging_0382/kartor/A 53479-2024 karta.png", "A 53479-2024")</f>
        <v/>
      </c>
      <c r="V56">
        <f>HYPERLINK("https://klasma.github.io/Logging_0382/klagomål/A 53479-2024 FSC-klagomål.docx", "A 53479-2024")</f>
        <v/>
      </c>
      <c r="W56">
        <f>HYPERLINK("https://klasma.github.io/Logging_0382/klagomålsmail/A 53479-2024 FSC-klagomål mail.docx", "A 53479-2024")</f>
        <v/>
      </c>
      <c r="X56">
        <f>HYPERLINK("https://klasma.github.io/Logging_0382/tillsyn/A 53479-2024 tillsynsbegäran.docx", "A 53479-2024")</f>
        <v/>
      </c>
      <c r="Y56">
        <f>HYPERLINK("https://klasma.github.io/Logging_0382/tillsynsmail/A 53479-2024 tillsynsbegäran mail.docx", "A 53479-2024")</f>
        <v/>
      </c>
    </row>
    <row r="57" ht="15" customHeight="1">
      <c r="A57" t="inlineStr">
        <is>
          <t>A 54492-2024</t>
        </is>
      </c>
      <c r="B57" s="1" t="n">
        <v>45617</v>
      </c>
      <c r="C57" s="1" t="n">
        <v>45636</v>
      </c>
      <c r="D57" t="inlineStr">
        <is>
          <t>UPPSALA LÄN</t>
        </is>
      </c>
      <c r="E57" t="inlineStr">
        <is>
          <t>ÖSTHAMMAR</t>
        </is>
      </c>
      <c r="G57" t="n">
        <v>23.9</v>
      </c>
      <c r="H57" t="n">
        <v>1</v>
      </c>
      <c r="I57" t="n">
        <v>3</v>
      </c>
      <c r="J57" t="n">
        <v>0</v>
      </c>
      <c r="K57" t="n">
        <v>0</v>
      </c>
      <c r="L57" t="n">
        <v>0</v>
      </c>
      <c r="M57" t="n">
        <v>0</v>
      </c>
      <c r="N57" t="n">
        <v>0</v>
      </c>
      <c r="O57" t="n">
        <v>0</v>
      </c>
      <c r="P57" t="n">
        <v>0</v>
      </c>
      <c r="Q57" t="n">
        <v>4</v>
      </c>
      <c r="R57" s="2" t="inlineStr">
        <is>
          <t>Bårdlav
Hasselticka
Läderskål
Blåsippa</t>
        </is>
      </c>
      <c r="S57">
        <f>HYPERLINK("https://klasma.github.io/Logging_0382/artfynd/A 54492-2024 artfynd.xlsx", "A 54492-2024")</f>
        <v/>
      </c>
      <c r="T57">
        <f>HYPERLINK("https://klasma.github.io/Logging_0382/kartor/A 54492-2024 karta.png", "A 54492-2024")</f>
        <v/>
      </c>
      <c r="V57">
        <f>HYPERLINK("https://klasma.github.io/Logging_0382/klagomål/A 54492-2024 FSC-klagomål.docx", "A 54492-2024")</f>
        <v/>
      </c>
      <c r="W57">
        <f>HYPERLINK("https://klasma.github.io/Logging_0382/klagomålsmail/A 54492-2024 FSC-klagomål mail.docx", "A 54492-2024")</f>
        <v/>
      </c>
      <c r="X57">
        <f>HYPERLINK("https://klasma.github.io/Logging_0382/tillsyn/A 54492-2024 tillsynsbegäran.docx", "A 54492-2024")</f>
        <v/>
      </c>
      <c r="Y57">
        <f>HYPERLINK("https://klasma.github.io/Logging_0382/tillsynsmail/A 54492-2024 tillsynsbegäran mail.docx", "A 54492-2024")</f>
        <v/>
      </c>
    </row>
    <row r="58" ht="15" customHeight="1">
      <c r="A58" t="inlineStr">
        <is>
          <t>A 8385-2020</t>
        </is>
      </c>
      <c r="B58" s="1" t="n">
        <v>43875</v>
      </c>
      <c r="C58" s="1" t="n">
        <v>45636</v>
      </c>
      <c r="D58" t="inlineStr">
        <is>
          <t>UPPSALA LÄN</t>
        </is>
      </c>
      <c r="E58" t="inlineStr">
        <is>
          <t>ÖSTHAMMAR</t>
        </is>
      </c>
      <c r="F58" t="inlineStr">
        <is>
          <t>Bergvik skog öst AB</t>
        </is>
      </c>
      <c r="G58" t="n">
        <v>0.7</v>
      </c>
      <c r="H58" t="n">
        <v>2</v>
      </c>
      <c r="I58" t="n">
        <v>1</v>
      </c>
      <c r="J58" t="n">
        <v>2</v>
      </c>
      <c r="K58" t="n">
        <v>0</v>
      </c>
      <c r="L58" t="n">
        <v>0</v>
      </c>
      <c r="M58" t="n">
        <v>0</v>
      </c>
      <c r="N58" t="n">
        <v>0</v>
      </c>
      <c r="O58" t="n">
        <v>2</v>
      </c>
      <c r="P58" t="n">
        <v>0</v>
      </c>
      <c r="Q58" t="n">
        <v>3</v>
      </c>
      <c r="R58" s="2" t="inlineStr">
        <is>
          <t>Gulsparv
Svartvit flugsnappare
Svavelriska</t>
        </is>
      </c>
      <c r="S58">
        <f>HYPERLINK("https://klasma.github.io/Logging_0382/artfynd/A 8385-2020 artfynd.xlsx", "A 8385-2020")</f>
        <v/>
      </c>
      <c r="T58">
        <f>HYPERLINK("https://klasma.github.io/Logging_0382/kartor/A 8385-2020 karta.png", "A 8385-2020")</f>
        <v/>
      </c>
      <c r="V58">
        <f>HYPERLINK("https://klasma.github.io/Logging_0382/klagomål/A 8385-2020 FSC-klagomål.docx", "A 8385-2020")</f>
        <v/>
      </c>
      <c r="W58">
        <f>HYPERLINK("https://klasma.github.io/Logging_0382/klagomålsmail/A 8385-2020 FSC-klagomål mail.docx", "A 8385-2020")</f>
        <v/>
      </c>
      <c r="X58">
        <f>HYPERLINK("https://klasma.github.io/Logging_0382/tillsyn/A 8385-2020 tillsynsbegäran.docx", "A 8385-2020")</f>
        <v/>
      </c>
      <c r="Y58">
        <f>HYPERLINK("https://klasma.github.io/Logging_0382/tillsynsmail/A 8385-2020 tillsynsbegäran mail.docx", "A 8385-2020")</f>
        <v/>
      </c>
      <c r="Z58">
        <f>HYPERLINK("https://klasma.github.io/Logging_0382/fåglar/A 8385-2020 prioriterade fågelarter.docx", "A 8385-2020")</f>
        <v/>
      </c>
    </row>
    <row r="59" ht="15" customHeight="1">
      <c r="A59" t="inlineStr">
        <is>
          <t>A 45714-2020</t>
        </is>
      </c>
      <c r="B59" s="1" t="n">
        <v>44090</v>
      </c>
      <c r="C59" s="1" t="n">
        <v>45636</v>
      </c>
      <c r="D59" t="inlineStr">
        <is>
          <t>UPPSALA LÄN</t>
        </is>
      </c>
      <c r="E59" t="inlineStr">
        <is>
          <t>ÖSTHAMMAR</t>
        </is>
      </c>
      <c r="F59" t="inlineStr">
        <is>
          <t>Övriga Aktiebolag</t>
        </is>
      </c>
      <c r="G59" t="n">
        <v>10.8</v>
      </c>
      <c r="H59" t="n">
        <v>1</v>
      </c>
      <c r="I59" t="n">
        <v>1</v>
      </c>
      <c r="J59" t="n">
        <v>2</v>
      </c>
      <c r="K59" t="n">
        <v>0</v>
      </c>
      <c r="L59" t="n">
        <v>0</v>
      </c>
      <c r="M59" t="n">
        <v>0</v>
      </c>
      <c r="N59" t="n">
        <v>0</v>
      </c>
      <c r="O59" t="n">
        <v>2</v>
      </c>
      <c r="P59" t="n">
        <v>0</v>
      </c>
      <c r="Q59" t="n">
        <v>3</v>
      </c>
      <c r="R59" s="2" t="inlineStr">
        <is>
          <t>Slåtterfibbla
Solvända
Skogsknipprot</t>
        </is>
      </c>
      <c r="S59">
        <f>HYPERLINK("https://klasma.github.io/Logging_0382/artfynd/A 45714-2020 artfynd.xlsx", "A 45714-2020")</f>
        <v/>
      </c>
      <c r="T59">
        <f>HYPERLINK("https://klasma.github.io/Logging_0382/kartor/A 45714-2020 karta.png", "A 45714-2020")</f>
        <v/>
      </c>
      <c r="V59">
        <f>HYPERLINK("https://klasma.github.io/Logging_0382/klagomål/A 45714-2020 FSC-klagomål.docx", "A 45714-2020")</f>
        <v/>
      </c>
      <c r="W59">
        <f>HYPERLINK("https://klasma.github.io/Logging_0382/klagomålsmail/A 45714-2020 FSC-klagomål mail.docx", "A 45714-2020")</f>
        <v/>
      </c>
      <c r="X59">
        <f>HYPERLINK("https://klasma.github.io/Logging_0382/tillsyn/A 45714-2020 tillsynsbegäran.docx", "A 45714-2020")</f>
        <v/>
      </c>
      <c r="Y59">
        <f>HYPERLINK("https://klasma.github.io/Logging_0382/tillsynsmail/A 45714-2020 tillsynsbegäran mail.docx", "A 45714-2020")</f>
        <v/>
      </c>
    </row>
    <row r="60" ht="15" customHeight="1">
      <c r="A60" t="inlineStr">
        <is>
          <t>A 33035-2021</t>
        </is>
      </c>
      <c r="B60" s="1" t="n">
        <v>44376</v>
      </c>
      <c r="C60" s="1" t="n">
        <v>45636</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55051-2021</t>
        </is>
      </c>
      <c r="B61" s="1" t="n">
        <v>44474</v>
      </c>
      <c r="C61" s="1" t="n">
        <v>45636</v>
      </c>
      <c r="D61" t="inlineStr">
        <is>
          <t>UPPSALA LÄN</t>
        </is>
      </c>
      <c r="E61" t="inlineStr">
        <is>
          <t>ÖSTHAMMAR</t>
        </is>
      </c>
      <c r="F61" t="inlineStr">
        <is>
          <t>Bergvik skog öst AB</t>
        </is>
      </c>
      <c r="G61" t="n">
        <v>6.5</v>
      </c>
      <c r="H61" t="n">
        <v>1</v>
      </c>
      <c r="I61" t="n">
        <v>2</v>
      </c>
      <c r="J61" t="n">
        <v>0</v>
      </c>
      <c r="K61" t="n">
        <v>0</v>
      </c>
      <c r="L61" t="n">
        <v>0</v>
      </c>
      <c r="M61" t="n">
        <v>0</v>
      </c>
      <c r="N61" t="n">
        <v>0</v>
      </c>
      <c r="O61" t="n">
        <v>0</v>
      </c>
      <c r="P61" t="n">
        <v>0</v>
      </c>
      <c r="Q61" t="n">
        <v>3</v>
      </c>
      <c r="R61" s="2" t="inlineStr">
        <is>
          <t>Svart trolldruva
Tibast
Blåsippa</t>
        </is>
      </c>
      <c r="S61">
        <f>HYPERLINK("https://klasma.github.io/Logging_0382/artfynd/A 55051-2021 artfynd.xlsx", "A 55051-2021")</f>
        <v/>
      </c>
      <c r="T61">
        <f>HYPERLINK("https://klasma.github.io/Logging_0382/kartor/A 55051-2021 karta.png", "A 55051-2021")</f>
        <v/>
      </c>
      <c r="V61">
        <f>HYPERLINK("https://klasma.github.io/Logging_0382/klagomål/A 55051-2021 FSC-klagomål.docx", "A 55051-2021")</f>
        <v/>
      </c>
      <c r="W61">
        <f>HYPERLINK("https://klasma.github.io/Logging_0382/klagomålsmail/A 55051-2021 FSC-klagomål mail.docx", "A 55051-2021")</f>
        <v/>
      </c>
      <c r="X61">
        <f>HYPERLINK("https://klasma.github.io/Logging_0382/tillsyn/A 55051-2021 tillsynsbegäran.docx", "A 55051-2021")</f>
        <v/>
      </c>
      <c r="Y61">
        <f>HYPERLINK("https://klasma.github.io/Logging_0382/tillsynsmail/A 55051-2021 tillsynsbegäran mail.docx", "A 55051-2021")</f>
        <v/>
      </c>
    </row>
    <row r="62" ht="15" customHeight="1">
      <c r="A62" t="inlineStr">
        <is>
          <t>A 69515-2021</t>
        </is>
      </c>
      <c r="B62" s="1" t="n">
        <v>44531</v>
      </c>
      <c r="C62" s="1" t="n">
        <v>45636</v>
      </c>
      <c r="D62" t="inlineStr">
        <is>
          <t>UPPSALA LÄN</t>
        </is>
      </c>
      <c r="E62" t="inlineStr">
        <is>
          <t>ÖSTHAMMAR</t>
        </is>
      </c>
      <c r="G62" t="n">
        <v>7</v>
      </c>
      <c r="H62" t="n">
        <v>1</v>
      </c>
      <c r="I62" t="n">
        <v>2</v>
      </c>
      <c r="J62" t="n">
        <v>0</v>
      </c>
      <c r="K62" t="n">
        <v>0</v>
      </c>
      <c r="L62" t="n">
        <v>0</v>
      </c>
      <c r="M62" t="n">
        <v>0</v>
      </c>
      <c r="N62" t="n">
        <v>0</v>
      </c>
      <c r="O62" t="n">
        <v>0</v>
      </c>
      <c r="P62" t="n">
        <v>0</v>
      </c>
      <c r="Q62" t="n">
        <v>3</v>
      </c>
      <c r="R62" s="2" t="inlineStr">
        <is>
          <t>Svart trolldruva
Underviol
Revlummer</t>
        </is>
      </c>
      <c r="S62">
        <f>HYPERLINK("https://klasma.github.io/Logging_0382/artfynd/A 69515-2021 artfynd.xlsx", "A 69515-2021")</f>
        <v/>
      </c>
      <c r="T62">
        <f>HYPERLINK("https://klasma.github.io/Logging_0382/kartor/A 69515-2021 karta.png", "A 69515-2021")</f>
        <v/>
      </c>
      <c r="V62">
        <f>HYPERLINK("https://klasma.github.io/Logging_0382/klagomål/A 69515-2021 FSC-klagomål.docx", "A 69515-2021")</f>
        <v/>
      </c>
      <c r="W62">
        <f>HYPERLINK("https://klasma.github.io/Logging_0382/klagomålsmail/A 69515-2021 FSC-klagomål mail.docx", "A 69515-2021")</f>
        <v/>
      </c>
      <c r="X62">
        <f>HYPERLINK("https://klasma.github.io/Logging_0382/tillsyn/A 69515-2021 tillsynsbegäran.docx", "A 69515-2021")</f>
        <v/>
      </c>
      <c r="Y62">
        <f>HYPERLINK("https://klasma.github.io/Logging_0382/tillsynsmail/A 69515-2021 tillsynsbegäran mail.docx", "A 69515-2021")</f>
        <v/>
      </c>
    </row>
    <row r="63" ht="15" customHeight="1">
      <c r="A63" t="inlineStr">
        <is>
          <t>A 26557-2022</t>
        </is>
      </c>
      <c r="B63" s="1" t="n">
        <v>44739</v>
      </c>
      <c r="C63" s="1" t="n">
        <v>45636</v>
      </c>
      <c r="D63" t="inlineStr">
        <is>
          <t>UPPSALA LÄN</t>
        </is>
      </c>
      <c r="E63" t="inlineStr">
        <is>
          <t>ÖSTHAMMAR</t>
        </is>
      </c>
      <c r="F63" t="inlineStr">
        <is>
          <t>Övriga statliga verk och myndigheter</t>
        </is>
      </c>
      <c r="G63" t="n">
        <v>1.7</v>
      </c>
      <c r="H63" t="n">
        <v>3</v>
      </c>
      <c r="I63" t="n">
        <v>0</v>
      </c>
      <c r="J63" t="n">
        <v>3</v>
      </c>
      <c r="K63" t="n">
        <v>0</v>
      </c>
      <c r="L63" t="n">
        <v>0</v>
      </c>
      <c r="M63" t="n">
        <v>0</v>
      </c>
      <c r="N63" t="n">
        <v>0</v>
      </c>
      <c r="O63" t="n">
        <v>3</v>
      </c>
      <c r="P63" t="n">
        <v>0</v>
      </c>
      <c r="Q63" t="n">
        <v>3</v>
      </c>
      <c r="R63" s="2" t="inlineStr">
        <is>
          <t>Järpe
Mindre hackspett
Spillkråka</t>
        </is>
      </c>
      <c r="S63">
        <f>HYPERLINK("https://klasma.github.io/Logging_0382/artfynd/A 26557-2022 artfynd.xlsx", "A 26557-2022")</f>
        <v/>
      </c>
      <c r="T63">
        <f>HYPERLINK("https://klasma.github.io/Logging_0382/kartor/A 26557-2022 karta.png", "A 26557-2022")</f>
        <v/>
      </c>
      <c r="V63">
        <f>HYPERLINK("https://klasma.github.io/Logging_0382/klagomål/A 26557-2022 FSC-klagomål.docx", "A 26557-2022")</f>
        <v/>
      </c>
      <c r="W63">
        <f>HYPERLINK("https://klasma.github.io/Logging_0382/klagomålsmail/A 26557-2022 FSC-klagomål mail.docx", "A 26557-2022")</f>
        <v/>
      </c>
      <c r="X63">
        <f>HYPERLINK("https://klasma.github.io/Logging_0382/tillsyn/A 26557-2022 tillsynsbegäran.docx", "A 26557-2022")</f>
        <v/>
      </c>
      <c r="Y63">
        <f>HYPERLINK("https://klasma.github.io/Logging_0382/tillsynsmail/A 26557-2022 tillsynsbegäran mail.docx", "A 26557-2022")</f>
        <v/>
      </c>
      <c r="Z63">
        <f>HYPERLINK("https://klasma.github.io/Logging_0382/fåglar/A 26557-2022 prioriterade fågelarter.docx", "A 26557-2022")</f>
        <v/>
      </c>
    </row>
    <row r="64" ht="15" customHeight="1">
      <c r="A64" t="inlineStr">
        <is>
          <t>A 52808-2022</t>
        </is>
      </c>
      <c r="B64" s="1" t="n">
        <v>44875</v>
      </c>
      <c r="C64" s="1" t="n">
        <v>45636</v>
      </c>
      <c r="D64" t="inlineStr">
        <is>
          <t>UPPSALA LÄN</t>
        </is>
      </c>
      <c r="E64" t="inlineStr">
        <is>
          <t>ÖSTHAMMAR</t>
        </is>
      </c>
      <c r="G64" t="n">
        <v>4.8</v>
      </c>
      <c r="H64" t="n">
        <v>2</v>
      </c>
      <c r="I64" t="n">
        <v>2</v>
      </c>
      <c r="J64" t="n">
        <v>0</v>
      </c>
      <c r="K64" t="n">
        <v>0</v>
      </c>
      <c r="L64" t="n">
        <v>0</v>
      </c>
      <c r="M64" t="n">
        <v>0</v>
      </c>
      <c r="N64" t="n">
        <v>0</v>
      </c>
      <c r="O64" t="n">
        <v>0</v>
      </c>
      <c r="P64" t="n">
        <v>0</v>
      </c>
      <c r="Q64" t="n">
        <v>3</v>
      </c>
      <c r="R64" s="2" t="inlineStr">
        <is>
          <t>Tibast
Tvåblad
Revlummer</t>
        </is>
      </c>
      <c r="S64">
        <f>HYPERLINK("https://klasma.github.io/Logging_0382/artfynd/A 52808-2022 artfynd.xlsx", "A 52808-2022")</f>
        <v/>
      </c>
      <c r="T64">
        <f>HYPERLINK("https://klasma.github.io/Logging_0382/kartor/A 52808-2022 karta.png", "A 52808-2022")</f>
        <v/>
      </c>
      <c r="V64">
        <f>HYPERLINK("https://klasma.github.io/Logging_0382/klagomål/A 52808-2022 FSC-klagomål.docx", "A 52808-2022")</f>
        <v/>
      </c>
      <c r="W64">
        <f>HYPERLINK("https://klasma.github.io/Logging_0382/klagomålsmail/A 52808-2022 FSC-klagomål mail.docx", "A 52808-2022")</f>
        <v/>
      </c>
      <c r="X64">
        <f>HYPERLINK("https://klasma.github.io/Logging_0382/tillsyn/A 52808-2022 tillsynsbegäran.docx", "A 52808-2022")</f>
        <v/>
      </c>
      <c r="Y64">
        <f>HYPERLINK("https://klasma.github.io/Logging_0382/tillsynsmail/A 52808-2022 tillsynsbegäran mail.docx", "A 52808-2022")</f>
        <v/>
      </c>
    </row>
    <row r="65" ht="15" customHeight="1">
      <c r="A65" t="inlineStr">
        <is>
          <t>A 9683-2023</t>
        </is>
      </c>
      <c r="B65" s="1" t="n">
        <v>44984</v>
      </c>
      <c r="C65" s="1" t="n">
        <v>45636</v>
      </c>
      <c r="D65" t="inlineStr">
        <is>
          <t>UPPSALA LÄN</t>
        </is>
      </c>
      <c r="E65" t="inlineStr">
        <is>
          <t>ÖSTHAMMAR</t>
        </is>
      </c>
      <c r="G65" t="n">
        <v>4</v>
      </c>
      <c r="H65" t="n">
        <v>3</v>
      </c>
      <c r="I65" t="n">
        <v>1</v>
      </c>
      <c r="J65" t="n">
        <v>0</v>
      </c>
      <c r="K65" t="n">
        <v>0</v>
      </c>
      <c r="L65" t="n">
        <v>0</v>
      </c>
      <c r="M65" t="n">
        <v>0</v>
      </c>
      <c r="N65" t="n">
        <v>0</v>
      </c>
      <c r="O65" t="n">
        <v>0</v>
      </c>
      <c r="P65" t="n">
        <v>0</v>
      </c>
      <c r="Q65" t="n">
        <v>3</v>
      </c>
      <c r="R65" s="2" t="inlineStr">
        <is>
          <t>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12485-2023</t>
        </is>
      </c>
      <c r="B66" s="1" t="n">
        <v>44998</v>
      </c>
      <c r="C66" s="1" t="n">
        <v>45636</v>
      </c>
      <c r="D66" t="inlineStr">
        <is>
          <t>UPPSALA LÄN</t>
        </is>
      </c>
      <c r="E66" t="inlineStr">
        <is>
          <t>ÖSTHAMMAR</t>
        </is>
      </c>
      <c r="G66" t="n">
        <v>4.3</v>
      </c>
      <c r="H66" t="n">
        <v>0</v>
      </c>
      <c r="I66" t="n">
        <v>0</v>
      </c>
      <c r="J66" t="n">
        <v>3</v>
      </c>
      <c r="K66" t="n">
        <v>0</v>
      </c>
      <c r="L66" t="n">
        <v>0</v>
      </c>
      <c r="M66" t="n">
        <v>0</v>
      </c>
      <c r="N66" t="n">
        <v>0</v>
      </c>
      <c r="O66" t="n">
        <v>3</v>
      </c>
      <c r="P66" t="n">
        <v>0</v>
      </c>
      <c r="Q66" t="n">
        <v>3</v>
      </c>
      <c r="R66" s="2" t="inlineStr">
        <is>
          <t>Backklöver
Slåtterfibbla
Solvända</t>
        </is>
      </c>
      <c r="S66">
        <f>HYPERLINK("https://klasma.github.io/Logging_0382/artfynd/A 12485-2023 artfynd.xlsx", "A 12485-2023")</f>
        <v/>
      </c>
      <c r="T66">
        <f>HYPERLINK("https://klasma.github.io/Logging_0382/kartor/A 12485-2023 karta.png", "A 12485-2023")</f>
        <v/>
      </c>
      <c r="V66">
        <f>HYPERLINK("https://klasma.github.io/Logging_0382/klagomål/A 12485-2023 FSC-klagomål.docx", "A 12485-2023")</f>
        <v/>
      </c>
      <c r="W66">
        <f>HYPERLINK("https://klasma.github.io/Logging_0382/klagomålsmail/A 12485-2023 FSC-klagomål mail.docx", "A 12485-2023")</f>
        <v/>
      </c>
      <c r="X66">
        <f>HYPERLINK("https://klasma.github.io/Logging_0382/tillsyn/A 12485-2023 tillsynsbegäran.docx", "A 12485-2023")</f>
        <v/>
      </c>
      <c r="Y66">
        <f>HYPERLINK("https://klasma.github.io/Logging_0382/tillsynsmail/A 12485-2023 tillsynsbegäran mail.docx", "A 12485-2023")</f>
        <v/>
      </c>
    </row>
    <row r="67" ht="15" customHeight="1">
      <c r="A67" t="inlineStr">
        <is>
          <t>A 13120-2023</t>
        </is>
      </c>
      <c r="B67" s="1" t="n">
        <v>45002</v>
      </c>
      <c r="C67" s="1" t="n">
        <v>45636</v>
      </c>
      <c r="D67" t="inlineStr">
        <is>
          <t>UPPSALA LÄN</t>
        </is>
      </c>
      <c r="E67" t="inlineStr">
        <is>
          <t>ÖSTHAMMAR</t>
        </is>
      </c>
      <c r="G67" t="n">
        <v>5.8</v>
      </c>
      <c r="H67" t="n">
        <v>0</v>
      </c>
      <c r="I67" t="n">
        <v>3</v>
      </c>
      <c r="J67" t="n">
        <v>0</v>
      </c>
      <c r="K67" t="n">
        <v>0</v>
      </c>
      <c r="L67" t="n">
        <v>0</v>
      </c>
      <c r="M67" t="n">
        <v>0</v>
      </c>
      <c r="N67" t="n">
        <v>0</v>
      </c>
      <c r="O67" t="n">
        <v>0</v>
      </c>
      <c r="P67" t="n">
        <v>0</v>
      </c>
      <c r="Q67" t="n">
        <v>3</v>
      </c>
      <c r="R67" s="2" t="inlineStr">
        <is>
          <t>Anisspindling
Olivspindling
Rödgul trumpetsvamp</t>
        </is>
      </c>
      <c r="S67">
        <f>HYPERLINK("https://klasma.github.io/Logging_0382/artfynd/A 13120-2023 artfynd.xlsx", "A 13120-2023")</f>
        <v/>
      </c>
      <c r="T67">
        <f>HYPERLINK("https://klasma.github.io/Logging_0382/kartor/A 13120-2023 karta.png", "A 13120-2023")</f>
        <v/>
      </c>
      <c r="V67">
        <f>HYPERLINK("https://klasma.github.io/Logging_0382/klagomål/A 13120-2023 FSC-klagomål.docx", "A 13120-2023")</f>
        <v/>
      </c>
      <c r="W67">
        <f>HYPERLINK("https://klasma.github.io/Logging_0382/klagomålsmail/A 13120-2023 FSC-klagomål mail.docx", "A 13120-2023")</f>
        <v/>
      </c>
      <c r="X67">
        <f>HYPERLINK("https://klasma.github.io/Logging_0382/tillsyn/A 13120-2023 tillsynsbegäran.docx", "A 13120-2023")</f>
        <v/>
      </c>
      <c r="Y67">
        <f>HYPERLINK("https://klasma.github.io/Logging_0382/tillsynsmail/A 13120-2023 tillsynsbegäran mail.docx", "A 13120-2023")</f>
        <v/>
      </c>
    </row>
    <row r="68" ht="15" customHeight="1">
      <c r="A68" t="inlineStr">
        <is>
          <t>A 15179-2023</t>
        </is>
      </c>
      <c r="B68" s="1" t="n">
        <v>45016</v>
      </c>
      <c r="C68" s="1" t="n">
        <v>45636</v>
      </c>
      <c r="D68" t="inlineStr">
        <is>
          <t>UPPSALA LÄN</t>
        </is>
      </c>
      <c r="E68" t="inlineStr">
        <is>
          <t>ÖSTHAMMAR</t>
        </is>
      </c>
      <c r="G68" t="n">
        <v>6.1</v>
      </c>
      <c r="H68" t="n">
        <v>1</v>
      </c>
      <c r="I68" t="n">
        <v>3</v>
      </c>
      <c r="J68" t="n">
        <v>0</v>
      </c>
      <c r="K68" t="n">
        <v>0</v>
      </c>
      <c r="L68" t="n">
        <v>0</v>
      </c>
      <c r="M68" t="n">
        <v>0</v>
      </c>
      <c r="N68" t="n">
        <v>0</v>
      </c>
      <c r="O68" t="n">
        <v>0</v>
      </c>
      <c r="P68" t="n">
        <v>0</v>
      </c>
      <c r="Q68" t="n">
        <v>3</v>
      </c>
      <c r="R68" s="2" t="inlineStr">
        <is>
          <t>Skogsknipprot
Tibast
Vårärt</t>
        </is>
      </c>
      <c r="S68">
        <f>HYPERLINK("https://klasma.github.io/Logging_0382/artfynd/A 15179-2023 artfynd.xlsx", "A 15179-2023")</f>
        <v/>
      </c>
      <c r="T68">
        <f>HYPERLINK("https://klasma.github.io/Logging_0382/kartor/A 15179-2023 karta.png", "A 15179-2023")</f>
        <v/>
      </c>
      <c r="V68">
        <f>HYPERLINK("https://klasma.github.io/Logging_0382/klagomål/A 15179-2023 FSC-klagomål.docx", "A 15179-2023")</f>
        <v/>
      </c>
      <c r="W68">
        <f>HYPERLINK("https://klasma.github.io/Logging_0382/klagomålsmail/A 15179-2023 FSC-klagomål mail.docx", "A 15179-2023")</f>
        <v/>
      </c>
      <c r="X68">
        <f>HYPERLINK("https://klasma.github.io/Logging_0382/tillsyn/A 15179-2023 tillsynsbegäran.docx", "A 15179-2023")</f>
        <v/>
      </c>
      <c r="Y68">
        <f>HYPERLINK("https://klasma.github.io/Logging_0382/tillsynsmail/A 15179-2023 tillsynsbegäran mail.docx", "A 15179-2023")</f>
        <v/>
      </c>
    </row>
    <row r="69" ht="15" customHeight="1">
      <c r="A69" t="inlineStr">
        <is>
          <t>A 19884-2023</t>
        </is>
      </c>
      <c r="B69" s="1" t="n">
        <v>45054</v>
      </c>
      <c r="C69" s="1" t="n">
        <v>45636</v>
      </c>
      <c r="D69" t="inlineStr">
        <is>
          <t>UPPSALA LÄN</t>
        </is>
      </c>
      <c r="E69" t="inlineStr">
        <is>
          <t>ÖSTHAMMAR</t>
        </is>
      </c>
      <c r="G69" t="n">
        <v>2.5</v>
      </c>
      <c r="H69" t="n">
        <v>3</v>
      </c>
      <c r="I69" t="n">
        <v>0</v>
      </c>
      <c r="J69" t="n">
        <v>2</v>
      </c>
      <c r="K69" t="n">
        <v>0</v>
      </c>
      <c r="L69" t="n">
        <v>1</v>
      </c>
      <c r="M69" t="n">
        <v>0</v>
      </c>
      <c r="N69" t="n">
        <v>0</v>
      </c>
      <c r="O69" t="n">
        <v>3</v>
      </c>
      <c r="P69" t="n">
        <v>1</v>
      </c>
      <c r="Q69" t="n">
        <v>3</v>
      </c>
      <c r="R69" s="2" t="inlineStr">
        <is>
          <t>Grönfink
Grönsångare
Rödvingetrast</t>
        </is>
      </c>
      <c r="S69">
        <f>HYPERLINK("https://klasma.github.io/Logging_0382/artfynd/A 19884-2023 artfynd.xlsx", "A 19884-2023")</f>
        <v/>
      </c>
      <c r="T69">
        <f>HYPERLINK("https://klasma.github.io/Logging_0382/kartor/A 19884-2023 karta.png", "A 19884-2023")</f>
        <v/>
      </c>
      <c r="V69">
        <f>HYPERLINK("https://klasma.github.io/Logging_0382/klagomål/A 19884-2023 FSC-klagomål.docx", "A 19884-2023")</f>
        <v/>
      </c>
      <c r="W69">
        <f>HYPERLINK("https://klasma.github.io/Logging_0382/klagomålsmail/A 19884-2023 FSC-klagomål mail.docx", "A 19884-2023")</f>
        <v/>
      </c>
      <c r="X69">
        <f>HYPERLINK("https://klasma.github.io/Logging_0382/tillsyn/A 19884-2023 tillsynsbegäran.docx", "A 19884-2023")</f>
        <v/>
      </c>
      <c r="Y69">
        <f>HYPERLINK("https://klasma.github.io/Logging_0382/tillsynsmail/A 19884-2023 tillsynsbegäran mail.docx", "A 19884-2023")</f>
        <v/>
      </c>
      <c r="Z69">
        <f>HYPERLINK("https://klasma.github.io/Logging_0382/fåglar/A 19884-2023 prioriterade fågelarter.docx", "A 19884-2023")</f>
        <v/>
      </c>
    </row>
    <row r="70" ht="15" customHeight="1">
      <c r="A70" t="inlineStr">
        <is>
          <t>A 20115-2023</t>
        </is>
      </c>
      <c r="B70" s="1" t="n">
        <v>45055</v>
      </c>
      <c r="C70" s="1" t="n">
        <v>45636</v>
      </c>
      <c r="D70" t="inlineStr">
        <is>
          <t>UPPSALA LÄN</t>
        </is>
      </c>
      <c r="E70" t="inlineStr">
        <is>
          <t>ÖSTHAMMAR</t>
        </is>
      </c>
      <c r="G70" t="n">
        <v>13.4</v>
      </c>
      <c r="H70" t="n">
        <v>0</v>
      </c>
      <c r="I70" t="n">
        <v>0</v>
      </c>
      <c r="J70" t="n">
        <v>3</v>
      </c>
      <c r="K70" t="n">
        <v>0</v>
      </c>
      <c r="L70" t="n">
        <v>0</v>
      </c>
      <c r="M70" t="n">
        <v>0</v>
      </c>
      <c r="N70" t="n">
        <v>0</v>
      </c>
      <c r="O70" t="n">
        <v>3</v>
      </c>
      <c r="P70" t="n">
        <v>0</v>
      </c>
      <c r="Q70" t="n">
        <v>3</v>
      </c>
      <c r="R70" s="2" t="inlineStr">
        <is>
          <t>Grantaggsvamp
Leopardsköldbagge
Orange taggsvamp</t>
        </is>
      </c>
      <c r="S70">
        <f>HYPERLINK("https://klasma.github.io/Logging_0382/artfynd/A 20115-2023 artfynd.xlsx", "A 20115-2023")</f>
        <v/>
      </c>
      <c r="T70">
        <f>HYPERLINK("https://klasma.github.io/Logging_0382/kartor/A 20115-2023 karta.png", "A 20115-2023")</f>
        <v/>
      </c>
      <c r="U70">
        <f>HYPERLINK("https://klasma.github.io/Logging_0382/knärot/A 20115-2023 karta knärot.png", "A 20115-2023")</f>
        <v/>
      </c>
      <c r="V70">
        <f>HYPERLINK("https://klasma.github.io/Logging_0382/klagomål/A 20115-2023 FSC-klagomål.docx", "A 20115-2023")</f>
        <v/>
      </c>
      <c r="W70">
        <f>HYPERLINK("https://klasma.github.io/Logging_0382/klagomålsmail/A 20115-2023 FSC-klagomål mail.docx", "A 20115-2023")</f>
        <v/>
      </c>
      <c r="X70">
        <f>HYPERLINK("https://klasma.github.io/Logging_0382/tillsyn/A 20115-2023 tillsynsbegäran.docx", "A 20115-2023")</f>
        <v/>
      </c>
      <c r="Y70">
        <f>HYPERLINK("https://klasma.github.io/Logging_0382/tillsynsmail/A 20115-2023 tillsynsbegäran mail.docx", "A 20115-2023")</f>
        <v/>
      </c>
    </row>
    <row r="71" ht="15" customHeight="1">
      <c r="A71" t="inlineStr">
        <is>
          <t>A 46204-2023</t>
        </is>
      </c>
      <c r="B71" s="1" t="n">
        <v>45190</v>
      </c>
      <c r="C71" s="1" t="n">
        <v>45636</v>
      </c>
      <c r="D71" t="inlineStr">
        <is>
          <t>UPPSALA LÄN</t>
        </is>
      </c>
      <c r="E71" t="inlineStr">
        <is>
          <t>ÖSTHAMMAR</t>
        </is>
      </c>
      <c r="F71" t="inlineStr">
        <is>
          <t>Övriga statliga verk och myndigheter</t>
        </is>
      </c>
      <c r="G71" t="n">
        <v>3.5</v>
      </c>
      <c r="H71" t="n">
        <v>3</v>
      </c>
      <c r="I71" t="n">
        <v>0</v>
      </c>
      <c r="J71" t="n">
        <v>3</v>
      </c>
      <c r="K71" t="n">
        <v>0</v>
      </c>
      <c r="L71" t="n">
        <v>0</v>
      </c>
      <c r="M71" t="n">
        <v>0</v>
      </c>
      <c r="N71" t="n">
        <v>0</v>
      </c>
      <c r="O71" t="n">
        <v>3</v>
      </c>
      <c r="P71" t="n">
        <v>0</v>
      </c>
      <c r="Q71" t="n">
        <v>3</v>
      </c>
      <c r="R71" s="2" t="inlineStr">
        <is>
          <t>Grönsångare
Gulsparv
Ärtsångare</t>
        </is>
      </c>
      <c r="S71">
        <f>HYPERLINK("https://klasma.github.io/Logging_0382/artfynd/A 46204-2023 artfynd.xlsx", "A 46204-2023")</f>
        <v/>
      </c>
      <c r="T71">
        <f>HYPERLINK("https://klasma.github.io/Logging_0382/kartor/A 46204-2023 karta.png", "A 46204-2023")</f>
        <v/>
      </c>
      <c r="V71">
        <f>HYPERLINK("https://klasma.github.io/Logging_0382/klagomål/A 46204-2023 FSC-klagomål.docx", "A 46204-2023")</f>
        <v/>
      </c>
      <c r="W71">
        <f>HYPERLINK("https://klasma.github.io/Logging_0382/klagomålsmail/A 46204-2023 FSC-klagomål mail.docx", "A 46204-2023")</f>
        <v/>
      </c>
      <c r="X71">
        <f>HYPERLINK("https://klasma.github.io/Logging_0382/tillsyn/A 46204-2023 tillsynsbegäran.docx", "A 46204-2023")</f>
        <v/>
      </c>
      <c r="Y71">
        <f>HYPERLINK("https://klasma.github.io/Logging_0382/tillsynsmail/A 46204-2023 tillsynsbegäran mail.docx", "A 46204-2023")</f>
        <v/>
      </c>
      <c r="Z71">
        <f>HYPERLINK("https://klasma.github.io/Logging_0382/fåglar/A 46204-2023 prioriterade fågelarter.docx", "A 46204-2023")</f>
        <v/>
      </c>
    </row>
    <row r="72" ht="15" customHeight="1">
      <c r="A72" t="inlineStr">
        <is>
          <t>A 53731-2023</t>
        </is>
      </c>
      <c r="B72" s="1" t="n">
        <v>45230</v>
      </c>
      <c r="C72" s="1" t="n">
        <v>45636</v>
      </c>
      <c r="D72" t="inlineStr">
        <is>
          <t>UPPSALA LÄN</t>
        </is>
      </c>
      <c r="E72" t="inlineStr">
        <is>
          <t>ÖSTHAMMAR</t>
        </is>
      </c>
      <c r="G72" t="n">
        <v>3.2</v>
      </c>
      <c r="H72" t="n">
        <v>0</v>
      </c>
      <c r="I72" t="n">
        <v>1</v>
      </c>
      <c r="J72" t="n">
        <v>1</v>
      </c>
      <c r="K72" t="n">
        <v>1</v>
      </c>
      <c r="L72" t="n">
        <v>0</v>
      </c>
      <c r="M72" t="n">
        <v>0</v>
      </c>
      <c r="N72" t="n">
        <v>0</v>
      </c>
      <c r="O72" t="n">
        <v>2</v>
      </c>
      <c r="P72" t="n">
        <v>1</v>
      </c>
      <c r="Q72" t="n">
        <v>3</v>
      </c>
      <c r="R72" s="2" t="inlineStr">
        <is>
          <t>Taggfingersvamp
Äggspindling
Sårläka</t>
        </is>
      </c>
      <c r="S72">
        <f>HYPERLINK("https://klasma.github.io/Logging_0382/artfynd/A 53731-2023 artfynd.xlsx", "A 53731-2023")</f>
        <v/>
      </c>
      <c r="T72">
        <f>HYPERLINK("https://klasma.github.io/Logging_0382/kartor/A 53731-2023 karta.png", "A 53731-2023")</f>
        <v/>
      </c>
      <c r="V72">
        <f>HYPERLINK("https://klasma.github.io/Logging_0382/klagomål/A 53731-2023 FSC-klagomål.docx", "A 53731-2023")</f>
        <v/>
      </c>
      <c r="W72">
        <f>HYPERLINK("https://klasma.github.io/Logging_0382/klagomålsmail/A 53731-2023 FSC-klagomål mail.docx", "A 53731-2023")</f>
        <v/>
      </c>
      <c r="X72">
        <f>HYPERLINK("https://klasma.github.io/Logging_0382/tillsyn/A 53731-2023 tillsynsbegäran.docx", "A 53731-2023")</f>
        <v/>
      </c>
      <c r="Y72">
        <f>HYPERLINK("https://klasma.github.io/Logging_0382/tillsynsmail/A 53731-2023 tillsynsbegäran mail.docx", "A 53731-2023")</f>
        <v/>
      </c>
    </row>
    <row r="73" ht="15" customHeight="1">
      <c r="A73" t="inlineStr">
        <is>
          <t>A 57633-2023</t>
        </is>
      </c>
      <c r="B73" s="1" t="n">
        <v>45246</v>
      </c>
      <c r="C73" s="1" t="n">
        <v>45636</v>
      </c>
      <c r="D73" t="inlineStr">
        <is>
          <t>UPPSALA LÄN</t>
        </is>
      </c>
      <c r="E73" t="inlineStr">
        <is>
          <t>ÖSTHAMMAR</t>
        </is>
      </c>
      <c r="F73" t="inlineStr">
        <is>
          <t>Bergvik skog öst AB</t>
        </is>
      </c>
      <c r="G73" t="n">
        <v>1</v>
      </c>
      <c r="H73" t="n">
        <v>1</v>
      </c>
      <c r="I73" t="n">
        <v>3</v>
      </c>
      <c r="J73" t="n">
        <v>0</v>
      </c>
      <c r="K73" t="n">
        <v>0</v>
      </c>
      <c r="L73" t="n">
        <v>0</v>
      </c>
      <c r="M73" t="n">
        <v>0</v>
      </c>
      <c r="N73" t="n">
        <v>0</v>
      </c>
      <c r="O73" t="n">
        <v>0</v>
      </c>
      <c r="P73" t="n">
        <v>0</v>
      </c>
      <c r="Q73" t="n">
        <v>3</v>
      </c>
      <c r="R73" s="2" t="inlineStr">
        <is>
          <t>Skogsknipprot
Svart trolldruva
Svavelriska</t>
        </is>
      </c>
      <c r="S73">
        <f>HYPERLINK("https://klasma.github.io/Logging_0382/artfynd/A 57633-2023 artfynd.xlsx", "A 57633-2023")</f>
        <v/>
      </c>
      <c r="T73">
        <f>HYPERLINK("https://klasma.github.io/Logging_0382/kartor/A 57633-2023 karta.png", "A 57633-2023")</f>
        <v/>
      </c>
      <c r="V73">
        <f>HYPERLINK("https://klasma.github.io/Logging_0382/klagomål/A 57633-2023 FSC-klagomål.docx", "A 57633-2023")</f>
        <v/>
      </c>
      <c r="W73">
        <f>HYPERLINK("https://klasma.github.io/Logging_0382/klagomålsmail/A 57633-2023 FSC-klagomål mail.docx", "A 57633-2023")</f>
        <v/>
      </c>
      <c r="X73">
        <f>HYPERLINK("https://klasma.github.io/Logging_0382/tillsyn/A 57633-2023 tillsynsbegäran.docx", "A 57633-2023")</f>
        <v/>
      </c>
      <c r="Y73">
        <f>HYPERLINK("https://klasma.github.io/Logging_0382/tillsynsmail/A 57633-2023 tillsynsbegäran mail.docx", "A 57633-2023")</f>
        <v/>
      </c>
    </row>
    <row r="74" ht="15" customHeight="1">
      <c r="A74" t="inlineStr">
        <is>
          <t>A 57636-2023</t>
        </is>
      </c>
      <c r="B74" s="1" t="n">
        <v>45246</v>
      </c>
      <c r="C74" s="1" t="n">
        <v>45636</v>
      </c>
      <c r="D74" t="inlineStr">
        <is>
          <t>UPPSALA LÄN</t>
        </is>
      </c>
      <c r="E74" t="inlineStr">
        <is>
          <t>ÖSTHAMMAR</t>
        </is>
      </c>
      <c r="F74" t="inlineStr">
        <is>
          <t>Bergvik skog öst AB</t>
        </is>
      </c>
      <c r="G74" t="n">
        <v>9.800000000000001</v>
      </c>
      <c r="H74" t="n">
        <v>1</v>
      </c>
      <c r="I74" t="n">
        <v>3</v>
      </c>
      <c r="J74" t="n">
        <v>0</v>
      </c>
      <c r="K74" t="n">
        <v>0</v>
      </c>
      <c r="L74" t="n">
        <v>0</v>
      </c>
      <c r="M74" t="n">
        <v>0</v>
      </c>
      <c r="N74" t="n">
        <v>0</v>
      </c>
      <c r="O74" t="n">
        <v>0</v>
      </c>
      <c r="P74" t="n">
        <v>0</v>
      </c>
      <c r="Q74" t="n">
        <v>3</v>
      </c>
      <c r="R74" s="2" t="inlineStr">
        <is>
          <t>Skogsknipprot
Svavelriska
Tibast</t>
        </is>
      </c>
      <c r="S74">
        <f>HYPERLINK("https://klasma.github.io/Logging_0382/artfynd/A 57636-2023 artfynd.xlsx", "A 57636-2023")</f>
        <v/>
      </c>
      <c r="T74">
        <f>HYPERLINK("https://klasma.github.io/Logging_0382/kartor/A 57636-2023 karta.png", "A 57636-2023")</f>
        <v/>
      </c>
      <c r="V74">
        <f>HYPERLINK("https://klasma.github.io/Logging_0382/klagomål/A 57636-2023 FSC-klagomål.docx", "A 57636-2023")</f>
        <v/>
      </c>
      <c r="W74">
        <f>HYPERLINK("https://klasma.github.io/Logging_0382/klagomålsmail/A 57636-2023 FSC-klagomål mail.docx", "A 57636-2023")</f>
        <v/>
      </c>
      <c r="X74">
        <f>HYPERLINK("https://klasma.github.io/Logging_0382/tillsyn/A 57636-2023 tillsynsbegäran.docx", "A 57636-2023")</f>
        <v/>
      </c>
      <c r="Y74">
        <f>HYPERLINK("https://klasma.github.io/Logging_0382/tillsynsmail/A 57636-2023 tillsynsbegäran mail.docx", "A 57636-2023")</f>
        <v/>
      </c>
    </row>
    <row r="75" ht="15" customHeight="1">
      <c r="A75" t="inlineStr">
        <is>
          <t>A 9715-2024</t>
        </is>
      </c>
      <c r="B75" s="1" t="n">
        <v>45362</v>
      </c>
      <c r="C75" s="1" t="n">
        <v>45636</v>
      </c>
      <c r="D75" t="inlineStr">
        <is>
          <t>UPPSALA LÄN</t>
        </is>
      </c>
      <c r="E75" t="inlineStr">
        <is>
          <t>ÖSTHAMMAR</t>
        </is>
      </c>
      <c r="G75" t="n">
        <v>4.7</v>
      </c>
      <c r="H75" t="n">
        <v>2</v>
      </c>
      <c r="I75" t="n">
        <v>2</v>
      </c>
      <c r="J75" t="n">
        <v>0</v>
      </c>
      <c r="K75" t="n">
        <v>1</v>
      </c>
      <c r="L75" t="n">
        <v>0</v>
      </c>
      <c r="M75" t="n">
        <v>0</v>
      </c>
      <c r="N75" t="n">
        <v>0</v>
      </c>
      <c r="O75" t="n">
        <v>1</v>
      </c>
      <c r="P75" t="n">
        <v>1</v>
      </c>
      <c r="Q75" t="n">
        <v>3</v>
      </c>
      <c r="R75" s="2" t="inlineStr">
        <is>
          <t>Knärot
Skogsknipprot
Vedticka</t>
        </is>
      </c>
      <c r="S75">
        <f>HYPERLINK("https://klasma.github.io/Logging_0382/artfynd/A 9715-2024 artfynd.xlsx", "A 9715-2024")</f>
        <v/>
      </c>
      <c r="T75">
        <f>HYPERLINK("https://klasma.github.io/Logging_0382/kartor/A 9715-2024 karta.png", "A 9715-2024")</f>
        <v/>
      </c>
      <c r="U75">
        <f>HYPERLINK("https://klasma.github.io/Logging_0382/knärot/A 9715-2024 karta knärot.png", "A 9715-2024")</f>
        <v/>
      </c>
      <c r="V75">
        <f>HYPERLINK("https://klasma.github.io/Logging_0382/klagomål/A 9715-2024 FSC-klagomål.docx", "A 9715-2024")</f>
        <v/>
      </c>
      <c r="W75">
        <f>HYPERLINK("https://klasma.github.io/Logging_0382/klagomålsmail/A 9715-2024 FSC-klagomål mail.docx", "A 9715-2024")</f>
        <v/>
      </c>
      <c r="X75">
        <f>HYPERLINK("https://klasma.github.io/Logging_0382/tillsyn/A 9715-2024 tillsynsbegäran.docx", "A 9715-2024")</f>
        <v/>
      </c>
      <c r="Y75">
        <f>HYPERLINK("https://klasma.github.io/Logging_0382/tillsynsmail/A 9715-2024 tillsynsbegäran mail.docx", "A 9715-2024")</f>
        <v/>
      </c>
    </row>
    <row r="76" ht="15" customHeight="1">
      <c r="A76" t="inlineStr">
        <is>
          <t>A 17004-2024</t>
        </is>
      </c>
      <c r="B76" s="1" t="n">
        <v>45412</v>
      </c>
      <c r="C76" s="1" t="n">
        <v>45636</v>
      </c>
      <c r="D76" t="inlineStr">
        <is>
          <t>UPPSALA LÄN</t>
        </is>
      </c>
      <c r="E76" t="inlineStr">
        <is>
          <t>ÖSTHAMMAR</t>
        </is>
      </c>
      <c r="F76" t="inlineStr">
        <is>
          <t>Bergvik skog öst AB</t>
        </is>
      </c>
      <c r="G76" t="n">
        <v>24.4</v>
      </c>
      <c r="H76" t="n">
        <v>0</v>
      </c>
      <c r="I76" t="n">
        <v>2</v>
      </c>
      <c r="J76" t="n">
        <v>0</v>
      </c>
      <c r="K76" t="n">
        <v>0</v>
      </c>
      <c r="L76" t="n">
        <v>0</v>
      </c>
      <c r="M76" t="n">
        <v>1</v>
      </c>
      <c r="N76" t="n">
        <v>0</v>
      </c>
      <c r="O76" t="n">
        <v>1</v>
      </c>
      <c r="P76" t="n">
        <v>1</v>
      </c>
      <c r="Q76" t="n">
        <v>3</v>
      </c>
      <c r="R76" s="2" t="inlineStr">
        <is>
          <t>Skogsalm
Myskmadra
Underviol</t>
        </is>
      </c>
      <c r="S76">
        <f>HYPERLINK("https://klasma.github.io/Logging_0382/artfynd/A 17004-2024 artfynd.xlsx", "A 17004-2024")</f>
        <v/>
      </c>
      <c r="T76">
        <f>HYPERLINK("https://klasma.github.io/Logging_0382/kartor/A 17004-2024 karta.png", "A 17004-2024")</f>
        <v/>
      </c>
      <c r="V76">
        <f>HYPERLINK("https://klasma.github.io/Logging_0382/klagomål/A 17004-2024 FSC-klagomål.docx", "A 17004-2024")</f>
        <v/>
      </c>
      <c r="W76">
        <f>HYPERLINK("https://klasma.github.io/Logging_0382/klagomålsmail/A 17004-2024 FSC-klagomål mail.docx", "A 17004-2024")</f>
        <v/>
      </c>
      <c r="X76">
        <f>HYPERLINK("https://klasma.github.io/Logging_0382/tillsyn/A 17004-2024 tillsynsbegäran.docx", "A 17004-2024")</f>
        <v/>
      </c>
      <c r="Y76">
        <f>HYPERLINK("https://klasma.github.io/Logging_0382/tillsynsmail/A 17004-2024 tillsynsbegäran mail.docx", "A 17004-2024")</f>
        <v/>
      </c>
    </row>
    <row r="77" ht="15" customHeight="1">
      <c r="A77" t="inlineStr">
        <is>
          <t>A 29322-2024</t>
        </is>
      </c>
      <c r="B77" s="1" t="n">
        <v>45483</v>
      </c>
      <c r="C77" s="1" t="n">
        <v>45636</v>
      </c>
      <c r="D77" t="inlineStr">
        <is>
          <t>UPPSALA LÄN</t>
        </is>
      </c>
      <c r="E77" t="inlineStr">
        <is>
          <t>ÖSTHAMMAR</t>
        </is>
      </c>
      <c r="G77" t="n">
        <v>11.9</v>
      </c>
      <c r="H77" t="n">
        <v>0</v>
      </c>
      <c r="I77" t="n">
        <v>2</v>
      </c>
      <c r="J77" t="n">
        <v>1</v>
      </c>
      <c r="K77" t="n">
        <v>0</v>
      </c>
      <c r="L77" t="n">
        <v>0</v>
      </c>
      <c r="M77" t="n">
        <v>0</v>
      </c>
      <c r="N77" t="n">
        <v>0</v>
      </c>
      <c r="O77" t="n">
        <v>1</v>
      </c>
      <c r="P77" t="n">
        <v>0</v>
      </c>
      <c r="Q77" t="n">
        <v>3</v>
      </c>
      <c r="R77" s="2" t="inlineStr">
        <is>
          <t>Äggspindling
Anisspindling
Guldkremla</t>
        </is>
      </c>
      <c r="S77">
        <f>HYPERLINK("https://klasma.github.io/Logging_0382/artfynd/A 29322-2024 artfynd.xlsx", "A 29322-2024")</f>
        <v/>
      </c>
      <c r="T77">
        <f>HYPERLINK("https://klasma.github.io/Logging_0382/kartor/A 29322-2024 karta.png", "A 29322-2024")</f>
        <v/>
      </c>
      <c r="V77">
        <f>HYPERLINK("https://klasma.github.io/Logging_0382/klagomål/A 29322-2024 FSC-klagomål.docx", "A 29322-2024")</f>
        <v/>
      </c>
      <c r="W77">
        <f>HYPERLINK("https://klasma.github.io/Logging_0382/klagomålsmail/A 29322-2024 FSC-klagomål mail.docx", "A 29322-2024")</f>
        <v/>
      </c>
      <c r="X77">
        <f>HYPERLINK("https://klasma.github.io/Logging_0382/tillsyn/A 29322-2024 tillsynsbegäran.docx", "A 29322-2024")</f>
        <v/>
      </c>
      <c r="Y77">
        <f>HYPERLINK("https://klasma.github.io/Logging_0382/tillsynsmail/A 29322-2024 tillsynsbegäran mail.docx", "A 29322-2024")</f>
        <v/>
      </c>
    </row>
    <row r="78" ht="15" customHeight="1">
      <c r="A78" t="inlineStr">
        <is>
          <t>A 41443-2024</t>
        </is>
      </c>
      <c r="B78" s="1" t="n">
        <v>45560</v>
      </c>
      <c r="C78" s="1" t="n">
        <v>45636</v>
      </c>
      <c r="D78" t="inlineStr">
        <is>
          <t>UPPSALA LÄN</t>
        </is>
      </c>
      <c r="E78" t="inlineStr">
        <is>
          <t>ÖSTHAMMAR</t>
        </is>
      </c>
      <c r="F78" t="inlineStr">
        <is>
          <t>Bergvik skog väst AB</t>
        </is>
      </c>
      <c r="G78" t="n">
        <v>10.7</v>
      </c>
      <c r="H78" t="n">
        <v>2</v>
      </c>
      <c r="I78" t="n">
        <v>1</v>
      </c>
      <c r="J78" t="n">
        <v>1</v>
      </c>
      <c r="K78" t="n">
        <v>0</v>
      </c>
      <c r="L78" t="n">
        <v>0</v>
      </c>
      <c r="M78" t="n">
        <v>0</v>
      </c>
      <c r="N78" t="n">
        <v>0</v>
      </c>
      <c r="O78" t="n">
        <v>1</v>
      </c>
      <c r="P78" t="n">
        <v>0</v>
      </c>
      <c r="Q78" t="n">
        <v>3</v>
      </c>
      <c r="R78" s="2" t="inlineStr">
        <is>
          <t>Spillkråka
Brandticka
Blåsippa</t>
        </is>
      </c>
      <c r="S78">
        <f>HYPERLINK("https://klasma.github.io/Logging_0382/artfynd/A 41443-2024 artfynd.xlsx", "A 41443-2024")</f>
        <v/>
      </c>
      <c r="T78">
        <f>HYPERLINK("https://klasma.github.io/Logging_0382/kartor/A 41443-2024 karta.png", "A 41443-2024")</f>
        <v/>
      </c>
      <c r="V78">
        <f>HYPERLINK("https://klasma.github.io/Logging_0382/klagomål/A 41443-2024 FSC-klagomål.docx", "A 41443-2024")</f>
        <v/>
      </c>
      <c r="W78">
        <f>HYPERLINK("https://klasma.github.io/Logging_0382/klagomålsmail/A 41443-2024 FSC-klagomål mail.docx", "A 41443-2024")</f>
        <v/>
      </c>
      <c r="X78">
        <f>HYPERLINK("https://klasma.github.io/Logging_0382/tillsyn/A 41443-2024 tillsynsbegäran.docx", "A 41443-2024")</f>
        <v/>
      </c>
      <c r="Y78">
        <f>HYPERLINK("https://klasma.github.io/Logging_0382/tillsynsmail/A 41443-2024 tillsynsbegäran mail.docx", "A 41443-2024")</f>
        <v/>
      </c>
      <c r="Z78">
        <f>HYPERLINK("https://klasma.github.io/Logging_0382/fåglar/A 41443-2024 prioriterade fågelarter.docx", "A 41443-2024")</f>
        <v/>
      </c>
    </row>
    <row r="79" ht="15" customHeight="1">
      <c r="A79" t="inlineStr">
        <is>
          <t>A 55186-2024</t>
        </is>
      </c>
      <c r="B79" s="1" t="n">
        <v>45621</v>
      </c>
      <c r="C79" s="1" t="n">
        <v>45636</v>
      </c>
      <c r="D79" t="inlineStr">
        <is>
          <t>UPPSALA LÄN</t>
        </is>
      </c>
      <c r="E79" t="inlineStr">
        <is>
          <t>ÖSTHAMMAR</t>
        </is>
      </c>
      <c r="G79" t="n">
        <v>1.8</v>
      </c>
      <c r="H79" t="n">
        <v>0</v>
      </c>
      <c r="I79" t="n">
        <v>2</v>
      </c>
      <c r="J79" t="n">
        <v>1</v>
      </c>
      <c r="K79" t="n">
        <v>0</v>
      </c>
      <c r="L79" t="n">
        <v>0</v>
      </c>
      <c r="M79" t="n">
        <v>0</v>
      </c>
      <c r="N79" t="n">
        <v>0</v>
      </c>
      <c r="O79" t="n">
        <v>1</v>
      </c>
      <c r="P79" t="n">
        <v>0</v>
      </c>
      <c r="Q79" t="n">
        <v>3</v>
      </c>
      <c r="R79" s="2" t="inlineStr">
        <is>
          <t>Äggspindling
Anisspindling
Granbarkgnagare</t>
        </is>
      </c>
      <c r="S79">
        <f>HYPERLINK("https://klasma.github.io/Logging_0382/artfynd/A 55186-2024 artfynd.xlsx", "A 55186-2024")</f>
        <v/>
      </c>
      <c r="T79">
        <f>HYPERLINK("https://klasma.github.io/Logging_0382/kartor/A 55186-2024 karta.png", "A 55186-2024")</f>
        <v/>
      </c>
      <c r="V79">
        <f>HYPERLINK("https://klasma.github.io/Logging_0382/klagomål/A 55186-2024 FSC-klagomål.docx", "A 55186-2024")</f>
        <v/>
      </c>
      <c r="W79">
        <f>HYPERLINK("https://klasma.github.io/Logging_0382/klagomålsmail/A 55186-2024 FSC-klagomål mail.docx", "A 55186-2024")</f>
        <v/>
      </c>
      <c r="X79">
        <f>HYPERLINK("https://klasma.github.io/Logging_0382/tillsyn/A 55186-2024 tillsynsbegäran.docx", "A 55186-2024")</f>
        <v/>
      </c>
      <c r="Y79">
        <f>HYPERLINK("https://klasma.github.io/Logging_0382/tillsynsmail/A 55186-2024 tillsynsbegäran mail.docx", "A 55186-2024")</f>
        <v/>
      </c>
    </row>
    <row r="80" ht="15" customHeight="1">
      <c r="A80" t="inlineStr">
        <is>
          <t>A 55518-2024</t>
        </is>
      </c>
      <c r="B80" s="1" t="n">
        <v>45622</v>
      </c>
      <c r="C80" s="1" t="n">
        <v>45636</v>
      </c>
      <c r="D80" t="inlineStr">
        <is>
          <t>UPPSALA LÄN</t>
        </is>
      </c>
      <c r="E80" t="inlineStr">
        <is>
          <t>ÖSTHAMMAR</t>
        </is>
      </c>
      <c r="F80" t="inlineStr">
        <is>
          <t>Bergvik skog öst AB</t>
        </is>
      </c>
      <c r="G80" t="n">
        <v>9.5</v>
      </c>
      <c r="H80" t="n">
        <v>1</v>
      </c>
      <c r="I80" t="n">
        <v>2</v>
      </c>
      <c r="J80" t="n">
        <v>0</v>
      </c>
      <c r="K80" t="n">
        <v>0</v>
      </c>
      <c r="L80" t="n">
        <v>0</v>
      </c>
      <c r="M80" t="n">
        <v>0</v>
      </c>
      <c r="N80" t="n">
        <v>0</v>
      </c>
      <c r="O80" t="n">
        <v>0</v>
      </c>
      <c r="P80" t="n">
        <v>0</v>
      </c>
      <c r="Q80" t="n">
        <v>3</v>
      </c>
      <c r="R80" s="2" t="inlineStr">
        <is>
          <t>Gullgröppa
Rödgul trumpetsvamp
Blåsippa</t>
        </is>
      </c>
      <c r="S80">
        <f>HYPERLINK("https://klasma.github.io/Logging_0382/artfynd/A 55518-2024 artfynd.xlsx", "A 55518-2024")</f>
        <v/>
      </c>
      <c r="T80">
        <f>HYPERLINK("https://klasma.github.io/Logging_0382/kartor/A 55518-2024 karta.png",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row>
    <row r="81" ht="15" customHeight="1">
      <c r="A81" t="inlineStr">
        <is>
          <t>A 2172-2020</t>
        </is>
      </c>
      <c r="B81" s="1" t="n">
        <v>43846</v>
      </c>
      <c r="C81" s="1" t="n">
        <v>45636</v>
      </c>
      <c r="D81" t="inlineStr">
        <is>
          <t>UPPSALA LÄN</t>
        </is>
      </c>
      <c r="E81" t="inlineStr">
        <is>
          <t>ÖSTHAMMAR</t>
        </is>
      </c>
      <c r="G81" t="n">
        <v>3.8</v>
      </c>
      <c r="H81" t="n">
        <v>0</v>
      </c>
      <c r="I81" t="n">
        <v>1</v>
      </c>
      <c r="J81" t="n">
        <v>1</v>
      </c>
      <c r="K81" t="n">
        <v>0</v>
      </c>
      <c r="L81" t="n">
        <v>0</v>
      </c>
      <c r="M81" t="n">
        <v>0</v>
      </c>
      <c r="N81" t="n">
        <v>0</v>
      </c>
      <c r="O81" t="n">
        <v>1</v>
      </c>
      <c r="P81" t="n">
        <v>0</v>
      </c>
      <c r="Q81" t="n">
        <v>2</v>
      </c>
      <c r="R81" s="2" t="inlineStr">
        <is>
          <t>Flattoppad klubbsvamp
Zontaggsvamp</t>
        </is>
      </c>
      <c r="S81">
        <f>HYPERLINK("https://klasma.github.io/Logging_0382/artfynd/A 2172-2020 artfynd.xlsx", "A 2172-2020")</f>
        <v/>
      </c>
      <c r="T81">
        <f>HYPERLINK("https://klasma.github.io/Logging_0382/kartor/A 2172-2020 karta.png", "A 2172-2020")</f>
        <v/>
      </c>
      <c r="V81">
        <f>HYPERLINK("https://klasma.github.io/Logging_0382/klagomål/A 2172-2020 FSC-klagomål.docx", "A 2172-2020")</f>
        <v/>
      </c>
      <c r="W81">
        <f>HYPERLINK("https://klasma.github.io/Logging_0382/klagomålsmail/A 2172-2020 FSC-klagomål mail.docx", "A 2172-2020")</f>
        <v/>
      </c>
      <c r="X81">
        <f>HYPERLINK("https://klasma.github.io/Logging_0382/tillsyn/A 2172-2020 tillsynsbegäran.docx", "A 2172-2020")</f>
        <v/>
      </c>
      <c r="Y81">
        <f>HYPERLINK("https://klasma.github.io/Logging_0382/tillsynsmail/A 2172-2020 tillsynsbegäran mail.docx", "A 2172-2020")</f>
        <v/>
      </c>
    </row>
    <row r="82" ht="15" customHeight="1">
      <c r="A82" t="inlineStr">
        <is>
          <t>A 9867-2020</t>
        </is>
      </c>
      <c r="B82" s="1" t="n">
        <v>43882</v>
      </c>
      <c r="C82" s="1" t="n">
        <v>45636</v>
      </c>
      <c r="D82" t="inlineStr">
        <is>
          <t>UPPSALA LÄN</t>
        </is>
      </c>
      <c r="E82" t="inlineStr">
        <is>
          <t>ÖSTHAMMAR</t>
        </is>
      </c>
      <c r="F82" t="inlineStr">
        <is>
          <t>Bergvik skog öst AB</t>
        </is>
      </c>
      <c r="G82" t="n">
        <v>11.1</v>
      </c>
      <c r="H82" t="n">
        <v>1</v>
      </c>
      <c r="I82" t="n">
        <v>1</v>
      </c>
      <c r="J82" t="n">
        <v>0</v>
      </c>
      <c r="K82" t="n">
        <v>0</v>
      </c>
      <c r="L82" t="n">
        <v>0</v>
      </c>
      <c r="M82" t="n">
        <v>0</v>
      </c>
      <c r="N82" t="n">
        <v>0</v>
      </c>
      <c r="O82" t="n">
        <v>0</v>
      </c>
      <c r="P82" t="n">
        <v>0</v>
      </c>
      <c r="Q82" t="n">
        <v>2</v>
      </c>
      <c r="R82" s="2" t="inlineStr">
        <is>
          <t>Gräsull
Revlummer</t>
        </is>
      </c>
      <c r="S82">
        <f>HYPERLINK("https://klasma.github.io/Logging_0382/artfynd/A 9867-2020 artfynd.xlsx", "A 9867-2020")</f>
        <v/>
      </c>
      <c r="T82">
        <f>HYPERLINK("https://klasma.github.io/Logging_0382/kartor/A 9867-2020 karta.png", "A 9867-2020")</f>
        <v/>
      </c>
      <c r="V82">
        <f>HYPERLINK("https://klasma.github.io/Logging_0382/klagomål/A 9867-2020 FSC-klagomål.docx", "A 9867-2020")</f>
        <v/>
      </c>
      <c r="W82">
        <f>HYPERLINK("https://klasma.github.io/Logging_0382/klagomålsmail/A 9867-2020 FSC-klagomål mail.docx", "A 9867-2020")</f>
        <v/>
      </c>
      <c r="X82">
        <f>HYPERLINK("https://klasma.github.io/Logging_0382/tillsyn/A 9867-2020 tillsynsbegäran.docx", "A 9867-2020")</f>
        <v/>
      </c>
      <c r="Y82">
        <f>HYPERLINK("https://klasma.github.io/Logging_0382/tillsynsmail/A 9867-2020 tillsynsbegäran mail.docx", "A 9867-2020")</f>
        <v/>
      </c>
    </row>
    <row r="83" ht="15" customHeight="1">
      <c r="A83" t="inlineStr">
        <is>
          <t>A 42520-2020</t>
        </is>
      </c>
      <c r="B83" s="1" t="n">
        <v>44077</v>
      </c>
      <c r="C83" s="1" t="n">
        <v>45636</v>
      </c>
      <c r="D83" t="inlineStr">
        <is>
          <t>UPPSALA LÄN</t>
        </is>
      </c>
      <c r="E83" t="inlineStr">
        <is>
          <t>ÖSTHAMMAR</t>
        </is>
      </c>
      <c r="G83" t="n">
        <v>2.8</v>
      </c>
      <c r="H83" t="n">
        <v>1</v>
      </c>
      <c r="I83" t="n">
        <v>2</v>
      </c>
      <c r="J83" t="n">
        <v>0</v>
      </c>
      <c r="K83" t="n">
        <v>0</v>
      </c>
      <c r="L83" t="n">
        <v>0</v>
      </c>
      <c r="M83" t="n">
        <v>0</v>
      </c>
      <c r="N83" t="n">
        <v>0</v>
      </c>
      <c r="O83" t="n">
        <v>0</v>
      </c>
      <c r="P83" t="n">
        <v>0</v>
      </c>
      <c r="Q83" t="n">
        <v>2</v>
      </c>
      <c r="R83" s="2" t="inlineStr">
        <is>
          <t>Hasselticka
Skogsknipprot</t>
        </is>
      </c>
      <c r="S83">
        <f>HYPERLINK("https://klasma.github.io/Logging_0382/artfynd/A 42520-2020 artfynd.xlsx", "A 42520-2020")</f>
        <v/>
      </c>
      <c r="T83">
        <f>HYPERLINK("https://klasma.github.io/Logging_0382/kartor/A 42520-2020 karta.png", "A 42520-2020")</f>
        <v/>
      </c>
      <c r="V83">
        <f>HYPERLINK("https://klasma.github.io/Logging_0382/klagomål/A 42520-2020 FSC-klagomål.docx", "A 42520-2020")</f>
        <v/>
      </c>
      <c r="W83">
        <f>HYPERLINK("https://klasma.github.io/Logging_0382/klagomålsmail/A 42520-2020 FSC-klagomål mail.docx", "A 42520-2020")</f>
        <v/>
      </c>
      <c r="X83">
        <f>HYPERLINK("https://klasma.github.io/Logging_0382/tillsyn/A 42520-2020 tillsynsbegäran.docx", "A 42520-2020")</f>
        <v/>
      </c>
      <c r="Y83">
        <f>HYPERLINK("https://klasma.github.io/Logging_0382/tillsynsmail/A 42520-2020 tillsynsbegäran mail.docx", "A 42520-2020")</f>
        <v/>
      </c>
    </row>
    <row r="84" ht="15" customHeight="1">
      <c r="A84" t="inlineStr">
        <is>
          <t>A 59416-2020</t>
        </is>
      </c>
      <c r="B84" s="1" t="n">
        <v>44148</v>
      </c>
      <c r="C84" s="1" t="n">
        <v>45636</v>
      </c>
      <c r="D84" t="inlineStr">
        <is>
          <t>UPPSALA LÄN</t>
        </is>
      </c>
      <c r="E84" t="inlineStr">
        <is>
          <t>ÖSTHAMMAR</t>
        </is>
      </c>
      <c r="F84" t="inlineStr">
        <is>
          <t>Sveaskog</t>
        </is>
      </c>
      <c r="G84" t="n">
        <v>1.7</v>
      </c>
      <c r="H84" t="n">
        <v>2</v>
      </c>
      <c r="I84" t="n">
        <v>0</v>
      </c>
      <c r="J84" t="n">
        <v>1</v>
      </c>
      <c r="K84" t="n">
        <v>0</v>
      </c>
      <c r="L84" t="n">
        <v>1</v>
      </c>
      <c r="M84" t="n">
        <v>0</v>
      </c>
      <c r="N84" t="n">
        <v>0</v>
      </c>
      <c r="O84" t="n">
        <v>2</v>
      </c>
      <c r="P84" t="n">
        <v>1</v>
      </c>
      <c r="Q84" t="n">
        <v>2</v>
      </c>
      <c r="R84" s="2" t="inlineStr">
        <is>
          <t>Grönfink
Svartvit flugsnappare</t>
        </is>
      </c>
      <c r="S84">
        <f>HYPERLINK("https://klasma.github.io/Logging_0382/artfynd/A 59416-2020 artfynd.xlsx", "A 59416-2020")</f>
        <v/>
      </c>
      <c r="T84">
        <f>HYPERLINK("https://klasma.github.io/Logging_0382/kartor/A 59416-2020 karta.png", "A 59416-2020")</f>
        <v/>
      </c>
      <c r="V84">
        <f>HYPERLINK("https://klasma.github.io/Logging_0382/klagomål/A 59416-2020 FSC-klagomål.docx", "A 59416-2020")</f>
        <v/>
      </c>
      <c r="W84">
        <f>HYPERLINK("https://klasma.github.io/Logging_0382/klagomålsmail/A 59416-2020 FSC-klagomål mail.docx", "A 59416-2020")</f>
        <v/>
      </c>
      <c r="X84">
        <f>HYPERLINK("https://klasma.github.io/Logging_0382/tillsyn/A 59416-2020 tillsynsbegäran.docx", "A 59416-2020")</f>
        <v/>
      </c>
      <c r="Y84">
        <f>HYPERLINK("https://klasma.github.io/Logging_0382/tillsynsmail/A 59416-2020 tillsynsbegäran mail.docx", "A 59416-2020")</f>
        <v/>
      </c>
      <c r="Z84">
        <f>HYPERLINK("https://klasma.github.io/Logging_0382/fåglar/A 59416-2020 prioriterade fågelarter.docx", "A 59416-2020")</f>
        <v/>
      </c>
    </row>
    <row r="85" ht="15" customHeight="1">
      <c r="A85" t="inlineStr">
        <is>
          <t>A 6223-2021</t>
        </is>
      </c>
      <c r="B85" s="1" t="n">
        <v>44235</v>
      </c>
      <c r="C85" s="1" t="n">
        <v>45636</v>
      </c>
      <c r="D85" t="inlineStr">
        <is>
          <t>UPPSALA LÄN</t>
        </is>
      </c>
      <c r="E85" t="inlineStr">
        <is>
          <t>ÖSTHAMMAR</t>
        </is>
      </c>
      <c r="G85" t="n">
        <v>0.5</v>
      </c>
      <c r="H85" t="n">
        <v>2</v>
      </c>
      <c r="I85" t="n">
        <v>0</v>
      </c>
      <c r="J85" t="n">
        <v>0</v>
      </c>
      <c r="K85" t="n">
        <v>0</v>
      </c>
      <c r="L85" t="n">
        <v>0</v>
      </c>
      <c r="M85" t="n">
        <v>0</v>
      </c>
      <c r="N85" t="n">
        <v>0</v>
      </c>
      <c r="O85" t="n">
        <v>0</v>
      </c>
      <c r="P85" t="n">
        <v>0</v>
      </c>
      <c r="Q85" t="n">
        <v>2</v>
      </c>
      <c r="R85" s="2" t="inlineStr">
        <is>
          <t>Blåsippa
Gullviva</t>
        </is>
      </c>
      <c r="S85">
        <f>HYPERLINK("https://klasma.github.io/Logging_0382/artfynd/A 6223-2021 artfynd.xlsx", "A 6223-2021")</f>
        <v/>
      </c>
      <c r="T85">
        <f>HYPERLINK("https://klasma.github.io/Logging_0382/kartor/A 6223-2021 karta.png", "A 6223-2021")</f>
        <v/>
      </c>
      <c r="V85">
        <f>HYPERLINK("https://klasma.github.io/Logging_0382/klagomål/A 6223-2021 FSC-klagomål.docx", "A 6223-2021")</f>
        <v/>
      </c>
      <c r="W85">
        <f>HYPERLINK("https://klasma.github.io/Logging_0382/klagomålsmail/A 6223-2021 FSC-klagomål mail.docx", "A 6223-2021")</f>
        <v/>
      </c>
      <c r="X85">
        <f>HYPERLINK("https://klasma.github.io/Logging_0382/tillsyn/A 6223-2021 tillsynsbegäran.docx", "A 6223-2021")</f>
        <v/>
      </c>
      <c r="Y85">
        <f>HYPERLINK("https://klasma.github.io/Logging_0382/tillsynsmail/A 6223-2021 tillsynsbegäran mail.docx", "A 6223-2021")</f>
        <v/>
      </c>
    </row>
    <row r="86" ht="15" customHeight="1">
      <c r="A86" t="inlineStr">
        <is>
          <t>A 60078-2021</t>
        </is>
      </c>
      <c r="B86" s="1" t="n">
        <v>44495</v>
      </c>
      <c r="C86" s="1" t="n">
        <v>45636</v>
      </c>
      <c r="D86" t="inlineStr">
        <is>
          <t>UPPSALA LÄN</t>
        </is>
      </c>
      <c r="E86" t="inlineStr">
        <is>
          <t>ÖSTHAMMAR</t>
        </is>
      </c>
      <c r="G86" t="n">
        <v>1.1</v>
      </c>
      <c r="H86" t="n">
        <v>0</v>
      </c>
      <c r="I86" t="n">
        <v>0</v>
      </c>
      <c r="J86" t="n">
        <v>1</v>
      </c>
      <c r="K86" t="n">
        <v>1</v>
      </c>
      <c r="L86" t="n">
        <v>0</v>
      </c>
      <c r="M86" t="n">
        <v>0</v>
      </c>
      <c r="N86" t="n">
        <v>0</v>
      </c>
      <c r="O86" t="n">
        <v>2</v>
      </c>
      <c r="P86" t="n">
        <v>1</v>
      </c>
      <c r="Q86" t="n">
        <v>2</v>
      </c>
      <c r="R86" s="2" t="inlineStr">
        <is>
          <t>Violgubbe
Blek fingersvamp</t>
        </is>
      </c>
      <c r="S86">
        <f>HYPERLINK("https://klasma.github.io/Logging_0382/artfynd/A 60078-2021 artfynd.xlsx", "A 60078-2021")</f>
        <v/>
      </c>
      <c r="T86">
        <f>HYPERLINK("https://klasma.github.io/Logging_0382/kartor/A 60078-2021 karta.png", "A 60078-2021")</f>
        <v/>
      </c>
      <c r="V86">
        <f>HYPERLINK("https://klasma.github.io/Logging_0382/klagomål/A 60078-2021 FSC-klagomål.docx", "A 60078-2021")</f>
        <v/>
      </c>
      <c r="W86">
        <f>HYPERLINK("https://klasma.github.io/Logging_0382/klagomålsmail/A 60078-2021 FSC-klagomål mail.docx", "A 60078-2021")</f>
        <v/>
      </c>
      <c r="X86">
        <f>HYPERLINK("https://klasma.github.io/Logging_0382/tillsyn/A 60078-2021 tillsynsbegäran.docx", "A 60078-2021")</f>
        <v/>
      </c>
      <c r="Y86">
        <f>HYPERLINK("https://klasma.github.io/Logging_0382/tillsynsmail/A 60078-2021 tillsynsbegäran mail.docx", "A 60078-2021")</f>
        <v/>
      </c>
    </row>
    <row r="87" ht="15" customHeight="1">
      <c r="A87" t="inlineStr">
        <is>
          <t>A 67855-2021</t>
        </is>
      </c>
      <c r="B87" s="1" t="n">
        <v>44525</v>
      </c>
      <c r="C87" s="1" t="n">
        <v>45636</v>
      </c>
      <c r="D87" t="inlineStr">
        <is>
          <t>UPPSALA LÄN</t>
        </is>
      </c>
      <c r="E87" t="inlineStr">
        <is>
          <t>ÖSTHAMMAR</t>
        </is>
      </c>
      <c r="G87" t="n">
        <v>7.5</v>
      </c>
      <c r="H87" t="n">
        <v>0</v>
      </c>
      <c r="I87" t="n">
        <v>2</v>
      </c>
      <c r="J87" t="n">
        <v>0</v>
      </c>
      <c r="K87" t="n">
        <v>0</v>
      </c>
      <c r="L87" t="n">
        <v>0</v>
      </c>
      <c r="M87" t="n">
        <v>0</v>
      </c>
      <c r="N87" t="n">
        <v>0</v>
      </c>
      <c r="O87" t="n">
        <v>0</v>
      </c>
      <c r="P87" t="n">
        <v>0</v>
      </c>
      <c r="Q87" t="n">
        <v>2</v>
      </c>
      <c r="R87" s="2" t="inlineStr">
        <is>
          <t>Guldkremla
Kamjordstjärna</t>
        </is>
      </c>
      <c r="S87">
        <f>HYPERLINK("https://klasma.github.io/Logging_0382/artfynd/A 67855-2021 artfynd.xlsx", "A 67855-2021")</f>
        <v/>
      </c>
      <c r="T87">
        <f>HYPERLINK("https://klasma.github.io/Logging_0382/kartor/A 67855-2021 karta.png", "A 67855-2021")</f>
        <v/>
      </c>
      <c r="V87">
        <f>HYPERLINK("https://klasma.github.io/Logging_0382/klagomål/A 67855-2021 FSC-klagomål.docx", "A 67855-2021")</f>
        <v/>
      </c>
      <c r="W87">
        <f>HYPERLINK("https://klasma.github.io/Logging_0382/klagomålsmail/A 67855-2021 FSC-klagomål mail.docx", "A 67855-2021")</f>
        <v/>
      </c>
      <c r="X87">
        <f>HYPERLINK("https://klasma.github.io/Logging_0382/tillsyn/A 67855-2021 tillsynsbegäran.docx", "A 67855-2021")</f>
        <v/>
      </c>
      <c r="Y87">
        <f>HYPERLINK("https://klasma.github.io/Logging_0382/tillsynsmail/A 67855-2021 tillsynsbegäran mail.docx", "A 67855-2021")</f>
        <v/>
      </c>
    </row>
    <row r="88" ht="15" customHeight="1">
      <c r="A88" t="inlineStr">
        <is>
          <t>A 69241-2021</t>
        </is>
      </c>
      <c r="B88" s="1" t="n">
        <v>44529</v>
      </c>
      <c r="C88" s="1" t="n">
        <v>45636</v>
      </c>
      <c r="D88" t="inlineStr">
        <is>
          <t>UPPSALA LÄN</t>
        </is>
      </c>
      <c r="E88" t="inlineStr">
        <is>
          <t>ÖSTHAMMAR</t>
        </is>
      </c>
      <c r="G88" t="n">
        <v>0.7</v>
      </c>
      <c r="H88" t="n">
        <v>0</v>
      </c>
      <c r="I88" t="n">
        <v>1</v>
      </c>
      <c r="J88" t="n">
        <v>1</v>
      </c>
      <c r="K88" t="n">
        <v>0</v>
      </c>
      <c r="L88" t="n">
        <v>0</v>
      </c>
      <c r="M88" t="n">
        <v>0</v>
      </c>
      <c r="N88" t="n">
        <v>0</v>
      </c>
      <c r="O88" t="n">
        <v>1</v>
      </c>
      <c r="P88" t="n">
        <v>0</v>
      </c>
      <c r="Q88" t="n">
        <v>2</v>
      </c>
      <c r="R88" s="2" t="inlineStr">
        <is>
          <t>Harticka
Zontaggsvamp</t>
        </is>
      </c>
      <c r="S88">
        <f>HYPERLINK("https://klasma.github.io/Logging_0382/artfynd/A 69241-2021 artfynd.xlsx", "A 69241-2021")</f>
        <v/>
      </c>
      <c r="T88">
        <f>HYPERLINK("https://klasma.github.io/Logging_0382/kartor/A 69241-2021 karta.png", "A 69241-2021")</f>
        <v/>
      </c>
      <c r="V88">
        <f>HYPERLINK("https://klasma.github.io/Logging_0382/klagomål/A 69241-2021 FSC-klagomål.docx", "A 69241-2021")</f>
        <v/>
      </c>
      <c r="W88">
        <f>HYPERLINK("https://klasma.github.io/Logging_0382/klagomålsmail/A 69241-2021 FSC-klagomål mail.docx", "A 69241-2021")</f>
        <v/>
      </c>
      <c r="X88">
        <f>HYPERLINK("https://klasma.github.io/Logging_0382/tillsyn/A 69241-2021 tillsynsbegäran.docx", "A 69241-2021")</f>
        <v/>
      </c>
      <c r="Y88">
        <f>HYPERLINK("https://klasma.github.io/Logging_0382/tillsynsmail/A 69241-2021 tillsynsbegäran mail.docx", "A 69241-2021")</f>
        <v/>
      </c>
    </row>
    <row r="89" ht="15" customHeight="1">
      <c r="A89" t="inlineStr">
        <is>
          <t>A 73981-2021</t>
        </is>
      </c>
      <c r="B89" s="1" t="n">
        <v>44555</v>
      </c>
      <c r="C89" s="1" t="n">
        <v>45636</v>
      </c>
      <c r="D89" t="inlineStr">
        <is>
          <t>UPPSALA LÄN</t>
        </is>
      </c>
      <c r="E89" t="inlineStr">
        <is>
          <t>ÖSTHAMMAR</t>
        </is>
      </c>
      <c r="G89" t="n">
        <v>2.4</v>
      </c>
      <c r="H89" t="n">
        <v>0</v>
      </c>
      <c r="I89" t="n">
        <v>1</v>
      </c>
      <c r="J89" t="n">
        <v>1</v>
      </c>
      <c r="K89" t="n">
        <v>0</v>
      </c>
      <c r="L89" t="n">
        <v>0</v>
      </c>
      <c r="M89" t="n">
        <v>0</v>
      </c>
      <c r="N89" t="n">
        <v>0</v>
      </c>
      <c r="O89" t="n">
        <v>1</v>
      </c>
      <c r="P89" t="n">
        <v>0</v>
      </c>
      <c r="Q89" t="n">
        <v>2</v>
      </c>
      <c r="R89" s="2" t="inlineStr">
        <is>
          <t>Skogsklocka
Vårärt</t>
        </is>
      </c>
      <c r="S89">
        <f>HYPERLINK("https://klasma.github.io/Logging_0382/artfynd/A 73981-2021 artfynd.xlsx", "A 73981-2021")</f>
        <v/>
      </c>
      <c r="T89">
        <f>HYPERLINK("https://klasma.github.io/Logging_0382/kartor/A 73981-2021 karta.png", "A 73981-2021")</f>
        <v/>
      </c>
      <c r="V89">
        <f>HYPERLINK("https://klasma.github.io/Logging_0382/klagomål/A 73981-2021 FSC-klagomål.docx", "A 73981-2021")</f>
        <v/>
      </c>
      <c r="W89">
        <f>HYPERLINK("https://klasma.github.io/Logging_0382/klagomålsmail/A 73981-2021 FSC-klagomål mail.docx", "A 73981-2021")</f>
        <v/>
      </c>
      <c r="X89">
        <f>HYPERLINK("https://klasma.github.io/Logging_0382/tillsyn/A 73981-2021 tillsynsbegäran.docx", "A 73981-2021")</f>
        <v/>
      </c>
      <c r="Y89">
        <f>HYPERLINK("https://klasma.github.io/Logging_0382/tillsynsmail/A 73981-2021 tillsynsbegäran mail.docx", "A 73981-2021")</f>
        <v/>
      </c>
    </row>
    <row r="90" ht="15" customHeight="1">
      <c r="A90" t="inlineStr">
        <is>
          <t>A 8290-2022</t>
        </is>
      </c>
      <c r="B90" s="1" t="n">
        <v>44610</v>
      </c>
      <c r="C90" s="1" t="n">
        <v>45636</v>
      </c>
      <c r="D90" t="inlineStr">
        <is>
          <t>UPPSALA LÄN</t>
        </is>
      </c>
      <c r="E90" t="inlineStr">
        <is>
          <t>ÖSTHAMMAR</t>
        </is>
      </c>
      <c r="G90" t="n">
        <v>3.5</v>
      </c>
      <c r="H90" t="n">
        <v>0</v>
      </c>
      <c r="I90" t="n">
        <v>1</v>
      </c>
      <c r="J90" t="n">
        <v>0</v>
      </c>
      <c r="K90" t="n">
        <v>1</v>
      </c>
      <c r="L90" t="n">
        <v>0</v>
      </c>
      <c r="M90" t="n">
        <v>0</v>
      </c>
      <c r="N90" t="n">
        <v>0</v>
      </c>
      <c r="O90" t="n">
        <v>1</v>
      </c>
      <c r="P90" t="n">
        <v>1</v>
      </c>
      <c r="Q90" t="n">
        <v>2</v>
      </c>
      <c r="R90" s="2" t="inlineStr">
        <is>
          <t>Gul lammticka
Brandmusseron</t>
        </is>
      </c>
      <c r="S90">
        <f>HYPERLINK("https://klasma.github.io/Logging_0382/artfynd/A 8290-2022 artfynd.xlsx", "A 8290-2022")</f>
        <v/>
      </c>
      <c r="T90">
        <f>HYPERLINK("https://klasma.github.io/Logging_0382/kartor/A 8290-2022 karta.png", "A 8290-2022")</f>
        <v/>
      </c>
      <c r="V90">
        <f>HYPERLINK("https://klasma.github.io/Logging_0382/klagomål/A 8290-2022 FSC-klagomål.docx", "A 8290-2022")</f>
        <v/>
      </c>
      <c r="W90">
        <f>HYPERLINK("https://klasma.github.io/Logging_0382/klagomålsmail/A 8290-2022 FSC-klagomål mail.docx", "A 8290-2022")</f>
        <v/>
      </c>
      <c r="X90">
        <f>HYPERLINK("https://klasma.github.io/Logging_0382/tillsyn/A 8290-2022 tillsynsbegäran.docx", "A 8290-2022")</f>
        <v/>
      </c>
      <c r="Y90">
        <f>HYPERLINK("https://klasma.github.io/Logging_0382/tillsynsmail/A 8290-2022 tillsynsbegäran mail.docx", "A 8290-2022")</f>
        <v/>
      </c>
    </row>
    <row r="91" ht="15" customHeight="1">
      <c r="A91" t="inlineStr">
        <is>
          <t>A 13287-2022</t>
        </is>
      </c>
      <c r="B91" s="1" t="n">
        <v>44644</v>
      </c>
      <c r="C91" s="1" t="n">
        <v>45636</v>
      </c>
      <c r="D91" t="inlineStr">
        <is>
          <t>UPPSALA LÄN</t>
        </is>
      </c>
      <c r="E91" t="inlineStr">
        <is>
          <t>ÖSTHAMMAR</t>
        </is>
      </c>
      <c r="G91" t="n">
        <v>14.6</v>
      </c>
      <c r="H91" t="n">
        <v>0</v>
      </c>
      <c r="I91" t="n">
        <v>1</v>
      </c>
      <c r="J91" t="n">
        <v>0</v>
      </c>
      <c r="K91" t="n">
        <v>1</v>
      </c>
      <c r="L91" t="n">
        <v>0</v>
      </c>
      <c r="M91" t="n">
        <v>0</v>
      </c>
      <c r="N91" t="n">
        <v>0</v>
      </c>
      <c r="O91" t="n">
        <v>1</v>
      </c>
      <c r="P91" t="n">
        <v>1</v>
      </c>
      <c r="Q91" t="n">
        <v>2</v>
      </c>
      <c r="R91" s="2" t="inlineStr">
        <is>
          <t>Bullspindling
Olivspindling</t>
        </is>
      </c>
      <c r="S91">
        <f>HYPERLINK("https://klasma.github.io/Logging_0382/artfynd/A 13287-2022 artfynd.xlsx", "A 13287-2022")</f>
        <v/>
      </c>
      <c r="T91">
        <f>HYPERLINK("https://klasma.github.io/Logging_0382/kartor/A 13287-2022 karta.png", "A 13287-2022")</f>
        <v/>
      </c>
      <c r="V91">
        <f>HYPERLINK("https://klasma.github.io/Logging_0382/klagomål/A 13287-2022 FSC-klagomål.docx", "A 13287-2022")</f>
        <v/>
      </c>
      <c r="W91">
        <f>HYPERLINK("https://klasma.github.io/Logging_0382/klagomålsmail/A 13287-2022 FSC-klagomål mail.docx", "A 13287-2022")</f>
        <v/>
      </c>
      <c r="X91">
        <f>HYPERLINK("https://klasma.github.io/Logging_0382/tillsyn/A 13287-2022 tillsynsbegäran.docx", "A 13287-2022")</f>
        <v/>
      </c>
      <c r="Y91">
        <f>HYPERLINK("https://klasma.github.io/Logging_0382/tillsynsmail/A 13287-2022 tillsynsbegäran mail.docx", "A 13287-2022")</f>
        <v/>
      </c>
    </row>
    <row r="92" ht="15" customHeight="1">
      <c r="A92" t="inlineStr">
        <is>
          <t>A 25098-2022</t>
        </is>
      </c>
      <c r="B92" s="1" t="n">
        <v>44729</v>
      </c>
      <c r="C92" s="1" t="n">
        <v>45636</v>
      </c>
      <c r="D92" t="inlineStr">
        <is>
          <t>UPPSALA LÄN</t>
        </is>
      </c>
      <c r="E92" t="inlineStr">
        <is>
          <t>ÖSTHAMMAR</t>
        </is>
      </c>
      <c r="G92" t="n">
        <v>2.9</v>
      </c>
      <c r="H92" t="n">
        <v>2</v>
      </c>
      <c r="I92" t="n">
        <v>0</v>
      </c>
      <c r="J92" t="n">
        <v>0</v>
      </c>
      <c r="K92" t="n">
        <v>0</v>
      </c>
      <c r="L92" t="n">
        <v>0</v>
      </c>
      <c r="M92" t="n">
        <v>0</v>
      </c>
      <c r="N92" t="n">
        <v>0</v>
      </c>
      <c r="O92" t="n">
        <v>0</v>
      </c>
      <c r="P92" t="n">
        <v>0</v>
      </c>
      <c r="Q92" t="n">
        <v>2</v>
      </c>
      <c r="R92" s="2" t="inlineStr">
        <is>
          <t>Blåsippa
Gullviva</t>
        </is>
      </c>
      <c r="S92">
        <f>HYPERLINK("https://klasma.github.io/Logging_0382/artfynd/A 25098-2022 artfynd.xlsx", "A 25098-2022")</f>
        <v/>
      </c>
      <c r="T92">
        <f>HYPERLINK("https://klasma.github.io/Logging_0382/kartor/A 25098-2022 karta.png", "A 25098-2022")</f>
        <v/>
      </c>
      <c r="V92">
        <f>HYPERLINK("https://klasma.github.io/Logging_0382/klagomål/A 25098-2022 FSC-klagomål.docx", "A 25098-2022")</f>
        <v/>
      </c>
      <c r="W92">
        <f>HYPERLINK("https://klasma.github.io/Logging_0382/klagomålsmail/A 25098-2022 FSC-klagomål mail.docx", "A 25098-2022")</f>
        <v/>
      </c>
      <c r="X92">
        <f>HYPERLINK("https://klasma.github.io/Logging_0382/tillsyn/A 25098-2022 tillsynsbegäran.docx", "A 25098-2022")</f>
        <v/>
      </c>
      <c r="Y92">
        <f>HYPERLINK("https://klasma.github.io/Logging_0382/tillsynsmail/A 25098-2022 tillsynsbegäran mail.docx", "A 25098-2022")</f>
        <v/>
      </c>
    </row>
    <row r="93" ht="15" customHeight="1">
      <c r="A93" t="inlineStr">
        <is>
          <t>A 32064-2022</t>
        </is>
      </c>
      <c r="B93" s="1" t="n">
        <v>44778</v>
      </c>
      <c r="C93" s="1" t="n">
        <v>45636</v>
      </c>
      <c r="D93" t="inlineStr">
        <is>
          <t>UPPSALA LÄN</t>
        </is>
      </c>
      <c r="E93" t="inlineStr">
        <is>
          <t>ÖSTHAMMAR</t>
        </is>
      </c>
      <c r="G93" t="n">
        <v>2.2</v>
      </c>
      <c r="H93" t="n">
        <v>0</v>
      </c>
      <c r="I93" t="n">
        <v>1</v>
      </c>
      <c r="J93" t="n">
        <v>0</v>
      </c>
      <c r="K93" t="n">
        <v>1</v>
      </c>
      <c r="L93" t="n">
        <v>0</v>
      </c>
      <c r="M93" t="n">
        <v>0</v>
      </c>
      <c r="N93" t="n">
        <v>0</v>
      </c>
      <c r="O93" t="n">
        <v>1</v>
      </c>
      <c r="P93" t="n">
        <v>1</v>
      </c>
      <c r="Q93" t="n">
        <v>2</v>
      </c>
      <c r="R93" s="2" t="inlineStr">
        <is>
          <t>Gul lammticka
Olivspindling</t>
        </is>
      </c>
      <c r="S93">
        <f>HYPERLINK("https://klasma.github.io/Logging_0382/artfynd/A 32064-2022 artfynd.xlsx", "A 32064-2022")</f>
        <v/>
      </c>
      <c r="T93">
        <f>HYPERLINK("https://klasma.github.io/Logging_0382/kartor/A 32064-2022 karta.png", "A 32064-2022")</f>
        <v/>
      </c>
      <c r="V93">
        <f>HYPERLINK("https://klasma.github.io/Logging_0382/klagomål/A 32064-2022 FSC-klagomål.docx", "A 32064-2022")</f>
        <v/>
      </c>
      <c r="W93">
        <f>HYPERLINK("https://klasma.github.io/Logging_0382/klagomålsmail/A 32064-2022 FSC-klagomål mail.docx", "A 32064-2022")</f>
        <v/>
      </c>
      <c r="X93">
        <f>HYPERLINK("https://klasma.github.io/Logging_0382/tillsyn/A 32064-2022 tillsynsbegäran.docx", "A 32064-2022")</f>
        <v/>
      </c>
      <c r="Y93">
        <f>HYPERLINK("https://klasma.github.io/Logging_0382/tillsynsmail/A 32064-2022 tillsynsbegäran mail.docx", "A 32064-2022")</f>
        <v/>
      </c>
    </row>
    <row r="94" ht="15" customHeight="1">
      <c r="A94" t="inlineStr">
        <is>
          <t>A 52654-2022</t>
        </is>
      </c>
      <c r="B94" s="1" t="n">
        <v>44874</v>
      </c>
      <c r="C94" s="1" t="n">
        <v>45636</v>
      </c>
      <c r="D94" t="inlineStr">
        <is>
          <t>UPPSALA LÄN</t>
        </is>
      </c>
      <c r="E94" t="inlineStr">
        <is>
          <t>ÖSTHAMMAR</t>
        </is>
      </c>
      <c r="F94" t="inlineStr">
        <is>
          <t>Bergvik skog öst AB</t>
        </is>
      </c>
      <c r="G94" t="n">
        <v>5.2</v>
      </c>
      <c r="H94" t="n">
        <v>2</v>
      </c>
      <c r="I94" t="n">
        <v>0</v>
      </c>
      <c r="J94" t="n">
        <v>2</v>
      </c>
      <c r="K94" t="n">
        <v>0</v>
      </c>
      <c r="L94" t="n">
        <v>0</v>
      </c>
      <c r="M94" t="n">
        <v>0</v>
      </c>
      <c r="N94" t="n">
        <v>0</v>
      </c>
      <c r="O94" t="n">
        <v>2</v>
      </c>
      <c r="P94" t="n">
        <v>0</v>
      </c>
      <c r="Q94" t="n">
        <v>2</v>
      </c>
      <c r="R94" s="2" t="inlineStr">
        <is>
          <t>Fiskmås
Strandskata</t>
        </is>
      </c>
      <c r="S94">
        <f>HYPERLINK("https://klasma.github.io/Logging_0382/artfynd/A 52654-2022 artfynd.xlsx", "A 52654-2022")</f>
        <v/>
      </c>
      <c r="T94">
        <f>HYPERLINK("https://klasma.github.io/Logging_0382/kartor/A 52654-2022 karta.png", "A 52654-2022")</f>
        <v/>
      </c>
      <c r="V94">
        <f>HYPERLINK("https://klasma.github.io/Logging_0382/klagomål/A 52654-2022 FSC-klagomål.docx", "A 52654-2022")</f>
        <v/>
      </c>
      <c r="W94">
        <f>HYPERLINK("https://klasma.github.io/Logging_0382/klagomålsmail/A 52654-2022 FSC-klagomål mail.docx", "A 52654-2022")</f>
        <v/>
      </c>
      <c r="X94">
        <f>HYPERLINK("https://klasma.github.io/Logging_0382/tillsyn/A 52654-2022 tillsynsbegäran.docx", "A 52654-2022")</f>
        <v/>
      </c>
      <c r="Y94">
        <f>HYPERLINK("https://klasma.github.io/Logging_0382/tillsynsmail/A 52654-2022 tillsynsbegäran mail.docx", "A 52654-2022")</f>
        <v/>
      </c>
    </row>
    <row r="95" ht="15" customHeight="1">
      <c r="A95" t="inlineStr">
        <is>
          <t>A 52658-2022</t>
        </is>
      </c>
      <c r="B95" s="1" t="n">
        <v>44874</v>
      </c>
      <c r="C95" s="1" t="n">
        <v>45636</v>
      </c>
      <c r="D95" t="inlineStr">
        <is>
          <t>UPPSALA LÄN</t>
        </is>
      </c>
      <c r="E95" t="inlineStr">
        <is>
          <t>ÖSTHAMMAR</t>
        </is>
      </c>
      <c r="F95" t="inlineStr">
        <is>
          <t>Bergvik skog öst AB</t>
        </is>
      </c>
      <c r="G95" t="n">
        <v>1.4</v>
      </c>
      <c r="H95" t="n">
        <v>2</v>
      </c>
      <c r="I95" t="n">
        <v>0</v>
      </c>
      <c r="J95" t="n">
        <v>2</v>
      </c>
      <c r="K95" t="n">
        <v>0</v>
      </c>
      <c r="L95" t="n">
        <v>0</v>
      </c>
      <c r="M95" t="n">
        <v>0</v>
      </c>
      <c r="N95" t="n">
        <v>0</v>
      </c>
      <c r="O95" t="n">
        <v>2</v>
      </c>
      <c r="P95" t="n">
        <v>0</v>
      </c>
      <c r="Q95" t="n">
        <v>2</v>
      </c>
      <c r="R95" s="2" t="inlineStr">
        <is>
          <t>Strandskata
Svartvit flugsnappare</t>
        </is>
      </c>
      <c r="S95">
        <f>HYPERLINK("https://klasma.github.io/Logging_0382/artfynd/A 52658-2022 artfynd.xlsx", "A 52658-2022")</f>
        <v/>
      </c>
      <c r="T95">
        <f>HYPERLINK("https://klasma.github.io/Logging_0382/kartor/A 52658-2022 karta.png", "A 52658-2022")</f>
        <v/>
      </c>
      <c r="V95">
        <f>HYPERLINK("https://klasma.github.io/Logging_0382/klagomål/A 52658-2022 FSC-klagomål.docx", "A 52658-2022")</f>
        <v/>
      </c>
      <c r="W95">
        <f>HYPERLINK("https://klasma.github.io/Logging_0382/klagomålsmail/A 52658-2022 FSC-klagomål mail.docx", "A 52658-2022")</f>
        <v/>
      </c>
      <c r="X95">
        <f>HYPERLINK("https://klasma.github.io/Logging_0382/tillsyn/A 52658-2022 tillsynsbegäran.docx", "A 52658-2022")</f>
        <v/>
      </c>
      <c r="Y95">
        <f>HYPERLINK("https://klasma.github.io/Logging_0382/tillsynsmail/A 52658-2022 tillsynsbegäran mail.docx", "A 52658-2022")</f>
        <v/>
      </c>
      <c r="Z95">
        <f>HYPERLINK("https://klasma.github.io/Logging_0382/fåglar/A 52658-2022 prioriterade fågelarter.docx", "A 52658-2022")</f>
        <v/>
      </c>
    </row>
    <row r="96" ht="15" customHeight="1">
      <c r="A96" t="inlineStr">
        <is>
          <t>A 6981-2023</t>
        </is>
      </c>
      <c r="B96" s="1" t="n">
        <v>44967</v>
      </c>
      <c r="C96" s="1" t="n">
        <v>45636</v>
      </c>
      <c r="D96" t="inlineStr">
        <is>
          <t>UPPSALA LÄN</t>
        </is>
      </c>
      <c r="E96" t="inlineStr">
        <is>
          <t>ÖSTHAMMAR</t>
        </is>
      </c>
      <c r="G96" t="n">
        <v>3.2</v>
      </c>
      <c r="H96" t="n">
        <v>1</v>
      </c>
      <c r="I96" t="n">
        <v>0</v>
      </c>
      <c r="J96" t="n">
        <v>1</v>
      </c>
      <c r="K96" t="n">
        <v>0</v>
      </c>
      <c r="L96" t="n">
        <v>0</v>
      </c>
      <c r="M96" t="n">
        <v>0</v>
      </c>
      <c r="N96" t="n">
        <v>0</v>
      </c>
      <c r="O96" t="n">
        <v>1</v>
      </c>
      <c r="P96" t="n">
        <v>0</v>
      </c>
      <c r="Q96" t="n">
        <v>2</v>
      </c>
      <c r="R96" s="2" t="inlineStr">
        <is>
          <t>Tallticka
Större vattensalamander</t>
        </is>
      </c>
      <c r="S96">
        <f>HYPERLINK("https://klasma.github.io/Logging_0382/artfynd/A 6981-2023 artfynd.xlsx", "A 6981-2023")</f>
        <v/>
      </c>
      <c r="T96">
        <f>HYPERLINK("https://klasma.github.io/Logging_0382/kartor/A 6981-2023 karta.png", "A 6981-2023")</f>
        <v/>
      </c>
      <c r="V96">
        <f>HYPERLINK("https://klasma.github.io/Logging_0382/klagomål/A 6981-2023 FSC-klagomål.docx", "A 6981-2023")</f>
        <v/>
      </c>
      <c r="W96">
        <f>HYPERLINK("https://klasma.github.io/Logging_0382/klagomålsmail/A 6981-2023 FSC-klagomål mail.docx", "A 6981-2023")</f>
        <v/>
      </c>
      <c r="X96">
        <f>HYPERLINK("https://klasma.github.io/Logging_0382/tillsyn/A 6981-2023 tillsynsbegäran.docx", "A 6981-2023")</f>
        <v/>
      </c>
      <c r="Y96">
        <f>HYPERLINK("https://klasma.github.io/Logging_0382/tillsynsmail/A 6981-2023 tillsynsbegäran mail.docx", "A 6981-2023")</f>
        <v/>
      </c>
    </row>
    <row r="97" ht="15" customHeight="1">
      <c r="A97" t="inlineStr">
        <is>
          <t>A 15627-2023</t>
        </is>
      </c>
      <c r="B97" s="1" t="n">
        <v>45021</v>
      </c>
      <c r="C97" s="1" t="n">
        <v>45636</v>
      </c>
      <c r="D97" t="inlineStr">
        <is>
          <t>UPPSALA LÄN</t>
        </is>
      </c>
      <c r="E97" t="inlineStr">
        <is>
          <t>ÖSTHAMMAR</t>
        </is>
      </c>
      <c r="F97" t="inlineStr">
        <is>
          <t>Övriga Aktiebolag</t>
        </is>
      </c>
      <c r="G97" t="n">
        <v>22.8</v>
      </c>
      <c r="H97" t="n">
        <v>1</v>
      </c>
      <c r="I97" t="n">
        <v>1</v>
      </c>
      <c r="J97" t="n">
        <v>1</v>
      </c>
      <c r="K97" t="n">
        <v>0</v>
      </c>
      <c r="L97" t="n">
        <v>0</v>
      </c>
      <c r="M97" t="n">
        <v>0</v>
      </c>
      <c r="N97" t="n">
        <v>0</v>
      </c>
      <c r="O97" t="n">
        <v>1</v>
      </c>
      <c r="P97" t="n">
        <v>0</v>
      </c>
      <c r="Q97" t="n">
        <v>2</v>
      </c>
      <c r="R97" s="2" t="inlineStr">
        <is>
          <t>Slåtterfibbla
Guckusko</t>
        </is>
      </c>
      <c r="S97">
        <f>HYPERLINK("https://klasma.github.io/Logging_0382/artfynd/A 15627-2023 artfynd.xlsx", "A 15627-2023")</f>
        <v/>
      </c>
      <c r="T97">
        <f>HYPERLINK("https://klasma.github.io/Logging_0382/kartor/A 15627-2023 karta.png", "A 15627-2023")</f>
        <v/>
      </c>
      <c r="V97">
        <f>HYPERLINK("https://klasma.github.io/Logging_0382/klagomål/A 15627-2023 FSC-klagomål.docx", "A 15627-2023")</f>
        <v/>
      </c>
      <c r="W97">
        <f>HYPERLINK("https://klasma.github.io/Logging_0382/klagomålsmail/A 15627-2023 FSC-klagomål mail.docx", "A 15627-2023")</f>
        <v/>
      </c>
      <c r="X97">
        <f>HYPERLINK("https://klasma.github.io/Logging_0382/tillsyn/A 15627-2023 tillsynsbegäran.docx", "A 15627-2023")</f>
        <v/>
      </c>
      <c r="Y97">
        <f>HYPERLINK("https://klasma.github.io/Logging_0382/tillsynsmail/A 15627-2023 tillsynsbegäran mail.docx", "A 15627-2023")</f>
        <v/>
      </c>
    </row>
    <row r="98" ht="15" customHeight="1">
      <c r="A98" t="inlineStr">
        <is>
          <t>A 21453-2023</t>
        </is>
      </c>
      <c r="B98" s="1" t="n">
        <v>45063</v>
      </c>
      <c r="C98" s="1" t="n">
        <v>45636</v>
      </c>
      <c r="D98" t="inlineStr">
        <is>
          <t>UPPSALA LÄN</t>
        </is>
      </c>
      <c r="E98" t="inlineStr">
        <is>
          <t>ÖSTHAMMAR</t>
        </is>
      </c>
      <c r="F98" t="inlineStr">
        <is>
          <t>Bergvik skog väst AB</t>
        </is>
      </c>
      <c r="G98" t="n">
        <v>6.1</v>
      </c>
      <c r="H98" t="n">
        <v>1</v>
      </c>
      <c r="I98" t="n">
        <v>1</v>
      </c>
      <c r="J98" t="n">
        <v>0</v>
      </c>
      <c r="K98" t="n">
        <v>0</v>
      </c>
      <c r="L98" t="n">
        <v>0</v>
      </c>
      <c r="M98" t="n">
        <v>0</v>
      </c>
      <c r="N98" t="n">
        <v>0</v>
      </c>
      <c r="O98" t="n">
        <v>0</v>
      </c>
      <c r="P98" t="n">
        <v>0</v>
      </c>
      <c r="Q98" t="n">
        <v>2</v>
      </c>
      <c r="R98" s="2" t="inlineStr">
        <is>
          <t>Fransig jordstjärna
Blåsippa</t>
        </is>
      </c>
      <c r="S98">
        <f>HYPERLINK("https://klasma.github.io/Logging_0382/artfynd/A 21453-2023 artfynd.xlsx", "A 21453-2023")</f>
        <v/>
      </c>
      <c r="T98">
        <f>HYPERLINK("https://klasma.github.io/Logging_0382/kartor/A 21453-2023 karta.png", "A 21453-2023")</f>
        <v/>
      </c>
      <c r="V98">
        <f>HYPERLINK("https://klasma.github.io/Logging_0382/klagomål/A 21453-2023 FSC-klagomål.docx", "A 21453-2023")</f>
        <v/>
      </c>
      <c r="W98">
        <f>HYPERLINK("https://klasma.github.io/Logging_0382/klagomålsmail/A 21453-2023 FSC-klagomål mail.docx", "A 21453-2023")</f>
        <v/>
      </c>
      <c r="X98">
        <f>HYPERLINK("https://klasma.github.io/Logging_0382/tillsyn/A 21453-2023 tillsynsbegäran.docx", "A 21453-2023")</f>
        <v/>
      </c>
      <c r="Y98">
        <f>HYPERLINK("https://klasma.github.io/Logging_0382/tillsynsmail/A 21453-2023 tillsynsbegäran mail.docx", "A 21453-2023")</f>
        <v/>
      </c>
    </row>
    <row r="99" ht="15" customHeight="1">
      <c r="A99" t="inlineStr">
        <is>
          <t>A 21422-2023</t>
        </is>
      </c>
      <c r="B99" s="1" t="n">
        <v>45063</v>
      </c>
      <c r="C99" s="1" t="n">
        <v>45636</v>
      </c>
      <c r="D99" t="inlineStr">
        <is>
          <t>UPPSALA LÄN</t>
        </is>
      </c>
      <c r="E99" t="inlineStr">
        <is>
          <t>ÖSTHAMMAR</t>
        </is>
      </c>
      <c r="F99" t="inlineStr">
        <is>
          <t>Sveaskog</t>
        </is>
      </c>
      <c r="G99" t="n">
        <v>2.8</v>
      </c>
      <c r="H99" t="n">
        <v>2</v>
      </c>
      <c r="I99" t="n">
        <v>0</v>
      </c>
      <c r="J99" t="n">
        <v>1</v>
      </c>
      <c r="K99" t="n">
        <v>0</v>
      </c>
      <c r="L99" t="n">
        <v>0</v>
      </c>
      <c r="M99" t="n">
        <v>0</v>
      </c>
      <c r="N99" t="n">
        <v>0</v>
      </c>
      <c r="O99" t="n">
        <v>1</v>
      </c>
      <c r="P99" t="n">
        <v>0</v>
      </c>
      <c r="Q99" t="n">
        <v>2</v>
      </c>
      <c r="R99" s="2" t="inlineStr">
        <is>
          <t>Nordfladdermus
Dvärgpipistrell</t>
        </is>
      </c>
      <c r="S99">
        <f>HYPERLINK("https://klasma.github.io/Logging_0382/artfynd/A 21422-2023 artfynd.xlsx", "A 21422-2023")</f>
        <v/>
      </c>
      <c r="T99">
        <f>HYPERLINK("https://klasma.github.io/Logging_0382/kartor/A 21422-2023 karta.png", "A 21422-2023")</f>
        <v/>
      </c>
      <c r="V99">
        <f>HYPERLINK("https://klasma.github.io/Logging_0382/klagomål/A 21422-2023 FSC-klagomål.docx", "A 21422-2023")</f>
        <v/>
      </c>
      <c r="W99">
        <f>HYPERLINK("https://klasma.github.io/Logging_0382/klagomålsmail/A 21422-2023 FSC-klagomål mail.docx", "A 21422-2023")</f>
        <v/>
      </c>
      <c r="X99">
        <f>HYPERLINK("https://klasma.github.io/Logging_0382/tillsyn/A 21422-2023 tillsynsbegäran.docx", "A 21422-2023")</f>
        <v/>
      </c>
      <c r="Y99">
        <f>HYPERLINK("https://klasma.github.io/Logging_0382/tillsynsmail/A 21422-2023 tillsynsbegäran mail.docx", "A 21422-2023")</f>
        <v/>
      </c>
    </row>
    <row r="100" ht="15" customHeight="1">
      <c r="A100" t="inlineStr">
        <is>
          <t>A 26602-2023</t>
        </is>
      </c>
      <c r="B100" s="1" t="n">
        <v>45092</v>
      </c>
      <c r="C100" s="1" t="n">
        <v>45636</v>
      </c>
      <c r="D100" t="inlineStr">
        <is>
          <t>UPPSALA LÄN</t>
        </is>
      </c>
      <c r="E100" t="inlineStr">
        <is>
          <t>ÖSTHAMMAR</t>
        </is>
      </c>
      <c r="F100" t="inlineStr">
        <is>
          <t>Sveaskog</t>
        </is>
      </c>
      <c r="G100" t="n">
        <v>1.6</v>
      </c>
      <c r="H100" t="n">
        <v>2</v>
      </c>
      <c r="I100" t="n">
        <v>0</v>
      </c>
      <c r="J100" t="n">
        <v>2</v>
      </c>
      <c r="K100" t="n">
        <v>0</v>
      </c>
      <c r="L100" t="n">
        <v>0</v>
      </c>
      <c r="M100" t="n">
        <v>0</v>
      </c>
      <c r="N100" t="n">
        <v>0</v>
      </c>
      <c r="O100" t="n">
        <v>2</v>
      </c>
      <c r="P100" t="n">
        <v>0</v>
      </c>
      <c r="Q100" t="n">
        <v>2</v>
      </c>
      <c r="R100" s="2" t="inlineStr">
        <is>
          <t>Gulsparv
Skrattmås</t>
        </is>
      </c>
      <c r="S100">
        <f>HYPERLINK("https://klasma.github.io/Logging_0382/artfynd/A 26602-2023 artfynd.xlsx", "A 26602-2023")</f>
        <v/>
      </c>
      <c r="T100">
        <f>HYPERLINK("https://klasma.github.io/Logging_0382/kartor/A 26602-2023 karta.png", "A 26602-2023")</f>
        <v/>
      </c>
      <c r="V100">
        <f>HYPERLINK("https://klasma.github.io/Logging_0382/klagomål/A 26602-2023 FSC-klagomål.docx", "A 26602-2023")</f>
        <v/>
      </c>
      <c r="W100">
        <f>HYPERLINK("https://klasma.github.io/Logging_0382/klagomålsmail/A 26602-2023 FSC-klagomål mail.docx", "A 26602-2023")</f>
        <v/>
      </c>
      <c r="X100">
        <f>HYPERLINK("https://klasma.github.io/Logging_0382/tillsyn/A 26602-2023 tillsynsbegäran.docx", "A 26602-2023")</f>
        <v/>
      </c>
      <c r="Y100">
        <f>HYPERLINK("https://klasma.github.io/Logging_0382/tillsynsmail/A 26602-2023 tillsynsbegäran mail.docx", "A 26602-2023")</f>
        <v/>
      </c>
      <c r="Z100">
        <f>HYPERLINK("https://klasma.github.io/Logging_0382/fåglar/A 26602-2023 prioriterade fågelarter.docx", "A 26602-2023")</f>
        <v/>
      </c>
    </row>
    <row r="101" ht="15" customHeight="1">
      <c r="A101" t="inlineStr">
        <is>
          <t>A 36876-2023</t>
        </is>
      </c>
      <c r="B101" s="1" t="n">
        <v>45154</v>
      </c>
      <c r="C101" s="1" t="n">
        <v>45636</v>
      </c>
      <c r="D101" t="inlineStr">
        <is>
          <t>UPPSALA LÄN</t>
        </is>
      </c>
      <c r="E101" t="inlineStr">
        <is>
          <t>ÖSTHAMMAR</t>
        </is>
      </c>
      <c r="F101" t="inlineStr">
        <is>
          <t>Övriga Aktiebolag</t>
        </is>
      </c>
      <c r="G101" t="n">
        <v>12.6</v>
      </c>
      <c r="H101" t="n">
        <v>1</v>
      </c>
      <c r="I101" t="n">
        <v>0</v>
      </c>
      <c r="J101" t="n">
        <v>2</v>
      </c>
      <c r="K101" t="n">
        <v>0</v>
      </c>
      <c r="L101" t="n">
        <v>0</v>
      </c>
      <c r="M101" t="n">
        <v>0</v>
      </c>
      <c r="N101" t="n">
        <v>0</v>
      </c>
      <c r="O101" t="n">
        <v>2</v>
      </c>
      <c r="P101" t="n">
        <v>0</v>
      </c>
      <c r="Q101" t="n">
        <v>2</v>
      </c>
      <c r="R101" s="2" t="inlineStr">
        <is>
          <t>Slaguggla
Slåtterfibbla</t>
        </is>
      </c>
      <c r="S101">
        <f>HYPERLINK("https://klasma.github.io/Logging_0382/artfynd/A 36876-2023 artfynd.xlsx", "A 36876-2023")</f>
        <v/>
      </c>
      <c r="T101">
        <f>HYPERLINK("https://klasma.github.io/Logging_0382/kartor/A 36876-2023 karta.png", "A 36876-2023")</f>
        <v/>
      </c>
      <c r="V101">
        <f>HYPERLINK("https://klasma.github.io/Logging_0382/klagomål/A 36876-2023 FSC-klagomål.docx", "A 36876-2023")</f>
        <v/>
      </c>
      <c r="W101">
        <f>HYPERLINK("https://klasma.github.io/Logging_0382/klagomålsmail/A 36876-2023 FSC-klagomål mail.docx", "A 36876-2023")</f>
        <v/>
      </c>
      <c r="X101">
        <f>HYPERLINK("https://klasma.github.io/Logging_0382/tillsyn/A 36876-2023 tillsynsbegäran.docx", "A 36876-2023")</f>
        <v/>
      </c>
      <c r="Y101">
        <f>HYPERLINK("https://klasma.github.io/Logging_0382/tillsynsmail/A 36876-2023 tillsynsbegäran mail.docx", "A 36876-2023")</f>
        <v/>
      </c>
      <c r="Z101">
        <f>HYPERLINK("https://klasma.github.io/Logging_0382/fåglar/A 36876-2023 prioriterade fågelarter.docx", "A 36876-2023")</f>
        <v/>
      </c>
    </row>
    <row r="102" ht="15" customHeight="1">
      <c r="A102" t="inlineStr">
        <is>
          <t>A 48209-2023</t>
        </is>
      </c>
      <c r="B102" s="1" t="n">
        <v>45205</v>
      </c>
      <c r="C102" s="1" t="n">
        <v>45636</v>
      </c>
      <c r="D102" t="inlineStr">
        <is>
          <t>UPPSALA LÄN</t>
        </is>
      </c>
      <c r="E102" t="inlineStr">
        <is>
          <t>ÖSTHAMMAR</t>
        </is>
      </c>
      <c r="G102" t="n">
        <v>3.7</v>
      </c>
      <c r="H102" t="n">
        <v>1</v>
      </c>
      <c r="I102" t="n">
        <v>2</v>
      </c>
      <c r="J102" t="n">
        <v>0</v>
      </c>
      <c r="K102" t="n">
        <v>0</v>
      </c>
      <c r="L102" t="n">
        <v>0</v>
      </c>
      <c r="M102" t="n">
        <v>0</v>
      </c>
      <c r="N102" t="n">
        <v>0</v>
      </c>
      <c r="O102" t="n">
        <v>0</v>
      </c>
      <c r="P102" t="n">
        <v>0</v>
      </c>
      <c r="Q102" t="n">
        <v>2</v>
      </c>
      <c r="R102" s="2" t="inlineStr">
        <is>
          <t>Skogsknipprot
Tibast</t>
        </is>
      </c>
      <c r="S102">
        <f>HYPERLINK("https://klasma.github.io/Logging_0382/artfynd/A 48209-2023 artfynd.xlsx", "A 48209-2023")</f>
        <v/>
      </c>
      <c r="T102">
        <f>HYPERLINK("https://klasma.github.io/Logging_0382/kartor/A 48209-2023 karta.png", "A 48209-2023")</f>
        <v/>
      </c>
      <c r="V102">
        <f>HYPERLINK("https://klasma.github.io/Logging_0382/klagomål/A 48209-2023 FSC-klagomål.docx", "A 48209-2023")</f>
        <v/>
      </c>
      <c r="W102">
        <f>HYPERLINK("https://klasma.github.io/Logging_0382/klagomålsmail/A 48209-2023 FSC-klagomål mail.docx", "A 48209-2023")</f>
        <v/>
      </c>
      <c r="X102">
        <f>HYPERLINK("https://klasma.github.io/Logging_0382/tillsyn/A 48209-2023 tillsynsbegäran.docx", "A 48209-2023")</f>
        <v/>
      </c>
      <c r="Y102">
        <f>HYPERLINK("https://klasma.github.io/Logging_0382/tillsynsmail/A 48209-2023 tillsynsbegäran mail.docx", "A 48209-2023")</f>
        <v/>
      </c>
    </row>
    <row r="103" ht="15" customHeight="1">
      <c r="A103" t="inlineStr">
        <is>
          <t>A 48723-2023</t>
        </is>
      </c>
      <c r="B103" s="1" t="n">
        <v>45208</v>
      </c>
      <c r="C103" s="1" t="n">
        <v>45636</v>
      </c>
      <c r="D103" t="inlineStr">
        <is>
          <t>UPPSALA LÄN</t>
        </is>
      </c>
      <c r="E103" t="inlineStr">
        <is>
          <t>ÖSTHAMMAR</t>
        </is>
      </c>
      <c r="G103" t="n">
        <v>1</v>
      </c>
      <c r="H103" t="n">
        <v>0</v>
      </c>
      <c r="I103" t="n">
        <v>2</v>
      </c>
      <c r="J103" t="n">
        <v>0</v>
      </c>
      <c r="K103" t="n">
        <v>0</v>
      </c>
      <c r="L103" t="n">
        <v>0</v>
      </c>
      <c r="M103" t="n">
        <v>0</v>
      </c>
      <c r="N103" t="n">
        <v>0</v>
      </c>
      <c r="O103" t="n">
        <v>0</v>
      </c>
      <c r="P103" t="n">
        <v>0</v>
      </c>
      <c r="Q103" t="n">
        <v>2</v>
      </c>
      <c r="R103" s="2" t="inlineStr">
        <is>
          <t>Anisspindling
Fjällig taggsvamp s.str.</t>
        </is>
      </c>
      <c r="S103">
        <f>HYPERLINK("https://klasma.github.io/Logging_0382/artfynd/A 48723-2023 artfynd.xlsx", "A 48723-2023")</f>
        <v/>
      </c>
      <c r="T103">
        <f>HYPERLINK("https://klasma.github.io/Logging_0382/kartor/A 48723-2023 karta.png", "A 48723-2023")</f>
        <v/>
      </c>
      <c r="V103">
        <f>HYPERLINK("https://klasma.github.io/Logging_0382/klagomål/A 48723-2023 FSC-klagomål.docx", "A 48723-2023")</f>
        <v/>
      </c>
      <c r="W103">
        <f>HYPERLINK("https://klasma.github.io/Logging_0382/klagomålsmail/A 48723-2023 FSC-klagomål mail.docx", "A 48723-2023")</f>
        <v/>
      </c>
      <c r="X103">
        <f>HYPERLINK("https://klasma.github.io/Logging_0382/tillsyn/A 48723-2023 tillsynsbegäran.docx", "A 48723-2023")</f>
        <v/>
      </c>
      <c r="Y103">
        <f>HYPERLINK("https://klasma.github.io/Logging_0382/tillsynsmail/A 48723-2023 tillsynsbegäran mail.docx", "A 48723-2023")</f>
        <v/>
      </c>
    </row>
    <row r="104" ht="15" customHeight="1">
      <c r="A104" t="inlineStr">
        <is>
          <t>A 55508-2023</t>
        </is>
      </c>
      <c r="B104" s="1" t="n">
        <v>45238</v>
      </c>
      <c r="C104" s="1" t="n">
        <v>45636</v>
      </c>
      <c r="D104" t="inlineStr">
        <is>
          <t>UPPSALA LÄN</t>
        </is>
      </c>
      <c r="E104" t="inlineStr">
        <is>
          <t>ÖSTHAMMAR</t>
        </is>
      </c>
      <c r="G104" t="n">
        <v>3.4</v>
      </c>
      <c r="H104" t="n">
        <v>1</v>
      </c>
      <c r="I104" t="n">
        <v>1</v>
      </c>
      <c r="J104" t="n">
        <v>1</v>
      </c>
      <c r="K104" t="n">
        <v>0</v>
      </c>
      <c r="L104" t="n">
        <v>0</v>
      </c>
      <c r="M104" t="n">
        <v>0</v>
      </c>
      <c r="N104" t="n">
        <v>0</v>
      </c>
      <c r="O104" t="n">
        <v>1</v>
      </c>
      <c r="P104" t="n">
        <v>0</v>
      </c>
      <c r="Q104" t="n">
        <v>2</v>
      </c>
      <c r="R104" s="2" t="inlineStr">
        <is>
          <t>Svart taggsvamp
Guckusko</t>
        </is>
      </c>
      <c r="S104">
        <f>HYPERLINK("https://klasma.github.io/Logging_0382/artfynd/A 55508-2023 artfynd.xlsx", "A 55508-2023")</f>
        <v/>
      </c>
      <c r="T104">
        <f>HYPERLINK("https://klasma.github.io/Logging_0382/kartor/A 55508-2023 karta.png", "A 55508-2023")</f>
        <v/>
      </c>
      <c r="V104">
        <f>HYPERLINK("https://klasma.github.io/Logging_0382/klagomål/A 55508-2023 FSC-klagomål.docx", "A 55508-2023")</f>
        <v/>
      </c>
      <c r="W104">
        <f>HYPERLINK("https://klasma.github.io/Logging_0382/klagomålsmail/A 55508-2023 FSC-klagomål mail.docx", "A 55508-2023")</f>
        <v/>
      </c>
      <c r="X104">
        <f>HYPERLINK("https://klasma.github.io/Logging_0382/tillsyn/A 55508-2023 tillsynsbegäran.docx", "A 55508-2023")</f>
        <v/>
      </c>
      <c r="Y104">
        <f>HYPERLINK("https://klasma.github.io/Logging_0382/tillsynsmail/A 55508-2023 tillsynsbegäran mail.docx", "A 55508-2023")</f>
        <v/>
      </c>
    </row>
    <row r="105" ht="15" customHeight="1">
      <c r="A105" t="inlineStr">
        <is>
          <t>A 55385-2023</t>
        </is>
      </c>
      <c r="B105" s="1" t="n">
        <v>45238</v>
      </c>
      <c r="C105" s="1" t="n">
        <v>45636</v>
      </c>
      <c r="D105" t="inlineStr">
        <is>
          <t>UPPSALA LÄN</t>
        </is>
      </c>
      <c r="E105" t="inlineStr">
        <is>
          <t>ÖSTHAMMAR</t>
        </is>
      </c>
      <c r="G105" t="n">
        <v>3</v>
      </c>
      <c r="H105" t="n">
        <v>1</v>
      </c>
      <c r="I105" t="n">
        <v>2</v>
      </c>
      <c r="J105" t="n">
        <v>0</v>
      </c>
      <c r="K105" t="n">
        <v>0</v>
      </c>
      <c r="L105" t="n">
        <v>0</v>
      </c>
      <c r="M105" t="n">
        <v>0</v>
      </c>
      <c r="N105" t="n">
        <v>0</v>
      </c>
      <c r="O105" t="n">
        <v>0</v>
      </c>
      <c r="P105" t="n">
        <v>0</v>
      </c>
      <c r="Q105" t="n">
        <v>2</v>
      </c>
      <c r="R105" s="2" t="inlineStr">
        <is>
          <t>Guckusko
Korallblylav</t>
        </is>
      </c>
      <c r="S105">
        <f>HYPERLINK("https://klasma.github.io/Logging_0382/artfynd/A 55385-2023 artfynd.xlsx", "A 55385-2023")</f>
        <v/>
      </c>
      <c r="T105">
        <f>HYPERLINK("https://klasma.github.io/Logging_0382/kartor/A 55385-2023 karta.png", "A 55385-2023")</f>
        <v/>
      </c>
      <c r="V105">
        <f>HYPERLINK("https://klasma.github.io/Logging_0382/klagomål/A 55385-2023 FSC-klagomål.docx", "A 55385-2023")</f>
        <v/>
      </c>
      <c r="W105">
        <f>HYPERLINK("https://klasma.github.io/Logging_0382/klagomålsmail/A 55385-2023 FSC-klagomål mail.docx", "A 55385-2023")</f>
        <v/>
      </c>
      <c r="X105">
        <f>HYPERLINK("https://klasma.github.io/Logging_0382/tillsyn/A 55385-2023 tillsynsbegäran.docx", "A 55385-2023")</f>
        <v/>
      </c>
      <c r="Y105">
        <f>HYPERLINK("https://klasma.github.io/Logging_0382/tillsynsmail/A 55385-2023 tillsynsbegäran mail.docx", "A 55385-2023")</f>
        <v/>
      </c>
    </row>
    <row r="106" ht="15" customHeight="1">
      <c r="A106" t="inlineStr">
        <is>
          <t>A 59283-2023</t>
        </is>
      </c>
      <c r="B106" s="1" t="n">
        <v>45253</v>
      </c>
      <c r="C106" s="1" t="n">
        <v>45636</v>
      </c>
      <c r="D106" t="inlineStr">
        <is>
          <t>UPPSALA LÄN</t>
        </is>
      </c>
      <c r="E106" t="inlineStr">
        <is>
          <t>ÖSTHAMMAR</t>
        </is>
      </c>
      <c r="G106" t="n">
        <v>2</v>
      </c>
      <c r="H106" t="n">
        <v>0</v>
      </c>
      <c r="I106" t="n">
        <v>0</v>
      </c>
      <c r="J106" t="n">
        <v>0</v>
      </c>
      <c r="K106" t="n">
        <v>2</v>
      </c>
      <c r="L106" t="n">
        <v>0</v>
      </c>
      <c r="M106" t="n">
        <v>0</v>
      </c>
      <c r="N106" t="n">
        <v>0</v>
      </c>
      <c r="O106" t="n">
        <v>2</v>
      </c>
      <c r="P106" t="n">
        <v>2</v>
      </c>
      <c r="Q106" t="n">
        <v>2</v>
      </c>
      <c r="R106" s="2" t="inlineStr">
        <is>
          <t>Koppartaggsvamp
Spricktaggsvamp</t>
        </is>
      </c>
      <c r="S106">
        <f>HYPERLINK("https://klasma.github.io/Logging_0382/artfynd/A 59283-2023 artfynd.xlsx", "A 59283-2023")</f>
        <v/>
      </c>
      <c r="T106">
        <f>HYPERLINK("https://klasma.github.io/Logging_0382/kartor/A 59283-2023 karta.png", "A 59283-2023")</f>
        <v/>
      </c>
      <c r="V106">
        <f>HYPERLINK("https://klasma.github.io/Logging_0382/klagomål/A 59283-2023 FSC-klagomål.docx", "A 59283-2023")</f>
        <v/>
      </c>
      <c r="W106">
        <f>HYPERLINK("https://klasma.github.io/Logging_0382/klagomålsmail/A 59283-2023 FSC-klagomål mail.docx", "A 59283-2023")</f>
        <v/>
      </c>
      <c r="X106">
        <f>HYPERLINK("https://klasma.github.io/Logging_0382/tillsyn/A 59283-2023 tillsynsbegäran.docx", "A 59283-2023")</f>
        <v/>
      </c>
      <c r="Y106">
        <f>HYPERLINK("https://klasma.github.io/Logging_0382/tillsynsmail/A 59283-2023 tillsynsbegäran mail.docx", "A 59283-2023")</f>
        <v/>
      </c>
    </row>
    <row r="107" ht="15" customHeight="1">
      <c r="A107" t="inlineStr">
        <is>
          <t>A 9646-2024</t>
        </is>
      </c>
      <c r="B107" s="1" t="n">
        <v>45362</v>
      </c>
      <c r="C107" s="1" t="n">
        <v>45636</v>
      </c>
      <c r="D107" t="inlineStr">
        <is>
          <t>UPPSALA LÄN</t>
        </is>
      </c>
      <c r="E107" t="inlineStr">
        <is>
          <t>ÖSTHAMMAR</t>
        </is>
      </c>
      <c r="G107" t="n">
        <v>1.6</v>
      </c>
      <c r="H107" t="n">
        <v>0</v>
      </c>
      <c r="I107" t="n">
        <v>0</v>
      </c>
      <c r="J107" t="n">
        <v>1</v>
      </c>
      <c r="K107" t="n">
        <v>1</v>
      </c>
      <c r="L107" t="n">
        <v>0</v>
      </c>
      <c r="M107" t="n">
        <v>0</v>
      </c>
      <c r="N107" t="n">
        <v>0</v>
      </c>
      <c r="O107" t="n">
        <v>2</v>
      </c>
      <c r="P107" t="n">
        <v>1</v>
      </c>
      <c r="Q107" t="n">
        <v>2</v>
      </c>
      <c r="R107" s="2" t="inlineStr">
        <is>
          <t>Violgubbe
Gultoppig fingersvamp</t>
        </is>
      </c>
      <c r="S107">
        <f>HYPERLINK("https://klasma.github.io/Logging_0382/artfynd/A 9646-2024 artfynd.xlsx", "A 9646-2024")</f>
        <v/>
      </c>
      <c r="T107">
        <f>HYPERLINK("https://klasma.github.io/Logging_0382/kartor/A 9646-2024 karta.png", "A 9646-2024")</f>
        <v/>
      </c>
      <c r="V107">
        <f>HYPERLINK("https://klasma.github.io/Logging_0382/klagomål/A 9646-2024 FSC-klagomål.docx", "A 9646-2024")</f>
        <v/>
      </c>
      <c r="W107">
        <f>HYPERLINK("https://klasma.github.io/Logging_0382/klagomålsmail/A 9646-2024 FSC-klagomål mail.docx", "A 9646-2024")</f>
        <v/>
      </c>
      <c r="X107">
        <f>HYPERLINK("https://klasma.github.io/Logging_0382/tillsyn/A 9646-2024 tillsynsbegäran.docx", "A 9646-2024")</f>
        <v/>
      </c>
      <c r="Y107">
        <f>HYPERLINK("https://klasma.github.io/Logging_0382/tillsynsmail/A 9646-2024 tillsynsbegäran mail.docx", "A 9646-2024")</f>
        <v/>
      </c>
    </row>
    <row r="108" ht="15" customHeight="1">
      <c r="A108" t="inlineStr">
        <is>
          <t>A 11695-2024</t>
        </is>
      </c>
      <c r="B108" s="1" t="n">
        <v>45373</v>
      </c>
      <c r="C108" s="1" t="n">
        <v>45636</v>
      </c>
      <c r="D108" t="inlineStr">
        <is>
          <t>UPPSALA LÄN</t>
        </is>
      </c>
      <c r="E108" t="inlineStr">
        <is>
          <t>ÖSTHAMMAR</t>
        </is>
      </c>
      <c r="G108" t="n">
        <v>2</v>
      </c>
      <c r="H108" t="n">
        <v>0</v>
      </c>
      <c r="I108" t="n">
        <v>2</v>
      </c>
      <c r="J108" t="n">
        <v>0</v>
      </c>
      <c r="K108" t="n">
        <v>0</v>
      </c>
      <c r="L108" t="n">
        <v>0</v>
      </c>
      <c r="M108" t="n">
        <v>0</v>
      </c>
      <c r="N108" t="n">
        <v>0</v>
      </c>
      <c r="O108" t="n">
        <v>0</v>
      </c>
      <c r="P108" t="n">
        <v>0</v>
      </c>
      <c r="Q108" t="n">
        <v>2</v>
      </c>
      <c r="R108" s="2" t="inlineStr">
        <is>
          <t>Blåmossa
Fjällig taggsvamp s.str.</t>
        </is>
      </c>
      <c r="S108">
        <f>HYPERLINK("https://klasma.github.io/Logging_0382/artfynd/A 11695-2024 artfynd.xlsx", "A 11695-2024")</f>
        <v/>
      </c>
      <c r="T108">
        <f>HYPERLINK("https://klasma.github.io/Logging_0382/kartor/A 11695-2024 karta.png", "A 11695-2024")</f>
        <v/>
      </c>
      <c r="V108">
        <f>HYPERLINK("https://klasma.github.io/Logging_0382/klagomål/A 11695-2024 FSC-klagomål.docx", "A 11695-2024")</f>
        <v/>
      </c>
      <c r="W108">
        <f>HYPERLINK("https://klasma.github.io/Logging_0382/klagomålsmail/A 11695-2024 FSC-klagomål mail.docx", "A 11695-2024")</f>
        <v/>
      </c>
      <c r="X108">
        <f>HYPERLINK("https://klasma.github.io/Logging_0382/tillsyn/A 11695-2024 tillsynsbegäran.docx", "A 11695-2024")</f>
        <v/>
      </c>
      <c r="Y108">
        <f>HYPERLINK("https://klasma.github.io/Logging_0382/tillsynsmail/A 11695-2024 tillsynsbegäran mail.docx", "A 11695-2024")</f>
        <v/>
      </c>
    </row>
    <row r="109" ht="15" customHeight="1">
      <c r="A109" t="inlineStr">
        <is>
          <t>A 18539-2024</t>
        </is>
      </c>
      <c r="B109" s="1" t="n">
        <v>45425</v>
      </c>
      <c r="C109" s="1" t="n">
        <v>45636</v>
      </c>
      <c r="D109" t="inlineStr">
        <is>
          <t>UPPSALA LÄN</t>
        </is>
      </c>
      <c r="E109" t="inlineStr">
        <is>
          <t>ÖSTHAMMAR</t>
        </is>
      </c>
      <c r="G109" t="n">
        <v>4.7</v>
      </c>
      <c r="H109" t="n">
        <v>0</v>
      </c>
      <c r="I109" t="n">
        <v>2</v>
      </c>
      <c r="J109" t="n">
        <v>0</v>
      </c>
      <c r="K109" t="n">
        <v>0</v>
      </c>
      <c r="L109" t="n">
        <v>0</v>
      </c>
      <c r="M109" t="n">
        <v>0</v>
      </c>
      <c r="N109" t="n">
        <v>0</v>
      </c>
      <c r="O109" t="n">
        <v>0</v>
      </c>
      <c r="P109" t="n">
        <v>0</v>
      </c>
      <c r="Q109" t="n">
        <v>2</v>
      </c>
      <c r="R109" s="2" t="inlineStr">
        <is>
          <t>Bronshjon
Vågbandad barkbock</t>
        </is>
      </c>
      <c r="S109">
        <f>HYPERLINK("https://klasma.github.io/Logging_0382/artfynd/A 18539-2024 artfynd.xlsx", "A 18539-2024")</f>
        <v/>
      </c>
      <c r="T109">
        <f>HYPERLINK("https://klasma.github.io/Logging_0382/kartor/A 18539-2024 karta.png", "A 18539-2024")</f>
        <v/>
      </c>
      <c r="V109">
        <f>HYPERLINK("https://klasma.github.io/Logging_0382/klagomål/A 18539-2024 FSC-klagomål.docx", "A 18539-2024")</f>
        <v/>
      </c>
      <c r="W109">
        <f>HYPERLINK("https://klasma.github.io/Logging_0382/klagomålsmail/A 18539-2024 FSC-klagomål mail.docx", "A 18539-2024")</f>
        <v/>
      </c>
      <c r="X109">
        <f>HYPERLINK("https://klasma.github.io/Logging_0382/tillsyn/A 18539-2024 tillsynsbegäran.docx", "A 18539-2024")</f>
        <v/>
      </c>
      <c r="Y109">
        <f>HYPERLINK("https://klasma.github.io/Logging_0382/tillsynsmail/A 18539-2024 tillsynsbegäran mail.docx", "A 18539-2024")</f>
        <v/>
      </c>
    </row>
    <row r="110" ht="15" customHeight="1">
      <c r="A110" t="inlineStr">
        <is>
          <t>A 26277-2024</t>
        </is>
      </c>
      <c r="B110" s="1" t="n">
        <v>45468</v>
      </c>
      <c r="C110" s="1" t="n">
        <v>45636</v>
      </c>
      <c r="D110" t="inlineStr">
        <is>
          <t>UPPSALA LÄN</t>
        </is>
      </c>
      <c r="E110" t="inlineStr">
        <is>
          <t>ÖSTHAMMAR</t>
        </is>
      </c>
      <c r="G110" t="n">
        <v>3.5</v>
      </c>
      <c r="H110" t="n">
        <v>1</v>
      </c>
      <c r="I110" t="n">
        <v>2</v>
      </c>
      <c r="J110" t="n">
        <v>0</v>
      </c>
      <c r="K110" t="n">
        <v>0</v>
      </c>
      <c r="L110" t="n">
        <v>0</v>
      </c>
      <c r="M110" t="n">
        <v>0</v>
      </c>
      <c r="N110" t="n">
        <v>0</v>
      </c>
      <c r="O110" t="n">
        <v>0</v>
      </c>
      <c r="P110" t="n">
        <v>0</v>
      </c>
      <c r="Q110" t="n">
        <v>2</v>
      </c>
      <c r="R110" s="2" t="inlineStr">
        <is>
          <t>Nästrot
Sårläka</t>
        </is>
      </c>
      <c r="S110">
        <f>HYPERLINK("https://klasma.github.io/Logging_0382/artfynd/A 26277-2024 artfynd.xlsx", "A 26277-2024")</f>
        <v/>
      </c>
      <c r="T110">
        <f>HYPERLINK("https://klasma.github.io/Logging_0382/kartor/A 26277-2024 karta.png", "A 26277-2024")</f>
        <v/>
      </c>
      <c r="V110">
        <f>HYPERLINK("https://klasma.github.io/Logging_0382/klagomål/A 26277-2024 FSC-klagomål.docx", "A 26277-2024")</f>
        <v/>
      </c>
      <c r="W110">
        <f>HYPERLINK("https://klasma.github.io/Logging_0382/klagomålsmail/A 26277-2024 FSC-klagomål mail.docx", "A 26277-2024")</f>
        <v/>
      </c>
      <c r="X110">
        <f>HYPERLINK("https://klasma.github.io/Logging_0382/tillsyn/A 26277-2024 tillsynsbegäran.docx", "A 26277-2024")</f>
        <v/>
      </c>
      <c r="Y110">
        <f>HYPERLINK("https://klasma.github.io/Logging_0382/tillsynsmail/A 26277-2024 tillsynsbegäran mail.docx", "A 26277-2024")</f>
        <v/>
      </c>
    </row>
    <row r="111" ht="15" customHeight="1">
      <c r="A111" t="inlineStr">
        <is>
          <t>A 30943-2024</t>
        </is>
      </c>
      <c r="B111" s="1" t="n">
        <v>45499</v>
      </c>
      <c r="C111" s="1" t="n">
        <v>45636</v>
      </c>
      <c r="D111" t="inlineStr">
        <is>
          <t>UPPSALA LÄN</t>
        </is>
      </c>
      <c r="E111" t="inlineStr">
        <is>
          <t>ÖSTHAMMAR</t>
        </is>
      </c>
      <c r="G111" t="n">
        <v>4.5</v>
      </c>
      <c r="H111" t="n">
        <v>0</v>
      </c>
      <c r="I111" t="n">
        <v>2</v>
      </c>
      <c r="J111" t="n">
        <v>0</v>
      </c>
      <c r="K111" t="n">
        <v>0</v>
      </c>
      <c r="L111" t="n">
        <v>0</v>
      </c>
      <c r="M111" t="n">
        <v>0</v>
      </c>
      <c r="N111" t="n">
        <v>0</v>
      </c>
      <c r="O111" t="n">
        <v>0</v>
      </c>
      <c r="P111" t="n">
        <v>0</v>
      </c>
      <c r="Q111" t="n">
        <v>2</v>
      </c>
      <c r="R111" s="2" t="inlineStr">
        <is>
          <t>Tibast
Underviol</t>
        </is>
      </c>
      <c r="S111">
        <f>HYPERLINK("https://klasma.github.io/Logging_0382/artfynd/A 30943-2024 artfynd.xlsx", "A 30943-2024")</f>
        <v/>
      </c>
      <c r="T111">
        <f>HYPERLINK("https://klasma.github.io/Logging_0382/kartor/A 30943-2024 karta.png", "A 30943-2024")</f>
        <v/>
      </c>
      <c r="V111">
        <f>HYPERLINK("https://klasma.github.io/Logging_0382/klagomål/A 30943-2024 FSC-klagomål.docx", "A 30943-2024")</f>
        <v/>
      </c>
      <c r="W111">
        <f>HYPERLINK("https://klasma.github.io/Logging_0382/klagomålsmail/A 30943-2024 FSC-klagomål mail.docx", "A 30943-2024")</f>
        <v/>
      </c>
      <c r="X111">
        <f>HYPERLINK("https://klasma.github.io/Logging_0382/tillsyn/A 30943-2024 tillsynsbegäran.docx", "A 30943-2024")</f>
        <v/>
      </c>
      <c r="Y111">
        <f>HYPERLINK("https://klasma.github.io/Logging_0382/tillsynsmail/A 30943-2024 tillsynsbegäran mail.docx", "A 30943-2024")</f>
        <v/>
      </c>
    </row>
    <row r="112" ht="15" customHeight="1">
      <c r="A112" t="inlineStr">
        <is>
          <t>A 35927-2024</t>
        </is>
      </c>
      <c r="B112" s="1" t="n">
        <v>45533</v>
      </c>
      <c r="C112" s="1" t="n">
        <v>45636</v>
      </c>
      <c r="D112" t="inlineStr">
        <is>
          <t>UPPSALA LÄN</t>
        </is>
      </c>
      <c r="E112" t="inlineStr">
        <is>
          <t>ÖSTHAMMAR</t>
        </is>
      </c>
      <c r="F112" t="inlineStr">
        <is>
          <t>Övriga Aktiebolag</t>
        </is>
      </c>
      <c r="G112" t="n">
        <v>13.1</v>
      </c>
      <c r="H112" t="n">
        <v>0</v>
      </c>
      <c r="I112" t="n">
        <v>2</v>
      </c>
      <c r="J112" t="n">
        <v>0</v>
      </c>
      <c r="K112" t="n">
        <v>0</v>
      </c>
      <c r="L112" t="n">
        <v>0</v>
      </c>
      <c r="M112" t="n">
        <v>0</v>
      </c>
      <c r="N112" t="n">
        <v>0</v>
      </c>
      <c r="O112" t="n">
        <v>0</v>
      </c>
      <c r="P112" t="n">
        <v>0</v>
      </c>
      <c r="Q112" t="n">
        <v>2</v>
      </c>
      <c r="R112" s="2" t="inlineStr">
        <is>
          <t>Fjällig taggsvamp s.str.
Vårärt</t>
        </is>
      </c>
      <c r="S112">
        <f>HYPERLINK("https://klasma.github.io/Logging_0382/artfynd/A 35927-2024 artfynd.xlsx", "A 35927-2024")</f>
        <v/>
      </c>
      <c r="T112">
        <f>HYPERLINK("https://klasma.github.io/Logging_0382/kartor/A 35927-2024 karta.png", "A 35927-2024")</f>
        <v/>
      </c>
      <c r="V112">
        <f>HYPERLINK("https://klasma.github.io/Logging_0382/klagomål/A 35927-2024 FSC-klagomål.docx", "A 35927-2024")</f>
        <v/>
      </c>
      <c r="W112">
        <f>HYPERLINK("https://klasma.github.io/Logging_0382/klagomålsmail/A 35927-2024 FSC-klagomål mail.docx", "A 35927-2024")</f>
        <v/>
      </c>
      <c r="X112">
        <f>HYPERLINK("https://klasma.github.io/Logging_0382/tillsyn/A 35927-2024 tillsynsbegäran.docx", "A 35927-2024")</f>
        <v/>
      </c>
      <c r="Y112">
        <f>HYPERLINK("https://klasma.github.io/Logging_0382/tillsynsmail/A 35927-2024 tillsynsbegäran mail.docx", "A 35927-2024")</f>
        <v/>
      </c>
    </row>
    <row r="113" ht="15" customHeight="1">
      <c r="A113" t="inlineStr">
        <is>
          <t>A 46577-2024</t>
        </is>
      </c>
      <c r="B113" s="1" t="n">
        <v>45582</v>
      </c>
      <c r="C113" s="1" t="n">
        <v>45636</v>
      </c>
      <c r="D113" t="inlineStr">
        <is>
          <t>UPPSALA LÄN</t>
        </is>
      </c>
      <c r="E113" t="inlineStr">
        <is>
          <t>ÖSTHAMMAR</t>
        </is>
      </c>
      <c r="F113" t="inlineStr">
        <is>
          <t>Bergvik skog väst AB</t>
        </is>
      </c>
      <c r="G113" t="n">
        <v>7.1</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46577-2024 artfynd.xlsx", "A 46577-2024")</f>
        <v/>
      </c>
      <c r="T113">
        <f>HYPERLINK("https://klasma.github.io/Logging_0382/kartor/A 46577-2024 karta.png", "A 46577-2024")</f>
        <v/>
      </c>
      <c r="V113">
        <f>HYPERLINK("https://klasma.github.io/Logging_0382/klagomål/A 46577-2024 FSC-klagomål.docx", "A 46577-2024")</f>
        <v/>
      </c>
      <c r="W113">
        <f>HYPERLINK("https://klasma.github.io/Logging_0382/klagomålsmail/A 46577-2024 FSC-klagomål mail.docx", "A 46577-2024")</f>
        <v/>
      </c>
      <c r="X113">
        <f>HYPERLINK("https://klasma.github.io/Logging_0382/tillsyn/A 46577-2024 tillsynsbegäran.docx", "A 46577-2024")</f>
        <v/>
      </c>
      <c r="Y113">
        <f>HYPERLINK("https://klasma.github.io/Logging_0382/tillsynsmail/A 46577-2024 tillsynsbegäran mail.docx", "A 46577-2024")</f>
        <v/>
      </c>
    </row>
    <row r="114" ht="15" customHeight="1">
      <c r="A114" t="inlineStr">
        <is>
          <t>A 38957-2019</t>
        </is>
      </c>
      <c r="B114" s="1" t="n">
        <v>43689</v>
      </c>
      <c r="C114" s="1" t="n">
        <v>45636</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Bredbrämad bastardsvärmare</t>
        </is>
      </c>
      <c r="S114">
        <f>HYPERLINK("https://klasma.github.io/Logging_0382/artfynd/A 38957-2019 artfynd.xlsx", "A 38957-2019")</f>
        <v/>
      </c>
      <c r="T114">
        <f>HYPERLINK("https://klasma.github.io/Logging_0382/kartor/A 38957-2019 karta.png", "A 38957-2019")</f>
        <v/>
      </c>
      <c r="V114">
        <f>HYPERLINK("https://klasma.github.io/Logging_0382/klagomål/A 38957-2019 FSC-klagomål.docx", "A 38957-2019")</f>
        <v/>
      </c>
      <c r="W114">
        <f>HYPERLINK("https://klasma.github.io/Logging_0382/klagomålsmail/A 38957-2019 FSC-klagomål mail.docx", "A 38957-2019")</f>
        <v/>
      </c>
      <c r="X114">
        <f>HYPERLINK("https://klasma.github.io/Logging_0382/tillsyn/A 38957-2019 tillsynsbegäran.docx", "A 38957-2019")</f>
        <v/>
      </c>
      <c r="Y114">
        <f>HYPERLINK("https://klasma.github.io/Logging_0382/tillsynsmail/A 38957-2019 tillsynsbegäran mail.docx", "A 38957-2019")</f>
        <v/>
      </c>
    </row>
    <row r="115" ht="15" customHeight="1">
      <c r="A115" t="inlineStr">
        <is>
          <t>A 52004-2019</t>
        </is>
      </c>
      <c r="B115" s="1" t="n">
        <v>43742</v>
      </c>
      <c r="C115" s="1" t="n">
        <v>45636</v>
      </c>
      <c r="D115" t="inlineStr">
        <is>
          <t>UPPSALA LÄN</t>
        </is>
      </c>
      <c r="E115" t="inlineStr">
        <is>
          <t>ÖSTHAMMAR</t>
        </is>
      </c>
      <c r="G115" t="n">
        <v>2.5</v>
      </c>
      <c r="H115" t="n">
        <v>1</v>
      </c>
      <c r="I115" t="n">
        <v>0</v>
      </c>
      <c r="J115" t="n">
        <v>0</v>
      </c>
      <c r="K115" t="n">
        <v>0</v>
      </c>
      <c r="L115" t="n">
        <v>0</v>
      </c>
      <c r="M115" t="n">
        <v>0</v>
      </c>
      <c r="N115" t="n">
        <v>0</v>
      </c>
      <c r="O115" t="n">
        <v>0</v>
      </c>
      <c r="P115" t="n">
        <v>0</v>
      </c>
      <c r="Q115" t="n">
        <v>1</v>
      </c>
      <c r="R115" s="2" t="inlineStr">
        <is>
          <t>Revlummer</t>
        </is>
      </c>
      <c r="S115">
        <f>HYPERLINK("https://klasma.github.io/Logging_0382/artfynd/A 52004-2019 artfynd.xlsx", "A 52004-2019")</f>
        <v/>
      </c>
      <c r="T115">
        <f>HYPERLINK("https://klasma.github.io/Logging_0382/kartor/A 52004-2019 karta.png", "A 52004-2019")</f>
        <v/>
      </c>
      <c r="V115">
        <f>HYPERLINK("https://klasma.github.io/Logging_0382/klagomål/A 52004-2019 FSC-klagomål.docx", "A 52004-2019")</f>
        <v/>
      </c>
      <c r="W115">
        <f>HYPERLINK("https://klasma.github.io/Logging_0382/klagomålsmail/A 52004-2019 FSC-klagomål mail.docx", "A 52004-2019")</f>
        <v/>
      </c>
      <c r="X115">
        <f>HYPERLINK("https://klasma.github.io/Logging_0382/tillsyn/A 52004-2019 tillsynsbegäran.docx", "A 52004-2019")</f>
        <v/>
      </c>
      <c r="Y115">
        <f>HYPERLINK("https://klasma.github.io/Logging_0382/tillsynsmail/A 52004-2019 tillsynsbegäran mail.docx", "A 52004-2019")</f>
        <v/>
      </c>
    </row>
    <row r="116" ht="15" customHeight="1">
      <c r="A116" t="inlineStr">
        <is>
          <t>A 22044-2020</t>
        </is>
      </c>
      <c r="B116" s="1" t="n">
        <v>43959</v>
      </c>
      <c r="C116" s="1" t="n">
        <v>45636</v>
      </c>
      <c r="D116" t="inlineStr">
        <is>
          <t>UPPSALA LÄN</t>
        </is>
      </c>
      <c r="E116" t="inlineStr">
        <is>
          <t>ÖSTHAMMAR</t>
        </is>
      </c>
      <c r="G116" t="n">
        <v>2.7</v>
      </c>
      <c r="H116" t="n">
        <v>0</v>
      </c>
      <c r="I116" t="n">
        <v>1</v>
      </c>
      <c r="J116" t="n">
        <v>0</v>
      </c>
      <c r="K116" t="n">
        <v>0</v>
      </c>
      <c r="L116" t="n">
        <v>0</v>
      </c>
      <c r="M116" t="n">
        <v>0</v>
      </c>
      <c r="N116" t="n">
        <v>0</v>
      </c>
      <c r="O116" t="n">
        <v>0</v>
      </c>
      <c r="P116" t="n">
        <v>0</v>
      </c>
      <c r="Q116" t="n">
        <v>1</v>
      </c>
      <c r="R116" s="2" t="inlineStr">
        <is>
          <t>Anisspindling</t>
        </is>
      </c>
      <c r="S116">
        <f>HYPERLINK("https://klasma.github.io/Logging_0382/artfynd/A 22044-2020 artfynd.xlsx", "A 22044-2020")</f>
        <v/>
      </c>
      <c r="T116">
        <f>HYPERLINK("https://klasma.github.io/Logging_0382/kartor/A 22044-2020 karta.png", "A 22044-2020")</f>
        <v/>
      </c>
      <c r="V116">
        <f>HYPERLINK("https://klasma.github.io/Logging_0382/klagomål/A 22044-2020 FSC-klagomål.docx", "A 22044-2020")</f>
        <v/>
      </c>
      <c r="W116">
        <f>HYPERLINK("https://klasma.github.io/Logging_0382/klagomålsmail/A 22044-2020 FSC-klagomål mail.docx", "A 22044-2020")</f>
        <v/>
      </c>
      <c r="X116">
        <f>HYPERLINK("https://klasma.github.io/Logging_0382/tillsyn/A 22044-2020 tillsynsbegäran.docx", "A 22044-2020")</f>
        <v/>
      </c>
      <c r="Y116">
        <f>HYPERLINK("https://klasma.github.io/Logging_0382/tillsynsmail/A 22044-2020 tillsynsbegäran mail.docx", "A 22044-2020")</f>
        <v/>
      </c>
    </row>
    <row r="117" ht="15" customHeight="1">
      <c r="A117" t="inlineStr">
        <is>
          <t>A 30405-2020</t>
        </is>
      </c>
      <c r="B117" s="1" t="n">
        <v>44007</v>
      </c>
      <c r="C117" s="1" t="n">
        <v>45636</v>
      </c>
      <c r="D117" t="inlineStr">
        <is>
          <t>UPPSALA LÄN</t>
        </is>
      </c>
      <c r="E117" t="inlineStr">
        <is>
          <t>ÖSTHAMMAR</t>
        </is>
      </c>
      <c r="G117" t="n">
        <v>0.6</v>
      </c>
      <c r="H117" t="n">
        <v>0</v>
      </c>
      <c r="I117" t="n">
        <v>0</v>
      </c>
      <c r="J117" t="n">
        <v>0</v>
      </c>
      <c r="K117" t="n">
        <v>1</v>
      </c>
      <c r="L117" t="n">
        <v>0</v>
      </c>
      <c r="M117" t="n">
        <v>0</v>
      </c>
      <c r="N117" t="n">
        <v>0</v>
      </c>
      <c r="O117" t="n">
        <v>1</v>
      </c>
      <c r="P117" t="n">
        <v>1</v>
      </c>
      <c r="Q117" t="n">
        <v>1</v>
      </c>
      <c r="R117" s="2" t="inlineStr">
        <is>
          <t>Gulvit blekspik</t>
        </is>
      </c>
      <c r="S117">
        <f>HYPERLINK("https://klasma.github.io/Logging_0382/artfynd/A 30405-2020 artfynd.xlsx", "A 30405-2020")</f>
        <v/>
      </c>
      <c r="T117">
        <f>HYPERLINK("https://klasma.github.io/Logging_0382/kartor/A 30405-2020 karta.png", "A 30405-2020")</f>
        <v/>
      </c>
      <c r="V117">
        <f>HYPERLINK("https://klasma.github.io/Logging_0382/klagomål/A 30405-2020 FSC-klagomål.docx", "A 30405-2020")</f>
        <v/>
      </c>
      <c r="W117">
        <f>HYPERLINK("https://klasma.github.io/Logging_0382/klagomålsmail/A 30405-2020 FSC-klagomål mail.docx", "A 30405-2020")</f>
        <v/>
      </c>
      <c r="X117">
        <f>HYPERLINK("https://klasma.github.io/Logging_0382/tillsyn/A 30405-2020 tillsynsbegäran.docx", "A 30405-2020")</f>
        <v/>
      </c>
      <c r="Y117">
        <f>HYPERLINK("https://klasma.github.io/Logging_0382/tillsynsmail/A 30405-2020 tillsynsbegäran mail.docx", "A 30405-2020")</f>
        <v/>
      </c>
    </row>
    <row r="118" ht="15" customHeight="1">
      <c r="A118" t="inlineStr">
        <is>
          <t>A 35553-2020</t>
        </is>
      </c>
      <c r="B118" s="1" t="n">
        <v>44043</v>
      </c>
      <c r="C118" s="1" t="n">
        <v>45636</v>
      </c>
      <c r="D118" t="inlineStr">
        <is>
          <t>UPPSALA LÄN</t>
        </is>
      </c>
      <c r="E118" t="inlineStr">
        <is>
          <t>ÖSTHAMMAR</t>
        </is>
      </c>
      <c r="F118" t="inlineStr">
        <is>
          <t>Bergvik skog öst AB</t>
        </is>
      </c>
      <c r="G118" t="n">
        <v>5.8</v>
      </c>
      <c r="H118" t="n">
        <v>1</v>
      </c>
      <c r="I118" t="n">
        <v>0</v>
      </c>
      <c r="J118" t="n">
        <v>0</v>
      </c>
      <c r="K118" t="n">
        <v>0</v>
      </c>
      <c r="L118" t="n">
        <v>0</v>
      </c>
      <c r="M118" t="n">
        <v>0</v>
      </c>
      <c r="N118" t="n">
        <v>0</v>
      </c>
      <c r="O118" t="n">
        <v>0</v>
      </c>
      <c r="P118" t="n">
        <v>0</v>
      </c>
      <c r="Q118" t="n">
        <v>1</v>
      </c>
      <c r="R118" s="2" t="inlineStr">
        <is>
          <t>Tjäder</t>
        </is>
      </c>
      <c r="S118">
        <f>HYPERLINK("https://klasma.github.io/Logging_0382/artfynd/A 35553-2020 artfynd.xlsx", "A 35553-2020")</f>
        <v/>
      </c>
      <c r="T118">
        <f>HYPERLINK("https://klasma.github.io/Logging_0382/kartor/A 35553-2020 karta.png", "A 35553-2020")</f>
        <v/>
      </c>
      <c r="V118">
        <f>HYPERLINK("https://klasma.github.io/Logging_0382/klagomål/A 35553-2020 FSC-klagomål.docx", "A 35553-2020")</f>
        <v/>
      </c>
      <c r="W118">
        <f>HYPERLINK("https://klasma.github.io/Logging_0382/klagomålsmail/A 35553-2020 FSC-klagomål mail.docx", "A 35553-2020")</f>
        <v/>
      </c>
      <c r="X118">
        <f>HYPERLINK("https://klasma.github.io/Logging_0382/tillsyn/A 35553-2020 tillsynsbegäran.docx", "A 35553-2020")</f>
        <v/>
      </c>
      <c r="Y118">
        <f>HYPERLINK("https://klasma.github.io/Logging_0382/tillsynsmail/A 35553-2020 tillsynsbegäran mail.docx", "A 35553-2020")</f>
        <v/>
      </c>
      <c r="Z118">
        <f>HYPERLINK("https://klasma.github.io/Logging_0382/fåglar/A 35553-2020 prioriterade fågelarter.docx", "A 35553-2020")</f>
        <v/>
      </c>
    </row>
    <row r="119" ht="15" customHeight="1">
      <c r="A119" t="inlineStr">
        <is>
          <t>A 61479-2020</t>
        </is>
      </c>
      <c r="B119" s="1" t="n">
        <v>44154</v>
      </c>
      <c r="C119" s="1" t="n">
        <v>45636</v>
      </c>
      <c r="D119" t="inlineStr">
        <is>
          <t>UPPSALA LÄN</t>
        </is>
      </c>
      <c r="E119" t="inlineStr">
        <is>
          <t>ÖSTHAMMAR</t>
        </is>
      </c>
      <c r="G119" t="n">
        <v>2.5</v>
      </c>
      <c r="H119" t="n">
        <v>0</v>
      </c>
      <c r="I119" t="n">
        <v>1</v>
      </c>
      <c r="J119" t="n">
        <v>0</v>
      </c>
      <c r="K119" t="n">
        <v>0</v>
      </c>
      <c r="L119" t="n">
        <v>0</v>
      </c>
      <c r="M119" t="n">
        <v>0</v>
      </c>
      <c r="N119" t="n">
        <v>0</v>
      </c>
      <c r="O119" t="n">
        <v>0</v>
      </c>
      <c r="P119" t="n">
        <v>0</v>
      </c>
      <c r="Q119" t="n">
        <v>1</v>
      </c>
      <c r="R119" s="2" t="inlineStr">
        <is>
          <t>Olivspindling</t>
        </is>
      </c>
      <c r="S119">
        <f>HYPERLINK("https://klasma.github.io/Logging_0382/artfynd/A 61479-2020 artfynd.xlsx", "A 61479-2020")</f>
        <v/>
      </c>
      <c r="T119">
        <f>HYPERLINK("https://klasma.github.io/Logging_0382/kartor/A 61479-2020 karta.png", "A 61479-2020")</f>
        <v/>
      </c>
      <c r="V119">
        <f>HYPERLINK("https://klasma.github.io/Logging_0382/klagomål/A 61479-2020 FSC-klagomål.docx", "A 61479-2020")</f>
        <v/>
      </c>
      <c r="W119">
        <f>HYPERLINK("https://klasma.github.io/Logging_0382/klagomålsmail/A 61479-2020 FSC-klagomål mail.docx", "A 61479-2020")</f>
        <v/>
      </c>
      <c r="X119">
        <f>HYPERLINK("https://klasma.github.io/Logging_0382/tillsyn/A 61479-2020 tillsynsbegäran.docx", "A 61479-2020")</f>
        <v/>
      </c>
      <c r="Y119">
        <f>HYPERLINK("https://klasma.github.io/Logging_0382/tillsynsmail/A 61479-2020 tillsynsbegäran mail.docx", "A 61479-2020")</f>
        <v/>
      </c>
    </row>
    <row r="120" ht="15" customHeight="1">
      <c r="A120" t="inlineStr">
        <is>
          <t>A 31622-2021</t>
        </is>
      </c>
      <c r="B120" s="1" t="n">
        <v>44369</v>
      </c>
      <c r="C120" s="1" t="n">
        <v>45636</v>
      </c>
      <c r="D120" t="inlineStr">
        <is>
          <t>UPPSALA LÄN</t>
        </is>
      </c>
      <c r="E120" t="inlineStr">
        <is>
          <t>ÖSTHAMMAR</t>
        </is>
      </c>
      <c r="G120" t="n">
        <v>12.6</v>
      </c>
      <c r="H120" t="n">
        <v>1</v>
      </c>
      <c r="I120" t="n">
        <v>0</v>
      </c>
      <c r="J120" t="n">
        <v>0</v>
      </c>
      <c r="K120" t="n">
        <v>0</v>
      </c>
      <c r="L120" t="n">
        <v>0</v>
      </c>
      <c r="M120" t="n">
        <v>0</v>
      </c>
      <c r="N120" t="n">
        <v>0</v>
      </c>
      <c r="O120" t="n">
        <v>0</v>
      </c>
      <c r="P120" t="n">
        <v>0</v>
      </c>
      <c r="Q120" t="n">
        <v>1</v>
      </c>
      <c r="R120" s="2" t="inlineStr">
        <is>
          <t>Mattlummer</t>
        </is>
      </c>
      <c r="S120">
        <f>HYPERLINK("https://klasma.github.io/Logging_0382/artfynd/A 31622-2021 artfynd.xlsx", "A 31622-2021")</f>
        <v/>
      </c>
      <c r="T120">
        <f>HYPERLINK("https://klasma.github.io/Logging_0382/kartor/A 31622-2021 karta.png", "A 31622-2021")</f>
        <v/>
      </c>
      <c r="V120">
        <f>HYPERLINK("https://klasma.github.io/Logging_0382/klagomål/A 31622-2021 FSC-klagomål.docx", "A 31622-2021")</f>
        <v/>
      </c>
      <c r="W120">
        <f>HYPERLINK("https://klasma.github.io/Logging_0382/klagomålsmail/A 31622-2021 FSC-klagomål mail.docx", "A 31622-2021")</f>
        <v/>
      </c>
      <c r="X120">
        <f>HYPERLINK("https://klasma.github.io/Logging_0382/tillsyn/A 31622-2021 tillsynsbegäran.docx", "A 31622-2021")</f>
        <v/>
      </c>
      <c r="Y120">
        <f>HYPERLINK("https://klasma.github.io/Logging_0382/tillsynsmail/A 31622-2021 tillsynsbegäran mail.docx", "A 31622-2021")</f>
        <v/>
      </c>
    </row>
    <row r="121" ht="15" customHeight="1">
      <c r="A121" t="inlineStr">
        <is>
          <t>A 46417-2021</t>
        </is>
      </c>
      <c r="B121" s="1" t="n">
        <v>44445</v>
      </c>
      <c r="C121" s="1" t="n">
        <v>45636</v>
      </c>
      <c r="D121" t="inlineStr">
        <is>
          <t>UPPSALA LÄN</t>
        </is>
      </c>
      <c r="E121" t="inlineStr">
        <is>
          <t>ÖSTHAMMAR</t>
        </is>
      </c>
      <c r="F121" t="inlineStr">
        <is>
          <t>Övriga Aktiebolag</t>
        </is>
      </c>
      <c r="G121" t="n">
        <v>9.1</v>
      </c>
      <c r="H121" t="n">
        <v>0</v>
      </c>
      <c r="I121" t="n">
        <v>0</v>
      </c>
      <c r="J121" t="n">
        <v>1</v>
      </c>
      <c r="K121" t="n">
        <v>0</v>
      </c>
      <c r="L121" t="n">
        <v>0</v>
      </c>
      <c r="M121" t="n">
        <v>0</v>
      </c>
      <c r="N121" t="n">
        <v>0</v>
      </c>
      <c r="O121" t="n">
        <v>1</v>
      </c>
      <c r="P121" t="n">
        <v>0</v>
      </c>
      <c r="Q121" t="n">
        <v>1</v>
      </c>
      <c r="R121" s="2" t="inlineStr">
        <is>
          <t>Klasefibbla</t>
        </is>
      </c>
      <c r="S121">
        <f>HYPERLINK("https://klasma.github.io/Logging_0382/artfynd/A 46417-2021 artfynd.xlsx", "A 46417-2021")</f>
        <v/>
      </c>
      <c r="T121">
        <f>HYPERLINK("https://klasma.github.io/Logging_0382/kartor/A 46417-2021 karta.png", "A 46417-2021")</f>
        <v/>
      </c>
      <c r="V121">
        <f>HYPERLINK("https://klasma.github.io/Logging_0382/klagomål/A 46417-2021 FSC-klagomål.docx", "A 46417-2021")</f>
        <v/>
      </c>
      <c r="W121">
        <f>HYPERLINK("https://klasma.github.io/Logging_0382/klagomålsmail/A 46417-2021 FSC-klagomål mail.docx", "A 46417-2021")</f>
        <v/>
      </c>
      <c r="X121">
        <f>HYPERLINK("https://klasma.github.io/Logging_0382/tillsyn/A 46417-2021 tillsynsbegäran.docx", "A 46417-2021")</f>
        <v/>
      </c>
      <c r="Y121">
        <f>HYPERLINK("https://klasma.github.io/Logging_0382/tillsynsmail/A 46417-2021 tillsynsbegäran mail.docx", "A 46417-2021")</f>
        <v/>
      </c>
    </row>
    <row r="122" ht="15" customHeight="1">
      <c r="A122" t="inlineStr">
        <is>
          <t>A 49839-2021</t>
        </is>
      </c>
      <c r="B122" s="1" t="n">
        <v>44455</v>
      </c>
      <c r="C122" s="1" t="n">
        <v>45636</v>
      </c>
      <c r="D122" t="inlineStr">
        <is>
          <t>UPPSALA LÄN</t>
        </is>
      </c>
      <c r="E122" t="inlineStr">
        <is>
          <t>ÖSTHAMMAR</t>
        </is>
      </c>
      <c r="G122" t="n">
        <v>3.6</v>
      </c>
      <c r="H122" t="n">
        <v>0</v>
      </c>
      <c r="I122" t="n">
        <v>0</v>
      </c>
      <c r="J122" t="n">
        <v>0</v>
      </c>
      <c r="K122" t="n">
        <v>1</v>
      </c>
      <c r="L122" t="n">
        <v>0</v>
      </c>
      <c r="M122" t="n">
        <v>0</v>
      </c>
      <c r="N122" t="n">
        <v>0</v>
      </c>
      <c r="O122" t="n">
        <v>1</v>
      </c>
      <c r="P122" t="n">
        <v>1</v>
      </c>
      <c r="Q122" t="n">
        <v>1</v>
      </c>
      <c r="R122" s="2" t="inlineStr">
        <is>
          <t>Violgubbe</t>
        </is>
      </c>
      <c r="S122">
        <f>HYPERLINK("https://klasma.github.io/Logging_0382/artfynd/A 49839-2021 artfynd.xlsx", "A 49839-2021")</f>
        <v/>
      </c>
      <c r="T122">
        <f>HYPERLINK("https://klasma.github.io/Logging_0382/kartor/A 49839-2021 karta.png", "A 49839-2021")</f>
        <v/>
      </c>
      <c r="V122">
        <f>HYPERLINK("https://klasma.github.io/Logging_0382/klagomål/A 49839-2021 FSC-klagomål.docx", "A 49839-2021")</f>
        <v/>
      </c>
      <c r="W122">
        <f>HYPERLINK("https://klasma.github.io/Logging_0382/klagomålsmail/A 49839-2021 FSC-klagomål mail.docx", "A 49839-2021")</f>
        <v/>
      </c>
      <c r="X122">
        <f>HYPERLINK("https://klasma.github.io/Logging_0382/tillsyn/A 49839-2021 tillsynsbegäran.docx", "A 49839-2021")</f>
        <v/>
      </c>
      <c r="Y122">
        <f>HYPERLINK("https://klasma.github.io/Logging_0382/tillsynsmail/A 49839-2021 tillsynsbegäran mail.docx", "A 49839-2021")</f>
        <v/>
      </c>
    </row>
    <row r="123" ht="15" customHeight="1">
      <c r="A123" t="inlineStr">
        <is>
          <t>A 49871-2021</t>
        </is>
      </c>
      <c r="B123" s="1" t="n">
        <v>44455</v>
      </c>
      <c r="C123" s="1" t="n">
        <v>45636</v>
      </c>
      <c r="D123" t="inlineStr">
        <is>
          <t>UPPSALA LÄN</t>
        </is>
      </c>
      <c r="E123" t="inlineStr">
        <is>
          <t>ÖSTHAMMAR</t>
        </is>
      </c>
      <c r="G123" t="n">
        <v>0.5</v>
      </c>
      <c r="H123" t="n">
        <v>0</v>
      </c>
      <c r="I123" t="n">
        <v>1</v>
      </c>
      <c r="J123" t="n">
        <v>0</v>
      </c>
      <c r="K123" t="n">
        <v>0</v>
      </c>
      <c r="L123" t="n">
        <v>0</v>
      </c>
      <c r="M123" t="n">
        <v>0</v>
      </c>
      <c r="N123" t="n">
        <v>0</v>
      </c>
      <c r="O123" t="n">
        <v>0</v>
      </c>
      <c r="P123" t="n">
        <v>0</v>
      </c>
      <c r="Q123" t="n">
        <v>1</v>
      </c>
      <c r="R123" s="2" t="inlineStr">
        <is>
          <t>Anisspindling</t>
        </is>
      </c>
      <c r="S123">
        <f>HYPERLINK("https://klasma.github.io/Logging_0382/artfynd/A 49871-2021 artfynd.xlsx", "A 49871-2021")</f>
        <v/>
      </c>
      <c r="T123">
        <f>HYPERLINK("https://klasma.github.io/Logging_0382/kartor/A 49871-2021 karta.png", "A 49871-2021")</f>
        <v/>
      </c>
      <c r="V123">
        <f>HYPERLINK("https://klasma.github.io/Logging_0382/klagomål/A 49871-2021 FSC-klagomål.docx", "A 49871-2021")</f>
        <v/>
      </c>
      <c r="W123">
        <f>HYPERLINK("https://klasma.github.io/Logging_0382/klagomålsmail/A 49871-2021 FSC-klagomål mail.docx", "A 49871-2021")</f>
        <v/>
      </c>
      <c r="X123">
        <f>HYPERLINK("https://klasma.github.io/Logging_0382/tillsyn/A 49871-2021 tillsynsbegäran.docx", "A 49871-2021")</f>
        <v/>
      </c>
      <c r="Y123">
        <f>HYPERLINK("https://klasma.github.io/Logging_0382/tillsynsmail/A 49871-2021 tillsynsbegäran mail.docx", "A 49871-2021")</f>
        <v/>
      </c>
    </row>
    <row r="124" ht="15" customHeight="1">
      <c r="A124" t="inlineStr">
        <is>
          <t>A 61536-2021</t>
        </is>
      </c>
      <c r="B124" s="1" t="n">
        <v>44501</v>
      </c>
      <c r="C124" s="1" t="n">
        <v>45636</v>
      </c>
      <c r="D124" t="inlineStr">
        <is>
          <t>UPPSALA LÄN</t>
        </is>
      </c>
      <c r="E124" t="inlineStr">
        <is>
          <t>ÖSTHAMMAR</t>
        </is>
      </c>
      <c r="F124" t="inlineStr">
        <is>
          <t>Sveaskog</t>
        </is>
      </c>
      <c r="G124" t="n">
        <v>2.1</v>
      </c>
      <c r="H124" t="n">
        <v>0</v>
      </c>
      <c r="I124" t="n">
        <v>0</v>
      </c>
      <c r="J124" t="n">
        <v>1</v>
      </c>
      <c r="K124" t="n">
        <v>0</v>
      </c>
      <c r="L124" t="n">
        <v>0</v>
      </c>
      <c r="M124" t="n">
        <v>0</v>
      </c>
      <c r="N124" t="n">
        <v>0</v>
      </c>
      <c r="O124" t="n">
        <v>1</v>
      </c>
      <c r="P124" t="n">
        <v>0</v>
      </c>
      <c r="Q124" t="n">
        <v>1</v>
      </c>
      <c r="R124" s="2" t="inlineStr">
        <is>
          <t>Klasefibbla</t>
        </is>
      </c>
      <c r="S124">
        <f>HYPERLINK("https://klasma.github.io/Logging_0382/artfynd/A 61536-2021 artfynd.xlsx", "A 61536-2021")</f>
        <v/>
      </c>
      <c r="T124">
        <f>HYPERLINK("https://klasma.github.io/Logging_0382/kartor/A 61536-2021 karta.png", "A 61536-2021")</f>
        <v/>
      </c>
      <c r="V124">
        <f>HYPERLINK("https://klasma.github.io/Logging_0382/klagomål/A 61536-2021 FSC-klagomål.docx", "A 61536-2021")</f>
        <v/>
      </c>
      <c r="W124">
        <f>HYPERLINK("https://klasma.github.io/Logging_0382/klagomålsmail/A 61536-2021 FSC-klagomål mail.docx", "A 61536-2021")</f>
        <v/>
      </c>
      <c r="X124">
        <f>HYPERLINK("https://klasma.github.io/Logging_0382/tillsyn/A 61536-2021 tillsynsbegäran.docx", "A 61536-2021")</f>
        <v/>
      </c>
      <c r="Y124">
        <f>HYPERLINK("https://klasma.github.io/Logging_0382/tillsynsmail/A 61536-2021 tillsynsbegäran mail.docx", "A 61536-2021")</f>
        <v/>
      </c>
    </row>
    <row r="125" ht="15" customHeight="1">
      <c r="A125" t="inlineStr">
        <is>
          <t>A 61559-2021</t>
        </is>
      </c>
      <c r="B125" s="1" t="n">
        <v>44501</v>
      </c>
      <c r="C125" s="1" t="n">
        <v>45636</v>
      </c>
      <c r="D125" t="inlineStr">
        <is>
          <t>UPPSALA LÄN</t>
        </is>
      </c>
      <c r="E125" t="inlineStr">
        <is>
          <t>ÖSTHAMMAR</t>
        </is>
      </c>
      <c r="F125" t="inlineStr">
        <is>
          <t>Sveaskog</t>
        </is>
      </c>
      <c r="G125" t="n">
        <v>2.3</v>
      </c>
      <c r="H125" t="n">
        <v>0</v>
      </c>
      <c r="I125" t="n">
        <v>0</v>
      </c>
      <c r="J125" t="n">
        <v>1</v>
      </c>
      <c r="K125" t="n">
        <v>0</v>
      </c>
      <c r="L125" t="n">
        <v>0</v>
      </c>
      <c r="M125" t="n">
        <v>0</v>
      </c>
      <c r="N125" t="n">
        <v>0</v>
      </c>
      <c r="O125" t="n">
        <v>1</v>
      </c>
      <c r="P125" t="n">
        <v>0</v>
      </c>
      <c r="Q125" t="n">
        <v>1</v>
      </c>
      <c r="R125" s="2" t="inlineStr">
        <is>
          <t>Backklöver</t>
        </is>
      </c>
      <c r="S125">
        <f>HYPERLINK("https://klasma.github.io/Logging_0382/artfynd/A 61559-2021 artfynd.xlsx", "A 61559-2021")</f>
        <v/>
      </c>
      <c r="T125">
        <f>HYPERLINK("https://klasma.github.io/Logging_0382/kartor/A 61559-2021 karta.png", "A 61559-2021")</f>
        <v/>
      </c>
      <c r="V125">
        <f>HYPERLINK("https://klasma.github.io/Logging_0382/klagomål/A 61559-2021 FSC-klagomål.docx", "A 61559-2021")</f>
        <v/>
      </c>
      <c r="W125">
        <f>HYPERLINK("https://klasma.github.io/Logging_0382/klagomålsmail/A 61559-2021 FSC-klagomål mail.docx", "A 61559-2021")</f>
        <v/>
      </c>
      <c r="X125">
        <f>HYPERLINK("https://klasma.github.io/Logging_0382/tillsyn/A 61559-2021 tillsynsbegäran.docx", "A 61559-2021")</f>
        <v/>
      </c>
      <c r="Y125">
        <f>HYPERLINK("https://klasma.github.io/Logging_0382/tillsynsmail/A 61559-2021 tillsynsbegäran mail.docx", "A 61559-2021")</f>
        <v/>
      </c>
    </row>
    <row r="126" ht="15" customHeight="1">
      <c r="A126" t="inlineStr">
        <is>
          <t>A 63615-2021</t>
        </is>
      </c>
      <c r="B126" s="1" t="n">
        <v>44509</v>
      </c>
      <c r="C126" s="1" t="n">
        <v>45636</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Gul taggsvamp</t>
        </is>
      </c>
      <c r="S126">
        <f>HYPERLINK("https://klasma.github.io/Logging_0382/artfynd/A 63615-2021 artfynd.xlsx", "A 63615-2021")</f>
        <v/>
      </c>
      <c r="T126">
        <f>HYPERLINK("https://klasma.github.io/Logging_0382/kartor/A 63615-2021 karta.png", "A 63615-2021")</f>
        <v/>
      </c>
      <c r="V126">
        <f>HYPERLINK("https://klasma.github.io/Logging_0382/klagomål/A 63615-2021 FSC-klagomål.docx", "A 63615-2021")</f>
        <v/>
      </c>
      <c r="W126">
        <f>HYPERLINK("https://klasma.github.io/Logging_0382/klagomålsmail/A 63615-2021 FSC-klagomål mail.docx", "A 63615-2021")</f>
        <v/>
      </c>
      <c r="X126">
        <f>HYPERLINK("https://klasma.github.io/Logging_0382/tillsyn/A 63615-2021 tillsynsbegäran.docx", "A 63615-2021")</f>
        <v/>
      </c>
      <c r="Y126">
        <f>HYPERLINK("https://klasma.github.io/Logging_0382/tillsynsmail/A 63615-2021 tillsynsbegäran mail.docx", "A 63615-2021")</f>
        <v/>
      </c>
    </row>
    <row r="127" ht="15" customHeight="1">
      <c r="A127" t="inlineStr">
        <is>
          <t>A 64564-2021</t>
        </is>
      </c>
      <c r="B127" s="1" t="n">
        <v>44511</v>
      </c>
      <c r="C127" s="1" t="n">
        <v>45636</v>
      </c>
      <c r="D127" t="inlineStr">
        <is>
          <t>UPPSALA LÄN</t>
        </is>
      </c>
      <c r="E127" t="inlineStr">
        <is>
          <t>ÖSTHAMMAR</t>
        </is>
      </c>
      <c r="G127" t="n">
        <v>7.2</v>
      </c>
      <c r="H127" t="n">
        <v>0</v>
      </c>
      <c r="I127" t="n">
        <v>0</v>
      </c>
      <c r="J127" t="n">
        <v>0</v>
      </c>
      <c r="K127" t="n">
        <v>1</v>
      </c>
      <c r="L127" t="n">
        <v>0</v>
      </c>
      <c r="M127" t="n">
        <v>0</v>
      </c>
      <c r="N127" t="n">
        <v>0</v>
      </c>
      <c r="O127" t="n">
        <v>1</v>
      </c>
      <c r="P127" t="n">
        <v>1</v>
      </c>
      <c r="Q127" t="n">
        <v>1</v>
      </c>
      <c r="R127" s="2" t="inlineStr">
        <is>
          <t>Violgubbe</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row>
    <row r="128" ht="15" customHeight="1">
      <c r="A128" t="inlineStr">
        <is>
          <t>A 65989-2021</t>
        </is>
      </c>
      <c r="B128" s="1" t="n">
        <v>44517</v>
      </c>
      <c r="C128" s="1" t="n">
        <v>45636</v>
      </c>
      <c r="D128" t="inlineStr">
        <is>
          <t>UPPSALA LÄN</t>
        </is>
      </c>
      <c r="E128" t="inlineStr">
        <is>
          <t>ÖSTHAMMAR</t>
        </is>
      </c>
      <c r="G128" t="n">
        <v>6.9</v>
      </c>
      <c r="H128" t="n">
        <v>1</v>
      </c>
      <c r="I128" t="n">
        <v>1</v>
      </c>
      <c r="J128" t="n">
        <v>0</v>
      </c>
      <c r="K128" t="n">
        <v>0</v>
      </c>
      <c r="L128" t="n">
        <v>0</v>
      </c>
      <c r="M128" t="n">
        <v>0</v>
      </c>
      <c r="N128" t="n">
        <v>0</v>
      </c>
      <c r="O128" t="n">
        <v>0</v>
      </c>
      <c r="P128" t="n">
        <v>0</v>
      </c>
      <c r="Q128" t="n">
        <v>1</v>
      </c>
      <c r="R128" s="2" t="inlineStr">
        <is>
          <t>Skogsknipprot</t>
        </is>
      </c>
      <c r="S128">
        <f>HYPERLINK("https://klasma.github.io/Logging_0382/artfynd/A 65989-2021 artfynd.xlsx", "A 65989-2021")</f>
        <v/>
      </c>
      <c r="T128">
        <f>HYPERLINK("https://klasma.github.io/Logging_0382/kartor/A 65989-2021 karta.png", "A 65989-2021")</f>
        <v/>
      </c>
      <c r="V128">
        <f>HYPERLINK("https://klasma.github.io/Logging_0382/klagomål/A 65989-2021 FSC-klagomål.docx", "A 65989-2021")</f>
        <v/>
      </c>
      <c r="W128">
        <f>HYPERLINK("https://klasma.github.io/Logging_0382/klagomålsmail/A 65989-2021 FSC-klagomål mail.docx", "A 65989-2021")</f>
        <v/>
      </c>
      <c r="X128">
        <f>HYPERLINK("https://klasma.github.io/Logging_0382/tillsyn/A 65989-2021 tillsynsbegäran.docx", "A 65989-2021")</f>
        <v/>
      </c>
      <c r="Y128">
        <f>HYPERLINK("https://klasma.github.io/Logging_0382/tillsynsmail/A 65989-2021 tillsynsbegäran mail.docx", "A 65989-2021")</f>
        <v/>
      </c>
    </row>
    <row r="129" ht="15" customHeight="1">
      <c r="A129" t="inlineStr">
        <is>
          <t>A 70495-2021</t>
        </is>
      </c>
      <c r="B129" s="1" t="n">
        <v>44536</v>
      </c>
      <c r="C129" s="1" t="n">
        <v>45636</v>
      </c>
      <c r="D129" t="inlineStr">
        <is>
          <t>UPPSALA LÄN</t>
        </is>
      </c>
      <c r="E129" t="inlineStr">
        <is>
          <t>ÖSTHAMMAR</t>
        </is>
      </c>
      <c r="G129" t="n">
        <v>1</v>
      </c>
      <c r="H129" t="n">
        <v>1</v>
      </c>
      <c r="I129" t="n">
        <v>0</v>
      </c>
      <c r="J129" t="n">
        <v>1</v>
      </c>
      <c r="K129" t="n">
        <v>0</v>
      </c>
      <c r="L129" t="n">
        <v>0</v>
      </c>
      <c r="M129" t="n">
        <v>0</v>
      </c>
      <c r="N129" t="n">
        <v>0</v>
      </c>
      <c r="O129" t="n">
        <v>1</v>
      </c>
      <c r="P129" t="n">
        <v>0</v>
      </c>
      <c r="Q129" t="n">
        <v>1</v>
      </c>
      <c r="R129" s="2" t="inlineStr">
        <is>
          <t>Slaguggla</t>
        </is>
      </c>
      <c r="S129">
        <f>HYPERLINK("https://klasma.github.io/Logging_0382/artfynd/A 70495-2021 artfynd.xlsx", "A 70495-2021")</f>
        <v/>
      </c>
      <c r="T129">
        <f>HYPERLINK("https://klasma.github.io/Logging_0382/kartor/A 70495-2021 karta.png", "A 70495-2021")</f>
        <v/>
      </c>
      <c r="V129">
        <f>HYPERLINK("https://klasma.github.io/Logging_0382/klagomål/A 70495-2021 FSC-klagomål.docx", "A 70495-2021")</f>
        <v/>
      </c>
      <c r="W129">
        <f>HYPERLINK("https://klasma.github.io/Logging_0382/klagomålsmail/A 70495-2021 FSC-klagomål mail.docx", "A 70495-2021")</f>
        <v/>
      </c>
      <c r="X129">
        <f>HYPERLINK("https://klasma.github.io/Logging_0382/tillsyn/A 70495-2021 tillsynsbegäran.docx", "A 70495-2021")</f>
        <v/>
      </c>
      <c r="Y129">
        <f>HYPERLINK("https://klasma.github.io/Logging_0382/tillsynsmail/A 70495-2021 tillsynsbegäran mail.docx", "A 70495-2021")</f>
        <v/>
      </c>
      <c r="Z129">
        <f>HYPERLINK("https://klasma.github.io/Logging_0382/fåglar/A 70495-2021 prioriterade fågelarter.docx", "A 70495-2021")</f>
        <v/>
      </c>
    </row>
    <row r="130" ht="15" customHeight="1">
      <c r="A130" t="inlineStr">
        <is>
          <t>A 938-2022</t>
        </is>
      </c>
      <c r="B130" s="1" t="n">
        <v>44571</v>
      </c>
      <c r="C130" s="1" t="n">
        <v>45636</v>
      </c>
      <c r="D130" t="inlineStr">
        <is>
          <t>UPPSALA LÄN</t>
        </is>
      </c>
      <c r="E130" t="inlineStr">
        <is>
          <t>ÖSTHAMMAR</t>
        </is>
      </c>
      <c r="G130" t="n">
        <v>3.2</v>
      </c>
      <c r="H130" t="n">
        <v>0</v>
      </c>
      <c r="I130" t="n">
        <v>0</v>
      </c>
      <c r="J130" t="n">
        <v>1</v>
      </c>
      <c r="K130" t="n">
        <v>0</v>
      </c>
      <c r="L130" t="n">
        <v>0</v>
      </c>
      <c r="M130" t="n">
        <v>0</v>
      </c>
      <c r="N130" t="n">
        <v>0</v>
      </c>
      <c r="O130" t="n">
        <v>1</v>
      </c>
      <c r="P130" t="n">
        <v>0</v>
      </c>
      <c r="Q130" t="n">
        <v>1</v>
      </c>
      <c r="R130" s="2" t="inlineStr">
        <is>
          <t>Vedtrappmossa</t>
        </is>
      </c>
      <c r="S130">
        <f>HYPERLINK("https://klasma.github.io/Logging_0382/artfynd/A 938-2022 artfynd.xlsx", "A 938-2022")</f>
        <v/>
      </c>
      <c r="T130">
        <f>HYPERLINK("https://klasma.github.io/Logging_0382/kartor/A 938-2022 karta.png", "A 938-2022")</f>
        <v/>
      </c>
      <c r="V130">
        <f>HYPERLINK("https://klasma.github.io/Logging_0382/klagomål/A 938-2022 FSC-klagomål.docx", "A 938-2022")</f>
        <v/>
      </c>
      <c r="W130">
        <f>HYPERLINK("https://klasma.github.io/Logging_0382/klagomålsmail/A 938-2022 FSC-klagomål mail.docx", "A 938-2022")</f>
        <v/>
      </c>
      <c r="X130">
        <f>HYPERLINK("https://klasma.github.io/Logging_0382/tillsyn/A 938-2022 tillsynsbegäran.docx", "A 938-2022")</f>
        <v/>
      </c>
      <c r="Y130">
        <f>HYPERLINK("https://klasma.github.io/Logging_0382/tillsynsmail/A 938-2022 tillsynsbegäran mail.docx", "A 938-2022")</f>
        <v/>
      </c>
    </row>
    <row r="131" ht="15" customHeight="1">
      <c r="A131" t="inlineStr">
        <is>
          <t>A 1227-2022</t>
        </is>
      </c>
      <c r="B131" s="1" t="n">
        <v>44572</v>
      </c>
      <c r="C131" s="1" t="n">
        <v>45636</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7446-2022</t>
        </is>
      </c>
      <c r="B132" s="1" t="n">
        <v>44606</v>
      </c>
      <c r="C132" s="1" t="n">
        <v>45636</v>
      </c>
      <c r="D132" t="inlineStr">
        <is>
          <t>UPPSALA LÄN</t>
        </is>
      </c>
      <c r="E132" t="inlineStr">
        <is>
          <t>ÖSTHAMMAR</t>
        </is>
      </c>
      <c r="G132" t="n">
        <v>5</v>
      </c>
      <c r="H132" t="n">
        <v>1</v>
      </c>
      <c r="I132" t="n">
        <v>0</v>
      </c>
      <c r="J132" t="n">
        <v>0</v>
      </c>
      <c r="K132" t="n">
        <v>0</v>
      </c>
      <c r="L132" t="n">
        <v>0</v>
      </c>
      <c r="M132" t="n">
        <v>0</v>
      </c>
      <c r="N132" t="n">
        <v>0</v>
      </c>
      <c r="O132" t="n">
        <v>0</v>
      </c>
      <c r="P132" t="n">
        <v>0</v>
      </c>
      <c r="Q132" t="n">
        <v>1</v>
      </c>
      <c r="R132" s="2" t="inlineStr">
        <is>
          <t>Mattlummer</t>
        </is>
      </c>
      <c r="S132">
        <f>HYPERLINK("https://klasma.github.io/Logging_0382/artfynd/A 7446-2022 artfynd.xlsx", "A 7446-2022")</f>
        <v/>
      </c>
      <c r="T132">
        <f>HYPERLINK("https://klasma.github.io/Logging_0382/kartor/A 7446-2022 karta.png", "A 7446-2022")</f>
        <v/>
      </c>
      <c r="V132">
        <f>HYPERLINK("https://klasma.github.io/Logging_0382/klagomål/A 7446-2022 FSC-klagomål.docx", "A 7446-2022")</f>
        <v/>
      </c>
      <c r="W132">
        <f>HYPERLINK("https://klasma.github.io/Logging_0382/klagomålsmail/A 7446-2022 FSC-klagomål mail.docx", "A 7446-2022")</f>
        <v/>
      </c>
      <c r="X132">
        <f>HYPERLINK("https://klasma.github.io/Logging_0382/tillsyn/A 7446-2022 tillsynsbegäran.docx", "A 7446-2022")</f>
        <v/>
      </c>
      <c r="Y132">
        <f>HYPERLINK("https://klasma.github.io/Logging_0382/tillsynsmail/A 7446-2022 tillsynsbegäran mail.docx", "A 7446-2022")</f>
        <v/>
      </c>
    </row>
    <row r="133" ht="15" customHeight="1">
      <c r="A133" t="inlineStr">
        <is>
          <t>A 7470-2022</t>
        </is>
      </c>
      <c r="B133" s="1" t="n">
        <v>44607</v>
      </c>
      <c r="C133" s="1" t="n">
        <v>45636</v>
      </c>
      <c r="D133" t="inlineStr">
        <is>
          <t>UPPSALA LÄN</t>
        </is>
      </c>
      <c r="E133" t="inlineStr">
        <is>
          <t>ÖSTHAMMAR</t>
        </is>
      </c>
      <c r="G133" t="n">
        <v>2.6</v>
      </c>
      <c r="H133" t="n">
        <v>1</v>
      </c>
      <c r="I133" t="n">
        <v>1</v>
      </c>
      <c r="J133" t="n">
        <v>0</v>
      </c>
      <c r="K133" t="n">
        <v>0</v>
      </c>
      <c r="L133" t="n">
        <v>0</v>
      </c>
      <c r="M133" t="n">
        <v>0</v>
      </c>
      <c r="N133" t="n">
        <v>0</v>
      </c>
      <c r="O133" t="n">
        <v>0</v>
      </c>
      <c r="P133" t="n">
        <v>0</v>
      </c>
      <c r="Q133" t="n">
        <v>1</v>
      </c>
      <c r="R133" s="2" t="inlineStr">
        <is>
          <t>Grön sköldmossa</t>
        </is>
      </c>
      <c r="S133">
        <f>HYPERLINK("https://klasma.github.io/Logging_0382/artfynd/A 7470-2022 artfynd.xlsx", "A 7470-2022")</f>
        <v/>
      </c>
      <c r="T133">
        <f>HYPERLINK("https://klasma.github.io/Logging_0382/kartor/A 7470-2022 karta.png", "A 7470-2022")</f>
        <v/>
      </c>
      <c r="V133">
        <f>HYPERLINK("https://klasma.github.io/Logging_0382/klagomål/A 7470-2022 FSC-klagomål.docx", "A 7470-2022")</f>
        <v/>
      </c>
      <c r="W133">
        <f>HYPERLINK("https://klasma.github.io/Logging_0382/klagomålsmail/A 7470-2022 FSC-klagomål mail.docx", "A 7470-2022")</f>
        <v/>
      </c>
      <c r="X133">
        <f>HYPERLINK("https://klasma.github.io/Logging_0382/tillsyn/A 7470-2022 tillsynsbegäran.docx", "A 7470-2022")</f>
        <v/>
      </c>
      <c r="Y133">
        <f>HYPERLINK("https://klasma.github.io/Logging_0382/tillsynsmail/A 7470-2022 tillsynsbegäran mail.docx", "A 7470-2022")</f>
        <v/>
      </c>
    </row>
    <row r="134" ht="15" customHeight="1">
      <c r="A134" t="inlineStr">
        <is>
          <t>A 22209-2022</t>
        </is>
      </c>
      <c r="B134" s="1" t="n">
        <v>44712</v>
      </c>
      <c r="C134" s="1" t="n">
        <v>45636</v>
      </c>
      <c r="D134" t="inlineStr">
        <is>
          <t>UPPSALA LÄN</t>
        </is>
      </c>
      <c r="E134" t="inlineStr">
        <is>
          <t>ÖSTHAMMAR</t>
        </is>
      </c>
      <c r="F134" t="inlineStr">
        <is>
          <t>Bergvik skog öst AB</t>
        </is>
      </c>
      <c r="G134" t="n">
        <v>1.5</v>
      </c>
      <c r="H134" t="n">
        <v>1</v>
      </c>
      <c r="I134" t="n">
        <v>0</v>
      </c>
      <c r="J134" t="n">
        <v>0</v>
      </c>
      <c r="K134" t="n">
        <v>0</v>
      </c>
      <c r="L134" t="n">
        <v>0</v>
      </c>
      <c r="M134" t="n">
        <v>0</v>
      </c>
      <c r="N134" t="n">
        <v>0</v>
      </c>
      <c r="O134" t="n">
        <v>0</v>
      </c>
      <c r="P134" t="n">
        <v>0</v>
      </c>
      <c r="Q134" t="n">
        <v>1</v>
      </c>
      <c r="R134" s="2" t="inlineStr">
        <is>
          <t>Blåsippa</t>
        </is>
      </c>
      <c r="S134">
        <f>HYPERLINK("https://klasma.github.io/Logging_0382/artfynd/A 22209-2022 artfynd.xlsx", "A 22209-2022")</f>
        <v/>
      </c>
      <c r="T134">
        <f>HYPERLINK("https://klasma.github.io/Logging_0382/kartor/A 22209-2022 karta.png", "A 22209-2022")</f>
        <v/>
      </c>
      <c r="V134">
        <f>HYPERLINK("https://klasma.github.io/Logging_0382/klagomål/A 22209-2022 FSC-klagomål.docx", "A 22209-2022")</f>
        <v/>
      </c>
      <c r="W134">
        <f>HYPERLINK("https://klasma.github.io/Logging_0382/klagomålsmail/A 22209-2022 FSC-klagomål mail.docx", "A 22209-2022")</f>
        <v/>
      </c>
      <c r="X134">
        <f>HYPERLINK("https://klasma.github.io/Logging_0382/tillsyn/A 22209-2022 tillsynsbegäran.docx", "A 22209-2022")</f>
        <v/>
      </c>
      <c r="Y134">
        <f>HYPERLINK("https://klasma.github.io/Logging_0382/tillsynsmail/A 22209-2022 tillsynsbegäran mail.docx", "A 22209-2022")</f>
        <v/>
      </c>
    </row>
    <row r="135" ht="15" customHeight="1">
      <c r="A135" t="inlineStr">
        <is>
          <t>A 24797-2022</t>
        </is>
      </c>
      <c r="B135" s="1" t="n">
        <v>44728</v>
      </c>
      <c r="C135" s="1" t="n">
        <v>45636</v>
      </c>
      <c r="D135" t="inlineStr">
        <is>
          <t>UPPSALA LÄN</t>
        </is>
      </c>
      <c r="E135" t="inlineStr">
        <is>
          <t>ÖSTHAMMAR</t>
        </is>
      </c>
      <c r="F135" t="inlineStr">
        <is>
          <t>Sveaskog</t>
        </is>
      </c>
      <c r="G135" t="n">
        <v>1.7</v>
      </c>
      <c r="H135" t="n">
        <v>1</v>
      </c>
      <c r="I135" t="n">
        <v>0</v>
      </c>
      <c r="J135" t="n">
        <v>1</v>
      </c>
      <c r="K135" t="n">
        <v>0</v>
      </c>
      <c r="L135" t="n">
        <v>0</v>
      </c>
      <c r="M135" t="n">
        <v>0</v>
      </c>
      <c r="N135" t="n">
        <v>0</v>
      </c>
      <c r="O135" t="n">
        <v>1</v>
      </c>
      <c r="P135" t="n">
        <v>0</v>
      </c>
      <c r="Q135" t="n">
        <v>1</v>
      </c>
      <c r="R135" s="2" t="inlineStr">
        <is>
          <t>Gulsparv</t>
        </is>
      </c>
      <c r="S135">
        <f>HYPERLINK("https://klasma.github.io/Logging_0382/artfynd/A 24797-2022 artfynd.xlsx", "A 24797-2022")</f>
        <v/>
      </c>
      <c r="T135">
        <f>HYPERLINK("https://klasma.github.io/Logging_0382/kartor/A 24797-2022 karta.png", "A 24797-2022")</f>
        <v/>
      </c>
      <c r="V135">
        <f>HYPERLINK("https://klasma.github.io/Logging_0382/klagomål/A 24797-2022 FSC-klagomål.docx", "A 24797-2022")</f>
        <v/>
      </c>
      <c r="W135">
        <f>HYPERLINK("https://klasma.github.io/Logging_0382/klagomålsmail/A 24797-2022 FSC-klagomål mail.docx", "A 24797-2022")</f>
        <v/>
      </c>
      <c r="X135">
        <f>HYPERLINK("https://klasma.github.io/Logging_0382/tillsyn/A 24797-2022 tillsynsbegäran.docx", "A 24797-2022")</f>
        <v/>
      </c>
      <c r="Y135">
        <f>HYPERLINK("https://klasma.github.io/Logging_0382/tillsynsmail/A 24797-2022 tillsynsbegäran mail.docx", "A 24797-2022")</f>
        <v/>
      </c>
      <c r="Z135">
        <f>HYPERLINK("https://klasma.github.io/Logging_0382/fåglar/A 24797-2022 prioriterade fågelarter.docx", "A 24797-2022")</f>
        <v/>
      </c>
    </row>
    <row r="136" ht="15" customHeight="1">
      <c r="A136" t="inlineStr">
        <is>
          <t>A 27451-2022</t>
        </is>
      </c>
      <c r="B136" s="1" t="n">
        <v>44742</v>
      </c>
      <c r="C136" s="1" t="n">
        <v>45636</v>
      </c>
      <c r="D136" t="inlineStr">
        <is>
          <t>UPPSALA LÄN</t>
        </is>
      </c>
      <c r="E136" t="inlineStr">
        <is>
          <t>ÖSTHAMMAR</t>
        </is>
      </c>
      <c r="G136" t="n">
        <v>6.4</v>
      </c>
      <c r="H136" t="n">
        <v>0</v>
      </c>
      <c r="I136" t="n">
        <v>0</v>
      </c>
      <c r="J136" t="n">
        <v>1</v>
      </c>
      <c r="K136" t="n">
        <v>0</v>
      </c>
      <c r="L136" t="n">
        <v>0</v>
      </c>
      <c r="M136" t="n">
        <v>0</v>
      </c>
      <c r="N136" t="n">
        <v>0</v>
      </c>
      <c r="O136" t="n">
        <v>1</v>
      </c>
      <c r="P136" t="n">
        <v>0</v>
      </c>
      <c r="Q136" t="n">
        <v>1</v>
      </c>
      <c r="R136" s="2" t="inlineStr">
        <is>
          <t>Skogsklocka</t>
        </is>
      </c>
      <c r="S136">
        <f>HYPERLINK("https://klasma.github.io/Logging_0382/artfynd/A 27451-2022 artfynd.xlsx", "A 27451-2022")</f>
        <v/>
      </c>
      <c r="T136">
        <f>HYPERLINK("https://klasma.github.io/Logging_0382/kartor/A 27451-2022 karta.png", "A 27451-2022")</f>
        <v/>
      </c>
      <c r="V136">
        <f>HYPERLINK("https://klasma.github.io/Logging_0382/klagomål/A 27451-2022 FSC-klagomål.docx", "A 27451-2022")</f>
        <v/>
      </c>
      <c r="W136">
        <f>HYPERLINK("https://klasma.github.io/Logging_0382/klagomålsmail/A 27451-2022 FSC-klagomål mail.docx", "A 27451-2022")</f>
        <v/>
      </c>
      <c r="X136">
        <f>HYPERLINK("https://klasma.github.io/Logging_0382/tillsyn/A 27451-2022 tillsynsbegäran.docx", "A 27451-2022")</f>
        <v/>
      </c>
      <c r="Y136">
        <f>HYPERLINK("https://klasma.github.io/Logging_0382/tillsynsmail/A 27451-2022 tillsynsbegäran mail.docx", "A 27451-2022")</f>
        <v/>
      </c>
    </row>
    <row r="137" ht="15" customHeight="1">
      <c r="A137" t="inlineStr">
        <is>
          <t>A 34974-2022</t>
        </is>
      </c>
      <c r="B137" s="1" t="n">
        <v>44796</v>
      </c>
      <c r="C137" s="1" t="n">
        <v>45636</v>
      </c>
      <c r="D137" t="inlineStr">
        <is>
          <t>UPPSALA LÄN</t>
        </is>
      </c>
      <c r="E137" t="inlineStr">
        <is>
          <t>ÖSTHAMMAR</t>
        </is>
      </c>
      <c r="F137" t="inlineStr">
        <is>
          <t>Bergvik skog öst AB</t>
        </is>
      </c>
      <c r="G137" t="n">
        <v>19.4</v>
      </c>
      <c r="H137" t="n">
        <v>1</v>
      </c>
      <c r="I137" t="n">
        <v>0</v>
      </c>
      <c r="J137" t="n">
        <v>0</v>
      </c>
      <c r="K137" t="n">
        <v>0</v>
      </c>
      <c r="L137" t="n">
        <v>0</v>
      </c>
      <c r="M137" t="n">
        <v>0</v>
      </c>
      <c r="N137" t="n">
        <v>0</v>
      </c>
      <c r="O137" t="n">
        <v>0</v>
      </c>
      <c r="P137" t="n">
        <v>0</v>
      </c>
      <c r="Q137" t="n">
        <v>1</v>
      </c>
      <c r="R137" s="2" t="inlineStr">
        <is>
          <t>Kopparödla</t>
        </is>
      </c>
      <c r="S137">
        <f>HYPERLINK("https://klasma.github.io/Logging_0382/artfynd/A 34974-2022 artfynd.xlsx", "A 34974-2022")</f>
        <v/>
      </c>
      <c r="T137">
        <f>HYPERLINK("https://klasma.github.io/Logging_0382/kartor/A 34974-2022 karta.png", "A 34974-2022")</f>
        <v/>
      </c>
      <c r="V137">
        <f>HYPERLINK("https://klasma.github.io/Logging_0382/klagomål/A 34974-2022 FSC-klagomål.docx", "A 34974-2022")</f>
        <v/>
      </c>
      <c r="W137">
        <f>HYPERLINK("https://klasma.github.io/Logging_0382/klagomålsmail/A 34974-2022 FSC-klagomål mail.docx", "A 34974-2022")</f>
        <v/>
      </c>
      <c r="X137">
        <f>HYPERLINK("https://klasma.github.io/Logging_0382/tillsyn/A 34974-2022 tillsynsbegäran.docx", "A 34974-2022")</f>
        <v/>
      </c>
      <c r="Y137">
        <f>HYPERLINK("https://klasma.github.io/Logging_0382/tillsynsmail/A 34974-2022 tillsynsbegäran mail.docx", "A 34974-2022")</f>
        <v/>
      </c>
    </row>
    <row r="138" ht="15" customHeight="1">
      <c r="A138" t="inlineStr">
        <is>
          <t>A 38442-2022</t>
        </is>
      </c>
      <c r="B138" s="1" t="n">
        <v>44813</v>
      </c>
      <c r="C138" s="1" t="n">
        <v>45636</v>
      </c>
      <c r="D138" t="inlineStr">
        <is>
          <t>UPPSALA LÄN</t>
        </is>
      </c>
      <c r="E138" t="inlineStr">
        <is>
          <t>ÖSTHAMMAR</t>
        </is>
      </c>
      <c r="F138" t="inlineStr">
        <is>
          <t>Kyrkan</t>
        </is>
      </c>
      <c r="G138" t="n">
        <v>2.9</v>
      </c>
      <c r="H138" t="n">
        <v>0</v>
      </c>
      <c r="I138" t="n">
        <v>0</v>
      </c>
      <c r="J138" t="n">
        <v>1</v>
      </c>
      <c r="K138" t="n">
        <v>0</v>
      </c>
      <c r="L138" t="n">
        <v>0</v>
      </c>
      <c r="M138" t="n">
        <v>0</v>
      </c>
      <c r="N138" t="n">
        <v>0</v>
      </c>
      <c r="O138" t="n">
        <v>1</v>
      </c>
      <c r="P138" t="n">
        <v>0</v>
      </c>
      <c r="Q138" t="n">
        <v>1</v>
      </c>
      <c r="R138" s="2" t="inlineStr">
        <is>
          <t>Slåtterfibbla</t>
        </is>
      </c>
      <c r="S138">
        <f>HYPERLINK("https://klasma.github.io/Logging_0382/artfynd/A 38442-2022 artfynd.xlsx", "A 38442-2022")</f>
        <v/>
      </c>
      <c r="T138">
        <f>HYPERLINK("https://klasma.github.io/Logging_0382/kartor/A 38442-2022 karta.png", "A 38442-2022")</f>
        <v/>
      </c>
      <c r="V138">
        <f>HYPERLINK("https://klasma.github.io/Logging_0382/klagomål/A 38442-2022 FSC-klagomål.docx", "A 38442-2022")</f>
        <v/>
      </c>
      <c r="W138">
        <f>HYPERLINK("https://klasma.github.io/Logging_0382/klagomålsmail/A 38442-2022 FSC-klagomål mail.docx", "A 38442-2022")</f>
        <v/>
      </c>
      <c r="X138">
        <f>HYPERLINK("https://klasma.github.io/Logging_0382/tillsyn/A 38442-2022 tillsynsbegäran.docx", "A 38442-2022")</f>
        <v/>
      </c>
      <c r="Y138">
        <f>HYPERLINK("https://klasma.github.io/Logging_0382/tillsynsmail/A 38442-2022 tillsynsbegäran mail.docx", "A 38442-2022")</f>
        <v/>
      </c>
    </row>
    <row r="139" ht="15" customHeight="1">
      <c r="A139" t="inlineStr">
        <is>
          <t>A 52648-2022</t>
        </is>
      </c>
      <c r="B139" s="1" t="n">
        <v>44874</v>
      </c>
      <c r="C139" s="1" t="n">
        <v>45636</v>
      </c>
      <c r="D139" t="inlineStr">
        <is>
          <t>UPPSALA LÄN</t>
        </is>
      </c>
      <c r="E139" t="inlineStr">
        <is>
          <t>ÖSTHAMMAR</t>
        </is>
      </c>
      <c r="F139" t="inlineStr">
        <is>
          <t>Bergvik skog öst AB</t>
        </is>
      </c>
      <c r="G139" t="n">
        <v>2.3</v>
      </c>
      <c r="H139" t="n">
        <v>1</v>
      </c>
      <c r="I139" t="n">
        <v>0</v>
      </c>
      <c r="J139" t="n">
        <v>1</v>
      </c>
      <c r="K139" t="n">
        <v>0</v>
      </c>
      <c r="L139" t="n">
        <v>0</v>
      </c>
      <c r="M139" t="n">
        <v>0</v>
      </c>
      <c r="N139" t="n">
        <v>0</v>
      </c>
      <c r="O139" t="n">
        <v>1</v>
      </c>
      <c r="P139" t="n">
        <v>0</v>
      </c>
      <c r="Q139" t="n">
        <v>1</v>
      </c>
      <c r="R139" s="2" t="inlineStr">
        <is>
          <t>Buskskvätta</t>
        </is>
      </c>
      <c r="S139">
        <f>HYPERLINK("https://klasma.github.io/Logging_0382/artfynd/A 52648-2022 artfynd.xlsx", "A 52648-2022")</f>
        <v/>
      </c>
      <c r="T139">
        <f>HYPERLINK("https://klasma.github.io/Logging_0382/kartor/A 52648-2022 karta.png", "A 52648-2022")</f>
        <v/>
      </c>
      <c r="V139">
        <f>HYPERLINK("https://klasma.github.io/Logging_0382/klagomål/A 52648-2022 FSC-klagomål.docx", "A 52648-2022")</f>
        <v/>
      </c>
      <c r="W139">
        <f>HYPERLINK("https://klasma.github.io/Logging_0382/klagomålsmail/A 52648-2022 FSC-klagomål mail.docx", "A 52648-2022")</f>
        <v/>
      </c>
      <c r="X139">
        <f>HYPERLINK("https://klasma.github.io/Logging_0382/tillsyn/A 52648-2022 tillsynsbegäran.docx", "A 52648-2022")</f>
        <v/>
      </c>
      <c r="Y139">
        <f>HYPERLINK("https://klasma.github.io/Logging_0382/tillsynsmail/A 52648-2022 tillsynsbegäran mail.docx", "A 52648-2022")</f>
        <v/>
      </c>
      <c r="Z139">
        <f>HYPERLINK("https://klasma.github.io/Logging_0382/fåglar/A 52648-2022 prioriterade fågelarter.docx", "A 52648-2022")</f>
        <v/>
      </c>
    </row>
    <row r="140" ht="15" customHeight="1">
      <c r="A140" t="inlineStr">
        <is>
          <t>A 52651-2022</t>
        </is>
      </c>
      <c r="B140" s="1" t="n">
        <v>44874</v>
      </c>
      <c r="C140" s="1" t="n">
        <v>45636</v>
      </c>
      <c r="D140" t="inlineStr">
        <is>
          <t>UPPSALA LÄN</t>
        </is>
      </c>
      <c r="E140" t="inlineStr">
        <is>
          <t>ÖSTHAMMAR</t>
        </is>
      </c>
      <c r="F140" t="inlineStr">
        <is>
          <t>Bergvik skog öst AB</t>
        </is>
      </c>
      <c r="G140" t="n">
        <v>0.6</v>
      </c>
      <c r="H140" t="n">
        <v>1</v>
      </c>
      <c r="I140" t="n">
        <v>0</v>
      </c>
      <c r="J140" t="n">
        <v>1</v>
      </c>
      <c r="K140" t="n">
        <v>0</v>
      </c>
      <c r="L140" t="n">
        <v>0</v>
      </c>
      <c r="M140" t="n">
        <v>0</v>
      </c>
      <c r="N140" t="n">
        <v>0</v>
      </c>
      <c r="O140" t="n">
        <v>1</v>
      </c>
      <c r="P140" t="n">
        <v>0</v>
      </c>
      <c r="Q140" t="n">
        <v>1</v>
      </c>
      <c r="R140" s="2" t="inlineStr">
        <is>
          <t>Svartvit flugsnappare</t>
        </is>
      </c>
      <c r="S140">
        <f>HYPERLINK("https://klasma.github.io/Logging_0382/artfynd/A 52651-2022 artfynd.xlsx", "A 52651-2022")</f>
        <v/>
      </c>
      <c r="T140">
        <f>HYPERLINK("https://klasma.github.io/Logging_0382/kartor/A 52651-2022 karta.png", "A 52651-2022")</f>
        <v/>
      </c>
      <c r="V140">
        <f>HYPERLINK("https://klasma.github.io/Logging_0382/klagomål/A 52651-2022 FSC-klagomål.docx", "A 52651-2022")</f>
        <v/>
      </c>
      <c r="W140">
        <f>HYPERLINK("https://klasma.github.io/Logging_0382/klagomålsmail/A 52651-2022 FSC-klagomål mail.docx", "A 52651-2022")</f>
        <v/>
      </c>
      <c r="X140">
        <f>HYPERLINK("https://klasma.github.io/Logging_0382/tillsyn/A 52651-2022 tillsynsbegäran.docx", "A 52651-2022")</f>
        <v/>
      </c>
      <c r="Y140">
        <f>HYPERLINK("https://klasma.github.io/Logging_0382/tillsynsmail/A 52651-2022 tillsynsbegäran mail.docx", "A 52651-2022")</f>
        <v/>
      </c>
      <c r="Z140">
        <f>HYPERLINK("https://klasma.github.io/Logging_0382/fåglar/A 52651-2022 prioriterade fågelarter.docx", "A 52651-2022")</f>
        <v/>
      </c>
    </row>
    <row r="141" ht="15" customHeight="1">
      <c r="A141" t="inlineStr">
        <is>
          <t>A 52818-2022</t>
        </is>
      </c>
      <c r="B141" s="1" t="n">
        <v>44875</v>
      </c>
      <c r="C141" s="1" t="n">
        <v>45636</v>
      </c>
      <c r="D141" t="inlineStr">
        <is>
          <t>UPPSALA LÄN</t>
        </is>
      </c>
      <c r="E141" t="inlineStr">
        <is>
          <t>ÖSTHAMMAR</t>
        </is>
      </c>
      <c r="G141" t="n">
        <v>0.9</v>
      </c>
      <c r="H141" t="n">
        <v>1</v>
      </c>
      <c r="I141" t="n">
        <v>1</v>
      </c>
      <c r="J141" t="n">
        <v>0</v>
      </c>
      <c r="K141" t="n">
        <v>0</v>
      </c>
      <c r="L141" t="n">
        <v>0</v>
      </c>
      <c r="M141" t="n">
        <v>0</v>
      </c>
      <c r="N141" t="n">
        <v>0</v>
      </c>
      <c r="O141" t="n">
        <v>0</v>
      </c>
      <c r="P141" t="n">
        <v>0</v>
      </c>
      <c r="Q141" t="n">
        <v>1</v>
      </c>
      <c r="R141" s="2" t="inlineStr">
        <is>
          <t>Guckusko</t>
        </is>
      </c>
      <c r="S141">
        <f>HYPERLINK("https://klasma.github.io/Logging_0382/artfynd/A 52818-2022 artfynd.xlsx", "A 52818-2022")</f>
        <v/>
      </c>
      <c r="T141">
        <f>HYPERLINK("https://klasma.github.io/Logging_0382/kartor/A 52818-2022 karta.png", "A 52818-2022")</f>
        <v/>
      </c>
      <c r="V141">
        <f>HYPERLINK("https://klasma.github.io/Logging_0382/klagomål/A 52818-2022 FSC-klagomål.docx", "A 52818-2022")</f>
        <v/>
      </c>
      <c r="W141">
        <f>HYPERLINK("https://klasma.github.io/Logging_0382/klagomålsmail/A 52818-2022 FSC-klagomål mail.docx", "A 52818-2022")</f>
        <v/>
      </c>
      <c r="X141">
        <f>HYPERLINK("https://klasma.github.io/Logging_0382/tillsyn/A 52818-2022 tillsynsbegäran.docx", "A 52818-2022")</f>
        <v/>
      </c>
      <c r="Y141">
        <f>HYPERLINK("https://klasma.github.io/Logging_0382/tillsynsmail/A 52818-2022 tillsynsbegäran mail.docx", "A 52818-2022")</f>
        <v/>
      </c>
    </row>
    <row r="142" ht="15" customHeight="1">
      <c r="A142" t="inlineStr">
        <is>
          <t>A 1390-2023</t>
        </is>
      </c>
      <c r="B142" s="1" t="n">
        <v>44936</v>
      </c>
      <c r="C142" s="1" t="n">
        <v>45636</v>
      </c>
      <c r="D142" t="inlineStr">
        <is>
          <t>UPPSALA LÄN</t>
        </is>
      </c>
      <c r="E142" t="inlineStr">
        <is>
          <t>ÖSTHAMMAR</t>
        </is>
      </c>
      <c r="G142" t="n">
        <v>1.9</v>
      </c>
      <c r="H142" t="n">
        <v>1</v>
      </c>
      <c r="I142" t="n">
        <v>0</v>
      </c>
      <c r="J142" t="n">
        <v>0</v>
      </c>
      <c r="K142" t="n">
        <v>1</v>
      </c>
      <c r="L142" t="n">
        <v>0</v>
      </c>
      <c r="M142" t="n">
        <v>0</v>
      </c>
      <c r="N142" t="n">
        <v>0</v>
      </c>
      <c r="O142" t="n">
        <v>1</v>
      </c>
      <c r="P142" t="n">
        <v>1</v>
      </c>
      <c r="Q142" t="n">
        <v>1</v>
      </c>
      <c r="R142" s="2" t="inlineStr">
        <is>
          <t>Tallbit</t>
        </is>
      </c>
      <c r="S142">
        <f>HYPERLINK("https://klasma.github.io/Logging_0382/artfynd/A 1390-2023 artfynd.xlsx", "A 1390-2023")</f>
        <v/>
      </c>
      <c r="T142">
        <f>HYPERLINK("https://klasma.github.io/Logging_0382/kartor/A 1390-2023 karta.png", "A 1390-2023")</f>
        <v/>
      </c>
      <c r="V142">
        <f>HYPERLINK("https://klasma.github.io/Logging_0382/klagomål/A 1390-2023 FSC-klagomål.docx", "A 1390-2023")</f>
        <v/>
      </c>
      <c r="W142">
        <f>HYPERLINK("https://klasma.github.io/Logging_0382/klagomålsmail/A 1390-2023 FSC-klagomål mail.docx", "A 1390-2023")</f>
        <v/>
      </c>
      <c r="X142">
        <f>HYPERLINK("https://klasma.github.io/Logging_0382/tillsyn/A 1390-2023 tillsynsbegäran.docx", "A 1390-2023")</f>
        <v/>
      </c>
      <c r="Y142">
        <f>HYPERLINK("https://klasma.github.io/Logging_0382/tillsynsmail/A 1390-2023 tillsynsbegäran mail.docx", "A 1390-2023")</f>
        <v/>
      </c>
      <c r="Z142">
        <f>HYPERLINK("https://klasma.github.io/Logging_0382/fåglar/A 1390-2023 prioriterade fågelarter.docx", "A 1390-2023")</f>
        <v/>
      </c>
    </row>
    <row r="143" ht="15" customHeight="1">
      <c r="A143" t="inlineStr">
        <is>
          <t>A 1783-2023</t>
        </is>
      </c>
      <c r="B143" s="1" t="n">
        <v>44938</v>
      </c>
      <c r="C143" s="1" t="n">
        <v>45636</v>
      </c>
      <c r="D143" t="inlineStr">
        <is>
          <t>UPPSALA LÄN</t>
        </is>
      </c>
      <c r="E143" t="inlineStr">
        <is>
          <t>ÖSTHAMMAR</t>
        </is>
      </c>
      <c r="G143" t="n">
        <v>4.1</v>
      </c>
      <c r="H143" t="n">
        <v>0</v>
      </c>
      <c r="I143" t="n">
        <v>0</v>
      </c>
      <c r="J143" t="n">
        <v>1</v>
      </c>
      <c r="K143" t="n">
        <v>0</v>
      </c>
      <c r="L143" t="n">
        <v>0</v>
      </c>
      <c r="M143" t="n">
        <v>0</v>
      </c>
      <c r="N143" t="n">
        <v>0</v>
      </c>
      <c r="O143" t="n">
        <v>1</v>
      </c>
      <c r="P143" t="n">
        <v>0</v>
      </c>
      <c r="Q143" t="n">
        <v>1</v>
      </c>
      <c r="R143" s="2" t="inlineStr">
        <is>
          <t>Svart taggsvamp</t>
        </is>
      </c>
      <c r="S143">
        <f>HYPERLINK("https://klasma.github.io/Logging_0382/artfynd/A 1783-2023 artfynd.xlsx", "A 1783-2023")</f>
        <v/>
      </c>
      <c r="T143">
        <f>HYPERLINK("https://klasma.github.io/Logging_0382/kartor/A 1783-2023 karta.png", "A 1783-2023")</f>
        <v/>
      </c>
      <c r="V143">
        <f>HYPERLINK("https://klasma.github.io/Logging_0382/klagomål/A 1783-2023 FSC-klagomål.docx", "A 1783-2023")</f>
        <v/>
      </c>
      <c r="W143">
        <f>HYPERLINK("https://klasma.github.io/Logging_0382/klagomålsmail/A 1783-2023 FSC-klagomål mail.docx", "A 1783-2023")</f>
        <v/>
      </c>
      <c r="X143">
        <f>HYPERLINK("https://klasma.github.io/Logging_0382/tillsyn/A 1783-2023 tillsynsbegäran.docx", "A 1783-2023")</f>
        <v/>
      </c>
      <c r="Y143">
        <f>HYPERLINK("https://klasma.github.io/Logging_0382/tillsynsmail/A 1783-2023 tillsynsbegäran mail.docx", "A 1783-2023")</f>
        <v/>
      </c>
    </row>
    <row r="144" ht="15" customHeight="1">
      <c r="A144" t="inlineStr">
        <is>
          <t>A 9264-2023</t>
        </is>
      </c>
      <c r="B144" s="1" t="n">
        <v>44980</v>
      </c>
      <c r="C144" s="1" t="n">
        <v>45636</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45636</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45636</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45636</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45636</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45636</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45636</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45636</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45636</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45636</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45636</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45636</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45636</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45636</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45636</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45636</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45636</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45636</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45636</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45636</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45636</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45636</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45636</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45636</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45636</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45636</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45636</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45636</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45636</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45636</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45636</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45636</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45636</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45636</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45636</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45636</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45636</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45636</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45636</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45636</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45636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45636</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45636</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45636</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45636</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45636</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45636</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45636</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45636</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45636</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45636</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45636</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45636</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45636</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45636</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45636</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45636</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45636</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45636</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45636</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45636</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45636</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45636</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45636</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45636</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45636</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45636</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45636</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45636</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45636</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45636</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45636</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45636</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45636</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45636</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45636</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45636</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45636</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45636</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45636</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45636</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45636</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45636</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45636</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45636</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45636</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45636</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45636</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45636</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45636</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45636</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45636</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45636</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45636</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45636</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45636</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45636</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45636</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45636</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45636</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45636</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45636</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45636</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45636</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45636</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45636</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45636</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45636</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45636</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45636</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45636</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45636</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45636</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45636</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45636</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45636</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45636</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45636</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45636</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45636</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45636</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45636</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45636</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45636</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45636</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45636</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45636</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45636</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45636</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45636</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45636</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45636</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45636</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45636</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45636</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45636</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45636</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45636</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45636</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45636</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45636</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45636</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45636</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45636</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45636</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45636</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45636</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45636</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45636</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45636</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45636</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45636</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45636</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45636</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45636</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45636</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45636</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45636</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45636</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45636</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45636</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45636</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45636</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45636</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45636</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45636</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45636</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45636</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45636</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45636</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45636</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45636</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45636</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45636</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45636</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45636</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45636</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45636</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45636</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45636</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45636</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45636</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45636</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45636</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45636</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45636</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45636</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45636</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45636</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45636</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45636</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45636</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45636</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45636</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45636</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45636</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45636</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45636</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45636</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45636</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45636</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45636</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45636</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45636</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45636</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45636</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45636</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45636</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45636</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45636</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45636</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45636</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45636</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45636</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45636</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45636</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45636</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45636</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45636</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45636</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45636</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45636</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45636</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45636</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45636</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45636</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45636</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45636</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45636</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45636</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45636</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45636</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45636</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45636</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45636</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45636</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45636</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45636</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45636</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45636</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45636</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45636</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45636</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45636</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45636</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45636</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45636</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45636</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45636</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45636</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45636</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45636</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45636</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45636</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45636</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45636</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45636</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45636</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45636</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45636</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45636</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45636</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45636</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45636</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45636</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45636</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45636</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45636</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45636</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45636</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45636</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45636</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45636</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45636</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45636</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45636</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45636</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45636</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45636</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45636</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45636</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45636</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45636</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45636</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45636</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45636</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45636</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45636</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45636</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45636</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45636</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45636</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45636</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45636</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45636</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45636</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45636</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45636</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45636</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45636</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45636</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45636</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45636</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45636</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45636</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45636</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45636</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45636</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45636</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45636</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45636</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45636</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45636</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45636</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45636</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45636</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45636</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45636</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45636</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45636</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45636</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45636</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45636</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45636</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45636</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45636</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45636</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45636</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45636</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45636</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45636</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45636</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45636</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45636</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45636</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45636</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45636</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45636</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45636</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45636</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45636</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45636</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45636</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45636</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45636</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45636</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45636</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45636</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45636</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45636</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45636</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45636</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45636</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45636</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45636</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45636</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45636</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45636</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45636</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45636</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45636</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45636</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45636</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45636</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45636</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45636</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45636</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45636</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45636</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45636</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45636</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45636</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45636</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45636</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45636</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45636</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45636</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45636</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45636</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45636</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45636</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45636</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45636</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45636</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45636</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45636</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45636</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45636</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45636</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45636</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45636</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45636</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45636</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45636</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45636</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45636</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45636</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45636</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45636</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45636</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45636</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45636</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45636</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45636</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45636</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45636</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45636</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45636</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45636</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45636</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45636</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45636</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45636</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45636</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45636</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45636</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45636</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45636</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45636</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45636</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45636</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45636</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45636</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45636</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45636</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45636</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45636</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45636</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45636</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45636</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45636</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45636</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45636</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45636</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45636</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45636</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45636</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45636</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45636</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45636</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45636</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45636</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45636</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45636</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45636</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45636</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45636</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45636</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45636</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45636</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45636</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45636</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45636</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45636</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45636</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45636</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45636</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45636</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45636</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45636</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45636</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45636</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45636</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45636</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45636</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45636</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45636</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45636</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45636</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45636</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45636</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45636</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45636</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45636</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45636</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45636</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45636</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45636</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45636</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45636</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45636</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45636</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45636</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45636</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45636</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45636</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45636</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45636</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45636</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45636</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45636</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45636</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45636</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45636</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45636</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45636</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45636</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45636</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45636</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45636</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45636</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45636</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45636</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45636</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45636</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45636</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45636</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45636</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45636</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45636</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45636</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45636</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45636</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45636</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45636</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45636</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45636</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45636</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45636</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45636</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45636</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45636</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45636</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45636</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45636</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45636</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45636</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45636</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45636</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45636</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45636</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45636</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45636</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45636</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45636</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45636</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45636</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45636</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45636</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45636</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45636</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45636</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45636</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45636</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45636</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45636</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45636</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45636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45636</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45636</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45636</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45636</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45636</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45636</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45636</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45636</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45636</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45636</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45636</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45636</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45636</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45636</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45636</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45636</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45636</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45636</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45636</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45636</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45636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45636</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45636</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45636</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45636</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45636</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45636</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45636</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45636</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45636</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45636</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45636</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45636</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45636</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45636</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45636</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45636</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45636</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45636</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45636</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45636</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45636</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45636</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45636</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45636</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45636</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45636</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45636</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45636</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45636</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45636</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45636</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45636</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45636</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45636</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45636</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45636</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45636</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45636</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45636</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45636</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45636</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45636</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45636</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45636</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45636</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45636</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45636</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45636</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45636</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45636</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45636</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45636</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45636</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45636</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45636</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45636</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45636</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45636</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45636</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45636</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45636</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45636</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45636</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45636</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45636</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45636</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45636</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45636</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45636</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45636</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45636</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45636</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45636</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45636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45636</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45636</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45636</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45636</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45636</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45636</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45636</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45636</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45636</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45636</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45636</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45636</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45636</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45636</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45636</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45636</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45636</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45636</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45636</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45636</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45636</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45636</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45636</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45636</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45636</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45636</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45636</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45636</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45636</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45636</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45636</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45636</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45636</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45636</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45636</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45636</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45636</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45636</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45636</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45636</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45636</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45636</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45636</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45636</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45636</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45636</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45636</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45636</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45636</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45636</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45636</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45636</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45636</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45636</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45636</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45636</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45636</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45636</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45636</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45636</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45636</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45636</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45636</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45636</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45636</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45636</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45636</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45636</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45636</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45636</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45636</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45636</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45636</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45636</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45636</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45636</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45636</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45636</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45636</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45636</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45636</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45636</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45636</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45636</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45636</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45636</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45636</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45636</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45636</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45636</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45636</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45636</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45636</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45636</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45636</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45636</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45636</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45636</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45636</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45636</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45636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45636</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45636</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45636</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45636</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45636</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45636</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45636</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45636</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45636</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45636</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45636</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45636</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45636</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45636</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45636</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45636</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45636</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45636</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45636</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45636</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45636</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45636</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45636</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45636</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45636</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45636</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45636</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45636</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45636</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45636</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45636</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45636</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45636</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45636</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45636</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45636</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45636</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45636</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45636</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45636</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45636</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45636</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45636</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45636</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45636</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45636</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45636</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45636</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45636</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45636</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45636</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45636</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45636</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45636</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45636</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45636</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45636</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45636</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45636</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45636</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45636</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45636</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45636</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45636</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45636</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45636</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45636</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45636</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45636</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45636</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45636</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45636</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45636</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45636</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45636</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45636</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45636</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45636</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45636</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45636</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45636</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45636</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45636</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45636</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45636</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45636</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45636</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45636</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45636</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45636</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45636</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45636</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45636</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45636</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45636</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45636</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45636</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45636</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45636</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45636</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45636</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45636</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45636</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45636</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45636</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45636</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45636</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45636</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45636</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45636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45636</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45636</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45636</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45636</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45636</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45636</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45636</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45636</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45636</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45636</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45636</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45636</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45636</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45636</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45636</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45636</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45636</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45636</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45636</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45636</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45636</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45636</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45636</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45636</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45636</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45636</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45636</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45636</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45636</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45636</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45636</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45636</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45636</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45636</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45636</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45636</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45636</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45636</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45636</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45636</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45636</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45636</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45636</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45636</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45636</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45636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45636</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45636</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45636</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45636</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45636</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45636</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45636</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45636</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45636</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45636</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45636</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45636</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45636</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45636</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45636</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45636</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45636</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45636</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45636</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45636</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45636</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45636</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45636</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45636</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45636</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45636</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45636</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45636</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45636</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45636</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45636</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45636</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45636</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45636</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45636</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45636</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45636</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45636</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45636</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45636</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45636</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45636</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45636</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45636</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45636</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45636</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45636</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45636</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45636</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45636</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45636</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45636</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45636</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45636</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45636</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45636</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45636</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45636</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45636</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45636</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45636</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45636</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45636</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45636</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45636</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45636</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45636</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45636</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45636</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45636</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45636</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45636</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45636</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45636</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45636</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45636</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45636</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45636</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45636</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45636</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45636</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45636</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45636</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45636</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45636</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45636</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45636</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45636</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45636</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45636</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45636</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45636</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45636</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45636</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45636</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45636</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45636</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45636</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45636</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45636</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45636</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45636</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45636</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45636</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45636</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45636</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45636</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45636</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45636</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45636</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45636</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45636</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45636</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45636</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45636</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45636</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45636</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45636</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45636</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45636</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45636</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45636</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45636</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45636</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45636</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45636</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45636</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45636</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45636</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45636</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45636</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45636</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45636</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45636</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45636</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45636</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45636</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45636</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45636</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45636</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45636</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45636</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45636</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45636</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45636</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45636</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45636</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45636</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45636</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45636</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45636</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45636</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45636</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45636</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45636</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45636</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45636</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45636</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45636</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45636</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45636</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45636</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45636</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45636</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45636</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45636</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45636</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45636</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45636</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45636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45636</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45636</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45636</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45636</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45636</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45636</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45636</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45636</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45636</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45636</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45636</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45636</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45636</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45636</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45636</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45636</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45636</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45636</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45636</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45636</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45636</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45636</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45636</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45636</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45636</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45636</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45636</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45636</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45636</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45636</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45636</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45636</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45636</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45636</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45636</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45636</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45636</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45636</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45636</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45636</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45636</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45636</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45636</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45636</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45636</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45636</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45636</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45636</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45636</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45636</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45636</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45636</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45636</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45636</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45636</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45636</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45636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45636</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45636</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45636</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45636</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45636</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45636</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45636</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45636</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45636</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45636</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52470-2024</t>
        </is>
      </c>
      <c r="B1281" s="1" t="n">
        <v>45609</v>
      </c>
      <c r="C1281" s="1" t="n">
        <v>45636</v>
      </c>
      <c r="D1281" t="inlineStr">
        <is>
          <t>UPPSALA LÄN</t>
        </is>
      </c>
      <c r="E1281" t="inlineStr">
        <is>
          <t>ÖSTHAMMAR</t>
        </is>
      </c>
      <c r="F1281" t="inlineStr">
        <is>
          <t>Bergvik skog väst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52478-2024</t>
        </is>
      </c>
      <c r="B1282" s="1" t="n">
        <v>45609</v>
      </c>
      <c r="C1282" s="1" t="n">
        <v>45636</v>
      </c>
      <c r="D1282" t="inlineStr">
        <is>
          <t>UPPSALA LÄN</t>
        </is>
      </c>
      <c r="E1282" t="inlineStr">
        <is>
          <t>ÖSTHAMMAR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52440-2024</t>
        </is>
      </c>
      <c r="B1283" s="1" t="n">
        <v>45609</v>
      </c>
      <c r="C1283" s="1" t="n">
        <v>45636</v>
      </c>
      <c r="D1283" t="inlineStr">
        <is>
          <t>UPPSALA LÄN</t>
        </is>
      </c>
      <c r="E1283" t="inlineStr">
        <is>
          <t>ÖSTHAMMAR</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52468-2024</t>
        </is>
      </c>
      <c r="B1284" s="1" t="n">
        <v>45609</v>
      </c>
      <c r="C1284" s="1" t="n">
        <v>45636</v>
      </c>
      <c r="D1284" t="inlineStr">
        <is>
          <t>UPPSALA LÄN</t>
        </is>
      </c>
      <c r="E1284" t="inlineStr">
        <is>
          <t>ÖSTHAMMAR</t>
        </is>
      </c>
      <c r="F1284" t="inlineStr">
        <is>
          <t>Bergvik skog väst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52469-2024</t>
        </is>
      </c>
      <c r="B1285" s="1" t="n">
        <v>45609</v>
      </c>
      <c r="C1285" s="1" t="n">
        <v>45636</v>
      </c>
      <c r="D1285" t="inlineStr">
        <is>
          <t>UPPSALA LÄN</t>
        </is>
      </c>
      <c r="E1285" t="inlineStr">
        <is>
          <t>ÖSTHAMMAR</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52485-2024</t>
        </is>
      </c>
      <c r="B1286" s="1" t="n">
        <v>45609</v>
      </c>
      <c r="C1286" s="1" t="n">
        <v>45636</v>
      </c>
      <c r="D1286" t="inlineStr">
        <is>
          <t>UPPSALA LÄN</t>
        </is>
      </c>
      <c r="E1286" t="inlineStr">
        <is>
          <t>ÖSTHAMMAR</t>
        </is>
      </c>
      <c r="F1286" t="inlineStr">
        <is>
          <t>Bergvik skog väst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45636</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45636</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45636</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45636</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45636</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45636</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45636</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45636</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45636</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45636</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45636</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54825-2024</t>
        </is>
      </c>
      <c r="B1298" s="1" t="n">
        <v>45618</v>
      </c>
      <c r="C1298" s="1" t="n">
        <v>45636</v>
      </c>
      <c r="D1298" t="inlineStr">
        <is>
          <t>UPPSALA LÄN</t>
        </is>
      </c>
      <c r="E1298" t="inlineStr">
        <is>
          <t>ÖSTHAMMAR</t>
        </is>
      </c>
      <c r="F1298" t="inlineStr">
        <is>
          <t>Bergvik skog öst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45636</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45636</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55079-2024</t>
        </is>
      </c>
      <c r="B1301" s="1" t="n">
        <v>45621</v>
      </c>
      <c r="C1301" s="1" t="n">
        <v>45636</v>
      </c>
      <c r="D1301" t="inlineStr">
        <is>
          <t>UPPSALA LÄN</t>
        </is>
      </c>
      <c r="E1301" t="inlineStr">
        <is>
          <t>ÖSTHAMMAR</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45636</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45636</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45636</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45636</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45636</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45636</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58265-2024</t>
        </is>
      </c>
      <c r="B1308" s="1" t="n">
        <v>45632</v>
      </c>
      <c r="C1308" s="1" t="n">
        <v>45636</v>
      </c>
      <c r="D1308" t="inlineStr">
        <is>
          <t>UPPSALA LÄN</t>
        </is>
      </c>
      <c r="E1308" t="inlineStr">
        <is>
          <t>ÖSTHAMMAR</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45636</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45636</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c r="A1311" t="inlineStr">
        <is>
          <t>A 58366-2024</t>
        </is>
      </c>
      <c r="B1311" s="1" t="n">
        <v>45632</v>
      </c>
      <c r="C1311" s="1" t="n">
        <v>45636</v>
      </c>
      <c r="D1311" t="inlineStr">
        <is>
          <t>UPPSALA LÄN</t>
        </is>
      </c>
      <c r="E1311" t="inlineStr">
        <is>
          <t>ÖSTHAMMAR</t>
        </is>
      </c>
      <c r="G1311" t="n">
        <v>6.1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2024-12-10T15:24:20Z</dcterms:created>
  <dcterms:modified xmlns:dcterms="http://purl.org/dc/terms/" xmlns:xsi="http://www.w3.org/2001/XMLSchema-instance" xsi:type="dcterms:W3CDTF">2024-12-10T15:24:21Z</dcterms:modified>
</cp:coreProperties>
</file>