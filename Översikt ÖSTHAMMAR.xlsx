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45798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45798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45798</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45798</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45798</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45798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45798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45798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45798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45798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45798</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45798</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45798</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45798</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45798</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45798</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45798</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45798</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45798</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45798</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45798</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45798</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45798</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45798</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45798</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45798</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45798</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45798</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45798</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45798</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45798</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45798</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45798</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45798</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45798</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45798</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45798</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45798</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45798</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45798</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45798</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45798</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45798</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45798</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45798</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45798</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45798</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45798</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45798</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45798</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45798</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45798</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45798</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45798</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45798</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45798</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45798</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45798</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45798</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45798</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45798</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45798</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45798</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45798</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45798</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45798</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45798</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45798</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45798</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45798</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45798</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45798</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45798</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45798</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45798</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45798</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45798</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45798</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45798</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45798</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45798</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45798</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45798</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45798</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45798</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45798</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45798</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45798</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45798</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45798</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45798</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45798</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45798</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45798</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45798</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45798</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45798</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45798</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45798</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45798</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45798</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45798</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45798</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45798</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45798</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45798</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45798</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45798</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45798</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45798</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45798</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45798</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45798</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45798</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45798</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45798</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45798</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45798</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45798</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45798</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45798</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45798</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45798</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45798</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45798</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45798</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45798</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45798</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45798</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45798</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45798</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45798</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45798</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45798</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45798</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45798</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45798</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45798</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45798</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45798</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45798</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45798</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45798</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45798</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45798</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45798</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45798</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45798</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45798</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45798</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45798</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45798</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45798</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45798</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45798</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45798</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45798</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45798</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45798</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45798</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45798</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45798</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45798</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45798</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45798</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45798</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45798</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45798</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45798</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37296-2023</t>
        </is>
      </c>
      <c r="B172" s="1" t="n">
        <v>45156</v>
      </c>
      <c r="C172" s="1" t="n">
        <v>45798</v>
      </c>
      <c r="D172" t="inlineStr">
        <is>
          <t>UPPSALA LÄN</t>
        </is>
      </c>
      <c r="E172" t="inlineStr">
        <is>
          <t>ÖSTHAMMAR</t>
        </is>
      </c>
      <c r="G172" t="n">
        <v>4.7</v>
      </c>
      <c r="H172" t="n">
        <v>1</v>
      </c>
      <c r="I172" t="n">
        <v>0</v>
      </c>
      <c r="J172" t="n">
        <v>0</v>
      </c>
      <c r="K172" t="n">
        <v>1</v>
      </c>
      <c r="L172" t="n">
        <v>0</v>
      </c>
      <c r="M172" t="n">
        <v>0</v>
      </c>
      <c r="N172" t="n">
        <v>0</v>
      </c>
      <c r="O172" t="n">
        <v>1</v>
      </c>
      <c r="P172" t="n">
        <v>1</v>
      </c>
      <c r="Q172" t="n">
        <v>1</v>
      </c>
      <c r="R172" s="2" t="inlineStr">
        <is>
          <t>Backsippa</t>
        </is>
      </c>
      <c r="S172">
        <f>HYPERLINK("https://klasma.github.io/Logging_0382/artfynd/A 37296-2023 artfynd.xlsx", "A 37296-2023")</f>
        <v/>
      </c>
      <c r="T172">
        <f>HYPERLINK("https://klasma.github.io/Logging_0382/kartor/A 37296-2023 karta.png", "A 37296-2023")</f>
        <v/>
      </c>
      <c r="V172">
        <f>HYPERLINK("https://klasma.github.io/Logging_0382/klagomål/A 37296-2023 FSC-klagomål.docx", "A 37296-2023")</f>
        <v/>
      </c>
      <c r="W172">
        <f>HYPERLINK("https://klasma.github.io/Logging_0382/klagomålsmail/A 37296-2023 FSC-klagomål mail.docx", "A 37296-2023")</f>
        <v/>
      </c>
      <c r="X172">
        <f>HYPERLINK("https://klasma.github.io/Logging_0382/tillsyn/A 37296-2023 tillsynsbegäran.docx", "A 37296-2023")</f>
        <v/>
      </c>
      <c r="Y172">
        <f>HYPERLINK("https://klasma.github.io/Logging_0382/tillsynsmail/A 37296-2023 tillsynsbegäran mail.docx", "A 37296-2023")</f>
        <v/>
      </c>
    </row>
    <row r="173" ht="15" customHeight="1">
      <c r="A173" t="inlineStr">
        <is>
          <t>A 53706-2023</t>
        </is>
      </c>
      <c r="B173" s="1" t="n">
        <v>45230</v>
      </c>
      <c r="C173" s="1" t="n">
        <v>45798</v>
      </c>
      <c r="D173" t="inlineStr">
        <is>
          <t>UPPSALA LÄN</t>
        </is>
      </c>
      <c r="E173" t="inlineStr">
        <is>
          <t>ÖSTHAMMAR</t>
        </is>
      </c>
      <c r="G173" t="n">
        <v>2.9</v>
      </c>
      <c r="H173" t="n">
        <v>0</v>
      </c>
      <c r="I173" t="n">
        <v>1</v>
      </c>
      <c r="J173" t="n">
        <v>0</v>
      </c>
      <c r="K173" t="n">
        <v>0</v>
      </c>
      <c r="L173" t="n">
        <v>0</v>
      </c>
      <c r="M173" t="n">
        <v>0</v>
      </c>
      <c r="N173" t="n">
        <v>0</v>
      </c>
      <c r="O173" t="n">
        <v>0</v>
      </c>
      <c r="P173" t="n">
        <v>0</v>
      </c>
      <c r="Q173" t="n">
        <v>1</v>
      </c>
      <c r="R173" s="2" t="inlineStr">
        <is>
          <t>Dofttråding</t>
        </is>
      </c>
      <c r="S173">
        <f>HYPERLINK("https://klasma.github.io/Logging_0382/artfynd/A 53706-2023 artfynd.xlsx", "A 53706-2023")</f>
        <v/>
      </c>
      <c r="T173">
        <f>HYPERLINK("https://klasma.github.io/Logging_0382/kartor/A 53706-2023 karta.png", "A 53706-2023")</f>
        <v/>
      </c>
      <c r="V173">
        <f>HYPERLINK("https://klasma.github.io/Logging_0382/klagomål/A 53706-2023 FSC-klagomål.docx", "A 53706-2023")</f>
        <v/>
      </c>
      <c r="W173">
        <f>HYPERLINK("https://klasma.github.io/Logging_0382/klagomålsmail/A 53706-2023 FSC-klagomål mail.docx", "A 53706-2023")</f>
        <v/>
      </c>
      <c r="X173">
        <f>HYPERLINK("https://klasma.github.io/Logging_0382/tillsyn/A 53706-2023 tillsynsbegäran.docx", "A 53706-2023")</f>
        <v/>
      </c>
      <c r="Y173">
        <f>HYPERLINK("https://klasma.github.io/Logging_0382/tillsynsmail/A 53706-2023 tillsynsbegäran mail.docx", "A 53706-2023")</f>
        <v/>
      </c>
    </row>
    <row r="174" ht="15" customHeight="1">
      <c r="A174" t="inlineStr">
        <is>
          <t>A 53729-2023</t>
        </is>
      </c>
      <c r="B174" s="1" t="n">
        <v>45230</v>
      </c>
      <c r="C174" s="1" t="n">
        <v>45798</v>
      </c>
      <c r="D174" t="inlineStr">
        <is>
          <t>UPPSALA LÄN</t>
        </is>
      </c>
      <c r="E174" t="inlineStr">
        <is>
          <t>ÖSTHAMMAR</t>
        </is>
      </c>
      <c r="G174" t="n">
        <v>2.6</v>
      </c>
      <c r="H174" t="n">
        <v>1</v>
      </c>
      <c r="I174" t="n">
        <v>0</v>
      </c>
      <c r="J174" t="n">
        <v>0</v>
      </c>
      <c r="K174" t="n">
        <v>0</v>
      </c>
      <c r="L174" t="n">
        <v>0</v>
      </c>
      <c r="M174" t="n">
        <v>0</v>
      </c>
      <c r="N174" t="n">
        <v>0</v>
      </c>
      <c r="O174" t="n">
        <v>0</v>
      </c>
      <c r="P174" t="n">
        <v>0</v>
      </c>
      <c r="Q174" t="n">
        <v>1</v>
      </c>
      <c r="R174" s="2" t="inlineStr">
        <is>
          <t>Gullviva</t>
        </is>
      </c>
      <c r="S174">
        <f>HYPERLINK("https://klasma.github.io/Logging_0382/artfynd/A 53729-2023 artfynd.xlsx", "A 53729-2023")</f>
        <v/>
      </c>
      <c r="T174">
        <f>HYPERLINK("https://klasma.github.io/Logging_0382/kartor/A 53729-2023 karta.png", "A 53729-2023")</f>
        <v/>
      </c>
      <c r="V174">
        <f>HYPERLINK("https://klasma.github.io/Logging_0382/klagomål/A 53729-2023 FSC-klagomål.docx", "A 53729-2023")</f>
        <v/>
      </c>
      <c r="W174">
        <f>HYPERLINK("https://klasma.github.io/Logging_0382/klagomålsmail/A 53729-2023 FSC-klagomål mail.docx", "A 53729-2023")</f>
        <v/>
      </c>
      <c r="X174">
        <f>HYPERLINK("https://klasma.github.io/Logging_0382/tillsyn/A 53729-2023 tillsynsbegäran.docx", "A 53729-2023")</f>
        <v/>
      </c>
      <c r="Y174">
        <f>HYPERLINK("https://klasma.github.io/Logging_0382/tillsynsmail/A 53729-2023 tillsynsbegäran mail.docx", "A 53729-2023")</f>
        <v/>
      </c>
    </row>
    <row r="175" ht="15" customHeight="1">
      <c r="A175" t="inlineStr">
        <is>
          <t>A 55492-2023</t>
        </is>
      </c>
      <c r="B175" s="1" t="n">
        <v>45238</v>
      </c>
      <c r="C175" s="1" t="n">
        <v>45798</v>
      </c>
      <c r="D175" t="inlineStr">
        <is>
          <t>UPPSALA LÄN</t>
        </is>
      </c>
      <c r="E175" t="inlineStr">
        <is>
          <t>ÖSTHAMMAR</t>
        </is>
      </c>
      <c r="G175" t="n">
        <v>3.1</v>
      </c>
      <c r="H175" t="n">
        <v>0</v>
      </c>
      <c r="I175" t="n">
        <v>0</v>
      </c>
      <c r="J175" t="n">
        <v>0</v>
      </c>
      <c r="K175" t="n">
        <v>1</v>
      </c>
      <c r="L175" t="n">
        <v>0</v>
      </c>
      <c r="M175" t="n">
        <v>0</v>
      </c>
      <c r="N175" t="n">
        <v>0</v>
      </c>
      <c r="O175" t="n">
        <v>1</v>
      </c>
      <c r="P175" t="n">
        <v>1</v>
      </c>
      <c r="Q175" t="n">
        <v>1</v>
      </c>
      <c r="R175" s="2" t="inlineStr">
        <is>
          <t>Violgubbe</t>
        </is>
      </c>
      <c r="S175">
        <f>HYPERLINK("https://klasma.github.io/Logging_0382/artfynd/A 55492-2023 artfynd.xlsx", "A 55492-2023")</f>
        <v/>
      </c>
      <c r="T175">
        <f>HYPERLINK("https://klasma.github.io/Logging_0382/kartor/A 55492-2023 karta.png", "A 55492-2023")</f>
        <v/>
      </c>
      <c r="V175">
        <f>HYPERLINK("https://klasma.github.io/Logging_0382/klagomål/A 55492-2023 FSC-klagomål.docx", "A 55492-2023")</f>
        <v/>
      </c>
      <c r="W175">
        <f>HYPERLINK("https://klasma.github.io/Logging_0382/klagomålsmail/A 55492-2023 FSC-klagomål mail.docx", "A 55492-2023")</f>
        <v/>
      </c>
      <c r="X175">
        <f>HYPERLINK("https://klasma.github.io/Logging_0382/tillsyn/A 55492-2023 tillsynsbegäran.docx", "A 55492-2023")</f>
        <v/>
      </c>
      <c r="Y175">
        <f>HYPERLINK("https://klasma.github.io/Logging_0382/tillsynsmail/A 55492-2023 tillsynsbegäran mail.docx", "A 55492-2023")</f>
        <v/>
      </c>
    </row>
    <row r="176" ht="15" customHeight="1">
      <c r="A176" t="inlineStr">
        <is>
          <t>A 57598-2023</t>
        </is>
      </c>
      <c r="B176" s="1" t="n">
        <v>45246</v>
      </c>
      <c r="C176" s="1" t="n">
        <v>45798</v>
      </c>
      <c r="D176" t="inlineStr">
        <is>
          <t>UPPSALA LÄN</t>
        </is>
      </c>
      <c r="E176" t="inlineStr">
        <is>
          <t>ÖSTHAMMAR</t>
        </is>
      </c>
      <c r="F176" t="inlineStr">
        <is>
          <t>Bergvik skog öst AB</t>
        </is>
      </c>
      <c r="G176" t="n">
        <v>1</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57598-2023 artfynd.xlsx", "A 57598-2023")</f>
        <v/>
      </c>
      <c r="T176">
        <f>HYPERLINK("https://klasma.github.io/Logging_0382/kartor/A 57598-2023 karta.png", "A 57598-2023")</f>
        <v/>
      </c>
      <c r="V176">
        <f>HYPERLINK("https://klasma.github.io/Logging_0382/klagomål/A 57598-2023 FSC-klagomål.docx", "A 57598-2023")</f>
        <v/>
      </c>
      <c r="W176">
        <f>HYPERLINK("https://klasma.github.io/Logging_0382/klagomålsmail/A 57598-2023 FSC-klagomål mail.docx", "A 57598-2023")</f>
        <v/>
      </c>
      <c r="X176">
        <f>HYPERLINK("https://klasma.github.io/Logging_0382/tillsyn/A 57598-2023 tillsynsbegäran.docx", "A 57598-2023")</f>
        <v/>
      </c>
      <c r="Y176">
        <f>HYPERLINK("https://klasma.github.io/Logging_0382/tillsynsmail/A 57598-2023 tillsynsbegäran mail.docx", "A 57598-2023")</f>
        <v/>
      </c>
    </row>
    <row r="177" ht="15" customHeight="1">
      <c r="A177" t="inlineStr">
        <is>
          <t>A 57607-2023</t>
        </is>
      </c>
      <c r="B177" s="1" t="n">
        <v>45246</v>
      </c>
      <c r="C177" s="1" t="n">
        <v>45798</v>
      </c>
      <c r="D177" t="inlineStr">
        <is>
          <t>UPPSALA LÄN</t>
        </is>
      </c>
      <c r="E177" t="inlineStr">
        <is>
          <t>ÖSTHAMMAR</t>
        </is>
      </c>
      <c r="F177" t="inlineStr">
        <is>
          <t>Bergvik skog öst AB</t>
        </is>
      </c>
      <c r="G177" t="n">
        <v>5.8</v>
      </c>
      <c r="H177" t="n">
        <v>1</v>
      </c>
      <c r="I177" t="n">
        <v>1</v>
      </c>
      <c r="J177" t="n">
        <v>0</v>
      </c>
      <c r="K177" t="n">
        <v>0</v>
      </c>
      <c r="L177" t="n">
        <v>0</v>
      </c>
      <c r="M177" t="n">
        <v>0</v>
      </c>
      <c r="N177" t="n">
        <v>0</v>
      </c>
      <c r="O177" t="n">
        <v>0</v>
      </c>
      <c r="P177" t="n">
        <v>0</v>
      </c>
      <c r="Q177" t="n">
        <v>1</v>
      </c>
      <c r="R177" s="2" t="inlineStr">
        <is>
          <t>Skogsknipprot</t>
        </is>
      </c>
      <c r="S177">
        <f>HYPERLINK("https://klasma.github.io/Logging_0382/artfynd/A 57607-2023 artfynd.xlsx", "A 57607-2023")</f>
        <v/>
      </c>
      <c r="T177">
        <f>HYPERLINK("https://klasma.github.io/Logging_0382/kartor/A 57607-2023 karta.png", "A 57607-2023")</f>
        <v/>
      </c>
      <c r="V177">
        <f>HYPERLINK("https://klasma.github.io/Logging_0382/klagomål/A 57607-2023 FSC-klagomål.docx", "A 57607-2023")</f>
        <v/>
      </c>
      <c r="W177">
        <f>HYPERLINK("https://klasma.github.io/Logging_0382/klagomålsmail/A 57607-2023 FSC-klagomål mail.docx", "A 57607-2023")</f>
        <v/>
      </c>
      <c r="X177">
        <f>HYPERLINK("https://klasma.github.io/Logging_0382/tillsyn/A 57607-2023 tillsynsbegäran.docx", "A 57607-2023")</f>
        <v/>
      </c>
      <c r="Y177">
        <f>HYPERLINK("https://klasma.github.io/Logging_0382/tillsynsmail/A 57607-2023 tillsynsbegäran mail.docx", "A 57607-2023")</f>
        <v/>
      </c>
    </row>
    <row r="178" ht="15" customHeight="1">
      <c r="A178" t="inlineStr">
        <is>
          <t>A 57640-2023</t>
        </is>
      </c>
      <c r="B178" s="1" t="n">
        <v>45246</v>
      </c>
      <c r="C178" s="1" t="n">
        <v>45798</v>
      </c>
      <c r="D178" t="inlineStr">
        <is>
          <t>UPPSALA LÄN</t>
        </is>
      </c>
      <c r="E178" t="inlineStr">
        <is>
          <t>ÖSTHAMMAR</t>
        </is>
      </c>
      <c r="F178" t="inlineStr">
        <is>
          <t>Bergvik skog öst AB</t>
        </is>
      </c>
      <c r="G178" t="n">
        <v>2.3</v>
      </c>
      <c r="H178" t="n">
        <v>0</v>
      </c>
      <c r="I178" t="n">
        <v>1</v>
      </c>
      <c r="J178" t="n">
        <v>0</v>
      </c>
      <c r="K178" t="n">
        <v>0</v>
      </c>
      <c r="L178" t="n">
        <v>0</v>
      </c>
      <c r="M178" t="n">
        <v>0</v>
      </c>
      <c r="N178" t="n">
        <v>0</v>
      </c>
      <c r="O178" t="n">
        <v>0</v>
      </c>
      <c r="P178" t="n">
        <v>0</v>
      </c>
      <c r="Q178" t="n">
        <v>1</v>
      </c>
      <c r="R178" s="2" t="inlineStr">
        <is>
          <t>Svavelriska</t>
        </is>
      </c>
      <c r="S178">
        <f>HYPERLINK("https://klasma.github.io/Logging_0382/artfynd/A 57640-2023 artfynd.xlsx", "A 57640-2023")</f>
        <v/>
      </c>
      <c r="T178">
        <f>HYPERLINK("https://klasma.github.io/Logging_0382/kartor/A 57640-2023 karta.png", "A 57640-2023")</f>
        <v/>
      </c>
      <c r="V178">
        <f>HYPERLINK("https://klasma.github.io/Logging_0382/klagomål/A 57640-2023 FSC-klagomål.docx", "A 57640-2023")</f>
        <v/>
      </c>
      <c r="W178">
        <f>HYPERLINK("https://klasma.github.io/Logging_0382/klagomålsmail/A 57640-2023 FSC-klagomål mail.docx", "A 57640-2023")</f>
        <v/>
      </c>
      <c r="X178">
        <f>HYPERLINK("https://klasma.github.io/Logging_0382/tillsyn/A 57640-2023 tillsynsbegäran.docx", "A 57640-2023")</f>
        <v/>
      </c>
      <c r="Y178">
        <f>HYPERLINK("https://klasma.github.io/Logging_0382/tillsynsmail/A 57640-2023 tillsynsbegäran mail.docx", "A 57640-2023")</f>
        <v/>
      </c>
    </row>
    <row r="179" ht="15" customHeight="1">
      <c r="A179" t="inlineStr">
        <is>
          <t>A 4048-2024</t>
        </is>
      </c>
      <c r="B179" s="1" t="n">
        <v>45323</v>
      </c>
      <c r="C179" s="1" t="n">
        <v>45798</v>
      </c>
      <c r="D179" t="inlineStr">
        <is>
          <t>UPPSALA LÄN</t>
        </is>
      </c>
      <c r="E179" t="inlineStr">
        <is>
          <t>ÖSTHAMMAR</t>
        </is>
      </c>
      <c r="F179" t="inlineStr">
        <is>
          <t>Övriga Aktiebolag</t>
        </is>
      </c>
      <c r="G179" t="n">
        <v>21.2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4048-2024 artfynd.xlsx", "A 4048-2024")</f>
        <v/>
      </c>
      <c r="T179">
        <f>HYPERLINK("https://klasma.github.io/Logging_0382/kartor/A 4048-2024 karta.png", "A 4048-2024")</f>
        <v/>
      </c>
      <c r="V179">
        <f>HYPERLINK("https://klasma.github.io/Logging_0382/klagomål/A 4048-2024 FSC-klagomål.docx", "A 4048-2024")</f>
        <v/>
      </c>
      <c r="W179">
        <f>HYPERLINK("https://klasma.github.io/Logging_0382/klagomålsmail/A 4048-2024 FSC-klagomål mail.docx", "A 4048-2024")</f>
        <v/>
      </c>
      <c r="X179">
        <f>HYPERLINK("https://klasma.github.io/Logging_0382/tillsyn/A 4048-2024 tillsynsbegäran.docx", "A 4048-2024")</f>
        <v/>
      </c>
      <c r="Y179">
        <f>HYPERLINK("https://klasma.github.io/Logging_0382/tillsynsmail/A 4048-2024 tillsynsbegäran mail.docx", "A 4048-2024")</f>
        <v/>
      </c>
    </row>
    <row r="180" ht="15" customHeight="1">
      <c r="A180" t="inlineStr">
        <is>
          <t>A 10210-2024</t>
        </is>
      </c>
      <c r="B180" s="1" t="n">
        <v>45364</v>
      </c>
      <c r="C180" s="1" t="n">
        <v>45798</v>
      </c>
      <c r="D180" t="inlineStr">
        <is>
          <t>UPPSALA LÄN</t>
        </is>
      </c>
      <c r="E180" t="inlineStr">
        <is>
          <t>ÖSTHAMMAR</t>
        </is>
      </c>
      <c r="F180" t="inlineStr">
        <is>
          <t>Bergvik skog öst AB</t>
        </is>
      </c>
      <c r="G180" t="n">
        <v>18</v>
      </c>
      <c r="H180" t="n">
        <v>1</v>
      </c>
      <c r="I180" t="n">
        <v>0</v>
      </c>
      <c r="J180" t="n">
        <v>0</v>
      </c>
      <c r="K180" t="n">
        <v>0</v>
      </c>
      <c r="L180" t="n">
        <v>0</v>
      </c>
      <c r="M180" t="n">
        <v>0</v>
      </c>
      <c r="N180" t="n">
        <v>0</v>
      </c>
      <c r="O180" t="n">
        <v>0</v>
      </c>
      <c r="P180" t="n">
        <v>0</v>
      </c>
      <c r="Q180" t="n">
        <v>1</v>
      </c>
      <c r="R180" s="2" t="inlineStr">
        <is>
          <t>Tjäder</t>
        </is>
      </c>
      <c r="S180">
        <f>HYPERLINK("https://klasma.github.io/Logging_0382/artfynd/A 10210-2024 artfynd.xlsx", "A 10210-2024")</f>
        <v/>
      </c>
      <c r="T180">
        <f>HYPERLINK("https://klasma.github.io/Logging_0382/kartor/A 10210-2024 karta.png", "A 10210-2024")</f>
        <v/>
      </c>
      <c r="V180">
        <f>HYPERLINK("https://klasma.github.io/Logging_0382/klagomål/A 10210-2024 FSC-klagomål.docx", "A 10210-2024")</f>
        <v/>
      </c>
      <c r="W180">
        <f>HYPERLINK("https://klasma.github.io/Logging_0382/klagomålsmail/A 10210-2024 FSC-klagomål mail.docx", "A 10210-2024")</f>
        <v/>
      </c>
      <c r="X180">
        <f>HYPERLINK("https://klasma.github.io/Logging_0382/tillsyn/A 10210-2024 tillsynsbegäran.docx", "A 10210-2024")</f>
        <v/>
      </c>
      <c r="Y180">
        <f>HYPERLINK("https://klasma.github.io/Logging_0382/tillsynsmail/A 10210-2024 tillsynsbegäran mail.docx", "A 10210-2024")</f>
        <v/>
      </c>
      <c r="Z180">
        <f>HYPERLINK("https://klasma.github.io/Logging_0382/fåglar/A 10210-2024 prioriterade fågelarter.docx", "A 10210-2024")</f>
        <v/>
      </c>
    </row>
    <row r="181" ht="15" customHeight="1">
      <c r="A181" t="inlineStr">
        <is>
          <t>A 12753-2024</t>
        </is>
      </c>
      <c r="B181" s="1" t="n">
        <v>45384</v>
      </c>
      <c r="C181" s="1" t="n">
        <v>45798</v>
      </c>
      <c r="D181" t="inlineStr">
        <is>
          <t>UPPSALA LÄN</t>
        </is>
      </c>
      <c r="E181" t="inlineStr">
        <is>
          <t>ÖSTHAMMAR</t>
        </is>
      </c>
      <c r="G181" t="n">
        <v>1.7</v>
      </c>
      <c r="H181" t="n">
        <v>0</v>
      </c>
      <c r="I181" t="n">
        <v>0</v>
      </c>
      <c r="J181" t="n">
        <v>1</v>
      </c>
      <c r="K181" t="n">
        <v>0</v>
      </c>
      <c r="L181" t="n">
        <v>0</v>
      </c>
      <c r="M181" t="n">
        <v>0</v>
      </c>
      <c r="N181" t="n">
        <v>0</v>
      </c>
      <c r="O181" t="n">
        <v>1</v>
      </c>
      <c r="P181" t="n">
        <v>0</v>
      </c>
      <c r="Q181" t="n">
        <v>1</v>
      </c>
      <c r="R181" s="2" t="inlineStr">
        <is>
          <t>Flattoppad klubbsvamp</t>
        </is>
      </c>
      <c r="S181">
        <f>HYPERLINK("https://klasma.github.io/Logging_0382/artfynd/A 12753-2024 artfynd.xlsx", "A 12753-2024")</f>
        <v/>
      </c>
      <c r="T181">
        <f>HYPERLINK("https://klasma.github.io/Logging_0382/kartor/A 12753-2024 karta.png", "A 12753-2024")</f>
        <v/>
      </c>
      <c r="V181">
        <f>HYPERLINK("https://klasma.github.io/Logging_0382/klagomål/A 12753-2024 FSC-klagomål.docx", "A 12753-2024")</f>
        <v/>
      </c>
      <c r="W181">
        <f>HYPERLINK("https://klasma.github.io/Logging_0382/klagomålsmail/A 12753-2024 FSC-klagomål mail.docx", "A 12753-2024")</f>
        <v/>
      </c>
      <c r="X181">
        <f>HYPERLINK("https://klasma.github.io/Logging_0382/tillsyn/A 12753-2024 tillsynsbegäran.docx", "A 12753-2024")</f>
        <v/>
      </c>
      <c r="Y181">
        <f>HYPERLINK("https://klasma.github.io/Logging_0382/tillsynsmail/A 12753-2024 tillsynsbegäran mail.docx", "A 12753-2024")</f>
        <v/>
      </c>
    </row>
    <row r="182" ht="15" customHeight="1">
      <c r="A182" t="inlineStr">
        <is>
          <t>A 14203-2024</t>
        </is>
      </c>
      <c r="B182" s="1" t="n">
        <v>45393</v>
      </c>
      <c r="C182" s="1" t="n">
        <v>45798</v>
      </c>
      <c r="D182" t="inlineStr">
        <is>
          <t>UPPSALA LÄN</t>
        </is>
      </c>
      <c r="E182" t="inlineStr">
        <is>
          <t>ÖSTHAMMAR</t>
        </is>
      </c>
      <c r="G182" t="n">
        <v>1.4</v>
      </c>
      <c r="H182" t="n">
        <v>0</v>
      </c>
      <c r="I182" t="n">
        <v>0</v>
      </c>
      <c r="J182" t="n">
        <v>1</v>
      </c>
      <c r="K182" t="n">
        <v>0</v>
      </c>
      <c r="L182" t="n">
        <v>0</v>
      </c>
      <c r="M182" t="n">
        <v>0</v>
      </c>
      <c r="N182" t="n">
        <v>0</v>
      </c>
      <c r="O182" t="n">
        <v>1</v>
      </c>
      <c r="P182" t="n">
        <v>0</v>
      </c>
      <c r="Q182" t="n">
        <v>1</v>
      </c>
      <c r="R182" s="2" t="inlineStr">
        <is>
          <t>Scharlakansvaxing</t>
        </is>
      </c>
      <c r="S182">
        <f>HYPERLINK("https://klasma.github.io/Logging_0382/artfynd/A 14203-2024 artfynd.xlsx", "A 14203-2024")</f>
        <v/>
      </c>
      <c r="T182">
        <f>HYPERLINK("https://klasma.github.io/Logging_0382/kartor/A 14203-2024 karta.png", "A 14203-2024")</f>
        <v/>
      </c>
      <c r="V182">
        <f>HYPERLINK("https://klasma.github.io/Logging_0382/klagomål/A 14203-2024 FSC-klagomål.docx", "A 14203-2024")</f>
        <v/>
      </c>
      <c r="W182">
        <f>HYPERLINK("https://klasma.github.io/Logging_0382/klagomålsmail/A 14203-2024 FSC-klagomål mail.docx", "A 14203-2024")</f>
        <v/>
      </c>
      <c r="X182">
        <f>HYPERLINK("https://klasma.github.io/Logging_0382/tillsyn/A 14203-2024 tillsynsbegäran.docx", "A 14203-2024")</f>
        <v/>
      </c>
      <c r="Y182">
        <f>HYPERLINK("https://klasma.github.io/Logging_0382/tillsynsmail/A 14203-2024 tillsynsbegäran mail.docx", "A 14203-2024")</f>
        <v/>
      </c>
    </row>
    <row r="183" ht="15" customHeight="1">
      <c r="A183" t="inlineStr">
        <is>
          <t>A 22375-2024</t>
        </is>
      </c>
      <c r="B183" s="1" t="n">
        <v>45446</v>
      </c>
      <c r="C183" s="1" t="n">
        <v>45798</v>
      </c>
      <c r="D183" t="inlineStr">
        <is>
          <t>UPPSALA LÄN</t>
        </is>
      </c>
      <c r="E183" t="inlineStr">
        <is>
          <t>ÖSTHAMMAR</t>
        </is>
      </c>
      <c r="F183" t="inlineStr">
        <is>
          <t>Bergvik skog öst AB</t>
        </is>
      </c>
      <c r="G183" t="n">
        <v>2.2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22375-2024 artfynd.xlsx", "A 22375-2024")</f>
        <v/>
      </c>
      <c r="T183">
        <f>HYPERLINK("https://klasma.github.io/Logging_0382/kartor/A 22375-2024 karta.png", "A 22375-2024")</f>
        <v/>
      </c>
      <c r="V183">
        <f>HYPERLINK("https://klasma.github.io/Logging_0382/klagomål/A 22375-2024 FSC-klagomål.docx", "A 22375-2024")</f>
        <v/>
      </c>
      <c r="W183">
        <f>HYPERLINK("https://klasma.github.io/Logging_0382/klagomålsmail/A 22375-2024 FSC-klagomål mail.docx", "A 22375-2024")</f>
        <v/>
      </c>
      <c r="X183">
        <f>HYPERLINK("https://klasma.github.io/Logging_0382/tillsyn/A 22375-2024 tillsynsbegäran.docx", "A 22375-2024")</f>
        <v/>
      </c>
      <c r="Y183">
        <f>HYPERLINK("https://klasma.github.io/Logging_0382/tillsynsmail/A 22375-2024 tillsynsbegäran mail.docx", "A 22375-2024")</f>
        <v/>
      </c>
    </row>
    <row r="184" ht="15" customHeight="1">
      <c r="A184" t="inlineStr">
        <is>
          <t>A 36622-2024</t>
        </is>
      </c>
      <c r="B184" s="1" t="n">
        <v>45537</v>
      </c>
      <c r="C184" s="1" t="n">
        <v>45798</v>
      </c>
      <c r="D184" t="inlineStr">
        <is>
          <t>UPPSALA LÄN</t>
        </is>
      </c>
      <c r="E184" t="inlineStr">
        <is>
          <t>ÖSTHAMMAR</t>
        </is>
      </c>
      <c r="F184" t="inlineStr">
        <is>
          <t>Bergvik skog väst AB</t>
        </is>
      </c>
      <c r="G184" t="n">
        <v>5.2</v>
      </c>
      <c r="H184" t="n">
        <v>1</v>
      </c>
      <c r="I184" t="n">
        <v>0</v>
      </c>
      <c r="J184" t="n">
        <v>0</v>
      </c>
      <c r="K184" t="n">
        <v>0</v>
      </c>
      <c r="L184" t="n">
        <v>0</v>
      </c>
      <c r="M184" t="n">
        <v>0</v>
      </c>
      <c r="N184" t="n">
        <v>0</v>
      </c>
      <c r="O184" t="n">
        <v>0</v>
      </c>
      <c r="P184" t="n">
        <v>0</v>
      </c>
      <c r="Q184" t="n">
        <v>1</v>
      </c>
      <c r="R184" s="2" t="inlineStr">
        <is>
          <t>Blåsippa</t>
        </is>
      </c>
      <c r="S184">
        <f>HYPERLINK("https://klasma.github.io/Logging_0382/artfynd/A 36622-2024 artfynd.xlsx", "A 36622-2024")</f>
        <v/>
      </c>
      <c r="T184">
        <f>HYPERLINK("https://klasma.github.io/Logging_0382/kartor/A 36622-2024 karta.png", "A 36622-2024")</f>
        <v/>
      </c>
      <c r="V184">
        <f>HYPERLINK("https://klasma.github.io/Logging_0382/klagomål/A 36622-2024 FSC-klagomål.docx", "A 36622-2024")</f>
        <v/>
      </c>
      <c r="W184">
        <f>HYPERLINK("https://klasma.github.io/Logging_0382/klagomålsmail/A 36622-2024 FSC-klagomål mail.docx", "A 36622-2024")</f>
        <v/>
      </c>
      <c r="X184">
        <f>HYPERLINK("https://klasma.github.io/Logging_0382/tillsyn/A 36622-2024 tillsynsbegäran.docx", "A 36622-2024")</f>
        <v/>
      </c>
      <c r="Y184">
        <f>HYPERLINK("https://klasma.github.io/Logging_0382/tillsynsmail/A 36622-2024 tillsynsbegäran mail.docx", "A 36622-2024")</f>
        <v/>
      </c>
    </row>
    <row r="185" ht="15" customHeight="1">
      <c r="A185" t="inlineStr">
        <is>
          <t>A 46632-2024</t>
        </is>
      </c>
      <c r="B185" s="1" t="n">
        <v>45583</v>
      </c>
      <c r="C185" s="1" t="n">
        <v>45798</v>
      </c>
      <c r="D185" t="inlineStr">
        <is>
          <t>UPPSALA LÄN</t>
        </is>
      </c>
      <c r="E185" t="inlineStr">
        <is>
          <t>ÖSTHAMMAR</t>
        </is>
      </c>
      <c r="F185" t="inlineStr">
        <is>
          <t>Bergvik skog öst AB</t>
        </is>
      </c>
      <c r="G185" t="n">
        <v>5.3</v>
      </c>
      <c r="H185" t="n">
        <v>0</v>
      </c>
      <c r="I185" t="n">
        <v>0</v>
      </c>
      <c r="J185" t="n">
        <v>1</v>
      </c>
      <c r="K185" t="n">
        <v>0</v>
      </c>
      <c r="L185" t="n">
        <v>0</v>
      </c>
      <c r="M185" t="n">
        <v>0</v>
      </c>
      <c r="N185" t="n">
        <v>0</v>
      </c>
      <c r="O185" t="n">
        <v>1</v>
      </c>
      <c r="P185" t="n">
        <v>0</v>
      </c>
      <c r="Q185" t="n">
        <v>1</v>
      </c>
      <c r="R185" s="2" t="inlineStr">
        <is>
          <t>Sexfläckig bastardsvärmare</t>
        </is>
      </c>
      <c r="S185">
        <f>HYPERLINK("https://klasma.github.io/Logging_0382/artfynd/A 46632-2024 artfynd.xlsx", "A 46632-2024")</f>
        <v/>
      </c>
      <c r="T185">
        <f>HYPERLINK("https://klasma.github.io/Logging_0382/kartor/A 46632-2024 karta.png", "A 46632-2024")</f>
        <v/>
      </c>
      <c r="V185">
        <f>HYPERLINK("https://klasma.github.io/Logging_0382/klagomål/A 46632-2024 FSC-klagomål.docx", "A 46632-2024")</f>
        <v/>
      </c>
      <c r="W185">
        <f>HYPERLINK("https://klasma.github.io/Logging_0382/klagomålsmail/A 46632-2024 FSC-klagomål mail.docx", "A 46632-2024")</f>
        <v/>
      </c>
      <c r="X185">
        <f>HYPERLINK("https://klasma.github.io/Logging_0382/tillsyn/A 46632-2024 tillsynsbegäran.docx", "A 46632-2024")</f>
        <v/>
      </c>
      <c r="Y185">
        <f>HYPERLINK("https://klasma.github.io/Logging_0382/tillsynsmail/A 46632-2024 tillsynsbegäran mail.docx", "A 46632-2024")</f>
        <v/>
      </c>
    </row>
    <row r="186" ht="15" customHeight="1">
      <c r="A186" t="inlineStr">
        <is>
          <t>A 46629-2024</t>
        </is>
      </c>
      <c r="B186" s="1" t="n">
        <v>45583</v>
      </c>
      <c r="C186" s="1" t="n">
        <v>45798</v>
      </c>
      <c r="D186" t="inlineStr">
        <is>
          <t>UPPSALA LÄN</t>
        </is>
      </c>
      <c r="E186" t="inlineStr">
        <is>
          <t>ÖSTHAMMAR</t>
        </is>
      </c>
      <c r="F186" t="inlineStr">
        <is>
          <t>Bergvik skog öst AB</t>
        </is>
      </c>
      <c r="G186" t="n">
        <v>0.7</v>
      </c>
      <c r="H186" t="n">
        <v>0</v>
      </c>
      <c r="I186" t="n">
        <v>0</v>
      </c>
      <c r="J186" t="n">
        <v>1</v>
      </c>
      <c r="K186" t="n">
        <v>0</v>
      </c>
      <c r="L186" t="n">
        <v>0</v>
      </c>
      <c r="M186" t="n">
        <v>0</v>
      </c>
      <c r="N186" t="n">
        <v>0</v>
      </c>
      <c r="O186" t="n">
        <v>1</v>
      </c>
      <c r="P186" t="n">
        <v>0</v>
      </c>
      <c r="Q186" t="n">
        <v>1</v>
      </c>
      <c r="R186" s="2" t="inlineStr">
        <is>
          <t>Slåtterfibbla</t>
        </is>
      </c>
      <c r="S186">
        <f>HYPERLINK("https://klasma.github.io/Logging_0382/artfynd/A 46629-2024 artfynd.xlsx", "A 46629-2024")</f>
        <v/>
      </c>
      <c r="T186">
        <f>HYPERLINK("https://klasma.github.io/Logging_0382/kartor/A 46629-2024 karta.png", "A 46629-2024")</f>
        <v/>
      </c>
      <c r="V186">
        <f>HYPERLINK("https://klasma.github.io/Logging_0382/klagomål/A 46629-2024 FSC-klagomål.docx", "A 46629-2024")</f>
        <v/>
      </c>
      <c r="W186">
        <f>HYPERLINK("https://klasma.github.io/Logging_0382/klagomålsmail/A 46629-2024 FSC-klagomål mail.docx", "A 46629-2024")</f>
        <v/>
      </c>
      <c r="X186">
        <f>HYPERLINK("https://klasma.github.io/Logging_0382/tillsyn/A 46629-2024 tillsynsbegäran.docx", "A 46629-2024")</f>
        <v/>
      </c>
      <c r="Y186">
        <f>HYPERLINK("https://klasma.github.io/Logging_0382/tillsynsmail/A 46629-2024 tillsynsbegäran mail.docx", "A 46629-2024")</f>
        <v/>
      </c>
    </row>
    <row r="187" ht="15" customHeight="1">
      <c r="A187" t="inlineStr">
        <is>
          <t>A 55169-2024</t>
        </is>
      </c>
      <c r="B187" s="1" t="n">
        <v>45621</v>
      </c>
      <c r="C187" s="1" t="n">
        <v>45798</v>
      </c>
      <c r="D187" t="inlineStr">
        <is>
          <t>UPPSALA LÄN</t>
        </is>
      </c>
      <c r="E187" t="inlineStr">
        <is>
          <t>ÖSTHAMMAR</t>
        </is>
      </c>
      <c r="G187" t="n">
        <v>1.1</v>
      </c>
      <c r="H187" t="n">
        <v>0</v>
      </c>
      <c r="I187" t="n">
        <v>1</v>
      </c>
      <c r="J187" t="n">
        <v>0</v>
      </c>
      <c r="K187" t="n">
        <v>0</v>
      </c>
      <c r="L187" t="n">
        <v>0</v>
      </c>
      <c r="M187" t="n">
        <v>0</v>
      </c>
      <c r="N187" t="n">
        <v>0</v>
      </c>
      <c r="O187" t="n">
        <v>0</v>
      </c>
      <c r="P187" t="n">
        <v>0</v>
      </c>
      <c r="Q187" t="n">
        <v>1</v>
      </c>
      <c r="R187" s="2" t="inlineStr">
        <is>
          <t>Svavelriska</t>
        </is>
      </c>
      <c r="S187">
        <f>HYPERLINK("https://klasma.github.io/Logging_0382/artfynd/A 55169-2024 artfynd.xlsx", "A 55169-2024")</f>
        <v/>
      </c>
      <c r="T187">
        <f>HYPERLINK("https://klasma.github.io/Logging_0382/kartor/A 55169-2024 karta.png", "A 55169-2024")</f>
        <v/>
      </c>
      <c r="V187">
        <f>HYPERLINK("https://klasma.github.io/Logging_0382/klagomål/A 55169-2024 FSC-klagomål.docx", "A 55169-2024")</f>
        <v/>
      </c>
      <c r="W187">
        <f>HYPERLINK("https://klasma.github.io/Logging_0382/klagomålsmail/A 55169-2024 FSC-klagomål mail.docx", "A 55169-2024")</f>
        <v/>
      </c>
      <c r="X187">
        <f>HYPERLINK("https://klasma.github.io/Logging_0382/tillsyn/A 55169-2024 tillsynsbegäran.docx", "A 55169-2024")</f>
        <v/>
      </c>
      <c r="Y187">
        <f>HYPERLINK("https://klasma.github.io/Logging_0382/tillsynsmail/A 55169-2024 tillsynsbegäran mail.docx", "A 55169-2024")</f>
        <v/>
      </c>
    </row>
    <row r="188" ht="15" customHeight="1">
      <c r="A188" t="inlineStr">
        <is>
          <t>A 6143-2025</t>
        </is>
      </c>
      <c r="B188" s="1" t="n">
        <v>45698</v>
      </c>
      <c r="C188" s="1" t="n">
        <v>45798</v>
      </c>
      <c r="D188" t="inlineStr">
        <is>
          <t>UPPSALA LÄN</t>
        </is>
      </c>
      <c r="E188" t="inlineStr">
        <is>
          <t>ÖSTHAMMAR</t>
        </is>
      </c>
      <c r="F188" t="inlineStr">
        <is>
          <t>Bergvik skog öst AB</t>
        </is>
      </c>
      <c r="G188" t="n">
        <v>3.6</v>
      </c>
      <c r="H188" t="n">
        <v>0</v>
      </c>
      <c r="I188" t="n">
        <v>1</v>
      </c>
      <c r="J188" t="n">
        <v>0</v>
      </c>
      <c r="K188" t="n">
        <v>0</v>
      </c>
      <c r="L188" t="n">
        <v>0</v>
      </c>
      <c r="M188" t="n">
        <v>0</v>
      </c>
      <c r="N188" t="n">
        <v>0</v>
      </c>
      <c r="O188" t="n">
        <v>0</v>
      </c>
      <c r="P188" t="n">
        <v>0</v>
      </c>
      <c r="Q188" t="n">
        <v>1</v>
      </c>
      <c r="R188" s="2" t="inlineStr">
        <is>
          <t>Svavelriska</t>
        </is>
      </c>
      <c r="S188">
        <f>HYPERLINK("https://klasma.github.io/Logging_0382/artfynd/A 6143-2025 artfynd.xlsx", "A 6143-2025")</f>
        <v/>
      </c>
      <c r="T188">
        <f>HYPERLINK("https://klasma.github.io/Logging_0382/kartor/A 6143-2025 karta.png", "A 6143-2025")</f>
        <v/>
      </c>
      <c r="V188">
        <f>HYPERLINK("https://klasma.github.io/Logging_0382/klagomål/A 6143-2025 FSC-klagomål.docx", "A 6143-2025")</f>
        <v/>
      </c>
      <c r="W188">
        <f>HYPERLINK("https://klasma.github.io/Logging_0382/klagomålsmail/A 6143-2025 FSC-klagomål mail.docx", "A 6143-2025")</f>
        <v/>
      </c>
      <c r="X188">
        <f>HYPERLINK("https://klasma.github.io/Logging_0382/tillsyn/A 6143-2025 tillsynsbegäran.docx", "A 6143-2025")</f>
        <v/>
      </c>
      <c r="Y188">
        <f>HYPERLINK("https://klasma.github.io/Logging_0382/tillsynsmail/A 6143-2025 tillsynsbegäran mail.docx", "A 6143-2025")</f>
        <v/>
      </c>
    </row>
    <row r="189" ht="15" customHeight="1">
      <c r="A189" t="inlineStr">
        <is>
          <t>A 17141-2025</t>
        </is>
      </c>
      <c r="B189" s="1" t="n">
        <v>45755</v>
      </c>
      <c r="C189" s="1" t="n">
        <v>45798</v>
      </c>
      <c r="D189" t="inlineStr">
        <is>
          <t>UPPSALA LÄN</t>
        </is>
      </c>
      <c r="E189" t="inlineStr">
        <is>
          <t>ÖSTHAMMAR</t>
        </is>
      </c>
      <c r="F189" t="inlineStr">
        <is>
          <t>Bergvik skog öst AB</t>
        </is>
      </c>
      <c r="G189" t="n">
        <v>7</v>
      </c>
      <c r="H189" t="n">
        <v>1</v>
      </c>
      <c r="I189" t="n">
        <v>1</v>
      </c>
      <c r="J189" t="n">
        <v>0</v>
      </c>
      <c r="K189" t="n">
        <v>0</v>
      </c>
      <c r="L189" t="n">
        <v>0</v>
      </c>
      <c r="M189" t="n">
        <v>0</v>
      </c>
      <c r="N189" t="n">
        <v>0</v>
      </c>
      <c r="O189" t="n">
        <v>0</v>
      </c>
      <c r="P189" t="n">
        <v>0</v>
      </c>
      <c r="Q189" t="n">
        <v>1</v>
      </c>
      <c r="R189" s="2" t="inlineStr">
        <is>
          <t>Grönkulla</t>
        </is>
      </c>
      <c r="S189">
        <f>HYPERLINK("https://klasma.github.io/Logging_030382/artfynd/A 17141-2025 artfynd.xlsx", "A 17141-2025")</f>
        <v/>
      </c>
      <c r="T189">
        <f>HYPERLINK("https://klasma.github.io/Logging_030382/kartor/A 17141-2025 karta.png", "A 17141-2025")</f>
        <v/>
      </c>
      <c r="V189">
        <f>HYPERLINK("https://klasma.github.io/Logging_030382/klagomål/A 17141-2025 FSC-klagomål.docx", "A 17141-2025")</f>
        <v/>
      </c>
      <c r="W189">
        <f>HYPERLINK("https://klasma.github.io/Logging_030382/klagomålsmail/A 17141-2025 FSC-klagomål mail.docx", "A 17141-2025")</f>
        <v/>
      </c>
      <c r="X189">
        <f>HYPERLINK("https://klasma.github.io/Logging_030382/tillsyn/A 17141-2025 tillsynsbegäran.docx", "A 17141-2025")</f>
        <v/>
      </c>
      <c r="Y189">
        <f>HYPERLINK("https://klasma.github.io/Logging_030382/tillsynsmail/A 17141-2025 tillsynsbegäran mail.docx", "A 17141-2025")</f>
        <v/>
      </c>
    </row>
    <row r="190" ht="15" customHeight="1">
      <c r="A190" t="inlineStr">
        <is>
          <t>A 18596-2019</t>
        </is>
      </c>
      <c r="B190" s="1" t="n">
        <v>43560</v>
      </c>
      <c r="C190" s="1" t="n">
        <v>45798</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18781-2019</t>
        </is>
      </c>
      <c r="B191" s="1" t="n">
        <v>43561</v>
      </c>
      <c r="C191" s="1" t="n">
        <v>45798</v>
      </c>
      <c r="D191" t="inlineStr">
        <is>
          <t>UPPSALA LÄN</t>
        </is>
      </c>
      <c r="E191" t="inlineStr">
        <is>
          <t>ÖSTHAMMAR</t>
        </is>
      </c>
      <c r="F191" t="inlineStr">
        <is>
          <t>Bergvik skog öst AB</t>
        </is>
      </c>
      <c r="G191" t="n">
        <v>0.7</v>
      </c>
      <c r="H191" t="n">
        <v>0</v>
      </c>
      <c r="I191" t="n">
        <v>0</v>
      </c>
      <c r="J191" t="n">
        <v>0</v>
      </c>
      <c r="K191" t="n">
        <v>0</v>
      </c>
      <c r="L191" t="n">
        <v>0</v>
      </c>
      <c r="M191" t="n">
        <v>0</v>
      </c>
      <c r="N191" t="n">
        <v>0</v>
      </c>
      <c r="O191" t="n">
        <v>0</v>
      </c>
      <c r="P191" t="n">
        <v>0</v>
      </c>
      <c r="Q191" t="n">
        <v>0</v>
      </c>
      <c r="R191" s="2" t="inlineStr"/>
    </row>
    <row r="192" ht="15" customHeight="1">
      <c r="A192" t="inlineStr">
        <is>
          <t>A 18792-2019</t>
        </is>
      </c>
      <c r="B192" s="1" t="n">
        <v>43562</v>
      </c>
      <c r="C192" s="1" t="n">
        <v>45798</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18800-2019</t>
        </is>
      </c>
      <c r="B193" s="1" t="n">
        <v>43562</v>
      </c>
      <c r="C193" s="1" t="n">
        <v>45798</v>
      </c>
      <c r="D193" t="inlineStr">
        <is>
          <t>UPPSALA LÄN</t>
        </is>
      </c>
      <c r="E193" t="inlineStr">
        <is>
          <t>ÖSTHAMMAR</t>
        </is>
      </c>
      <c r="F193" t="inlineStr">
        <is>
          <t>Bergvik skog öst AB</t>
        </is>
      </c>
      <c r="G193" t="n">
        <v>1.6</v>
      </c>
      <c r="H193" t="n">
        <v>0</v>
      </c>
      <c r="I193" t="n">
        <v>0</v>
      </c>
      <c r="J193" t="n">
        <v>0</v>
      </c>
      <c r="K193" t="n">
        <v>0</v>
      </c>
      <c r="L193" t="n">
        <v>0</v>
      </c>
      <c r="M193" t="n">
        <v>0</v>
      </c>
      <c r="N193" t="n">
        <v>0</v>
      </c>
      <c r="O193" t="n">
        <v>0</v>
      </c>
      <c r="P193" t="n">
        <v>0</v>
      </c>
      <c r="Q193" t="n">
        <v>0</v>
      </c>
      <c r="R193" s="2" t="inlineStr"/>
    </row>
    <row r="194" ht="15" customHeight="1">
      <c r="A194" t="inlineStr">
        <is>
          <t>A 20683-2019</t>
        </is>
      </c>
      <c r="B194" s="1" t="n">
        <v>43573</v>
      </c>
      <c r="C194" s="1" t="n">
        <v>45798</v>
      </c>
      <c r="D194" t="inlineStr">
        <is>
          <t>UPPSALA LÄN</t>
        </is>
      </c>
      <c r="E194" t="inlineStr">
        <is>
          <t>ÖSTHAMMAR</t>
        </is>
      </c>
      <c r="G194" t="n">
        <v>2.6</v>
      </c>
      <c r="H194" t="n">
        <v>0</v>
      </c>
      <c r="I194" t="n">
        <v>0</v>
      </c>
      <c r="J194" t="n">
        <v>0</v>
      </c>
      <c r="K194" t="n">
        <v>0</v>
      </c>
      <c r="L194" t="n">
        <v>0</v>
      </c>
      <c r="M194" t="n">
        <v>0</v>
      </c>
      <c r="N194" t="n">
        <v>0</v>
      </c>
      <c r="O194" t="n">
        <v>0</v>
      </c>
      <c r="P194" t="n">
        <v>0</v>
      </c>
      <c r="Q194" t="n">
        <v>0</v>
      </c>
      <c r="R194" s="2" t="inlineStr"/>
    </row>
    <row r="195" ht="15" customHeight="1">
      <c r="A195" t="inlineStr">
        <is>
          <t>A 21471-2019</t>
        </is>
      </c>
      <c r="B195" s="1" t="n">
        <v>43580</v>
      </c>
      <c r="C195" s="1" t="n">
        <v>45798</v>
      </c>
      <c r="D195" t="inlineStr">
        <is>
          <t>UPPSALA LÄN</t>
        </is>
      </c>
      <c r="E195" t="inlineStr">
        <is>
          <t>ÖSTHAMMAR</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22800-2019</t>
        </is>
      </c>
      <c r="B196" s="1" t="n">
        <v>43590</v>
      </c>
      <c r="C196" s="1" t="n">
        <v>45798</v>
      </c>
      <c r="D196" t="inlineStr">
        <is>
          <t>UPPSALA LÄN</t>
        </is>
      </c>
      <c r="E196" t="inlineStr">
        <is>
          <t>ÖSTHAMMAR</t>
        </is>
      </c>
      <c r="G196" t="n">
        <v>1.5</v>
      </c>
      <c r="H196" t="n">
        <v>0</v>
      </c>
      <c r="I196" t="n">
        <v>0</v>
      </c>
      <c r="J196" t="n">
        <v>0</v>
      </c>
      <c r="K196" t="n">
        <v>0</v>
      </c>
      <c r="L196" t="n">
        <v>0</v>
      </c>
      <c r="M196" t="n">
        <v>0</v>
      </c>
      <c r="N196" t="n">
        <v>0</v>
      </c>
      <c r="O196" t="n">
        <v>0</v>
      </c>
      <c r="P196" t="n">
        <v>0</v>
      </c>
      <c r="Q196" t="n">
        <v>0</v>
      </c>
      <c r="R196" s="2" t="inlineStr"/>
      <c r="U196">
        <f>HYPERLINK("https://klasma.github.io/Logging_0382/knärot/A 22800-2019 karta knärot.png", "A 22800-2019")</f>
        <v/>
      </c>
      <c r="V196">
        <f>HYPERLINK("https://klasma.github.io/Logging_0382/klagomål/A 22800-2019 FSC-klagomål.docx", "A 22800-2019")</f>
        <v/>
      </c>
      <c r="W196">
        <f>HYPERLINK("https://klasma.github.io/Logging_0382/klagomålsmail/A 22800-2019 FSC-klagomål mail.docx", "A 22800-2019")</f>
        <v/>
      </c>
      <c r="X196">
        <f>HYPERLINK("https://klasma.github.io/Logging_0382/tillsyn/A 22800-2019 tillsynsbegäran.docx", "A 22800-2019")</f>
        <v/>
      </c>
      <c r="Y196">
        <f>HYPERLINK("https://klasma.github.io/Logging_0382/tillsynsmail/A 22800-2019 tillsynsbegäran mail.docx", "A 22800-2019")</f>
        <v/>
      </c>
    </row>
    <row r="197" ht="15" customHeight="1">
      <c r="A197" t="inlineStr">
        <is>
          <t>A 22801-2019</t>
        </is>
      </c>
      <c r="B197" s="1" t="n">
        <v>43590</v>
      </c>
      <c r="C197" s="1" t="n">
        <v>45798</v>
      </c>
      <c r="D197" t="inlineStr">
        <is>
          <t>UPPSALA LÄN</t>
        </is>
      </c>
      <c r="E197" t="inlineStr">
        <is>
          <t>ÖSTHAMMAR</t>
        </is>
      </c>
      <c r="G197" t="n">
        <v>2.2</v>
      </c>
      <c r="H197" t="n">
        <v>0</v>
      </c>
      <c r="I197" t="n">
        <v>0</v>
      </c>
      <c r="J197" t="n">
        <v>0</v>
      </c>
      <c r="K197" t="n">
        <v>0</v>
      </c>
      <c r="L197" t="n">
        <v>0</v>
      </c>
      <c r="M197" t="n">
        <v>0</v>
      </c>
      <c r="N197" t="n">
        <v>0</v>
      </c>
      <c r="O197" t="n">
        <v>0</v>
      </c>
      <c r="P197" t="n">
        <v>0</v>
      </c>
      <c r="Q197" t="n">
        <v>0</v>
      </c>
      <c r="R197" s="2" t="inlineStr"/>
    </row>
    <row r="198" ht="15" customHeight="1">
      <c r="A198" t="inlineStr">
        <is>
          <t>A 23008-2019</t>
        </is>
      </c>
      <c r="B198" s="1" t="n">
        <v>43591</v>
      </c>
      <c r="C198" s="1" t="n">
        <v>45798</v>
      </c>
      <c r="D198" t="inlineStr">
        <is>
          <t>UPPSALA LÄN</t>
        </is>
      </c>
      <c r="E198" t="inlineStr">
        <is>
          <t>ÖSTHAMMAR</t>
        </is>
      </c>
      <c r="G198" t="n">
        <v>4.5</v>
      </c>
      <c r="H198" t="n">
        <v>0</v>
      </c>
      <c r="I198" t="n">
        <v>0</v>
      </c>
      <c r="J198" t="n">
        <v>0</v>
      </c>
      <c r="K198" t="n">
        <v>0</v>
      </c>
      <c r="L198" t="n">
        <v>0</v>
      </c>
      <c r="M198" t="n">
        <v>0</v>
      </c>
      <c r="N198" t="n">
        <v>0</v>
      </c>
      <c r="O198" t="n">
        <v>0</v>
      </c>
      <c r="P198" t="n">
        <v>0</v>
      </c>
      <c r="Q198" t="n">
        <v>0</v>
      </c>
      <c r="R198" s="2" t="inlineStr"/>
    </row>
    <row r="199" ht="15" customHeight="1">
      <c r="A199" t="inlineStr">
        <is>
          <t>A 25874-2019</t>
        </is>
      </c>
      <c r="B199" s="1" t="n">
        <v>43605</v>
      </c>
      <c r="C199" s="1" t="n">
        <v>45798</v>
      </c>
      <c r="D199" t="inlineStr">
        <is>
          <t>UPPSALA LÄN</t>
        </is>
      </c>
      <c r="E199" t="inlineStr">
        <is>
          <t>ÖSTHAMMAR</t>
        </is>
      </c>
      <c r="G199" t="n">
        <v>1.1</v>
      </c>
      <c r="H199" t="n">
        <v>0</v>
      </c>
      <c r="I199" t="n">
        <v>0</v>
      </c>
      <c r="J199" t="n">
        <v>0</v>
      </c>
      <c r="K199" t="n">
        <v>0</v>
      </c>
      <c r="L199" t="n">
        <v>0</v>
      </c>
      <c r="M199" t="n">
        <v>0</v>
      </c>
      <c r="N199" t="n">
        <v>0</v>
      </c>
      <c r="O199" t="n">
        <v>0</v>
      </c>
      <c r="P199" t="n">
        <v>0</v>
      </c>
      <c r="Q199" t="n">
        <v>0</v>
      </c>
      <c r="R199" s="2" t="inlineStr"/>
    </row>
    <row r="200" ht="15" customHeight="1">
      <c r="A200" t="inlineStr">
        <is>
          <t>A 25703-2019</t>
        </is>
      </c>
      <c r="B200" s="1" t="n">
        <v>43607</v>
      </c>
      <c r="C200" s="1" t="n">
        <v>45798</v>
      </c>
      <c r="D200" t="inlineStr">
        <is>
          <t>UPPSALA LÄN</t>
        </is>
      </c>
      <c r="E200" t="inlineStr">
        <is>
          <t>ÖSTHAMMAR</t>
        </is>
      </c>
      <c r="F200" t="inlineStr">
        <is>
          <t>Bergvik skog öst AB</t>
        </is>
      </c>
      <c r="G200" t="n">
        <v>2.2</v>
      </c>
      <c r="H200" t="n">
        <v>0</v>
      </c>
      <c r="I200" t="n">
        <v>0</v>
      </c>
      <c r="J200" t="n">
        <v>0</v>
      </c>
      <c r="K200" t="n">
        <v>0</v>
      </c>
      <c r="L200" t="n">
        <v>0</v>
      </c>
      <c r="M200" t="n">
        <v>0</v>
      </c>
      <c r="N200" t="n">
        <v>0</v>
      </c>
      <c r="O200" t="n">
        <v>0</v>
      </c>
      <c r="P200" t="n">
        <v>0</v>
      </c>
      <c r="Q200" t="n">
        <v>0</v>
      </c>
      <c r="R200" s="2" t="inlineStr"/>
    </row>
    <row r="201" ht="15" customHeight="1">
      <c r="A201" t="inlineStr">
        <is>
          <t>A 25708-2019</t>
        </is>
      </c>
      <c r="B201" s="1" t="n">
        <v>43607</v>
      </c>
      <c r="C201" s="1" t="n">
        <v>45798</v>
      </c>
      <c r="D201" t="inlineStr">
        <is>
          <t>UPPSALA LÄN</t>
        </is>
      </c>
      <c r="E201" t="inlineStr">
        <is>
          <t>ÖSTHAMMAR</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25706-2019</t>
        </is>
      </c>
      <c r="B202" s="1" t="n">
        <v>43607</v>
      </c>
      <c r="C202" s="1" t="n">
        <v>45798</v>
      </c>
      <c r="D202" t="inlineStr">
        <is>
          <t>UPPSALA LÄN</t>
        </is>
      </c>
      <c r="E202" t="inlineStr">
        <is>
          <t>ÖSTHAMMAR</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26562-2019</t>
        </is>
      </c>
      <c r="B203" s="1" t="n">
        <v>43612</v>
      </c>
      <c r="C203" s="1" t="n">
        <v>45798</v>
      </c>
      <c r="D203" t="inlineStr">
        <is>
          <t>UPPSALA LÄN</t>
        </is>
      </c>
      <c r="E203" t="inlineStr">
        <is>
          <t>ÖSTHAMMAR</t>
        </is>
      </c>
      <c r="G203" t="n">
        <v>3.2</v>
      </c>
      <c r="H203" t="n">
        <v>0</v>
      </c>
      <c r="I203" t="n">
        <v>0</v>
      </c>
      <c r="J203" t="n">
        <v>0</v>
      </c>
      <c r="K203" t="n">
        <v>0</v>
      </c>
      <c r="L203" t="n">
        <v>0</v>
      </c>
      <c r="M203" t="n">
        <v>0</v>
      </c>
      <c r="N203" t="n">
        <v>0</v>
      </c>
      <c r="O203" t="n">
        <v>0</v>
      </c>
      <c r="P203" t="n">
        <v>0</v>
      </c>
      <c r="Q203" t="n">
        <v>0</v>
      </c>
      <c r="R203" s="2" t="inlineStr"/>
    </row>
    <row r="204" ht="15" customHeight="1">
      <c r="A204" t="inlineStr">
        <is>
          <t>A 26724-2019</t>
        </is>
      </c>
      <c r="B204" s="1" t="n">
        <v>43613</v>
      </c>
      <c r="C204" s="1" t="n">
        <v>45798</v>
      </c>
      <c r="D204" t="inlineStr">
        <is>
          <t>UPPSALA LÄN</t>
        </is>
      </c>
      <c r="E204" t="inlineStr">
        <is>
          <t>ÖSTHAMMAR</t>
        </is>
      </c>
      <c r="F204" t="inlineStr">
        <is>
          <t>Bergvik skog öst AB</t>
        </is>
      </c>
      <c r="G204" t="n">
        <v>1.5</v>
      </c>
      <c r="H204" t="n">
        <v>0</v>
      </c>
      <c r="I204" t="n">
        <v>0</v>
      </c>
      <c r="J204" t="n">
        <v>0</v>
      </c>
      <c r="K204" t="n">
        <v>0</v>
      </c>
      <c r="L204" t="n">
        <v>0</v>
      </c>
      <c r="M204" t="n">
        <v>0</v>
      </c>
      <c r="N204" t="n">
        <v>0</v>
      </c>
      <c r="O204" t="n">
        <v>0</v>
      </c>
      <c r="P204" t="n">
        <v>0</v>
      </c>
      <c r="Q204" t="n">
        <v>0</v>
      </c>
      <c r="R204" s="2" t="inlineStr"/>
    </row>
    <row r="205" ht="15" customHeight="1">
      <c r="A205" t="inlineStr">
        <is>
          <t>A 26796-2019</t>
        </is>
      </c>
      <c r="B205" s="1" t="n">
        <v>43613</v>
      </c>
      <c r="C205" s="1" t="n">
        <v>45798</v>
      </c>
      <c r="D205" t="inlineStr">
        <is>
          <t>UPPSALA LÄN</t>
        </is>
      </c>
      <c r="E205" t="inlineStr">
        <is>
          <t>ÖSTHAMMAR</t>
        </is>
      </c>
      <c r="F205" t="inlineStr">
        <is>
          <t>Bergvik skog öst AB</t>
        </is>
      </c>
      <c r="G205" t="n">
        <v>4.4</v>
      </c>
      <c r="H205" t="n">
        <v>0</v>
      </c>
      <c r="I205" t="n">
        <v>0</v>
      </c>
      <c r="J205" t="n">
        <v>0</v>
      </c>
      <c r="K205" t="n">
        <v>0</v>
      </c>
      <c r="L205" t="n">
        <v>0</v>
      </c>
      <c r="M205" t="n">
        <v>0</v>
      </c>
      <c r="N205" t="n">
        <v>0</v>
      </c>
      <c r="O205" t="n">
        <v>0</v>
      </c>
      <c r="P205" t="n">
        <v>0</v>
      </c>
      <c r="Q205" t="n">
        <v>0</v>
      </c>
      <c r="R205" s="2" t="inlineStr"/>
    </row>
    <row r="206" ht="15" customHeight="1">
      <c r="A206" t="inlineStr">
        <is>
          <t>A 27458-2019</t>
        </is>
      </c>
      <c r="B206" s="1" t="n">
        <v>43618</v>
      </c>
      <c r="C206" s="1" t="n">
        <v>45798</v>
      </c>
      <c r="D206" t="inlineStr">
        <is>
          <t>UPPSALA LÄN</t>
        </is>
      </c>
      <c r="E206" t="inlineStr">
        <is>
          <t>ÖSTHAMMAR</t>
        </is>
      </c>
      <c r="F206" t="inlineStr">
        <is>
          <t>Bergvik skog öst AB</t>
        </is>
      </c>
      <c r="G206" t="n">
        <v>1.8</v>
      </c>
      <c r="H206" t="n">
        <v>0</v>
      </c>
      <c r="I206" t="n">
        <v>0</v>
      </c>
      <c r="J206" t="n">
        <v>0</v>
      </c>
      <c r="K206" t="n">
        <v>0</v>
      </c>
      <c r="L206" t="n">
        <v>0</v>
      </c>
      <c r="M206" t="n">
        <v>0</v>
      </c>
      <c r="N206" t="n">
        <v>0</v>
      </c>
      <c r="O206" t="n">
        <v>0</v>
      </c>
      <c r="P206" t="n">
        <v>0</v>
      </c>
      <c r="Q206" t="n">
        <v>0</v>
      </c>
      <c r="R206" s="2" t="inlineStr"/>
    </row>
    <row r="207" ht="15" customHeight="1">
      <c r="A207" t="inlineStr">
        <is>
          <t>A 29204-2019</t>
        </is>
      </c>
      <c r="B207" s="1" t="n">
        <v>43623</v>
      </c>
      <c r="C207" s="1" t="n">
        <v>45798</v>
      </c>
      <c r="D207" t="inlineStr">
        <is>
          <t>UPPSALA LÄN</t>
        </is>
      </c>
      <c r="E207" t="inlineStr">
        <is>
          <t>ÖSTHAMMAR</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31106-2019</t>
        </is>
      </c>
      <c r="B208" s="1" t="n">
        <v>43635</v>
      </c>
      <c r="C208" s="1" t="n">
        <v>45798</v>
      </c>
      <c r="D208" t="inlineStr">
        <is>
          <t>UPPSALA LÄN</t>
        </is>
      </c>
      <c r="E208" t="inlineStr">
        <is>
          <t>ÖSTHAMMAR</t>
        </is>
      </c>
      <c r="F208" t="inlineStr">
        <is>
          <t>Övriga statliga verk och myndigheter</t>
        </is>
      </c>
      <c r="G208" t="n">
        <v>1.5</v>
      </c>
      <c r="H208" t="n">
        <v>0</v>
      </c>
      <c r="I208" t="n">
        <v>0</v>
      </c>
      <c r="J208" t="n">
        <v>0</v>
      </c>
      <c r="K208" t="n">
        <v>0</v>
      </c>
      <c r="L208" t="n">
        <v>0</v>
      </c>
      <c r="M208" t="n">
        <v>0</v>
      </c>
      <c r="N208" t="n">
        <v>0</v>
      </c>
      <c r="O208" t="n">
        <v>0</v>
      </c>
      <c r="P208" t="n">
        <v>0</v>
      </c>
      <c r="Q208" t="n">
        <v>0</v>
      </c>
      <c r="R208" s="2" t="inlineStr"/>
    </row>
    <row r="209" ht="15" customHeight="1">
      <c r="A209" t="inlineStr">
        <is>
          <t>A 31716-2019</t>
        </is>
      </c>
      <c r="B209" s="1" t="n">
        <v>43642</v>
      </c>
      <c r="C209" s="1" t="n">
        <v>45798</v>
      </c>
      <c r="D209" t="inlineStr">
        <is>
          <t>UPPSALA LÄN</t>
        </is>
      </c>
      <c r="E209" t="inlineStr">
        <is>
          <t>ÖSTHAMMAR</t>
        </is>
      </c>
      <c r="G209" t="n">
        <v>1.5</v>
      </c>
      <c r="H209" t="n">
        <v>0</v>
      </c>
      <c r="I209" t="n">
        <v>0</v>
      </c>
      <c r="J209" t="n">
        <v>0</v>
      </c>
      <c r="K209" t="n">
        <v>0</v>
      </c>
      <c r="L209" t="n">
        <v>0</v>
      </c>
      <c r="M209" t="n">
        <v>0</v>
      </c>
      <c r="N209" t="n">
        <v>0</v>
      </c>
      <c r="O209" t="n">
        <v>0</v>
      </c>
      <c r="P209" t="n">
        <v>0</v>
      </c>
      <c r="Q209" t="n">
        <v>0</v>
      </c>
      <c r="R209" s="2" t="inlineStr"/>
    </row>
    <row r="210" ht="15" customHeight="1">
      <c r="A210" t="inlineStr">
        <is>
          <t>A 31882-2019</t>
        </is>
      </c>
      <c r="B210" s="1" t="n">
        <v>43642</v>
      </c>
      <c r="C210" s="1" t="n">
        <v>45798</v>
      </c>
      <c r="D210" t="inlineStr">
        <is>
          <t>UPPSALA LÄN</t>
        </is>
      </c>
      <c r="E210" t="inlineStr">
        <is>
          <t>ÖSTHAMMAR</t>
        </is>
      </c>
      <c r="G210" t="n">
        <v>3.5</v>
      </c>
      <c r="H210" t="n">
        <v>0</v>
      </c>
      <c r="I210" t="n">
        <v>0</v>
      </c>
      <c r="J210" t="n">
        <v>0</v>
      </c>
      <c r="K210" t="n">
        <v>0</v>
      </c>
      <c r="L210" t="n">
        <v>0</v>
      </c>
      <c r="M210" t="n">
        <v>0</v>
      </c>
      <c r="N210" t="n">
        <v>0</v>
      </c>
      <c r="O210" t="n">
        <v>0</v>
      </c>
      <c r="P210" t="n">
        <v>0</v>
      </c>
      <c r="Q210" t="n">
        <v>0</v>
      </c>
      <c r="R210" s="2" t="inlineStr"/>
    </row>
    <row r="211" ht="15" customHeight="1">
      <c r="A211" t="inlineStr">
        <is>
          <t>A 32718-2019</t>
        </is>
      </c>
      <c r="B211" s="1" t="n">
        <v>43647</v>
      </c>
      <c r="C211" s="1" t="n">
        <v>45798</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33532-2019</t>
        </is>
      </c>
      <c r="B212" s="1" t="n">
        <v>43651</v>
      </c>
      <c r="C212" s="1" t="n">
        <v>45798</v>
      </c>
      <c r="D212" t="inlineStr">
        <is>
          <t>UPPSALA LÄN</t>
        </is>
      </c>
      <c r="E212" t="inlineStr">
        <is>
          <t>ÖSTHAMMAR</t>
        </is>
      </c>
      <c r="G212" t="n">
        <v>1.6</v>
      </c>
      <c r="H212" t="n">
        <v>0</v>
      </c>
      <c r="I212" t="n">
        <v>0</v>
      </c>
      <c r="J212" t="n">
        <v>0</v>
      </c>
      <c r="K212" t="n">
        <v>0</v>
      </c>
      <c r="L212" t="n">
        <v>0</v>
      </c>
      <c r="M212" t="n">
        <v>0</v>
      </c>
      <c r="N212" t="n">
        <v>0</v>
      </c>
      <c r="O212" t="n">
        <v>0</v>
      </c>
      <c r="P212" t="n">
        <v>0</v>
      </c>
      <c r="Q212" t="n">
        <v>0</v>
      </c>
      <c r="R212" s="2" t="inlineStr"/>
    </row>
    <row r="213" ht="15" customHeight="1">
      <c r="A213" t="inlineStr">
        <is>
          <t>A 33544-2019</t>
        </is>
      </c>
      <c r="B213" s="1" t="n">
        <v>43651</v>
      </c>
      <c r="C213" s="1" t="n">
        <v>45798</v>
      </c>
      <c r="D213" t="inlineStr">
        <is>
          <t>UPPSALA LÄN</t>
        </is>
      </c>
      <c r="E213" t="inlineStr">
        <is>
          <t>ÖSTHAMMAR</t>
        </is>
      </c>
      <c r="G213" t="n">
        <v>4.3</v>
      </c>
      <c r="H213" t="n">
        <v>0</v>
      </c>
      <c r="I213" t="n">
        <v>0</v>
      </c>
      <c r="J213" t="n">
        <v>0</v>
      </c>
      <c r="K213" t="n">
        <v>0</v>
      </c>
      <c r="L213" t="n">
        <v>0</v>
      </c>
      <c r="M213" t="n">
        <v>0</v>
      </c>
      <c r="N213" t="n">
        <v>0</v>
      </c>
      <c r="O213" t="n">
        <v>0</v>
      </c>
      <c r="P213" t="n">
        <v>0</v>
      </c>
      <c r="Q213" t="n">
        <v>0</v>
      </c>
      <c r="R213" s="2" t="inlineStr"/>
    </row>
    <row r="214" ht="15" customHeight="1">
      <c r="A214" t="inlineStr">
        <is>
          <t>A 33539-2019</t>
        </is>
      </c>
      <c r="B214" s="1" t="n">
        <v>43651</v>
      </c>
      <c r="C214" s="1" t="n">
        <v>45798</v>
      </c>
      <c r="D214" t="inlineStr">
        <is>
          <t>UPPSALA LÄN</t>
        </is>
      </c>
      <c r="E214" t="inlineStr">
        <is>
          <t>ÖSTHAMMAR</t>
        </is>
      </c>
      <c r="G214" t="n">
        <v>4.6</v>
      </c>
      <c r="H214" t="n">
        <v>0</v>
      </c>
      <c r="I214" t="n">
        <v>0</v>
      </c>
      <c r="J214" t="n">
        <v>0</v>
      </c>
      <c r="K214" t="n">
        <v>0</v>
      </c>
      <c r="L214" t="n">
        <v>0</v>
      </c>
      <c r="M214" t="n">
        <v>0</v>
      </c>
      <c r="N214" t="n">
        <v>0</v>
      </c>
      <c r="O214" t="n">
        <v>0</v>
      </c>
      <c r="P214" t="n">
        <v>0</v>
      </c>
      <c r="Q214" t="n">
        <v>0</v>
      </c>
      <c r="R214" s="2" t="inlineStr"/>
    </row>
    <row r="215" ht="15" customHeight="1">
      <c r="A215" t="inlineStr">
        <is>
          <t>A 33551-2019</t>
        </is>
      </c>
      <c r="B215" s="1" t="n">
        <v>43651</v>
      </c>
      <c r="C215" s="1" t="n">
        <v>45798</v>
      </c>
      <c r="D215" t="inlineStr">
        <is>
          <t>UPPSALA LÄN</t>
        </is>
      </c>
      <c r="E215" t="inlineStr">
        <is>
          <t>ÖSTHAMMAR</t>
        </is>
      </c>
      <c r="G215" t="n">
        <v>1.5</v>
      </c>
      <c r="H215" t="n">
        <v>0</v>
      </c>
      <c r="I215" t="n">
        <v>0</v>
      </c>
      <c r="J215" t="n">
        <v>0</v>
      </c>
      <c r="K215" t="n">
        <v>0</v>
      </c>
      <c r="L215" t="n">
        <v>0</v>
      </c>
      <c r="M215" t="n">
        <v>0</v>
      </c>
      <c r="N215" t="n">
        <v>0</v>
      </c>
      <c r="O215" t="n">
        <v>0</v>
      </c>
      <c r="P215" t="n">
        <v>0</v>
      </c>
      <c r="Q215" t="n">
        <v>0</v>
      </c>
      <c r="R215" s="2" t="inlineStr"/>
    </row>
    <row r="216" ht="15" customHeight="1">
      <c r="A216" t="inlineStr">
        <is>
          <t>A 33784-2019</t>
        </is>
      </c>
      <c r="B216" s="1" t="n">
        <v>43651</v>
      </c>
      <c r="C216" s="1" t="n">
        <v>45798</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39582-2019</t>
        </is>
      </c>
      <c r="B217" s="1" t="n">
        <v>43686</v>
      </c>
      <c r="C217" s="1" t="n">
        <v>45798</v>
      </c>
      <c r="D217" t="inlineStr">
        <is>
          <t>UPPSALA LÄN</t>
        </is>
      </c>
      <c r="E217" t="inlineStr">
        <is>
          <t>ÖSTHAMMAR</t>
        </is>
      </c>
      <c r="G217" t="n">
        <v>12.2</v>
      </c>
      <c r="H217" t="n">
        <v>0</v>
      </c>
      <c r="I217" t="n">
        <v>0</v>
      </c>
      <c r="J217" t="n">
        <v>0</v>
      </c>
      <c r="K217" t="n">
        <v>0</v>
      </c>
      <c r="L217" t="n">
        <v>0</v>
      </c>
      <c r="M217" t="n">
        <v>0</v>
      </c>
      <c r="N217" t="n">
        <v>0</v>
      </c>
      <c r="O217" t="n">
        <v>0</v>
      </c>
      <c r="P217" t="n">
        <v>0</v>
      </c>
      <c r="Q217" t="n">
        <v>0</v>
      </c>
      <c r="R217" s="2" t="inlineStr"/>
    </row>
    <row r="218" ht="15" customHeight="1">
      <c r="A218" t="inlineStr">
        <is>
          <t>A 39910-2019</t>
        </is>
      </c>
      <c r="B218" s="1" t="n">
        <v>43692</v>
      </c>
      <c r="C218" s="1" t="n">
        <v>45798</v>
      </c>
      <c r="D218" t="inlineStr">
        <is>
          <t>UPPSALA LÄN</t>
        </is>
      </c>
      <c r="E218" t="inlineStr">
        <is>
          <t>ÖSTHAMMAR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41697-2019</t>
        </is>
      </c>
      <c r="B219" s="1" t="n">
        <v>43699</v>
      </c>
      <c r="C219" s="1" t="n">
        <v>45798</v>
      </c>
      <c r="D219" t="inlineStr">
        <is>
          <t>UPPSALA LÄN</t>
        </is>
      </c>
      <c r="E219" t="inlineStr">
        <is>
          <t>ÖSTHAMMAR</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41539-2019</t>
        </is>
      </c>
      <c r="B220" s="1" t="n">
        <v>43699</v>
      </c>
      <c r="C220" s="1" t="n">
        <v>45798</v>
      </c>
      <c r="D220" t="inlineStr">
        <is>
          <t>UPPSALA LÄN</t>
        </is>
      </c>
      <c r="E220" t="inlineStr">
        <is>
          <t>ÖSTHAMMAR</t>
        </is>
      </c>
      <c r="G220" t="n">
        <v>0.5</v>
      </c>
      <c r="H220" t="n">
        <v>0</v>
      </c>
      <c r="I220" t="n">
        <v>0</v>
      </c>
      <c r="J220" t="n">
        <v>0</v>
      </c>
      <c r="K220" t="n">
        <v>0</v>
      </c>
      <c r="L220" t="n">
        <v>0</v>
      </c>
      <c r="M220" t="n">
        <v>0</v>
      </c>
      <c r="N220" t="n">
        <v>0</v>
      </c>
      <c r="O220" t="n">
        <v>0</v>
      </c>
      <c r="P220" t="n">
        <v>0</v>
      </c>
      <c r="Q220" t="n">
        <v>0</v>
      </c>
      <c r="R220" s="2" t="inlineStr"/>
    </row>
    <row r="221" ht="15" customHeight="1">
      <c r="A221" t="inlineStr">
        <is>
          <t>A 43426-2019</t>
        </is>
      </c>
      <c r="B221" s="1" t="n">
        <v>43706</v>
      </c>
      <c r="C221" s="1" t="n">
        <v>45798</v>
      </c>
      <c r="D221" t="inlineStr">
        <is>
          <t>UPPSALA LÄN</t>
        </is>
      </c>
      <c r="E221" t="inlineStr">
        <is>
          <t>ÖSTHAMMAR</t>
        </is>
      </c>
      <c r="F221" t="inlineStr">
        <is>
          <t>Bergvik skog öst AB</t>
        </is>
      </c>
      <c r="G221" t="n">
        <v>0.5</v>
      </c>
      <c r="H221" t="n">
        <v>0</v>
      </c>
      <c r="I221" t="n">
        <v>0</v>
      </c>
      <c r="J221" t="n">
        <v>0</v>
      </c>
      <c r="K221" t="n">
        <v>0</v>
      </c>
      <c r="L221" t="n">
        <v>0</v>
      </c>
      <c r="M221" t="n">
        <v>0</v>
      </c>
      <c r="N221" t="n">
        <v>0</v>
      </c>
      <c r="O221" t="n">
        <v>0</v>
      </c>
      <c r="P221" t="n">
        <v>0</v>
      </c>
      <c r="Q221" t="n">
        <v>0</v>
      </c>
      <c r="R221" s="2" t="inlineStr"/>
    </row>
    <row r="222" ht="15" customHeight="1">
      <c r="A222" t="inlineStr">
        <is>
          <t>A 45140-2019</t>
        </is>
      </c>
      <c r="B222" s="1" t="n">
        <v>43713</v>
      </c>
      <c r="C222" s="1" t="n">
        <v>45798</v>
      </c>
      <c r="D222" t="inlineStr">
        <is>
          <t>UPPSALA LÄN</t>
        </is>
      </c>
      <c r="E222" t="inlineStr">
        <is>
          <t>ÖSTHAMMAR</t>
        </is>
      </c>
      <c r="G222" t="n">
        <v>0.6</v>
      </c>
      <c r="H222" t="n">
        <v>0</v>
      </c>
      <c r="I222" t="n">
        <v>0</v>
      </c>
      <c r="J222" t="n">
        <v>0</v>
      </c>
      <c r="K222" t="n">
        <v>0</v>
      </c>
      <c r="L222" t="n">
        <v>0</v>
      </c>
      <c r="M222" t="n">
        <v>0</v>
      </c>
      <c r="N222" t="n">
        <v>0</v>
      </c>
      <c r="O222" t="n">
        <v>0</v>
      </c>
      <c r="P222" t="n">
        <v>0</v>
      </c>
      <c r="Q222" t="n">
        <v>0</v>
      </c>
      <c r="R222" s="2" t="inlineStr"/>
    </row>
    <row r="223" ht="15" customHeight="1">
      <c r="A223" t="inlineStr">
        <is>
          <t>A 45681-2019</t>
        </is>
      </c>
      <c r="B223" s="1" t="n">
        <v>43717</v>
      </c>
      <c r="C223" s="1" t="n">
        <v>45798</v>
      </c>
      <c r="D223" t="inlineStr">
        <is>
          <t>UPPSALA LÄN</t>
        </is>
      </c>
      <c r="E223" t="inlineStr">
        <is>
          <t>ÖSTHAMMAR</t>
        </is>
      </c>
      <c r="F223" t="inlineStr">
        <is>
          <t>Bergvik skog öst AB</t>
        </is>
      </c>
      <c r="G223" t="n">
        <v>3</v>
      </c>
      <c r="H223" t="n">
        <v>0</v>
      </c>
      <c r="I223" t="n">
        <v>0</v>
      </c>
      <c r="J223" t="n">
        <v>0</v>
      </c>
      <c r="K223" t="n">
        <v>0</v>
      </c>
      <c r="L223" t="n">
        <v>0</v>
      </c>
      <c r="M223" t="n">
        <v>0</v>
      </c>
      <c r="N223" t="n">
        <v>0</v>
      </c>
      <c r="O223" t="n">
        <v>0</v>
      </c>
      <c r="P223" t="n">
        <v>0</v>
      </c>
      <c r="Q223" t="n">
        <v>0</v>
      </c>
      <c r="R223" s="2" t="inlineStr"/>
    </row>
    <row r="224" ht="15" customHeight="1">
      <c r="A224" t="inlineStr">
        <is>
          <t>A 47440-2019</t>
        </is>
      </c>
      <c r="B224" s="1" t="n">
        <v>43723</v>
      </c>
      <c r="C224" s="1" t="n">
        <v>45798</v>
      </c>
      <c r="D224" t="inlineStr">
        <is>
          <t>UPPSALA LÄN</t>
        </is>
      </c>
      <c r="E224" t="inlineStr">
        <is>
          <t>ÖSTHAMMAR</t>
        </is>
      </c>
      <c r="G224" t="n">
        <v>0.1</v>
      </c>
      <c r="H224" t="n">
        <v>0</v>
      </c>
      <c r="I224" t="n">
        <v>0</v>
      </c>
      <c r="J224" t="n">
        <v>0</v>
      </c>
      <c r="K224" t="n">
        <v>0</v>
      </c>
      <c r="L224" t="n">
        <v>0</v>
      </c>
      <c r="M224" t="n">
        <v>0</v>
      </c>
      <c r="N224" t="n">
        <v>0</v>
      </c>
      <c r="O224" t="n">
        <v>0</v>
      </c>
      <c r="P224" t="n">
        <v>0</v>
      </c>
      <c r="Q224" t="n">
        <v>0</v>
      </c>
      <c r="R224" s="2" t="inlineStr"/>
    </row>
    <row r="225" ht="15" customHeight="1">
      <c r="A225" t="inlineStr">
        <is>
          <t>A 47436-2019</t>
        </is>
      </c>
      <c r="B225" s="1" t="n">
        <v>43723</v>
      </c>
      <c r="C225" s="1" t="n">
        <v>45798</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51025-2019</t>
        </is>
      </c>
      <c r="B226" s="1" t="n">
        <v>43739</v>
      </c>
      <c r="C226" s="1" t="n">
        <v>45798</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53442-2019</t>
        </is>
      </c>
      <c r="B227" s="1" t="n">
        <v>43748</v>
      </c>
      <c r="C227" s="1" t="n">
        <v>45798</v>
      </c>
      <c r="D227" t="inlineStr">
        <is>
          <t>UPPSALA LÄN</t>
        </is>
      </c>
      <c r="E227" t="inlineStr">
        <is>
          <t>ÖSTHAMMAR</t>
        </is>
      </c>
      <c r="F227" t="inlineStr">
        <is>
          <t>Bergvik skog öst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55382-2019</t>
        </is>
      </c>
      <c r="B228" s="1" t="n">
        <v>43755</v>
      </c>
      <c r="C228" s="1" t="n">
        <v>45798</v>
      </c>
      <c r="D228" t="inlineStr">
        <is>
          <t>UPPSALA LÄN</t>
        </is>
      </c>
      <c r="E228" t="inlineStr">
        <is>
          <t>ÖSTHAMMAR</t>
        </is>
      </c>
      <c r="G228" t="n">
        <v>1.8</v>
      </c>
      <c r="H228" t="n">
        <v>0</v>
      </c>
      <c r="I228" t="n">
        <v>0</v>
      </c>
      <c r="J228" t="n">
        <v>0</v>
      </c>
      <c r="K228" t="n">
        <v>0</v>
      </c>
      <c r="L228" t="n">
        <v>0</v>
      </c>
      <c r="M228" t="n">
        <v>0</v>
      </c>
      <c r="N228" t="n">
        <v>0</v>
      </c>
      <c r="O228" t="n">
        <v>0</v>
      </c>
      <c r="P228" t="n">
        <v>0</v>
      </c>
      <c r="Q228" t="n">
        <v>0</v>
      </c>
      <c r="R228" s="2" t="inlineStr"/>
    </row>
    <row r="229" ht="15" customHeight="1">
      <c r="A229" t="inlineStr">
        <is>
          <t>A 57686-2019</t>
        </is>
      </c>
      <c r="B229" s="1" t="n">
        <v>43761</v>
      </c>
      <c r="C229" s="1" t="n">
        <v>45798</v>
      </c>
      <c r="D229" t="inlineStr">
        <is>
          <t>UPPSALA LÄN</t>
        </is>
      </c>
      <c r="E229" t="inlineStr">
        <is>
          <t>ÖSTHAMMAR</t>
        </is>
      </c>
      <c r="G229" t="n">
        <v>5.7</v>
      </c>
      <c r="H229" t="n">
        <v>0</v>
      </c>
      <c r="I229" t="n">
        <v>0</v>
      </c>
      <c r="J229" t="n">
        <v>0</v>
      </c>
      <c r="K229" t="n">
        <v>0</v>
      </c>
      <c r="L229" t="n">
        <v>0</v>
      </c>
      <c r="M229" t="n">
        <v>0</v>
      </c>
      <c r="N229" t="n">
        <v>0</v>
      </c>
      <c r="O229" t="n">
        <v>0</v>
      </c>
      <c r="P229" t="n">
        <v>0</v>
      </c>
      <c r="Q229" t="n">
        <v>0</v>
      </c>
      <c r="R229" s="2" t="inlineStr"/>
    </row>
    <row r="230" ht="15" customHeight="1">
      <c r="A230" t="inlineStr">
        <is>
          <t>A 57304-2019</t>
        </is>
      </c>
      <c r="B230" s="1" t="n">
        <v>43767</v>
      </c>
      <c r="C230" s="1" t="n">
        <v>45798</v>
      </c>
      <c r="D230" t="inlineStr">
        <is>
          <t>UPPSALA LÄN</t>
        </is>
      </c>
      <c r="E230" t="inlineStr">
        <is>
          <t>ÖSTHAMMAR</t>
        </is>
      </c>
      <c r="F230" t="inlineStr">
        <is>
          <t>Bergvik skog öst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58665-2019</t>
        </is>
      </c>
      <c r="B231" s="1" t="n">
        <v>43773</v>
      </c>
      <c r="C231" s="1" t="n">
        <v>45798</v>
      </c>
      <c r="D231" t="inlineStr">
        <is>
          <t>UPPSALA LÄN</t>
        </is>
      </c>
      <c r="E231" t="inlineStr">
        <is>
          <t>ÖSTHAMMAR</t>
        </is>
      </c>
      <c r="G231" t="n">
        <v>2</v>
      </c>
      <c r="H231" t="n">
        <v>0</v>
      </c>
      <c r="I231" t="n">
        <v>0</v>
      </c>
      <c r="J231" t="n">
        <v>0</v>
      </c>
      <c r="K231" t="n">
        <v>0</v>
      </c>
      <c r="L231" t="n">
        <v>0</v>
      </c>
      <c r="M231" t="n">
        <v>0</v>
      </c>
      <c r="N231" t="n">
        <v>0</v>
      </c>
      <c r="O231" t="n">
        <v>0</v>
      </c>
      <c r="P231" t="n">
        <v>0</v>
      </c>
      <c r="Q231" t="n">
        <v>0</v>
      </c>
      <c r="R231" s="2" t="inlineStr"/>
    </row>
    <row r="232" ht="15" customHeight="1">
      <c r="A232" t="inlineStr">
        <is>
          <t>A 60977-2019</t>
        </is>
      </c>
      <c r="B232" s="1" t="n">
        <v>43782</v>
      </c>
      <c r="C232" s="1" t="n">
        <v>45798</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61866-2019</t>
        </is>
      </c>
      <c r="B233" s="1" t="n">
        <v>43787</v>
      </c>
      <c r="C233" s="1" t="n">
        <v>45798</v>
      </c>
      <c r="D233" t="inlineStr">
        <is>
          <t>UPPSALA LÄN</t>
        </is>
      </c>
      <c r="E233" t="inlineStr">
        <is>
          <t>ÖSTHAMMAR</t>
        </is>
      </c>
      <c r="F233" t="inlineStr">
        <is>
          <t>Bergvik skog öst AB</t>
        </is>
      </c>
      <c r="G233" t="n">
        <v>6.6</v>
      </c>
      <c r="H233" t="n">
        <v>0</v>
      </c>
      <c r="I233" t="n">
        <v>0</v>
      </c>
      <c r="J233" t="n">
        <v>0</v>
      </c>
      <c r="K233" t="n">
        <v>0</v>
      </c>
      <c r="L233" t="n">
        <v>0</v>
      </c>
      <c r="M233" t="n">
        <v>0</v>
      </c>
      <c r="N233" t="n">
        <v>0</v>
      </c>
      <c r="O233" t="n">
        <v>0</v>
      </c>
      <c r="P233" t="n">
        <v>0</v>
      </c>
      <c r="Q233" t="n">
        <v>0</v>
      </c>
      <c r="R233" s="2" t="inlineStr"/>
    </row>
    <row r="234" ht="15" customHeight="1">
      <c r="A234" t="inlineStr">
        <is>
          <t>A 62808-2019</t>
        </is>
      </c>
      <c r="B234" s="1" t="n">
        <v>43790</v>
      </c>
      <c r="C234" s="1" t="n">
        <v>45798</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63564-2019</t>
        </is>
      </c>
      <c r="B235" s="1" t="n">
        <v>43795</v>
      </c>
      <c r="C235" s="1" t="n">
        <v>45798</v>
      </c>
      <c r="D235" t="inlineStr">
        <is>
          <t>UPPSALA LÄN</t>
        </is>
      </c>
      <c r="E235" t="inlineStr">
        <is>
          <t>ÖSTHAMMAR</t>
        </is>
      </c>
      <c r="F235" t="inlineStr">
        <is>
          <t>Övriga Aktiebolag</t>
        </is>
      </c>
      <c r="G235" t="n">
        <v>4.7</v>
      </c>
      <c r="H235" t="n">
        <v>0</v>
      </c>
      <c r="I235" t="n">
        <v>0</v>
      </c>
      <c r="J235" t="n">
        <v>0</v>
      </c>
      <c r="K235" t="n">
        <v>0</v>
      </c>
      <c r="L235" t="n">
        <v>0</v>
      </c>
      <c r="M235" t="n">
        <v>0</v>
      </c>
      <c r="N235" t="n">
        <v>0</v>
      </c>
      <c r="O235" t="n">
        <v>0</v>
      </c>
      <c r="P235" t="n">
        <v>0</v>
      </c>
      <c r="Q235" t="n">
        <v>0</v>
      </c>
      <c r="R235" s="2" t="inlineStr"/>
    </row>
    <row r="236" ht="15" customHeight="1">
      <c r="A236" t="inlineStr">
        <is>
          <t>A 64344-2019</t>
        </is>
      </c>
      <c r="B236" s="1" t="n">
        <v>43797</v>
      </c>
      <c r="C236" s="1" t="n">
        <v>45798</v>
      </c>
      <c r="D236" t="inlineStr">
        <is>
          <t>UPPSALA LÄN</t>
        </is>
      </c>
      <c r="E236" t="inlineStr">
        <is>
          <t>ÖSTHAMMAR</t>
        </is>
      </c>
      <c r="G236" t="n">
        <v>3.1</v>
      </c>
      <c r="H236" t="n">
        <v>0</v>
      </c>
      <c r="I236" t="n">
        <v>0</v>
      </c>
      <c r="J236" t="n">
        <v>0</v>
      </c>
      <c r="K236" t="n">
        <v>0</v>
      </c>
      <c r="L236" t="n">
        <v>0</v>
      </c>
      <c r="M236" t="n">
        <v>0</v>
      </c>
      <c r="N236" t="n">
        <v>0</v>
      </c>
      <c r="O236" t="n">
        <v>0</v>
      </c>
      <c r="P236" t="n">
        <v>0</v>
      </c>
      <c r="Q236" t="n">
        <v>0</v>
      </c>
      <c r="R236" s="2" t="inlineStr"/>
    </row>
    <row r="237" ht="15" customHeight="1">
      <c r="A237" t="inlineStr">
        <is>
          <t>A 65107-2019</t>
        </is>
      </c>
      <c r="B237" s="1" t="n">
        <v>43802</v>
      </c>
      <c r="C237" s="1" t="n">
        <v>45798</v>
      </c>
      <c r="D237" t="inlineStr">
        <is>
          <t>UPPSALA LÄN</t>
        </is>
      </c>
      <c r="E237" t="inlineStr">
        <is>
          <t>ÖSTHAMMAR</t>
        </is>
      </c>
      <c r="G237" t="n">
        <v>1.5</v>
      </c>
      <c r="H237" t="n">
        <v>0</v>
      </c>
      <c r="I237" t="n">
        <v>0</v>
      </c>
      <c r="J237" t="n">
        <v>0</v>
      </c>
      <c r="K237" t="n">
        <v>0</v>
      </c>
      <c r="L237" t="n">
        <v>0</v>
      </c>
      <c r="M237" t="n">
        <v>0</v>
      </c>
      <c r="N237" t="n">
        <v>0</v>
      </c>
      <c r="O237" t="n">
        <v>0</v>
      </c>
      <c r="P237" t="n">
        <v>0</v>
      </c>
      <c r="Q237" t="n">
        <v>0</v>
      </c>
      <c r="R237" s="2" t="inlineStr"/>
    </row>
    <row r="238" ht="15" customHeight="1">
      <c r="A238" t="inlineStr">
        <is>
          <t>A 67647-2019</t>
        </is>
      </c>
      <c r="B238" s="1" t="n">
        <v>43808</v>
      </c>
      <c r="C238" s="1" t="n">
        <v>45798</v>
      </c>
      <c r="D238" t="inlineStr">
        <is>
          <t>UPPSALA LÄN</t>
        </is>
      </c>
      <c r="E238" t="inlineStr">
        <is>
          <t>ÖSTHAMMAR</t>
        </is>
      </c>
      <c r="G238" t="n">
        <v>1.8</v>
      </c>
      <c r="H238" t="n">
        <v>0</v>
      </c>
      <c r="I238" t="n">
        <v>0</v>
      </c>
      <c r="J238" t="n">
        <v>0</v>
      </c>
      <c r="K238" t="n">
        <v>0</v>
      </c>
      <c r="L238" t="n">
        <v>0</v>
      </c>
      <c r="M238" t="n">
        <v>0</v>
      </c>
      <c r="N238" t="n">
        <v>0</v>
      </c>
      <c r="O238" t="n">
        <v>0</v>
      </c>
      <c r="P238" t="n">
        <v>0</v>
      </c>
      <c r="Q238" t="n">
        <v>0</v>
      </c>
      <c r="R238" s="2" t="inlineStr"/>
    </row>
    <row r="239" ht="15" customHeight="1">
      <c r="A239" t="inlineStr">
        <is>
          <t>A 66802-2019</t>
        </is>
      </c>
      <c r="B239" s="1" t="n">
        <v>43810</v>
      </c>
      <c r="C239" s="1" t="n">
        <v>45798</v>
      </c>
      <c r="D239" t="inlineStr">
        <is>
          <t>UPPSALA LÄN</t>
        </is>
      </c>
      <c r="E239" t="inlineStr">
        <is>
          <t>ÖSTHAMMAR</t>
        </is>
      </c>
      <c r="F239" t="inlineStr">
        <is>
          <t>Bergvik skog öst AB</t>
        </is>
      </c>
      <c r="G239" t="n">
        <v>34.8</v>
      </c>
      <c r="H239" t="n">
        <v>0</v>
      </c>
      <c r="I239" t="n">
        <v>0</v>
      </c>
      <c r="J239" t="n">
        <v>0</v>
      </c>
      <c r="K239" t="n">
        <v>0</v>
      </c>
      <c r="L239" t="n">
        <v>0</v>
      </c>
      <c r="M239" t="n">
        <v>0</v>
      </c>
      <c r="N239" t="n">
        <v>0</v>
      </c>
      <c r="O239" t="n">
        <v>0</v>
      </c>
      <c r="P239" t="n">
        <v>0</v>
      </c>
      <c r="Q239" t="n">
        <v>0</v>
      </c>
      <c r="R239" s="2" t="inlineStr"/>
    </row>
    <row r="240" ht="15" customHeight="1">
      <c r="A240" t="inlineStr">
        <is>
          <t>A 67254-2019</t>
        </is>
      </c>
      <c r="B240" s="1" t="n">
        <v>43812</v>
      </c>
      <c r="C240" s="1" t="n">
        <v>45798</v>
      </c>
      <c r="D240" t="inlineStr">
        <is>
          <t>UPPSALA LÄN</t>
        </is>
      </c>
      <c r="E240" t="inlineStr">
        <is>
          <t>ÖSTHAMMAR</t>
        </is>
      </c>
      <c r="F240" t="inlineStr">
        <is>
          <t>Allmännings- och besparingsskogar</t>
        </is>
      </c>
      <c r="G240" t="n">
        <v>0.8</v>
      </c>
      <c r="H240" t="n">
        <v>0</v>
      </c>
      <c r="I240" t="n">
        <v>0</v>
      </c>
      <c r="J240" t="n">
        <v>0</v>
      </c>
      <c r="K240" t="n">
        <v>0</v>
      </c>
      <c r="L240" t="n">
        <v>0</v>
      </c>
      <c r="M240" t="n">
        <v>0</v>
      </c>
      <c r="N240" t="n">
        <v>0</v>
      </c>
      <c r="O240" t="n">
        <v>0</v>
      </c>
      <c r="P240" t="n">
        <v>0</v>
      </c>
      <c r="Q240" t="n">
        <v>0</v>
      </c>
      <c r="R240" s="2" t="inlineStr"/>
    </row>
    <row r="241" ht="15" customHeight="1">
      <c r="A241" t="inlineStr">
        <is>
          <t>A 618-2020</t>
        </is>
      </c>
      <c r="B241" s="1" t="n">
        <v>43817</v>
      </c>
      <c r="C241" s="1" t="n">
        <v>45798</v>
      </c>
      <c r="D241" t="inlineStr">
        <is>
          <t>UPPSALA LÄN</t>
        </is>
      </c>
      <c r="E241" t="inlineStr">
        <is>
          <t>ÖSTHAMMAR</t>
        </is>
      </c>
      <c r="G241" t="n">
        <v>3.2</v>
      </c>
      <c r="H241" t="n">
        <v>0</v>
      </c>
      <c r="I241" t="n">
        <v>0</v>
      </c>
      <c r="J241" t="n">
        <v>0</v>
      </c>
      <c r="K241" t="n">
        <v>0</v>
      </c>
      <c r="L241" t="n">
        <v>0</v>
      </c>
      <c r="M241" t="n">
        <v>0</v>
      </c>
      <c r="N241" t="n">
        <v>0</v>
      </c>
      <c r="O241" t="n">
        <v>0</v>
      </c>
      <c r="P241" t="n">
        <v>0</v>
      </c>
      <c r="Q241" t="n">
        <v>0</v>
      </c>
      <c r="R241" s="2" t="inlineStr"/>
    </row>
    <row r="242" ht="15" customHeight="1">
      <c r="A242" t="inlineStr">
        <is>
          <t>A 68870-2019</t>
        </is>
      </c>
      <c r="B242" s="1" t="n">
        <v>43821</v>
      </c>
      <c r="C242" s="1" t="n">
        <v>45798</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68871-2019</t>
        </is>
      </c>
      <c r="B243" s="1" t="n">
        <v>43821</v>
      </c>
      <c r="C243" s="1" t="n">
        <v>45798</v>
      </c>
      <c r="D243" t="inlineStr">
        <is>
          <t>UPPSALA LÄN</t>
        </is>
      </c>
      <c r="E243" t="inlineStr">
        <is>
          <t>ÖSTHAMMAR</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68868-2019</t>
        </is>
      </c>
      <c r="B244" s="1" t="n">
        <v>43821</v>
      </c>
      <c r="C244" s="1" t="n">
        <v>45798</v>
      </c>
      <c r="D244" t="inlineStr">
        <is>
          <t>UPPSALA LÄN</t>
        </is>
      </c>
      <c r="E244" t="inlineStr">
        <is>
          <t>ÖSTHAMMAR</t>
        </is>
      </c>
      <c r="F244" t="inlineStr">
        <is>
          <t>Bergvik skog öst AB</t>
        </is>
      </c>
      <c r="G244" t="n">
        <v>1.7</v>
      </c>
      <c r="H244" t="n">
        <v>0</v>
      </c>
      <c r="I244" t="n">
        <v>0</v>
      </c>
      <c r="J244" t="n">
        <v>0</v>
      </c>
      <c r="K244" t="n">
        <v>0</v>
      </c>
      <c r="L244" t="n">
        <v>0</v>
      </c>
      <c r="M244" t="n">
        <v>0</v>
      </c>
      <c r="N244" t="n">
        <v>0</v>
      </c>
      <c r="O244" t="n">
        <v>0</v>
      </c>
      <c r="P244" t="n">
        <v>0</v>
      </c>
      <c r="Q244" t="n">
        <v>0</v>
      </c>
      <c r="R244" s="2" t="inlineStr"/>
    </row>
    <row r="245" ht="15" customHeight="1">
      <c r="A245" t="inlineStr">
        <is>
          <t>A 685-2020</t>
        </is>
      </c>
      <c r="B245" s="1" t="n">
        <v>43838</v>
      </c>
      <c r="C245" s="1" t="n">
        <v>45798</v>
      </c>
      <c r="D245" t="inlineStr">
        <is>
          <t>UPPSALA LÄN</t>
        </is>
      </c>
      <c r="E245" t="inlineStr">
        <is>
          <t>ÖSTHAMMAR</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1685-2020</t>
        </is>
      </c>
      <c r="B246" s="1" t="n">
        <v>43844</v>
      </c>
      <c r="C246" s="1" t="n">
        <v>45798</v>
      </c>
      <c r="D246" t="inlineStr">
        <is>
          <t>UPPSALA LÄN</t>
        </is>
      </c>
      <c r="E246" t="inlineStr">
        <is>
          <t>ÖSTHAMMAR</t>
        </is>
      </c>
      <c r="F246" t="inlineStr">
        <is>
          <t>Övriga Aktiebolag</t>
        </is>
      </c>
      <c r="G246" t="n">
        <v>4.3</v>
      </c>
      <c r="H246" t="n">
        <v>0</v>
      </c>
      <c r="I246" t="n">
        <v>0</v>
      </c>
      <c r="J246" t="n">
        <v>0</v>
      </c>
      <c r="K246" t="n">
        <v>0</v>
      </c>
      <c r="L246" t="n">
        <v>0</v>
      </c>
      <c r="M246" t="n">
        <v>0</v>
      </c>
      <c r="N246" t="n">
        <v>0</v>
      </c>
      <c r="O246" t="n">
        <v>0</v>
      </c>
      <c r="P246" t="n">
        <v>0</v>
      </c>
      <c r="Q246" t="n">
        <v>0</v>
      </c>
      <c r="R246" s="2" t="inlineStr"/>
    </row>
    <row r="247" ht="15" customHeight="1">
      <c r="A247" t="inlineStr">
        <is>
          <t>A 1681-2020</t>
        </is>
      </c>
      <c r="B247" s="1" t="n">
        <v>43844</v>
      </c>
      <c r="C247" s="1" t="n">
        <v>45798</v>
      </c>
      <c r="D247" t="inlineStr">
        <is>
          <t>UPPSALA LÄN</t>
        </is>
      </c>
      <c r="E247" t="inlineStr">
        <is>
          <t>ÖSTHAMMAR</t>
        </is>
      </c>
      <c r="F247" t="inlineStr">
        <is>
          <t>Övriga Aktiebolag</t>
        </is>
      </c>
      <c r="G247" t="n">
        <v>1.6</v>
      </c>
      <c r="H247" t="n">
        <v>0</v>
      </c>
      <c r="I247" t="n">
        <v>0</v>
      </c>
      <c r="J247" t="n">
        <v>0</v>
      </c>
      <c r="K247" t="n">
        <v>0</v>
      </c>
      <c r="L247" t="n">
        <v>0</v>
      </c>
      <c r="M247" t="n">
        <v>0</v>
      </c>
      <c r="N247" t="n">
        <v>0</v>
      </c>
      <c r="O247" t="n">
        <v>0</v>
      </c>
      <c r="P247" t="n">
        <v>0</v>
      </c>
      <c r="Q247" t="n">
        <v>0</v>
      </c>
      <c r="R247" s="2" t="inlineStr"/>
    </row>
    <row r="248" ht="15" customHeight="1">
      <c r="A248" t="inlineStr">
        <is>
          <t>A 4473-2020</t>
        </is>
      </c>
      <c r="B248" s="1" t="n">
        <v>43850</v>
      </c>
      <c r="C248" s="1" t="n">
        <v>45798</v>
      </c>
      <c r="D248" t="inlineStr">
        <is>
          <t>UPPSALA LÄN</t>
        </is>
      </c>
      <c r="E248" t="inlineStr">
        <is>
          <t>ÖSTHAMMAR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3334-2020</t>
        </is>
      </c>
      <c r="B249" s="1" t="n">
        <v>43852</v>
      </c>
      <c r="C249" s="1" t="n">
        <v>45798</v>
      </c>
      <c r="D249" t="inlineStr">
        <is>
          <t>UPPSALA LÄN</t>
        </is>
      </c>
      <c r="E249" t="inlineStr">
        <is>
          <t>ÖSTHAMMAR</t>
        </is>
      </c>
      <c r="G249" t="n">
        <v>2.5</v>
      </c>
      <c r="H249" t="n">
        <v>0</v>
      </c>
      <c r="I249" t="n">
        <v>0</v>
      </c>
      <c r="J249" t="n">
        <v>0</v>
      </c>
      <c r="K249" t="n">
        <v>0</v>
      </c>
      <c r="L249" t="n">
        <v>0</v>
      </c>
      <c r="M249" t="n">
        <v>0</v>
      </c>
      <c r="N249" t="n">
        <v>0</v>
      </c>
      <c r="O249" t="n">
        <v>0</v>
      </c>
      <c r="P249" t="n">
        <v>0</v>
      </c>
      <c r="Q249" t="n">
        <v>0</v>
      </c>
      <c r="R249" s="2" t="inlineStr"/>
    </row>
    <row r="250" ht="15" customHeight="1">
      <c r="A250" t="inlineStr">
        <is>
          <t>A 3984-2020</t>
        </is>
      </c>
      <c r="B250" s="1" t="n">
        <v>43855</v>
      </c>
      <c r="C250" s="1" t="n">
        <v>45798</v>
      </c>
      <c r="D250" t="inlineStr">
        <is>
          <t>UPPSALA LÄN</t>
        </is>
      </c>
      <c r="E250" t="inlineStr">
        <is>
          <t>ÖSTHAMMAR</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6052-2020</t>
        </is>
      </c>
      <c r="B251" s="1" t="n">
        <v>43864</v>
      </c>
      <c r="C251" s="1" t="n">
        <v>45798</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6026-2020</t>
        </is>
      </c>
      <c r="B252" s="1" t="n">
        <v>43865</v>
      </c>
      <c r="C252" s="1" t="n">
        <v>45798</v>
      </c>
      <c r="D252" t="inlineStr">
        <is>
          <t>UPPSALA LÄN</t>
        </is>
      </c>
      <c r="E252" t="inlineStr">
        <is>
          <t>ÖSTHAMMAR</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6791-2020</t>
        </is>
      </c>
      <c r="B253" s="1" t="n">
        <v>43867</v>
      </c>
      <c r="C253" s="1" t="n">
        <v>45798</v>
      </c>
      <c r="D253" t="inlineStr">
        <is>
          <t>UPPSALA LÄN</t>
        </is>
      </c>
      <c r="E253" t="inlineStr">
        <is>
          <t>ÖSTHAMMAR</t>
        </is>
      </c>
      <c r="G253" t="n">
        <v>3</v>
      </c>
      <c r="H253" t="n">
        <v>0</v>
      </c>
      <c r="I253" t="n">
        <v>0</v>
      </c>
      <c r="J253" t="n">
        <v>0</v>
      </c>
      <c r="K253" t="n">
        <v>0</v>
      </c>
      <c r="L253" t="n">
        <v>0</v>
      </c>
      <c r="M253" t="n">
        <v>0</v>
      </c>
      <c r="N253" t="n">
        <v>0</v>
      </c>
      <c r="O253" t="n">
        <v>0</v>
      </c>
      <c r="P253" t="n">
        <v>0</v>
      </c>
      <c r="Q253" t="n">
        <v>0</v>
      </c>
      <c r="R253" s="2" t="inlineStr"/>
    </row>
    <row r="254" ht="15" customHeight="1">
      <c r="A254" t="inlineStr">
        <is>
          <t>A 7847-2020</t>
        </is>
      </c>
      <c r="B254" s="1" t="n">
        <v>43873</v>
      </c>
      <c r="C254" s="1" t="n">
        <v>45798</v>
      </c>
      <c r="D254" t="inlineStr">
        <is>
          <t>UPPSALA LÄN</t>
        </is>
      </c>
      <c r="E254" t="inlineStr">
        <is>
          <t>ÖSTHAMMAR</t>
        </is>
      </c>
      <c r="F254" t="inlineStr">
        <is>
          <t>Övriga Aktiebolag</t>
        </is>
      </c>
      <c r="G254" t="n">
        <v>15.3</v>
      </c>
      <c r="H254" t="n">
        <v>0</v>
      </c>
      <c r="I254" t="n">
        <v>0</v>
      </c>
      <c r="J254" t="n">
        <v>0</v>
      </c>
      <c r="K254" t="n">
        <v>0</v>
      </c>
      <c r="L254" t="n">
        <v>0</v>
      </c>
      <c r="M254" t="n">
        <v>0</v>
      </c>
      <c r="N254" t="n">
        <v>0</v>
      </c>
      <c r="O254" t="n">
        <v>0</v>
      </c>
      <c r="P254" t="n">
        <v>0</v>
      </c>
      <c r="Q254" t="n">
        <v>0</v>
      </c>
      <c r="R254" s="2" t="inlineStr"/>
    </row>
    <row r="255" ht="15" customHeight="1">
      <c r="A255" t="inlineStr">
        <is>
          <t>A 10008-2020</t>
        </is>
      </c>
      <c r="B255" s="1" t="n">
        <v>43882</v>
      </c>
      <c r="C255" s="1" t="n">
        <v>45798</v>
      </c>
      <c r="D255" t="inlineStr">
        <is>
          <t>UPPSALA LÄN</t>
        </is>
      </c>
      <c r="E255" t="inlineStr">
        <is>
          <t>ÖSTHAMMAR</t>
        </is>
      </c>
      <c r="G255" t="n">
        <v>1</v>
      </c>
      <c r="H255" t="n">
        <v>0</v>
      </c>
      <c r="I255" t="n">
        <v>0</v>
      </c>
      <c r="J255" t="n">
        <v>0</v>
      </c>
      <c r="K255" t="n">
        <v>0</v>
      </c>
      <c r="L255" t="n">
        <v>0</v>
      </c>
      <c r="M255" t="n">
        <v>0</v>
      </c>
      <c r="N255" t="n">
        <v>0</v>
      </c>
      <c r="O255" t="n">
        <v>0</v>
      </c>
      <c r="P255" t="n">
        <v>0</v>
      </c>
      <c r="Q255" t="n">
        <v>0</v>
      </c>
      <c r="R255" s="2" t="inlineStr"/>
    </row>
    <row r="256" ht="15" customHeight="1">
      <c r="A256" t="inlineStr">
        <is>
          <t>A 10345-2020</t>
        </is>
      </c>
      <c r="B256" s="1" t="n">
        <v>43885</v>
      </c>
      <c r="C256" s="1" t="n">
        <v>45798</v>
      </c>
      <c r="D256" t="inlineStr">
        <is>
          <t>UPPSALA LÄN</t>
        </is>
      </c>
      <c r="E256" t="inlineStr">
        <is>
          <t>ÖSTHAMMAR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10347-2020</t>
        </is>
      </c>
      <c r="B257" s="1" t="n">
        <v>43885</v>
      </c>
      <c r="C257" s="1" t="n">
        <v>45798</v>
      </c>
      <c r="D257" t="inlineStr">
        <is>
          <t>UPPSALA LÄN</t>
        </is>
      </c>
      <c r="E257" t="inlineStr">
        <is>
          <t>ÖSTHAMMAR</t>
        </is>
      </c>
      <c r="F257" t="inlineStr">
        <is>
          <t>Allmännings- och besparingsskogar</t>
        </is>
      </c>
      <c r="G257" t="n">
        <v>1.2</v>
      </c>
      <c r="H257" t="n">
        <v>0</v>
      </c>
      <c r="I257" t="n">
        <v>0</v>
      </c>
      <c r="J257" t="n">
        <v>0</v>
      </c>
      <c r="K257" t="n">
        <v>0</v>
      </c>
      <c r="L257" t="n">
        <v>0</v>
      </c>
      <c r="M257" t="n">
        <v>0</v>
      </c>
      <c r="N257" t="n">
        <v>0</v>
      </c>
      <c r="O257" t="n">
        <v>0</v>
      </c>
      <c r="P257" t="n">
        <v>0</v>
      </c>
      <c r="Q257" t="n">
        <v>0</v>
      </c>
      <c r="R257" s="2" t="inlineStr"/>
    </row>
    <row r="258" ht="15" customHeight="1">
      <c r="A258" t="inlineStr">
        <is>
          <t>A 12080-2020</t>
        </is>
      </c>
      <c r="B258" s="1" t="n">
        <v>43895</v>
      </c>
      <c r="C258" s="1" t="n">
        <v>45798</v>
      </c>
      <c r="D258" t="inlineStr">
        <is>
          <t>UPPSALA LÄN</t>
        </is>
      </c>
      <c r="E258" t="inlineStr">
        <is>
          <t>ÖSTHAMMAR</t>
        </is>
      </c>
      <c r="F258" t="inlineStr">
        <is>
          <t>Övriga Aktiebolag</t>
        </is>
      </c>
      <c r="G258" t="n">
        <v>13.9</v>
      </c>
      <c r="H258" t="n">
        <v>0</v>
      </c>
      <c r="I258" t="n">
        <v>0</v>
      </c>
      <c r="J258" t="n">
        <v>0</v>
      </c>
      <c r="K258" t="n">
        <v>0</v>
      </c>
      <c r="L258" t="n">
        <v>0</v>
      </c>
      <c r="M258" t="n">
        <v>0</v>
      </c>
      <c r="N258" t="n">
        <v>0</v>
      </c>
      <c r="O258" t="n">
        <v>0</v>
      </c>
      <c r="P258" t="n">
        <v>0</v>
      </c>
      <c r="Q258" t="n">
        <v>0</v>
      </c>
      <c r="R258" s="2" t="inlineStr"/>
    </row>
    <row r="259" ht="15" customHeight="1">
      <c r="A259" t="inlineStr">
        <is>
          <t>A 13112-2020</t>
        </is>
      </c>
      <c r="B259" s="1" t="n">
        <v>43901</v>
      </c>
      <c r="C259" s="1" t="n">
        <v>45798</v>
      </c>
      <c r="D259" t="inlineStr">
        <is>
          <t>UPPSALA LÄN</t>
        </is>
      </c>
      <c r="E259" t="inlineStr">
        <is>
          <t>ÖSTHAMMAR</t>
        </is>
      </c>
      <c r="F259" t="inlineStr">
        <is>
          <t>Övriga Aktiebolag</t>
        </is>
      </c>
      <c r="G259" t="n">
        <v>6.5</v>
      </c>
      <c r="H259" t="n">
        <v>0</v>
      </c>
      <c r="I259" t="n">
        <v>0</v>
      </c>
      <c r="J259" t="n">
        <v>0</v>
      </c>
      <c r="K259" t="n">
        <v>0</v>
      </c>
      <c r="L259" t="n">
        <v>0</v>
      </c>
      <c r="M259" t="n">
        <v>0</v>
      </c>
      <c r="N259" t="n">
        <v>0</v>
      </c>
      <c r="O259" t="n">
        <v>0</v>
      </c>
      <c r="P259" t="n">
        <v>0</v>
      </c>
      <c r="Q259" t="n">
        <v>0</v>
      </c>
      <c r="R259" s="2" t="inlineStr"/>
    </row>
    <row r="260" ht="15" customHeight="1">
      <c r="A260" t="inlineStr">
        <is>
          <t>A 13310-2020</t>
        </is>
      </c>
      <c r="B260" s="1" t="n">
        <v>43902</v>
      </c>
      <c r="C260" s="1" t="n">
        <v>45798</v>
      </c>
      <c r="D260" t="inlineStr">
        <is>
          <t>UPPSALA LÄN</t>
        </is>
      </c>
      <c r="E260" t="inlineStr">
        <is>
          <t>ÖSTHAMMAR</t>
        </is>
      </c>
      <c r="F260" t="inlineStr">
        <is>
          <t>Bergvik skog öst AB</t>
        </is>
      </c>
      <c r="G260" t="n">
        <v>14.4</v>
      </c>
      <c r="H260" t="n">
        <v>0</v>
      </c>
      <c r="I260" t="n">
        <v>0</v>
      </c>
      <c r="J260" t="n">
        <v>0</v>
      </c>
      <c r="K260" t="n">
        <v>0</v>
      </c>
      <c r="L260" t="n">
        <v>0</v>
      </c>
      <c r="M260" t="n">
        <v>0</v>
      </c>
      <c r="N260" t="n">
        <v>0</v>
      </c>
      <c r="O260" t="n">
        <v>0</v>
      </c>
      <c r="P260" t="n">
        <v>0</v>
      </c>
      <c r="Q260" t="n">
        <v>0</v>
      </c>
      <c r="R260" s="2" t="inlineStr"/>
    </row>
    <row r="261" ht="15" customHeight="1">
      <c r="A261" t="inlineStr">
        <is>
          <t>A 13595-2020</t>
        </is>
      </c>
      <c r="B261" s="1" t="n">
        <v>43903</v>
      </c>
      <c r="C261" s="1" t="n">
        <v>45798</v>
      </c>
      <c r="D261" t="inlineStr">
        <is>
          <t>UPPSALA LÄN</t>
        </is>
      </c>
      <c r="E261" t="inlineStr">
        <is>
          <t>ÖSTHAMMAR</t>
        </is>
      </c>
      <c r="F261" t="inlineStr">
        <is>
          <t>Bergvik skog öst AB</t>
        </is>
      </c>
      <c r="G261" t="n">
        <v>1.4</v>
      </c>
      <c r="H261" t="n">
        <v>0</v>
      </c>
      <c r="I261" t="n">
        <v>0</v>
      </c>
      <c r="J261" t="n">
        <v>0</v>
      </c>
      <c r="K261" t="n">
        <v>0</v>
      </c>
      <c r="L261" t="n">
        <v>0</v>
      </c>
      <c r="M261" t="n">
        <v>0</v>
      </c>
      <c r="N261" t="n">
        <v>0</v>
      </c>
      <c r="O261" t="n">
        <v>0</v>
      </c>
      <c r="P261" t="n">
        <v>0</v>
      </c>
      <c r="Q261" t="n">
        <v>0</v>
      </c>
      <c r="R261" s="2" t="inlineStr"/>
    </row>
    <row r="262" ht="15" customHeight="1">
      <c r="A262" t="inlineStr">
        <is>
          <t>A 13945-2020</t>
        </is>
      </c>
      <c r="B262" s="1" t="n">
        <v>43906</v>
      </c>
      <c r="C262" s="1" t="n">
        <v>45798</v>
      </c>
      <c r="D262" t="inlineStr">
        <is>
          <t>UPPSALA LÄN</t>
        </is>
      </c>
      <c r="E262" t="inlineStr">
        <is>
          <t>ÖSTHAMMAR</t>
        </is>
      </c>
      <c r="G262" t="n">
        <v>3.5</v>
      </c>
      <c r="H262" t="n">
        <v>0</v>
      </c>
      <c r="I262" t="n">
        <v>0</v>
      </c>
      <c r="J262" t="n">
        <v>0</v>
      </c>
      <c r="K262" t="n">
        <v>0</v>
      </c>
      <c r="L262" t="n">
        <v>0</v>
      </c>
      <c r="M262" t="n">
        <v>0</v>
      </c>
      <c r="N262" t="n">
        <v>0</v>
      </c>
      <c r="O262" t="n">
        <v>0</v>
      </c>
      <c r="P262" t="n">
        <v>0</v>
      </c>
      <c r="Q262" t="n">
        <v>0</v>
      </c>
      <c r="R262" s="2" t="inlineStr"/>
    </row>
    <row r="263" ht="15" customHeight="1">
      <c r="A263" t="inlineStr">
        <is>
          <t>A 14802-2020</t>
        </is>
      </c>
      <c r="B263" s="1" t="n">
        <v>43909</v>
      </c>
      <c r="C263" s="1" t="n">
        <v>45798</v>
      </c>
      <c r="D263" t="inlineStr">
        <is>
          <t>UPPSALA LÄN</t>
        </is>
      </c>
      <c r="E263" t="inlineStr">
        <is>
          <t>ÖSTHAMMAR</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14817-2020</t>
        </is>
      </c>
      <c r="B264" s="1" t="n">
        <v>43909</v>
      </c>
      <c r="C264" s="1" t="n">
        <v>45798</v>
      </c>
      <c r="D264" t="inlineStr">
        <is>
          <t>UPPSALA LÄN</t>
        </is>
      </c>
      <c r="E264" t="inlineStr">
        <is>
          <t>ÖSTHAMMAR</t>
        </is>
      </c>
      <c r="F264" t="inlineStr">
        <is>
          <t>Bergvik skog öst AB</t>
        </is>
      </c>
      <c r="G264" t="n">
        <v>3.1</v>
      </c>
      <c r="H264" t="n">
        <v>0</v>
      </c>
      <c r="I264" t="n">
        <v>0</v>
      </c>
      <c r="J264" t="n">
        <v>0</v>
      </c>
      <c r="K264" t="n">
        <v>0</v>
      </c>
      <c r="L264" t="n">
        <v>0</v>
      </c>
      <c r="M264" t="n">
        <v>0</v>
      </c>
      <c r="N264" t="n">
        <v>0</v>
      </c>
      <c r="O264" t="n">
        <v>0</v>
      </c>
      <c r="P264" t="n">
        <v>0</v>
      </c>
      <c r="Q264" t="n">
        <v>0</v>
      </c>
      <c r="R264" s="2" t="inlineStr"/>
    </row>
    <row r="265" ht="15" customHeight="1">
      <c r="A265" t="inlineStr">
        <is>
          <t>A 15067-2020</t>
        </is>
      </c>
      <c r="B265" s="1" t="n">
        <v>43910</v>
      </c>
      <c r="C265" s="1" t="n">
        <v>45798</v>
      </c>
      <c r="D265" t="inlineStr">
        <is>
          <t>UPPSALA LÄN</t>
        </is>
      </c>
      <c r="E265" t="inlineStr">
        <is>
          <t>ÖSTHAMMAR</t>
        </is>
      </c>
      <c r="F265" t="inlineStr">
        <is>
          <t>Bergvik skog öst AB</t>
        </is>
      </c>
      <c r="G265" t="n">
        <v>20.5</v>
      </c>
      <c r="H265" t="n">
        <v>0</v>
      </c>
      <c r="I265" t="n">
        <v>0</v>
      </c>
      <c r="J265" t="n">
        <v>0</v>
      </c>
      <c r="K265" t="n">
        <v>0</v>
      </c>
      <c r="L265" t="n">
        <v>0</v>
      </c>
      <c r="M265" t="n">
        <v>0</v>
      </c>
      <c r="N265" t="n">
        <v>0</v>
      </c>
      <c r="O265" t="n">
        <v>0</v>
      </c>
      <c r="P265" t="n">
        <v>0</v>
      </c>
      <c r="Q265" t="n">
        <v>0</v>
      </c>
      <c r="R265" s="2" t="inlineStr"/>
    </row>
    <row r="266" ht="15" customHeight="1">
      <c r="A266" t="inlineStr">
        <is>
          <t>A 17549-2020</t>
        </is>
      </c>
      <c r="B266" s="1" t="n">
        <v>43920</v>
      </c>
      <c r="C266" s="1" t="n">
        <v>45798</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19556-2020</t>
        </is>
      </c>
      <c r="B267" s="1" t="n">
        <v>43936</v>
      </c>
      <c r="C267" s="1" t="n">
        <v>45798</v>
      </c>
      <c r="D267" t="inlineStr">
        <is>
          <t>UPPSALA LÄN</t>
        </is>
      </c>
      <c r="E267" t="inlineStr">
        <is>
          <t>ÖSTHAMMAR</t>
        </is>
      </c>
      <c r="G267" t="n">
        <v>6.3</v>
      </c>
      <c r="H267" t="n">
        <v>0</v>
      </c>
      <c r="I267" t="n">
        <v>0</v>
      </c>
      <c r="J267" t="n">
        <v>0</v>
      </c>
      <c r="K267" t="n">
        <v>0</v>
      </c>
      <c r="L267" t="n">
        <v>0</v>
      </c>
      <c r="M267" t="n">
        <v>0</v>
      </c>
      <c r="N267" t="n">
        <v>0</v>
      </c>
      <c r="O267" t="n">
        <v>0</v>
      </c>
      <c r="P267" t="n">
        <v>0</v>
      </c>
      <c r="Q267" t="n">
        <v>0</v>
      </c>
      <c r="R267" s="2" t="inlineStr"/>
    </row>
    <row r="268" ht="15" customHeight="1">
      <c r="A268" t="inlineStr">
        <is>
          <t>A 23621-2020</t>
        </is>
      </c>
      <c r="B268" s="1" t="n">
        <v>43969</v>
      </c>
      <c r="C268" s="1" t="n">
        <v>45798</v>
      </c>
      <c r="D268" t="inlineStr">
        <is>
          <t>UPPSALA LÄN</t>
        </is>
      </c>
      <c r="E268" t="inlineStr">
        <is>
          <t>ÖSTHAMMAR</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26198-2020</t>
        </is>
      </c>
      <c r="B269" s="1" t="n">
        <v>43986</v>
      </c>
      <c r="C269" s="1" t="n">
        <v>45798</v>
      </c>
      <c r="D269" t="inlineStr">
        <is>
          <t>UPPSALA LÄN</t>
        </is>
      </c>
      <c r="E269" t="inlineStr">
        <is>
          <t>ÖSTHAMMAR</t>
        </is>
      </c>
      <c r="F269" t="inlineStr">
        <is>
          <t>Bergvik skog öst AB</t>
        </is>
      </c>
      <c r="G269" t="n">
        <v>0.3</v>
      </c>
      <c r="H269" t="n">
        <v>0</v>
      </c>
      <c r="I269" t="n">
        <v>0</v>
      </c>
      <c r="J269" t="n">
        <v>0</v>
      </c>
      <c r="K269" t="n">
        <v>0</v>
      </c>
      <c r="L269" t="n">
        <v>0</v>
      </c>
      <c r="M269" t="n">
        <v>0</v>
      </c>
      <c r="N269" t="n">
        <v>0</v>
      </c>
      <c r="O269" t="n">
        <v>0</v>
      </c>
      <c r="P269" t="n">
        <v>0</v>
      </c>
      <c r="Q269" t="n">
        <v>0</v>
      </c>
      <c r="R269" s="2" t="inlineStr"/>
    </row>
    <row r="270" ht="15" customHeight="1">
      <c r="A270" t="inlineStr">
        <is>
          <t>A 30338-2020</t>
        </is>
      </c>
      <c r="B270" s="1" t="n">
        <v>44007</v>
      </c>
      <c r="C270" s="1" t="n">
        <v>45798</v>
      </c>
      <c r="D270" t="inlineStr">
        <is>
          <t>UPPSALA LÄN</t>
        </is>
      </c>
      <c r="E270" t="inlineStr">
        <is>
          <t>ÖSTHAMMAR</t>
        </is>
      </c>
      <c r="G270" t="n">
        <v>2.1</v>
      </c>
      <c r="H270" t="n">
        <v>0</v>
      </c>
      <c r="I270" t="n">
        <v>0</v>
      </c>
      <c r="J270" t="n">
        <v>0</v>
      </c>
      <c r="K270" t="n">
        <v>0</v>
      </c>
      <c r="L270" t="n">
        <v>0</v>
      </c>
      <c r="M270" t="n">
        <v>0</v>
      </c>
      <c r="N270" t="n">
        <v>0</v>
      </c>
      <c r="O270" t="n">
        <v>0</v>
      </c>
      <c r="P270" t="n">
        <v>0</v>
      </c>
      <c r="Q270" t="n">
        <v>0</v>
      </c>
      <c r="R270" s="2" t="inlineStr"/>
    </row>
    <row r="271" ht="15" customHeight="1">
      <c r="A271" t="inlineStr">
        <is>
          <t>A 30419-2020</t>
        </is>
      </c>
      <c r="B271" s="1" t="n">
        <v>44007</v>
      </c>
      <c r="C271" s="1" t="n">
        <v>45798</v>
      </c>
      <c r="D271" t="inlineStr">
        <is>
          <t>UPPSALA LÄN</t>
        </is>
      </c>
      <c r="E271" t="inlineStr">
        <is>
          <t>ÖSTHAMMAR</t>
        </is>
      </c>
      <c r="G271" t="n">
        <v>5.6</v>
      </c>
      <c r="H271" t="n">
        <v>0</v>
      </c>
      <c r="I271" t="n">
        <v>0</v>
      </c>
      <c r="J271" t="n">
        <v>0</v>
      </c>
      <c r="K271" t="n">
        <v>0</v>
      </c>
      <c r="L271" t="n">
        <v>0</v>
      </c>
      <c r="M271" t="n">
        <v>0</v>
      </c>
      <c r="N271" t="n">
        <v>0</v>
      </c>
      <c r="O271" t="n">
        <v>0</v>
      </c>
      <c r="P271" t="n">
        <v>0</v>
      </c>
      <c r="Q271" t="n">
        <v>0</v>
      </c>
      <c r="R271" s="2" t="inlineStr"/>
    </row>
    <row r="272" ht="15" customHeight="1">
      <c r="A272" t="inlineStr">
        <is>
          <t>A 32192-2020</t>
        </is>
      </c>
      <c r="B272" s="1" t="n">
        <v>44015</v>
      </c>
      <c r="C272" s="1" t="n">
        <v>45798</v>
      </c>
      <c r="D272" t="inlineStr">
        <is>
          <t>UPPSALA LÄN</t>
        </is>
      </c>
      <c r="E272" t="inlineStr">
        <is>
          <t>ÖSTHAMMAR</t>
        </is>
      </c>
      <c r="G272" t="n">
        <v>1.6</v>
      </c>
      <c r="H272" t="n">
        <v>0</v>
      </c>
      <c r="I272" t="n">
        <v>0</v>
      </c>
      <c r="J272" t="n">
        <v>0</v>
      </c>
      <c r="K272" t="n">
        <v>0</v>
      </c>
      <c r="L272" t="n">
        <v>0</v>
      </c>
      <c r="M272" t="n">
        <v>0</v>
      </c>
      <c r="N272" t="n">
        <v>0</v>
      </c>
      <c r="O272" t="n">
        <v>0</v>
      </c>
      <c r="P272" t="n">
        <v>0</v>
      </c>
      <c r="Q272" t="n">
        <v>0</v>
      </c>
      <c r="R272" s="2" t="inlineStr"/>
    </row>
    <row r="273" ht="15" customHeight="1">
      <c r="A273" t="inlineStr">
        <is>
          <t>A 33098-2020</t>
        </is>
      </c>
      <c r="B273" s="1" t="n">
        <v>44021</v>
      </c>
      <c r="C273" s="1" t="n">
        <v>45798</v>
      </c>
      <c r="D273" t="inlineStr">
        <is>
          <t>UPPSALA LÄN</t>
        </is>
      </c>
      <c r="E273" t="inlineStr">
        <is>
          <t>ÖSTHAMMAR</t>
        </is>
      </c>
      <c r="G273" t="n">
        <v>3.8</v>
      </c>
      <c r="H273" t="n">
        <v>0</v>
      </c>
      <c r="I273" t="n">
        <v>0</v>
      </c>
      <c r="J273" t="n">
        <v>0</v>
      </c>
      <c r="K273" t="n">
        <v>0</v>
      </c>
      <c r="L273" t="n">
        <v>0</v>
      </c>
      <c r="M273" t="n">
        <v>0</v>
      </c>
      <c r="N273" t="n">
        <v>0</v>
      </c>
      <c r="O273" t="n">
        <v>0</v>
      </c>
      <c r="P273" t="n">
        <v>0</v>
      </c>
      <c r="Q273" t="n">
        <v>0</v>
      </c>
      <c r="R273" s="2" t="inlineStr"/>
    </row>
    <row r="274" ht="15" customHeight="1">
      <c r="A274" t="inlineStr">
        <is>
          <t>A 34943-2020</t>
        </is>
      </c>
      <c r="B274" s="1" t="n">
        <v>44038</v>
      </c>
      <c r="C274" s="1" t="n">
        <v>45798</v>
      </c>
      <c r="D274" t="inlineStr">
        <is>
          <t>UPPSALA LÄN</t>
        </is>
      </c>
      <c r="E274" t="inlineStr">
        <is>
          <t>ÖSTHAMMAR</t>
        </is>
      </c>
      <c r="F274" t="inlineStr">
        <is>
          <t>Bergvik skog öst AB</t>
        </is>
      </c>
      <c r="G274" t="n">
        <v>4.2</v>
      </c>
      <c r="H274" t="n">
        <v>0</v>
      </c>
      <c r="I274" t="n">
        <v>0</v>
      </c>
      <c r="J274" t="n">
        <v>0</v>
      </c>
      <c r="K274" t="n">
        <v>0</v>
      </c>
      <c r="L274" t="n">
        <v>0</v>
      </c>
      <c r="M274" t="n">
        <v>0</v>
      </c>
      <c r="N274" t="n">
        <v>0</v>
      </c>
      <c r="O274" t="n">
        <v>0</v>
      </c>
      <c r="P274" t="n">
        <v>0</v>
      </c>
      <c r="Q274" t="n">
        <v>0</v>
      </c>
      <c r="R274" s="2" t="inlineStr"/>
    </row>
    <row r="275" ht="15" customHeight="1">
      <c r="A275" t="inlineStr">
        <is>
          <t>A 34941-2020</t>
        </is>
      </c>
      <c r="B275" s="1" t="n">
        <v>44038</v>
      </c>
      <c r="C275" s="1" t="n">
        <v>45798</v>
      </c>
      <c r="D275" t="inlineStr">
        <is>
          <t>UPPSALA LÄN</t>
        </is>
      </c>
      <c r="E275" t="inlineStr">
        <is>
          <t>ÖSTHAMMAR</t>
        </is>
      </c>
      <c r="F275" t="inlineStr">
        <is>
          <t>Bergvik skog öst AB</t>
        </is>
      </c>
      <c r="G275" t="n">
        <v>1.8</v>
      </c>
      <c r="H275" t="n">
        <v>0</v>
      </c>
      <c r="I275" t="n">
        <v>0</v>
      </c>
      <c r="J275" t="n">
        <v>0</v>
      </c>
      <c r="K275" t="n">
        <v>0</v>
      </c>
      <c r="L275" t="n">
        <v>0</v>
      </c>
      <c r="M275" t="n">
        <v>0</v>
      </c>
      <c r="N275" t="n">
        <v>0</v>
      </c>
      <c r="O275" t="n">
        <v>0</v>
      </c>
      <c r="P275" t="n">
        <v>0</v>
      </c>
      <c r="Q275" t="n">
        <v>0</v>
      </c>
      <c r="R275" s="2" t="inlineStr"/>
    </row>
    <row r="276" ht="15" customHeight="1">
      <c r="A276" t="inlineStr">
        <is>
          <t>A 34940-2020</t>
        </is>
      </c>
      <c r="B276" s="1" t="n">
        <v>44038</v>
      </c>
      <c r="C276" s="1" t="n">
        <v>45798</v>
      </c>
      <c r="D276" t="inlineStr">
        <is>
          <t>UPPSALA LÄN</t>
        </is>
      </c>
      <c r="E276" t="inlineStr">
        <is>
          <t>ÖSTHAMMAR</t>
        </is>
      </c>
      <c r="F276" t="inlineStr">
        <is>
          <t>Bergvik skog öst AB</t>
        </is>
      </c>
      <c r="G276" t="n">
        <v>3.5</v>
      </c>
      <c r="H276" t="n">
        <v>0</v>
      </c>
      <c r="I276" t="n">
        <v>0</v>
      </c>
      <c r="J276" t="n">
        <v>0</v>
      </c>
      <c r="K276" t="n">
        <v>0</v>
      </c>
      <c r="L276" t="n">
        <v>0</v>
      </c>
      <c r="M276" t="n">
        <v>0</v>
      </c>
      <c r="N276" t="n">
        <v>0</v>
      </c>
      <c r="O276" t="n">
        <v>0</v>
      </c>
      <c r="P276" t="n">
        <v>0</v>
      </c>
      <c r="Q276" t="n">
        <v>0</v>
      </c>
      <c r="R276" s="2" t="inlineStr"/>
    </row>
    <row r="277" ht="15" customHeight="1">
      <c r="A277" t="inlineStr">
        <is>
          <t>A 35094-2020</t>
        </is>
      </c>
      <c r="B277" s="1" t="n">
        <v>44040</v>
      </c>
      <c r="C277" s="1" t="n">
        <v>45798</v>
      </c>
      <c r="D277" t="inlineStr">
        <is>
          <t>UPPSALA LÄN</t>
        </is>
      </c>
      <c r="E277" t="inlineStr">
        <is>
          <t>ÖSTHAMMAR</t>
        </is>
      </c>
      <c r="F277" t="inlineStr">
        <is>
          <t>Bergvik skog öst AB</t>
        </is>
      </c>
      <c r="G277" t="n">
        <v>14.5</v>
      </c>
      <c r="H277" t="n">
        <v>0</v>
      </c>
      <c r="I277" t="n">
        <v>0</v>
      </c>
      <c r="J277" t="n">
        <v>0</v>
      </c>
      <c r="K277" t="n">
        <v>0</v>
      </c>
      <c r="L277" t="n">
        <v>0</v>
      </c>
      <c r="M277" t="n">
        <v>0</v>
      </c>
      <c r="N277" t="n">
        <v>0</v>
      </c>
      <c r="O277" t="n">
        <v>0</v>
      </c>
      <c r="P277" t="n">
        <v>0</v>
      </c>
      <c r="Q277" t="n">
        <v>0</v>
      </c>
      <c r="R277" s="2" t="inlineStr"/>
    </row>
    <row r="278" ht="15" customHeight="1">
      <c r="A278" t="inlineStr">
        <is>
          <t>A 35096-2020</t>
        </is>
      </c>
      <c r="B278" s="1" t="n">
        <v>44040</v>
      </c>
      <c r="C278" s="1" t="n">
        <v>45798</v>
      </c>
      <c r="D278" t="inlineStr">
        <is>
          <t>UPPSALA LÄN</t>
        </is>
      </c>
      <c r="E278" t="inlineStr">
        <is>
          <t>ÖSTHAMMAR</t>
        </is>
      </c>
      <c r="F278" t="inlineStr">
        <is>
          <t>Bergvik skog öst AB</t>
        </is>
      </c>
      <c r="G278" t="n">
        <v>7.6</v>
      </c>
      <c r="H278" t="n">
        <v>0</v>
      </c>
      <c r="I278" t="n">
        <v>0</v>
      </c>
      <c r="J278" t="n">
        <v>0</v>
      </c>
      <c r="K278" t="n">
        <v>0</v>
      </c>
      <c r="L278" t="n">
        <v>0</v>
      </c>
      <c r="M278" t="n">
        <v>0</v>
      </c>
      <c r="N278" t="n">
        <v>0</v>
      </c>
      <c r="O278" t="n">
        <v>0</v>
      </c>
      <c r="P278" t="n">
        <v>0</v>
      </c>
      <c r="Q278" t="n">
        <v>0</v>
      </c>
      <c r="R278" s="2" t="inlineStr"/>
    </row>
    <row r="279" ht="15" customHeight="1">
      <c r="A279" t="inlineStr">
        <is>
          <t>A 38285-2020</t>
        </is>
      </c>
      <c r="B279" s="1" t="n">
        <v>44060</v>
      </c>
      <c r="C279" s="1" t="n">
        <v>45798</v>
      </c>
      <c r="D279" t="inlineStr">
        <is>
          <t>UPPSALA LÄN</t>
        </is>
      </c>
      <c r="E279" t="inlineStr">
        <is>
          <t>ÖSTHAMMAR</t>
        </is>
      </c>
      <c r="G279" t="n">
        <v>4.7</v>
      </c>
      <c r="H279" t="n">
        <v>0</v>
      </c>
      <c r="I279" t="n">
        <v>0</v>
      </c>
      <c r="J279" t="n">
        <v>0</v>
      </c>
      <c r="K279" t="n">
        <v>0</v>
      </c>
      <c r="L279" t="n">
        <v>0</v>
      </c>
      <c r="M279" t="n">
        <v>0</v>
      </c>
      <c r="N279" t="n">
        <v>0</v>
      </c>
      <c r="O279" t="n">
        <v>0</v>
      </c>
      <c r="P279" t="n">
        <v>0</v>
      </c>
      <c r="Q279" t="n">
        <v>0</v>
      </c>
      <c r="R279" s="2" t="inlineStr"/>
    </row>
    <row r="280" ht="15" customHeight="1">
      <c r="A280" t="inlineStr">
        <is>
          <t>A 38630-2020</t>
        </is>
      </c>
      <c r="B280" s="1" t="n">
        <v>44061</v>
      </c>
      <c r="C280" s="1" t="n">
        <v>45798</v>
      </c>
      <c r="D280" t="inlineStr">
        <is>
          <t>UPPSALA LÄN</t>
        </is>
      </c>
      <c r="E280" t="inlineStr">
        <is>
          <t>ÖSTHAMMAR</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39640-2020</t>
        </is>
      </c>
      <c r="B281" s="1" t="n">
        <v>44064</v>
      </c>
      <c r="C281" s="1" t="n">
        <v>45798</v>
      </c>
      <c r="D281" t="inlineStr">
        <is>
          <t>UPPSALA LÄN</t>
        </is>
      </c>
      <c r="E281" t="inlineStr">
        <is>
          <t>ÖSTHAMMAR</t>
        </is>
      </c>
      <c r="F281" t="inlineStr">
        <is>
          <t>Bergvik skog öst AB</t>
        </is>
      </c>
      <c r="G281" t="n">
        <v>1.2</v>
      </c>
      <c r="H281" t="n">
        <v>0</v>
      </c>
      <c r="I281" t="n">
        <v>0</v>
      </c>
      <c r="J281" t="n">
        <v>0</v>
      </c>
      <c r="K281" t="n">
        <v>0</v>
      </c>
      <c r="L281" t="n">
        <v>0</v>
      </c>
      <c r="M281" t="n">
        <v>0</v>
      </c>
      <c r="N281" t="n">
        <v>0</v>
      </c>
      <c r="O281" t="n">
        <v>0</v>
      </c>
      <c r="P281" t="n">
        <v>0</v>
      </c>
      <c r="Q281" t="n">
        <v>0</v>
      </c>
      <c r="R281" s="2" t="inlineStr"/>
    </row>
    <row r="282" ht="15" customHeight="1">
      <c r="A282" t="inlineStr">
        <is>
          <t>A 41849-2020</t>
        </is>
      </c>
      <c r="B282" s="1" t="n">
        <v>44074</v>
      </c>
      <c r="C282" s="1" t="n">
        <v>45798</v>
      </c>
      <c r="D282" t="inlineStr">
        <is>
          <t>UPPSALA LÄN</t>
        </is>
      </c>
      <c r="E282" t="inlineStr">
        <is>
          <t>ÖSTHAMMAR</t>
        </is>
      </c>
      <c r="F282" t="inlineStr">
        <is>
          <t>Bergvik skog öst AB</t>
        </is>
      </c>
      <c r="G282" t="n">
        <v>2.5</v>
      </c>
      <c r="H282" t="n">
        <v>0</v>
      </c>
      <c r="I282" t="n">
        <v>0</v>
      </c>
      <c r="J282" t="n">
        <v>0</v>
      </c>
      <c r="K282" t="n">
        <v>0</v>
      </c>
      <c r="L282" t="n">
        <v>0</v>
      </c>
      <c r="M282" t="n">
        <v>0</v>
      </c>
      <c r="N282" t="n">
        <v>0</v>
      </c>
      <c r="O282" t="n">
        <v>0</v>
      </c>
      <c r="P282" t="n">
        <v>0</v>
      </c>
      <c r="Q282" t="n">
        <v>0</v>
      </c>
      <c r="R282" s="2" t="inlineStr"/>
    </row>
    <row r="283" ht="15" customHeight="1">
      <c r="A283" t="inlineStr">
        <is>
          <t>A 42549-2020</t>
        </is>
      </c>
      <c r="B283" s="1" t="n">
        <v>44077</v>
      </c>
      <c r="C283" s="1" t="n">
        <v>45798</v>
      </c>
      <c r="D283" t="inlineStr">
        <is>
          <t>UPPSALA LÄN</t>
        </is>
      </c>
      <c r="E283" t="inlineStr">
        <is>
          <t>ÖSTHAMMAR</t>
        </is>
      </c>
      <c r="G283" t="n">
        <v>0.4</v>
      </c>
      <c r="H283" t="n">
        <v>0</v>
      </c>
      <c r="I283" t="n">
        <v>0</v>
      </c>
      <c r="J283" t="n">
        <v>0</v>
      </c>
      <c r="K283" t="n">
        <v>0</v>
      </c>
      <c r="L283" t="n">
        <v>0</v>
      </c>
      <c r="M283" t="n">
        <v>0</v>
      </c>
      <c r="N283" t="n">
        <v>0</v>
      </c>
      <c r="O283" t="n">
        <v>0</v>
      </c>
      <c r="P283" t="n">
        <v>0</v>
      </c>
      <c r="Q283" t="n">
        <v>0</v>
      </c>
      <c r="R283" s="2" t="inlineStr"/>
    </row>
    <row r="284" ht="15" customHeight="1">
      <c r="A284" t="inlineStr">
        <is>
          <t>A 46311-2020</t>
        </is>
      </c>
      <c r="B284" s="1" t="n">
        <v>44092</v>
      </c>
      <c r="C284" s="1" t="n">
        <v>45798</v>
      </c>
      <c r="D284" t="inlineStr">
        <is>
          <t>UPPSALA LÄN</t>
        </is>
      </c>
      <c r="E284" t="inlineStr">
        <is>
          <t>ÖSTHAMMAR</t>
        </is>
      </c>
      <c r="F284" t="inlineStr">
        <is>
          <t>Bergvik skog öst AB</t>
        </is>
      </c>
      <c r="G284" t="n">
        <v>4</v>
      </c>
      <c r="H284" t="n">
        <v>0</v>
      </c>
      <c r="I284" t="n">
        <v>0</v>
      </c>
      <c r="J284" t="n">
        <v>0</v>
      </c>
      <c r="K284" t="n">
        <v>0</v>
      </c>
      <c r="L284" t="n">
        <v>0</v>
      </c>
      <c r="M284" t="n">
        <v>0</v>
      </c>
      <c r="N284" t="n">
        <v>0</v>
      </c>
      <c r="O284" t="n">
        <v>0</v>
      </c>
      <c r="P284" t="n">
        <v>0</v>
      </c>
      <c r="Q284" t="n">
        <v>0</v>
      </c>
      <c r="R284" s="2" t="inlineStr"/>
    </row>
    <row r="285" ht="15" customHeight="1">
      <c r="A285" t="inlineStr">
        <is>
          <t>A 46423-2020</t>
        </is>
      </c>
      <c r="B285" s="1" t="n">
        <v>44095</v>
      </c>
      <c r="C285" s="1" t="n">
        <v>45798</v>
      </c>
      <c r="D285" t="inlineStr">
        <is>
          <t>UPPSALA LÄN</t>
        </is>
      </c>
      <c r="E285" t="inlineStr">
        <is>
          <t>ÖSTHAMMAR</t>
        </is>
      </c>
      <c r="G285" t="n">
        <v>3</v>
      </c>
      <c r="H285" t="n">
        <v>0</v>
      </c>
      <c r="I285" t="n">
        <v>0</v>
      </c>
      <c r="J285" t="n">
        <v>0</v>
      </c>
      <c r="K285" t="n">
        <v>0</v>
      </c>
      <c r="L285" t="n">
        <v>0</v>
      </c>
      <c r="M285" t="n">
        <v>0</v>
      </c>
      <c r="N285" t="n">
        <v>0</v>
      </c>
      <c r="O285" t="n">
        <v>0</v>
      </c>
      <c r="P285" t="n">
        <v>0</v>
      </c>
      <c r="Q285" t="n">
        <v>0</v>
      </c>
      <c r="R285" s="2" t="inlineStr"/>
    </row>
    <row r="286" ht="15" customHeight="1">
      <c r="A286" t="inlineStr">
        <is>
          <t>A 47481-2020</t>
        </is>
      </c>
      <c r="B286" s="1" t="n">
        <v>44098</v>
      </c>
      <c r="C286" s="1" t="n">
        <v>45798</v>
      </c>
      <c r="D286" t="inlineStr">
        <is>
          <t>UPPSALA LÄN</t>
        </is>
      </c>
      <c r="E286" t="inlineStr">
        <is>
          <t>ÖSTHAMMAR</t>
        </is>
      </c>
      <c r="G286" t="n">
        <v>1.1</v>
      </c>
      <c r="H286" t="n">
        <v>0</v>
      </c>
      <c r="I286" t="n">
        <v>0</v>
      </c>
      <c r="J286" t="n">
        <v>0</v>
      </c>
      <c r="K286" t="n">
        <v>0</v>
      </c>
      <c r="L286" t="n">
        <v>0</v>
      </c>
      <c r="M286" t="n">
        <v>0</v>
      </c>
      <c r="N286" t="n">
        <v>0</v>
      </c>
      <c r="O286" t="n">
        <v>0</v>
      </c>
      <c r="P286" t="n">
        <v>0</v>
      </c>
      <c r="Q286" t="n">
        <v>0</v>
      </c>
      <c r="R286" s="2" t="inlineStr"/>
    </row>
    <row r="287" ht="15" customHeight="1">
      <c r="A287" t="inlineStr">
        <is>
          <t>A 49206-2020</t>
        </is>
      </c>
      <c r="B287" s="1" t="n">
        <v>44105</v>
      </c>
      <c r="C287" s="1" t="n">
        <v>45798</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49336-2020</t>
        </is>
      </c>
      <c r="B288" s="1" t="n">
        <v>44105</v>
      </c>
      <c r="C288" s="1" t="n">
        <v>45798</v>
      </c>
      <c r="D288" t="inlineStr">
        <is>
          <t>UPPSALA LÄN</t>
        </is>
      </c>
      <c r="E288" t="inlineStr">
        <is>
          <t>ÖSTHAMMAR</t>
        </is>
      </c>
      <c r="F288" t="inlineStr">
        <is>
          <t>Övriga Aktiebolag</t>
        </is>
      </c>
      <c r="G288" t="n">
        <v>2</v>
      </c>
      <c r="H288" t="n">
        <v>0</v>
      </c>
      <c r="I288" t="n">
        <v>0</v>
      </c>
      <c r="J288" t="n">
        <v>0</v>
      </c>
      <c r="K288" t="n">
        <v>0</v>
      </c>
      <c r="L288" t="n">
        <v>0</v>
      </c>
      <c r="M288" t="n">
        <v>0</v>
      </c>
      <c r="N288" t="n">
        <v>0</v>
      </c>
      <c r="O288" t="n">
        <v>0</v>
      </c>
      <c r="P288" t="n">
        <v>0</v>
      </c>
      <c r="Q288" t="n">
        <v>0</v>
      </c>
      <c r="R288" s="2" t="inlineStr"/>
    </row>
    <row r="289" ht="15" customHeight="1">
      <c r="A289" t="inlineStr">
        <is>
          <t>A 52432-2020</t>
        </is>
      </c>
      <c r="B289" s="1" t="n">
        <v>44118</v>
      </c>
      <c r="C289" s="1" t="n">
        <v>45798</v>
      </c>
      <c r="D289" t="inlineStr">
        <is>
          <t>UPPSALA LÄN</t>
        </is>
      </c>
      <c r="E289" t="inlineStr">
        <is>
          <t>ÖSTHAMMAR</t>
        </is>
      </c>
      <c r="G289" t="n">
        <v>2.7</v>
      </c>
      <c r="H289" t="n">
        <v>0</v>
      </c>
      <c r="I289" t="n">
        <v>0</v>
      </c>
      <c r="J289" t="n">
        <v>0</v>
      </c>
      <c r="K289" t="n">
        <v>0</v>
      </c>
      <c r="L289" t="n">
        <v>0</v>
      </c>
      <c r="M289" t="n">
        <v>0</v>
      </c>
      <c r="N289" t="n">
        <v>0</v>
      </c>
      <c r="O289" t="n">
        <v>0</v>
      </c>
      <c r="P289" t="n">
        <v>0</v>
      </c>
      <c r="Q289" t="n">
        <v>0</v>
      </c>
      <c r="R289" s="2" t="inlineStr"/>
    </row>
    <row r="290" ht="15" customHeight="1">
      <c r="A290" t="inlineStr">
        <is>
          <t>A 52434-2020</t>
        </is>
      </c>
      <c r="B290" s="1" t="n">
        <v>44118</v>
      </c>
      <c r="C290" s="1" t="n">
        <v>45798</v>
      </c>
      <c r="D290" t="inlineStr">
        <is>
          <t>UPPSALA LÄN</t>
        </is>
      </c>
      <c r="E290" t="inlineStr">
        <is>
          <t>ÖSTHAMMAR</t>
        </is>
      </c>
      <c r="G290" t="n">
        <v>2.8</v>
      </c>
      <c r="H290" t="n">
        <v>0</v>
      </c>
      <c r="I290" t="n">
        <v>0</v>
      </c>
      <c r="J290" t="n">
        <v>0</v>
      </c>
      <c r="K290" t="n">
        <v>0</v>
      </c>
      <c r="L290" t="n">
        <v>0</v>
      </c>
      <c r="M290" t="n">
        <v>0</v>
      </c>
      <c r="N290" t="n">
        <v>0</v>
      </c>
      <c r="O290" t="n">
        <v>0</v>
      </c>
      <c r="P290" t="n">
        <v>0</v>
      </c>
      <c r="Q290" t="n">
        <v>0</v>
      </c>
      <c r="R290" s="2" t="inlineStr"/>
    </row>
    <row r="291" ht="15" customHeight="1">
      <c r="A291" t="inlineStr">
        <is>
          <t>A 53137-2020</t>
        </is>
      </c>
      <c r="B291" s="1" t="n">
        <v>44120</v>
      </c>
      <c r="C291" s="1" t="n">
        <v>45798</v>
      </c>
      <c r="D291" t="inlineStr">
        <is>
          <t>UPPSALA LÄN</t>
        </is>
      </c>
      <c r="E291" t="inlineStr">
        <is>
          <t>ÖSTHAMMAR</t>
        </is>
      </c>
      <c r="G291" t="n">
        <v>1.9</v>
      </c>
      <c r="H291" t="n">
        <v>0</v>
      </c>
      <c r="I291" t="n">
        <v>0</v>
      </c>
      <c r="J291" t="n">
        <v>0</v>
      </c>
      <c r="K291" t="n">
        <v>0</v>
      </c>
      <c r="L291" t="n">
        <v>0</v>
      </c>
      <c r="M291" t="n">
        <v>0</v>
      </c>
      <c r="N291" t="n">
        <v>0</v>
      </c>
      <c r="O291" t="n">
        <v>0</v>
      </c>
      <c r="P291" t="n">
        <v>0</v>
      </c>
      <c r="Q291" t="n">
        <v>0</v>
      </c>
      <c r="R291" s="2" t="inlineStr"/>
    </row>
    <row r="292" ht="15" customHeight="1">
      <c r="A292" t="inlineStr">
        <is>
          <t>A 55389-2020</t>
        </is>
      </c>
      <c r="B292" s="1" t="n">
        <v>44131</v>
      </c>
      <c r="C292" s="1" t="n">
        <v>45798</v>
      </c>
      <c r="D292" t="inlineStr">
        <is>
          <t>UPPSALA LÄN</t>
        </is>
      </c>
      <c r="E292" t="inlineStr">
        <is>
          <t>ÖSTHAMMAR</t>
        </is>
      </c>
      <c r="G292" t="n">
        <v>1.3</v>
      </c>
      <c r="H292" t="n">
        <v>0</v>
      </c>
      <c r="I292" t="n">
        <v>0</v>
      </c>
      <c r="J292" t="n">
        <v>0</v>
      </c>
      <c r="K292" t="n">
        <v>0</v>
      </c>
      <c r="L292" t="n">
        <v>0</v>
      </c>
      <c r="M292" t="n">
        <v>0</v>
      </c>
      <c r="N292" t="n">
        <v>0</v>
      </c>
      <c r="O292" t="n">
        <v>0</v>
      </c>
      <c r="P292" t="n">
        <v>0</v>
      </c>
      <c r="Q292" t="n">
        <v>0</v>
      </c>
      <c r="R292" s="2" t="inlineStr"/>
    </row>
    <row r="293" ht="15" customHeight="1">
      <c r="A293" t="inlineStr">
        <is>
          <t>A 56041-2020</t>
        </is>
      </c>
      <c r="B293" s="1" t="n">
        <v>44133</v>
      </c>
      <c r="C293" s="1" t="n">
        <v>45798</v>
      </c>
      <c r="D293" t="inlineStr">
        <is>
          <t>UPPSALA LÄN</t>
        </is>
      </c>
      <c r="E293" t="inlineStr">
        <is>
          <t>ÖSTHAMMAR</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56079-2020</t>
        </is>
      </c>
      <c r="B294" s="1" t="n">
        <v>44133</v>
      </c>
      <c r="C294" s="1" t="n">
        <v>45798</v>
      </c>
      <c r="D294" t="inlineStr">
        <is>
          <t>UPPSALA LÄN</t>
        </is>
      </c>
      <c r="E294" t="inlineStr">
        <is>
          <t>ÖSTHAMMAR</t>
        </is>
      </c>
      <c r="F294" t="inlineStr">
        <is>
          <t>Bergvik skog öst AB</t>
        </is>
      </c>
      <c r="G294" t="n">
        <v>2.9</v>
      </c>
      <c r="H294" t="n">
        <v>0</v>
      </c>
      <c r="I294" t="n">
        <v>0</v>
      </c>
      <c r="J294" t="n">
        <v>0</v>
      </c>
      <c r="K294" t="n">
        <v>0</v>
      </c>
      <c r="L294" t="n">
        <v>0</v>
      </c>
      <c r="M294" t="n">
        <v>0</v>
      </c>
      <c r="N294" t="n">
        <v>0</v>
      </c>
      <c r="O294" t="n">
        <v>0</v>
      </c>
      <c r="P294" t="n">
        <v>0</v>
      </c>
      <c r="Q294" t="n">
        <v>0</v>
      </c>
      <c r="R294" s="2" t="inlineStr"/>
    </row>
    <row r="295" ht="15" customHeight="1">
      <c r="A295" t="inlineStr">
        <is>
          <t>A 56089-2020</t>
        </is>
      </c>
      <c r="B295" s="1" t="n">
        <v>44133</v>
      </c>
      <c r="C295" s="1" t="n">
        <v>45798</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57408-2020</t>
        </is>
      </c>
      <c r="B296" s="1" t="n">
        <v>44140</v>
      </c>
      <c r="C296" s="1" t="n">
        <v>45798</v>
      </c>
      <c r="D296" t="inlineStr">
        <is>
          <t>UPPSALA LÄN</t>
        </is>
      </c>
      <c r="E296" t="inlineStr">
        <is>
          <t>ÖSTHAMMAR</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59432-2020</t>
        </is>
      </c>
      <c r="B297" s="1" t="n">
        <v>44148</v>
      </c>
      <c r="C297" s="1" t="n">
        <v>45798</v>
      </c>
      <c r="D297" t="inlineStr">
        <is>
          <t>UPPSALA LÄN</t>
        </is>
      </c>
      <c r="E297" t="inlineStr">
        <is>
          <t>ÖSTHAMMAR</t>
        </is>
      </c>
      <c r="F297" t="inlineStr">
        <is>
          <t>Sveaskog</t>
        </is>
      </c>
      <c r="G297" t="n">
        <v>3.4</v>
      </c>
      <c r="H297" t="n">
        <v>0</v>
      </c>
      <c r="I297" t="n">
        <v>0</v>
      </c>
      <c r="J297" t="n">
        <v>0</v>
      </c>
      <c r="K297" t="n">
        <v>0</v>
      </c>
      <c r="L297" t="n">
        <v>0</v>
      </c>
      <c r="M297" t="n">
        <v>0</v>
      </c>
      <c r="N297" t="n">
        <v>0</v>
      </c>
      <c r="O297" t="n">
        <v>0</v>
      </c>
      <c r="P297" t="n">
        <v>0</v>
      </c>
      <c r="Q297" t="n">
        <v>0</v>
      </c>
      <c r="R297" s="2" t="inlineStr"/>
    </row>
    <row r="298" ht="15" customHeight="1">
      <c r="A298" t="inlineStr">
        <is>
          <t>A 59414-2020</t>
        </is>
      </c>
      <c r="B298" s="1" t="n">
        <v>44148</v>
      </c>
      <c r="C298" s="1" t="n">
        <v>45798</v>
      </c>
      <c r="D298" t="inlineStr">
        <is>
          <t>UPPSALA LÄN</t>
        </is>
      </c>
      <c r="E298" t="inlineStr">
        <is>
          <t>ÖSTHAMMAR</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59417-2020</t>
        </is>
      </c>
      <c r="B299" s="1" t="n">
        <v>44148</v>
      </c>
      <c r="C299" s="1" t="n">
        <v>45798</v>
      </c>
      <c r="D299" t="inlineStr">
        <is>
          <t>UPPSALA LÄN</t>
        </is>
      </c>
      <c r="E299" t="inlineStr">
        <is>
          <t>ÖSTHAMMAR</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59714-2020</t>
        </is>
      </c>
      <c r="B300" s="1" t="n">
        <v>44151</v>
      </c>
      <c r="C300" s="1" t="n">
        <v>45798</v>
      </c>
      <c r="D300" t="inlineStr">
        <is>
          <t>UPPSALA LÄN</t>
        </is>
      </c>
      <c r="E300" t="inlineStr">
        <is>
          <t>ÖSTHAMMAR</t>
        </is>
      </c>
      <c r="F300" t="inlineStr">
        <is>
          <t>Bergvik skog öst AB</t>
        </is>
      </c>
      <c r="G300" t="n">
        <v>2.5</v>
      </c>
      <c r="H300" t="n">
        <v>0</v>
      </c>
      <c r="I300" t="n">
        <v>0</v>
      </c>
      <c r="J300" t="n">
        <v>0</v>
      </c>
      <c r="K300" t="n">
        <v>0</v>
      </c>
      <c r="L300" t="n">
        <v>0</v>
      </c>
      <c r="M300" t="n">
        <v>0</v>
      </c>
      <c r="N300" t="n">
        <v>0</v>
      </c>
      <c r="O300" t="n">
        <v>0</v>
      </c>
      <c r="P300" t="n">
        <v>0</v>
      </c>
      <c r="Q300" t="n">
        <v>0</v>
      </c>
      <c r="R300" s="2" t="inlineStr"/>
    </row>
    <row r="301" ht="15" customHeight="1">
      <c r="A301" t="inlineStr">
        <is>
          <t>A 59807-2020</t>
        </is>
      </c>
      <c r="B301" s="1" t="n">
        <v>44151</v>
      </c>
      <c r="C301" s="1" t="n">
        <v>45798</v>
      </c>
      <c r="D301" t="inlineStr">
        <is>
          <t>UPPSALA LÄN</t>
        </is>
      </c>
      <c r="E301" t="inlineStr">
        <is>
          <t>ÖSTHAMMAR</t>
        </is>
      </c>
      <c r="G301" t="n">
        <v>3.4</v>
      </c>
      <c r="H301" t="n">
        <v>0</v>
      </c>
      <c r="I301" t="n">
        <v>0</v>
      </c>
      <c r="J301" t="n">
        <v>0</v>
      </c>
      <c r="K301" t="n">
        <v>0</v>
      </c>
      <c r="L301" t="n">
        <v>0</v>
      </c>
      <c r="M301" t="n">
        <v>0</v>
      </c>
      <c r="N301" t="n">
        <v>0</v>
      </c>
      <c r="O301" t="n">
        <v>0</v>
      </c>
      <c r="P301" t="n">
        <v>0</v>
      </c>
      <c r="Q301" t="n">
        <v>0</v>
      </c>
      <c r="R301" s="2" t="inlineStr"/>
    </row>
    <row r="302" ht="15" customHeight="1">
      <c r="A302" t="inlineStr">
        <is>
          <t>A 61193-2020</t>
        </is>
      </c>
      <c r="B302" s="1" t="n">
        <v>44155</v>
      </c>
      <c r="C302" s="1" t="n">
        <v>45798</v>
      </c>
      <c r="D302" t="inlineStr">
        <is>
          <t>UPPSALA LÄN</t>
        </is>
      </c>
      <c r="E302" t="inlineStr">
        <is>
          <t>ÖSTHAMMAR</t>
        </is>
      </c>
      <c r="F302" t="inlineStr">
        <is>
          <t>Övriga Aktiebolag</t>
        </is>
      </c>
      <c r="G302" t="n">
        <v>2.1</v>
      </c>
      <c r="H302" t="n">
        <v>0</v>
      </c>
      <c r="I302" t="n">
        <v>0</v>
      </c>
      <c r="J302" t="n">
        <v>0</v>
      </c>
      <c r="K302" t="n">
        <v>0</v>
      </c>
      <c r="L302" t="n">
        <v>0</v>
      </c>
      <c r="M302" t="n">
        <v>0</v>
      </c>
      <c r="N302" t="n">
        <v>0</v>
      </c>
      <c r="O302" t="n">
        <v>0</v>
      </c>
      <c r="P302" t="n">
        <v>0</v>
      </c>
      <c r="Q302" t="n">
        <v>0</v>
      </c>
      <c r="R302" s="2" t="inlineStr"/>
    </row>
    <row r="303" ht="15" customHeight="1">
      <c r="A303" t="inlineStr">
        <is>
          <t>A 62484-2020</t>
        </is>
      </c>
      <c r="B303" s="1" t="n">
        <v>44160</v>
      </c>
      <c r="C303" s="1" t="n">
        <v>45798</v>
      </c>
      <c r="D303" t="inlineStr">
        <is>
          <t>UPPSALA LÄN</t>
        </is>
      </c>
      <c r="E303" t="inlineStr">
        <is>
          <t>ÖSTHAMMAR</t>
        </is>
      </c>
      <c r="G303" t="n">
        <v>1.4</v>
      </c>
      <c r="H303" t="n">
        <v>0</v>
      </c>
      <c r="I303" t="n">
        <v>0</v>
      </c>
      <c r="J303" t="n">
        <v>0</v>
      </c>
      <c r="K303" t="n">
        <v>0</v>
      </c>
      <c r="L303" t="n">
        <v>0</v>
      </c>
      <c r="M303" t="n">
        <v>0</v>
      </c>
      <c r="N303" t="n">
        <v>0</v>
      </c>
      <c r="O303" t="n">
        <v>0</v>
      </c>
      <c r="P303" t="n">
        <v>0</v>
      </c>
      <c r="Q303" t="n">
        <v>0</v>
      </c>
      <c r="R303" s="2" t="inlineStr"/>
    </row>
    <row r="304" ht="15" customHeight="1">
      <c r="A304" t="inlineStr">
        <is>
          <t>A 63637-2020</t>
        </is>
      </c>
      <c r="B304" s="1" t="n">
        <v>44162</v>
      </c>
      <c r="C304" s="1" t="n">
        <v>45798</v>
      </c>
      <c r="D304" t="inlineStr">
        <is>
          <t>UPPSALA LÄN</t>
        </is>
      </c>
      <c r="E304" t="inlineStr">
        <is>
          <t>ÖSTHAMMAR</t>
        </is>
      </c>
      <c r="G304" t="n">
        <v>4</v>
      </c>
      <c r="H304" t="n">
        <v>0</v>
      </c>
      <c r="I304" t="n">
        <v>0</v>
      </c>
      <c r="J304" t="n">
        <v>0</v>
      </c>
      <c r="K304" t="n">
        <v>0</v>
      </c>
      <c r="L304" t="n">
        <v>0</v>
      </c>
      <c r="M304" t="n">
        <v>0</v>
      </c>
      <c r="N304" t="n">
        <v>0</v>
      </c>
      <c r="O304" t="n">
        <v>0</v>
      </c>
      <c r="P304" t="n">
        <v>0</v>
      </c>
      <c r="Q304" t="n">
        <v>0</v>
      </c>
      <c r="R304" s="2" t="inlineStr"/>
    </row>
    <row r="305" ht="15" customHeight="1">
      <c r="A305" t="inlineStr">
        <is>
          <t>A 63577-2020</t>
        </is>
      </c>
      <c r="B305" s="1" t="n">
        <v>44165</v>
      </c>
      <c r="C305" s="1" t="n">
        <v>45798</v>
      </c>
      <c r="D305" t="inlineStr">
        <is>
          <t>UPPSALA LÄN</t>
        </is>
      </c>
      <c r="E305" t="inlineStr">
        <is>
          <t>ÖSTHAMMAR</t>
        </is>
      </c>
      <c r="G305" t="n">
        <v>0.9</v>
      </c>
      <c r="H305" t="n">
        <v>0</v>
      </c>
      <c r="I305" t="n">
        <v>0</v>
      </c>
      <c r="J305" t="n">
        <v>0</v>
      </c>
      <c r="K305" t="n">
        <v>0</v>
      </c>
      <c r="L305" t="n">
        <v>0</v>
      </c>
      <c r="M305" t="n">
        <v>0</v>
      </c>
      <c r="N305" t="n">
        <v>0</v>
      </c>
      <c r="O305" t="n">
        <v>0</v>
      </c>
      <c r="P305" t="n">
        <v>0</v>
      </c>
      <c r="Q305" t="n">
        <v>0</v>
      </c>
      <c r="R305" s="2" t="inlineStr"/>
    </row>
    <row r="306" ht="15" customHeight="1">
      <c r="A306" t="inlineStr">
        <is>
          <t>A 63987-2020</t>
        </is>
      </c>
      <c r="B306" s="1" t="n">
        <v>44167</v>
      </c>
      <c r="C306" s="1" t="n">
        <v>45798</v>
      </c>
      <c r="D306" t="inlineStr">
        <is>
          <t>UPPSALA LÄN</t>
        </is>
      </c>
      <c r="E306" t="inlineStr">
        <is>
          <t>ÖSTHAMMAR</t>
        </is>
      </c>
      <c r="G306" t="n">
        <v>5.9</v>
      </c>
      <c r="H306" t="n">
        <v>0</v>
      </c>
      <c r="I306" t="n">
        <v>0</v>
      </c>
      <c r="J306" t="n">
        <v>0</v>
      </c>
      <c r="K306" t="n">
        <v>0</v>
      </c>
      <c r="L306" t="n">
        <v>0</v>
      </c>
      <c r="M306" t="n">
        <v>0</v>
      </c>
      <c r="N306" t="n">
        <v>0</v>
      </c>
      <c r="O306" t="n">
        <v>0</v>
      </c>
      <c r="P306" t="n">
        <v>0</v>
      </c>
      <c r="Q306" t="n">
        <v>0</v>
      </c>
      <c r="R306" s="2" t="inlineStr"/>
    </row>
    <row r="307" ht="15" customHeight="1">
      <c r="A307" t="inlineStr">
        <is>
          <t>A 65361-2020</t>
        </is>
      </c>
      <c r="B307" s="1" t="n">
        <v>44173</v>
      </c>
      <c r="C307" s="1" t="n">
        <v>45798</v>
      </c>
      <c r="D307" t="inlineStr">
        <is>
          <t>UPPSALA LÄN</t>
        </is>
      </c>
      <c r="E307" t="inlineStr">
        <is>
          <t>ÖSTHAMMAR</t>
        </is>
      </c>
      <c r="G307" t="n">
        <v>3.6</v>
      </c>
      <c r="H307" t="n">
        <v>0</v>
      </c>
      <c r="I307" t="n">
        <v>0</v>
      </c>
      <c r="J307" t="n">
        <v>0</v>
      </c>
      <c r="K307" t="n">
        <v>0</v>
      </c>
      <c r="L307" t="n">
        <v>0</v>
      </c>
      <c r="M307" t="n">
        <v>0</v>
      </c>
      <c r="N307" t="n">
        <v>0</v>
      </c>
      <c r="O307" t="n">
        <v>0</v>
      </c>
      <c r="P307" t="n">
        <v>0</v>
      </c>
      <c r="Q307" t="n">
        <v>0</v>
      </c>
      <c r="R307" s="2" t="inlineStr"/>
    </row>
    <row r="308" ht="15" customHeight="1">
      <c r="A308" t="inlineStr">
        <is>
          <t>A 68243-2020</t>
        </is>
      </c>
      <c r="B308" s="1" t="n">
        <v>44183</v>
      </c>
      <c r="C308" s="1" t="n">
        <v>45798</v>
      </c>
      <c r="D308" t="inlineStr">
        <is>
          <t>UPPSALA LÄN</t>
        </is>
      </c>
      <c r="E308" t="inlineStr">
        <is>
          <t>ÖSTHAMMAR</t>
        </is>
      </c>
      <c r="G308" t="n">
        <v>8.5</v>
      </c>
      <c r="H308" t="n">
        <v>0</v>
      </c>
      <c r="I308" t="n">
        <v>0</v>
      </c>
      <c r="J308" t="n">
        <v>0</v>
      </c>
      <c r="K308" t="n">
        <v>0</v>
      </c>
      <c r="L308" t="n">
        <v>0</v>
      </c>
      <c r="M308" t="n">
        <v>0</v>
      </c>
      <c r="N308" t="n">
        <v>0</v>
      </c>
      <c r="O308" t="n">
        <v>0</v>
      </c>
      <c r="P308" t="n">
        <v>0</v>
      </c>
      <c r="Q308" t="n">
        <v>0</v>
      </c>
      <c r="R308" s="2" t="inlineStr"/>
    </row>
    <row r="309" ht="15" customHeight="1">
      <c r="A309" t="inlineStr">
        <is>
          <t>A 68828-2020</t>
        </is>
      </c>
      <c r="B309" s="1" t="n">
        <v>44186</v>
      </c>
      <c r="C309" s="1" t="n">
        <v>45798</v>
      </c>
      <c r="D309" t="inlineStr">
        <is>
          <t>UPPSALA LÄN</t>
        </is>
      </c>
      <c r="E309" t="inlineStr">
        <is>
          <t>ÖSTHAMMAR</t>
        </is>
      </c>
      <c r="G309" t="n">
        <v>1.5</v>
      </c>
      <c r="H309" t="n">
        <v>0</v>
      </c>
      <c r="I309" t="n">
        <v>0</v>
      </c>
      <c r="J309" t="n">
        <v>0</v>
      </c>
      <c r="K309" t="n">
        <v>0</v>
      </c>
      <c r="L309" t="n">
        <v>0</v>
      </c>
      <c r="M309" t="n">
        <v>0</v>
      </c>
      <c r="N309" t="n">
        <v>0</v>
      </c>
      <c r="O309" t="n">
        <v>0</v>
      </c>
      <c r="P309" t="n">
        <v>0</v>
      </c>
      <c r="Q309" t="n">
        <v>0</v>
      </c>
      <c r="R309" s="2" t="inlineStr"/>
    </row>
    <row r="310" ht="15" customHeight="1">
      <c r="A310" t="inlineStr">
        <is>
          <t>A 69681-2020</t>
        </is>
      </c>
      <c r="B310" s="1" t="n">
        <v>44196</v>
      </c>
      <c r="C310" s="1" t="n">
        <v>45798</v>
      </c>
      <c r="D310" t="inlineStr">
        <is>
          <t>UPPSALA LÄN</t>
        </is>
      </c>
      <c r="E310" t="inlineStr">
        <is>
          <t>ÖSTHAMMAR</t>
        </is>
      </c>
      <c r="F310" t="inlineStr">
        <is>
          <t>Bergvik skog öst AB</t>
        </is>
      </c>
      <c r="G310" t="n">
        <v>21.9</v>
      </c>
      <c r="H310" t="n">
        <v>0</v>
      </c>
      <c r="I310" t="n">
        <v>0</v>
      </c>
      <c r="J310" t="n">
        <v>0</v>
      </c>
      <c r="K310" t="n">
        <v>0</v>
      </c>
      <c r="L310" t="n">
        <v>0</v>
      </c>
      <c r="M310" t="n">
        <v>0</v>
      </c>
      <c r="N310" t="n">
        <v>0</v>
      </c>
      <c r="O310" t="n">
        <v>0</v>
      </c>
      <c r="P310" t="n">
        <v>0</v>
      </c>
      <c r="Q310" t="n">
        <v>0</v>
      </c>
      <c r="R310" s="2" t="inlineStr"/>
    </row>
    <row r="311" ht="15" customHeight="1">
      <c r="A311" t="inlineStr">
        <is>
          <t>A 3693-2021</t>
        </is>
      </c>
      <c r="B311" s="1" t="n">
        <v>44221</v>
      </c>
      <c r="C311" s="1" t="n">
        <v>45798</v>
      </c>
      <c r="D311" t="inlineStr">
        <is>
          <t>UPPSALA LÄN</t>
        </is>
      </c>
      <c r="E311" t="inlineStr">
        <is>
          <t>ÖSTHAMMAR</t>
        </is>
      </c>
      <c r="G311" t="n">
        <v>0.3</v>
      </c>
      <c r="H311" t="n">
        <v>0</v>
      </c>
      <c r="I311" t="n">
        <v>0</v>
      </c>
      <c r="J311" t="n">
        <v>0</v>
      </c>
      <c r="K311" t="n">
        <v>0</v>
      </c>
      <c r="L311" t="n">
        <v>0</v>
      </c>
      <c r="M311" t="n">
        <v>0</v>
      </c>
      <c r="N311" t="n">
        <v>0</v>
      </c>
      <c r="O311" t="n">
        <v>0</v>
      </c>
      <c r="P311" t="n">
        <v>0</v>
      </c>
      <c r="Q311" t="n">
        <v>0</v>
      </c>
      <c r="R311" s="2" t="inlineStr"/>
    </row>
    <row r="312" ht="15" customHeight="1">
      <c r="A312" t="inlineStr">
        <is>
          <t>A 4151-2021</t>
        </is>
      </c>
      <c r="B312" s="1" t="n">
        <v>44221</v>
      </c>
      <c r="C312" s="1" t="n">
        <v>45798</v>
      </c>
      <c r="D312" t="inlineStr">
        <is>
          <t>UPPSALA LÄN</t>
        </is>
      </c>
      <c r="E312" t="inlineStr">
        <is>
          <t>ÖSTHAMMAR</t>
        </is>
      </c>
      <c r="G312" t="n">
        <v>2.9</v>
      </c>
      <c r="H312" t="n">
        <v>0</v>
      </c>
      <c r="I312" t="n">
        <v>0</v>
      </c>
      <c r="J312" t="n">
        <v>0</v>
      </c>
      <c r="K312" t="n">
        <v>0</v>
      </c>
      <c r="L312" t="n">
        <v>0</v>
      </c>
      <c r="M312" t="n">
        <v>0</v>
      </c>
      <c r="N312" t="n">
        <v>0</v>
      </c>
      <c r="O312" t="n">
        <v>0</v>
      </c>
      <c r="P312" t="n">
        <v>0</v>
      </c>
      <c r="Q312" t="n">
        <v>0</v>
      </c>
      <c r="R312" s="2" t="inlineStr"/>
    </row>
    <row r="313" ht="15" customHeight="1">
      <c r="A313" t="inlineStr">
        <is>
          <t>A 4590-2021</t>
        </is>
      </c>
      <c r="B313" s="1" t="n">
        <v>44224</v>
      </c>
      <c r="C313" s="1" t="n">
        <v>45798</v>
      </c>
      <c r="D313" t="inlineStr">
        <is>
          <t>UPPSALA LÄN</t>
        </is>
      </c>
      <c r="E313" t="inlineStr">
        <is>
          <t>ÖSTHAMMAR</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6221-2021</t>
        </is>
      </c>
      <c r="B314" s="1" t="n">
        <v>44235</v>
      </c>
      <c r="C314" s="1" t="n">
        <v>45798</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7113-2021</t>
        </is>
      </c>
      <c r="B315" s="1" t="n">
        <v>44238</v>
      </c>
      <c r="C315" s="1" t="n">
        <v>45798</v>
      </c>
      <c r="D315" t="inlineStr">
        <is>
          <t>UPPSALA LÄN</t>
        </is>
      </c>
      <c r="E315" t="inlineStr">
        <is>
          <t>ÖSTHAMMAR</t>
        </is>
      </c>
      <c r="F315" t="inlineStr">
        <is>
          <t>Bergvik skog öst AB</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8009-2021</t>
        </is>
      </c>
      <c r="B316" s="1" t="n">
        <v>44243</v>
      </c>
      <c r="C316" s="1" t="n">
        <v>45798</v>
      </c>
      <c r="D316" t="inlineStr">
        <is>
          <t>UPPSALA LÄN</t>
        </is>
      </c>
      <c r="E316" t="inlineStr">
        <is>
          <t>ÖSTHAMMAR</t>
        </is>
      </c>
      <c r="G316" t="n">
        <v>9.9</v>
      </c>
      <c r="H316" t="n">
        <v>0</v>
      </c>
      <c r="I316" t="n">
        <v>0</v>
      </c>
      <c r="J316" t="n">
        <v>0</v>
      </c>
      <c r="K316" t="n">
        <v>0</v>
      </c>
      <c r="L316" t="n">
        <v>0</v>
      </c>
      <c r="M316" t="n">
        <v>0</v>
      </c>
      <c r="N316" t="n">
        <v>0</v>
      </c>
      <c r="O316" t="n">
        <v>0</v>
      </c>
      <c r="P316" t="n">
        <v>0</v>
      </c>
      <c r="Q316" t="n">
        <v>0</v>
      </c>
      <c r="R316" s="2" t="inlineStr"/>
    </row>
    <row r="317" ht="15" customHeight="1">
      <c r="A317" t="inlineStr">
        <is>
          <t>A 10316-2021</t>
        </is>
      </c>
      <c r="B317" s="1" t="n">
        <v>44257</v>
      </c>
      <c r="C317" s="1" t="n">
        <v>45798</v>
      </c>
      <c r="D317" t="inlineStr">
        <is>
          <t>UPPSALA LÄN</t>
        </is>
      </c>
      <c r="E317" t="inlineStr">
        <is>
          <t>ÖSTHAMMAR</t>
        </is>
      </c>
      <c r="F317" t="inlineStr">
        <is>
          <t>Övriga Aktiebolag</t>
        </is>
      </c>
      <c r="G317" t="n">
        <v>3.3</v>
      </c>
      <c r="H317" t="n">
        <v>0</v>
      </c>
      <c r="I317" t="n">
        <v>0</v>
      </c>
      <c r="J317" t="n">
        <v>0</v>
      </c>
      <c r="K317" t="n">
        <v>0</v>
      </c>
      <c r="L317" t="n">
        <v>0</v>
      </c>
      <c r="M317" t="n">
        <v>0</v>
      </c>
      <c r="N317" t="n">
        <v>0</v>
      </c>
      <c r="O317" t="n">
        <v>0</v>
      </c>
      <c r="P317" t="n">
        <v>0</v>
      </c>
      <c r="Q317" t="n">
        <v>0</v>
      </c>
      <c r="R317" s="2" t="inlineStr"/>
    </row>
    <row r="318" ht="15" customHeight="1">
      <c r="A318" t="inlineStr">
        <is>
          <t>A 10498-2021</t>
        </is>
      </c>
      <c r="B318" s="1" t="n">
        <v>44258</v>
      </c>
      <c r="C318" s="1" t="n">
        <v>45798</v>
      </c>
      <c r="D318" t="inlineStr">
        <is>
          <t>UPPSALA LÄN</t>
        </is>
      </c>
      <c r="E318" t="inlineStr">
        <is>
          <t>ÖSTHAMMAR</t>
        </is>
      </c>
      <c r="F318" t="inlineStr">
        <is>
          <t>Övriga Aktiebolag</t>
        </is>
      </c>
      <c r="G318" t="n">
        <v>0.8</v>
      </c>
      <c r="H318" t="n">
        <v>0</v>
      </c>
      <c r="I318" t="n">
        <v>0</v>
      </c>
      <c r="J318" t="n">
        <v>0</v>
      </c>
      <c r="K318" t="n">
        <v>0</v>
      </c>
      <c r="L318" t="n">
        <v>0</v>
      </c>
      <c r="M318" t="n">
        <v>0</v>
      </c>
      <c r="N318" t="n">
        <v>0</v>
      </c>
      <c r="O318" t="n">
        <v>0</v>
      </c>
      <c r="P318" t="n">
        <v>0</v>
      </c>
      <c r="Q318" t="n">
        <v>0</v>
      </c>
      <c r="R318" s="2" t="inlineStr"/>
    </row>
    <row r="319" ht="15" customHeight="1">
      <c r="A319" t="inlineStr">
        <is>
          <t>A 14248-2021</t>
        </is>
      </c>
      <c r="B319" s="1" t="n">
        <v>44278</v>
      </c>
      <c r="C319" s="1" t="n">
        <v>45798</v>
      </c>
      <c r="D319" t="inlineStr">
        <is>
          <t>UPPSALA LÄN</t>
        </is>
      </c>
      <c r="E319" t="inlineStr">
        <is>
          <t>ÖSTHAMMAR</t>
        </is>
      </c>
      <c r="F319" t="inlineStr">
        <is>
          <t>Övriga Aktiebolag</t>
        </is>
      </c>
      <c r="G319" t="n">
        <v>1.2</v>
      </c>
      <c r="H319" t="n">
        <v>0</v>
      </c>
      <c r="I319" t="n">
        <v>0</v>
      </c>
      <c r="J319" t="n">
        <v>0</v>
      </c>
      <c r="K319" t="n">
        <v>0</v>
      </c>
      <c r="L319" t="n">
        <v>0</v>
      </c>
      <c r="M319" t="n">
        <v>0</v>
      </c>
      <c r="N319" t="n">
        <v>0</v>
      </c>
      <c r="O319" t="n">
        <v>0</v>
      </c>
      <c r="P319" t="n">
        <v>0</v>
      </c>
      <c r="Q319" t="n">
        <v>0</v>
      </c>
      <c r="R319" s="2" t="inlineStr"/>
    </row>
    <row r="320" ht="15" customHeight="1">
      <c r="A320" t="inlineStr">
        <is>
          <t>A 14525-2021</t>
        </is>
      </c>
      <c r="B320" s="1" t="n">
        <v>44279</v>
      </c>
      <c r="C320" s="1" t="n">
        <v>45798</v>
      </c>
      <c r="D320" t="inlineStr">
        <is>
          <t>UPPSALA LÄN</t>
        </is>
      </c>
      <c r="E320" t="inlineStr">
        <is>
          <t>ÖSTHAMMAR</t>
        </is>
      </c>
      <c r="F320" t="inlineStr">
        <is>
          <t>Bergvik skog öst AB</t>
        </is>
      </c>
      <c r="G320" t="n">
        <v>2.1</v>
      </c>
      <c r="H320" t="n">
        <v>0</v>
      </c>
      <c r="I320" t="n">
        <v>0</v>
      </c>
      <c r="J320" t="n">
        <v>0</v>
      </c>
      <c r="K320" t="n">
        <v>0</v>
      </c>
      <c r="L320" t="n">
        <v>0</v>
      </c>
      <c r="M320" t="n">
        <v>0</v>
      </c>
      <c r="N320" t="n">
        <v>0</v>
      </c>
      <c r="O320" t="n">
        <v>0</v>
      </c>
      <c r="P320" t="n">
        <v>0</v>
      </c>
      <c r="Q320" t="n">
        <v>0</v>
      </c>
      <c r="R320" s="2" t="inlineStr"/>
    </row>
    <row r="321" ht="15" customHeight="1">
      <c r="A321" t="inlineStr">
        <is>
          <t>A 16212-2021</t>
        </is>
      </c>
      <c r="B321" s="1" t="n">
        <v>44287</v>
      </c>
      <c r="C321" s="1" t="n">
        <v>45798</v>
      </c>
      <c r="D321" t="inlineStr">
        <is>
          <t>UPPSALA LÄN</t>
        </is>
      </c>
      <c r="E321" t="inlineStr">
        <is>
          <t>ÖSTHAMMAR</t>
        </is>
      </c>
      <c r="G321" t="n">
        <v>1.6</v>
      </c>
      <c r="H321" t="n">
        <v>0</v>
      </c>
      <c r="I321" t="n">
        <v>0</v>
      </c>
      <c r="J321" t="n">
        <v>0</v>
      </c>
      <c r="K321" t="n">
        <v>0</v>
      </c>
      <c r="L321" t="n">
        <v>0</v>
      </c>
      <c r="M321" t="n">
        <v>0</v>
      </c>
      <c r="N321" t="n">
        <v>0</v>
      </c>
      <c r="O321" t="n">
        <v>0</v>
      </c>
      <c r="P321" t="n">
        <v>0</v>
      </c>
      <c r="Q321" t="n">
        <v>0</v>
      </c>
      <c r="R321" s="2" t="inlineStr"/>
    </row>
    <row r="322" ht="15" customHeight="1">
      <c r="A322" t="inlineStr">
        <is>
          <t>A 16209-2021</t>
        </is>
      </c>
      <c r="B322" s="1" t="n">
        <v>44287</v>
      </c>
      <c r="C322" s="1" t="n">
        <v>45798</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17009-2021</t>
        </is>
      </c>
      <c r="B323" s="1" t="n">
        <v>44295</v>
      </c>
      <c r="C323" s="1" t="n">
        <v>45798</v>
      </c>
      <c r="D323" t="inlineStr">
        <is>
          <t>UPPSALA LÄN</t>
        </is>
      </c>
      <c r="E323" t="inlineStr">
        <is>
          <t>ÖSTHAMMAR</t>
        </is>
      </c>
      <c r="F323" t="inlineStr">
        <is>
          <t>Bergvik skog öst AB</t>
        </is>
      </c>
      <c r="G323" t="n">
        <v>3.2</v>
      </c>
      <c r="H323" t="n">
        <v>0</v>
      </c>
      <c r="I323" t="n">
        <v>0</v>
      </c>
      <c r="J323" t="n">
        <v>0</v>
      </c>
      <c r="K323" t="n">
        <v>0</v>
      </c>
      <c r="L323" t="n">
        <v>0</v>
      </c>
      <c r="M323" t="n">
        <v>0</v>
      </c>
      <c r="N323" t="n">
        <v>0</v>
      </c>
      <c r="O323" t="n">
        <v>0</v>
      </c>
      <c r="P323" t="n">
        <v>0</v>
      </c>
      <c r="Q323" t="n">
        <v>0</v>
      </c>
      <c r="R323" s="2" t="inlineStr"/>
    </row>
    <row r="324" ht="15" customHeight="1">
      <c r="A324" t="inlineStr">
        <is>
          <t>A 17022-2021</t>
        </is>
      </c>
      <c r="B324" s="1" t="n">
        <v>44295</v>
      </c>
      <c r="C324" s="1" t="n">
        <v>45798</v>
      </c>
      <c r="D324" t="inlineStr">
        <is>
          <t>UPPSALA LÄN</t>
        </is>
      </c>
      <c r="E324" t="inlineStr">
        <is>
          <t>ÖSTHAMMAR</t>
        </is>
      </c>
      <c r="F324" t="inlineStr">
        <is>
          <t>Bergvik skog öst AB</t>
        </is>
      </c>
      <c r="G324" t="n">
        <v>0.3</v>
      </c>
      <c r="H324" t="n">
        <v>0</v>
      </c>
      <c r="I324" t="n">
        <v>0</v>
      </c>
      <c r="J324" t="n">
        <v>0</v>
      </c>
      <c r="K324" t="n">
        <v>0</v>
      </c>
      <c r="L324" t="n">
        <v>0</v>
      </c>
      <c r="M324" t="n">
        <v>0</v>
      </c>
      <c r="N324" t="n">
        <v>0</v>
      </c>
      <c r="O324" t="n">
        <v>0</v>
      </c>
      <c r="P324" t="n">
        <v>0</v>
      </c>
      <c r="Q324" t="n">
        <v>0</v>
      </c>
      <c r="R324" s="2" t="inlineStr"/>
    </row>
    <row r="325" ht="15" customHeight="1">
      <c r="A325" t="inlineStr">
        <is>
          <t>A 17033-2021</t>
        </is>
      </c>
      <c r="B325" s="1" t="n">
        <v>44295</v>
      </c>
      <c r="C325" s="1" t="n">
        <v>45798</v>
      </c>
      <c r="D325" t="inlineStr">
        <is>
          <t>UPPSALA LÄN</t>
        </is>
      </c>
      <c r="E325" t="inlineStr">
        <is>
          <t>ÖSTHAMMAR</t>
        </is>
      </c>
      <c r="F325" t="inlineStr">
        <is>
          <t>Bergvik skog öst AB</t>
        </is>
      </c>
      <c r="G325" t="n">
        <v>4.7</v>
      </c>
      <c r="H325" t="n">
        <v>0</v>
      </c>
      <c r="I325" t="n">
        <v>0</v>
      </c>
      <c r="J325" t="n">
        <v>0</v>
      </c>
      <c r="K325" t="n">
        <v>0</v>
      </c>
      <c r="L325" t="n">
        <v>0</v>
      </c>
      <c r="M325" t="n">
        <v>0</v>
      </c>
      <c r="N325" t="n">
        <v>0</v>
      </c>
      <c r="O325" t="n">
        <v>0</v>
      </c>
      <c r="P325" t="n">
        <v>0</v>
      </c>
      <c r="Q325" t="n">
        <v>0</v>
      </c>
      <c r="R325" s="2" t="inlineStr"/>
    </row>
    <row r="326" ht="15" customHeight="1">
      <c r="A326" t="inlineStr">
        <is>
          <t>A 17349-2021</t>
        </is>
      </c>
      <c r="B326" s="1" t="n">
        <v>44298</v>
      </c>
      <c r="C326" s="1" t="n">
        <v>45798</v>
      </c>
      <c r="D326" t="inlineStr">
        <is>
          <t>UPPSALA LÄN</t>
        </is>
      </c>
      <c r="E326" t="inlineStr">
        <is>
          <t>ÖSTHAMMAR</t>
        </is>
      </c>
      <c r="F326" t="inlineStr">
        <is>
          <t>Bergvik skog öst AB</t>
        </is>
      </c>
      <c r="G326" t="n">
        <v>4.2</v>
      </c>
      <c r="H326" t="n">
        <v>0</v>
      </c>
      <c r="I326" t="n">
        <v>0</v>
      </c>
      <c r="J326" t="n">
        <v>0</v>
      </c>
      <c r="K326" t="n">
        <v>0</v>
      </c>
      <c r="L326" t="n">
        <v>0</v>
      </c>
      <c r="M326" t="n">
        <v>0</v>
      </c>
      <c r="N326" t="n">
        <v>0</v>
      </c>
      <c r="O326" t="n">
        <v>0</v>
      </c>
      <c r="P326" t="n">
        <v>0</v>
      </c>
      <c r="Q326" t="n">
        <v>0</v>
      </c>
      <c r="R326" s="2" t="inlineStr"/>
    </row>
    <row r="327" ht="15" customHeight="1">
      <c r="A327" t="inlineStr">
        <is>
          <t>A 18944-2021</t>
        </is>
      </c>
      <c r="B327" s="1" t="n">
        <v>44308</v>
      </c>
      <c r="C327" s="1" t="n">
        <v>45798</v>
      </c>
      <c r="D327" t="inlineStr">
        <is>
          <t>UPPSALA LÄN</t>
        </is>
      </c>
      <c r="E327" t="inlineStr">
        <is>
          <t>ÖSTHAMMAR</t>
        </is>
      </c>
      <c r="F327" t="inlineStr">
        <is>
          <t>Bergvik skog öst AB</t>
        </is>
      </c>
      <c r="G327" t="n">
        <v>12.5</v>
      </c>
      <c r="H327" t="n">
        <v>0</v>
      </c>
      <c r="I327" t="n">
        <v>0</v>
      </c>
      <c r="J327" t="n">
        <v>0</v>
      </c>
      <c r="K327" t="n">
        <v>0</v>
      </c>
      <c r="L327" t="n">
        <v>0</v>
      </c>
      <c r="M327" t="n">
        <v>0</v>
      </c>
      <c r="N327" t="n">
        <v>0</v>
      </c>
      <c r="O327" t="n">
        <v>0</v>
      </c>
      <c r="P327" t="n">
        <v>0</v>
      </c>
      <c r="Q327" t="n">
        <v>0</v>
      </c>
      <c r="R327" s="2" t="inlineStr"/>
    </row>
    <row r="328" ht="15" customHeight="1">
      <c r="A328" t="inlineStr">
        <is>
          <t>A 20326-2021</t>
        </is>
      </c>
      <c r="B328" s="1" t="n">
        <v>44308</v>
      </c>
      <c r="C328" s="1" t="n">
        <v>45798</v>
      </c>
      <c r="D328" t="inlineStr">
        <is>
          <t>UPPSALA LÄN</t>
        </is>
      </c>
      <c r="E328" t="inlineStr">
        <is>
          <t>ÖSTHAMMAR</t>
        </is>
      </c>
      <c r="G328" t="n">
        <v>7.8</v>
      </c>
      <c r="H328" t="n">
        <v>0</v>
      </c>
      <c r="I328" t="n">
        <v>0</v>
      </c>
      <c r="J328" t="n">
        <v>0</v>
      </c>
      <c r="K328" t="n">
        <v>0</v>
      </c>
      <c r="L328" t="n">
        <v>0</v>
      </c>
      <c r="M328" t="n">
        <v>0</v>
      </c>
      <c r="N328" t="n">
        <v>0</v>
      </c>
      <c r="O328" t="n">
        <v>0</v>
      </c>
      <c r="P328" t="n">
        <v>0</v>
      </c>
      <c r="Q328" t="n">
        <v>0</v>
      </c>
      <c r="R328" s="2" t="inlineStr"/>
    </row>
    <row r="329" ht="15" customHeight="1">
      <c r="A329" t="inlineStr">
        <is>
          <t>A 20325-2021</t>
        </is>
      </c>
      <c r="B329" s="1" t="n">
        <v>44308</v>
      </c>
      <c r="C329" s="1" t="n">
        <v>45798</v>
      </c>
      <c r="D329" t="inlineStr">
        <is>
          <t>UPPSALA LÄN</t>
        </is>
      </c>
      <c r="E329" t="inlineStr">
        <is>
          <t>ÖSTHAMMAR</t>
        </is>
      </c>
      <c r="G329" t="n">
        <v>5</v>
      </c>
      <c r="H329" t="n">
        <v>0</v>
      </c>
      <c r="I329" t="n">
        <v>0</v>
      </c>
      <c r="J329" t="n">
        <v>0</v>
      </c>
      <c r="K329" t="n">
        <v>0</v>
      </c>
      <c r="L329" t="n">
        <v>0</v>
      </c>
      <c r="M329" t="n">
        <v>0</v>
      </c>
      <c r="N329" t="n">
        <v>0</v>
      </c>
      <c r="O329" t="n">
        <v>0</v>
      </c>
      <c r="P329" t="n">
        <v>0</v>
      </c>
      <c r="Q329" t="n">
        <v>0</v>
      </c>
      <c r="R329" s="2" t="inlineStr"/>
    </row>
    <row r="330" ht="15" customHeight="1">
      <c r="A330" t="inlineStr">
        <is>
          <t>A 20324-2021</t>
        </is>
      </c>
      <c r="B330" s="1" t="n">
        <v>44308</v>
      </c>
      <c r="C330" s="1" t="n">
        <v>45798</v>
      </c>
      <c r="D330" t="inlineStr">
        <is>
          <t>UPPSALA LÄN</t>
        </is>
      </c>
      <c r="E330" t="inlineStr">
        <is>
          <t>ÖSTHAMMAR</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19214-2021</t>
        </is>
      </c>
      <c r="B331" s="1" t="n">
        <v>44309</v>
      </c>
      <c r="C331" s="1" t="n">
        <v>45798</v>
      </c>
      <c r="D331" t="inlineStr">
        <is>
          <t>UPPSALA LÄN</t>
        </is>
      </c>
      <c r="E331" t="inlineStr">
        <is>
          <t>ÖSTHAMMAR</t>
        </is>
      </c>
      <c r="F331" t="inlineStr">
        <is>
          <t>Bergvik skog öst AB</t>
        </is>
      </c>
      <c r="G331" t="n">
        <v>6</v>
      </c>
      <c r="H331" t="n">
        <v>0</v>
      </c>
      <c r="I331" t="n">
        <v>0</v>
      </c>
      <c r="J331" t="n">
        <v>0</v>
      </c>
      <c r="K331" t="n">
        <v>0</v>
      </c>
      <c r="L331" t="n">
        <v>0</v>
      </c>
      <c r="M331" t="n">
        <v>0</v>
      </c>
      <c r="N331" t="n">
        <v>0</v>
      </c>
      <c r="O331" t="n">
        <v>0</v>
      </c>
      <c r="P331" t="n">
        <v>0</v>
      </c>
      <c r="Q331" t="n">
        <v>0</v>
      </c>
      <c r="R331" s="2" t="inlineStr"/>
    </row>
    <row r="332" ht="15" customHeight="1">
      <c r="A332" t="inlineStr">
        <is>
          <t>A 19552-2021</t>
        </is>
      </c>
      <c r="B332" s="1" t="n">
        <v>44312</v>
      </c>
      <c r="C332" s="1" t="n">
        <v>45798</v>
      </c>
      <c r="D332" t="inlineStr">
        <is>
          <t>UPPSALA LÄN</t>
        </is>
      </c>
      <c r="E332" t="inlineStr">
        <is>
          <t>ÖSTHAMMAR</t>
        </is>
      </c>
      <c r="G332" t="n">
        <v>4.5</v>
      </c>
      <c r="H332" t="n">
        <v>0</v>
      </c>
      <c r="I332" t="n">
        <v>0</v>
      </c>
      <c r="J332" t="n">
        <v>0</v>
      </c>
      <c r="K332" t="n">
        <v>0</v>
      </c>
      <c r="L332" t="n">
        <v>0</v>
      </c>
      <c r="M332" t="n">
        <v>0</v>
      </c>
      <c r="N332" t="n">
        <v>0</v>
      </c>
      <c r="O332" t="n">
        <v>0</v>
      </c>
      <c r="P332" t="n">
        <v>0</v>
      </c>
      <c r="Q332" t="n">
        <v>0</v>
      </c>
      <c r="R332" s="2" t="inlineStr"/>
    </row>
    <row r="333" ht="15" customHeight="1">
      <c r="A333" t="inlineStr">
        <is>
          <t>A 22709-2021</t>
        </is>
      </c>
      <c r="B333" s="1" t="n">
        <v>44327</v>
      </c>
      <c r="C333" s="1" t="n">
        <v>45798</v>
      </c>
      <c r="D333" t="inlineStr">
        <is>
          <t>UPPSALA LÄN</t>
        </is>
      </c>
      <c r="E333" t="inlineStr">
        <is>
          <t>ÖSTHAMMAR</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23120-2021</t>
        </is>
      </c>
      <c r="B334" s="1" t="n">
        <v>44330</v>
      </c>
      <c r="C334" s="1" t="n">
        <v>45798</v>
      </c>
      <c r="D334" t="inlineStr">
        <is>
          <t>UPPSALA LÄN</t>
        </is>
      </c>
      <c r="E334" t="inlineStr">
        <is>
          <t>ÖSTHAMMAR</t>
        </is>
      </c>
      <c r="G334" t="n">
        <v>0.5</v>
      </c>
      <c r="H334" t="n">
        <v>0</v>
      </c>
      <c r="I334" t="n">
        <v>0</v>
      </c>
      <c r="J334" t="n">
        <v>0</v>
      </c>
      <c r="K334" t="n">
        <v>0</v>
      </c>
      <c r="L334" t="n">
        <v>0</v>
      </c>
      <c r="M334" t="n">
        <v>0</v>
      </c>
      <c r="N334" t="n">
        <v>0</v>
      </c>
      <c r="O334" t="n">
        <v>0</v>
      </c>
      <c r="P334" t="n">
        <v>0</v>
      </c>
      <c r="Q334" t="n">
        <v>0</v>
      </c>
      <c r="R334" s="2" t="inlineStr"/>
    </row>
    <row r="335" ht="15" customHeight="1">
      <c r="A335" t="inlineStr">
        <is>
          <t>A 24062-2021</t>
        </is>
      </c>
      <c r="B335" s="1" t="n">
        <v>44336</v>
      </c>
      <c r="C335" s="1" t="n">
        <v>45798</v>
      </c>
      <c r="D335" t="inlineStr">
        <is>
          <t>UPPSALA LÄN</t>
        </is>
      </c>
      <c r="E335" t="inlineStr">
        <is>
          <t>ÖSTHAMMAR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24316-2021</t>
        </is>
      </c>
      <c r="B336" s="1" t="n">
        <v>44337</v>
      </c>
      <c r="C336" s="1" t="n">
        <v>45798</v>
      </c>
      <c r="D336" t="inlineStr">
        <is>
          <t>UPPSALA LÄN</t>
        </is>
      </c>
      <c r="E336" t="inlineStr">
        <is>
          <t>ÖSTHAMMAR</t>
        </is>
      </c>
      <c r="G336" t="n">
        <v>1.2</v>
      </c>
      <c r="H336" t="n">
        <v>0</v>
      </c>
      <c r="I336" t="n">
        <v>0</v>
      </c>
      <c r="J336" t="n">
        <v>0</v>
      </c>
      <c r="K336" t="n">
        <v>0</v>
      </c>
      <c r="L336" t="n">
        <v>0</v>
      </c>
      <c r="M336" t="n">
        <v>0</v>
      </c>
      <c r="N336" t="n">
        <v>0</v>
      </c>
      <c r="O336" t="n">
        <v>0</v>
      </c>
      <c r="P336" t="n">
        <v>0</v>
      </c>
      <c r="Q336" t="n">
        <v>0</v>
      </c>
      <c r="R336" s="2" t="inlineStr"/>
    </row>
    <row r="337" ht="15" customHeight="1">
      <c r="A337" t="inlineStr">
        <is>
          <t>A 25033-2021</t>
        </is>
      </c>
      <c r="B337" s="1" t="n">
        <v>44341</v>
      </c>
      <c r="C337" s="1" t="n">
        <v>45798</v>
      </c>
      <c r="D337" t="inlineStr">
        <is>
          <t>UPPSALA LÄN</t>
        </is>
      </c>
      <c r="E337" t="inlineStr">
        <is>
          <t>ÖSTHAMMAR</t>
        </is>
      </c>
      <c r="F337" t="inlineStr">
        <is>
          <t>Bergvik skog öst AB</t>
        </is>
      </c>
      <c r="G337" t="n">
        <v>1</v>
      </c>
      <c r="H337" t="n">
        <v>0</v>
      </c>
      <c r="I337" t="n">
        <v>0</v>
      </c>
      <c r="J337" t="n">
        <v>0</v>
      </c>
      <c r="K337" t="n">
        <v>0</v>
      </c>
      <c r="L337" t="n">
        <v>0</v>
      </c>
      <c r="M337" t="n">
        <v>0</v>
      </c>
      <c r="N337" t="n">
        <v>0</v>
      </c>
      <c r="O337" t="n">
        <v>0</v>
      </c>
      <c r="P337" t="n">
        <v>0</v>
      </c>
      <c r="Q337" t="n">
        <v>0</v>
      </c>
      <c r="R337" s="2" t="inlineStr"/>
    </row>
    <row r="338" ht="15" customHeight="1">
      <c r="A338" t="inlineStr">
        <is>
          <t>A 25378-2021</t>
        </is>
      </c>
      <c r="B338" s="1" t="n">
        <v>44342</v>
      </c>
      <c r="C338" s="1" t="n">
        <v>45798</v>
      </c>
      <c r="D338" t="inlineStr">
        <is>
          <t>UPPSALA LÄN</t>
        </is>
      </c>
      <c r="E338" t="inlineStr">
        <is>
          <t>ÖSTHAMMAR</t>
        </is>
      </c>
      <c r="F338" t="inlineStr">
        <is>
          <t>Övriga Aktiebolag</t>
        </is>
      </c>
      <c r="G338" t="n">
        <v>2.3</v>
      </c>
      <c r="H338" t="n">
        <v>0</v>
      </c>
      <c r="I338" t="n">
        <v>0</v>
      </c>
      <c r="J338" t="n">
        <v>0</v>
      </c>
      <c r="K338" t="n">
        <v>0</v>
      </c>
      <c r="L338" t="n">
        <v>0</v>
      </c>
      <c r="M338" t="n">
        <v>0</v>
      </c>
      <c r="N338" t="n">
        <v>0</v>
      </c>
      <c r="O338" t="n">
        <v>0</v>
      </c>
      <c r="P338" t="n">
        <v>0</v>
      </c>
      <c r="Q338" t="n">
        <v>0</v>
      </c>
      <c r="R338" s="2" t="inlineStr"/>
    </row>
    <row r="339" ht="15" customHeight="1">
      <c r="A339" t="inlineStr">
        <is>
          <t>A 25395-2021</t>
        </is>
      </c>
      <c r="B339" s="1" t="n">
        <v>44342</v>
      </c>
      <c r="C339" s="1" t="n">
        <v>45798</v>
      </c>
      <c r="D339" t="inlineStr">
        <is>
          <t>UPPSALA LÄN</t>
        </is>
      </c>
      <c r="E339" t="inlineStr">
        <is>
          <t>ÖSTHAMMAR</t>
        </is>
      </c>
      <c r="F339" t="inlineStr">
        <is>
          <t>Övriga Aktiebolag</t>
        </is>
      </c>
      <c r="G339" t="n">
        <v>0.5</v>
      </c>
      <c r="H339" t="n">
        <v>0</v>
      </c>
      <c r="I339" t="n">
        <v>0</v>
      </c>
      <c r="J339" t="n">
        <v>0</v>
      </c>
      <c r="K339" t="n">
        <v>0</v>
      </c>
      <c r="L339" t="n">
        <v>0</v>
      </c>
      <c r="M339" t="n">
        <v>0</v>
      </c>
      <c r="N339" t="n">
        <v>0</v>
      </c>
      <c r="O339" t="n">
        <v>0</v>
      </c>
      <c r="P339" t="n">
        <v>0</v>
      </c>
      <c r="Q339" t="n">
        <v>0</v>
      </c>
      <c r="R339" s="2" t="inlineStr"/>
    </row>
    <row r="340" ht="15" customHeight="1">
      <c r="A340" t="inlineStr">
        <is>
          <t>A 26257-2021</t>
        </is>
      </c>
      <c r="B340" s="1" t="n">
        <v>44347</v>
      </c>
      <c r="C340" s="1" t="n">
        <v>45798</v>
      </c>
      <c r="D340" t="inlineStr">
        <is>
          <t>UPPSALA LÄN</t>
        </is>
      </c>
      <c r="E340" t="inlineStr">
        <is>
          <t>ÖSTHAMMAR</t>
        </is>
      </c>
      <c r="G340" t="n">
        <v>3.2</v>
      </c>
      <c r="H340" t="n">
        <v>0</v>
      </c>
      <c r="I340" t="n">
        <v>0</v>
      </c>
      <c r="J340" t="n">
        <v>0</v>
      </c>
      <c r="K340" t="n">
        <v>0</v>
      </c>
      <c r="L340" t="n">
        <v>0</v>
      </c>
      <c r="M340" t="n">
        <v>0</v>
      </c>
      <c r="N340" t="n">
        <v>0</v>
      </c>
      <c r="O340" t="n">
        <v>0</v>
      </c>
      <c r="P340" t="n">
        <v>0</v>
      </c>
      <c r="Q340" t="n">
        <v>0</v>
      </c>
      <c r="R340" s="2" t="inlineStr"/>
    </row>
    <row r="341" ht="15" customHeight="1">
      <c r="A341" t="inlineStr">
        <is>
          <t>A 27939-2021</t>
        </is>
      </c>
      <c r="B341" s="1" t="n">
        <v>44354</v>
      </c>
      <c r="C341" s="1" t="n">
        <v>45798</v>
      </c>
      <c r="D341" t="inlineStr">
        <is>
          <t>UPPSALA LÄN</t>
        </is>
      </c>
      <c r="E341" t="inlineStr">
        <is>
          <t>ÖSTHAMMAR</t>
        </is>
      </c>
      <c r="G341" t="n">
        <v>1</v>
      </c>
      <c r="H341" t="n">
        <v>0</v>
      </c>
      <c r="I341" t="n">
        <v>0</v>
      </c>
      <c r="J341" t="n">
        <v>0</v>
      </c>
      <c r="K341" t="n">
        <v>0</v>
      </c>
      <c r="L341" t="n">
        <v>0</v>
      </c>
      <c r="M341" t="n">
        <v>0</v>
      </c>
      <c r="N341" t="n">
        <v>0</v>
      </c>
      <c r="O341" t="n">
        <v>0</v>
      </c>
      <c r="P341" t="n">
        <v>0</v>
      </c>
      <c r="Q341" t="n">
        <v>0</v>
      </c>
      <c r="R341" s="2" t="inlineStr"/>
    </row>
    <row r="342" ht="15" customHeight="1">
      <c r="A342" t="inlineStr">
        <is>
          <t>A 27940-2021</t>
        </is>
      </c>
      <c r="B342" s="1" t="n">
        <v>44354</v>
      </c>
      <c r="C342" s="1" t="n">
        <v>45798</v>
      </c>
      <c r="D342" t="inlineStr">
        <is>
          <t>UPPSALA LÄN</t>
        </is>
      </c>
      <c r="E342" t="inlineStr">
        <is>
          <t>ÖSTHAMMAR</t>
        </is>
      </c>
      <c r="G342" t="n">
        <v>1.6</v>
      </c>
      <c r="H342" t="n">
        <v>0</v>
      </c>
      <c r="I342" t="n">
        <v>0</v>
      </c>
      <c r="J342" t="n">
        <v>0</v>
      </c>
      <c r="K342" t="n">
        <v>0</v>
      </c>
      <c r="L342" t="n">
        <v>0</v>
      </c>
      <c r="M342" t="n">
        <v>0</v>
      </c>
      <c r="N342" t="n">
        <v>0</v>
      </c>
      <c r="O342" t="n">
        <v>0</v>
      </c>
      <c r="P342" t="n">
        <v>0</v>
      </c>
      <c r="Q342" t="n">
        <v>0</v>
      </c>
      <c r="R342" s="2" t="inlineStr"/>
    </row>
    <row r="343" ht="15" customHeight="1">
      <c r="A343" t="inlineStr">
        <is>
          <t>A 29282-2021</t>
        </is>
      </c>
      <c r="B343" s="1" t="n">
        <v>44361</v>
      </c>
      <c r="C343" s="1" t="n">
        <v>45798</v>
      </c>
      <c r="D343" t="inlineStr">
        <is>
          <t>UPPSALA LÄN</t>
        </is>
      </c>
      <c r="E343" t="inlineStr">
        <is>
          <t>ÖSTHAMMAR</t>
        </is>
      </c>
      <c r="G343" t="n">
        <v>2.4</v>
      </c>
      <c r="H343" t="n">
        <v>0</v>
      </c>
      <c r="I343" t="n">
        <v>0</v>
      </c>
      <c r="J343" t="n">
        <v>0</v>
      </c>
      <c r="K343" t="n">
        <v>0</v>
      </c>
      <c r="L343" t="n">
        <v>0</v>
      </c>
      <c r="M343" t="n">
        <v>0</v>
      </c>
      <c r="N343" t="n">
        <v>0</v>
      </c>
      <c r="O343" t="n">
        <v>0</v>
      </c>
      <c r="P343" t="n">
        <v>0</v>
      </c>
      <c r="Q343" t="n">
        <v>0</v>
      </c>
      <c r="R343" s="2" t="inlineStr"/>
    </row>
    <row r="344" ht="15" customHeight="1">
      <c r="A344" t="inlineStr">
        <is>
          <t>A 30927-2021</t>
        </is>
      </c>
      <c r="B344" s="1" t="n">
        <v>44365</v>
      </c>
      <c r="C344" s="1" t="n">
        <v>45798</v>
      </c>
      <c r="D344" t="inlineStr">
        <is>
          <t>UPPSALA LÄN</t>
        </is>
      </c>
      <c r="E344" t="inlineStr">
        <is>
          <t>ÖSTHAMMAR</t>
        </is>
      </c>
      <c r="F344" t="inlineStr">
        <is>
          <t>Bergvik skog öst AB</t>
        </is>
      </c>
      <c r="G344" t="n">
        <v>1.6</v>
      </c>
      <c r="H344" t="n">
        <v>0</v>
      </c>
      <c r="I344" t="n">
        <v>0</v>
      </c>
      <c r="J344" t="n">
        <v>0</v>
      </c>
      <c r="K344" t="n">
        <v>0</v>
      </c>
      <c r="L344" t="n">
        <v>0</v>
      </c>
      <c r="M344" t="n">
        <v>0</v>
      </c>
      <c r="N344" t="n">
        <v>0</v>
      </c>
      <c r="O344" t="n">
        <v>0</v>
      </c>
      <c r="P344" t="n">
        <v>0</v>
      </c>
      <c r="Q344" t="n">
        <v>0</v>
      </c>
      <c r="R344" s="2" t="inlineStr"/>
    </row>
    <row r="345" ht="15" customHeight="1">
      <c r="A345" t="inlineStr">
        <is>
          <t>A 30931-2021</t>
        </is>
      </c>
      <c r="B345" s="1" t="n">
        <v>44365</v>
      </c>
      <c r="C345" s="1" t="n">
        <v>45798</v>
      </c>
      <c r="D345" t="inlineStr">
        <is>
          <t>UPPSALA LÄN</t>
        </is>
      </c>
      <c r="E345" t="inlineStr">
        <is>
          <t>ÖSTHAMMAR</t>
        </is>
      </c>
      <c r="F345" t="inlineStr">
        <is>
          <t>Bergvik skog öst AB</t>
        </is>
      </c>
      <c r="G345" t="n">
        <v>2.3</v>
      </c>
      <c r="H345" t="n">
        <v>0</v>
      </c>
      <c r="I345" t="n">
        <v>0</v>
      </c>
      <c r="J345" t="n">
        <v>0</v>
      </c>
      <c r="K345" t="n">
        <v>0</v>
      </c>
      <c r="L345" t="n">
        <v>0</v>
      </c>
      <c r="M345" t="n">
        <v>0</v>
      </c>
      <c r="N345" t="n">
        <v>0</v>
      </c>
      <c r="O345" t="n">
        <v>0</v>
      </c>
      <c r="P345" t="n">
        <v>0</v>
      </c>
      <c r="Q345" t="n">
        <v>0</v>
      </c>
      <c r="R345" s="2" t="inlineStr"/>
    </row>
    <row r="346" ht="15" customHeight="1">
      <c r="A346" t="inlineStr">
        <is>
          <t>A 31263-2021</t>
        </is>
      </c>
      <c r="B346" s="1" t="n">
        <v>44368</v>
      </c>
      <c r="C346" s="1" t="n">
        <v>45798</v>
      </c>
      <c r="D346" t="inlineStr">
        <is>
          <t>UPPSALA LÄN</t>
        </is>
      </c>
      <c r="E346" t="inlineStr">
        <is>
          <t>ÖSTHAMMAR</t>
        </is>
      </c>
      <c r="G346" t="n">
        <v>1.9</v>
      </c>
      <c r="H346" t="n">
        <v>0</v>
      </c>
      <c r="I346" t="n">
        <v>0</v>
      </c>
      <c r="J346" t="n">
        <v>0</v>
      </c>
      <c r="K346" t="n">
        <v>0</v>
      </c>
      <c r="L346" t="n">
        <v>0</v>
      </c>
      <c r="M346" t="n">
        <v>0</v>
      </c>
      <c r="N346" t="n">
        <v>0</v>
      </c>
      <c r="O346" t="n">
        <v>0</v>
      </c>
      <c r="P346" t="n">
        <v>0</v>
      </c>
      <c r="Q346" t="n">
        <v>0</v>
      </c>
      <c r="R346" s="2" t="inlineStr"/>
    </row>
    <row r="347" ht="15" customHeight="1">
      <c r="A347" t="inlineStr">
        <is>
          <t>A 32244-2021</t>
        </is>
      </c>
      <c r="B347" s="1" t="n">
        <v>44371</v>
      </c>
      <c r="C347" s="1" t="n">
        <v>45798</v>
      </c>
      <c r="D347" t="inlineStr">
        <is>
          <t>UPPSALA LÄN</t>
        </is>
      </c>
      <c r="E347" t="inlineStr">
        <is>
          <t>ÖSTHAMMAR</t>
        </is>
      </c>
      <c r="F347" t="inlineStr">
        <is>
          <t>Bergvik skog öst AB</t>
        </is>
      </c>
      <c r="G347" t="n">
        <v>2.6</v>
      </c>
      <c r="H347" t="n">
        <v>0</v>
      </c>
      <c r="I347" t="n">
        <v>0</v>
      </c>
      <c r="J347" t="n">
        <v>0</v>
      </c>
      <c r="K347" t="n">
        <v>0</v>
      </c>
      <c r="L347" t="n">
        <v>0</v>
      </c>
      <c r="M347" t="n">
        <v>0</v>
      </c>
      <c r="N347" t="n">
        <v>0</v>
      </c>
      <c r="O347" t="n">
        <v>0</v>
      </c>
      <c r="P347" t="n">
        <v>0</v>
      </c>
      <c r="Q347" t="n">
        <v>0</v>
      </c>
      <c r="R347" s="2" t="inlineStr"/>
    </row>
    <row r="348" ht="15" customHeight="1">
      <c r="A348" t="inlineStr">
        <is>
          <t>A 32939-2021</t>
        </is>
      </c>
      <c r="B348" s="1" t="n">
        <v>44376</v>
      </c>
      <c r="C348" s="1" t="n">
        <v>45798</v>
      </c>
      <c r="D348" t="inlineStr">
        <is>
          <t>UPPSALA LÄN</t>
        </is>
      </c>
      <c r="E348" t="inlineStr">
        <is>
          <t>ÖSTHAMMAR</t>
        </is>
      </c>
      <c r="F348" t="inlineStr">
        <is>
          <t>Bergvik skog öst AB</t>
        </is>
      </c>
      <c r="G348" t="n">
        <v>0.7</v>
      </c>
      <c r="H348" t="n">
        <v>0</v>
      </c>
      <c r="I348" t="n">
        <v>0</v>
      </c>
      <c r="J348" t="n">
        <v>0</v>
      </c>
      <c r="K348" t="n">
        <v>0</v>
      </c>
      <c r="L348" t="n">
        <v>0</v>
      </c>
      <c r="M348" t="n">
        <v>0</v>
      </c>
      <c r="N348" t="n">
        <v>0</v>
      </c>
      <c r="O348" t="n">
        <v>0</v>
      </c>
      <c r="P348" t="n">
        <v>0</v>
      </c>
      <c r="Q348" t="n">
        <v>0</v>
      </c>
      <c r="R348" s="2" t="inlineStr"/>
    </row>
    <row r="349" ht="15" customHeight="1">
      <c r="A349" t="inlineStr">
        <is>
          <t>A 32948-2021</t>
        </is>
      </c>
      <c r="B349" s="1" t="n">
        <v>44376</v>
      </c>
      <c r="C349" s="1" t="n">
        <v>45798</v>
      </c>
      <c r="D349" t="inlineStr">
        <is>
          <t>UPPSALA LÄN</t>
        </is>
      </c>
      <c r="E349" t="inlineStr">
        <is>
          <t>ÖSTHAMMAR</t>
        </is>
      </c>
      <c r="F349" t="inlineStr">
        <is>
          <t>Bergvik skog öst AB</t>
        </is>
      </c>
      <c r="G349" t="n">
        <v>13.5</v>
      </c>
      <c r="H349" t="n">
        <v>0</v>
      </c>
      <c r="I349" t="n">
        <v>0</v>
      </c>
      <c r="J349" t="n">
        <v>0</v>
      </c>
      <c r="K349" t="n">
        <v>0</v>
      </c>
      <c r="L349" t="n">
        <v>0</v>
      </c>
      <c r="M349" t="n">
        <v>0</v>
      </c>
      <c r="N349" t="n">
        <v>0</v>
      </c>
      <c r="O349" t="n">
        <v>0</v>
      </c>
      <c r="P349" t="n">
        <v>0</v>
      </c>
      <c r="Q349" t="n">
        <v>0</v>
      </c>
      <c r="R349" s="2" t="inlineStr"/>
    </row>
    <row r="350" ht="15" customHeight="1">
      <c r="A350" t="inlineStr">
        <is>
          <t>A 33062-2021</t>
        </is>
      </c>
      <c r="B350" s="1" t="n">
        <v>44376</v>
      </c>
      <c r="C350" s="1" t="n">
        <v>45798</v>
      </c>
      <c r="D350" t="inlineStr">
        <is>
          <t>UPPSALA LÄN</t>
        </is>
      </c>
      <c r="E350" t="inlineStr">
        <is>
          <t>ÖSTHAMMAR</t>
        </is>
      </c>
      <c r="G350" t="n">
        <v>12</v>
      </c>
      <c r="H350" t="n">
        <v>0</v>
      </c>
      <c r="I350" t="n">
        <v>0</v>
      </c>
      <c r="J350" t="n">
        <v>0</v>
      </c>
      <c r="K350" t="n">
        <v>0</v>
      </c>
      <c r="L350" t="n">
        <v>0</v>
      </c>
      <c r="M350" t="n">
        <v>0</v>
      </c>
      <c r="N350" t="n">
        <v>0</v>
      </c>
      <c r="O350" t="n">
        <v>0</v>
      </c>
      <c r="P350" t="n">
        <v>0</v>
      </c>
      <c r="Q350" t="n">
        <v>0</v>
      </c>
      <c r="R350" s="2" t="inlineStr"/>
    </row>
    <row r="351" ht="15" customHeight="1">
      <c r="A351" t="inlineStr">
        <is>
          <t>A 33056-2021</t>
        </is>
      </c>
      <c r="B351" s="1" t="n">
        <v>44376</v>
      </c>
      <c r="C351" s="1" t="n">
        <v>45798</v>
      </c>
      <c r="D351" t="inlineStr">
        <is>
          <t>UPPSALA LÄN</t>
        </is>
      </c>
      <c r="E351" t="inlineStr">
        <is>
          <t>ÖSTHAMMAR</t>
        </is>
      </c>
      <c r="G351" t="n">
        <v>0.6</v>
      </c>
      <c r="H351" t="n">
        <v>0</v>
      </c>
      <c r="I351" t="n">
        <v>0</v>
      </c>
      <c r="J351" t="n">
        <v>0</v>
      </c>
      <c r="K351" t="n">
        <v>0</v>
      </c>
      <c r="L351" t="n">
        <v>0</v>
      </c>
      <c r="M351" t="n">
        <v>0</v>
      </c>
      <c r="N351" t="n">
        <v>0</v>
      </c>
      <c r="O351" t="n">
        <v>0</v>
      </c>
      <c r="P351" t="n">
        <v>0</v>
      </c>
      <c r="Q351" t="n">
        <v>0</v>
      </c>
      <c r="R351" s="2" t="inlineStr"/>
    </row>
    <row r="352" ht="15" customHeight="1">
      <c r="A352" t="inlineStr">
        <is>
          <t>A 33271-2021</t>
        </is>
      </c>
      <c r="B352" s="1" t="n">
        <v>44377</v>
      </c>
      <c r="C352" s="1" t="n">
        <v>45798</v>
      </c>
      <c r="D352" t="inlineStr">
        <is>
          <t>UPPSALA LÄN</t>
        </is>
      </c>
      <c r="E352" t="inlineStr">
        <is>
          <t>ÖSTHAMMAR</t>
        </is>
      </c>
      <c r="F352" t="inlineStr">
        <is>
          <t>Bergvik skog öst AB</t>
        </is>
      </c>
      <c r="G352" t="n">
        <v>3.9</v>
      </c>
      <c r="H352" t="n">
        <v>0</v>
      </c>
      <c r="I352" t="n">
        <v>0</v>
      </c>
      <c r="J352" t="n">
        <v>0</v>
      </c>
      <c r="K352" t="n">
        <v>0</v>
      </c>
      <c r="L352" t="n">
        <v>0</v>
      </c>
      <c r="M352" t="n">
        <v>0</v>
      </c>
      <c r="N352" t="n">
        <v>0</v>
      </c>
      <c r="O352" t="n">
        <v>0</v>
      </c>
      <c r="P352" t="n">
        <v>0</v>
      </c>
      <c r="Q352" t="n">
        <v>0</v>
      </c>
      <c r="R352" s="2" t="inlineStr"/>
    </row>
    <row r="353" ht="15" customHeight="1">
      <c r="A353" t="inlineStr">
        <is>
          <t>A 38411-2021</t>
        </is>
      </c>
      <c r="B353" s="1" t="n">
        <v>44406</v>
      </c>
      <c r="C353" s="1" t="n">
        <v>45798</v>
      </c>
      <c r="D353" t="inlineStr">
        <is>
          <t>UPPSALA LÄN</t>
        </is>
      </c>
      <c r="E353" t="inlineStr">
        <is>
          <t>ÖSTHAMMAR</t>
        </is>
      </c>
      <c r="F353" t="inlineStr">
        <is>
          <t>Bergvik skog öst AB</t>
        </is>
      </c>
      <c r="G353" t="n">
        <v>20.6</v>
      </c>
      <c r="H353" t="n">
        <v>0</v>
      </c>
      <c r="I353" t="n">
        <v>0</v>
      </c>
      <c r="J353" t="n">
        <v>0</v>
      </c>
      <c r="K353" t="n">
        <v>0</v>
      </c>
      <c r="L353" t="n">
        <v>0</v>
      </c>
      <c r="M353" t="n">
        <v>0</v>
      </c>
      <c r="N353" t="n">
        <v>0</v>
      </c>
      <c r="O353" t="n">
        <v>0</v>
      </c>
      <c r="P353" t="n">
        <v>0</v>
      </c>
      <c r="Q353" t="n">
        <v>0</v>
      </c>
      <c r="R353" s="2" t="inlineStr"/>
    </row>
    <row r="354" ht="15" customHeight="1">
      <c r="A354" t="inlineStr">
        <is>
          <t>A 40606-2021</t>
        </is>
      </c>
      <c r="B354" s="1" t="n">
        <v>44420</v>
      </c>
      <c r="C354" s="1" t="n">
        <v>45798</v>
      </c>
      <c r="D354" t="inlineStr">
        <is>
          <t>UPPSALA LÄN</t>
        </is>
      </c>
      <c r="E354" t="inlineStr">
        <is>
          <t>ÖSTHAMMAR</t>
        </is>
      </c>
      <c r="G354" t="n">
        <v>0.8</v>
      </c>
      <c r="H354" t="n">
        <v>0</v>
      </c>
      <c r="I354" t="n">
        <v>0</v>
      </c>
      <c r="J354" t="n">
        <v>0</v>
      </c>
      <c r="K354" t="n">
        <v>0</v>
      </c>
      <c r="L354" t="n">
        <v>0</v>
      </c>
      <c r="M354" t="n">
        <v>0</v>
      </c>
      <c r="N354" t="n">
        <v>0</v>
      </c>
      <c r="O354" t="n">
        <v>0</v>
      </c>
      <c r="P354" t="n">
        <v>0</v>
      </c>
      <c r="Q354" t="n">
        <v>0</v>
      </c>
      <c r="R354" s="2" t="inlineStr"/>
    </row>
    <row r="355" ht="15" customHeight="1">
      <c r="A355" t="inlineStr">
        <is>
          <t>A 41531-2021</t>
        </is>
      </c>
      <c r="B355" s="1" t="n">
        <v>44425</v>
      </c>
      <c r="C355" s="1" t="n">
        <v>45798</v>
      </c>
      <c r="D355" t="inlineStr">
        <is>
          <t>UPPSALA LÄN</t>
        </is>
      </c>
      <c r="E355" t="inlineStr">
        <is>
          <t>ÖSTHAMMAR</t>
        </is>
      </c>
      <c r="F355" t="inlineStr">
        <is>
          <t>Bergvik skog öst AB</t>
        </is>
      </c>
      <c r="G355" t="n">
        <v>2.8</v>
      </c>
      <c r="H355" t="n">
        <v>0</v>
      </c>
      <c r="I355" t="n">
        <v>0</v>
      </c>
      <c r="J355" t="n">
        <v>0</v>
      </c>
      <c r="K355" t="n">
        <v>0</v>
      </c>
      <c r="L355" t="n">
        <v>0</v>
      </c>
      <c r="M355" t="n">
        <v>0</v>
      </c>
      <c r="N355" t="n">
        <v>0</v>
      </c>
      <c r="O355" t="n">
        <v>0</v>
      </c>
      <c r="P355" t="n">
        <v>0</v>
      </c>
      <c r="Q355" t="n">
        <v>0</v>
      </c>
      <c r="R355" s="2" t="inlineStr"/>
    </row>
    <row r="356" ht="15" customHeight="1">
      <c r="A356" t="inlineStr">
        <is>
          <t>A 41558-2021</t>
        </is>
      </c>
      <c r="B356" s="1" t="n">
        <v>44425</v>
      </c>
      <c r="C356" s="1" t="n">
        <v>45798</v>
      </c>
      <c r="D356" t="inlineStr">
        <is>
          <t>UPPSALA LÄN</t>
        </is>
      </c>
      <c r="E356" t="inlineStr">
        <is>
          <t>ÖSTHAMMAR</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41538-2021</t>
        </is>
      </c>
      <c r="B357" s="1" t="n">
        <v>44425</v>
      </c>
      <c r="C357" s="1" t="n">
        <v>45798</v>
      </c>
      <c r="D357" t="inlineStr">
        <is>
          <t>UPPSALA LÄN</t>
        </is>
      </c>
      <c r="E357" t="inlineStr">
        <is>
          <t>ÖSTHAMMAR</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41744-2021</t>
        </is>
      </c>
      <c r="B358" s="1" t="n">
        <v>44425</v>
      </c>
      <c r="C358" s="1" t="n">
        <v>45798</v>
      </c>
      <c r="D358" t="inlineStr">
        <is>
          <t>UPPSALA LÄN</t>
        </is>
      </c>
      <c r="E358" t="inlineStr">
        <is>
          <t>ÖSTHAMMAR</t>
        </is>
      </c>
      <c r="F358" t="inlineStr">
        <is>
          <t>Bergvik skog öst AB</t>
        </is>
      </c>
      <c r="G358" t="n">
        <v>2.7</v>
      </c>
      <c r="H358" t="n">
        <v>0</v>
      </c>
      <c r="I358" t="n">
        <v>0</v>
      </c>
      <c r="J358" t="n">
        <v>0</v>
      </c>
      <c r="K358" t="n">
        <v>0</v>
      </c>
      <c r="L358" t="n">
        <v>0</v>
      </c>
      <c r="M358" t="n">
        <v>0</v>
      </c>
      <c r="N358" t="n">
        <v>0</v>
      </c>
      <c r="O358" t="n">
        <v>0</v>
      </c>
      <c r="P358" t="n">
        <v>0</v>
      </c>
      <c r="Q358" t="n">
        <v>0</v>
      </c>
      <c r="R358" s="2" t="inlineStr"/>
    </row>
    <row r="359" ht="15" customHeight="1">
      <c r="A359" t="inlineStr">
        <is>
          <t>A 43469-2021</t>
        </is>
      </c>
      <c r="B359" s="1" t="n">
        <v>44432</v>
      </c>
      <c r="C359" s="1" t="n">
        <v>45798</v>
      </c>
      <c r="D359" t="inlineStr">
        <is>
          <t>UPPSALA LÄN</t>
        </is>
      </c>
      <c r="E359" t="inlineStr">
        <is>
          <t>ÖSTHAMMAR</t>
        </is>
      </c>
      <c r="G359" t="n">
        <v>3.9</v>
      </c>
      <c r="H359" t="n">
        <v>0</v>
      </c>
      <c r="I359" t="n">
        <v>0</v>
      </c>
      <c r="J359" t="n">
        <v>0</v>
      </c>
      <c r="K359" t="n">
        <v>0</v>
      </c>
      <c r="L359" t="n">
        <v>0</v>
      </c>
      <c r="M359" t="n">
        <v>0</v>
      </c>
      <c r="N359" t="n">
        <v>0</v>
      </c>
      <c r="O359" t="n">
        <v>0</v>
      </c>
      <c r="P359" t="n">
        <v>0</v>
      </c>
      <c r="Q359" t="n">
        <v>0</v>
      </c>
      <c r="R359" s="2" t="inlineStr"/>
    </row>
    <row r="360" ht="15" customHeight="1">
      <c r="A360" t="inlineStr">
        <is>
          <t>A 48308-2021</t>
        </is>
      </c>
      <c r="B360" s="1" t="n">
        <v>44450</v>
      </c>
      <c r="C360" s="1" t="n">
        <v>45798</v>
      </c>
      <c r="D360" t="inlineStr">
        <is>
          <t>UPPSALA LÄN</t>
        </is>
      </c>
      <c r="E360" t="inlineStr">
        <is>
          <t>ÖSTHAMMAR</t>
        </is>
      </c>
      <c r="G360" t="n">
        <v>3.5</v>
      </c>
      <c r="H360" t="n">
        <v>0</v>
      </c>
      <c r="I360" t="n">
        <v>0</v>
      </c>
      <c r="J360" t="n">
        <v>0</v>
      </c>
      <c r="K360" t="n">
        <v>0</v>
      </c>
      <c r="L360" t="n">
        <v>0</v>
      </c>
      <c r="M360" t="n">
        <v>0</v>
      </c>
      <c r="N360" t="n">
        <v>0</v>
      </c>
      <c r="O360" t="n">
        <v>0</v>
      </c>
      <c r="P360" t="n">
        <v>0</v>
      </c>
      <c r="Q360" t="n">
        <v>0</v>
      </c>
      <c r="R360" s="2" t="inlineStr"/>
    </row>
    <row r="361" ht="15" customHeight="1">
      <c r="A361" t="inlineStr">
        <is>
          <t>A 51010-2021</t>
        </is>
      </c>
      <c r="B361" s="1" t="n">
        <v>44460</v>
      </c>
      <c r="C361" s="1" t="n">
        <v>45798</v>
      </c>
      <c r="D361" t="inlineStr">
        <is>
          <t>UPPSALA LÄN</t>
        </is>
      </c>
      <c r="E361" t="inlineStr">
        <is>
          <t>ÖSTHAMMAR</t>
        </is>
      </c>
      <c r="G361" t="n">
        <v>2.3</v>
      </c>
      <c r="H361" t="n">
        <v>0</v>
      </c>
      <c r="I361" t="n">
        <v>0</v>
      </c>
      <c r="J361" t="n">
        <v>0</v>
      </c>
      <c r="K361" t="n">
        <v>0</v>
      </c>
      <c r="L361" t="n">
        <v>0</v>
      </c>
      <c r="M361" t="n">
        <v>0</v>
      </c>
      <c r="N361" t="n">
        <v>0</v>
      </c>
      <c r="O361" t="n">
        <v>0</v>
      </c>
      <c r="P361" t="n">
        <v>0</v>
      </c>
      <c r="Q361" t="n">
        <v>0</v>
      </c>
      <c r="R361" s="2" t="inlineStr"/>
    </row>
    <row r="362" ht="15" customHeight="1">
      <c r="A362" t="inlineStr">
        <is>
          <t>A 51412-2021</t>
        </is>
      </c>
      <c r="B362" s="1" t="n">
        <v>44461</v>
      </c>
      <c r="C362" s="1" t="n">
        <v>45798</v>
      </c>
      <c r="D362" t="inlineStr">
        <is>
          <t>UPPSALA LÄN</t>
        </is>
      </c>
      <c r="E362" t="inlineStr">
        <is>
          <t>ÖSTHAMMAR</t>
        </is>
      </c>
      <c r="G362" t="n">
        <v>1.7</v>
      </c>
      <c r="H362" t="n">
        <v>0</v>
      </c>
      <c r="I362" t="n">
        <v>0</v>
      </c>
      <c r="J362" t="n">
        <v>0</v>
      </c>
      <c r="K362" t="n">
        <v>0</v>
      </c>
      <c r="L362" t="n">
        <v>0</v>
      </c>
      <c r="M362" t="n">
        <v>0</v>
      </c>
      <c r="N362" t="n">
        <v>0</v>
      </c>
      <c r="O362" t="n">
        <v>0</v>
      </c>
      <c r="P362" t="n">
        <v>0</v>
      </c>
      <c r="Q362" t="n">
        <v>0</v>
      </c>
      <c r="R362" s="2" t="inlineStr"/>
    </row>
    <row r="363" ht="15" customHeight="1">
      <c r="A363" t="inlineStr">
        <is>
          <t>A 51364-2021</t>
        </is>
      </c>
      <c r="B363" s="1" t="n">
        <v>44461</v>
      </c>
      <c r="C363" s="1" t="n">
        <v>45798</v>
      </c>
      <c r="D363" t="inlineStr">
        <is>
          <t>UPPSALA LÄN</t>
        </is>
      </c>
      <c r="E363" t="inlineStr">
        <is>
          <t>ÖSTHAMMAR</t>
        </is>
      </c>
      <c r="G363" t="n">
        <v>2.4</v>
      </c>
      <c r="H363" t="n">
        <v>0</v>
      </c>
      <c r="I363" t="n">
        <v>0</v>
      </c>
      <c r="J363" t="n">
        <v>0</v>
      </c>
      <c r="K363" t="n">
        <v>0</v>
      </c>
      <c r="L363" t="n">
        <v>0</v>
      </c>
      <c r="M363" t="n">
        <v>0</v>
      </c>
      <c r="N363" t="n">
        <v>0</v>
      </c>
      <c r="O363" t="n">
        <v>0</v>
      </c>
      <c r="P363" t="n">
        <v>0</v>
      </c>
      <c r="Q363" t="n">
        <v>0</v>
      </c>
      <c r="R363" s="2" t="inlineStr"/>
    </row>
    <row r="364" ht="15" customHeight="1">
      <c r="A364" t="inlineStr">
        <is>
          <t>A 51612-2021</t>
        </is>
      </c>
      <c r="B364" s="1" t="n">
        <v>44462</v>
      </c>
      <c r="C364" s="1" t="n">
        <v>45798</v>
      </c>
      <c r="D364" t="inlineStr">
        <is>
          <t>UPPSALA LÄN</t>
        </is>
      </c>
      <c r="E364" t="inlineStr">
        <is>
          <t>ÖSTHAMMAR</t>
        </is>
      </c>
      <c r="G364" t="n">
        <v>2.7</v>
      </c>
      <c r="H364" t="n">
        <v>0</v>
      </c>
      <c r="I364" t="n">
        <v>0</v>
      </c>
      <c r="J364" t="n">
        <v>0</v>
      </c>
      <c r="K364" t="n">
        <v>0</v>
      </c>
      <c r="L364" t="n">
        <v>0</v>
      </c>
      <c r="M364" t="n">
        <v>0</v>
      </c>
      <c r="N364" t="n">
        <v>0</v>
      </c>
      <c r="O364" t="n">
        <v>0</v>
      </c>
      <c r="P364" t="n">
        <v>0</v>
      </c>
      <c r="Q364" t="n">
        <v>0</v>
      </c>
      <c r="R364" s="2" t="inlineStr"/>
    </row>
    <row r="365" ht="15" customHeight="1">
      <c r="A365" t="inlineStr">
        <is>
          <t>A 52659-2021</t>
        </is>
      </c>
      <c r="B365" s="1" t="n">
        <v>44466</v>
      </c>
      <c r="C365" s="1" t="n">
        <v>45798</v>
      </c>
      <c r="D365" t="inlineStr">
        <is>
          <t>UPPSALA LÄN</t>
        </is>
      </c>
      <c r="E365" t="inlineStr">
        <is>
          <t>ÖSTHAMMAR</t>
        </is>
      </c>
      <c r="G365" t="n">
        <v>13</v>
      </c>
      <c r="H365" t="n">
        <v>0</v>
      </c>
      <c r="I365" t="n">
        <v>0</v>
      </c>
      <c r="J365" t="n">
        <v>0</v>
      </c>
      <c r="K365" t="n">
        <v>0</v>
      </c>
      <c r="L365" t="n">
        <v>0</v>
      </c>
      <c r="M365" t="n">
        <v>0</v>
      </c>
      <c r="N365" t="n">
        <v>0</v>
      </c>
      <c r="O365" t="n">
        <v>0</v>
      </c>
      <c r="P365" t="n">
        <v>0</v>
      </c>
      <c r="Q365" t="n">
        <v>0</v>
      </c>
      <c r="R365" s="2" t="inlineStr"/>
    </row>
    <row r="366" ht="15" customHeight="1">
      <c r="A366" t="inlineStr">
        <is>
          <t>A 52544-2021</t>
        </is>
      </c>
      <c r="B366" s="1" t="n">
        <v>44466</v>
      </c>
      <c r="C366" s="1" t="n">
        <v>45798</v>
      </c>
      <c r="D366" t="inlineStr">
        <is>
          <t>UPPSALA LÄN</t>
        </is>
      </c>
      <c r="E366" t="inlineStr">
        <is>
          <t>ÖSTHAMMAR</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52898-2021</t>
        </is>
      </c>
      <c r="B367" s="1" t="n">
        <v>44467</v>
      </c>
      <c r="C367" s="1" t="n">
        <v>45798</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55646-2021</t>
        </is>
      </c>
      <c r="B368" s="1" t="n">
        <v>44476</v>
      </c>
      <c r="C368" s="1" t="n">
        <v>45798</v>
      </c>
      <c r="D368" t="inlineStr">
        <is>
          <t>UPPSALA LÄN</t>
        </is>
      </c>
      <c r="E368" t="inlineStr">
        <is>
          <t>ÖSTHAMMAR</t>
        </is>
      </c>
      <c r="F368" t="inlineStr">
        <is>
          <t>Bergvik skog öst AB</t>
        </is>
      </c>
      <c r="G368" t="n">
        <v>0.2</v>
      </c>
      <c r="H368" t="n">
        <v>0</v>
      </c>
      <c r="I368" t="n">
        <v>0</v>
      </c>
      <c r="J368" t="n">
        <v>0</v>
      </c>
      <c r="K368" t="n">
        <v>0</v>
      </c>
      <c r="L368" t="n">
        <v>0</v>
      </c>
      <c r="M368" t="n">
        <v>0</v>
      </c>
      <c r="N368" t="n">
        <v>0</v>
      </c>
      <c r="O368" t="n">
        <v>0</v>
      </c>
      <c r="P368" t="n">
        <v>0</v>
      </c>
      <c r="Q368" t="n">
        <v>0</v>
      </c>
      <c r="R368" s="2" t="inlineStr"/>
    </row>
    <row r="369" ht="15" customHeight="1">
      <c r="A369" t="inlineStr">
        <is>
          <t>A 55872-2021</t>
        </is>
      </c>
      <c r="B369" s="1" t="n">
        <v>44476</v>
      </c>
      <c r="C369" s="1" t="n">
        <v>45798</v>
      </c>
      <c r="D369" t="inlineStr">
        <is>
          <t>UPPSALA LÄN</t>
        </is>
      </c>
      <c r="E369" t="inlineStr">
        <is>
          <t>ÖSTHAMMAR</t>
        </is>
      </c>
      <c r="F369" t="inlineStr">
        <is>
          <t>Bergvik skog öst AB</t>
        </is>
      </c>
      <c r="G369" t="n">
        <v>13.7</v>
      </c>
      <c r="H369" t="n">
        <v>0</v>
      </c>
      <c r="I369" t="n">
        <v>0</v>
      </c>
      <c r="J369" t="n">
        <v>0</v>
      </c>
      <c r="K369" t="n">
        <v>0</v>
      </c>
      <c r="L369" t="n">
        <v>0</v>
      </c>
      <c r="M369" t="n">
        <v>0</v>
      </c>
      <c r="N369" t="n">
        <v>0</v>
      </c>
      <c r="O369" t="n">
        <v>0</v>
      </c>
      <c r="P369" t="n">
        <v>0</v>
      </c>
      <c r="Q369" t="n">
        <v>0</v>
      </c>
      <c r="R369" s="2" t="inlineStr"/>
    </row>
    <row r="370" ht="15" customHeight="1">
      <c r="A370" t="inlineStr">
        <is>
          <t>A 57003-2021</t>
        </is>
      </c>
      <c r="B370" s="1" t="n">
        <v>44482</v>
      </c>
      <c r="C370" s="1" t="n">
        <v>45798</v>
      </c>
      <c r="D370" t="inlineStr">
        <is>
          <t>UPPSALA LÄN</t>
        </is>
      </c>
      <c r="E370" t="inlineStr">
        <is>
          <t>ÖSTHAMMAR</t>
        </is>
      </c>
      <c r="G370" t="n">
        <v>1.9</v>
      </c>
      <c r="H370" t="n">
        <v>0</v>
      </c>
      <c r="I370" t="n">
        <v>0</v>
      </c>
      <c r="J370" t="n">
        <v>0</v>
      </c>
      <c r="K370" t="n">
        <v>0</v>
      </c>
      <c r="L370" t="n">
        <v>0</v>
      </c>
      <c r="M370" t="n">
        <v>0</v>
      </c>
      <c r="N370" t="n">
        <v>0</v>
      </c>
      <c r="O370" t="n">
        <v>0</v>
      </c>
      <c r="P370" t="n">
        <v>0</v>
      </c>
      <c r="Q370" t="n">
        <v>0</v>
      </c>
      <c r="R370" s="2" t="inlineStr"/>
    </row>
    <row r="371" ht="15" customHeight="1">
      <c r="A371" t="inlineStr">
        <is>
          <t>A 57080-2021</t>
        </is>
      </c>
      <c r="B371" s="1" t="n">
        <v>44482</v>
      </c>
      <c r="C371" s="1" t="n">
        <v>45798</v>
      </c>
      <c r="D371" t="inlineStr">
        <is>
          <t>UPPSALA LÄN</t>
        </is>
      </c>
      <c r="E371" t="inlineStr">
        <is>
          <t>ÖSTHAMMAR</t>
        </is>
      </c>
      <c r="F371" t="inlineStr">
        <is>
          <t>Bergvik skog öst AB</t>
        </is>
      </c>
      <c r="G371" t="n">
        <v>13.4</v>
      </c>
      <c r="H371" t="n">
        <v>0</v>
      </c>
      <c r="I371" t="n">
        <v>0</v>
      </c>
      <c r="J371" t="n">
        <v>0</v>
      </c>
      <c r="K371" t="n">
        <v>0</v>
      </c>
      <c r="L371" t="n">
        <v>0</v>
      </c>
      <c r="M371" t="n">
        <v>0</v>
      </c>
      <c r="N371" t="n">
        <v>0</v>
      </c>
      <c r="O371" t="n">
        <v>0</v>
      </c>
      <c r="P371" t="n">
        <v>0</v>
      </c>
      <c r="Q371" t="n">
        <v>0</v>
      </c>
      <c r="R371" s="2" t="inlineStr"/>
    </row>
    <row r="372" ht="15" customHeight="1">
      <c r="A372" t="inlineStr">
        <is>
          <t>A 58334-2021</t>
        </is>
      </c>
      <c r="B372" s="1" t="n">
        <v>44488</v>
      </c>
      <c r="C372" s="1" t="n">
        <v>45798</v>
      </c>
      <c r="D372" t="inlineStr">
        <is>
          <t>UPPSALA LÄN</t>
        </is>
      </c>
      <c r="E372" t="inlineStr">
        <is>
          <t>ÖSTHAMMAR</t>
        </is>
      </c>
      <c r="G372" t="n">
        <v>5.7</v>
      </c>
      <c r="H372" t="n">
        <v>0</v>
      </c>
      <c r="I372" t="n">
        <v>0</v>
      </c>
      <c r="J372" t="n">
        <v>0</v>
      </c>
      <c r="K372" t="n">
        <v>0</v>
      </c>
      <c r="L372" t="n">
        <v>0</v>
      </c>
      <c r="M372" t="n">
        <v>0</v>
      </c>
      <c r="N372" t="n">
        <v>0</v>
      </c>
      <c r="O372" t="n">
        <v>0</v>
      </c>
      <c r="P372" t="n">
        <v>0</v>
      </c>
      <c r="Q372" t="n">
        <v>0</v>
      </c>
      <c r="R372" s="2" t="inlineStr"/>
    </row>
    <row r="373" ht="15" customHeight="1">
      <c r="A373" t="inlineStr">
        <is>
          <t>A 59360-2021</t>
        </is>
      </c>
      <c r="B373" s="1" t="n">
        <v>44491</v>
      </c>
      <c r="C373" s="1" t="n">
        <v>45798</v>
      </c>
      <c r="D373" t="inlineStr">
        <is>
          <t>UPPSALA LÄN</t>
        </is>
      </c>
      <c r="E373" t="inlineStr">
        <is>
          <t>ÖSTHAMMAR</t>
        </is>
      </c>
      <c r="F373" t="inlineStr">
        <is>
          <t>Bergvik skog öst AB</t>
        </is>
      </c>
      <c r="G373" t="n">
        <v>8</v>
      </c>
      <c r="H373" t="n">
        <v>0</v>
      </c>
      <c r="I373" t="n">
        <v>0</v>
      </c>
      <c r="J373" t="n">
        <v>0</v>
      </c>
      <c r="K373" t="n">
        <v>0</v>
      </c>
      <c r="L373" t="n">
        <v>0</v>
      </c>
      <c r="M373" t="n">
        <v>0</v>
      </c>
      <c r="N373" t="n">
        <v>0</v>
      </c>
      <c r="O373" t="n">
        <v>0</v>
      </c>
      <c r="P373" t="n">
        <v>0</v>
      </c>
      <c r="Q373" t="n">
        <v>0</v>
      </c>
      <c r="R373" s="2" t="inlineStr"/>
    </row>
    <row r="374" ht="15" customHeight="1">
      <c r="A374" t="inlineStr">
        <is>
          <t>A 59498-2021</t>
        </is>
      </c>
      <c r="B374" s="1" t="n">
        <v>44491</v>
      </c>
      <c r="C374" s="1" t="n">
        <v>45798</v>
      </c>
      <c r="D374" t="inlineStr">
        <is>
          <t>UPPSALA LÄN</t>
        </is>
      </c>
      <c r="E374" t="inlineStr">
        <is>
          <t>ÖSTHAMMAR</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60047-2021</t>
        </is>
      </c>
      <c r="B375" s="1" t="n">
        <v>44495</v>
      </c>
      <c r="C375" s="1" t="n">
        <v>45798</v>
      </c>
      <c r="D375" t="inlineStr">
        <is>
          <t>UPPSALA LÄN</t>
        </is>
      </c>
      <c r="E375" t="inlineStr">
        <is>
          <t>ÖSTHAMMAR</t>
        </is>
      </c>
      <c r="F375" t="inlineStr">
        <is>
          <t>Övriga Aktiebolag</t>
        </is>
      </c>
      <c r="G375" t="n">
        <v>1.8</v>
      </c>
      <c r="H375" t="n">
        <v>0</v>
      </c>
      <c r="I375" t="n">
        <v>0</v>
      </c>
      <c r="J375" t="n">
        <v>0</v>
      </c>
      <c r="K375" t="n">
        <v>0</v>
      </c>
      <c r="L375" t="n">
        <v>0</v>
      </c>
      <c r="M375" t="n">
        <v>0</v>
      </c>
      <c r="N375" t="n">
        <v>0</v>
      </c>
      <c r="O375" t="n">
        <v>0</v>
      </c>
      <c r="P375" t="n">
        <v>0</v>
      </c>
      <c r="Q375" t="n">
        <v>0</v>
      </c>
      <c r="R375" s="2" t="inlineStr"/>
    </row>
    <row r="376" ht="15" customHeight="1">
      <c r="A376" t="inlineStr">
        <is>
          <t>A 60577-2021</t>
        </is>
      </c>
      <c r="B376" s="1" t="n">
        <v>44496</v>
      </c>
      <c r="C376" s="1" t="n">
        <v>45798</v>
      </c>
      <c r="D376" t="inlineStr">
        <is>
          <t>UPPSALA LÄN</t>
        </is>
      </c>
      <c r="E376" t="inlineStr">
        <is>
          <t>ÖSTHAMMAR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60584-2021</t>
        </is>
      </c>
      <c r="B377" s="1" t="n">
        <v>44496</v>
      </c>
      <c r="C377" s="1" t="n">
        <v>45798</v>
      </c>
      <c r="D377" t="inlineStr">
        <is>
          <t>UPPSALA LÄN</t>
        </is>
      </c>
      <c r="E377" t="inlineStr">
        <is>
          <t>ÖSTHAMMAR</t>
        </is>
      </c>
      <c r="G377" t="n">
        <v>1.4</v>
      </c>
      <c r="H377" t="n">
        <v>0</v>
      </c>
      <c r="I377" t="n">
        <v>0</v>
      </c>
      <c r="J377" t="n">
        <v>0</v>
      </c>
      <c r="K377" t="n">
        <v>0</v>
      </c>
      <c r="L377" t="n">
        <v>0</v>
      </c>
      <c r="M377" t="n">
        <v>0</v>
      </c>
      <c r="N377" t="n">
        <v>0</v>
      </c>
      <c r="O377" t="n">
        <v>0</v>
      </c>
      <c r="P377" t="n">
        <v>0</v>
      </c>
      <c r="Q377" t="n">
        <v>0</v>
      </c>
      <c r="R377" s="2" t="inlineStr"/>
    </row>
    <row r="378" ht="15" customHeight="1">
      <c r="A378" t="inlineStr">
        <is>
          <t>A 61746-2021</t>
        </is>
      </c>
      <c r="B378" s="1" t="n">
        <v>44498</v>
      </c>
      <c r="C378" s="1" t="n">
        <v>45798</v>
      </c>
      <c r="D378" t="inlineStr">
        <is>
          <t>UPPSALA LÄN</t>
        </is>
      </c>
      <c r="E378" t="inlineStr">
        <is>
          <t>ÖSTHAMMAR</t>
        </is>
      </c>
      <c r="G378" t="n">
        <v>5.6</v>
      </c>
      <c r="H378" t="n">
        <v>0</v>
      </c>
      <c r="I378" t="n">
        <v>0</v>
      </c>
      <c r="J378" t="n">
        <v>0</v>
      </c>
      <c r="K378" t="n">
        <v>0</v>
      </c>
      <c r="L378" t="n">
        <v>0</v>
      </c>
      <c r="M378" t="n">
        <v>0</v>
      </c>
      <c r="N378" t="n">
        <v>0</v>
      </c>
      <c r="O378" t="n">
        <v>0</v>
      </c>
      <c r="P378" t="n">
        <v>0</v>
      </c>
      <c r="Q378" t="n">
        <v>0</v>
      </c>
      <c r="R378" s="2" t="inlineStr"/>
    </row>
    <row r="379" ht="15" customHeight="1">
      <c r="A379" t="inlineStr">
        <is>
          <t>A 61555-2021</t>
        </is>
      </c>
      <c r="B379" s="1" t="n">
        <v>44501</v>
      </c>
      <c r="C379" s="1" t="n">
        <v>45798</v>
      </c>
      <c r="D379" t="inlineStr">
        <is>
          <t>UPPSALA LÄN</t>
        </is>
      </c>
      <c r="E379" t="inlineStr">
        <is>
          <t>ÖSTHAMMAR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61560-2021</t>
        </is>
      </c>
      <c r="B380" s="1" t="n">
        <v>44501</v>
      </c>
      <c r="C380" s="1" t="n">
        <v>45798</v>
      </c>
      <c r="D380" t="inlineStr">
        <is>
          <t>UPPSALA LÄN</t>
        </is>
      </c>
      <c r="E380" t="inlineStr">
        <is>
          <t>ÖSTHAMMAR</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61817-2021</t>
        </is>
      </c>
      <c r="B381" s="1" t="n">
        <v>44501</v>
      </c>
      <c r="C381" s="1" t="n">
        <v>45798</v>
      </c>
      <c r="D381" t="inlineStr">
        <is>
          <t>UPPSALA LÄN</t>
        </is>
      </c>
      <c r="E381" t="inlineStr">
        <is>
          <t>ÖSTHAMMAR</t>
        </is>
      </c>
      <c r="F381" t="inlineStr">
        <is>
          <t>Bergvik skog öst AB</t>
        </is>
      </c>
      <c r="G381" t="n">
        <v>2.3</v>
      </c>
      <c r="H381" t="n">
        <v>0</v>
      </c>
      <c r="I381" t="n">
        <v>0</v>
      </c>
      <c r="J381" t="n">
        <v>0</v>
      </c>
      <c r="K381" t="n">
        <v>0</v>
      </c>
      <c r="L381" t="n">
        <v>0</v>
      </c>
      <c r="M381" t="n">
        <v>0</v>
      </c>
      <c r="N381" t="n">
        <v>0</v>
      </c>
      <c r="O381" t="n">
        <v>0</v>
      </c>
      <c r="P381" t="n">
        <v>0</v>
      </c>
      <c r="Q381" t="n">
        <v>0</v>
      </c>
      <c r="R381" s="2" t="inlineStr"/>
    </row>
    <row r="382" ht="15" customHeight="1">
      <c r="A382" t="inlineStr">
        <is>
          <t>A 62854-2021</t>
        </is>
      </c>
      <c r="B382" s="1" t="n">
        <v>44504</v>
      </c>
      <c r="C382" s="1" t="n">
        <v>45798</v>
      </c>
      <c r="D382" t="inlineStr">
        <is>
          <t>UPPSALA LÄN</t>
        </is>
      </c>
      <c r="E382" t="inlineStr">
        <is>
          <t>ÖSTHAMMAR</t>
        </is>
      </c>
      <c r="F382" t="inlineStr">
        <is>
          <t>Bergvik skog öst AB</t>
        </is>
      </c>
      <c r="G382" t="n">
        <v>10.3</v>
      </c>
      <c r="H382" t="n">
        <v>0</v>
      </c>
      <c r="I382" t="n">
        <v>0</v>
      </c>
      <c r="J382" t="n">
        <v>0</v>
      </c>
      <c r="K382" t="n">
        <v>0</v>
      </c>
      <c r="L382" t="n">
        <v>0</v>
      </c>
      <c r="M382" t="n">
        <v>0</v>
      </c>
      <c r="N382" t="n">
        <v>0</v>
      </c>
      <c r="O382" t="n">
        <v>0</v>
      </c>
      <c r="P382" t="n">
        <v>0</v>
      </c>
      <c r="Q382" t="n">
        <v>0</v>
      </c>
      <c r="R382" s="2" t="inlineStr"/>
    </row>
    <row r="383" ht="15" customHeight="1">
      <c r="A383" t="inlineStr">
        <is>
          <t>A 62782-2021</t>
        </is>
      </c>
      <c r="B383" s="1" t="n">
        <v>44504</v>
      </c>
      <c r="C383" s="1" t="n">
        <v>45798</v>
      </c>
      <c r="D383" t="inlineStr">
        <is>
          <t>UPPSALA LÄN</t>
        </is>
      </c>
      <c r="E383" t="inlineStr">
        <is>
          <t>ÖSTHAMMAR</t>
        </is>
      </c>
      <c r="G383" t="n">
        <v>2.6</v>
      </c>
      <c r="H383" t="n">
        <v>0</v>
      </c>
      <c r="I383" t="n">
        <v>0</v>
      </c>
      <c r="J383" t="n">
        <v>0</v>
      </c>
      <c r="K383" t="n">
        <v>0</v>
      </c>
      <c r="L383" t="n">
        <v>0</v>
      </c>
      <c r="M383" t="n">
        <v>0</v>
      </c>
      <c r="N383" t="n">
        <v>0</v>
      </c>
      <c r="O383" t="n">
        <v>0</v>
      </c>
      <c r="P383" t="n">
        <v>0</v>
      </c>
      <c r="Q383" t="n">
        <v>0</v>
      </c>
      <c r="R383" s="2" t="inlineStr"/>
    </row>
    <row r="384" ht="15" customHeight="1">
      <c r="A384" t="inlineStr">
        <is>
          <t>A 64586-2021</t>
        </is>
      </c>
      <c r="B384" s="1" t="n">
        <v>44511</v>
      </c>
      <c r="C384" s="1" t="n">
        <v>45798</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64811-2021</t>
        </is>
      </c>
      <c r="B385" s="1" t="n">
        <v>44512</v>
      </c>
      <c r="C385" s="1" t="n">
        <v>45798</v>
      </c>
      <c r="D385" t="inlineStr">
        <is>
          <t>UPPSALA LÄN</t>
        </is>
      </c>
      <c r="E385" t="inlineStr">
        <is>
          <t>ÖSTHAMMAR</t>
        </is>
      </c>
      <c r="G385" t="n">
        <v>4.2</v>
      </c>
      <c r="H385" t="n">
        <v>0</v>
      </c>
      <c r="I385" t="n">
        <v>0</v>
      </c>
      <c r="J385" t="n">
        <v>0</v>
      </c>
      <c r="K385" t="n">
        <v>0</v>
      </c>
      <c r="L385" t="n">
        <v>0</v>
      </c>
      <c r="M385" t="n">
        <v>0</v>
      </c>
      <c r="N385" t="n">
        <v>0</v>
      </c>
      <c r="O385" t="n">
        <v>0</v>
      </c>
      <c r="P385" t="n">
        <v>0</v>
      </c>
      <c r="Q385" t="n">
        <v>0</v>
      </c>
      <c r="R385" s="2" t="inlineStr"/>
    </row>
    <row r="386" ht="15" customHeight="1">
      <c r="A386" t="inlineStr">
        <is>
          <t>A 64872-2021</t>
        </is>
      </c>
      <c r="B386" s="1" t="n">
        <v>44512</v>
      </c>
      <c r="C386" s="1" t="n">
        <v>45798</v>
      </c>
      <c r="D386" t="inlineStr">
        <is>
          <t>UPPSALA LÄN</t>
        </is>
      </c>
      <c r="E386" t="inlineStr">
        <is>
          <t>ÖSTHAMMAR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64885-2021</t>
        </is>
      </c>
      <c r="B387" s="1" t="n">
        <v>44512</v>
      </c>
      <c r="C387" s="1" t="n">
        <v>45798</v>
      </c>
      <c r="D387" t="inlineStr">
        <is>
          <t>UPPSALA LÄN</t>
        </is>
      </c>
      <c r="E387" t="inlineStr">
        <is>
          <t>ÖSTHAMMAR</t>
        </is>
      </c>
      <c r="G387" t="n">
        <v>2.1</v>
      </c>
      <c r="H387" t="n">
        <v>0</v>
      </c>
      <c r="I387" t="n">
        <v>0</v>
      </c>
      <c r="J387" t="n">
        <v>0</v>
      </c>
      <c r="K387" t="n">
        <v>0</v>
      </c>
      <c r="L387" t="n">
        <v>0</v>
      </c>
      <c r="M387" t="n">
        <v>0</v>
      </c>
      <c r="N387" t="n">
        <v>0</v>
      </c>
      <c r="O387" t="n">
        <v>0</v>
      </c>
      <c r="P387" t="n">
        <v>0</v>
      </c>
      <c r="Q387" t="n">
        <v>0</v>
      </c>
      <c r="R387" s="2" t="inlineStr"/>
    </row>
    <row r="388" ht="15" customHeight="1">
      <c r="A388" t="inlineStr">
        <is>
          <t>A 65020-2021</t>
        </is>
      </c>
      <c r="B388" s="1" t="n">
        <v>44515</v>
      </c>
      <c r="C388" s="1" t="n">
        <v>45798</v>
      </c>
      <c r="D388" t="inlineStr">
        <is>
          <t>UPPSALA LÄN</t>
        </is>
      </c>
      <c r="E388" t="inlineStr">
        <is>
          <t>ÖSTHAMMAR</t>
        </is>
      </c>
      <c r="F388" t="inlineStr">
        <is>
          <t>Sveaskog</t>
        </is>
      </c>
      <c r="G388" t="n">
        <v>4.7</v>
      </c>
      <c r="H388" t="n">
        <v>0</v>
      </c>
      <c r="I388" t="n">
        <v>0</v>
      </c>
      <c r="J388" t="n">
        <v>0</v>
      </c>
      <c r="K388" t="n">
        <v>0</v>
      </c>
      <c r="L388" t="n">
        <v>0</v>
      </c>
      <c r="M388" t="n">
        <v>0</v>
      </c>
      <c r="N388" t="n">
        <v>0</v>
      </c>
      <c r="O388" t="n">
        <v>0</v>
      </c>
      <c r="P388" t="n">
        <v>0</v>
      </c>
      <c r="Q388" t="n">
        <v>0</v>
      </c>
      <c r="R388" s="2" t="inlineStr"/>
    </row>
    <row r="389" ht="15" customHeight="1">
      <c r="A389" t="inlineStr">
        <is>
          <t>A 65104-2021</t>
        </is>
      </c>
      <c r="B389" s="1" t="n">
        <v>44515</v>
      </c>
      <c r="C389" s="1" t="n">
        <v>45798</v>
      </c>
      <c r="D389" t="inlineStr">
        <is>
          <t>UPPSALA LÄN</t>
        </is>
      </c>
      <c r="E389" t="inlineStr">
        <is>
          <t>ÖSTHAMMAR</t>
        </is>
      </c>
      <c r="F389" t="inlineStr">
        <is>
          <t>Sveaskog</t>
        </is>
      </c>
      <c r="G389" t="n">
        <v>4.2</v>
      </c>
      <c r="H389" t="n">
        <v>0</v>
      </c>
      <c r="I389" t="n">
        <v>0</v>
      </c>
      <c r="J389" t="n">
        <v>0</v>
      </c>
      <c r="K389" t="n">
        <v>0</v>
      </c>
      <c r="L389" t="n">
        <v>0</v>
      </c>
      <c r="M389" t="n">
        <v>0</v>
      </c>
      <c r="N389" t="n">
        <v>0</v>
      </c>
      <c r="O389" t="n">
        <v>0</v>
      </c>
      <c r="P389" t="n">
        <v>0</v>
      </c>
      <c r="Q389" t="n">
        <v>0</v>
      </c>
      <c r="R389" s="2" t="inlineStr"/>
    </row>
    <row r="390" ht="15" customHeight="1">
      <c r="A390" t="inlineStr">
        <is>
          <t>A 65028-2021</t>
        </is>
      </c>
      <c r="B390" s="1" t="n">
        <v>44515</v>
      </c>
      <c r="C390" s="1" t="n">
        <v>45798</v>
      </c>
      <c r="D390" t="inlineStr">
        <is>
          <t>UPPSALA LÄN</t>
        </is>
      </c>
      <c r="E390" t="inlineStr">
        <is>
          <t>ÖSTHAMMAR</t>
        </is>
      </c>
      <c r="F390" t="inlineStr">
        <is>
          <t>Sveaskog</t>
        </is>
      </c>
      <c r="G390" t="n">
        <v>1</v>
      </c>
      <c r="H390" t="n">
        <v>0</v>
      </c>
      <c r="I390" t="n">
        <v>0</v>
      </c>
      <c r="J390" t="n">
        <v>0</v>
      </c>
      <c r="K390" t="n">
        <v>0</v>
      </c>
      <c r="L390" t="n">
        <v>0</v>
      </c>
      <c r="M390" t="n">
        <v>0</v>
      </c>
      <c r="N390" t="n">
        <v>0</v>
      </c>
      <c r="O390" t="n">
        <v>0</v>
      </c>
      <c r="P390" t="n">
        <v>0</v>
      </c>
      <c r="Q390" t="n">
        <v>0</v>
      </c>
      <c r="R390" s="2" t="inlineStr"/>
    </row>
    <row r="391" ht="15" customHeight="1">
      <c r="A391" t="inlineStr">
        <is>
          <t>A 66549-2021</t>
        </is>
      </c>
      <c r="B391" s="1" t="n">
        <v>44519</v>
      </c>
      <c r="C391" s="1" t="n">
        <v>45798</v>
      </c>
      <c r="D391" t="inlineStr">
        <is>
          <t>UPPSALA LÄN</t>
        </is>
      </c>
      <c r="E391" t="inlineStr">
        <is>
          <t>ÖSTHAMMAR</t>
        </is>
      </c>
      <c r="F391" t="inlineStr">
        <is>
          <t>Bergvik skog öst AB</t>
        </is>
      </c>
      <c r="G391" t="n">
        <v>2.8</v>
      </c>
      <c r="H391" t="n">
        <v>0</v>
      </c>
      <c r="I391" t="n">
        <v>0</v>
      </c>
      <c r="J391" t="n">
        <v>0</v>
      </c>
      <c r="K391" t="n">
        <v>0</v>
      </c>
      <c r="L391" t="n">
        <v>0</v>
      </c>
      <c r="M391" t="n">
        <v>0</v>
      </c>
      <c r="N391" t="n">
        <v>0</v>
      </c>
      <c r="O391" t="n">
        <v>0</v>
      </c>
      <c r="P391" t="n">
        <v>0</v>
      </c>
      <c r="Q391" t="n">
        <v>0</v>
      </c>
      <c r="R391" s="2" t="inlineStr"/>
    </row>
    <row r="392" ht="15" customHeight="1">
      <c r="A392" t="inlineStr">
        <is>
          <t>A 66779-2021</t>
        </is>
      </c>
      <c r="B392" s="1" t="n">
        <v>44522</v>
      </c>
      <c r="C392" s="1" t="n">
        <v>45798</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67033-2021</t>
        </is>
      </c>
      <c r="B393" s="1" t="n">
        <v>44522</v>
      </c>
      <c r="C393" s="1" t="n">
        <v>45798</v>
      </c>
      <c r="D393" t="inlineStr">
        <is>
          <t>UPPSALA LÄN</t>
        </is>
      </c>
      <c r="E393" t="inlineStr">
        <is>
          <t>ÖSTHAMMAR</t>
        </is>
      </c>
      <c r="G393" t="n">
        <v>1.5</v>
      </c>
      <c r="H393" t="n">
        <v>0</v>
      </c>
      <c r="I393" t="n">
        <v>0</v>
      </c>
      <c r="J393" t="n">
        <v>0</v>
      </c>
      <c r="K393" t="n">
        <v>0</v>
      </c>
      <c r="L393" t="n">
        <v>0</v>
      </c>
      <c r="M393" t="n">
        <v>0</v>
      </c>
      <c r="N393" t="n">
        <v>0</v>
      </c>
      <c r="O393" t="n">
        <v>0</v>
      </c>
      <c r="P393" t="n">
        <v>0</v>
      </c>
      <c r="Q393" t="n">
        <v>0</v>
      </c>
      <c r="R393" s="2" t="inlineStr"/>
    </row>
    <row r="394" ht="15" customHeight="1">
      <c r="A394" t="inlineStr">
        <is>
          <t>A 67030-2021</t>
        </is>
      </c>
      <c r="B394" s="1" t="n">
        <v>44522</v>
      </c>
      <c r="C394" s="1" t="n">
        <v>45798</v>
      </c>
      <c r="D394" t="inlineStr">
        <is>
          <t>UPPSALA LÄN</t>
        </is>
      </c>
      <c r="E394" t="inlineStr">
        <is>
          <t>ÖSTHAMMAR</t>
        </is>
      </c>
      <c r="G394" t="n">
        <v>8.6</v>
      </c>
      <c r="H394" t="n">
        <v>0</v>
      </c>
      <c r="I394" t="n">
        <v>0</v>
      </c>
      <c r="J394" t="n">
        <v>0</v>
      </c>
      <c r="K394" t="n">
        <v>0</v>
      </c>
      <c r="L394" t="n">
        <v>0</v>
      </c>
      <c r="M394" t="n">
        <v>0</v>
      </c>
      <c r="N394" t="n">
        <v>0</v>
      </c>
      <c r="O394" t="n">
        <v>0</v>
      </c>
      <c r="P394" t="n">
        <v>0</v>
      </c>
      <c r="Q394" t="n">
        <v>0</v>
      </c>
      <c r="R394" s="2" t="inlineStr"/>
    </row>
    <row r="395" ht="15" customHeight="1">
      <c r="A395" t="inlineStr">
        <is>
          <t>A 67151-2021</t>
        </is>
      </c>
      <c r="B395" s="1" t="n">
        <v>44523</v>
      </c>
      <c r="C395" s="1" t="n">
        <v>45798</v>
      </c>
      <c r="D395" t="inlineStr">
        <is>
          <t>UPPSALA LÄN</t>
        </is>
      </c>
      <c r="E395" t="inlineStr">
        <is>
          <t>ÖSTHAMMAR</t>
        </is>
      </c>
      <c r="G395" t="n">
        <v>2.4</v>
      </c>
      <c r="H395" t="n">
        <v>0</v>
      </c>
      <c r="I395" t="n">
        <v>0</v>
      </c>
      <c r="J395" t="n">
        <v>0</v>
      </c>
      <c r="K395" t="n">
        <v>0</v>
      </c>
      <c r="L395" t="n">
        <v>0</v>
      </c>
      <c r="M395" t="n">
        <v>0</v>
      </c>
      <c r="N395" t="n">
        <v>0</v>
      </c>
      <c r="O395" t="n">
        <v>0</v>
      </c>
      <c r="P395" t="n">
        <v>0</v>
      </c>
      <c r="Q395" t="n">
        <v>0</v>
      </c>
      <c r="R395" s="2" t="inlineStr"/>
    </row>
    <row r="396" ht="15" customHeight="1">
      <c r="A396" t="inlineStr">
        <is>
          <t>A 67199-2021</t>
        </is>
      </c>
      <c r="B396" s="1" t="n">
        <v>44523</v>
      </c>
      <c r="C396" s="1" t="n">
        <v>45798</v>
      </c>
      <c r="D396" t="inlineStr">
        <is>
          <t>UPPSALA LÄN</t>
        </is>
      </c>
      <c r="E396" t="inlineStr">
        <is>
          <t>ÖSTHAMMAR</t>
        </is>
      </c>
      <c r="G396" t="n">
        <v>2.3</v>
      </c>
      <c r="H396" t="n">
        <v>0</v>
      </c>
      <c r="I396" t="n">
        <v>0</v>
      </c>
      <c r="J396" t="n">
        <v>0</v>
      </c>
      <c r="K396" t="n">
        <v>0</v>
      </c>
      <c r="L396" t="n">
        <v>0</v>
      </c>
      <c r="M396" t="n">
        <v>0</v>
      </c>
      <c r="N396" t="n">
        <v>0</v>
      </c>
      <c r="O396" t="n">
        <v>0</v>
      </c>
      <c r="P396" t="n">
        <v>0</v>
      </c>
      <c r="Q396" t="n">
        <v>0</v>
      </c>
      <c r="R396" s="2" t="inlineStr"/>
    </row>
    <row r="397" ht="15" customHeight="1">
      <c r="A397" t="inlineStr">
        <is>
          <t>A 67217-2021</t>
        </is>
      </c>
      <c r="B397" s="1" t="n">
        <v>44523</v>
      </c>
      <c r="C397" s="1" t="n">
        <v>45798</v>
      </c>
      <c r="D397" t="inlineStr">
        <is>
          <t>UPPSALA LÄN</t>
        </is>
      </c>
      <c r="E397" t="inlineStr">
        <is>
          <t>ÖSTHAMMAR</t>
        </is>
      </c>
      <c r="G397" t="n">
        <v>2.4</v>
      </c>
      <c r="H397" t="n">
        <v>0</v>
      </c>
      <c r="I397" t="n">
        <v>0</v>
      </c>
      <c r="J397" t="n">
        <v>0</v>
      </c>
      <c r="K397" t="n">
        <v>0</v>
      </c>
      <c r="L397" t="n">
        <v>0</v>
      </c>
      <c r="M397" t="n">
        <v>0</v>
      </c>
      <c r="N397" t="n">
        <v>0</v>
      </c>
      <c r="O397" t="n">
        <v>0</v>
      </c>
      <c r="P397" t="n">
        <v>0</v>
      </c>
      <c r="Q397" t="n">
        <v>0</v>
      </c>
      <c r="R397" s="2" t="inlineStr"/>
    </row>
    <row r="398" ht="15" customHeight="1">
      <c r="A398" t="inlineStr">
        <is>
          <t>A 67859-2021</t>
        </is>
      </c>
      <c r="B398" s="1" t="n">
        <v>44525</v>
      </c>
      <c r="C398" s="1" t="n">
        <v>45798</v>
      </c>
      <c r="D398" t="inlineStr">
        <is>
          <t>UPPSALA LÄN</t>
        </is>
      </c>
      <c r="E398" t="inlineStr">
        <is>
          <t>ÖSTHAMMAR</t>
        </is>
      </c>
      <c r="G398" t="n">
        <v>1.9</v>
      </c>
      <c r="H398" t="n">
        <v>0</v>
      </c>
      <c r="I398" t="n">
        <v>0</v>
      </c>
      <c r="J398" t="n">
        <v>0</v>
      </c>
      <c r="K398" t="n">
        <v>0</v>
      </c>
      <c r="L398" t="n">
        <v>0</v>
      </c>
      <c r="M398" t="n">
        <v>0</v>
      </c>
      <c r="N398" t="n">
        <v>0</v>
      </c>
      <c r="O398" t="n">
        <v>0</v>
      </c>
      <c r="P398" t="n">
        <v>0</v>
      </c>
      <c r="Q398" t="n">
        <v>0</v>
      </c>
      <c r="R398" s="2" t="inlineStr"/>
    </row>
    <row r="399" ht="15" customHeight="1">
      <c r="A399" t="inlineStr">
        <is>
          <t>A 67848-2021</t>
        </is>
      </c>
      <c r="B399" s="1" t="n">
        <v>44525</v>
      </c>
      <c r="C399" s="1" t="n">
        <v>45798</v>
      </c>
      <c r="D399" t="inlineStr">
        <is>
          <t>UPPSALA LÄN</t>
        </is>
      </c>
      <c r="E399" t="inlineStr">
        <is>
          <t>ÖSTHAMMAR</t>
        </is>
      </c>
      <c r="G399" t="n">
        <v>1</v>
      </c>
      <c r="H399" t="n">
        <v>0</v>
      </c>
      <c r="I399" t="n">
        <v>0</v>
      </c>
      <c r="J399" t="n">
        <v>0</v>
      </c>
      <c r="K399" t="n">
        <v>0</v>
      </c>
      <c r="L399" t="n">
        <v>0</v>
      </c>
      <c r="M399" t="n">
        <v>0</v>
      </c>
      <c r="N399" t="n">
        <v>0</v>
      </c>
      <c r="O399" t="n">
        <v>0</v>
      </c>
      <c r="P399" t="n">
        <v>0</v>
      </c>
      <c r="Q399" t="n">
        <v>0</v>
      </c>
      <c r="R399" s="2" t="inlineStr"/>
    </row>
    <row r="400" ht="15" customHeight="1">
      <c r="A400" t="inlineStr">
        <is>
          <t>A 69505-2021</t>
        </is>
      </c>
      <c r="B400" s="1" t="n">
        <v>44531</v>
      </c>
      <c r="C400" s="1" t="n">
        <v>45798</v>
      </c>
      <c r="D400" t="inlineStr">
        <is>
          <t>UPPSALA LÄN</t>
        </is>
      </c>
      <c r="E400" t="inlineStr">
        <is>
          <t>ÖSTHAMMAR</t>
        </is>
      </c>
      <c r="F400" t="inlineStr">
        <is>
          <t>Bergvik skog öst AB</t>
        </is>
      </c>
      <c r="G400" t="n">
        <v>5.4</v>
      </c>
      <c r="H400" t="n">
        <v>0</v>
      </c>
      <c r="I400" t="n">
        <v>0</v>
      </c>
      <c r="J400" t="n">
        <v>0</v>
      </c>
      <c r="K400" t="n">
        <v>0</v>
      </c>
      <c r="L400" t="n">
        <v>0</v>
      </c>
      <c r="M400" t="n">
        <v>0</v>
      </c>
      <c r="N400" t="n">
        <v>0</v>
      </c>
      <c r="O400" t="n">
        <v>0</v>
      </c>
      <c r="P400" t="n">
        <v>0</v>
      </c>
      <c r="Q400" t="n">
        <v>0</v>
      </c>
      <c r="R400" s="2" t="inlineStr"/>
    </row>
    <row r="401" ht="15" customHeight="1">
      <c r="A401" t="inlineStr">
        <is>
          <t>A 69411-2021</t>
        </is>
      </c>
      <c r="B401" s="1" t="n">
        <v>44531</v>
      </c>
      <c r="C401" s="1" t="n">
        <v>45798</v>
      </c>
      <c r="D401" t="inlineStr">
        <is>
          <t>UPPSALA LÄN</t>
        </is>
      </c>
      <c r="E401" t="inlineStr">
        <is>
          <t>ÖSTHAMMAR</t>
        </is>
      </c>
      <c r="F401" t="inlineStr">
        <is>
          <t>Bergvik skog öst AB</t>
        </is>
      </c>
      <c r="G401" t="n">
        <v>1.1</v>
      </c>
      <c r="H401" t="n">
        <v>0</v>
      </c>
      <c r="I401" t="n">
        <v>0</v>
      </c>
      <c r="J401" t="n">
        <v>0</v>
      </c>
      <c r="K401" t="n">
        <v>0</v>
      </c>
      <c r="L401" t="n">
        <v>0</v>
      </c>
      <c r="M401" t="n">
        <v>0</v>
      </c>
      <c r="N401" t="n">
        <v>0</v>
      </c>
      <c r="O401" t="n">
        <v>0</v>
      </c>
      <c r="P401" t="n">
        <v>0</v>
      </c>
      <c r="Q401" t="n">
        <v>0</v>
      </c>
      <c r="R401" s="2" t="inlineStr"/>
    </row>
    <row r="402" ht="15" customHeight="1">
      <c r="A402" t="inlineStr">
        <is>
          <t>A 69518-2021</t>
        </is>
      </c>
      <c r="B402" s="1" t="n">
        <v>44531</v>
      </c>
      <c r="C402" s="1" t="n">
        <v>45798</v>
      </c>
      <c r="D402" t="inlineStr">
        <is>
          <t>UPPSALA LÄN</t>
        </is>
      </c>
      <c r="E402" t="inlineStr">
        <is>
          <t>ÖSTHAMMAR</t>
        </is>
      </c>
      <c r="G402" t="n">
        <v>4.5</v>
      </c>
      <c r="H402" t="n">
        <v>0</v>
      </c>
      <c r="I402" t="n">
        <v>0</v>
      </c>
      <c r="J402" t="n">
        <v>0</v>
      </c>
      <c r="K402" t="n">
        <v>0</v>
      </c>
      <c r="L402" t="n">
        <v>0</v>
      </c>
      <c r="M402" t="n">
        <v>0</v>
      </c>
      <c r="N402" t="n">
        <v>0</v>
      </c>
      <c r="O402" t="n">
        <v>0</v>
      </c>
      <c r="P402" t="n">
        <v>0</v>
      </c>
      <c r="Q402" t="n">
        <v>0</v>
      </c>
      <c r="R402" s="2" t="inlineStr"/>
    </row>
    <row r="403" ht="15" customHeight="1">
      <c r="A403" t="inlineStr">
        <is>
          <t>A 70008-2021</t>
        </is>
      </c>
      <c r="B403" s="1" t="n">
        <v>44533</v>
      </c>
      <c r="C403" s="1" t="n">
        <v>45798</v>
      </c>
      <c r="D403" t="inlineStr">
        <is>
          <t>UPPSALA LÄN</t>
        </is>
      </c>
      <c r="E403" t="inlineStr">
        <is>
          <t>ÖSTHAMMAR</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70408-2021</t>
        </is>
      </c>
      <c r="B404" s="1" t="n">
        <v>44536</v>
      </c>
      <c r="C404" s="1" t="n">
        <v>45798</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72627-2021</t>
        </is>
      </c>
      <c r="B405" s="1" t="n">
        <v>44546</v>
      </c>
      <c r="C405" s="1" t="n">
        <v>45798</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72637-2021</t>
        </is>
      </c>
      <c r="B406" s="1" t="n">
        <v>44546</v>
      </c>
      <c r="C406" s="1" t="n">
        <v>45798</v>
      </c>
      <c r="D406" t="inlineStr">
        <is>
          <t>UPPSALA LÄN</t>
        </is>
      </c>
      <c r="E406" t="inlineStr">
        <is>
          <t>ÖSTHAMMAR</t>
        </is>
      </c>
      <c r="G406" t="n">
        <v>2.5</v>
      </c>
      <c r="H406" t="n">
        <v>0</v>
      </c>
      <c r="I406" t="n">
        <v>0</v>
      </c>
      <c r="J406" t="n">
        <v>0</v>
      </c>
      <c r="K406" t="n">
        <v>0</v>
      </c>
      <c r="L406" t="n">
        <v>0</v>
      </c>
      <c r="M406" t="n">
        <v>0</v>
      </c>
      <c r="N406" t="n">
        <v>0</v>
      </c>
      <c r="O406" t="n">
        <v>0</v>
      </c>
      <c r="P406" t="n">
        <v>0</v>
      </c>
      <c r="Q406" t="n">
        <v>0</v>
      </c>
      <c r="R406" s="2" t="inlineStr"/>
    </row>
    <row r="407" ht="15" customHeight="1">
      <c r="A407" t="inlineStr">
        <is>
          <t>A 72969-2021</t>
        </is>
      </c>
      <c r="B407" s="1" t="n">
        <v>44548</v>
      </c>
      <c r="C407" s="1" t="n">
        <v>45798</v>
      </c>
      <c r="D407" t="inlineStr">
        <is>
          <t>UPPSALA LÄN</t>
        </is>
      </c>
      <c r="E407" t="inlineStr">
        <is>
          <t>ÖSTHAMMAR</t>
        </is>
      </c>
      <c r="F407" t="inlineStr">
        <is>
          <t>Bergvik skog öst AB</t>
        </is>
      </c>
      <c r="G407" t="n">
        <v>8</v>
      </c>
      <c r="H407" t="n">
        <v>0</v>
      </c>
      <c r="I407" t="n">
        <v>0</v>
      </c>
      <c r="J407" t="n">
        <v>0</v>
      </c>
      <c r="K407" t="n">
        <v>0</v>
      </c>
      <c r="L407" t="n">
        <v>0</v>
      </c>
      <c r="M407" t="n">
        <v>0</v>
      </c>
      <c r="N407" t="n">
        <v>0</v>
      </c>
      <c r="O407" t="n">
        <v>0</v>
      </c>
      <c r="P407" t="n">
        <v>0</v>
      </c>
      <c r="Q407" t="n">
        <v>0</v>
      </c>
      <c r="R407" s="2" t="inlineStr"/>
    </row>
    <row r="408" ht="15" customHeight="1">
      <c r="A408" t="inlineStr">
        <is>
          <t>A 73483-2021</t>
        </is>
      </c>
      <c r="B408" s="1" t="n">
        <v>44550</v>
      </c>
      <c r="C408" s="1" t="n">
        <v>45798</v>
      </c>
      <c r="D408" t="inlineStr">
        <is>
          <t>UPPSALA LÄN</t>
        </is>
      </c>
      <c r="E408" t="inlineStr">
        <is>
          <t>ÖSTHAMMAR</t>
        </is>
      </c>
      <c r="G408" t="n">
        <v>2.8</v>
      </c>
      <c r="H408" t="n">
        <v>0</v>
      </c>
      <c r="I408" t="n">
        <v>0</v>
      </c>
      <c r="J408" t="n">
        <v>0</v>
      </c>
      <c r="K408" t="n">
        <v>0</v>
      </c>
      <c r="L408" t="n">
        <v>0</v>
      </c>
      <c r="M408" t="n">
        <v>0</v>
      </c>
      <c r="N408" t="n">
        <v>0</v>
      </c>
      <c r="O408" t="n">
        <v>0</v>
      </c>
      <c r="P408" t="n">
        <v>0</v>
      </c>
      <c r="Q408" t="n">
        <v>0</v>
      </c>
      <c r="R408" s="2" t="inlineStr"/>
    </row>
    <row r="409" ht="15" customHeight="1">
      <c r="A409" t="inlineStr">
        <is>
          <t>A 73592-2021</t>
        </is>
      </c>
      <c r="B409" s="1" t="n">
        <v>44552</v>
      </c>
      <c r="C409" s="1" t="n">
        <v>45798</v>
      </c>
      <c r="D409" t="inlineStr">
        <is>
          <t>UPPSALA LÄN</t>
        </is>
      </c>
      <c r="E409" t="inlineStr">
        <is>
          <t>ÖSTHAMMAR</t>
        </is>
      </c>
      <c r="G409" t="n">
        <v>1.7</v>
      </c>
      <c r="H409" t="n">
        <v>0</v>
      </c>
      <c r="I409" t="n">
        <v>0</v>
      </c>
      <c r="J409" t="n">
        <v>0</v>
      </c>
      <c r="K409" t="n">
        <v>0</v>
      </c>
      <c r="L409" t="n">
        <v>0</v>
      </c>
      <c r="M409" t="n">
        <v>0</v>
      </c>
      <c r="N409" t="n">
        <v>0</v>
      </c>
      <c r="O409" t="n">
        <v>0</v>
      </c>
      <c r="P409" t="n">
        <v>0</v>
      </c>
      <c r="Q409" t="n">
        <v>0</v>
      </c>
      <c r="R409" s="2" t="inlineStr"/>
    </row>
    <row r="410" ht="15" customHeight="1">
      <c r="A410" t="inlineStr">
        <is>
          <t>A 73965-2021</t>
        </is>
      </c>
      <c r="B410" s="1" t="n">
        <v>44553</v>
      </c>
      <c r="C410" s="1" t="n">
        <v>45798</v>
      </c>
      <c r="D410" t="inlineStr">
        <is>
          <t>UPPSALA LÄN</t>
        </is>
      </c>
      <c r="E410" t="inlineStr">
        <is>
          <t>ÖSTHAMMAR</t>
        </is>
      </c>
      <c r="F410" t="inlineStr">
        <is>
          <t>Bergvik skog öst AB</t>
        </is>
      </c>
      <c r="G410" t="n">
        <v>1.3</v>
      </c>
      <c r="H410" t="n">
        <v>0</v>
      </c>
      <c r="I410" t="n">
        <v>0</v>
      </c>
      <c r="J410" t="n">
        <v>0</v>
      </c>
      <c r="K410" t="n">
        <v>0</v>
      </c>
      <c r="L410" t="n">
        <v>0</v>
      </c>
      <c r="M410" t="n">
        <v>0</v>
      </c>
      <c r="N410" t="n">
        <v>0</v>
      </c>
      <c r="O410" t="n">
        <v>0</v>
      </c>
      <c r="P410" t="n">
        <v>0</v>
      </c>
      <c r="Q410" t="n">
        <v>0</v>
      </c>
      <c r="R410" s="2" t="inlineStr"/>
    </row>
    <row r="411" ht="15" customHeight="1">
      <c r="A411" t="inlineStr">
        <is>
          <t>A 73982-2021</t>
        </is>
      </c>
      <c r="B411" s="1" t="n">
        <v>44555</v>
      </c>
      <c r="C411" s="1" t="n">
        <v>45798</v>
      </c>
      <c r="D411" t="inlineStr">
        <is>
          <t>UPPSALA LÄN</t>
        </is>
      </c>
      <c r="E411" t="inlineStr">
        <is>
          <t>ÖSTHAMMAR</t>
        </is>
      </c>
      <c r="G411" t="n">
        <v>0.9</v>
      </c>
      <c r="H411" t="n">
        <v>0</v>
      </c>
      <c r="I411" t="n">
        <v>0</v>
      </c>
      <c r="J411" t="n">
        <v>0</v>
      </c>
      <c r="K411" t="n">
        <v>0</v>
      </c>
      <c r="L411" t="n">
        <v>0</v>
      </c>
      <c r="M411" t="n">
        <v>0</v>
      </c>
      <c r="N411" t="n">
        <v>0</v>
      </c>
      <c r="O411" t="n">
        <v>0</v>
      </c>
      <c r="P411" t="n">
        <v>0</v>
      </c>
      <c r="Q411" t="n">
        <v>0</v>
      </c>
      <c r="R411" s="2" t="inlineStr"/>
    </row>
    <row r="412" ht="15" customHeight="1">
      <c r="A412" t="inlineStr">
        <is>
          <t>A 73983-2021</t>
        </is>
      </c>
      <c r="B412" s="1" t="n">
        <v>44555</v>
      </c>
      <c r="C412" s="1" t="n">
        <v>45798</v>
      </c>
      <c r="D412" t="inlineStr">
        <is>
          <t>UPPSALA LÄN</t>
        </is>
      </c>
      <c r="E412" t="inlineStr">
        <is>
          <t>ÖSTHAMMAR</t>
        </is>
      </c>
      <c r="G412" t="n">
        <v>0.6</v>
      </c>
      <c r="H412" t="n">
        <v>0</v>
      </c>
      <c r="I412" t="n">
        <v>0</v>
      </c>
      <c r="J412" t="n">
        <v>0</v>
      </c>
      <c r="K412" t="n">
        <v>0</v>
      </c>
      <c r="L412" t="n">
        <v>0</v>
      </c>
      <c r="M412" t="n">
        <v>0</v>
      </c>
      <c r="N412" t="n">
        <v>0</v>
      </c>
      <c r="O412" t="n">
        <v>0</v>
      </c>
      <c r="P412" t="n">
        <v>0</v>
      </c>
      <c r="Q412" t="n">
        <v>0</v>
      </c>
      <c r="R412" s="2" t="inlineStr"/>
    </row>
    <row r="413" ht="15" customHeight="1">
      <c r="A413" t="inlineStr">
        <is>
          <t>A 74429-2021</t>
        </is>
      </c>
      <c r="B413" s="1" t="n">
        <v>44560</v>
      </c>
      <c r="C413" s="1" t="n">
        <v>45798</v>
      </c>
      <c r="D413" t="inlineStr">
        <is>
          <t>UPPSALA LÄN</t>
        </is>
      </c>
      <c r="E413" t="inlineStr">
        <is>
          <t>ÖSTHAMMAR</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74467-2021</t>
        </is>
      </c>
      <c r="B414" s="1" t="n">
        <v>44560</v>
      </c>
      <c r="C414" s="1" t="n">
        <v>45798</v>
      </c>
      <c r="D414" t="inlineStr">
        <is>
          <t>UPPSALA LÄN</t>
        </is>
      </c>
      <c r="E414" t="inlineStr">
        <is>
          <t>ÖSTHAMMAR</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74428-2021</t>
        </is>
      </c>
      <c r="B415" s="1" t="n">
        <v>44560</v>
      </c>
      <c r="C415" s="1" t="n">
        <v>45798</v>
      </c>
      <c r="D415" t="inlineStr">
        <is>
          <t>UPPSALA LÄN</t>
        </is>
      </c>
      <c r="E415" t="inlineStr">
        <is>
          <t>ÖSTHAMMAR</t>
        </is>
      </c>
      <c r="F415" t="inlineStr">
        <is>
          <t>Bergvik skog öst AB</t>
        </is>
      </c>
      <c r="G415" t="n">
        <v>1.2</v>
      </c>
      <c r="H415" t="n">
        <v>0</v>
      </c>
      <c r="I415" t="n">
        <v>0</v>
      </c>
      <c r="J415" t="n">
        <v>0</v>
      </c>
      <c r="K415" t="n">
        <v>0</v>
      </c>
      <c r="L415" t="n">
        <v>0</v>
      </c>
      <c r="M415" t="n">
        <v>0</v>
      </c>
      <c r="N415" t="n">
        <v>0</v>
      </c>
      <c r="O415" t="n">
        <v>0</v>
      </c>
      <c r="P415" t="n">
        <v>0</v>
      </c>
      <c r="Q415" t="n">
        <v>0</v>
      </c>
      <c r="R415" s="2" t="inlineStr"/>
    </row>
    <row r="416" ht="15" customHeight="1">
      <c r="A416" t="inlineStr">
        <is>
          <t>A 74436-2021</t>
        </is>
      </c>
      <c r="B416" s="1" t="n">
        <v>44560</v>
      </c>
      <c r="C416" s="1" t="n">
        <v>45798</v>
      </c>
      <c r="D416" t="inlineStr">
        <is>
          <t>UPPSALA LÄN</t>
        </is>
      </c>
      <c r="E416" t="inlineStr">
        <is>
          <t>ÖSTHAMMAR</t>
        </is>
      </c>
      <c r="F416" t="inlineStr">
        <is>
          <t>Bergvik skog öst AB</t>
        </is>
      </c>
      <c r="G416" t="n">
        <v>1</v>
      </c>
      <c r="H416" t="n">
        <v>0</v>
      </c>
      <c r="I416" t="n">
        <v>0</v>
      </c>
      <c r="J416" t="n">
        <v>0</v>
      </c>
      <c r="K416" t="n">
        <v>0</v>
      </c>
      <c r="L416" t="n">
        <v>0</v>
      </c>
      <c r="M416" t="n">
        <v>0</v>
      </c>
      <c r="N416" t="n">
        <v>0</v>
      </c>
      <c r="O416" t="n">
        <v>0</v>
      </c>
      <c r="P416" t="n">
        <v>0</v>
      </c>
      <c r="Q416" t="n">
        <v>0</v>
      </c>
      <c r="R416" s="2" t="inlineStr"/>
    </row>
    <row r="417" ht="15" customHeight="1">
      <c r="A417" t="inlineStr">
        <is>
          <t>A 1238-2022</t>
        </is>
      </c>
      <c r="B417" s="1" t="n">
        <v>44572</v>
      </c>
      <c r="C417" s="1" t="n">
        <v>45798</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1609-2022</t>
        </is>
      </c>
      <c r="B418" s="1" t="n">
        <v>44573</v>
      </c>
      <c r="C418" s="1" t="n">
        <v>45798</v>
      </c>
      <c r="D418" t="inlineStr">
        <is>
          <t>UPPSALA LÄN</t>
        </is>
      </c>
      <c r="E418" t="inlineStr">
        <is>
          <t>ÖSTHAMMAR</t>
        </is>
      </c>
      <c r="G418" t="n">
        <v>5.3</v>
      </c>
      <c r="H418" t="n">
        <v>0</v>
      </c>
      <c r="I418" t="n">
        <v>0</v>
      </c>
      <c r="J418" t="n">
        <v>0</v>
      </c>
      <c r="K418" t="n">
        <v>0</v>
      </c>
      <c r="L418" t="n">
        <v>0</v>
      </c>
      <c r="M418" t="n">
        <v>0</v>
      </c>
      <c r="N418" t="n">
        <v>0</v>
      </c>
      <c r="O418" t="n">
        <v>0</v>
      </c>
      <c r="P418" t="n">
        <v>0</v>
      </c>
      <c r="Q418" t="n">
        <v>0</v>
      </c>
      <c r="R418" s="2" t="inlineStr"/>
    </row>
    <row r="419" ht="15" customHeight="1">
      <c r="A419" t="inlineStr">
        <is>
          <t>A 2085-2022</t>
        </is>
      </c>
      <c r="B419" s="1" t="n">
        <v>44576</v>
      </c>
      <c r="C419" s="1" t="n">
        <v>45798</v>
      </c>
      <c r="D419" t="inlineStr">
        <is>
          <t>UPPSALA LÄN</t>
        </is>
      </c>
      <c r="E419" t="inlineStr">
        <is>
          <t>ÖSTHAMMAR</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2108-2022</t>
        </is>
      </c>
      <c r="B420" s="1" t="n">
        <v>44577</v>
      </c>
      <c r="C420" s="1" t="n">
        <v>45798</v>
      </c>
      <c r="D420" t="inlineStr">
        <is>
          <t>UPPSALA LÄN</t>
        </is>
      </c>
      <c r="E420" t="inlineStr">
        <is>
          <t>ÖSTHAMMAR</t>
        </is>
      </c>
      <c r="F420" t="inlineStr">
        <is>
          <t>Bergvik skog öst AB</t>
        </is>
      </c>
      <c r="G420" t="n">
        <v>0.7</v>
      </c>
      <c r="H420" t="n">
        <v>0</v>
      </c>
      <c r="I420" t="n">
        <v>0</v>
      </c>
      <c r="J420" t="n">
        <v>0</v>
      </c>
      <c r="K420" t="n">
        <v>0</v>
      </c>
      <c r="L420" t="n">
        <v>0</v>
      </c>
      <c r="M420" t="n">
        <v>0</v>
      </c>
      <c r="N420" t="n">
        <v>0</v>
      </c>
      <c r="O420" t="n">
        <v>0</v>
      </c>
      <c r="P420" t="n">
        <v>0</v>
      </c>
      <c r="Q420" t="n">
        <v>0</v>
      </c>
      <c r="R420" s="2" t="inlineStr"/>
    </row>
    <row r="421" ht="15" customHeight="1">
      <c r="A421" t="inlineStr">
        <is>
          <t>A 2168-2022</t>
        </is>
      </c>
      <c r="B421" s="1" t="n">
        <v>44578</v>
      </c>
      <c r="C421" s="1" t="n">
        <v>45798</v>
      </c>
      <c r="D421" t="inlineStr">
        <is>
          <t>UPPSALA LÄN</t>
        </is>
      </c>
      <c r="E421" t="inlineStr">
        <is>
          <t>ÖSTHAMMAR</t>
        </is>
      </c>
      <c r="G421" t="n">
        <v>2.9</v>
      </c>
      <c r="H421" t="n">
        <v>0</v>
      </c>
      <c r="I421" t="n">
        <v>0</v>
      </c>
      <c r="J421" t="n">
        <v>0</v>
      </c>
      <c r="K421" t="n">
        <v>0</v>
      </c>
      <c r="L421" t="n">
        <v>0</v>
      </c>
      <c r="M421" t="n">
        <v>0</v>
      </c>
      <c r="N421" t="n">
        <v>0</v>
      </c>
      <c r="O421" t="n">
        <v>0</v>
      </c>
      <c r="P421" t="n">
        <v>0</v>
      </c>
      <c r="Q421" t="n">
        <v>0</v>
      </c>
      <c r="R421" s="2" t="inlineStr"/>
    </row>
    <row r="422" ht="15" customHeight="1">
      <c r="A422" t="inlineStr">
        <is>
          <t>A 3638-2022</t>
        </is>
      </c>
      <c r="B422" s="1" t="n">
        <v>44578</v>
      </c>
      <c r="C422" s="1" t="n">
        <v>45798</v>
      </c>
      <c r="D422" t="inlineStr">
        <is>
          <t>UPPSALA LÄN</t>
        </is>
      </c>
      <c r="E422" t="inlineStr">
        <is>
          <t>ÖSTHAMMAR</t>
        </is>
      </c>
      <c r="G422" t="n">
        <v>1.7</v>
      </c>
      <c r="H422" t="n">
        <v>0</v>
      </c>
      <c r="I422" t="n">
        <v>0</v>
      </c>
      <c r="J422" t="n">
        <v>0</v>
      </c>
      <c r="K422" t="n">
        <v>0</v>
      </c>
      <c r="L422" t="n">
        <v>0</v>
      </c>
      <c r="M422" t="n">
        <v>0</v>
      </c>
      <c r="N422" t="n">
        <v>0</v>
      </c>
      <c r="O422" t="n">
        <v>0</v>
      </c>
      <c r="P422" t="n">
        <v>0</v>
      </c>
      <c r="Q422" t="n">
        <v>0</v>
      </c>
      <c r="R422" s="2" t="inlineStr"/>
    </row>
    <row r="423" ht="15" customHeight="1">
      <c r="A423" t="inlineStr">
        <is>
          <t>A 3725-2022</t>
        </is>
      </c>
      <c r="B423" s="1" t="n">
        <v>44586</v>
      </c>
      <c r="C423" s="1" t="n">
        <v>45798</v>
      </c>
      <c r="D423" t="inlineStr">
        <is>
          <t>UPPSALA LÄN</t>
        </is>
      </c>
      <c r="E423" t="inlineStr">
        <is>
          <t>ÖSTHAMMAR</t>
        </is>
      </c>
      <c r="G423" t="n">
        <v>2</v>
      </c>
      <c r="H423" t="n">
        <v>0</v>
      </c>
      <c r="I423" t="n">
        <v>0</v>
      </c>
      <c r="J423" t="n">
        <v>0</v>
      </c>
      <c r="K423" t="n">
        <v>0</v>
      </c>
      <c r="L423" t="n">
        <v>0</v>
      </c>
      <c r="M423" t="n">
        <v>0</v>
      </c>
      <c r="N423" t="n">
        <v>0</v>
      </c>
      <c r="O423" t="n">
        <v>0</v>
      </c>
      <c r="P423" t="n">
        <v>0</v>
      </c>
      <c r="Q423" t="n">
        <v>0</v>
      </c>
      <c r="R423" s="2" t="inlineStr"/>
    </row>
    <row r="424" ht="15" customHeight="1">
      <c r="A424" t="inlineStr">
        <is>
          <t>A 3732-2022</t>
        </is>
      </c>
      <c r="B424" s="1" t="n">
        <v>44586</v>
      </c>
      <c r="C424" s="1" t="n">
        <v>45798</v>
      </c>
      <c r="D424" t="inlineStr">
        <is>
          <t>UPPSALA LÄN</t>
        </is>
      </c>
      <c r="E424" t="inlineStr">
        <is>
          <t>ÖSTHAMMAR</t>
        </is>
      </c>
      <c r="F424" t="inlineStr">
        <is>
          <t>Bergvik skog öst AB</t>
        </is>
      </c>
      <c r="G424" t="n">
        <v>3.6</v>
      </c>
      <c r="H424" t="n">
        <v>0</v>
      </c>
      <c r="I424" t="n">
        <v>0</v>
      </c>
      <c r="J424" t="n">
        <v>0</v>
      </c>
      <c r="K424" t="n">
        <v>0</v>
      </c>
      <c r="L424" t="n">
        <v>0</v>
      </c>
      <c r="M424" t="n">
        <v>0</v>
      </c>
      <c r="N424" t="n">
        <v>0</v>
      </c>
      <c r="O424" t="n">
        <v>0</v>
      </c>
      <c r="P424" t="n">
        <v>0</v>
      </c>
      <c r="Q424" t="n">
        <v>0</v>
      </c>
      <c r="R424" s="2" t="inlineStr"/>
    </row>
    <row r="425" ht="15" customHeight="1">
      <c r="A425" t="inlineStr">
        <is>
          <t>A 3740-2022</t>
        </is>
      </c>
      <c r="B425" s="1" t="n">
        <v>44586</v>
      </c>
      <c r="C425" s="1" t="n">
        <v>45798</v>
      </c>
      <c r="D425" t="inlineStr">
        <is>
          <t>UPPSALA LÄN</t>
        </is>
      </c>
      <c r="E425" t="inlineStr">
        <is>
          <t>ÖSTHAMMAR</t>
        </is>
      </c>
      <c r="F425" t="inlineStr">
        <is>
          <t>Bergvik skog öst AB</t>
        </is>
      </c>
      <c r="G425" t="n">
        <v>7.7</v>
      </c>
      <c r="H425" t="n">
        <v>0</v>
      </c>
      <c r="I425" t="n">
        <v>0</v>
      </c>
      <c r="J425" t="n">
        <v>0</v>
      </c>
      <c r="K425" t="n">
        <v>0</v>
      </c>
      <c r="L425" t="n">
        <v>0</v>
      </c>
      <c r="M425" t="n">
        <v>0</v>
      </c>
      <c r="N425" t="n">
        <v>0</v>
      </c>
      <c r="O425" t="n">
        <v>0</v>
      </c>
      <c r="P425" t="n">
        <v>0</v>
      </c>
      <c r="Q425" t="n">
        <v>0</v>
      </c>
      <c r="R425" s="2" t="inlineStr"/>
    </row>
    <row r="426" ht="15" customHeight="1">
      <c r="A426" t="inlineStr">
        <is>
          <t>A 3991-2022</t>
        </is>
      </c>
      <c r="B426" s="1" t="n">
        <v>44587</v>
      </c>
      <c r="C426" s="1" t="n">
        <v>45798</v>
      </c>
      <c r="D426" t="inlineStr">
        <is>
          <t>UPPSALA LÄN</t>
        </is>
      </c>
      <c r="E426" t="inlineStr">
        <is>
          <t>ÖSTHAMMAR</t>
        </is>
      </c>
      <c r="F426" t="inlineStr">
        <is>
          <t>Bergvik skog öst AB</t>
        </is>
      </c>
      <c r="G426" t="n">
        <v>3.7</v>
      </c>
      <c r="H426" t="n">
        <v>0</v>
      </c>
      <c r="I426" t="n">
        <v>0</v>
      </c>
      <c r="J426" t="n">
        <v>0</v>
      </c>
      <c r="K426" t="n">
        <v>0</v>
      </c>
      <c r="L426" t="n">
        <v>0</v>
      </c>
      <c r="M426" t="n">
        <v>0</v>
      </c>
      <c r="N426" t="n">
        <v>0</v>
      </c>
      <c r="O426" t="n">
        <v>0</v>
      </c>
      <c r="P426" t="n">
        <v>0</v>
      </c>
      <c r="Q426" t="n">
        <v>0</v>
      </c>
      <c r="R426" s="2" t="inlineStr"/>
    </row>
    <row r="427" ht="15" customHeight="1">
      <c r="A427" t="inlineStr">
        <is>
          <t>A 4101-2022</t>
        </is>
      </c>
      <c r="B427" s="1" t="n">
        <v>44588</v>
      </c>
      <c r="C427" s="1" t="n">
        <v>45798</v>
      </c>
      <c r="D427" t="inlineStr">
        <is>
          <t>UPPSALA LÄN</t>
        </is>
      </c>
      <c r="E427" t="inlineStr">
        <is>
          <t>ÖSTHAMMAR</t>
        </is>
      </c>
      <c r="G427" t="n">
        <v>4.4</v>
      </c>
      <c r="H427" t="n">
        <v>0</v>
      </c>
      <c r="I427" t="n">
        <v>0</v>
      </c>
      <c r="J427" t="n">
        <v>0</v>
      </c>
      <c r="K427" t="n">
        <v>0</v>
      </c>
      <c r="L427" t="n">
        <v>0</v>
      </c>
      <c r="M427" t="n">
        <v>0</v>
      </c>
      <c r="N427" t="n">
        <v>0</v>
      </c>
      <c r="O427" t="n">
        <v>0</v>
      </c>
      <c r="P427" t="n">
        <v>0</v>
      </c>
      <c r="Q427" t="n">
        <v>0</v>
      </c>
      <c r="R427" s="2" t="inlineStr"/>
    </row>
    <row r="428" ht="15" customHeight="1">
      <c r="A428" t="inlineStr">
        <is>
          <t>A 4318-2022</t>
        </is>
      </c>
      <c r="B428" s="1" t="n">
        <v>44588</v>
      </c>
      <c r="C428" s="1" t="n">
        <v>45798</v>
      </c>
      <c r="D428" t="inlineStr">
        <is>
          <t>UPPSALA LÄN</t>
        </is>
      </c>
      <c r="E428" t="inlineStr">
        <is>
          <t>ÖSTHAMMAR</t>
        </is>
      </c>
      <c r="F428" t="inlineStr">
        <is>
          <t>Bergvik skog öst AB</t>
        </is>
      </c>
      <c r="G428" t="n">
        <v>9.6</v>
      </c>
      <c r="H428" t="n">
        <v>0</v>
      </c>
      <c r="I428" t="n">
        <v>0</v>
      </c>
      <c r="J428" t="n">
        <v>0</v>
      </c>
      <c r="K428" t="n">
        <v>0</v>
      </c>
      <c r="L428" t="n">
        <v>0</v>
      </c>
      <c r="M428" t="n">
        <v>0</v>
      </c>
      <c r="N428" t="n">
        <v>0</v>
      </c>
      <c r="O428" t="n">
        <v>0</v>
      </c>
      <c r="P428" t="n">
        <v>0</v>
      </c>
      <c r="Q428" t="n">
        <v>0</v>
      </c>
      <c r="R428" s="2" t="inlineStr"/>
    </row>
    <row r="429" ht="15" customHeight="1">
      <c r="A429" t="inlineStr">
        <is>
          <t>A 4315-2022</t>
        </is>
      </c>
      <c r="B429" s="1" t="n">
        <v>44588</v>
      </c>
      <c r="C429" s="1" t="n">
        <v>45798</v>
      </c>
      <c r="D429" t="inlineStr">
        <is>
          <t>UPPSALA LÄN</t>
        </is>
      </c>
      <c r="E429" t="inlineStr">
        <is>
          <t>ÖSTHAMMAR</t>
        </is>
      </c>
      <c r="F429" t="inlineStr">
        <is>
          <t>Bergvik skog öst AB</t>
        </is>
      </c>
      <c r="G429" t="n">
        <v>0.5</v>
      </c>
      <c r="H429" t="n">
        <v>0</v>
      </c>
      <c r="I429" t="n">
        <v>0</v>
      </c>
      <c r="J429" t="n">
        <v>0</v>
      </c>
      <c r="K429" t="n">
        <v>0</v>
      </c>
      <c r="L429" t="n">
        <v>0</v>
      </c>
      <c r="M429" t="n">
        <v>0</v>
      </c>
      <c r="N429" t="n">
        <v>0</v>
      </c>
      <c r="O429" t="n">
        <v>0</v>
      </c>
      <c r="P429" t="n">
        <v>0</v>
      </c>
      <c r="Q429" t="n">
        <v>0</v>
      </c>
      <c r="R429" s="2" t="inlineStr"/>
    </row>
    <row r="430" ht="15" customHeight="1">
      <c r="A430" t="inlineStr">
        <is>
          <t>A 4491-2022</t>
        </is>
      </c>
      <c r="B430" s="1" t="n">
        <v>44589</v>
      </c>
      <c r="C430" s="1" t="n">
        <v>45798</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4357-2022</t>
        </is>
      </c>
      <c r="B431" s="1" t="n">
        <v>44589</v>
      </c>
      <c r="C431" s="1" t="n">
        <v>45798</v>
      </c>
      <c r="D431" t="inlineStr">
        <is>
          <t>UPPSALA LÄN</t>
        </is>
      </c>
      <c r="E431" t="inlineStr">
        <is>
          <t>ÖSTHAMMAR</t>
        </is>
      </c>
      <c r="G431" t="n">
        <v>0.7</v>
      </c>
      <c r="H431" t="n">
        <v>0</v>
      </c>
      <c r="I431" t="n">
        <v>0</v>
      </c>
      <c r="J431" t="n">
        <v>0</v>
      </c>
      <c r="K431" t="n">
        <v>0</v>
      </c>
      <c r="L431" t="n">
        <v>0</v>
      </c>
      <c r="M431" t="n">
        <v>0</v>
      </c>
      <c r="N431" t="n">
        <v>0</v>
      </c>
      <c r="O431" t="n">
        <v>0</v>
      </c>
      <c r="P431" t="n">
        <v>0</v>
      </c>
      <c r="Q431" t="n">
        <v>0</v>
      </c>
      <c r="R431" s="2" t="inlineStr"/>
    </row>
    <row r="432" ht="15" customHeight="1">
      <c r="A432" t="inlineStr">
        <is>
          <t>A 4563-2022</t>
        </is>
      </c>
      <c r="B432" s="1" t="n">
        <v>44591</v>
      </c>
      <c r="C432" s="1" t="n">
        <v>45798</v>
      </c>
      <c r="D432" t="inlineStr">
        <is>
          <t>UPPSALA LÄN</t>
        </is>
      </c>
      <c r="E432" t="inlineStr">
        <is>
          <t>ÖSTHAMMAR</t>
        </is>
      </c>
      <c r="F432" t="inlineStr">
        <is>
          <t>Bergvik skog öst AB</t>
        </is>
      </c>
      <c r="G432" t="n">
        <v>1.9</v>
      </c>
      <c r="H432" t="n">
        <v>0</v>
      </c>
      <c r="I432" t="n">
        <v>0</v>
      </c>
      <c r="J432" t="n">
        <v>0</v>
      </c>
      <c r="K432" t="n">
        <v>0</v>
      </c>
      <c r="L432" t="n">
        <v>0</v>
      </c>
      <c r="M432" t="n">
        <v>0</v>
      </c>
      <c r="N432" t="n">
        <v>0</v>
      </c>
      <c r="O432" t="n">
        <v>0</v>
      </c>
      <c r="P432" t="n">
        <v>0</v>
      </c>
      <c r="Q432" t="n">
        <v>0</v>
      </c>
      <c r="R432" s="2" t="inlineStr"/>
    </row>
    <row r="433" ht="15" customHeight="1">
      <c r="A433" t="inlineStr">
        <is>
          <t>A 4562-2022</t>
        </is>
      </c>
      <c r="B433" s="1" t="n">
        <v>44591</v>
      </c>
      <c r="C433" s="1" t="n">
        <v>45798</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4561-2022</t>
        </is>
      </c>
      <c r="B434" s="1" t="n">
        <v>44591</v>
      </c>
      <c r="C434" s="1" t="n">
        <v>45798</v>
      </c>
      <c r="D434" t="inlineStr">
        <is>
          <t>UPPSALA LÄN</t>
        </is>
      </c>
      <c r="E434" t="inlineStr">
        <is>
          <t>ÖSTHAMMAR</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4559-2022</t>
        </is>
      </c>
      <c r="B435" s="1" t="n">
        <v>44591</v>
      </c>
      <c r="C435" s="1" t="n">
        <v>45798</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4565-2022</t>
        </is>
      </c>
      <c r="B436" s="1" t="n">
        <v>44591</v>
      </c>
      <c r="C436" s="1" t="n">
        <v>45798</v>
      </c>
      <c r="D436" t="inlineStr">
        <is>
          <t>UPPSALA LÄN</t>
        </is>
      </c>
      <c r="E436" t="inlineStr">
        <is>
          <t>ÖSTHAMMAR</t>
        </is>
      </c>
      <c r="F436" t="inlineStr">
        <is>
          <t>Bergvik skog öst AB</t>
        </is>
      </c>
      <c r="G436" t="n">
        <v>5.3</v>
      </c>
      <c r="H436" t="n">
        <v>0</v>
      </c>
      <c r="I436" t="n">
        <v>0</v>
      </c>
      <c r="J436" t="n">
        <v>0</v>
      </c>
      <c r="K436" t="n">
        <v>0</v>
      </c>
      <c r="L436" t="n">
        <v>0</v>
      </c>
      <c r="M436" t="n">
        <v>0</v>
      </c>
      <c r="N436" t="n">
        <v>0</v>
      </c>
      <c r="O436" t="n">
        <v>0</v>
      </c>
      <c r="P436" t="n">
        <v>0</v>
      </c>
      <c r="Q436" t="n">
        <v>0</v>
      </c>
      <c r="R436" s="2" t="inlineStr"/>
    </row>
    <row r="437" ht="15" customHeight="1">
      <c r="A437" t="inlineStr">
        <is>
          <t>A 5855-2022</t>
        </is>
      </c>
      <c r="B437" s="1" t="n">
        <v>44596</v>
      </c>
      <c r="C437" s="1" t="n">
        <v>45798</v>
      </c>
      <c r="D437" t="inlineStr">
        <is>
          <t>UPPSALA LÄN</t>
        </is>
      </c>
      <c r="E437" t="inlineStr">
        <is>
          <t>ÖSTHAMMAR</t>
        </is>
      </c>
      <c r="G437" t="n">
        <v>0.9</v>
      </c>
      <c r="H437" t="n">
        <v>0</v>
      </c>
      <c r="I437" t="n">
        <v>0</v>
      </c>
      <c r="J437" t="n">
        <v>0</v>
      </c>
      <c r="K437" t="n">
        <v>0</v>
      </c>
      <c r="L437" t="n">
        <v>0</v>
      </c>
      <c r="M437" t="n">
        <v>0</v>
      </c>
      <c r="N437" t="n">
        <v>0</v>
      </c>
      <c r="O437" t="n">
        <v>0</v>
      </c>
      <c r="P437" t="n">
        <v>0</v>
      </c>
      <c r="Q437" t="n">
        <v>0</v>
      </c>
      <c r="R437" s="2" t="inlineStr"/>
    </row>
    <row r="438" ht="15" customHeight="1">
      <c r="A438" t="inlineStr">
        <is>
          <t>A 5974-2022</t>
        </is>
      </c>
      <c r="B438" s="1" t="n">
        <v>44597</v>
      </c>
      <c r="C438" s="1" t="n">
        <v>45798</v>
      </c>
      <c r="D438" t="inlineStr">
        <is>
          <t>UPPSALA LÄN</t>
        </is>
      </c>
      <c r="E438" t="inlineStr">
        <is>
          <t>ÖSTHAMMAR</t>
        </is>
      </c>
      <c r="G438" t="n">
        <v>1.8</v>
      </c>
      <c r="H438" t="n">
        <v>0</v>
      </c>
      <c r="I438" t="n">
        <v>0</v>
      </c>
      <c r="J438" t="n">
        <v>0</v>
      </c>
      <c r="K438" t="n">
        <v>0</v>
      </c>
      <c r="L438" t="n">
        <v>0</v>
      </c>
      <c r="M438" t="n">
        <v>0</v>
      </c>
      <c r="N438" t="n">
        <v>0</v>
      </c>
      <c r="O438" t="n">
        <v>0</v>
      </c>
      <c r="P438" t="n">
        <v>0</v>
      </c>
      <c r="Q438" t="n">
        <v>0</v>
      </c>
      <c r="R438" s="2" t="inlineStr"/>
    </row>
    <row r="439" ht="15" customHeight="1">
      <c r="A439" t="inlineStr">
        <is>
          <t>A 5933-2022</t>
        </is>
      </c>
      <c r="B439" s="1" t="n">
        <v>44598</v>
      </c>
      <c r="C439" s="1" t="n">
        <v>45798</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5934-2022</t>
        </is>
      </c>
      <c r="B440" s="1" t="n">
        <v>44598</v>
      </c>
      <c r="C440" s="1" t="n">
        <v>45798</v>
      </c>
      <c r="D440" t="inlineStr">
        <is>
          <t>UPPSALA LÄN</t>
        </is>
      </c>
      <c r="E440" t="inlineStr">
        <is>
          <t>ÖSTHAMMAR</t>
        </is>
      </c>
      <c r="F440" t="inlineStr">
        <is>
          <t>Bergvik skog öst AB</t>
        </is>
      </c>
      <c r="G440" t="n">
        <v>2.4</v>
      </c>
      <c r="H440" t="n">
        <v>0</v>
      </c>
      <c r="I440" t="n">
        <v>0</v>
      </c>
      <c r="J440" t="n">
        <v>0</v>
      </c>
      <c r="K440" t="n">
        <v>0</v>
      </c>
      <c r="L440" t="n">
        <v>0</v>
      </c>
      <c r="M440" t="n">
        <v>0</v>
      </c>
      <c r="N440" t="n">
        <v>0</v>
      </c>
      <c r="O440" t="n">
        <v>0</v>
      </c>
      <c r="P440" t="n">
        <v>0</v>
      </c>
      <c r="Q440" t="n">
        <v>0</v>
      </c>
      <c r="R440" s="2" t="inlineStr"/>
    </row>
    <row r="441" ht="15" customHeight="1">
      <c r="A441" t="inlineStr">
        <is>
          <t>A 5932-2022</t>
        </is>
      </c>
      <c r="B441" s="1" t="n">
        <v>44598</v>
      </c>
      <c r="C441" s="1" t="n">
        <v>45798</v>
      </c>
      <c r="D441" t="inlineStr">
        <is>
          <t>UPPSALA LÄN</t>
        </is>
      </c>
      <c r="E441" t="inlineStr">
        <is>
          <t>ÖSTHAMMAR</t>
        </is>
      </c>
      <c r="F441" t="inlineStr">
        <is>
          <t>Bergvik skog öst AB</t>
        </is>
      </c>
      <c r="G441" t="n">
        <v>0.3</v>
      </c>
      <c r="H441" t="n">
        <v>0</v>
      </c>
      <c r="I441" t="n">
        <v>0</v>
      </c>
      <c r="J441" t="n">
        <v>0</v>
      </c>
      <c r="K441" t="n">
        <v>0</v>
      </c>
      <c r="L441" t="n">
        <v>0</v>
      </c>
      <c r="M441" t="n">
        <v>0</v>
      </c>
      <c r="N441" t="n">
        <v>0</v>
      </c>
      <c r="O441" t="n">
        <v>0</v>
      </c>
      <c r="P441" t="n">
        <v>0</v>
      </c>
      <c r="Q441" t="n">
        <v>0</v>
      </c>
      <c r="R441" s="2" t="inlineStr"/>
    </row>
    <row r="442" ht="15" customHeight="1">
      <c r="A442" t="inlineStr">
        <is>
          <t>A 5931-2022</t>
        </is>
      </c>
      <c r="B442" s="1" t="n">
        <v>44598</v>
      </c>
      <c r="C442" s="1" t="n">
        <v>45798</v>
      </c>
      <c r="D442" t="inlineStr">
        <is>
          <t>UPPSALA LÄN</t>
        </is>
      </c>
      <c r="E442" t="inlineStr">
        <is>
          <t>ÖSTHAMMAR</t>
        </is>
      </c>
      <c r="F442" t="inlineStr">
        <is>
          <t>Bergvik skog öst AB</t>
        </is>
      </c>
      <c r="G442" t="n">
        <v>0.7</v>
      </c>
      <c r="H442" t="n">
        <v>0</v>
      </c>
      <c r="I442" t="n">
        <v>0</v>
      </c>
      <c r="J442" t="n">
        <v>0</v>
      </c>
      <c r="K442" t="n">
        <v>0</v>
      </c>
      <c r="L442" t="n">
        <v>0</v>
      </c>
      <c r="M442" t="n">
        <v>0</v>
      </c>
      <c r="N442" t="n">
        <v>0</v>
      </c>
      <c r="O442" t="n">
        <v>0</v>
      </c>
      <c r="P442" t="n">
        <v>0</v>
      </c>
      <c r="Q442" t="n">
        <v>0</v>
      </c>
      <c r="R442" s="2" t="inlineStr"/>
    </row>
    <row r="443" ht="15" customHeight="1">
      <c r="A443" t="inlineStr">
        <is>
          <t>A 6143-2022</t>
        </is>
      </c>
      <c r="B443" s="1" t="n">
        <v>44599</v>
      </c>
      <c r="C443" s="1" t="n">
        <v>45798</v>
      </c>
      <c r="D443" t="inlineStr">
        <is>
          <t>UPPSALA LÄN</t>
        </is>
      </c>
      <c r="E443" t="inlineStr">
        <is>
          <t>ÖSTHAMMAR</t>
        </is>
      </c>
      <c r="G443" t="n">
        <v>3.4</v>
      </c>
      <c r="H443" t="n">
        <v>0</v>
      </c>
      <c r="I443" t="n">
        <v>0</v>
      </c>
      <c r="J443" t="n">
        <v>0</v>
      </c>
      <c r="K443" t="n">
        <v>0</v>
      </c>
      <c r="L443" t="n">
        <v>0</v>
      </c>
      <c r="M443" t="n">
        <v>0</v>
      </c>
      <c r="N443" t="n">
        <v>0</v>
      </c>
      <c r="O443" t="n">
        <v>0</v>
      </c>
      <c r="P443" t="n">
        <v>0</v>
      </c>
      <c r="Q443" t="n">
        <v>0</v>
      </c>
      <c r="R443" s="2" t="inlineStr"/>
    </row>
    <row r="444" ht="15" customHeight="1">
      <c r="A444" t="inlineStr">
        <is>
          <t>A 6153-2022</t>
        </is>
      </c>
      <c r="B444" s="1" t="n">
        <v>44599</v>
      </c>
      <c r="C444" s="1" t="n">
        <v>45798</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6206-2022</t>
        </is>
      </c>
      <c r="B445" s="1" t="n">
        <v>44600</v>
      </c>
      <c r="C445" s="1" t="n">
        <v>45798</v>
      </c>
      <c r="D445" t="inlineStr">
        <is>
          <t>UPPSALA LÄN</t>
        </is>
      </c>
      <c r="E445" t="inlineStr">
        <is>
          <t>ÖSTHAMMAR</t>
        </is>
      </c>
      <c r="G445" t="n">
        <v>7.4</v>
      </c>
      <c r="H445" t="n">
        <v>0</v>
      </c>
      <c r="I445" t="n">
        <v>0</v>
      </c>
      <c r="J445" t="n">
        <v>0</v>
      </c>
      <c r="K445" t="n">
        <v>0</v>
      </c>
      <c r="L445" t="n">
        <v>0</v>
      </c>
      <c r="M445" t="n">
        <v>0</v>
      </c>
      <c r="N445" t="n">
        <v>0</v>
      </c>
      <c r="O445" t="n">
        <v>0</v>
      </c>
      <c r="P445" t="n">
        <v>0</v>
      </c>
      <c r="Q445" t="n">
        <v>0</v>
      </c>
      <c r="R445" s="2" t="inlineStr"/>
    </row>
    <row r="446" ht="15" customHeight="1">
      <c r="A446" t="inlineStr">
        <is>
          <t>A 6313-2022</t>
        </is>
      </c>
      <c r="B446" s="1" t="n">
        <v>44600</v>
      </c>
      <c r="C446" s="1" t="n">
        <v>45798</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6892-2022</t>
        </is>
      </c>
      <c r="B447" s="1" t="n">
        <v>44602</v>
      </c>
      <c r="C447" s="1" t="n">
        <v>45798</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7181-2022</t>
        </is>
      </c>
      <c r="B448" s="1" t="n">
        <v>44605</v>
      </c>
      <c r="C448" s="1" t="n">
        <v>45798</v>
      </c>
      <c r="D448" t="inlineStr">
        <is>
          <t>UPPSALA LÄN</t>
        </is>
      </c>
      <c r="E448" t="inlineStr">
        <is>
          <t>ÖSTHAMMAR</t>
        </is>
      </c>
      <c r="F448" t="inlineStr">
        <is>
          <t>Bergvik skog öst AB</t>
        </is>
      </c>
      <c r="G448" t="n">
        <v>1.4</v>
      </c>
      <c r="H448" t="n">
        <v>0</v>
      </c>
      <c r="I448" t="n">
        <v>0</v>
      </c>
      <c r="J448" t="n">
        <v>0</v>
      </c>
      <c r="K448" t="n">
        <v>0</v>
      </c>
      <c r="L448" t="n">
        <v>0</v>
      </c>
      <c r="M448" t="n">
        <v>0</v>
      </c>
      <c r="N448" t="n">
        <v>0</v>
      </c>
      <c r="O448" t="n">
        <v>0</v>
      </c>
      <c r="P448" t="n">
        <v>0</v>
      </c>
      <c r="Q448" t="n">
        <v>0</v>
      </c>
      <c r="R448" s="2" t="inlineStr"/>
    </row>
    <row r="449" ht="15" customHeight="1">
      <c r="A449" t="inlineStr">
        <is>
          <t>A 7302-2022</t>
        </is>
      </c>
      <c r="B449" s="1" t="n">
        <v>44606</v>
      </c>
      <c r="C449" s="1" t="n">
        <v>45798</v>
      </c>
      <c r="D449" t="inlineStr">
        <is>
          <t>UPPSALA LÄN</t>
        </is>
      </c>
      <c r="E449" t="inlineStr">
        <is>
          <t>ÖSTHAMMAR</t>
        </is>
      </c>
      <c r="G449" t="n">
        <v>4</v>
      </c>
      <c r="H449" t="n">
        <v>0</v>
      </c>
      <c r="I449" t="n">
        <v>0</v>
      </c>
      <c r="J449" t="n">
        <v>0</v>
      </c>
      <c r="K449" t="n">
        <v>0</v>
      </c>
      <c r="L449" t="n">
        <v>0</v>
      </c>
      <c r="M449" t="n">
        <v>0</v>
      </c>
      <c r="N449" t="n">
        <v>0</v>
      </c>
      <c r="O449" t="n">
        <v>0</v>
      </c>
      <c r="P449" t="n">
        <v>0</v>
      </c>
      <c r="Q449" t="n">
        <v>0</v>
      </c>
      <c r="R449" s="2" t="inlineStr"/>
    </row>
    <row r="450" ht="15" customHeight="1">
      <c r="A450" t="inlineStr">
        <is>
          <t>A 7475-2022</t>
        </is>
      </c>
      <c r="B450" s="1" t="n">
        <v>44607</v>
      </c>
      <c r="C450" s="1" t="n">
        <v>45798</v>
      </c>
      <c r="D450" t="inlineStr">
        <is>
          <t>UPPSALA LÄN</t>
        </is>
      </c>
      <c r="E450" t="inlineStr">
        <is>
          <t>ÖSTHAMMAR</t>
        </is>
      </c>
      <c r="G450" t="n">
        <v>2.2</v>
      </c>
      <c r="H450" t="n">
        <v>0</v>
      </c>
      <c r="I450" t="n">
        <v>0</v>
      </c>
      <c r="J450" t="n">
        <v>0</v>
      </c>
      <c r="K450" t="n">
        <v>0</v>
      </c>
      <c r="L450" t="n">
        <v>0</v>
      </c>
      <c r="M450" t="n">
        <v>0</v>
      </c>
      <c r="N450" t="n">
        <v>0</v>
      </c>
      <c r="O450" t="n">
        <v>0</v>
      </c>
      <c r="P450" t="n">
        <v>0</v>
      </c>
      <c r="Q450" t="n">
        <v>0</v>
      </c>
      <c r="R450" s="2" t="inlineStr"/>
    </row>
    <row r="451" ht="15" customHeight="1">
      <c r="A451" t="inlineStr">
        <is>
          <t>A 7488-2022</t>
        </is>
      </c>
      <c r="B451" s="1" t="n">
        <v>44607</v>
      </c>
      <c r="C451" s="1" t="n">
        <v>45798</v>
      </c>
      <c r="D451" t="inlineStr">
        <is>
          <t>UPPSALA LÄN</t>
        </is>
      </c>
      <c r="E451" t="inlineStr">
        <is>
          <t>ÖSTHAMMAR</t>
        </is>
      </c>
      <c r="G451" t="n">
        <v>2.3</v>
      </c>
      <c r="H451" t="n">
        <v>0</v>
      </c>
      <c r="I451" t="n">
        <v>0</v>
      </c>
      <c r="J451" t="n">
        <v>0</v>
      </c>
      <c r="K451" t="n">
        <v>0</v>
      </c>
      <c r="L451" t="n">
        <v>0</v>
      </c>
      <c r="M451" t="n">
        <v>0</v>
      </c>
      <c r="N451" t="n">
        <v>0</v>
      </c>
      <c r="O451" t="n">
        <v>0</v>
      </c>
      <c r="P451" t="n">
        <v>0</v>
      </c>
      <c r="Q451" t="n">
        <v>0</v>
      </c>
      <c r="R451" s="2" t="inlineStr"/>
    </row>
    <row r="452" ht="15" customHeight="1">
      <c r="A452" t="inlineStr">
        <is>
          <t>A 7858-2022</t>
        </is>
      </c>
      <c r="B452" s="1" t="n">
        <v>44608</v>
      </c>
      <c r="C452" s="1" t="n">
        <v>45798</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7871-2022</t>
        </is>
      </c>
      <c r="B453" s="1" t="n">
        <v>44608</v>
      </c>
      <c r="C453" s="1" t="n">
        <v>45798</v>
      </c>
      <c r="D453" t="inlineStr">
        <is>
          <t>UPPSALA LÄN</t>
        </is>
      </c>
      <c r="E453" t="inlineStr">
        <is>
          <t>ÖSTHAMMAR</t>
        </is>
      </c>
      <c r="G453" t="n">
        <v>1.1</v>
      </c>
      <c r="H453" t="n">
        <v>0</v>
      </c>
      <c r="I453" t="n">
        <v>0</v>
      </c>
      <c r="J453" t="n">
        <v>0</v>
      </c>
      <c r="K453" t="n">
        <v>0</v>
      </c>
      <c r="L453" t="n">
        <v>0</v>
      </c>
      <c r="M453" t="n">
        <v>0</v>
      </c>
      <c r="N453" t="n">
        <v>0</v>
      </c>
      <c r="O453" t="n">
        <v>0</v>
      </c>
      <c r="P453" t="n">
        <v>0</v>
      </c>
      <c r="Q453" t="n">
        <v>0</v>
      </c>
      <c r="R453" s="2" t="inlineStr"/>
    </row>
    <row r="454" ht="15" customHeight="1">
      <c r="A454" t="inlineStr">
        <is>
          <t>A 7997-2022</t>
        </is>
      </c>
      <c r="B454" s="1" t="n">
        <v>44609</v>
      </c>
      <c r="C454" s="1" t="n">
        <v>45798</v>
      </c>
      <c r="D454" t="inlineStr">
        <is>
          <t>UPPSALA LÄN</t>
        </is>
      </c>
      <c r="E454" t="inlineStr">
        <is>
          <t>ÖSTHAMMAR</t>
        </is>
      </c>
      <c r="G454" t="n">
        <v>1.8</v>
      </c>
      <c r="H454" t="n">
        <v>0</v>
      </c>
      <c r="I454" t="n">
        <v>0</v>
      </c>
      <c r="J454" t="n">
        <v>0</v>
      </c>
      <c r="K454" t="n">
        <v>0</v>
      </c>
      <c r="L454" t="n">
        <v>0</v>
      </c>
      <c r="M454" t="n">
        <v>0</v>
      </c>
      <c r="N454" t="n">
        <v>0</v>
      </c>
      <c r="O454" t="n">
        <v>0</v>
      </c>
      <c r="P454" t="n">
        <v>0</v>
      </c>
      <c r="Q454" t="n">
        <v>0</v>
      </c>
      <c r="R454" s="2" t="inlineStr"/>
    </row>
    <row r="455" ht="15" customHeight="1">
      <c r="A455" t="inlineStr">
        <is>
          <t>A 8283-2022</t>
        </is>
      </c>
      <c r="B455" s="1" t="n">
        <v>44610</v>
      </c>
      <c r="C455" s="1" t="n">
        <v>45798</v>
      </c>
      <c r="D455" t="inlineStr">
        <is>
          <t>UPPSALA LÄN</t>
        </is>
      </c>
      <c r="E455" t="inlineStr">
        <is>
          <t>ÖSTHAMMAR</t>
        </is>
      </c>
      <c r="F455" t="inlineStr">
        <is>
          <t>Övriga Aktiebolag</t>
        </is>
      </c>
      <c r="G455" t="n">
        <v>2</v>
      </c>
      <c r="H455" t="n">
        <v>0</v>
      </c>
      <c r="I455" t="n">
        <v>0</v>
      </c>
      <c r="J455" t="n">
        <v>0</v>
      </c>
      <c r="K455" t="n">
        <v>0</v>
      </c>
      <c r="L455" t="n">
        <v>0</v>
      </c>
      <c r="M455" t="n">
        <v>0</v>
      </c>
      <c r="N455" t="n">
        <v>0</v>
      </c>
      <c r="O455" t="n">
        <v>0</v>
      </c>
      <c r="P455" t="n">
        <v>0</v>
      </c>
      <c r="Q455" t="n">
        <v>0</v>
      </c>
      <c r="R455" s="2" t="inlineStr"/>
    </row>
    <row r="456" ht="15" customHeight="1">
      <c r="A456" t="inlineStr">
        <is>
          <t>A 8592-2022</t>
        </is>
      </c>
      <c r="B456" s="1" t="n">
        <v>44613</v>
      </c>
      <c r="C456" s="1" t="n">
        <v>45798</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8708-2022</t>
        </is>
      </c>
      <c r="B457" s="1" t="n">
        <v>44613</v>
      </c>
      <c r="C457" s="1" t="n">
        <v>45798</v>
      </c>
      <c r="D457" t="inlineStr">
        <is>
          <t>UPPSALA LÄN</t>
        </is>
      </c>
      <c r="E457" t="inlineStr">
        <is>
          <t>ÖSTHAMMAR</t>
        </is>
      </c>
      <c r="G457" t="n">
        <v>4.3</v>
      </c>
      <c r="H457" t="n">
        <v>0</v>
      </c>
      <c r="I457" t="n">
        <v>0</v>
      </c>
      <c r="J457" t="n">
        <v>0</v>
      </c>
      <c r="K457" t="n">
        <v>0</v>
      </c>
      <c r="L457" t="n">
        <v>0</v>
      </c>
      <c r="M457" t="n">
        <v>0</v>
      </c>
      <c r="N457" t="n">
        <v>0</v>
      </c>
      <c r="O457" t="n">
        <v>0</v>
      </c>
      <c r="P457" t="n">
        <v>0</v>
      </c>
      <c r="Q457" t="n">
        <v>0</v>
      </c>
      <c r="R457" s="2" t="inlineStr"/>
    </row>
    <row r="458" ht="15" customHeight="1">
      <c r="A458" t="inlineStr">
        <is>
          <t>A 8710-2022</t>
        </is>
      </c>
      <c r="B458" s="1" t="n">
        <v>44613</v>
      </c>
      <c r="C458" s="1" t="n">
        <v>45798</v>
      </c>
      <c r="D458" t="inlineStr">
        <is>
          <t>UPPSALA LÄN</t>
        </is>
      </c>
      <c r="E458" t="inlineStr">
        <is>
          <t>ÖSTHAMMAR</t>
        </is>
      </c>
      <c r="G458" t="n">
        <v>1.5</v>
      </c>
      <c r="H458" t="n">
        <v>0</v>
      </c>
      <c r="I458" t="n">
        <v>0</v>
      </c>
      <c r="J458" t="n">
        <v>0</v>
      </c>
      <c r="K458" t="n">
        <v>0</v>
      </c>
      <c r="L458" t="n">
        <v>0</v>
      </c>
      <c r="M458" t="n">
        <v>0</v>
      </c>
      <c r="N458" t="n">
        <v>0</v>
      </c>
      <c r="O458" t="n">
        <v>0</v>
      </c>
      <c r="P458" t="n">
        <v>0</v>
      </c>
      <c r="Q458" t="n">
        <v>0</v>
      </c>
      <c r="R458" s="2" t="inlineStr"/>
    </row>
    <row r="459" ht="15" customHeight="1">
      <c r="A459" t="inlineStr">
        <is>
          <t>A 8537-2022</t>
        </is>
      </c>
      <c r="B459" s="1" t="n">
        <v>44613</v>
      </c>
      <c r="C459" s="1" t="n">
        <v>45798</v>
      </c>
      <c r="D459" t="inlineStr">
        <is>
          <t>UPPSALA LÄN</t>
        </is>
      </c>
      <c r="E459" t="inlineStr">
        <is>
          <t>ÖSTHAMMAR</t>
        </is>
      </c>
      <c r="G459" t="n">
        <v>1.2</v>
      </c>
      <c r="H459" t="n">
        <v>0</v>
      </c>
      <c r="I459" t="n">
        <v>0</v>
      </c>
      <c r="J459" t="n">
        <v>0</v>
      </c>
      <c r="K459" t="n">
        <v>0</v>
      </c>
      <c r="L459" t="n">
        <v>0</v>
      </c>
      <c r="M459" t="n">
        <v>0</v>
      </c>
      <c r="N459" t="n">
        <v>0</v>
      </c>
      <c r="O459" t="n">
        <v>0</v>
      </c>
      <c r="P459" t="n">
        <v>0</v>
      </c>
      <c r="Q459" t="n">
        <v>0</v>
      </c>
      <c r="R459" s="2" t="inlineStr"/>
    </row>
    <row r="460" ht="15" customHeight="1">
      <c r="A460" t="inlineStr">
        <is>
          <t>A 8554-2022</t>
        </is>
      </c>
      <c r="B460" s="1" t="n">
        <v>44613</v>
      </c>
      <c r="C460" s="1" t="n">
        <v>45798</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8556-2022</t>
        </is>
      </c>
      <c r="B461" s="1" t="n">
        <v>44613</v>
      </c>
      <c r="C461" s="1" t="n">
        <v>45798</v>
      </c>
      <c r="D461" t="inlineStr">
        <is>
          <t>UPPSALA LÄN</t>
        </is>
      </c>
      <c r="E461" t="inlineStr">
        <is>
          <t>ÖSTHAMMAR</t>
        </is>
      </c>
      <c r="G461" t="n">
        <v>0.5</v>
      </c>
      <c r="H461" t="n">
        <v>0</v>
      </c>
      <c r="I461" t="n">
        <v>0</v>
      </c>
      <c r="J461" t="n">
        <v>0</v>
      </c>
      <c r="K461" t="n">
        <v>0</v>
      </c>
      <c r="L461" t="n">
        <v>0</v>
      </c>
      <c r="M461" t="n">
        <v>0</v>
      </c>
      <c r="N461" t="n">
        <v>0</v>
      </c>
      <c r="O461" t="n">
        <v>0</v>
      </c>
      <c r="P461" t="n">
        <v>0</v>
      </c>
      <c r="Q461" t="n">
        <v>0</v>
      </c>
      <c r="R461" s="2" t="inlineStr"/>
    </row>
    <row r="462" ht="15" customHeight="1">
      <c r="A462" t="inlineStr">
        <is>
          <t>A 8775-2022</t>
        </is>
      </c>
      <c r="B462" s="1" t="n">
        <v>44614</v>
      </c>
      <c r="C462" s="1" t="n">
        <v>45798</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8750-2022</t>
        </is>
      </c>
      <c r="B463" s="1" t="n">
        <v>44614</v>
      </c>
      <c r="C463" s="1" t="n">
        <v>45798</v>
      </c>
      <c r="D463" t="inlineStr">
        <is>
          <t>UPPSALA LÄN</t>
        </is>
      </c>
      <c r="E463" t="inlineStr">
        <is>
          <t>ÖSTHAMMAR</t>
        </is>
      </c>
      <c r="G463" t="n">
        <v>1.6</v>
      </c>
      <c r="H463" t="n">
        <v>0</v>
      </c>
      <c r="I463" t="n">
        <v>0</v>
      </c>
      <c r="J463" t="n">
        <v>0</v>
      </c>
      <c r="K463" t="n">
        <v>0</v>
      </c>
      <c r="L463" t="n">
        <v>0</v>
      </c>
      <c r="M463" t="n">
        <v>0</v>
      </c>
      <c r="N463" t="n">
        <v>0</v>
      </c>
      <c r="O463" t="n">
        <v>0</v>
      </c>
      <c r="P463" t="n">
        <v>0</v>
      </c>
      <c r="Q463" t="n">
        <v>0</v>
      </c>
      <c r="R463" s="2" t="inlineStr"/>
    </row>
    <row r="464" ht="15" customHeight="1">
      <c r="A464" t="inlineStr">
        <is>
          <t>A 9755-2022</t>
        </is>
      </c>
      <c r="B464" s="1" t="n">
        <v>44618</v>
      </c>
      <c r="C464" s="1" t="n">
        <v>45798</v>
      </c>
      <c r="D464" t="inlineStr">
        <is>
          <t>UPPSALA LÄN</t>
        </is>
      </c>
      <c r="E464" t="inlineStr">
        <is>
          <t>ÖSTHAMMAR</t>
        </is>
      </c>
      <c r="F464" t="inlineStr">
        <is>
          <t>Bergvik skog öst AB</t>
        </is>
      </c>
      <c r="G464" t="n">
        <v>13.9</v>
      </c>
      <c r="H464" t="n">
        <v>0</v>
      </c>
      <c r="I464" t="n">
        <v>0</v>
      </c>
      <c r="J464" t="n">
        <v>0</v>
      </c>
      <c r="K464" t="n">
        <v>0</v>
      </c>
      <c r="L464" t="n">
        <v>0</v>
      </c>
      <c r="M464" t="n">
        <v>0</v>
      </c>
      <c r="N464" t="n">
        <v>0</v>
      </c>
      <c r="O464" t="n">
        <v>0</v>
      </c>
      <c r="P464" t="n">
        <v>0</v>
      </c>
      <c r="Q464" t="n">
        <v>0</v>
      </c>
      <c r="R464" s="2" t="inlineStr"/>
    </row>
    <row r="465" ht="15" customHeight="1">
      <c r="A465" t="inlineStr">
        <is>
          <t>A 9789-2022</t>
        </is>
      </c>
      <c r="B465" s="1" t="n">
        <v>44620</v>
      </c>
      <c r="C465" s="1" t="n">
        <v>45798</v>
      </c>
      <c r="D465" t="inlineStr">
        <is>
          <t>UPPSALA LÄN</t>
        </is>
      </c>
      <c r="E465" t="inlineStr">
        <is>
          <t>ÖSTHAMMAR</t>
        </is>
      </c>
      <c r="G465" t="n">
        <v>1.2</v>
      </c>
      <c r="H465" t="n">
        <v>0</v>
      </c>
      <c r="I465" t="n">
        <v>0</v>
      </c>
      <c r="J465" t="n">
        <v>0</v>
      </c>
      <c r="K465" t="n">
        <v>0</v>
      </c>
      <c r="L465" t="n">
        <v>0</v>
      </c>
      <c r="M465" t="n">
        <v>0</v>
      </c>
      <c r="N465" t="n">
        <v>0</v>
      </c>
      <c r="O465" t="n">
        <v>0</v>
      </c>
      <c r="P465" t="n">
        <v>0</v>
      </c>
      <c r="Q465" t="n">
        <v>0</v>
      </c>
      <c r="R465" s="2" t="inlineStr"/>
    </row>
    <row r="466" ht="15" customHeight="1">
      <c r="A466" t="inlineStr">
        <is>
          <t>A 9795-2022</t>
        </is>
      </c>
      <c r="B466" s="1" t="n">
        <v>44620</v>
      </c>
      <c r="C466" s="1" t="n">
        <v>45798</v>
      </c>
      <c r="D466" t="inlineStr">
        <is>
          <t>UPPSALA LÄN</t>
        </is>
      </c>
      <c r="E466" t="inlineStr">
        <is>
          <t>ÖSTHAMMAR</t>
        </is>
      </c>
      <c r="G466" t="n">
        <v>1.3</v>
      </c>
      <c r="H466" t="n">
        <v>0</v>
      </c>
      <c r="I466" t="n">
        <v>0</v>
      </c>
      <c r="J466" t="n">
        <v>0</v>
      </c>
      <c r="K466" t="n">
        <v>0</v>
      </c>
      <c r="L466" t="n">
        <v>0</v>
      </c>
      <c r="M466" t="n">
        <v>0</v>
      </c>
      <c r="N466" t="n">
        <v>0</v>
      </c>
      <c r="O466" t="n">
        <v>0</v>
      </c>
      <c r="P466" t="n">
        <v>0</v>
      </c>
      <c r="Q466" t="n">
        <v>0</v>
      </c>
      <c r="R466" s="2" t="inlineStr"/>
    </row>
    <row r="467" ht="15" customHeight="1">
      <c r="A467" t="inlineStr">
        <is>
          <t>A 10287-2022</t>
        </is>
      </c>
      <c r="B467" s="1" t="n">
        <v>44622</v>
      </c>
      <c r="C467" s="1" t="n">
        <v>45798</v>
      </c>
      <c r="D467" t="inlineStr">
        <is>
          <t>UPPSALA LÄN</t>
        </is>
      </c>
      <c r="E467" t="inlineStr">
        <is>
          <t>ÖSTHAMMAR</t>
        </is>
      </c>
      <c r="F467" t="inlineStr">
        <is>
          <t>Bergvik skog öst AB</t>
        </is>
      </c>
      <c r="G467" t="n">
        <v>0.2</v>
      </c>
      <c r="H467" t="n">
        <v>0</v>
      </c>
      <c r="I467" t="n">
        <v>0</v>
      </c>
      <c r="J467" t="n">
        <v>0</v>
      </c>
      <c r="K467" t="n">
        <v>0</v>
      </c>
      <c r="L467" t="n">
        <v>0</v>
      </c>
      <c r="M467" t="n">
        <v>0</v>
      </c>
      <c r="N467" t="n">
        <v>0</v>
      </c>
      <c r="O467" t="n">
        <v>0</v>
      </c>
      <c r="P467" t="n">
        <v>0</v>
      </c>
      <c r="Q467" t="n">
        <v>0</v>
      </c>
      <c r="R467" s="2" t="inlineStr"/>
    </row>
    <row r="468" ht="15" customHeight="1">
      <c r="A468" t="inlineStr">
        <is>
          <t>A 10294-2022</t>
        </is>
      </c>
      <c r="B468" s="1" t="n">
        <v>44622</v>
      </c>
      <c r="C468" s="1" t="n">
        <v>45798</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10288-2022</t>
        </is>
      </c>
      <c r="B469" s="1" t="n">
        <v>44622</v>
      </c>
      <c r="C469" s="1" t="n">
        <v>45798</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10298-2022</t>
        </is>
      </c>
      <c r="B470" s="1" t="n">
        <v>44622</v>
      </c>
      <c r="C470" s="1" t="n">
        <v>45798</v>
      </c>
      <c r="D470" t="inlineStr">
        <is>
          <t>UPPSALA LÄN</t>
        </is>
      </c>
      <c r="E470" t="inlineStr">
        <is>
          <t>ÖSTHAMMAR</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10980-2022</t>
        </is>
      </c>
      <c r="B471" s="1" t="n">
        <v>44628</v>
      </c>
      <c r="C471" s="1" t="n">
        <v>45798</v>
      </c>
      <c r="D471" t="inlineStr">
        <is>
          <t>UPPSALA LÄN</t>
        </is>
      </c>
      <c r="E471" t="inlineStr">
        <is>
          <t>ÖSTHAMMAR</t>
        </is>
      </c>
      <c r="G471" t="n">
        <v>7.4</v>
      </c>
      <c r="H471" t="n">
        <v>0</v>
      </c>
      <c r="I471" t="n">
        <v>0</v>
      </c>
      <c r="J471" t="n">
        <v>0</v>
      </c>
      <c r="K471" t="n">
        <v>0</v>
      </c>
      <c r="L471" t="n">
        <v>0</v>
      </c>
      <c r="M471" t="n">
        <v>0</v>
      </c>
      <c r="N471" t="n">
        <v>0</v>
      </c>
      <c r="O471" t="n">
        <v>0</v>
      </c>
      <c r="P471" t="n">
        <v>0</v>
      </c>
      <c r="Q471" t="n">
        <v>0</v>
      </c>
      <c r="R471" s="2" t="inlineStr"/>
    </row>
    <row r="472" ht="15" customHeight="1">
      <c r="A472" t="inlineStr">
        <is>
          <t>A 11547-2022</t>
        </is>
      </c>
      <c r="B472" s="1" t="n">
        <v>44631</v>
      </c>
      <c r="C472" s="1" t="n">
        <v>45798</v>
      </c>
      <c r="D472" t="inlineStr">
        <is>
          <t>UPPSALA LÄN</t>
        </is>
      </c>
      <c r="E472" t="inlineStr">
        <is>
          <t>ÖSTHAMMAR</t>
        </is>
      </c>
      <c r="G472" t="n">
        <v>4.4</v>
      </c>
      <c r="H472" t="n">
        <v>0</v>
      </c>
      <c r="I472" t="n">
        <v>0</v>
      </c>
      <c r="J472" t="n">
        <v>0</v>
      </c>
      <c r="K472" t="n">
        <v>0</v>
      </c>
      <c r="L472" t="n">
        <v>0</v>
      </c>
      <c r="M472" t="n">
        <v>0</v>
      </c>
      <c r="N472" t="n">
        <v>0</v>
      </c>
      <c r="O472" t="n">
        <v>0</v>
      </c>
      <c r="P472" t="n">
        <v>0</v>
      </c>
      <c r="Q472" t="n">
        <v>0</v>
      </c>
      <c r="R472" s="2" t="inlineStr"/>
    </row>
    <row r="473" ht="15" customHeight="1">
      <c r="A473" t="inlineStr">
        <is>
          <t>A 11643-2022</t>
        </is>
      </c>
      <c r="B473" s="1" t="n">
        <v>44631</v>
      </c>
      <c r="C473" s="1" t="n">
        <v>45798</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11884-2022</t>
        </is>
      </c>
      <c r="B474" s="1" t="n">
        <v>44635</v>
      </c>
      <c r="C474" s="1" t="n">
        <v>45798</v>
      </c>
      <c r="D474" t="inlineStr">
        <is>
          <t>UPPSALA LÄN</t>
        </is>
      </c>
      <c r="E474" t="inlineStr">
        <is>
          <t>ÖSTHAMMAR</t>
        </is>
      </c>
      <c r="G474" t="n">
        <v>0.8</v>
      </c>
      <c r="H474" t="n">
        <v>0</v>
      </c>
      <c r="I474" t="n">
        <v>0</v>
      </c>
      <c r="J474" t="n">
        <v>0</v>
      </c>
      <c r="K474" t="n">
        <v>0</v>
      </c>
      <c r="L474" t="n">
        <v>0</v>
      </c>
      <c r="M474" t="n">
        <v>0</v>
      </c>
      <c r="N474" t="n">
        <v>0</v>
      </c>
      <c r="O474" t="n">
        <v>0</v>
      </c>
      <c r="P474" t="n">
        <v>0</v>
      </c>
      <c r="Q474" t="n">
        <v>0</v>
      </c>
      <c r="R474" s="2" t="inlineStr"/>
    </row>
    <row r="475" ht="15" customHeight="1">
      <c r="A475" t="inlineStr">
        <is>
          <t>A 11987-2022</t>
        </is>
      </c>
      <c r="B475" s="1" t="n">
        <v>44635</v>
      </c>
      <c r="C475" s="1" t="n">
        <v>45798</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11986-2022</t>
        </is>
      </c>
      <c r="B476" s="1" t="n">
        <v>44635</v>
      </c>
      <c r="C476" s="1" t="n">
        <v>45798</v>
      </c>
      <c r="D476" t="inlineStr">
        <is>
          <t>UPPSALA LÄN</t>
        </is>
      </c>
      <c r="E476" t="inlineStr">
        <is>
          <t>ÖSTHAMMAR</t>
        </is>
      </c>
      <c r="F476" t="inlineStr">
        <is>
          <t>Bergvik skog öst AB</t>
        </is>
      </c>
      <c r="G476" t="n">
        <v>1.8</v>
      </c>
      <c r="H476" t="n">
        <v>0</v>
      </c>
      <c r="I476" t="n">
        <v>0</v>
      </c>
      <c r="J476" t="n">
        <v>0</v>
      </c>
      <c r="K476" t="n">
        <v>0</v>
      </c>
      <c r="L476" t="n">
        <v>0</v>
      </c>
      <c r="M476" t="n">
        <v>0</v>
      </c>
      <c r="N476" t="n">
        <v>0</v>
      </c>
      <c r="O476" t="n">
        <v>0</v>
      </c>
      <c r="P476" t="n">
        <v>0</v>
      </c>
      <c r="Q476" t="n">
        <v>0</v>
      </c>
      <c r="R476" s="2" t="inlineStr"/>
    </row>
    <row r="477" ht="15" customHeight="1">
      <c r="A477" t="inlineStr">
        <is>
          <t>A 12176-2022</t>
        </is>
      </c>
      <c r="B477" s="1" t="n">
        <v>44636</v>
      </c>
      <c r="C477" s="1" t="n">
        <v>45798</v>
      </c>
      <c r="D477" t="inlineStr">
        <is>
          <t>UPPSALA LÄN</t>
        </is>
      </c>
      <c r="E477" t="inlineStr">
        <is>
          <t>ÖSTHAMMAR</t>
        </is>
      </c>
      <c r="G477" t="n">
        <v>3.5</v>
      </c>
      <c r="H477" t="n">
        <v>0</v>
      </c>
      <c r="I477" t="n">
        <v>0</v>
      </c>
      <c r="J477" t="n">
        <v>0</v>
      </c>
      <c r="K477" t="n">
        <v>0</v>
      </c>
      <c r="L477" t="n">
        <v>0</v>
      </c>
      <c r="M477" t="n">
        <v>0</v>
      </c>
      <c r="N477" t="n">
        <v>0</v>
      </c>
      <c r="O477" t="n">
        <v>0</v>
      </c>
      <c r="P477" t="n">
        <v>0</v>
      </c>
      <c r="Q477" t="n">
        <v>0</v>
      </c>
      <c r="R477" s="2" t="inlineStr"/>
    </row>
    <row r="478" ht="15" customHeight="1">
      <c r="A478" t="inlineStr">
        <is>
          <t>A 12999-2022</t>
        </is>
      </c>
      <c r="B478" s="1" t="n">
        <v>44643</v>
      </c>
      <c r="C478" s="1" t="n">
        <v>45798</v>
      </c>
      <c r="D478" t="inlineStr">
        <is>
          <t>UPPSALA LÄN</t>
        </is>
      </c>
      <c r="E478" t="inlineStr">
        <is>
          <t>ÖSTHAMMAR</t>
        </is>
      </c>
      <c r="G478" t="n">
        <v>0.5</v>
      </c>
      <c r="H478" t="n">
        <v>0</v>
      </c>
      <c r="I478" t="n">
        <v>0</v>
      </c>
      <c r="J478" t="n">
        <v>0</v>
      </c>
      <c r="K478" t="n">
        <v>0</v>
      </c>
      <c r="L478" t="n">
        <v>0</v>
      </c>
      <c r="M478" t="n">
        <v>0</v>
      </c>
      <c r="N478" t="n">
        <v>0</v>
      </c>
      <c r="O478" t="n">
        <v>0</v>
      </c>
      <c r="P478" t="n">
        <v>0</v>
      </c>
      <c r="Q478" t="n">
        <v>0</v>
      </c>
      <c r="R478" s="2" t="inlineStr"/>
    </row>
    <row r="479" ht="15" customHeight="1">
      <c r="A479" t="inlineStr">
        <is>
          <t>A 13044-2022</t>
        </is>
      </c>
      <c r="B479" s="1" t="n">
        <v>44643</v>
      </c>
      <c r="C479" s="1" t="n">
        <v>45798</v>
      </c>
      <c r="D479" t="inlineStr">
        <is>
          <t>UPPSALA LÄN</t>
        </is>
      </c>
      <c r="E479" t="inlineStr">
        <is>
          <t>ÖSTHAMMAR</t>
        </is>
      </c>
      <c r="G479" t="n">
        <v>2.5</v>
      </c>
      <c r="H479" t="n">
        <v>0</v>
      </c>
      <c r="I479" t="n">
        <v>0</v>
      </c>
      <c r="J479" t="n">
        <v>0</v>
      </c>
      <c r="K479" t="n">
        <v>0</v>
      </c>
      <c r="L479" t="n">
        <v>0</v>
      </c>
      <c r="M479" t="n">
        <v>0</v>
      </c>
      <c r="N479" t="n">
        <v>0</v>
      </c>
      <c r="O479" t="n">
        <v>0</v>
      </c>
      <c r="P479" t="n">
        <v>0</v>
      </c>
      <c r="Q479" t="n">
        <v>0</v>
      </c>
      <c r="R479" s="2" t="inlineStr"/>
    </row>
    <row r="480" ht="15" customHeight="1">
      <c r="A480" t="inlineStr">
        <is>
          <t>A 13093-2022</t>
        </is>
      </c>
      <c r="B480" s="1" t="n">
        <v>44643</v>
      </c>
      <c r="C480" s="1" t="n">
        <v>45798</v>
      </c>
      <c r="D480" t="inlineStr">
        <is>
          <t>UPPSALA LÄN</t>
        </is>
      </c>
      <c r="E480" t="inlineStr">
        <is>
          <t>ÖSTHAMMAR</t>
        </is>
      </c>
      <c r="F480" t="inlineStr">
        <is>
          <t>Bergvik skog öst AB</t>
        </is>
      </c>
      <c r="G480" t="n">
        <v>3.2</v>
      </c>
      <c r="H480" t="n">
        <v>0</v>
      </c>
      <c r="I480" t="n">
        <v>0</v>
      </c>
      <c r="J480" t="n">
        <v>0</v>
      </c>
      <c r="K480" t="n">
        <v>0</v>
      </c>
      <c r="L480" t="n">
        <v>0</v>
      </c>
      <c r="M480" t="n">
        <v>0</v>
      </c>
      <c r="N480" t="n">
        <v>0</v>
      </c>
      <c r="O480" t="n">
        <v>0</v>
      </c>
      <c r="P480" t="n">
        <v>0</v>
      </c>
      <c r="Q480" t="n">
        <v>0</v>
      </c>
      <c r="R480" s="2" t="inlineStr"/>
    </row>
    <row r="481" ht="15" customHeight="1">
      <c r="A481" t="inlineStr">
        <is>
          <t>A 13238-2022</t>
        </is>
      </c>
      <c r="B481" s="1" t="n">
        <v>44644</v>
      </c>
      <c r="C481" s="1" t="n">
        <v>45798</v>
      </c>
      <c r="D481" t="inlineStr">
        <is>
          <t>UPPSALA LÄN</t>
        </is>
      </c>
      <c r="E481" t="inlineStr">
        <is>
          <t>ÖSTHAMMAR</t>
        </is>
      </c>
      <c r="G481" t="n">
        <v>6.5</v>
      </c>
      <c r="H481" t="n">
        <v>0</v>
      </c>
      <c r="I481" t="n">
        <v>0</v>
      </c>
      <c r="J481" t="n">
        <v>0</v>
      </c>
      <c r="K481" t="n">
        <v>0</v>
      </c>
      <c r="L481" t="n">
        <v>0</v>
      </c>
      <c r="M481" t="n">
        <v>0</v>
      </c>
      <c r="N481" t="n">
        <v>0</v>
      </c>
      <c r="O481" t="n">
        <v>0</v>
      </c>
      <c r="P481" t="n">
        <v>0</v>
      </c>
      <c r="Q481" t="n">
        <v>0</v>
      </c>
      <c r="R481" s="2" t="inlineStr"/>
    </row>
    <row r="482" ht="15" customHeight="1">
      <c r="A482" t="inlineStr">
        <is>
          <t>A 13279-2022</t>
        </is>
      </c>
      <c r="B482" s="1" t="n">
        <v>44644</v>
      </c>
      <c r="C482" s="1" t="n">
        <v>45798</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13867-2022</t>
        </is>
      </c>
      <c r="B483" s="1" t="n">
        <v>44649</v>
      </c>
      <c r="C483" s="1" t="n">
        <v>45798</v>
      </c>
      <c r="D483" t="inlineStr">
        <is>
          <t>UPPSALA LÄN</t>
        </is>
      </c>
      <c r="E483" t="inlineStr">
        <is>
          <t>ÖSTHAMMAR</t>
        </is>
      </c>
      <c r="F483" t="inlineStr">
        <is>
          <t>Bergvik skog öst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14272-2022</t>
        </is>
      </c>
      <c r="B484" s="1" t="n">
        <v>44651</v>
      </c>
      <c r="C484" s="1" t="n">
        <v>45798</v>
      </c>
      <c r="D484" t="inlineStr">
        <is>
          <t>UPPSALA LÄN</t>
        </is>
      </c>
      <c r="E484" t="inlineStr">
        <is>
          <t>ÖSTHAMMAR</t>
        </is>
      </c>
      <c r="F484" t="inlineStr">
        <is>
          <t>Bergvik skog öst AB</t>
        </is>
      </c>
      <c r="G484" t="n">
        <v>3.1</v>
      </c>
      <c r="H484" t="n">
        <v>0</v>
      </c>
      <c r="I484" t="n">
        <v>0</v>
      </c>
      <c r="J484" t="n">
        <v>0</v>
      </c>
      <c r="K484" t="n">
        <v>0</v>
      </c>
      <c r="L484" t="n">
        <v>0</v>
      </c>
      <c r="M484" t="n">
        <v>0</v>
      </c>
      <c r="N484" t="n">
        <v>0</v>
      </c>
      <c r="O484" t="n">
        <v>0</v>
      </c>
      <c r="P484" t="n">
        <v>0</v>
      </c>
      <c r="Q484" t="n">
        <v>0</v>
      </c>
      <c r="R484" s="2" t="inlineStr"/>
    </row>
    <row r="485" ht="15" customHeight="1">
      <c r="A485" t="inlineStr">
        <is>
          <t>A 14124-2022</t>
        </is>
      </c>
      <c r="B485" s="1" t="n">
        <v>44651</v>
      </c>
      <c r="C485" s="1" t="n">
        <v>45798</v>
      </c>
      <c r="D485" t="inlineStr">
        <is>
          <t>UPPSALA LÄN</t>
        </is>
      </c>
      <c r="E485" t="inlineStr">
        <is>
          <t>ÖSTHAMMAR</t>
        </is>
      </c>
      <c r="F485" t="inlineStr">
        <is>
          <t>Bergvik skog öst AB</t>
        </is>
      </c>
      <c r="G485" t="n">
        <v>0.9</v>
      </c>
      <c r="H485" t="n">
        <v>0</v>
      </c>
      <c r="I485" t="n">
        <v>0</v>
      </c>
      <c r="J485" t="n">
        <v>0</v>
      </c>
      <c r="K485" t="n">
        <v>0</v>
      </c>
      <c r="L485" t="n">
        <v>0</v>
      </c>
      <c r="M485" t="n">
        <v>0</v>
      </c>
      <c r="N485" t="n">
        <v>0</v>
      </c>
      <c r="O485" t="n">
        <v>0</v>
      </c>
      <c r="P485" t="n">
        <v>0</v>
      </c>
      <c r="Q485" t="n">
        <v>0</v>
      </c>
      <c r="R485" s="2" t="inlineStr"/>
    </row>
    <row r="486" ht="15" customHeight="1">
      <c r="A486" t="inlineStr">
        <is>
          <t>A 14187-2022</t>
        </is>
      </c>
      <c r="B486" s="1" t="n">
        <v>44651</v>
      </c>
      <c r="C486" s="1" t="n">
        <v>45798</v>
      </c>
      <c r="D486" t="inlineStr">
        <is>
          <t>UPPSALA LÄN</t>
        </is>
      </c>
      <c r="E486" t="inlineStr">
        <is>
          <t>ÖSTHAMMAR</t>
        </is>
      </c>
      <c r="F486" t="inlineStr">
        <is>
          <t>Övriga Aktiebolag</t>
        </is>
      </c>
      <c r="G486" t="n">
        <v>14.1</v>
      </c>
      <c r="H486" t="n">
        <v>0</v>
      </c>
      <c r="I486" t="n">
        <v>0</v>
      </c>
      <c r="J486" t="n">
        <v>0</v>
      </c>
      <c r="K486" t="n">
        <v>0</v>
      </c>
      <c r="L486" t="n">
        <v>0</v>
      </c>
      <c r="M486" t="n">
        <v>0</v>
      </c>
      <c r="N486" t="n">
        <v>0</v>
      </c>
      <c r="O486" t="n">
        <v>0</v>
      </c>
      <c r="P486" t="n">
        <v>0</v>
      </c>
      <c r="Q486" t="n">
        <v>0</v>
      </c>
      <c r="R486" s="2" t="inlineStr"/>
    </row>
    <row r="487" ht="15" customHeight="1">
      <c r="A487" t="inlineStr">
        <is>
          <t>A 14271-2022</t>
        </is>
      </c>
      <c r="B487" s="1" t="n">
        <v>44651</v>
      </c>
      <c r="C487" s="1" t="n">
        <v>45798</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14671-2022</t>
        </is>
      </c>
      <c r="B488" s="1" t="n">
        <v>44655</v>
      </c>
      <c r="C488" s="1" t="n">
        <v>45798</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15064-2022</t>
        </is>
      </c>
      <c r="B489" s="1" t="n">
        <v>44657</v>
      </c>
      <c r="C489" s="1" t="n">
        <v>45798</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15311-2022</t>
        </is>
      </c>
      <c r="B490" s="1" t="n">
        <v>44659</v>
      </c>
      <c r="C490" s="1" t="n">
        <v>45798</v>
      </c>
      <c r="D490" t="inlineStr">
        <is>
          <t>UPPSALA LÄN</t>
        </is>
      </c>
      <c r="E490" t="inlineStr">
        <is>
          <t>ÖSTHAMMAR</t>
        </is>
      </c>
      <c r="G490" t="n">
        <v>5.5</v>
      </c>
      <c r="H490" t="n">
        <v>0</v>
      </c>
      <c r="I490" t="n">
        <v>0</v>
      </c>
      <c r="J490" t="n">
        <v>0</v>
      </c>
      <c r="K490" t="n">
        <v>0</v>
      </c>
      <c r="L490" t="n">
        <v>0</v>
      </c>
      <c r="M490" t="n">
        <v>0</v>
      </c>
      <c r="N490" t="n">
        <v>0</v>
      </c>
      <c r="O490" t="n">
        <v>0</v>
      </c>
      <c r="P490" t="n">
        <v>0</v>
      </c>
      <c r="Q490" t="n">
        <v>0</v>
      </c>
      <c r="R490" s="2" t="inlineStr"/>
    </row>
    <row r="491" ht="15" customHeight="1">
      <c r="A491" t="inlineStr">
        <is>
          <t>A 15334-2022</t>
        </is>
      </c>
      <c r="B491" s="1" t="n">
        <v>44659</v>
      </c>
      <c r="C491" s="1" t="n">
        <v>45798</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15447-2022</t>
        </is>
      </c>
      <c r="B492" s="1" t="n">
        <v>44660</v>
      </c>
      <c r="C492" s="1" t="n">
        <v>45798</v>
      </c>
      <c r="D492" t="inlineStr">
        <is>
          <t>UPPSALA LÄN</t>
        </is>
      </c>
      <c r="E492" t="inlineStr">
        <is>
          <t>ÖSTHAMMAR</t>
        </is>
      </c>
      <c r="F492" t="inlineStr">
        <is>
          <t>Bergvik skog öst AB</t>
        </is>
      </c>
      <c r="G492" t="n">
        <v>2.2</v>
      </c>
      <c r="H492" t="n">
        <v>0</v>
      </c>
      <c r="I492" t="n">
        <v>0</v>
      </c>
      <c r="J492" t="n">
        <v>0</v>
      </c>
      <c r="K492" t="n">
        <v>0</v>
      </c>
      <c r="L492" t="n">
        <v>0</v>
      </c>
      <c r="M492" t="n">
        <v>0</v>
      </c>
      <c r="N492" t="n">
        <v>0</v>
      </c>
      <c r="O492" t="n">
        <v>0</v>
      </c>
      <c r="P492" t="n">
        <v>0</v>
      </c>
      <c r="Q492" t="n">
        <v>0</v>
      </c>
      <c r="R492" s="2" t="inlineStr"/>
    </row>
    <row r="493" ht="15" customHeight="1">
      <c r="A493" t="inlineStr">
        <is>
          <t>A 15445-2022</t>
        </is>
      </c>
      <c r="B493" s="1" t="n">
        <v>44660</v>
      </c>
      <c r="C493" s="1" t="n">
        <v>45798</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15449-2022</t>
        </is>
      </c>
      <c r="B494" s="1" t="n">
        <v>44660</v>
      </c>
      <c r="C494" s="1" t="n">
        <v>45798</v>
      </c>
      <c r="D494" t="inlineStr">
        <is>
          <t>UPPSALA LÄN</t>
        </is>
      </c>
      <c r="E494" t="inlineStr">
        <is>
          <t>ÖSTHAMMAR</t>
        </is>
      </c>
      <c r="F494" t="inlineStr">
        <is>
          <t>Bergvik skog öst AB</t>
        </is>
      </c>
      <c r="G494" t="n">
        <v>2</v>
      </c>
      <c r="H494" t="n">
        <v>0</v>
      </c>
      <c r="I494" t="n">
        <v>0</v>
      </c>
      <c r="J494" t="n">
        <v>0</v>
      </c>
      <c r="K494" t="n">
        <v>0</v>
      </c>
      <c r="L494" t="n">
        <v>0</v>
      </c>
      <c r="M494" t="n">
        <v>0</v>
      </c>
      <c r="N494" t="n">
        <v>0</v>
      </c>
      <c r="O494" t="n">
        <v>0</v>
      </c>
      <c r="P494" t="n">
        <v>0</v>
      </c>
      <c r="Q494" t="n">
        <v>0</v>
      </c>
      <c r="R494" s="2" t="inlineStr"/>
    </row>
    <row r="495" ht="15" customHeight="1">
      <c r="A495" t="inlineStr">
        <is>
          <t>A 15456-2022</t>
        </is>
      </c>
      <c r="B495" s="1" t="n">
        <v>44661</v>
      </c>
      <c r="C495" s="1" t="n">
        <v>45798</v>
      </c>
      <c r="D495" t="inlineStr">
        <is>
          <t>UPPSALA LÄN</t>
        </is>
      </c>
      <c r="E495" t="inlineStr">
        <is>
          <t>ÖSTHAMMAR</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15457-2022</t>
        </is>
      </c>
      <c r="B496" s="1" t="n">
        <v>44661</v>
      </c>
      <c r="C496" s="1" t="n">
        <v>45798</v>
      </c>
      <c r="D496" t="inlineStr">
        <is>
          <t>UPPSALA LÄN</t>
        </is>
      </c>
      <c r="E496" t="inlineStr">
        <is>
          <t>ÖSTHAMMAR</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15847-2022</t>
        </is>
      </c>
      <c r="B497" s="1" t="n">
        <v>44664</v>
      </c>
      <c r="C497" s="1" t="n">
        <v>45798</v>
      </c>
      <c r="D497" t="inlineStr">
        <is>
          <t>UPPSALA LÄN</t>
        </is>
      </c>
      <c r="E497" t="inlineStr">
        <is>
          <t>ÖSTHAMMAR</t>
        </is>
      </c>
      <c r="G497" t="n">
        <v>0.3</v>
      </c>
      <c r="H497" t="n">
        <v>0</v>
      </c>
      <c r="I497" t="n">
        <v>0</v>
      </c>
      <c r="J497" t="n">
        <v>0</v>
      </c>
      <c r="K497" t="n">
        <v>0</v>
      </c>
      <c r="L497" t="n">
        <v>0</v>
      </c>
      <c r="M497" t="n">
        <v>0</v>
      </c>
      <c r="N497" t="n">
        <v>0</v>
      </c>
      <c r="O497" t="n">
        <v>0</v>
      </c>
      <c r="P497" t="n">
        <v>0</v>
      </c>
      <c r="Q497" t="n">
        <v>0</v>
      </c>
      <c r="R497" s="2" t="inlineStr"/>
    </row>
    <row r="498" ht="15" customHeight="1">
      <c r="A498" t="inlineStr">
        <is>
          <t>A 15845-2022</t>
        </is>
      </c>
      <c r="B498" s="1" t="n">
        <v>44664</v>
      </c>
      <c r="C498" s="1" t="n">
        <v>45798</v>
      </c>
      <c r="D498" t="inlineStr">
        <is>
          <t>UPPSALA LÄN</t>
        </is>
      </c>
      <c r="E498" t="inlineStr">
        <is>
          <t>ÖSTHAMMAR</t>
        </is>
      </c>
      <c r="G498" t="n">
        <v>4.5</v>
      </c>
      <c r="H498" t="n">
        <v>0</v>
      </c>
      <c r="I498" t="n">
        <v>0</v>
      </c>
      <c r="J498" t="n">
        <v>0</v>
      </c>
      <c r="K498" t="n">
        <v>0</v>
      </c>
      <c r="L498" t="n">
        <v>0</v>
      </c>
      <c r="M498" t="n">
        <v>0</v>
      </c>
      <c r="N498" t="n">
        <v>0</v>
      </c>
      <c r="O498" t="n">
        <v>0</v>
      </c>
      <c r="P498" t="n">
        <v>0</v>
      </c>
      <c r="Q498" t="n">
        <v>0</v>
      </c>
      <c r="R498" s="2" t="inlineStr"/>
    </row>
    <row r="499" ht="15" customHeight="1">
      <c r="A499" t="inlineStr">
        <is>
          <t>A 15928-2022</t>
        </is>
      </c>
      <c r="B499" s="1" t="n">
        <v>44664</v>
      </c>
      <c r="C499" s="1" t="n">
        <v>45798</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16141-2022</t>
        </is>
      </c>
      <c r="B500" s="1" t="n">
        <v>44665</v>
      </c>
      <c r="C500" s="1" t="n">
        <v>45798</v>
      </c>
      <c r="D500" t="inlineStr">
        <is>
          <t>UPPSALA LÄN</t>
        </is>
      </c>
      <c r="E500" t="inlineStr">
        <is>
          <t>ÖSTHAMMAR</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16142-2022</t>
        </is>
      </c>
      <c r="B501" s="1" t="n">
        <v>44665</v>
      </c>
      <c r="C501" s="1" t="n">
        <v>45798</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16167-2022</t>
        </is>
      </c>
      <c r="B502" s="1" t="n">
        <v>44667</v>
      </c>
      <c r="C502" s="1" t="n">
        <v>45798</v>
      </c>
      <c r="D502" t="inlineStr">
        <is>
          <t>UPPSALA LÄN</t>
        </is>
      </c>
      <c r="E502" t="inlineStr">
        <is>
          <t>ÖSTHAMMAR</t>
        </is>
      </c>
      <c r="F502" t="inlineStr">
        <is>
          <t>Bergvik skog öst AB</t>
        </is>
      </c>
      <c r="G502" t="n">
        <v>18.7</v>
      </c>
      <c r="H502" t="n">
        <v>0</v>
      </c>
      <c r="I502" t="n">
        <v>0</v>
      </c>
      <c r="J502" t="n">
        <v>0</v>
      </c>
      <c r="K502" t="n">
        <v>0</v>
      </c>
      <c r="L502" t="n">
        <v>0</v>
      </c>
      <c r="M502" t="n">
        <v>0</v>
      </c>
      <c r="N502" t="n">
        <v>0</v>
      </c>
      <c r="O502" t="n">
        <v>0</v>
      </c>
      <c r="P502" t="n">
        <v>0</v>
      </c>
      <c r="Q502" t="n">
        <v>0</v>
      </c>
      <c r="R502" s="2" t="inlineStr"/>
    </row>
    <row r="503" ht="15" customHeight="1">
      <c r="A503" t="inlineStr">
        <is>
          <t>A 16185-2022</t>
        </is>
      </c>
      <c r="B503" s="1" t="n">
        <v>44669</v>
      </c>
      <c r="C503" s="1" t="n">
        <v>45798</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16184-2022</t>
        </is>
      </c>
      <c r="B504" s="1" t="n">
        <v>44669</v>
      </c>
      <c r="C504" s="1" t="n">
        <v>45798</v>
      </c>
      <c r="D504" t="inlineStr">
        <is>
          <t>UPPSALA LÄN</t>
        </is>
      </c>
      <c r="E504" t="inlineStr">
        <is>
          <t>ÖSTHAMMAR</t>
        </is>
      </c>
      <c r="F504" t="inlineStr">
        <is>
          <t>Bergvik skog öst AB</t>
        </is>
      </c>
      <c r="G504" t="n">
        <v>0.8</v>
      </c>
      <c r="H504" t="n">
        <v>0</v>
      </c>
      <c r="I504" t="n">
        <v>0</v>
      </c>
      <c r="J504" t="n">
        <v>0</v>
      </c>
      <c r="K504" t="n">
        <v>0</v>
      </c>
      <c r="L504" t="n">
        <v>0</v>
      </c>
      <c r="M504" t="n">
        <v>0</v>
      </c>
      <c r="N504" t="n">
        <v>0</v>
      </c>
      <c r="O504" t="n">
        <v>0</v>
      </c>
      <c r="P504" t="n">
        <v>0</v>
      </c>
      <c r="Q504" t="n">
        <v>0</v>
      </c>
      <c r="R504" s="2" t="inlineStr"/>
    </row>
    <row r="505" ht="15" customHeight="1">
      <c r="A505" t="inlineStr">
        <is>
          <t>A 16254-2022</t>
        </is>
      </c>
      <c r="B505" s="1" t="n">
        <v>44670</v>
      </c>
      <c r="C505" s="1" t="n">
        <v>45798</v>
      </c>
      <c r="D505" t="inlineStr">
        <is>
          <t>UPPSALA LÄN</t>
        </is>
      </c>
      <c r="E505" t="inlineStr">
        <is>
          <t>ÖSTHAMMAR</t>
        </is>
      </c>
      <c r="G505" t="n">
        <v>0.7</v>
      </c>
      <c r="H505" t="n">
        <v>0</v>
      </c>
      <c r="I505" t="n">
        <v>0</v>
      </c>
      <c r="J505" t="n">
        <v>0</v>
      </c>
      <c r="K505" t="n">
        <v>0</v>
      </c>
      <c r="L505" t="n">
        <v>0</v>
      </c>
      <c r="M505" t="n">
        <v>0</v>
      </c>
      <c r="N505" t="n">
        <v>0</v>
      </c>
      <c r="O505" t="n">
        <v>0</v>
      </c>
      <c r="P505" t="n">
        <v>0</v>
      </c>
      <c r="Q505" t="n">
        <v>0</v>
      </c>
      <c r="R505" s="2" t="inlineStr"/>
    </row>
    <row r="506" ht="15" customHeight="1">
      <c r="A506" t="inlineStr">
        <is>
          <t>A 16933-2022</t>
        </is>
      </c>
      <c r="B506" s="1" t="n">
        <v>44676</v>
      </c>
      <c r="C506" s="1" t="n">
        <v>45798</v>
      </c>
      <c r="D506" t="inlineStr">
        <is>
          <t>UPPSALA LÄN</t>
        </is>
      </c>
      <c r="E506" t="inlineStr">
        <is>
          <t>ÖSTHAMMAR</t>
        </is>
      </c>
      <c r="G506" t="n">
        <v>1.3</v>
      </c>
      <c r="H506" t="n">
        <v>0</v>
      </c>
      <c r="I506" t="n">
        <v>0</v>
      </c>
      <c r="J506" t="n">
        <v>0</v>
      </c>
      <c r="K506" t="n">
        <v>0</v>
      </c>
      <c r="L506" t="n">
        <v>0</v>
      </c>
      <c r="M506" t="n">
        <v>0</v>
      </c>
      <c r="N506" t="n">
        <v>0</v>
      </c>
      <c r="O506" t="n">
        <v>0</v>
      </c>
      <c r="P506" t="n">
        <v>0</v>
      </c>
      <c r="Q506" t="n">
        <v>0</v>
      </c>
      <c r="R506" s="2" t="inlineStr"/>
    </row>
    <row r="507" ht="15" customHeight="1">
      <c r="A507" t="inlineStr">
        <is>
          <t>A 17013-2022</t>
        </is>
      </c>
      <c r="B507" s="1" t="n">
        <v>44676</v>
      </c>
      <c r="C507" s="1" t="n">
        <v>45798</v>
      </c>
      <c r="D507" t="inlineStr">
        <is>
          <t>UPPSALA LÄN</t>
        </is>
      </c>
      <c r="E507" t="inlineStr">
        <is>
          <t>ÖSTHAMMAR</t>
        </is>
      </c>
      <c r="F507" t="inlineStr">
        <is>
          <t>Bergvik skog öst AB</t>
        </is>
      </c>
      <c r="G507" t="n">
        <v>0.2</v>
      </c>
      <c r="H507" t="n">
        <v>0</v>
      </c>
      <c r="I507" t="n">
        <v>0</v>
      </c>
      <c r="J507" t="n">
        <v>0</v>
      </c>
      <c r="K507" t="n">
        <v>0</v>
      </c>
      <c r="L507" t="n">
        <v>0</v>
      </c>
      <c r="M507" t="n">
        <v>0</v>
      </c>
      <c r="N507" t="n">
        <v>0</v>
      </c>
      <c r="O507" t="n">
        <v>0</v>
      </c>
      <c r="P507" t="n">
        <v>0</v>
      </c>
      <c r="Q507" t="n">
        <v>0</v>
      </c>
      <c r="R507" s="2" t="inlineStr"/>
    </row>
    <row r="508" ht="15" customHeight="1">
      <c r="A508" t="inlineStr">
        <is>
          <t>A 17947-2022</t>
        </is>
      </c>
      <c r="B508" s="1" t="n">
        <v>44683</v>
      </c>
      <c r="C508" s="1" t="n">
        <v>45798</v>
      </c>
      <c r="D508" t="inlineStr">
        <is>
          <t>UPPSALA LÄN</t>
        </is>
      </c>
      <c r="E508" t="inlineStr">
        <is>
          <t>ÖSTHAMMAR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18183-2022</t>
        </is>
      </c>
      <c r="B509" s="1" t="n">
        <v>44684</v>
      </c>
      <c r="C509" s="1" t="n">
        <v>45798</v>
      </c>
      <c r="D509" t="inlineStr">
        <is>
          <t>UPPSALA LÄN</t>
        </is>
      </c>
      <c r="E509" t="inlineStr">
        <is>
          <t>ÖSTHAMMAR</t>
        </is>
      </c>
      <c r="G509" t="n">
        <v>0.2</v>
      </c>
      <c r="H509" t="n">
        <v>0</v>
      </c>
      <c r="I509" t="n">
        <v>0</v>
      </c>
      <c r="J509" t="n">
        <v>0</v>
      </c>
      <c r="K509" t="n">
        <v>0</v>
      </c>
      <c r="L509" t="n">
        <v>0</v>
      </c>
      <c r="M509" t="n">
        <v>0</v>
      </c>
      <c r="N509" t="n">
        <v>0</v>
      </c>
      <c r="O509" t="n">
        <v>0</v>
      </c>
      <c r="P509" t="n">
        <v>0</v>
      </c>
      <c r="Q509" t="n">
        <v>0</v>
      </c>
      <c r="R509" s="2" t="inlineStr"/>
    </row>
    <row r="510" ht="15" customHeight="1">
      <c r="A510" t="inlineStr">
        <is>
          <t>A 18732-2022</t>
        </is>
      </c>
      <c r="B510" s="1" t="n">
        <v>44687</v>
      </c>
      <c r="C510" s="1" t="n">
        <v>45798</v>
      </c>
      <c r="D510" t="inlineStr">
        <is>
          <t>UPPSALA LÄN</t>
        </is>
      </c>
      <c r="E510" t="inlineStr">
        <is>
          <t>ÖSTHAMMAR</t>
        </is>
      </c>
      <c r="G510" t="n">
        <v>10.5</v>
      </c>
      <c r="H510" t="n">
        <v>0</v>
      </c>
      <c r="I510" t="n">
        <v>0</v>
      </c>
      <c r="J510" t="n">
        <v>0</v>
      </c>
      <c r="K510" t="n">
        <v>0</v>
      </c>
      <c r="L510" t="n">
        <v>0</v>
      </c>
      <c r="M510" t="n">
        <v>0</v>
      </c>
      <c r="N510" t="n">
        <v>0</v>
      </c>
      <c r="O510" t="n">
        <v>0</v>
      </c>
      <c r="P510" t="n">
        <v>0</v>
      </c>
      <c r="Q510" t="n">
        <v>0</v>
      </c>
      <c r="R510" s="2" t="inlineStr"/>
    </row>
    <row r="511" ht="15" customHeight="1">
      <c r="A511" t="inlineStr">
        <is>
          <t>A 18727-2022</t>
        </is>
      </c>
      <c r="B511" s="1" t="n">
        <v>44687</v>
      </c>
      <c r="C511" s="1" t="n">
        <v>45798</v>
      </c>
      <c r="D511" t="inlineStr">
        <is>
          <t>UPPSALA LÄN</t>
        </is>
      </c>
      <c r="E511" t="inlineStr">
        <is>
          <t>ÖSTHAMMAR</t>
        </is>
      </c>
      <c r="G511" t="n">
        <v>0.4</v>
      </c>
      <c r="H511" t="n">
        <v>0</v>
      </c>
      <c r="I511" t="n">
        <v>0</v>
      </c>
      <c r="J511" t="n">
        <v>0</v>
      </c>
      <c r="K511" t="n">
        <v>0</v>
      </c>
      <c r="L511" t="n">
        <v>0</v>
      </c>
      <c r="M511" t="n">
        <v>0</v>
      </c>
      <c r="N511" t="n">
        <v>0</v>
      </c>
      <c r="O511" t="n">
        <v>0</v>
      </c>
      <c r="P511" t="n">
        <v>0</v>
      </c>
      <c r="Q511" t="n">
        <v>0</v>
      </c>
      <c r="R511" s="2" t="inlineStr"/>
    </row>
    <row r="512" ht="15" customHeight="1">
      <c r="A512" t="inlineStr">
        <is>
          <t>A 18728-2022</t>
        </is>
      </c>
      <c r="B512" s="1" t="n">
        <v>44687</v>
      </c>
      <c r="C512" s="1" t="n">
        <v>45798</v>
      </c>
      <c r="D512" t="inlineStr">
        <is>
          <t>UPPSALA LÄN</t>
        </is>
      </c>
      <c r="E512" t="inlineStr">
        <is>
          <t>ÖSTHAMMAR</t>
        </is>
      </c>
      <c r="G512" t="n">
        <v>8.1</v>
      </c>
      <c r="H512" t="n">
        <v>0</v>
      </c>
      <c r="I512" t="n">
        <v>0</v>
      </c>
      <c r="J512" t="n">
        <v>0</v>
      </c>
      <c r="K512" t="n">
        <v>0</v>
      </c>
      <c r="L512" t="n">
        <v>0</v>
      </c>
      <c r="M512" t="n">
        <v>0</v>
      </c>
      <c r="N512" t="n">
        <v>0</v>
      </c>
      <c r="O512" t="n">
        <v>0</v>
      </c>
      <c r="P512" t="n">
        <v>0</v>
      </c>
      <c r="Q512" t="n">
        <v>0</v>
      </c>
      <c r="R512" s="2" t="inlineStr"/>
    </row>
    <row r="513" ht="15" customHeight="1">
      <c r="A513" t="inlineStr">
        <is>
          <t>A 18734-2022</t>
        </is>
      </c>
      <c r="B513" s="1" t="n">
        <v>44687</v>
      </c>
      <c r="C513" s="1" t="n">
        <v>45798</v>
      </c>
      <c r="D513" t="inlineStr">
        <is>
          <t>UPPSALA LÄN</t>
        </is>
      </c>
      <c r="E513" t="inlineStr">
        <is>
          <t>ÖSTHAMMAR</t>
        </is>
      </c>
      <c r="F513" t="inlineStr">
        <is>
          <t>Bergvik skog öst AB</t>
        </is>
      </c>
      <c r="G513" t="n">
        <v>0.3</v>
      </c>
      <c r="H513" t="n">
        <v>0</v>
      </c>
      <c r="I513" t="n">
        <v>0</v>
      </c>
      <c r="J513" t="n">
        <v>0</v>
      </c>
      <c r="K513" t="n">
        <v>0</v>
      </c>
      <c r="L513" t="n">
        <v>0</v>
      </c>
      <c r="M513" t="n">
        <v>0</v>
      </c>
      <c r="N513" t="n">
        <v>0</v>
      </c>
      <c r="O513" t="n">
        <v>0</v>
      </c>
      <c r="P513" t="n">
        <v>0</v>
      </c>
      <c r="Q513" t="n">
        <v>0</v>
      </c>
      <c r="R513" s="2" t="inlineStr"/>
    </row>
    <row r="514" ht="15" customHeight="1">
      <c r="A514" t="inlineStr">
        <is>
          <t>A 18731-2022</t>
        </is>
      </c>
      <c r="B514" s="1" t="n">
        <v>44687</v>
      </c>
      <c r="C514" s="1" t="n">
        <v>45798</v>
      </c>
      <c r="D514" t="inlineStr">
        <is>
          <t>UPPSALA LÄN</t>
        </is>
      </c>
      <c r="E514" t="inlineStr">
        <is>
          <t>ÖSTHAMMAR</t>
        </is>
      </c>
      <c r="G514" t="n">
        <v>4.9</v>
      </c>
      <c r="H514" t="n">
        <v>0</v>
      </c>
      <c r="I514" t="n">
        <v>0</v>
      </c>
      <c r="J514" t="n">
        <v>0</v>
      </c>
      <c r="K514" t="n">
        <v>0</v>
      </c>
      <c r="L514" t="n">
        <v>0</v>
      </c>
      <c r="M514" t="n">
        <v>0</v>
      </c>
      <c r="N514" t="n">
        <v>0</v>
      </c>
      <c r="O514" t="n">
        <v>0</v>
      </c>
      <c r="P514" t="n">
        <v>0</v>
      </c>
      <c r="Q514" t="n">
        <v>0</v>
      </c>
      <c r="R514" s="2" t="inlineStr"/>
    </row>
    <row r="515" ht="15" customHeight="1">
      <c r="A515" t="inlineStr">
        <is>
          <t>A 18736-2022</t>
        </is>
      </c>
      <c r="B515" s="1" t="n">
        <v>44687</v>
      </c>
      <c r="C515" s="1" t="n">
        <v>45798</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19174-2022</t>
        </is>
      </c>
      <c r="B516" s="1" t="n">
        <v>44691</v>
      </c>
      <c r="C516" s="1" t="n">
        <v>45798</v>
      </c>
      <c r="D516" t="inlineStr">
        <is>
          <t>UPPSALA LÄN</t>
        </is>
      </c>
      <c r="E516" t="inlineStr">
        <is>
          <t>ÖSTHAMMAR</t>
        </is>
      </c>
      <c r="G516" t="n">
        <v>0.8</v>
      </c>
      <c r="H516" t="n">
        <v>0</v>
      </c>
      <c r="I516" t="n">
        <v>0</v>
      </c>
      <c r="J516" t="n">
        <v>0</v>
      </c>
      <c r="K516" t="n">
        <v>0</v>
      </c>
      <c r="L516" t="n">
        <v>0</v>
      </c>
      <c r="M516" t="n">
        <v>0</v>
      </c>
      <c r="N516" t="n">
        <v>0</v>
      </c>
      <c r="O516" t="n">
        <v>0</v>
      </c>
      <c r="P516" t="n">
        <v>0</v>
      </c>
      <c r="Q516" t="n">
        <v>0</v>
      </c>
      <c r="R516" s="2" t="inlineStr"/>
    </row>
    <row r="517" ht="15" customHeight="1">
      <c r="A517" t="inlineStr">
        <is>
          <t>A 19181-2022</t>
        </is>
      </c>
      <c r="B517" s="1" t="n">
        <v>44691</v>
      </c>
      <c r="C517" s="1" t="n">
        <v>45798</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19287-2022</t>
        </is>
      </c>
      <c r="B518" s="1" t="n">
        <v>44692</v>
      </c>
      <c r="C518" s="1" t="n">
        <v>45798</v>
      </c>
      <c r="D518" t="inlineStr">
        <is>
          <t>UPPSALA LÄN</t>
        </is>
      </c>
      <c r="E518" t="inlineStr">
        <is>
          <t>ÖSTHAMMAR</t>
        </is>
      </c>
      <c r="F518" t="inlineStr">
        <is>
          <t>Bergvik skog öst AB</t>
        </is>
      </c>
      <c r="G518" t="n">
        <v>0.5</v>
      </c>
      <c r="H518" t="n">
        <v>0</v>
      </c>
      <c r="I518" t="n">
        <v>0</v>
      </c>
      <c r="J518" t="n">
        <v>0</v>
      </c>
      <c r="K518" t="n">
        <v>0</v>
      </c>
      <c r="L518" t="n">
        <v>0</v>
      </c>
      <c r="M518" t="n">
        <v>0</v>
      </c>
      <c r="N518" t="n">
        <v>0</v>
      </c>
      <c r="O518" t="n">
        <v>0</v>
      </c>
      <c r="P518" t="n">
        <v>0</v>
      </c>
      <c r="Q518" t="n">
        <v>0</v>
      </c>
      <c r="R518" s="2" t="inlineStr"/>
    </row>
    <row r="519" ht="15" customHeight="1">
      <c r="A519" t="inlineStr">
        <is>
          <t>A 19707-2022</t>
        </is>
      </c>
      <c r="B519" s="1" t="n">
        <v>44694</v>
      </c>
      <c r="C519" s="1" t="n">
        <v>45798</v>
      </c>
      <c r="D519" t="inlineStr">
        <is>
          <t>UPPSALA LÄN</t>
        </is>
      </c>
      <c r="E519" t="inlineStr">
        <is>
          <t>ÖSTHAMMAR</t>
        </is>
      </c>
      <c r="F519" t="inlineStr">
        <is>
          <t>Allmännings- och besparingsskogar</t>
        </is>
      </c>
      <c r="G519" t="n">
        <v>0.5</v>
      </c>
      <c r="H519" t="n">
        <v>0</v>
      </c>
      <c r="I519" t="n">
        <v>0</v>
      </c>
      <c r="J519" t="n">
        <v>0</v>
      </c>
      <c r="K519" t="n">
        <v>0</v>
      </c>
      <c r="L519" t="n">
        <v>0</v>
      </c>
      <c r="M519" t="n">
        <v>0</v>
      </c>
      <c r="N519" t="n">
        <v>0</v>
      </c>
      <c r="O519" t="n">
        <v>0</v>
      </c>
      <c r="P519" t="n">
        <v>0</v>
      </c>
      <c r="Q519" t="n">
        <v>0</v>
      </c>
      <c r="R519" s="2" t="inlineStr"/>
    </row>
    <row r="520" ht="15" customHeight="1">
      <c r="A520" t="inlineStr">
        <is>
          <t>A 20468-2022</t>
        </is>
      </c>
      <c r="B520" s="1" t="n">
        <v>44699</v>
      </c>
      <c r="C520" s="1" t="n">
        <v>45798</v>
      </c>
      <c r="D520" t="inlineStr">
        <is>
          <t>UPPSALA LÄN</t>
        </is>
      </c>
      <c r="E520" t="inlineStr">
        <is>
          <t>ÖSTHAMMAR</t>
        </is>
      </c>
      <c r="G520" t="n">
        <v>3.7</v>
      </c>
      <c r="H520" t="n">
        <v>0</v>
      </c>
      <c r="I520" t="n">
        <v>0</v>
      </c>
      <c r="J520" t="n">
        <v>0</v>
      </c>
      <c r="K520" t="n">
        <v>0</v>
      </c>
      <c r="L520" t="n">
        <v>0</v>
      </c>
      <c r="M520" t="n">
        <v>0</v>
      </c>
      <c r="N520" t="n">
        <v>0</v>
      </c>
      <c r="O520" t="n">
        <v>0</v>
      </c>
      <c r="P520" t="n">
        <v>0</v>
      </c>
      <c r="Q520" t="n">
        <v>0</v>
      </c>
      <c r="R520" s="2" t="inlineStr"/>
    </row>
    <row r="521" ht="15" customHeight="1">
      <c r="A521" t="inlineStr">
        <is>
          <t>A 21522-2022</t>
        </is>
      </c>
      <c r="B521" s="1" t="n">
        <v>44706</v>
      </c>
      <c r="C521" s="1" t="n">
        <v>45798</v>
      </c>
      <c r="D521" t="inlineStr">
        <is>
          <t>UPPSALA LÄN</t>
        </is>
      </c>
      <c r="E521" t="inlineStr">
        <is>
          <t>ÖSTHAMMAR</t>
        </is>
      </c>
      <c r="G521" t="n">
        <v>1.8</v>
      </c>
      <c r="H521" t="n">
        <v>0</v>
      </c>
      <c r="I521" t="n">
        <v>0</v>
      </c>
      <c r="J521" t="n">
        <v>0</v>
      </c>
      <c r="K521" t="n">
        <v>0</v>
      </c>
      <c r="L521" t="n">
        <v>0</v>
      </c>
      <c r="M521" t="n">
        <v>0</v>
      </c>
      <c r="N521" t="n">
        <v>0</v>
      </c>
      <c r="O521" t="n">
        <v>0</v>
      </c>
      <c r="P521" t="n">
        <v>0</v>
      </c>
      <c r="Q521" t="n">
        <v>0</v>
      </c>
      <c r="R521" s="2" t="inlineStr"/>
    </row>
    <row r="522" ht="15" customHeight="1">
      <c r="A522" t="inlineStr">
        <is>
          <t>A 21830-2022</t>
        </is>
      </c>
      <c r="B522" s="1" t="n">
        <v>44710</v>
      </c>
      <c r="C522" s="1" t="n">
        <v>45798</v>
      </c>
      <c r="D522" t="inlineStr">
        <is>
          <t>UPPSALA LÄN</t>
        </is>
      </c>
      <c r="E522" t="inlineStr">
        <is>
          <t>ÖSTHAMMAR</t>
        </is>
      </c>
      <c r="F522" t="inlineStr">
        <is>
          <t>Bergvik skog öst AB</t>
        </is>
      </c>
      <c r="G522" t="n">
        <v>3.6</v>
      </c>
      <c r="H522" t="n">
        <v>0</v>
      </c>
      <c r="I522" t="n">
        <v>0</v>
      </c>
      <c r="J522" t="n">
        <v>0</v>
      </c>
      <c r="K522" t="n">
        <v>0</v>
      </c>
      <c r="L522" t="n">
        <v>0</v>
      </c>
      <c r="M522" t="n">
        <v>0</v>
      </c>
      <c r="N522" t="n">
        <v>0</v>
      </c>
      <c r="O522" t="n">
        <v>0</v>
      </c>
      <c r="P522" t="n">
        <v>0</v>
      </c>
      <c r="Q522" t="n">
        <v>0</v>
      </c>
      <c r="R522" s="2" t="inlineStr"/>
    </row>
    <row r="523" ht="15" customHeight="1">
      <c r="A523" t="inlineStr">
        <is>
          <t>A 21829-2022</t>
        </is>
      </c>
      <c r="B523" s="1" t="n">
        <v>44710</v>
      </c>
      <c r="C523" s="1" t="n">
        <v>45798</v>
      </c>
      <c r="D523" t="inlineStr">
        <is>
          <t>UPPSALA LÄN</t>
        </is>
      </c>
      <c r="E523" t="inlineStr">
        <is>
          <t>ÖSTHAMMAR</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22207-2022</t>
        </is>
      </c>
      <c r="B524" s="1" t="n">
        <v>44712</v>
      </c>
      <c r="C524" s="1" t="n">
        <v>45798</v>
      </c>
      <c r="D524" t="inlineStr">
        <is>
          <t>UPPSALA LÄN</t>
        </is>
      </c>
      <c r="E524" t="inlineStr">
        <is>
          <t>ÖSTHAMMAR</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22619-2022</t>
        </is>
      </c>
      <c r="B525" s="1" t="n">
        <v>44714</v>
      </c>
      <c r="C525" s="1" t="n">
        <v>45798</v>
      </c>
      <c r="D525" t="inlineStr">
        <is>
          <t>UPPSALA LÄN</t>
        </is>
      </c>
      <c r="E525" t="inlineStr">
        <is>
          <t>ÖSTHAMMAR</t>
        </is>
      </c>
      <c r="G525" t="n">
        <v>0.7</v>
      </c>
      <c r="H525" t="n">
        <v>0</v>
      </c>
      <c r="I525" t="n">
        <v>0</v>
      </c>
      <c r="J525" t="n">
        <v>0</v>
      </c>
      <c r="K525" t="n">
        <v>0</v>
      </c>
      <c r="L525" t="n">
        <v>0</v>
      </c>
      <c r="M525" t="n">
        <v>0</v>
      </c>
      <c r="N525" t="n">
        <v>0</v>
      </c>
      <c r="O525" t="n">
        <v>0</v>
      </c>
      <c r="P525" t="n">
        <v>0</v>
      </c>
      <c r="Q525" t="n">
        <v>0</v>
      </c>
      <c r="R525" s="2" t="inlineStr"/>
    </row>
    <row r="526" ht="15" customHeight="1">
      <c r="A526" t="inlineStr">
        <is>
          <t>A 22804-2022</t>
        </is>
      </c>
      <c r="B526" s="1" t="n">
        <v>44715</v>
      </c>
      <c r="C526" s="1" t="n">
        <v>45798</v>
      </c>
      <c r="D526" t="inlineStr">
        <is>
          <t>UPPSALA LÄN</t>
        </is>
      </c>
      <c r="E526" t="inlineStr">
        <is>
          <t>ÖSTHAMMAR</t>
        </is>
      </c>
      <c r="G526" t="n">
        <v>2.7</v>
      </c>
      <c r="H526" t="n">
        <v>0</v>
      </c>
      <c r="I526" t="n">
        <v>0</v>
      </c>
      <c r="J526" t="n">
        <v>0</v>
      </c>
      <c r="K526" t="n">
        <v>0</v>
      </c>
      <c r="L526" t="n">
        <v>0</v>
      </c>
      <c r="M526" t="n">
        <v>0</v>
      </c>
      <c r="N526" t="n">
        <v>0</v>
      </c>
      <c r="O526" t="n">
        <v>0</v>
      </c>
      <c r="P526" t="n">
        <v>0</v>
      </c>
      <c r="Q526" t="n">
        <v>0</v>
      </c>
      <c r="R526" s="2" t="inlineStr"/>
    </row>
    <row r="527" ht="15" customHeight="1">
      <c r="A527" t="inlineStr">
        <is>
          <t>A 22887-2022</t>
        </is>
      </c>
      <c r="B527" s="1" t="n">
        <v>44715</v>
      </c>
      <c r="C527" s="1" t="n">
        <v>45798</v>
      </c>
      <c r="D527" t="inlineStr">
        <is>
          <t>UPPSALA LÄN</t>
        </is>
      </c>
      <c r="E527" t="inlineStr">
        <is>
          <t>ÖSTHAMMAR</t>
        </is>
      </c>
      <c r="G527" t="n">
        <v>0.2</v>
      </c>
      <c r="H527" t="n">
        <v>0</v>
      </c>
      <c r="I527" t="n">
        <v>0</v>
      </c>
      <c r="J527" t="n">
        <v>0</v>
      </c>
      <c r="K527" t="n">
        <v>0</v>
      </c>
      <c r="L527" t="n">
        <v>0</v>
      </c>
      <c r="M527" t="n">
        <v>0</v>
      </c>
      <c r="N527" t="n">
        <v>0</v>
      </c>
      <c r="O527" t="n">
        <v>0</v>
      </c>
      <c r="P527" t="n">
        <v>0</v>
      </c>
      <c r="Q527" t="n">
        <v>0</v>
      </c>
      <c r="R527" s="2" t="inlineStr"/>
    </row>
    <row r="528" ht="15" customHeight="1">
      <c r="A528" t="inlineStr">
        <is>
          <t>A 22945-2022</t>
        </is>
      </c>
      <c r="B528" s="1" t="n">
        <v>44715</v>
      </c>
      <c r="C528" s="1" t="n">
        <v>45798</v>
      </c>
      <c r="D528" t="inlineStr">
        <is>
          <t>UPPSALA LÄN</t>
        </is>
      </c>
      <c r="E528" t="inlineStr">
        <is>
          <t>ÖSTHAMMAR</t>
        </is>
      </c>
      <c r="F528" t="inlineStr">
        <is>
          <t>Bergvik skog öst AB</t>
        </is>
      </c>
      <c r="G528" t="n">
        <v>1</v>
      </c>
      <c r="H528" t="n">
        <v>0</v>
      </c>
      <c r="I528" t="n">
        <v>0</v>
      </c>
      <c r="J528" t="n">
        <v>0</v>
      </c>
      <c r="K528" t="n">
        <v>0</v>
      </c>
      <c r="L528" t="n">
        <v>0</v>
      </c>
      <c r="M528" t="n">
        <v>0</v>
      </c>
      <c r="N528" t="n">
        <v>0</v>
      </c>
      <c r="O528" t="n">
        <v>0</v>
      </c>
      <c r="P528" t="n">
        <v>0</v>
      </c>
      <c r="Q528" t="n">
        <v>0</v>
      </c>
      <c r="R528" s="2" t="inlineStr"/>
    </row>
    <row r="529" ht="15" customHeight="1">
      <c r="A529" t="inlineStr">
        <is>
          <t>A 22993-2022</t>
        </is>
      </c>
      <c r="B529" s="1" t="n">
        <v>44718</v>
      </c>
      <c r="C529" s="1" t="n">
        <v>45798</v>
      </c>
      <c r="D529" t="inlineStr">
        <is>
          <t>UPPSALA LÄN</t>
        </is>
      </c>
      <c r="E529" t="inlineStr">
        <is>
          <t>ÖSTHAMMAR</t>
        </is>
      </c>
      <c r="F529" t="inlineStr">
        <is>
          <t>Bergvik skog öst AB</t>
        </is>
      </c>
      <c r="G529" t="n">
        <v>4.8</v>
      </c>
      <c r="H529" t="n">
        <v>0</v>
      </c>
      <c r="I529" t="n">
        <v>0</v>
      </c>
      <c r="J529" t="n">
        <v>0</v>
      </c>
      <c r="K529" t="n">
        <v>0</v>
      </c>
      <c r="L529" t="n">
        <v>0</v>
      </c>
      <c r="M529" t="n">
        <v>0</v>
      </c>
      <c r="N529" t="n">
        <v>0</v>
      </c>
      <c r="O529" t="n">
        <v>0</v>
      </c>
      <c r="P529" t="n">
        <v>0</v>
      </c>
      <c r="Q529" t="n">
        <v>0</v>
      </c>
      <c r="R529" s="2" t="inlineStr"/>
    </row>
    <row r="530" ht="15" customHeight="1">
      <c r="A530" t="inlineStr">
        <is>
          <t>A 22994-2022</t>
        </is>
      </c>
      <c r="B530" s="1" t="n">
        <v>44718</v>
      </c>
      <c r="C530" s="1" t="n">
        <v>45798</v>
      </c>
      <c r="D530" t="inlineStr">
        <is>
          <t>UPPSALA LÄN</t>
        </is>
      </c>
      <c r="E530" t="inlineStr">
        <is>
          <t>ÖSTHAMMAR</t>
        </is>
      </c>
      <c r="F530" t="inlineStr">
        <is>
          <t>Bergvik skog öst AB</t>
        </is>
      </c>
      <c r="G530" t="n">
        <v>29.9</v>
      </c>
      <c r="H530" t="n">
        <v>0</v>
      </c>
      <c r="I530" t="n">
        <v>0</v>
      </c>
      <c r="J530" t="n">
        <v>0</v>
      </c>
      <c r="K530" t="n">
        <v>0</v>
      </c>
      <c r="L530" t="n">
        <v>0</v>
      </c>
      <c r="M530" t="n">
        <v>0</v>
      </c>
      <c r="N530" t="n">
        <v>0</v>
      </c>
      <c r="O530" t="n">
        <v>0</v>
      </c>
      <c r="P530" t="n">
        <v>0</v>
      </c>
      <c r="Q530" t="n">
        <v>0</v>
      </c>
      <c r="R530" s="2" t="inlineStr"/>
    </row>
    <row r="531" ht="15" customHeight="1">
      <c r="A531" t="inlineStr">
        <is>
          <t>A 23603-2022</t>
        </is>
      </c>
      <c r="B531" s="1" t="n">
        <v>44721</v>
      </c>
      <c r="C531" s="1" t="n">
        <v>45798</v>
      </c>
      <c r="D531" t="inlineStr">
        <is>
          <t>UPPSALA LÄN</t>
        </is>
      </c>
      <c r="E531" t="inlineStr">
        <is>
          <t>ÖSTHAMMAR</t>
        </is>
      </c>
      <c r="F531" t="inlineStr">
        <is>
          <t>Övriga Aktiebolag</t>
        </is>
      </c>
      <c r="G531" t="n">
        <v>1.2</v>
      </c>
      <c r="H531" t="n">
        <v>0</v>
      </c>
      <c r="I531" t="n">
        <v>0</v>
      </c>
      <c r="J531" t="n">
        <v>0</v>
      </c>
      <c r="K531" t="n">
        <v>0</v>
      </c>
      <c r="L531" t="n">
        <v>0</v>
      </c>
      <c r="M531" t="n">
        <v>0</v>
      </c>
      <c r="N531" t="n">
        <v>0</v>
      </c>
      <c r="O531" t="n">
        <v>0</v>
      </c>
      <c r="P531" t="n">
        <v>0</v>
      </c>
      <c r="Q531" t="n">
        <v>0</v>
      </c>
      <c r="R531" s="2" t="inlineStr"/>
    </row>
    <row r="532" ht="15" customHeight="1">
      <c r="A532" t="inlineStr">
        <is>
          <t>A 24138-2022</t>
        </is>
      </c>
      <c r="B532" s="1" t="n">
        <v>44725</v>
      </c>
      <c r="C532" s="1" t="n">
        <v>45798</v>
      </c>
      <c r="D532" t="inlineStr">
        <is>
          <t>UPPSALA LÄN</t>
        </is>
      </c>
      <c r="E532" t="inlineStr">
        <is>
          <t>ÖSTHAMMAR</t>
        </is>
      </c>
      <c r="G532" t="n">
        <v>0.4</v>
      </c>
      <c r="H532" t="n">
        <v>0</v>
      </c>
      <c r="I532" t="n">
        <v>0</v>
      </c>
      <c r="J532" t="n">
        <v>0</v>
      </c>
      <c r="K532" t="n">
        <v>0</v>
      </c>
      <c r="L532" t="n">
        <v>0</v>
      </c>
      <c r="M532" t="n">
        <v>0</v>
      </c>
      <c r="N532" t="n">
        <v>0</v>
      </c>
      <c r="O532" t="n">
        <v>0</v>
      </c>
      <c r="P532" t="n">
        <v>0</v>
      </c>
      <c r="Q532" t="n">
        <v>0</v>
      </c>
      <c r="R532" s="2" t="inlineStr"/>
    </row>
    <row r="533" ht="15" customHeight="1">
      <c r="A533" t="inlineStr">
        <is>
          <t>A 24149-2022</t>
        </is>
      </c>
      <c r="B533" s="1" t="n">
        <v>44725</v>
      </c>
      <c r="C533" s="1" t="n">
        <v>45798</v>
      </c>
      <c r="D533" t="inlineStr">
        <is>
          <t>UPPSALA LÄN</t>
        </is>
      </c>
      <c r="E533" t="inlineStr">
        <is>
          <t>ÖSTHAMMAR</t>
        </is>
      </c>
      <c r="G533" t="n">
        <v>1.1</v>
      </c>
      <c r="H533" t="n">
        <v>0</v>
      </c>
      <c r="I533" t="n">
        <v>0</v>
      </c>
      <c r="J533" t="n">
        <v>0</v>
      </c>
      <c r="K533" t="n">
        <v>0</v>
      </c>
      <c r="L533" t="n">
        <v>0</v>
      </c>
      <c r="M533" t="n">
        <v>0</v>
      </c>
      <c r="N533" t="n">
        <v>0</v>
      </c>
      <c r="O533" t="n">
        <v>0</v>
      </c>
      <c r="P533" t="n">
        <v>0</v>
      </c>
      <c r="Q533" t="n">
        <v>0</v>
      </c>
      <c r="R533" s="2" t="inlineStr"/>
    </row>
    <row r="534" ht="15" customHeight="1">
      <c r="A534" t="inlineStr">
        <is>
          <t>A 24181-2022</t>
        </is>
      </c>
      <c r="B534" s="1" t="n">
        <v>44725</v>
      </c>
      <c r="C534" s="1" t="n">
        <v>45798</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24259-2022</t>
        </is>
      </c>
      <c r="B535" s="1" t="n">
        <v>44725</v>
      </c>
      <c r="C535" s="1" t="n">
        <v>45798</v>
      </c>
      <c r="D535" t="inlineStr">
        <is>
          <t>UPPSALA LÄN</t>
        </is>
      </c>
      <c r="E535" t="inlineStr">
        <is>
          <t>ÖSTHAMMAR</t>
        </is>
      </c>
      <c r="G535" t="n">
        <v>2.4</v>
      </c>
      <c r="H535" t="n">
        <v>0</v>
      </c>
      <c r="I535" t="n">
        <v>0</v>
      </c>
      <c r="J535" t="n">
        <v>0</v>
      </c>
      <c r="K535" t="n">
        <v>0</v>
      </c>
      <c r="L535" t="n">
        <v>0</v>
      </c>
      <c r="M535" t="n">
        <v>0</v>
      </c>
      <c r="N535" t="n">
        <v>0</v>
      </c>
      <c r="O535" t="n">
        <v>0</v>
      </c>
      <c r="P535" t="n">
        <v>0</v>
      </c>
      <c r="Q535" t="n">
        <v>0</v>
      </c>
      <c r="R535" s="2" t="inlineStr"/>
    </row>
    <row r="536" ht="15" customHeight="1">
      <c r="A536" t="inlineStr">
        <is>
          <t>A 24447-2022</t>
        </is>
      </c>
      <c r="B536" s="1" t="n">
        <v>44726</v>
      </c>
      <c r="C536" s="1" t="n">
        <v>45798</v>
      </c>
      <c r="D536" t="inlineStr">
        <is>
          <t>UPPSALA LÄN</t>
        </is>
      </c>
      <c r="E536" t="inlineStr">
        <is>
          <t>ÖSTHAMMAR</t>
        </is>
      </c>
      <c r="G536" t="n">
        <v>5.5</v>
      </c>
      <c r="H536" t="n">
        <v>0</v>
      </c>
      <c r="I536" t="n">
        <v>0</v>
      </c>
      <c r="J536" t="n">
        <v>0</v>
      </c>
      <c r="K536" t="n">
        <v>0</v>
      </c>
      <c r="L536" t="n">
        <v>0</v>
      </c>
      <c r="M536" t="n">
        <v>0</v>
      </c>
      <c r="N536" t="n">
        <v>0</v>
      </c>
      <c r="O536" t="n">
        <v>0</v>
      </c>
      <c r="P536" t="n">
        <v>0</v>
      </c>
      <c r="Q536" t="n">
        <v>0</v>
      </c>
      <c r="R536" s="2" t="inlineStr"/>
    </row>
    <row r="537" ht="15" customHeight="1">
      <c r="A537" t="inlineStr">
        <is>
          <t>A 24367-2022</t>
        </is>
      </c>
      <c r="B537" s="1" t="n">
        <v>44726</v>
      </c>
      <c r="C537" s="1" t="n">
        <v>45798</v>
      </c>
      <c r="D537" t="inlineStr">
        <is>
          <t>UPPSALA LÄN</t>
        </is>
      </c>
      <c r="E537" t="inlineStr">
        <is>
          <t>ÖSTHAMMAR</t>
        </is>
      </c>
      <c r="G537" t="n">
        <v>2.7</v>
      </c>
      <c r="H537" t="n">
        <v>0</v>
      </c>
      <c r="I537" t="n">
        <v>0</v>
      </c>
      <c r="J537" t="n">
        <v>0</v>
      </c>
      <c r="K537" t="n">
        <v>0</v>
      </c>
      <c r="L537" t="n">
        <v>0</v>
      </c>
      <c r="M537" t="n">
        <v>0</v>
      </c>
      <c r="N537" t="n">
        <v>0</v>
      </c>
      <c r="O537" t="n">
        <v>0</v>
      </c>
      <c r="P537" t="n">
        <v>0</v>
      </c>
      <c r="Q537" t="n">
        <v>0</v>
      </c>
      <c r="R537" s="2" t="inlineStr"/>
    </row>
    <row r="538" ht="15" customHeight="1">
      <c r="A538" t="inlineStr">
        <is>
          <t>A 24817-2022</t>
        </is>
      </c>
      <c r="B538" s="1" t="n">
        <v>44728</v>
      </c>
      <c r="C538" s="1" t="n">
        <v>45798</v>
      </c>
      <c r="D538" t="inlineStr">
        <is>
          <t>UPPSALA LÄN</t>
        </is>
      </c>
      <c r="E538" t="inlineStr">
        <is>
          <t>ÖSTHAMMAR</t>
        </is>
      </c>
      <c r="F538" t="inlineStr">
        <is>
          <t>Sveaskog</t>
        </is>
      </c>
      <c r="G538" t="n">
        <v>0.2</v>
      </c>
      <c r="H538" t="n">
        <v>0</v>
      </c>
      <c r="I538" t="n">
        <v>0</v>
      </c>
      <c r="J538" t="n">
        <v>0</v>
      </c>
      <c r="K538" t="n">
        <v>0</v>
      </c>
      <c r="L538" t="n">
        <v>0</v>
      </c>
      <c r="M538" t="n">
        <v>0</v>
      </c>
      <c r="N538" t="n">
        <v>0</v>
      </c>
      <c r="O538" t="n">
        <v>0</v>
      </c>
      <c r="P538" t="n">
        <v>0</v>
      </c>
      <c r="Q538" t="n">
        <v>0</v>
      </c>
      <c r="R538" s="2" t="inlineStr"/>
    </row>
    <row r="539" ht="15" customHeight="1">
      <c r="A539" t="inlineStr">
        <is>
          <t>A 25076-2022</t>
        </is>
      </c>
      <c r="B539" s="1" t="n">
        <v>44729</v>
      </c>
      <c r="C539" s="1" t="n">
        <v>45798</v>
      </c>
      <c r="D539" t="inlineStr">
        <is>
          <t>UPPSALA LÄN</t>
        </is>
      </c>
      <c r="E539" t="inlineStr">
        <is>
          <t>ÖSTHAMMAR</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25418-2022</t>
        </is>
      </c>
      <c r="B540" s="1" t="n">
        <v>44732</v>
      </c>
      <c r="C540" s="1" t="n">
        <v>45798</v>
      </c>
      <c r="D540" t="inlineStr">
        <is>
          <t>UPPSALA LÄN</t>
        </is>
      </c>
      <c r="E540" t="inlineStr">
        <is>
          <t>ÖSTHAMMAR</t>
        </is>
      </c>
      <c r="G540" t="n">
        <v>2.8</v>
      </c>
      <c r="H540" t="n">
        <v>0</v>
      </c>
      <c r="I540" t="n">
        <v>0</v>
      </c>
      <c r="J540" t="n">
        <v>0</v>
      </c>
      <c r="K540" t="n">
        <v>0</v>
      </c>
      <c r="L540" t="n">
        <v>0</v>
      </c>
      <c r="M540" t="n">
        <v>0</v>
      </c>
      <c r="N540" t="n">
        <v>0</v>
      </c>
      <c r="O540" t="n">
        <v>0</v>
      </c>
      <c r="P540" t="n">
        <v>0</v>
      </c>
      <c r="Q540" t="n">
        <v>0</v>
      </c>
      <c r="R540" s="2" t="inlineStr"/>
    </row>
    <row r="541" ht="15" customHeight="1">
      <c r="A541" t="inlineStr">
        <is>
          <t>A 25434-2022</t>
        </is>
      </c>
      <c r="B541" s="1" t="n">
        <v>44732</v>
      </c>
      <c r="C541" s="1" t="n">
        <v>45798</v>
      </c>
      <c r="D541" t="inlineStr">
        <is>
          <t>UPPSALA LÄN</t>
        </is>
      </c>
      <c r="E541" t="inlineStr">
        <is>
          <t>ÖSTHAMMAR</t>
        </is>
      </c>
      <c r="G541" t="n">
        <v>0.8</v>
      </c>
      <c r="H541" t="n">
        <v>0</v>
      </c>
      <c r="I541" t="n">
        <v>0</v>
      </c>
      <c r="J541" t="n">
        <v>0</v>
      </c>
      <c r="K541" t="n">
        <v>0</v>
      </c>
      <c r="L541" t="n">
        <v>0</v>
      </c>
      <c r="M541" t="n">
        <v>0</v>
      </c>
      <c r="N541" t="n">
        <v>0</v>
      </c>
      <c r="O541" t="n">
        <v>0</v>
      </c>
      <c r="P541" t="n">
        <v>0</v>
      </c>
      <c r="Q541" t="n">
        <v>0</v>
      </c>
      <c r="R541" s="2" t="inlineStr"/>
    </row>
    <row r="542" ht="15" customHeight="1">
      <c r="A542" t="inlineStr">
        <is>
          <t>A 26008-2022</t>
        </is>
      </c>
      <c r="B542" s="1" t="n">
        <v>44734</v>
      </c>
      <c r="C542" s="1" t="n">
        <v>45798</v>
      </c>
      <c r="D542" t="inlineStr">
        <is>
          <t>UPPSALA LÄN</t>
        </is>
      </c>
      <c r="E542" t="inlineStr">
        <is>
          <t>ÖSTHAMMAR</t>
        </is>
      </c>
      <c r="F542" t="inlineStr">
        <is>
          <t>Bergvik skog öst AB</t>
        </is>
      </c>
      <c r="G542" t="n">
        <v>8.4</v>
      </c>
      <c r="H542" t="n">
        <v>0</v>
      </c>
      <c r="I542" t="n">
        <v>0</v>
      </c>
      <c r="J542" t="n">
        <v>0</v>
      </c>
      <c r="K542" t="n">
        <v>0</v>
      </c>
      <c r="L542" t="n">
        <v>0</v>
      </c>
      <c r="M542" t="n">
        <v>0</v>
      </c>
      <c r="N542" t="n">
        <v>0</v>
      </c>
      <c r="O542" t="n">
        <v>0</v>
      </c>
      <c r="P542" t="n">
        <v>0</v>
      </c>
      <c r="Q542" t="n">
        <v>0</v>
      </c>
      <c r="R542" s="2" t="inlineStr"/>
    </row>
    <row r="543" ht="15" customHeight="1">
      <c r="A543" t="inlineStr">
        <is>
          <t>A 25987-2022</t>
        </is>
      </c>
      <c r="B543" s="1" t="n">
        <v>44734</v>
      </c>
      <c r="C543" s="1" t="n">
        <v>45798</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25983-2022</t>
        </is>
      </c>
      <c r="B544" s="1" t="n">
        <v>44734</v>
      </c>
      <c r="C544" s="1" t="n">
        <v>45798</v>
      </c>
      <c r="D544" t="inlineStr">
        <is>
          <t>UPPSALA LÄN</t>
        </is>
      </c>
      <c r="E544" t="inlineStr">
        <is>
          <t>ÖSTHAMMAR</t>
        </is>
      </c>
      <c r="G544" t="n">
        <v>4.7</v>
      </c>
      <c r="H544" t="n">
        <v>0</v>
      </c>
      <c r="I544" t="n">
        <v>0</v>
      </c>
      <c r="J544" t="n">
        <v>0</v>
      </c>
      <c r="K544" t="n">
        <v>0</v>
      </c>
      <c r="L544" t="n">
        <v>0</v>
      </c>
      <c r="M544" t="n">
        <v>0</v>
      </c>
      <c r="N544" t="n">
        <v>0</v>
      </c>
      <c r="O544" t="n">
        <v>0</v>
      </c>
      <c r="P544" t="n">
        <v>0</v>
      </c>
      <c r="Q544" t="n">
        <v>0</v>
      </c>
      <c r="R544" s="2" t="inlineStr"/>
    </row>
    <row r="545" ht="15" customHeight="1">
      <c r="A545" t="inlineStr">
        <is>
          <t>A 26004-2022</t>
        </is>
      </c>
      <c r="B545" s="1" t="n">
        <v>44734</v>
      </c>
      <c r="C545" s="1" t="n">
        <v>45798</v>
      </c>
      <c r="D545" t="inlineStr">
        <is>
          <t>UPPSALA LÄN</t>
        </is>
      </c>
      <c r="E545" t="inlineStr">
        <is>
          <t>ÖSTHAMMAR</t>
        </is>
      </c>
      <c r="F545" t="inlineStr">
        <is>
          <t>Bergvik skog öst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26534-2022</t>
        </is>
      </c>
      <c r="B546" s="1" t="n">
        <v>44739</v>
      </c>
      <c r="C546" s="1" t="n">
        <v>45798</v>
      </c>
      <c r="D546" t="inlineStr">
        <is>
          <t>UPPSALA LÄN</t>
        </is>
      </c>
      <c r="E546" t="inlineStr">
        <is>
          <t>ÖSTHAMMAR</t>
        </is>
      </c>
      <c r="F546" t="inlineStr">
        <is>
          <t>Övriga statliga verk och myndigheter</t>
        </is>
      </c>
      <c r="G546" t="n">
        <v>0.6</v>
      </c>
      <c r="H546" t="n">
        <v>0</v>
      </c>
      <c r="I546" t="n">
        <v>0</v>
      </c>
      <c r="J546" t="n">
        <v>0</v>
      </c>
      <c r="K546" t="n">
        <v>0</v>
      </c>
      <c r="L546" t="n">
        <v>0</v>
      </c>
      <c r="M546" t="n">
        <v>0</v>
      </c>
      <c r="N546" t="n">
        <v>0</v>
      </c>
      <c r="O546" t="n">
        <v>0</v>
      </c>
      <c r="P546" t="n">
        <v>0</v>
      </c>
      <c r="Q546" t="n">
        <v>0</v>
      </c>
      <c r="R546" s="2" t="inlineStr"/>
    </row>
    <row r="547" ht="15" customHeight="1">
      <c r="A547" t="inlineStr">
        <is>
          <t>A 26552-2022</t>
        </is>
      </c>
      <c r="B547" s="1" t="n">
        <v>44739</v>
      </c>
      <c r="C547" s="1" t="n">
        <v>45798</v>
      </c>
      <c r="D547" t="inlineStr">
        <is>
          <t>UPPSALA LÄN</t>
        </is>
      </c>
      <c r="E547" t="inlineStr">
        <is>
          <t>ÖSTHAMMAR</t>
        </is>
      </c>
      <c r="G547" t="n">
        <v>2.2</v>
      </c>
      <c r="H547" t="n">
        <v>0</v>
      </c>
      <c r="I547" t="n">
        <v>0</v>
      </c>
      <c r="J547" t="n">
        <v>0</v>
      </c>
      <c r="K547" t="n">
        <v>0</v>
      </c>
      <c r="L547" t="n">
        <v>0</v>
      </c>
      <c r="M547" t="n">
        <v>0</v>
      </c>
      <c r="N547" t="n">
        <v>0</v>
      </c>
      <c r="O547" t="n">
        <v>0</v>
      </c>
      <c r="P547" t="n">
        <v>0</v>
      </c>
      <c r="Q547" t="n">
        <v>0</v>
      </c>
      <c r="R547" s="2" t="inlineStr"/>
    </row>
    <row r="548" ht="15" customHeight="1">
      <c r="A548" t="inlineStr">
        <is>
          <t>A 26561-2022</t>
        </is>
      </c>
      <c r="B548" s="1" t="n">
        <v>44739</v>
      </c>
      <c r="C548" s="1" t="n">
        <v>45798</v>
      </c>
      <c r="D548" t="inlineStr">
        <is>
          <t>UPPSALA LÄN</t>
        </is>
      </c>
      <c r="E548" t="inlineStr">
        <is>
          <t>ÖSTHAMMAR</t>
        </is>
      </c>
      <c r="G548" t="n">
        <v>3.7</v>
      </c>
      <c r="H548" t="n">
        <v>0</v>
      </c>
      <c r="I548" t="n">
        <v>0</v>
      </c>
      <c r="J548" t="n">
        <v>0</v>
      </c>
      <c r="K548" t="n">
        <v>0</v>
      </c>
      <c r="L548" t="n">
        <v>0</v>
      </c>
      <c r="M548" t="n">
        <v>0</v>
      </c>
      <c r="N548" t="n">
        <v>0</v>
      </c>
      <c r="O548" t="n">
        <v>0</v>
      </c>
      <c r="P548" t="n">
        <v>0</v>
      </c>
      <c r="Q548" t="n">
        <v>0</v>
      </c>
      <c r="R548" s="2" t="inlineStr"/>
    </row>
    <row r="549" ht="15" customHeight="1">
      <c r="A549" t="inlineStr">
        <is>
          <t>A 28228-2022</t>
        </is>
      </c>
      <c r="B549" s="1" t="n">
        <v>44746</v>
      </c>
      <c r="C549" s="1" t="n">
        <v>45798</v>
      </c>
      <c r="D549" t="inlineStr">
        <is>
          <t>UPPSALA LÄN</t>
        </is>
      </c>
      <c r="E549" t="inlineStr">
        <is>
          <t>ÖSTHAMMAR</t>
        </is>
      </c>
      <c r="G549" t="n">
        <v>2.7</v>
      </c>
      <c r="H549" t="n">
        <v>0</v>
      </c>
      <c r="I549" t="n">
        <v>0</v>
      </c>
      <c r="J549" t="n">
        <v>0</v>
      </c>
      <c r="K549" t="n">
        <v>0</v>
      </c>
      <c r="L549" t="n">
        <v>0</v>
      </c>
      <c r="M549" t="n">
        <v>0</v>
      </c>
      <c r="N549" t="n">
        <v>0</v>
      </c>
      <c r="O549" t="n">
        <v>0</v>
      </c>
      <c r="P549" t="n">
        <v>0</v>
      </c>
      <c r="Q549" t="n">
        <v>0</v>
      </c>
      <c r="R549" s="2" t="inlineStr"/>
    </row>
    <row r="550" ht="15" customHeight="1">
      <c r="A550" t="inlineStr">
        <is>
          <t>A 29753-2022</t>
        </is>
      </c>
      <c r="B550" s="1" t="n">
        <v>44755</v>
      </c>
      <c r="C550" s="1" t="n">
        <v>45798</v>
      </c>
      <c r="D550" t="inlineStr">
        <is>
          <t>UPPSALA LÄN</t>
        </is>
      </c>
      <c r="E550" t="inlineStr">
        <is>
          <t>ÖSTHAMMAR</t>
        </is>
      </c>
      <c r="G550" t="n">
        <v>9.4</v>
      </c>
      <c r="H550" t="n">
        <v>0</v>
      </c>
      <c r="I550" t="n">
        <v>0</v>
      </c>
      <c r="J550" t="n">
        <v>0</v>
      </c>
      <c r="K550" t="n">
        <v>0</v>
      </c>
      <c r="L550" t="n">
        <v>0</v>
      </c>
      <c r="M550" t="n">
        <v>0</v>
      </c>
      <c r="N550" t="n">
        <v>0</v>
      </c>
      <c r="O550" t="n">
        <v>0</v>
      </c>
      <c r="P550" t="n">
        <v>0</v>
      </c>
      <c r="Q550" t="n">
        <v>0</v>
      </c>
      <c r="R550" s="2" t="inlineStr"/>
    </row>
    <row r="551" ht="15" customHeight="1">
      <c r="A551" t="inlineStr">
        <is>
          <t>A 30212-2022</t>
        </is>
      </c>
      <c r="B551" s="1" t="n">
        <v>44757</v>
      </c>
      <c r="C551" s="1" t="n">
        <v>45798</v>
      </c>
      <c r="D551" t="inlineStr">
        <is>
          <t>UPPSALA LÄN</t>
        </is>
      </c>
      <c r="E551" t="inlineStr">
        <is>
          <t>ÖSTHAMMAR</t>
        </is>
      </c>
      <c r="F551" t="inlineStr">
        <is>
          <t>Bergvik skog öst AB</t>
        </is>
      </c>
      <c r="G551" t="n">
        <v>13.6</v>
      </c>
      <c r="H551" t="n">
        <v>0</v>
      </c>
      <c r="I551" t="n">
        <v>0</v>
      </c>
      <c r="J551" t="n">
        <v>0</v>
      </c>
      <c r="K551" t="n">
        <v>0</v>
      </c>
      <c r="L551" t="n">
        <v>0</v>
      </c>
      <c r="M551" t="n">
        <v>0</v>
      </c>
      <c r="N551" t="n">
        <v>0</v>
      </c>
      <c r="O551" t="n">
        <v>0</v>
      </c>
      <c r="P551" t="n">
        <v>0</v>
      </c>
      <c r="Q551" t="n">
        <v>0</v>
      </c>
      <c r="R551" s="2" t="inlineStr"/>
    </row>
    <row r="552" ht="15" customHeight="1">
      <c r="A552" t="inlineStr">
        <is>
          <t>A 30209-2022</t>
        </is>
      </c>
      <c r="B552" s="1" t="n">
        <v>44757</v>
      </c>
      <c r="C552" s="1" t="n">
        <v>45798</v>
      </c>
      <c r="D552" t="inlineStr">
        <is>
          <t>UPPSALA LÄN</t>
        </is>
      </c>
      <c r="E552" t="inlineStr">
        <is>
          <t>ÖSTHAMMAR</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30549-2022</t>
        </is>
      </c>
      <c r="B553" s="1" t="n">
        <v>44762</v>
      </c>
      <c r="C553" s="1" t="n">
        <v>45798</v>
      </c>
      <c r="D553" t="inlineStr">
        <is>
          <t>UPPSALA LÄN</t>
        </is>
      </c>
      <c r="E553" t="inlineStr">
        <is>
          <t>ÖSTHAMMAR</t>
        </is>
      </c>
      <c r="F553" t="inlineStr">
        <is>
          <t>Bergvik skog öst AB</t>
        </is>
      </c>
      <c r="G553" t="n">
        <v>6.2</v>
      </c>
      <c r="H553" t="n">
        <v>0</v>
      </c>
      <c r="I553" t="n">
        <v>0</v>
      </c>
      <c r="J553" t="n">
        <v>0</v>
      </c>
      <c r="K553" t="n">
        <v>0</v>
      </c>
      <c r="L553" t="n">
        <v>0</v>
      </c>
      <c r="M553" t="n">
        <v>0</v>
      </c>
      <c r="N553" t="n">
        <v>0</v>
      </c>
      <c r="O553" t="n">
        <v>0</v>
      </c>
      <c r="P553" t="n">
        <v>0</v>
      </c>
      <c r="Q553" t="n">
        <v>0</v>
      </c>
      <c r="R553" s="2" t="inlineStr"/>
    </row>
    <row r="554" ht="15" customHeight="1">
      <c r="A554" t="inlineStr">
        <is>
          <t>A 31027-2022</t>
        </is>
      </c>
      <c r="B554" s="1" t="n">
        <v>44768</v>
      </c>
      <c r="C554" s="1" t="n">
        <v>45798</v>
      </c>
      <c r="D554" t="inlineStr">
        <is>
          <t>UPPSALA LÄN</t>
        </is>
      </c>
      <c r="E554" t="inlineStr">
        <is>
          <t>ÖSTHAMMAR</t>
        </is>
      </c>
      <c r="F554" t="inlineStr">
        <is>
          <t>Bergvik skog öst AB</t>
        </is>
      </c>
      <c r="G554" t="n">
        <v>2.4</v>
      </c>
      <c r="H554" t="n">
        <v>0</v>
      </c>
      <c r="I554" t="n">
        <v>0</v>
      </c>
      <c r="J554" t="n">
        <v>0</v>
      </c>
      <c r="K554" t="n">
        <v>0</v>
      </c>
      <c r="L554" t="n">
        <v>0</v>
      </c>
      <c r="M554" t="n">
        <v>0</v>
      </c>
      <c r="N554" t="n">
        <v>0</v>
      </c>
      <c r="O554" t="n">
        <v>0</v>
      </c>
      <c r="P554" t="n">
        <v>0</v>
      </c>
      <c r="Q554" t="n">
        <v>0</v>
      </c>
      <c r="R554" s="2" t="inlineStr"/>
    </row>
    <row r="555" ht="15" customHeight="1">
      <c r="A555" t="inlineStr">
        <is>
          <t>A 31035-2022</t>
        </is>
      </c>
      <c r="B555" s="1" t="n">
        <v>44768</v>
      </c>
      <c r="C555" s="1" t="n">
        <v>45798</v>
      </c>
      <c r="D555" t="inlineStr">
        <is>
          <t>UPPSALA LÄN</t>
        </is>
      </c>
      <c r="E555" t="inlineStr">
        <is>
          <t>ÖSTHAMMAR</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31026-2022</t>
        </is>
      </c>
      <c r="B556" s="1" t="n">
        <v>44768</v>
      </c>
      <c r="C556" s="1" t="n">
        <v>45798</v>
      </c>
      <c r="D556" t="inlineStr">
        <is>
          <t>UPPSALA LÄN</t>
        </is>
      </c>
      <c r="E556" t="inlineStr">
        <is>
          <t>ÖSTHAMMAR</t>
        </is>
      </c>
      <c r="F556" t="inlineStr">
        <is>
          <t>Bergvik skog öst AB</t>
        </is>
      </c>
      <c r="G556" t="n">
        <v>1.8</v>
      </c>
      <c r="H556" t="n">
        <v>0</v>
      </c>
      <c r="I556" t="n">
        <v>0</v>
      </c>
      <c r="J556" t="n">
        <v>0</v>
      </c>
      <c r="K556" t="n">
        <v>0</v>
      </c>
      <c r="L556" t="n">
        <v>0</v>
      </c>
      <c r="M556" t="n">
        <v>0</v>
      </c>
      <c r="N556" t="n">
        <v>0</v>
      </c>
      <c r="O556" t="n">
        <v>0</v>
      </c>
      <c r="P556" t="n">
        <v>0</v>
      </c>
      <c r="Q556" t="n">
        <v>0</v>
      </c>
      <c r="R556" s="2" t="inlineStr"/>
    </row>
    <row r="557" ht="15" customHeight="1">
      <c r="A557" t="inlineStr">
        <is>
          <t>A 31182-2022</t>
        </is>
      </c>
      <c r="B557" s="1" t="n">
        <v>44770</v>
      </c>
      <c r="C557" s="1" t="n">
        <v>45798</v>
      </c>
      <c r="D557" t="inlineStr">
        <is>
          <t>UPPSALA LÄN</t>
        </is>
      </c>
      <c r="E557" t="inlineStr">
        <is>
          <t>ÖSTHAMMAR</t>
        </is>
      </c>
      <c r="F557" t="inlineStr">
        <is>
          <t>Bergvik skog öst AB</t>
        </is>
      </c>
      <c r="G557" t="n">
        <v>0.3</v>
      </c>
      <c r="H557" t="n">
        <v>0</v>
      </c>
      <c r="I557" t="n">
        <v>0</v>
      </c>
      <c r="J557" t="n">
        <v>0</v>
      </c>
      <c r="K557" t="n">
        <v>0</v>
      </c>
      <c r="L557" t="n">
        <v>0</v>
      </c>
      <c r="M557" t="n">
        <v>0</v>
      </c>
      <c r="N557" t="n">
        <v>0</v>
      </c>
      <c r="O557" t="n">
        <v>0</v>
      </c>
      <c r="P557" t="n">
        <v>0</v>
      </c>
      <c r="Q557" t="n">
        <v>0</v>
      </c>
      <c r="R557" s="2" t="inlineStr"/>
    </row>
    <row r="558" ht="15" customHeight="1">
      <c r="A558" t="inlineStr">
        <is>
          <t>A 31140-2022</t>
        </is>
      </c>
      <c r="B558" s="1" t="n">
        <v>44770</v>
      </c>
      <c r="C558" s="1" t="n">
        <v>45798</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31137-2022</t>
        </is>
      </c>
      <c r="B559" s="1" t="n">
        <v>44770</v>
      </c>
      <c r="C559" s="1" t="n">
        <v>45798</v>
      </c>
      <c r="D559" t="inlineStr">
        <is>
          <t>UPPSALA LÄN</t>
        </is>
      </c>
      <c r="E559" t="inlineStr">
        <is>
          <t>ÖSTHAMMAR</t>
        </is>
      </c>
      <c r="F559" t="inlineStr">
        <is>
          <t>Bergvik skog öst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31282-2022</t>
        </is>
      </c>
      <c r="B560" s="1" t="n">
        <v>44771</v>
      </c>
      <c r="C560" s="1" t="n">
        <v>45798</v>
      </c>
      <c r="D560" t="inlineStr">
        <is>
          <t>UPPSALA LÄN</t>
        </is>
      </c>
      <c r="E560" t="inlineStr">
        <is>
          <t>ÖSTHAMMAR</t>
        </is>
      </c>
      <c r="F560" t="inlineStr">
        <is>
          <t>Bergvik skog öst AB</t>
        </is>
      </c>
      <c r="G560" t="n">
        <v>3.8</v>
      </c>
      <c r="H560" t="n">
        <v>0</v>
      </c>
      <c r="I560" t="n">
        <v>0</v>
      </c>
      <c r="J560" t="n">
        <v>0</v>
      </c>
      <c r="K560" t="n">
        <v>0</v>
      </c>
      <c r="L560" t="n">
        <v>0</v>
      </c>
      <c r="M560" t="n">
        <v>0</v>
      </c>
      <c r="N560" t="n">
        <v>0</v>
      </c>
      <c r="O560" t="n">
        <v>0</v>
      </c>
      <c r="P560" t="n">
        <v>0</v>
      </c>
      <c r="Q560" t="n">
        <v>0</v>
      </c>
      <c r="R560" s="2" t="inlineStr"/>
    </row>
    <row r="561" ht="15" customHeight="1">
      <c r="A561" t="inlineStr">
        <is>
          <t>A 31574-2022</t>
        </is>
      </c>
      <c r="B561" s="1" t="n">
        <v>44775</v>
      </c>
      <c r="C561" s="1" t="n">
        <v>45798</v>
      </c>
      <c r="D561" t="inlineStr">
        <is>
          <t>UPPSALA LÄN</t>
        </is>
      </c>
      <c r="E561" t="inlineStr">
        <is>
          <t>ÖSTHAMMAR</t>
        </is>
      </c>
      <c r="G561" t="n">
        <v>29.7</v>
      </c>
      <c r="H561" t="n">
        <v>0</v>
      </c>
      <c r="I561" t="n">
        <v>0</v>
      </c>
      <c r="J561" t="n">
        <v>0</v>
      </c>
      <c r="K561" t="n">
        <v>0</v>
      </c>
      <c r="L561" t="n">
        <v>0</v>
      </c>
      <c r="M561" t="n">
        <v>0</v>
      </c>
      <c r="N561" t="n">
        <v>0</v>
      </c>
      <c r="O561" t="n">
        <v>0</v>
      </c>
      <c r="P561" t="n">
        <v>0</v>
      </c>
      <c r="Q561" t="n">
        <v>0</v>
      </c>
      <c r="R561" s="2" t="inlineStr"/>
    </row>
    <row r="562" ht="15" customHeight="1">
      <c r="A562" t="inlineStr">
        <is>
          <t>A 31549-2022</t>
        </is>
      </c>
      <c r="B562" s="1" t="n">
        <v>44775</v>
      </c>
      <c r="C562" s="1" t="n">
        <v>45798</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31669-2022</t>
        </is>
      </c>
      <c r="B563" s="1" t="n">
        <v>44775</v>
      </c>
      <c r="C563" s="1" t="n">
        <v>45798</v>
      </c>
      <c r="D563" t="inlineStr">
        <is>
          <t>UPPSALA LÄN</t>
        </is>
      </c>
      <c r="E563" t="inlineStr">
        <is>
          <t>ÖSTHAMMAR</t>
        </is>
      </c>
      <c r="G563" t="n">
        <v>6</v>
      </c>
      <c r="H563" t="n">
        <v>0</v>
      </c>
      <c r="I563" t="n">
        <v>0</v>
      </c>
      <c r="J563" t="n">
        <v>0</v>
      </c>
      <c r="K563" t="n">
        <v>0</v>
      </c>
      <c r="L563" t="n">
        <v>0</v>
      </c>
      <c r="M563" t="n">
        <v>0</v>
      </c>
      <c r="N563" t="n">
        <v>0</v>
      </c>
      <c r="O563" t="n">
        <v>0</v>
      </c>
      <c r="P563" t="n">
        <v>0</v>
      </c>
      <c r="Q563" t="n">
        <v>0</v>
      </c>
      <c r="R563" s="2" t="inlineStr"/>
    </row>
    <row r="564" ht="15" customHeight="1">
      <c r="A564" t="inlineStr">
        <is>
          <t>A 32678-2022</t>
        </is>
      </c>
      <c r="B564" s="1" t="n">
        <v>44783</v>
      </c>
      <c r="C564" s="1" t="n">
        <v>45798</v>
      </c>
      <c r="D564" t="inlineStr">
        <is>
          <t>UPPSALA LÄN</t>
        </is>
      </c>
      <c r="E564" t="inlineStr">
        <is>
          <t>ÖSTHAMMAR</t>
        </is>
      </c>
      <c r="G564" t="n">
        <v>1.3</v>
      </c>
      <c r="H564" t="n">
        <v>0</v>
      </c>
      <c r="I564" t="n">
        <v>0</v>
      </c>
      <c r="J564" t="n">
        <v>0</v>
      </c>
      <c r="K564" t="n">
        <v>0</v>
      </c>
      <c r="L564" t="n">
        <v>0</v>
      </c>
      <c r="M564" t="n">
        <v>0</v>
      </c>
      <c r="N564" t="n">
        <v>0</v>
      </c>
      <c r="O564" t="n">
        <v>0</v>
      </c>
      <c r="P564" t="n">
        <v>0</v>
      </c>
      <c r="Q564" t="n">
        <v>0</v>
      </c>
      <c r="R564" s="2" t="inlineStr"/>
    </row>
    <row r="565" ht="15" customHeight="1">
      <c r="A565" t="inlineStr">
        <is>
          <t>A 32742-2022</t>
        </is>
      </c>
      <c r="B565" s="1" t="n">
        <v>44783</v>
      </c>
      <c r="C565" s="1" t="n">
        <v>45798</v>
      </c>
      <c r="D565" t="inlineStr">
        <is>
          <t>UPPSALA LÄN</t>
        </is>
      </c>
      <c r="E565" t="inlineStr">
        <is>
          <t>ÖSTHAMMAR</t>
        </is>
      </c>
      <c r="F565" t="inlineStr">
        <is>
          <t>Bergvik skog öst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32744-2022</t>
        </is>
      </c>
      <c r="B566" s="1" t="n">
        <v>44783</v>
      </c>
      <c r="C566" s="1" t="n">
        <v>45798</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34418-2022</t>
        </is>
      </c>
      <c r="B567" s="1" t="n">
        <v>44792</v>
      </c>
      <c r="C567" s="1" t="n">
        <v>45798</v>
      </c>
      <c r="D567" t="inlineStr">
        <is>
          <t>UPPSALA LÄN</t>
        </is>
      </c>
      <c r="E567" t="inlineStr">
        <is>
          <t>ÖSTHAMMAR</t>
        </is>
      </c>
      <c r="G567" t="n">
        <v>0.3</v>
      </c>
      <c r="H567" t="n">
        <v>0</v>
      </c>
      <c r="I567" t="n">
        <v>0</v>
      </c>
      <c r="J567" t="n">
        <v>0</v>
      </c>
      <c r="K567" t="n">
        <v>0</v>
      </c>
      <c r="L567" t="n">
        <v>0</v>
      </c>
      <c r="M567" t="n">
        <v>0</v>
      </c>
      <c r="N567" t="n">
        <v>0</v>
      </c>
      <c r="O567" t="n">
        <v>0</v>
      </c>
      <c r="P567" t="n">
        <v>0</v>
      </c>
      <c r="Q567" t="n">
        <v>0</v>
      </c>
      <c r="R567" s="2" t="inlineStr"/>
    </row>
    <row r="568" ht="15" customHeight="1">
      <c r="A568" t="inlineStr">
        <is>
          <t>A 34742-2022</t>
        </is>
      </c>
      <c r="B568" s="1" t="n">
        <v>44795</v>
      </c>
      <c r="C568" s="1" t="n">
        <v>45798</v>
      </c>
      <c r="D568" t="inlineStr">
        <is>
          <t>UPPSALA LÄN</t>
        </is>
      </c>
      <c r="E568" t="inlineStr">
        <is>
          <t>ÖSTHAMMAR</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34971-2022</t>
        </is>
      </c>
      <c r="B569" s="1" t="n">
        <v>44796</v>
      </c>
      <c r="C569" s="1" t="n">
        <v>45798</v>
      </c>
      <c r="D569" t="inlineStr">
        <is>
          <t>UPPSALA LÄN</t>
        </is>
      </c>
      <c r="E569" t="inlineStr">
        <is>
          <t>ÖSTHAMMAR</t>
        </is>
      </c>
      <c r="F569" t="inlineStr">
        <is>
          <t>Bergvik skog öst AB</t>
        </is>
      </c>
      <c r="G569" t="n">
        <v>2.3</v>
      </c>
      <c r="H569" t="n">
        <v>0</v>
      </c>
      <c r="I569" t="n">
        <v>0</v>
      </c>
      <c r="J569" t="n">
        <v>0</v>
      </c>
      <c r="K569" t="n">
        <v>0</v>
      </c>
      <c r="L569" t="n">
        <v>0</v>
      </c>
      <c r="M569" t="n">
        <v>0</v>
      </c>
      <c r="N569" t="n">
        <v>0</v>
      </c>
      <c r="O569" t="n">
        <v>0</v>
      </c>
      <c r="P569" t="n">
        <v>0</v>
      </c>
      <c r="Q569" t="n">
        <v>0</v>
      </c>
      <c r="R569" s="2" t="inlineStr"/>
    </row>
    <row r="570" ht="15" customHeight="1">
      <c r="A570" t="inlineStr">
        <is>
          <t>A 34994-2022</t>
        </is>
      </c>
      <c r="B570" s="1" t="n">
        <v>44796</v>
      </c>
      <c r="C570" s="1" t="n">
        <v>45798</v>
      </c>
      <c r="D570" t="inlineStr">
        <is>
          <t>UPPSALA LÄN</t>
        </is>
      </c>
      <c r="E570" t="inlineStr">
        <is>
          <t>ÖSTHAMMAR</t>
        </is>
      </c>
      <c r="F570" t="inlineStr">
        <is>
          <t>Bergvik skog öst AB</t>
        </is>
      </c>
      <c r="G570" t="n">
        <v>3.7</v>
      </c>
      <c r="H570" t="n">
        <v>0</v>
      </c>
      <c r="I570" t="n">
        <v>0</v>
      </c>
      <c r="J570" t="n">
        <v>0</v>
      </c>
      <c r="K570" t="n">
        <v>0</v>
      </c>
      <c r="L570" t="n">
        <v>0</v>
      </c>
      <c r="M570" t="n">
        <v>0</v>
      </c>
      <c r="N570" t="n">
        <v>0</v>
      </c>
      <c r="O570" t="n">
        <v>0</v>
      </c>
      <c r="P570" t="n">
        <v>0</v>
      </c>
      <c r="Q570" t="n">
        <v>0</v>
      </c>
      <c r="R570" s="2" t="inlineStr"/>
    </row>
    <row r="571" ht="15" customHeight="1">
      <c r="A571" t="inlineStr">
        <is>
          <t>A 36343-2022</t>
        </is>
      </c>
      <c r="B571" s="1" t="n">
        <v>44803</v>
      </c>
      <c r="C571" s="1" t="n">
        <v>45798</v>
      </c>
      <c r="D571" t="inlineStr">
        <is>
          <t>UPPSALA LÄN</t>
        </is>
      </c>
      <c r="E571" t="inlineStr">
        <is>
          <t>ÖSTHAMMAR</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36873-2022</t>
        </is>
      </c>
      <c r="B572" s="1" t="n">
        <v>44805</v>
      </c>
      <c r="C572" s="1" t="n">
        <v>45798</v>
      </c>
      <c r="D572" t="inlineStr">
        <is>
          <t>UPPSALA LÄN</t>
        </is>
      </c>
      <c r="E572" t="inlineStr">
        <is>
          <t>ÖSTHAMMAR</t>
        </is>
      </c>
      <c r="G572" t="n">
        <v>2.5</v>
      </c>
      <c r="H572" t="n">
        <v>0</v>
      </c>
      <c r="I572" t="n">
        <v>0</v>
      </c>
      <c r="J572" t="n">
        <v>0</v>
      </c>
      <c r="K572" t="n">
        <v>0</v>
      </c>
      <c r="L572" t="n">
        <v>0</v>
      </c>
      <c r="M572" t="n">
        <v>0</v>
      </c>
      <c r="N572" t="n">
        <v>0</v>
      </c>
      <c r="O572" t="n">
        <v>0</v>
      </c>
      <c r="P572" t="n">
        <v>0</v>
      </c>
      <c r="Q572" t="n">
        <v>0</v>
      </c>
      <c r="R572" s="2" t="inlineStr"/>
    </row>
    <row r="573" ht="15" customHeight="1">
      <c r="A573" t="inlineStr">
        <is>
          <t>A 37545-2022</t>
        </is>
      </c>
      <c r="B573" s="1" t="n">
        <v>44809</v>
      </c>
      <c r="C573" s="1" t="n">
        <v>45798</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37570-2022</t>
        </is>
      </c>
      <c r="B574" s="1" t="n">
        <v>44809</v>
      </c>
      <c r="C574" s="1" t="n">
        <v>45798</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37813-2022</t>
        </is>
      </c>
      <c r="B575" s="1" t="n">
        <v>44810</v>
      </c>
      <c r="C575" s="1" t="n">
        <v>45798</v>
      </c>
      <c r="D575" t="inlineStr">
        <is>
          <t>UPPSALA LÄN</t>
        </is>
      </c>
      <c r="E575" t="inlineStr">
        <is>
          <t>ÖSTHAMMAR</t>
        </is>
      </c>
      <c r="G575" t="n">
        <v>0.5</v>
      </c>
      <c r="H575" t="n">
        <v>0</v>
      </c>
      <c r="I575" t="n">
        <v>0</v>
      </c>
      <c r="J575" t="n">
        <v>0</v>
      </c>
      <c r="K575" t="n">
        <v>0</v>
      </c>
      <c r="L575" t="n">
        <v>0</v>
      </c>
      <c r="M575" t="n">
        <v>0</v>
      </c>
      <c r="N575" t="n">
        <v>0</v>
      </c>
      <c r="O575" t="n">
        <v>0</v>
      </c>
      <c r="P575" t="n">
        <v>0</v>
      </c>
      <c r="Q575" t="n">
        <v>0</v>
      </c>
      <c r="R575" s="2" t="inlineStr"/>
    </row>
    <row r="576" ht="15" customHeight="1">
      <c r="A576" t="inlineStr">
        <is>
          <t>A 37812-2022</t>
        </is>
      </c>
      <c r="B576" s="1" t="n">
        <v>44810</v>
      </c>
      <c r="C576" s="1" t="n">
        <v>45798</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38501-2022</t>
        </is>
      </c>
      <c r="B577" s="1" t="n">
        <v>44813</v>
      </c>
      <c r="C577" s="1" t="n">
        <v>45798</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38702-2022</t>
        </is>
      </c>
      <c r="B578" s="1" t="n">
        <v>44814</v>
      </c>
      <c r="C578" s="1" t="n">
        <v>45798</v>
      </c>
      <c r="D578" t="inlineStr">
        <is>
          <t>UPPSALA LÄN</t>
        </is>
      </c>
      <c r="E578" t="inlineStr">
        <is>
          <t>ÖSTHAMMAR</t>
        </is>
      </c>
      <c r="G578" t="n">
        <v>1.2</v>
      </c>
      <c r="H578" t="n">
        <v>0</v>
      </c>
      <c r="I578" t="n">
        <v>0</v>
      </c>
      <c r="J578" t="n">
        <v>0</v>
      </c>
      <c r="K578" t="n">
        <v>0</v>
      </c>
      <c r="L578" t="n">
        <v>0</v>
      </c>
      <c r="M578" t="n">
        <v>0</v>
      </c>
      <c r="N578" t="n">
        <v>0</v>
      </c>
      <c r="O578" t="n">
        <v>0</v>
      </c>
      <c r="P578" t="n">
        <v>0</v>
      </c>
      <c r="Q578" t="n">
        <v>0</v>
      </c>
      <c r="R578" s="2" t="inlineStr"/>
    </row>
    <row r="579" ht="15" customHeight="1">
      <c r="A579" t="inlineStr">
        <is>
          <t>A 39480-2022</t>
        </is>
      </c>
      <c r="B579" s="1" t="n">
        <v>44818</v>
      </c>
      <c r="C579" s="1" t="n">
        <v>45798</v>
      </c>
      <c r="D579" t="inlineStr">
        <is>
          <t>UPPSALA LÄN</t>
        </is>
      </c>
      <c r="E579" t="inlineStr">
        <is>
          <t>ÖSTHAMMAR</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40336-2022</t>
        </is>
      </c>
      <c r="B580" s="1" t="n">
        <v>44823</v>
      </c>
      <c r="C580" s="1" t="n">
        <v>45798</v>
      </c>
      <c r="D580" t="inlineStr">
        <is>
          <t>UPPSALA LÄN</t>
        </is>
      </c>
      <c r="E580" t="inlineStr">
        <is>
          <t>ÖSTHAMMAR</t>
        </is>
      </c>
      <c r="F580" t="inlineStr">
        <is>
          <t>Bergvik skog öst AB</t>
        </is>
      </c>
      <c r="G580" t="n">
        <v>2.2</v>
      </c>
      <c r="H580" t="n">
        <v>0</v>
      </c>
      <c r="I580" t="n">
        <v>0</v>
      </c>
      <c r="J580" t="n">
        <v>0</v>
      </c>
      <c r="K580" t="n">
        <v>0</v>
      </c>
      <c r="L580" t="n">
        <v>0</v>
      </c>
      <c r="M580" t="n">
        <v>0</v>
      </c>
      <c r="N580" t="n">
        <v>0</v>
      </c>
      <c r="O580" t="n">
        <v>0</v>
      </c>
      <c r="P580" t="n">
        <v>0</v>
      </c>
      <c r="Q580" t="n">
        <v>0</v>
      </c>
      <c r="R580" s="2" t="inlineStr"/>
    </row>
    <row r="581" ht="15" customHeight="1">
      <c r="A581" t="inlineStr">
        <is>
          <t>A 40637-2022</t>
        </is>
      </c>
      <c r="B581" s="1" t="n">
        <v>44824</v>
      </c>
      <c r="C581" s="1" t="n">
        <v>45798</v>
      </c>
      <c r="D581" t="inlineStr">
        <is>
          <t>UPPSALA LÄN</t>
        </is>
      </c>
      <c r="E581" t="inlineStr">
        <is>
          <t>ÖSTHAMMAR</t>
        </is>
      </c>
      <c r="F581" t="inlineStr">
        <is>
          <t>Övriga Aktiebolag</t>
        </is>
      </c>
      <c r="G581" t="n">
        <v>3.7</v>
      </c>
      <c r="H581" t="n">
        <v>0</v>
      </c>
      <c r="I581" t="n">
        <v>0</v>
      </c>
      <c r="J581" t="n">
        <v>0</v>
      </c>
      <c r="K581" t="n">
        <v>0</v>
      </c>
      <c r="L581" t="n">
        <v>0</v>
      </c>
      <c r="M581" t="n">
        <v>0</v>
      </c>
      <c r="N581" t="n">
        <v>0</v>
      </c>
      <c r="O581" t="n">
        <v>0</v>
      </c>
      <c r="P581" t="n">
        <v>0</v>
      </c>
      <c r="Q581" t="n">
        <v>0</v>
      </c>
      <c r="R581" s="2" t="inlineStr"/>
    </row>
    <row r="582" ht="15" customHeight="1">
      <c r="A582" t="inlineStr">
        <is>
          <t>A 40681-2022</t>
        </is>
      </c>
      <c r="B582" s="1" t="n">
        <v>44824</v>
      </c>
      <c r="C582" s="1" t="n">
        <v>45798</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41033-2022</t>
        </is>
      </c>
      <c r="B583" s="1" t="n">
        <v>44825</v>
      </c>
      <c r="C583" s="1" t="n">
        <v>45798</v>
      </c>
      <c r="D583" t="inlineStr">
        <is>
          <t>UPPSALA LÄN</t>
        </is>
      </c>
      <c r="E583" t="inlineStr">
        <is>
          <t>ÖSTHAMMAR</t>
        </is>
      </c>
      <c r="F583" t="inlineStr">
        <is>
          <t>Kyrkan</t>
        </is>
      </c>
      <c r="G583" t="n">
        <v>0.7</v>
      </c>
      <c r="H583" t="n">
        <v>0</v>
      </c>
      <c r="I583" t="n">
        <v>0</v>
      </c>
      <c r="J583" t="n">
        <v>0</v>
      </c>
      <c r="K583" t="n">
        <v>0</v>
      </c>
      <c r="L583" t="n">
        <v>0</v>
      </c>
      <c r="M583" t="n">
        <v>0</v>
      </c>
      <c r="N583" t="n">
        <v>0</v>
      </c>
      <c r="O583" t="n">
        <v>0</v>
      </c>
      <c r="P583" t="n">
        <v>0</v>
      </c>
      <c r="Q583" t="n">
        <v>0</v>
      </c>
      <c r="R583" s="2" t="inlineStr"/>
    </row>
    <row r="584" ht="15" customHeight="1">
      <c r="A584" t="inlineStr">
        <is>
          <t>A 41423-2022</t>
        </is>
      </c>
      <c r="B584" s="1" t="n">
        <v>44826</v>
      </c>
      <c r="C584" s="1" t="n">
        <v>45798</v>
      </c>
      <c r="D584" t="inlineStr">
        <is>
          <t>UPPSALA LÄN</t>
        </is>
      </c>
      <c r="E584" t="inlineStr">
        <is>
          <t>ÖSTHAMMAR</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44020-2022</t>
        </is>
      </c>
      <c r="B585" s="1" t="n">
        <v>44838</v>
      </c>
      <c r="C585" s="1" t="n">
        <v>45798</v>
      </c>
      <c r="D585" t="inlineStr">
        <is>
          <t>UPPSALA LÄN</t>
        </is>
      </c>
      <c r="E585" t="inlineStr">
        <is>
          <t>ÖSTHAMMAR</t>
        </is>
      </c>
      <c r="F585" t="inlineStr">
        <is>
          <t>Bergvik skog öst AB</t>
        </is>
      </c>
      <c r="G585" t="n">
        <v>12.1</v>
      </c>
      <c r="H585" t="n">
        <v>0</v>
      </c>
      <c r="I585" t="n">
        <v>0</v>
      </c>
      <c r="J585" t="n">
        <v>0</v>
      </c>
      <c r="K585" t="n">
        <v>0</v>
      </c>
      <c r="L585" t="n">
        <v>0</v>
      </c>
      <c r="M585" t="n">
        <v>0</v>
      </c>
      <c r="N585" t="n">
        <v>0</v>
      </c>
      <c r="O585" t="n">
        <v>0</v>
      </c>
      <c r="P585" t="n">
        <v>0</v>
      </c>
      <c r="Q585" t="n">
        <v>0</v>
      </c>
      <c r="R585" s="2" t="inlineStr"/>
    </row>
    <row r="586" ht="15" customHeight="1">
      <c r="A586" t="inlineStr">
        <is>
          <t>A 44019-2022</t>
        </is>
      </c>
      <c r="B586" s="1" t="n">
        <v>44838</v>
      </c>
      <c r="C586" s="1" t="n">
        <v>45798</v>
      </c>
      <c r="D586" t="inlineStr">
        <is>
          <t>UPPSALA LÄN</t>
        </is>
      </c>
      <c r="E586" t="inlineStr">
        <is>
          <t>ÖSTHAMMAR</t>
        </is>
      </c>
      <c r="F586" t="inlineStr">
        <is>
          <t>Bergvik skog öst AB</t>
        </is>
      </c>
      <c r="G586" t="n">
        <v>0.4</v>
      </c>
      <c r="H586" t="n">
        <v>0</v>
      </c>
      <c r="I586" t="n">
        <v>0</v>
      </c>
      <c r="J586" t="n">
        <v>0</v>
      </c>
      <c r="K586" t="n">
        <v>0</v>
      </c>
      <c r="L586" t="n">
        <v>0</v>
      </c>
      <c r="M586" t="n">
        <v>0</v>
      </c>
      <c r="N586" t="n">
        <v>0</v>
      </c>
      <c r="O586" t="n">
        <v>0</v>
      </c>
      <c r="P586" t="n">
        <v>0</v>
      </c>
      <c r="Q586" t="n">
        <v>0</v>
      </c>
      <c r="R586" s="2" t="inlineStr"/>
    </row>
    <row r="587" ht="15" customHeight="1">
      <c r="A587" t="inlineStr">
        <is>
          <t>A 44354-2022</t>
        </is>
      </c>
      <c r="B587" s="1" t="n">
        <v>44839</v>
      </c>
      <c r="C587" s="1" t="n">
        <v>45798</v>
      </c>
      <c r="D587" t="inlineStr">
        <is>
          <t>UPPSALA LÄN</t>
        </is>
      </c>
      <c r="E587" t="inlineStr">
        <is>
          <t>ÖSTHAMMAR</t>
        </is>
      </c>
      <c r="G587" t="n">
        <v>5.4</v>
      </c>
      <c r="H587" t="n">
        <v>0</v>
      </c>
      <c r="I587" t="n">
        <v>0</v>
      </c>
      <c r="J587" t="n">
        <v>0</v>
      </c>
      <c r="K587" t="n">
        <v>0</v>
      </c>
      <c r="L587" t="n">
        <v>0</v>
      </c>
      <c r="M587" t="n">
        <v>0</v>
      </c>
      <c r="N587" t="n">
        <v>0</v>
      </c>
      <c r="O587" t="n">
        <v>0</v>
      </c>
      <c r="P587" t="n">
        <v>0</v>
      </c>
      <c r="Q587" t="n">
        <v>0</v>
      </c>
      <c r="R587" s="2" t="inlineStr"/>
    </row>
    <row r="588" ht="15" customHeight="1">
      <c r="A588" t="inlineStr">
        <is>
          <t>A 44366-2022</t>
        </is>
      </c>
      <c r="B588" s="1" t="n">
        <v>44839</v>
      </c>
      <c r="C588" s="1" t="n">
        <v>45798</v>
      </c>
      <c r="D588" t="inlineStr">
        <is>
          <t>UPPSALA LÄN</t>
        </is>
      </c>
      <c r="E588" t="inlineStr">
        <is>
          <t>ÖSTHAMMAR</t>
        </is>
      </c>
      <c r="G588" t="n">
        <v>8.1</v>
      </c>
      <c r="H588" t="n">
        <v>0</v>
      </c>
      <c r="I588" t="n">
        <v>0</v>
      </c>
      <c r="J588" t="n">
        <v>0</v>
      </c>
      <c r="K588" t="n">
        <v>0</v>
      </c>
      <c r="L588" t="n">
        <v>0</v>
      </c>
      <c r="M588" t="n">
        <v>0</v>
      </c>
      <c r="N588" t="n">
        <v>0</v>
      </c>
      <c r="O588" t="n">
        <v>0</v>
      </c>
      <c r="P588" t="n">
        <v>0</v>
      </c>
      <c r="Q588" t="n">
        <v>0</v>
      </c>
      <c r="R588" s="2" t="inlineStr"/>
    </row>
    <row r="589" ht="15" customHeight="1">
      <c r="A589" t="inlineStr">
        <is>
          <t>A 44184-2022</t>
        </is>
      </c>
      <c r="B589" s="1" t="n">
        <v>44839</v>
      </c>
      <c r="C589" s="1" t="n">
        <v>45798</v>
      </c>
      <c r="D589" t="inlineStr">
        <is>
          <t>UPPSALA LÄN</t>
        </is>
      </c>
      <c r="E589" t="inlineStr">
        <is>
          <t>ÖSTHAMMAR</t>
        </is>
      </c>
      <c r="G589" t="n">
        <v>4.2</v>
      </c>
      <c r="H589" t="n">
        <v>0</v>
      </c>
      <c r="I589" t="n">
        <v>0</v>
      </c>
      <c r="J589" t="n">
        <v>0</v>
      </c>
      <c r="K589" t="n">
        <v>0</v>
      </c>
      <c r="L589" t="n">
        <v>0</v>
      </c>
      <c r="M589" t="n">
        <v>0</v>
      </c>
      <c r="N589" t="n">
        <v>0</v>
      </c>
      <c r="O589" t="n">
        <v>0</v>
      </c>
      <c r="P589" t="n">
        <v>0</v>
      </c>
      <c r="Q589" t="n">
        <v>0</v>
      </c>
      <c r="R589" s="2" t="inlineStr"/>
    </row>
    <row r="590" ht="15" customHeight="1">
      <c r="A590" t="inlineStr">
        <is>
          <t>A 44617-2022</t>
        </is>
      </c>
      <c r="B590" s="1" t="n">
        <v>44840</v>
      </c>
      <c r="C590" s="1" t="n">
        <v>45798</v>
      </c>
      <c r="D590" t="inlineStr">
        <is>
          <t>UPPSALA LÄN</t>
        </is>
      </c>
      <c r="E590" t="inlineStr">
        <is>
          <t>ÖSTHAMMAR</t>
        </is>
      </c>
      <c r="G590" t="n">
        <v>1.3</v>
      </c>
      <c r="H590" t="n">
        <v>0</v>
      </c>
      <c r="I590" t="n">
        <v>0</v>
      </c>
      <c r="J590" t="n">
        <v>0</v>
      </c>
      <c r="K590" t="n">
        <v>0</v>
      </c>
      <c r="L590" t="n">
        <v>0</v>
      </c>
      <c r="M590" t="n">
        <v>0</v>
      </c>
      <c r="N590" t="n">
        <v>0</v>
      </c>
      <c r="O590" t="n">
        <v>0</v>
      </c>
      <c r="P590" t="n">
        <v>0</v>
      </c>
      <c r="Q590" t="n">
        <v>0</v>
      </c>
      <c r="R590" s="2" t="inlineStr"/>
    </row>
    <row r="591" ht="15" customHeight="1">
      <c r="A591" t="inlineStr">
        <is>
          <t>A 44945-2022</t>
        </is>
      </c>
      <c r="B591" s="1" t="n">
        <v>44841</v>
      </c>
      <c r="C591" s="1" t="n">
        <v>45798</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44815-2022</t>
        </is>
      </c>
      <c r="B592" s="1" t="n">
        <v>44841</v>
      </c>
      <c r="C592" s="1" t="n">
        <v>45798</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45788-2022</t>
        </is>
      </c>
      <c r="B593" s="1" t="n">
        <v>44846</v>
      </c>
      <c r="C593" s="1" t="n">
        <v>45798</v>
      </c>
      <c r="D593" t="inlineStr">
        <is>
          <t>UPPSALA LÄN</t>
        </is>
      </c>
      <c r="E593" t="inlineStr">
        <is>
          <t>ÖSTHAMMAR</t>
        </is>
      </c>
      <c r="F593" t="inlineStr">
        <is>
          <t>Övriga Aktiebolag</t>
        </is>
      </c>
      <c r="G593" t="n">
        <v>3.3</v>
      </c>
      <c r="H593" t="n">
        <v>0</v>
      </c>
      <c r="I593" t="n">
        <v>0</v>
      </c>
      <c r="J593" t="n">
        <v>0</v>
      </c>
      <c r="K593" t="n">
        <v>0</v>
      </c>
      <c r="L593" t="n">
        <v>0</v>
      </c>
      <c r="M593" t="n">
        <v>0</v>
      </c>
      <c r="N593" t="n">
        <v>0</v>
      </c>
      <c r="O593" t="n">
        <v>0</v>
      </c>
      <c r="P593" t="n">
        <v>0</v>
      </c>
      <c r="Q593" t="n">
        <v>0</v>
      </c>
      <c r="R593" s="2" t="inlineStr"/>
    </row>
    <row r="594" ht="15" customHeight="1">
      <c r="A594" t="inlineStr">
        <is>
          <t>A 46448-2022</t>
        </is>
      </c>
      <c r="B594" s="1" t="n">
        <v>44848</v>
      </c>
      <c r="C594" s="1" t="n">
        <v>45798</v>
      </c>
      <c r="D594" t="inlineStr">
        <is>
          <t>UPPSALA LÄN</t>
        </is>
      </c>
      <c r="E594" t="inlineStr">
        <is>
          <t>ÖSTHAMMAR</t>
        </is>
      </c>
      <c r="G594" t="n">
        <v>2.6</v>
      </c>
      <c r="H594" t="n">
        <v>0</v>
      </c>
      <c r="I594" t="n">
        <v>0</v>
      </c>
      <c r="J594" t="n">
        <v>0</v>
      </c>
      <c r="K594" t="n">
        <v>0</v>
      </c>
      <c r="L594" t="n">
        <v>0</v>
      </c>
      <c r="M594" t="n">
        <v>0</v>
      </c>
      <c r="N594" t="n">
        <v>0</v>
      </c>
      <c r="O594" t="n">
        <v>0</v>
      </c>
      <c r="P594" t="n">
        <v>0</v>
      </c>
      <c r="Q594" t="n">
        <v>0</v>
      </c>
      <c r="R594" s="2" t="inlineStr"/>
    </row>
    <row r="595" ht="15" customHeight="1">
      <c r="A595" t="inlineStr">
        <is>
          <t>A 46915-2022</t>
        </is>
      </c>
      <c r="B595" s="1" t="n">
        <v>44851</v>
      </c>
      <c r="C595" s="1" t="n">
        <v>45798</v>
      </c>
      <c r="D595" t="inlineStr">
        <is>
          <t>UPPSALA LÄN</t>
        </is>
      </c>
      <c r="E595" t="inlineStr">
        <is>
          <t>ÖSTHAMMAR</t>
        </is>
      </c>
      <c r="F595" t="inlineStr">
        <is>
          <t>Bergvik skog öst AB</t>
        </is>
      </c>
      <c r="G595" t="n">
        <v>7.9</v>
      </c>
      <c r="H595" t="n">
        <v>0</v>
      </c>
      <c r="I595" t="n">
        <v>0</v>
      </c>
      <c r="J595" t="n">
        <v>0</v>
      </c>
      <c r="K595" t="n">
        <v>0</v>
      </c>
      <c r="L595" t="n">
        <v>0</v>
      </c>
      <c r="M595" t="n">
        <v>0</v>
      </c>
      <c r="N595" t="n">
        <v>0</v>
      </c>
      <c r="O595" t="n">
        <v>0</v>
      </c>
      <c r="P595" t="n">
        <v>0</v>
      </c>
      <c r="Q595" t="n">
        <v>0</v>
      </c>
      <c r="R595" s="2" t="inlineStr"/>
    </row>
    <row r="596" ht="15" customHeight="1">
      <c r="A596" t="inlineStr">
        <is>
          <t>A 47163-2022</t>
        </is>
      </c>
      <c r="B596" s="1" t="n">
        <v>44852</v>
      </c>
      <c r="C596" s="1" t="n">
        <v>45798</v>
      </c>
      <c r="D596" t="inlineStr">
        <is>
          <t>UPPSALA LÄN</t>
        </is>
      </c>
      <c r="E596" t="inlineStr">
        <is>
          <t>ÖSTHAMMAR</t>
        </is>
      </c>
      <c r="G596" t="n">
        <v>5.5</v>
      </c>
      <c r="H596" t="n">
        <v>0</v>
      </c>
      <c r="I596" t="n">
        <v>0</v>
      </c>
      <c r="J596" t="n">
        <v>0</v>
      </c>
      <c r="K596" t="n">
        <v>0</v>
      </c>
      <c r="L596" t="n">
        <v>0</v>
      </c>
      <c r="M596" t="n">
        <v>0</v>
      </c>
      <c r="N596" t="n">
        <v>0</v>
      </c>
      <c r="O596" t="n">
        <v>0</v>
      </c>
      <c r="P596" t="n">
        <v>0</v>
      </c>
      <c r="Q596" t="n">
        <v>0</v>
      </c>
      <c r="R596" s="2" t="inlineStr"/>
    </row>
    <row r="597" ht="15" customHeight="1">
      <c r="A597" t="inlineStr">
        <is>
          <t>A 48191-2022</t>
        </is>
      </c>
      <c r="B597" s="1" t="n">
        <v>44858</v>
      </c>
      <c r="C597" s="1" t="n">
        <v>45798</v>
      </c>
      <c r="D597" t="inlineStr">
        <is>
          <t>UPPSALA LÄN</t>
        </is>
      </c>
      <c r="E597" t="inlineStr">
        <is>
          <t>ÖSTHAMMAR</t>
        </is>
      </c>
      <c r="G597" t="n">
        <v>3.4</v>
      </c>
      <c r="H597" t="n">
        <v>0</v>
      </c>
      <c r="I597" t="n">
        <v>0</v>
      </c>
      <c r="J597" t="n">
        <v>0</v>
      </c>
      <c r="K597" t="n">
        <v>0</v>
      </c>
      <c r="L597" t="n">
        <v>0</v>
      </c>
      <c r="M597" t="n">
        <v>0</v>
      </c>
      <c r="N597" t="n">
        <v>0</v>
      </c>
      <c r="O597" t="n">
        <v>0</v>
      </c>
      <c r="P597" t="n">
        <v>0</v>
      </c>
      <c r="Q597" t="n">
        <v>0</v>
      </c>
      <c r="R597" s="2" t="inlineStr"/>
    </row>
    <row r="598" ht="15" customHeight="1">
      <c r="A598" t="inlineStr">
        <is>
          <t>A 48231-2022</t>
        </is>
      </c>
      <c r="B598" s="1" t="n">
        <v>44858</v>
      </c>
      <c r="C598" s="1" t="n">
        <v>45798</v>
      </c>
      <c r="D598" t="inlineStr">
        <is>
          <t>UPPSALA LÄN</t>
        </is>
      </c>
      <c r="E598" t="inlineStr">
        <is>
          <t>ÖSTHAMMAR</t>
        </is>
      </c>
      <c r="G598" t="n">
        <v>1.1</v>
      </c>
      <c r="H598" t="n">
        <v>0</v>
      </c>
      <c r="I598" t="n">
        <v>0</v>
      </c>
      <c r="J598" t="n">
        <v>0</v>
      </c>
      <c r="K598" t="n">
        <v>0</v>
      </c>
      <c r="L598" t="n">
        <v>0</v>
      </c>
      <c r="M598" t="n">
        <v>0</v>
      </c>
      <c r="N598" t="n">
        <v>0</v>
      </c>
      <c r="O598" t="n">
        <v>0</v>
      </c>
      <c r="P598" t="n">
        <v>0</v>
      </c>
      <c r="Q598" t="n">
        <v>0</v>
      </c>
      <c r="R598" s="2" t="inlineStr"/>
    </row>
    <row r="599" ht="15" customHeight="1">
      <c r="A599" t="inlineStr">
        <is>
          <t>A 49097-2022</t>
        </is>
      </c>
      <c r="B599" s="1" t="n">
        <v>44860</v>
      </c>
      <c r="C599" s="1" t="n">
        <v>45798</v>
      </c>
      <c r="D599" t="inlineStr">
        <is>
          <t>UPPSALA LÄN</t>
        </is>
      </c>
      <c r="E599" t="inlineStr">
        <is>
          <t>ÖSTHAMMAR</t>
        </is>
      </c>
      <c r="G599" t="n">
        <v>6.9</v>
      </c>
      <c r="H599" t="n">
        <v>0</v>
      </c>
      <c r="I599" t="n">
        <v>0</v>
      </c>
      <c r="J599" t="n">
        <v>0</v>
      </c>
      <c r="K599" t="n">
        <v>0</v>
      </c>
      <c r="L599" t="n">
        <v>0</v>
      </c>
      <c r="M599" t="n">
        <v>0</v>
      </c>
      <c r="N599" t="n">
        <v>0</v>
      </c>
      <c r="O599" t="n">
        <v>0</v>
      </c>
      <c r="P599" t="n">
        <v>0</v>
      </c>
      <c r="Q599" t="n">
        <v>0</v>
      </c>
      <c r="R599" s="2" t="inlineStr"/>
    </row>
    <row r="600" ht="15" customHeight="1">
      <c r="A600" t="inlineStr">
        <is>
          <t>A 49334-2022</t>
        </is>
      </c>
      <c r="B600" s="1" t="n">
        <v>44861</v>
      </c>
      <c r="C600" s="1" t="n">
        <v>45798</v>
      </c>
      <c r="D600" t="inlineStr">
        <is>
          <t>UPPSALA LÄN</t>
        </is>
      </c>
      <c r="E600" t="inlineStr">
        <is>
          <t>ÖSTHAMMAR</t>
        </is>
      </c>
      <c r="G600" t="n">
        <v>3.5</v>
      </c>
      <c r="H600" t="n">
        <v>0</v>
      </c>
      <c r="I600" t="n">
        <v>0</v>
      </c>
      <c r="J600" t="n">
        <v>0</v>
      </c>
      <c r="K600" t="n">
        <v>0</v>
      </c>
      <c r="L600" t="n">
        <v>0</v>
      </c>
      <c r="M600" t="n">
        <v>0</v>
      </c>
      <c r="N600" t="n">
        <v>0</v>
      </c>
      <c r="O600" t="n">
        <v>0</v>
      </c>
      <c r="P600" t="n">
        <v>0</v>
      </c>
      <c r="Q600" t="n">
        <v>0</v>
      </c>
      <c r="R600" s="2" t="inlineStr"/>
    </row>
    <row r="601" ht="15" customHeight="1">
      <c r="A601" t="inlineStr">
        <is>
          <t>A 49914-2022</t>
        </is>
      </c>
      <c r="B601" s="1" t="n">
        <v>44865</v>
      </c>
      <c r="C601" s="1" t="n">
        <v>45798</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50576-2022</t>
        </is>
      </c>
      <c r="B602" s="1" t="n">
        <v>44866</v>
      </c>
      <c r="C602" s="1" t="n">
        <v>45798</v>
      </c>
      <c r="D602" t="inlineStr">
        <is>
          <t>UPPSALA LÄN</t>
        </is>
      </c>
      <c r="E602" t="inlineStr">
        <is>
          <t>ÖSTHAMMAR</t>
        </is>
      </c>
      <c r="G602" t="n">
        <v>1.3</v>
      </c>
      <c r="H602" t="n">
        <v>0</v>
      </c>
      <c r="I602" t="n">
        <v>0</v>
      </c>
      <c r="J602" t="n">
        <v>0</v>
      </c>
      <c r="K602" t="n">
        <v>0</v>
      </c>
      <c r="L602" t="n">
        <v>0</v>
      </c>
      <c r="M602" t="n">
        <v>0</v>
      </c>
      <c r="N602" t="n">
        <v>0</v>
      </c>
      <c r="O602" t="n">
        <v>0</v>
      </c>
      <c r="P602" t="n">
        <v>0</v>
      </c>
      <c r="Q602" t="n">
        <v>0</v>
      </c>
      <c r="R602" s="2" t="inlineStr"/>
    </row>
    <row r="603" ht="15" customHeight="1">
      <c r="A603" t="inlineStr">
        <is>
          <t>A 51055-2022</t>
        </is>
      </c>
      <c r="B603" s="1" t="n">
        <v>44868</v>
      </c>
      <c r="C603" s="1" t="n">
        <v>45798</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51696-2022</t>
        </is>
      </c>
      <c r="B604" s="1" t="n">
        <v>44872</v>
      </c>
      <c r="C604" s="1" t="n">
        <v>45798</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51906-2022</t>
        </is>
      </c>
      <c r="B605" s="1" t="n">
        <v>44872</v>
      </c>
      <c r="C605" s="1" t="n">
        <v>45798</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52265-2022</t>
        </is>
      </c>
      <c r="B606" s="1" t="n">
        <v>44873</v>
      </c>
      <c r="C606" s="1" t="n">
        <v>45798</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52255-2022</t>
        </is>
      </c>
      <c r="B607" s="1" t="n">
        <v>44873</v>
      </c>
      <c r="C607" s="1" t="n">
        <v>45798</v>
      </c>
      <c r="D607" t="inlineStr">
        <is>
          <t>UPPSALA LÄN</t>
        </is>
      </c>
      <c r="E607" t="inlineStr">
        <is>
          <t>ÖSTHAMMAR</t>
        </is>
      </c>
      <c r="G607" t="n">
        <v>1.2</v>
      </c>
      <c r="H607" t="n">
        <v>0</v>
      </c>
      <c r="I607" t="n">
        <v>0</v>
      </c>
      <c r="J607" t="n">
        <v>0</v>
      </c>
      <c r="K607" t="n">
        <v>0</v>
      </c>
      <c r="L607" t="n">
        <v>0</v>
      </c>
      <c r="M607" t="n">
        <v>0</v>
      </c>
      <c r="N607" t="n">
        <v>0</v>
      </c>
      <c r="O607" t="n">
        <v>0</v>
      </c>
      <c r="P607" t="n">
        <v>0</v>
      </c>
      <c r="Q607" t="n">
        <v>0</v>
      </c>
      <c r="R607" s="2" t="inlineStr"/>
    </row>
    <row r="608" ht="15" customHeight="1">
      <c r="A608" t="inlineStr">
        <is>
          <t>A 52295-2022</t>
        </is>
      </c>
      <c r="B608" s="1" t="n">
        <v>44873</v>
      </c>
      <c r="C608" s="1" t="n">
        <v>45798</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52652-2022</t>
        </is>
      </c>
      <c r="B609" s="1" t="n">
        <v>44874</v>
      </c>
      <c r="C609" s="1" t="n">
        <v>45798</v>
      </c>
      <c r="D609" t="inlineStr">
        <is>
          <t>UPPSALA LÄN</t>
        </is>
      </c>
      <c r="E609" t="inlineStr">
        <is>
          <t>ÖSTHAMMAR</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52389-2022</t>
        </is>
      </c>
      <c r="B610" s="1" t="n">
        <v>44874</v>
      </c>
      <c r="C610" s="1" t="n">
        <v>45798</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52663-2022</t>
        </is>
      </c>
      <c r="B611" s="1" t="n">
        <v>44874</v>
      </c>
      <c r="C611" s="1" t="n">
        <v>45798</v>
      </c>
      <c r="D611" t="inlineStr">
        <is>
          <t>UPPSALA LÄN</t>
        </is>
      </c>
      <c r="E611" t="inlineStr">
        <is>
          <t>ÖSTHAMMAR</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52650-2022</t>
        </is>
      </c>
      <c r="B612" s="1" t="n">
        <v>44874</v>
      </c>
      <c r="C612" s="1" t="n">
        <v>45798</v>
      </c>
      <c r="D612" t="inlineStr">
        <is>
          <t>UPPSALA LÄN</t>
        </is>
      </c>
      <c r="E612" t="inlineStr">
        <is>
          <t>ÖSTHAMMAR</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52661-2022</t>
        </is>
      </c>
      <c r="B613" s="1" t="n">
        <v>44874</v>
      </c>
      <c r="C613" s="1" t="n">
        <v>45798</v>
      </c>
      <c r="D613" t="inlineStr">
        <is>
          <t>UPPSALA LÄN</t>
        </is>
      </c>
      <c r="E613" t="inlineStr">
        <is>
          <t>ÖSTHAMMAR</t>
        </is>
      </c>
      <c r="F613" t="inlineStr">
        <is>
          <t>Bergvik skog öst AB</t>
        </is>
      </c>
      <c r="G613" t="n">
        <v>0.2</v>
      </c>
      <c r="H613" t="n">
        <v>0</v>
      </c>
      <c r="I613" t="n">
        <v>0</v>
      </c>
      <c r="J613" t="n">
        <v>0</v>
      </c>
      <c r="K613" t="n">
        <v>0</v>
      </c>
      <c r="L613" t="n">
        <v>0</v>
      </c>
      <c r="M613" t="n">
        <v>0</v>
      </c>
      <c r="N613" t="n">
        <v>0</v>
      </c>
      <c r="O613" t="n">
        <v>0</v>
      </c>
      <c r="P613" t="n">
        <v>0</v>
      </c>
      <c r="Q613" t="n">
        <v>0</v>
      </c>
      <c r="R613" s="2" t="inlineStr"/>
    </row>
    <row r="614" ht="15" customHeight="1">
      <c r="A614" t="inlineStr">
        <is>
          <t>A 53180-2022</t>
        </is>
      </c>
      <c r="B614" s="1" t="n">
        <v>44876</v>
      </c>
      <c r="C614" s="1" t="n">
        <v>45798</v>
      </c>
      <c r="D614" t="inlineStr">
        <is>
          <t>UPPSALA LÄN</t>
        </is>
      </c>
      <c r="E614" t="inlineStr">
        <is>
          <t>ÖSTHAMMAR</t>
        </is>
      </c>
      <c r="G614" t="n">
        <v>0.9</v>
      </c>
      <c r="H614" t="n">
        <v>0</v>
      </c>
      <c r="I614" t="n">
        <v>0</v>
      </c>
      <c r="J614" t="n">
        <v>0</v>
      </c>
      <c r="K614" t="n">
        <v>0</v>
      </c>
      <c r="L614" t="n">
        <v>0</v>
      </c>
      <c r="M614" t="n">
        <v>0</v>
      </c>
      <c r="N614" t="n">
        <v>0</v>
      </c>
      <c r="O614" t="n">
        <v>0</v>
      </c>
      <c r="P614" t="n">
        <v>0</v>
      </c>
      <c r="Q614" t="n">
        <v>0</v>
      </c>
      <c r="R614" s="2" t="inlineStr"/>
    </row>
    <row r="615" ht="15" customHeight="1">
      <c r="A615" t="inlineStr">
        <is>
          <t>A 54666-2022</t>
        </is>
      </c>
      <c r="B615" s="1" t="n">
        <v>44883</v>
      </c>
      <c r="C615" s="1" t="n">
        <v>45798</v>
      </c>
      <c r="D615" t="inlineStr">
        <is>
          <t>UPPSALA LÄN</t>
        </is>
      </c>
      <c r="E615" t="inlineStr">
        <is>
          <t>ÖSTHAMMAR</t>
        </is>
      </c>
      <c r="G615" t="n">
        <v>14.3</v>
      </c>
      <c r="H615" t="n">
        <v>0</v>
      </c>
      <c r="I615" t="n">
        <v>0</v>
      </c>
      <c r="J615" t="n">
        <v>0</v>
      </c>
      <c r="K615" t="n">
        <v>0</v>
      </c>
      <c r="L615" t="n">
        <v>0</v>
      </c>
      <c r="M615" t="n">
        <v>0</v>
      </c>
      <c r="N615" t="n">
        <v>0</v>
      </c>
      <c r="O615" t="n">
        <v>0</v>
      </c>
      <c r="P615" t="n">
        <v>0</v>
      </c>
      <c r="Q615" t="n">
        <v>0</v>
      </c>
      <c r="R615" s="2" t="inlineStr"/>
    </row>
    <row r="616" ht="15" customHeight="1">
      <c r="A616" t="inlineStr">
        <is>
          <t>A 56260-2022</t>
        </is>
      </c>
      <c r="B616" s="1" t="n">
        <v>44890</v>
      </c>
      <c r="C616" s="1" t="n">
        <v>45798</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56969-2022</t>
        </is>
      </c>
      <c r="B617" s="1" t="n">
        <v>44894</v>
      </c>
      <c r="C617" s="1" t="n">
        <v>45798</v>
      </c>
      <c r="D617" t="inlineStr">
        <is>
          <t>UPPSALA LÄN</t>
        </is>
      </c>
      <c r="E617" t="inlineStr">
        <is>
          <t>ÖSTHAMMAR</t>
        </is>
      </c>
      <c r="G617" t="n">
        <v>5.5</v>
      </c>
      <c r="H617" t="n">
        <v>0</v>
      </c>
      <c r="I617" t="n">
        <v>0</v>
      </c>
      <c r="J617" t="n">
        <v>0</v>
      </c>
      <c r="K617" t="n">
        <v>0</v>
      </c>
      <c r="L617" t="n">
        <v>0</v>
      </c>
      <c r="M617" t="n">
        <v>0</v>
      </c>
      <c r="N617" t="n">
        <v>0</v>
      </c>
      <c r="O617" t="n">
        <v>0</v>
      </c>
      <c r="P617" t="n">
        <v>0</v>
      </c>
      <c r="Q617" t="n">
        <v>0</v>
      </c>
      <c r="R617" s="2" t="inlineStr"/>
    </row>
    <row r="618" ht="15" customHeight="1">
      <c r="A618" t="inlineStr">
        <is>
          <t>A 57462-2022</t>
        </is>
      </c>
      <c r="B618" s="1" t="n">
        <v>44896</v>
      </c>
      <c r="C618" s="1" t="n">
        <v>45798</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57453-2022</t>
        </is>
      </c>
      <c r="B619" s="1" t="n">
        <v>44896</v>
      </c>
      <c r="C619" s="1" t="n">
        <v>45798</v>
      </c>
      <c r="D619" t="inlineStr">
        <is>
          <t>UPPSALA LÄN</t>
        </is>
      </c>
      <c r="E619" t="inlineStr">
        <is>
          <t>ÖSTHAMMAR</t>
        </is>
      </c>
      <c r="G619" t="n">
        <v>1.7</v>
      </c>
      <c r="H619" t="n">
        <v>0</v>
      </c>
      <c r="I619" t="n">
        <v>0</v>
      </c>
      <c r="J619" t="n">
        <v>0</v>
      </c>
      <c r="K619" t="n">
        <v>0</v>
      </c>
      <c r="L619" t="n">
        <v>0</v>
      </c>
      <c r="M619" t="n">
        <v>0</v>
      </c>
      <c r="N619" t="n">
        <v>0</v>
      </c>
      <c r="O619" t="n">
        <v>0</v>
      </c>
      <c r="P619" t="n">
        <v>0</v>
      </c>
      <c r="Q619" t="n">
        <v>0</v>
      </c>
      <c r="R619" s="2" t="inlineStr"/>
    </row>
    <row r="620" ht="15" customHeight="1">
      <c r="A620" t="inlineStr">
        <is>
          <t>A 58127-2022</t>
        </is>
      </c>
      <c r="B620" s="1" t="n">
        <v>44900</v>
      </c>
      <c r="C620" s="1" t="n">
        <v>45798</v>
      </c>
      <c r="D620" t="inlineStr">
        <is>
          <t>UPPSALA LÄN</t>
        </is>
      </c>
      <c r="E620" t="inlineStr">
        <is>
          <t>ÖSTHAMMAR</t>
        </is>
      </c>
      <c r="F620" t="inlineStr">
        <is>
          <t>Bergvik skog öst AB</t>
        </is>
      </c>
      <c r="G620" t="n">
        <v>6.4</v>
      </c>
      <c r="H620" t="n">
        <v>0</v>
      </c>
      <c r="I620" t="n">
        <v>0</v>
      </c>
      <c r="J620" t="n">
        <v>0</v>
      </c>
      <c r="K620" t="n">
        <v>0</v>
      </c>
      <c r="L620" t="n">
        <v>0</v>
      </c>
      <c r="M620" t="n">
        <v>0</v>
      </c>
      <c r="N620" t="n">
        <v>0</v>
      </c>
      <c r="O620" t="n">
        <v>0</v>
      </c>
      <c r="P620" t="n">
        <v>0</v>
      </c>
      <c r="Q620" t="n">
        <v>0</v>
      </c>
      <c r="R620" s="2" t="inlineStr"/>
    </row>
    <row r="621" ht="15" customHeight="1">
      <c r="A621" t="inlineStr">
        <is>
          <t>A 58367-2022</t>
        </is>
      </c>
      <c r="B621" s="1" t="n">
        <v>44901</v>
      </c>
      <c r="C621" s="1" t="n">
        <v>45798</v>
      </c>
      <c r="D621" t="inlineStr">
        <is>
          <t>UPPSALA LÄN</t>
        </is>
      </c>
      <c r="E621" t="inlineStr">
        <is>
          <t>ÖSTHAMMAR</t>
        </is>
      </c>
      <c r="F621" t="inlineStr">
        <is>
          <t>Bergvik skog öst AB</t>
        </is>
      </c>
      <c r="G621" t="n">
        <v>2</v>
      </c>
      <c r="H621" t="n">
        <v>0</v>
      </c>
      <c r="I621" t="n">
        <v>0</v>
      </c>
      <c r="J621" t="n">
        <v>0</v>
      </c>
      <c r="K621" t="n">
        <v>0</v>
      </c>
      <c r="L621" t="n">
        <v>0</v>
      </c>
      <c r="M621" t="n">
        <v>0</v>
      </c>
      <c r="N621" t="n">
        <v>0</v>
      </c>
      <c r="O621" t="n">
        <v>0</v>
      </c>
      <c r="P621" t="n">
        <v>0</v>
      </c>
      <c r="Q621" t="n">
        <v>0</v>
      </c>
      <c r="R621" s="2" t="inlineStr"/>
    </row>
    <row r="622" ht="15" customHeight="1">
      <c r="A622" t="inlineStr">
        <is>
          <t>A 58878-2022</t>
        </is>
      </c>
      <c r="B622" s="1" t="n">
        <v>44903</v>
      </c>
      <c r="C622" s="1" t="n">
        <v>45798</v>
      </c>
      <c r="D622" t="inlineStr">
        <is>
          <t>UPPSALA LÄN</t>
        </is>
      </c>
      <c r="E622" t="inlineStr">
        <is>
          <t>ÖSTHAMMAR</t>
        </is>
      </c>
      <c r="G622" t="n">
        <v>0.8</v>
      </c>
      <c r="H622" t="n">
        <v>0</v>
      </c>
      <c r="I622" t="n">
        <v>0</v>
      </c>
      <c r="J622" t="n">
        <v>0</v>
      </c>
      <c r="K622" t="n">
        <v>0</v>
      </c>
      <c r="L622" t="n">
        <v>0</v>
      </c>
      <c r="M622" t="n">
        <v>0</v>
      </c>
      <c r="N622" t="n">
        <v>0</v>
      </c>
      <c r="O622" t="n">
        <v>0</v>
      </c>
      <c r="P622" t="n">
        <v>0</v>
      </c>
      <c r="Q622" t="n">
        <v>0</v>
      </c>
      <c r="R622" s="2" t="inlineStr"/>
    </row>
    <row r="623" ht="15" customHeight="1">
      <c r="A623" t="inlineStr">
        <is>
          <t>A 60258-2022</t>
        </is>
      </c>
      <c r="B623" s="1" t="n">
        <v>44903</v>
      </c>
      <c r="C623" s="1" t="n">
        <v>45798</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59382-2022</t>
        </is>
      </c>
      <c r="B624" s="1" t="n">
        <v>44905</v>
      </c>
      <c r="C624" s="1" t="n">
        <v>45798</v>
      </c>
      <c r="D624" t="inlineStr">
        <is>
          <t>UPPSALA LÄN</t>
        </is>
      </c>
      <c r="E624" t="inlineStr">
        <is>
          <t>ÖSTHAMMAR</t>
        </is>
      </c>
      <c r="G624" t="n">
        <v>2.9</v>
      </c>
      <c r="H624" t="n">
        <v>0</v>
      </c>
      <c r="I624" t="n">
        <v>0</v>
      </c>
      <c r="J624" t="n">
        <v>0</v>
      </c>
      <c r="K624" t="n">
        <v>0</v>
      </c>
      <c r="L624" t="n">
        <v>0</v>
      </c>
      <c r="M624" t="n">
        <v>0</v>
      </c>
      <c r="N624" t="n">
        <v>0</v>
      </c>
      <c r="O624" t="n">
        <v>0</v>
      </c>
      <c r="P624" t="n">
        <v>0</v>
      </c>
      <c r="Q624" t="n">
        <v>0</v>
      </c>
      <c r="R624" s="2" t="inlineStr"/>
    </row>
    <row r="625" ht="15" customHeight="1">
      <c r="A625" t="inlineStr">
        <is>
          <t>A 59563-2022</t>
        </is>
      </c>
      <c r="B625" s="1" t="n">
        <v>44907</v>
      </c>
      <c r="C625" s="1" t="n">
        <v>45798</v>
      </c>
      <c r="D625" t="inlineStr">
        <is>
          <t>UPPSALA LÄN</t>
        </is>
      </c>
      <c r="E625" t="inlineStr">
        <is>
          <t>ÖSTHAMMAR</t>
        </is>
      </c>
      <c r="G625" t="n">
        <v>2.8</v>
      </c>
      <c r="H625" t="n">
        <v>0</v>
      </c>
      <c r="I625" t="n">
        <v>0</v>
      </c>
      <c r="J625" t="n">
        <v>0</v>
      </c>
      <c r="K625" t="n">
        <v>0</v>
      </c>
      <c r="L625" t="n">
        <v>0</v>
      </c>
      <c r="M625" t="n">
        <v>0</v>
      </c>
      <c r="N625" t="n">
        <v>0</v>
      </c>
      <c r="O625" t="n">
        <v>0</v>
      </c>
      <c r="P625" t="n">
        <v>0</v>
      </c>
      <c r="Q625" t="n">
        <v>0</v>
      </c>
      <c r="R625" s="2" t="inlineStr"/>
    </row>
    <row r="626" ht="15" customHeight="1">
      <c r="A626" t="inlineStr">
        <is>
          <t>A 59880-2022</t>
        </is>
      </c>
      <c r="B626" s="1" t="n">
        <v>44908</v>
      </c>
      <c r="C626" s="1" t="n">
        <v>45798</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60079-2022</t>
        </is>
      </c>
      <c r="B627" s="1" t="n">
        <v>44909</v>
      </c>
      <c r="C627" s="1" t="n">
        <v>45798</v>
      </c>
      <c r="D627" t="inlineStr">
        <is>
          <t>UPPSALA LÄN</t>
        </is>
      </c>
      <c r="E627" t="inlineStr">
        <is>
          <t>ÖSTHAMMAR</t>
        </is>
      </c>
      <c r="G627" t="n">
        <v>9.6</v>
      </c>
      <c r="H627" t="n">
        <v>0</v>
      </c>
      <c r="I627" t="n">
        <v>0</v>
      </c>
      <c r="J627" t="n">
        <v>0</v>
      </c>
      <c r="K627" t="n">
        <v>0</v>
      </c>
      <c r="L627" t="n">
        <v>0</v>
      </c>
      <c r="M627" t="n">
        <v>0</v>
      </c>
      <c r="N627" t="n">
        <v>0</v>
      </c>
      <c r="O627" t="n">
        <v>0</v>
      </c>
      <c r="P627" t="n">
        <v>0</v>
      </c>
      <c r="Q627" t="n">
        <v>0</v>
      </c>
      <c r="R627" s="2" t="inlineStr"/>
    </row>
    <row r="628" ht="15" customHeight="1">
      <c r="A628" t="inlineStr">
        <is>
          <t>A 60597-2022</t>
        </is>
      </c>
      <c r="B628" s="1" t="n">
        <v>44911</v>
      </c>
      <c r="C628" s="1" t="n">
        <v>45798</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61261-2022</t>
        </is>
      </c>
      <c r="B629" s="1" t="n">
        <v>44915</v>
      </c>
      <c r="C629" s="1" t="n">
        <v>45798</v>
      </c>
      <c r="D629" t="inlineStr">
        <is>
          <t>UPPSALA LÄN</t>
        </is>
      </c>
      <c r="E629" t="inlineStr">
        <is>
          <t>ÖSTHAMMAR</t>
        </is>
      </c>
      <c r="G629" t="n">
        <v>0.4</v>
      </c>
      <c r="H629" t="n">
        <v>0</v>
      </c>
      <c r="I629" t="n">
        <v>0</v>
      </c>
      <c r="J629" t="n">
        <v>0</v>
      </c>
      <c r="K629" t="n">
        <v>0</v>
      </c>
      <c r="L629" t="n">
        <v>0</v>
      </c>
      <c r="M629" t="n">
        <v>0</v>
      </c>
      <c r="N629" t="n">
        <v>0</v>
      </c>
      <c r="O629" t="n">
        <v>0</v>
      </c>
      <c r="P629" t="n">
        <v>0</v>
      </c>
      <c r="Q629" t="n">
        <v>0</v>
      </c>
      <c r="R629" s="2" t="inlineStr"/>
    </row>
    <row r="630" ht="15" customHeight="1">
      <c r="A630" t="inlineStr">
        <is>
          <t>A 61216-2022</t>
        </is>
      </c>
      <c r="B630" s="1" t="n">
        <v>44915</v>
      </c>
      <c r="C630" s="1" t="n">
        <v>45798</v>
      </c>
      <c r="D630" t="inlineStr">
        <is>
          <t>UPPSALA LÄN</t>
        </is>
      </c>
      <c r="E630" t="inlineStr">
        <is>
          <t>ÖSTHAMMAR</t>
        </is>
      </c>
      <c r="G630" t="n">
        <v>2.9</v>
      </c>
      <c r="H630" t="n">
        <v>0</v>
      </c>
      <c r="I630" t="n">
        <v>0</v>
      </c>
      <c r="J630" t="n">
        <v>0</v>
      </c>
      <c r="K630" t="n">
        <v>0</v>
      </c>
      <c r="L630" t="n">
        <v>0</v>
      </c>
      <c r="M630" t="n">
        <v>0</v>
      </c>
      <c r="N630" t="n">
        <v>0</v>
      </c>
      <c r="O630" t="n">
        <v>0</v>
      </c>
      <c r="P630" t="n">
        <v>0</v>
      </c>
      <c r="Q630" t="n">
        <v>0</v>
      </c>
      <c r="R630" s="2" t="inlineStr"/>
    </row>
    <row r="631" ht="15" customHeight="1">
      <c r="A631" t="inlineStr">
        <is>
          <t>A 61257-2022</t>
        </is>
      </c>
      <c r="B631" s="1" t="n">
        <v>44915</v>
      </c>
      <c r="C631" s="1" t="n">
        <v>45798</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62295-2022</t>
        </is>
      </c>
      <c r="B632" s="1" t="n">
        <v>44916</v>
      </c>
      <c r="C632" s="1" t="n">
        <v>45798</v>
      </c>
      <c r="D632" t="inlineStr">
        <is>
          <t>UPPSALA LÄN</t>
        </is>
      </c>
      <c r="E632" t="inlineStr">
        <is>
          <t>ÖSTHAMMAR</t>
        </is>
      </c>
      <c r="G632" t="n">
        <v>3.3</v>
      </c>
      <c r="H632" t="n">
        <v>0</v>
      </c>
      <c r="I632" t="n">
        <v>0</v>
      </c>
      <c r="J632" t="n">
        <v>0</v>
      </c>
      <c r="K632" t="n">
        <v>0</v>
      </c>
      <c r="L632" t="n">
        <v>0</v>
      </c>
      <c r="M632" t="n">
        <v>0</v>
      </c>
      <c r="N632" t="n">
        <v>0</v>
      </c>
      <c r="O632" t="n">
        <v>0</v>
      </c>
      <c r="P632" t="n">
        <v>0</v>
      </c>
      <c r="Q632" t="n">
        <v>0</v>
      </c>
      <c r="R632" s="2" t="inlineStr"/>
    </row>
    <row r="633" ht="15" customHeight="1">
      <c r="A633" t="inlineStr">
        <is>
          <t>A 62394-2022</t>
        </is>
      </c>
      <c r="B633" s="1" t="n">
        <v>44923</v>
      </c>
      <c r="C633" s="1" t="n">
        <v>45798</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62393-2022</t>
        </is>
      </c>
      <c r="B634" s="1" t="n">
        <v>44923</v>
      </c>
      <c r="C634" s="1" t="n">
        <v>45798</v>
      </c>
      <c r="D634" t="inlineStr">
        <is>
          <t>UPPSALA LÄN</t>
        </is>
      </c>
      <c r="E634" t="inlineStr">
        <is>
          <t>ÖSTHAMMAR</t>
        </is>
      </c>
      <c r="F634" t="inlineStr">
        <is>
          <t>Bergvik skog öst AB</t>
        </is>
      </c>
      <c r="G634" t="n">
        <v>2.7</v>
      </c>
      <c r="H634" t="n">
        <v>0</v>
      </c>
      <c r="I634" t="n">
        <v>0</v>
      </c>
      <c r="J634" t="n">
        <v>0</v>
      </c>
      <c r="K634" t="n">
        <v>0</v>
      </c>
      <c r="L634" t="n">
        <v>0</v>
      </c>
      <c r="M634" t="n">
        <v>0</v>
      </c>
      <c r="N634" t="n">
        <v>0</v>
      </c>
      <c r="O634" t="n">
        <v>0</v>
      </c>
      <c r="P634" t="n">
        <v>0</v>
      </c>
      <c r="Q634" t="n">
        <v>0</v>
      </c>
      <c r="R634" s="2" t="inlineStr"/>
    </row>
    <row r="635" ht="15" customHeight="1">
      <c r="A635" t="inlineStr">
        <is>
          <t>A 62392-2022</t>
        </is>
      </c>
      <c r="B635" s="1" t="n">
        <v>44923</v>
      </c>
      <c r="C635" s="1" t="n">
        <v>45798</v>
      </c>
      <c r="D635" t="inlineStr">
        <is>
          <t>UPPSALA LÄN</t>
        </is>
      </c>
      <c r="E635" t="inlineStr">
        <is>
          <t>ÖSTHAMMAR</t>
        </is>
      </c>
      <c r="F635" t="inlineStr">
        <is>
          <t>Bergvik skog öst AB</t>
        </is>
      </c>
      <c r="G635" t="n">
        <v>1.7</v>
      </c>
      <c r="H635" t="n">
        <v>0</v>
      </c>
      <c r="I635" t="n">
        <v>0</v>
      </c>
      <c r="J635" t="n">
        <v>0</v>
      </c>
      <c r="K635" t="n">
        <v>0</v>
      </c>
      <c r="L635" t="n">
        <v>0</v>
      </c>
      <c r="M635" t="n">
        <v>0</v>
      </c>
      <c r="N635" t="n">
        <v>0</v>
      </c>
      <c r="O635" t="n">
        <v>0</v>
      </c>
      <c r="P635" t="n">
        <v>0</v>
      </c>
      <c r="Q635" t="n">
        <v>0</v>
      </c>
      <c r="R635" s="2" t="inlineStr"/>
    </row>
    <row r="636" ht="15" customHeight="1">
      <c r="A636" t="inlineStr">
        <is>
          <t>A 62391-2022</t>
        </is>
      </c>
      <c r="B636" s="1" t="n">
        <v>44923</v>
      </c>
      <c r="C636" s="1" t="n">
        <v>45798</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57-2023</t>
        </is>
      </c>
      <c r="B637" s="1" t="n">
        <v>44928</v>
      </c>
      <c r="C637" s="1" t="n">
        <v>45798</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59-2023</t>
        </is>
      </c>
      <c r="B638" s="1" t="n">
        <v>44928</v>
      </c>
      <c r="C638" s="1" t="n">
        <v>45798</v>
      </c>
      <c r="D638" t="inlineStr">
        <is>
          <t>UPPSALA LÄN</t>
        </is>
      </c>
      <c r="E638" t="inlineStr">
        <is>
          <t>ÖSTHAMMAR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390-2023</t>
        </is>
      </c>
      <c r="B639" s="1" t="n">
        <v>44929</v>
      </c>
      <c r="C639" s="1" t="n">
        <v>45798</v>
      </c>
      <c r="D639" t="inlineStr">
        <is>
          <t>UPPSALA LÄN</t>
        </is>
      </c>
      <c r="E639" t="inlineStr">
        <is>
          <t>ÖSTHAMMAR</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1791-2023</t>
        </is>
      </c>
      <c r="B640" s="1" t="n">
        <v>44938</v>
      </c>
      <c r="C640" s="1" t="n">
        <v>45798</v>
      </c>
      <c r="D640" t="inlineStr">
        <is>
          <t>UPPSALA LÄN</t>
        </is>
      </c>
      <c r="E640" t="inlineStr">
        <is>
          <t>ÖSTHAMMAR</t>
        </is>
      </c>
      <c r="G640" t="n">
        <v>2</v>
      </c>
      <c r="H640" t="n">
        <v>0</v>
      </c>
      <c r="I640" t="n">
        <v>0</v>
      </c>
      <c r="J640" t="n">
        <v>0</v>
      </c>
      <c r="K640" t="n">
        <v>0</v>
      </c>
      <c r="L640" t="n">
        <v>0</v>
      </c>
      <c r="M640" t="n">
        <v>0</v>
      </c>
      <c r="N640" t="n">
        <v>0</v>
      </c>
      <c r="O640" t="n">
        <v>0</v>
      </c>
      <c r="P640" t="n">
        <v>0</v>
      </c>
      <c r="Q640" t="n">
        <v>0</v>
      </c>
      <c r="R640" s="2" t="inlineStr"/>
    </row>
    <row r="641" ht="15" customHeight="1">
      <c r="A641" t="inlineStr">
        <is>
          <t>A 1800-2023</t>
        </is>
      </c>
      <c r="B641" s="1" t="n">
        <v>44938</v>
      </c>
      <c r="C641" s="1" t="n">
        <v>45798</v>
      </c>
      <c r="D641" t="inlineStr">
        <is>
          <t>UPPSALA LÄN</t>
        </is>
      </c>
      <c r="E641" t="inlineStr">
        <is>
          <t>ÖSTHAMMAR</t>
        </is>
      </c>
      <c r="G641" t="n">
        <v>1.4</v>
      </c>
      <c r="H641" t="n">
        <v>0</v>
      </c>
      <c r="I641" t="n">
        <v>0</v>
      </c>
      <c r="J641" t="n">
        <v>0</v>
      </c>
      <c r="K641" t="n">
        <v>0</v>
      </c>
      <c r="L641" t="n">
        <v>0</v>
      </c>
      <c r="M641" t="n">
        <v>0</v>
      </c>
      <c r="N641" t="n">
        <v>0</v>
      </c>
      <c r="O641" t="n">
        <v>0</v>
      </c>
      <c r="P641" t="n">
        <v>0</v>
      </c>
      <c r="Q641" t="n">
        <v>0</v>
      </c>
      <c r="R641" s="2" t="inlineStr"/>
    </row>
    <row r="642" ht="15" customHeight="1">
      <c r="A642" t="inlineStr">
        <is>
          <t>A 1796-2023</t>
        </is>
      </c>
      <c r="B642" s="1" t="n">
        <v>44938</v>
      </c>
      <c r="C642" s="1" t="n">
        <v>45798</v>
      </c>
      <c r="D642" t="inlineStr">
        <is>
          <t>UPPSALA LÄN</t>
        </is>
      </c>
      <c r="E642" t="inlineStr">
        <is>
          <t>ÖSTHAMMAR</t>
        </is>
      </c>
      <c r="G642" t="n">
        <v>1.2</v>
      </c>
      <c r="H642" t="n">
        <v>0</v>
      </c>
      <c r="I642" t="n">
        <v>0</v>
      </c>
      <c r="J642" t="n">
        <v>0</v>
      </c>
      <c r="K642" t="n">
        <v>0</v>
      </c>
      <c r="L642" t="n">
        <v>0</v>
      </c>
      <c r="M642" t="n">
        <v>0</v>
      </c>
      <c r="N642" t="n">
        <v>0</v>
      </c>
      <c r="O642" t="n">
        <v>0</v>
      </c>
      <c r="P642" t="n">
        <v>0</v>
      </c>
      <c r="Q642" t="n">
        <v>0</v>
      </c>
      <c r="R642" s="2" t="inlineStr"/>
    </row>
    <row r="643" ht="15" customHeight="1">
      <c r="A643" t="inlineStr">
        <is>
          <t>A 2733-2023</t>
        </is>
      </c>
      <c r="B643" s="1" t="n">
        <v>44943</v>
      </c>
      <c r="C643" s="1" t="n">
        <v>45798</v>
      </c>
      <c r="D643" t="inlineStr">
        <is>
          <t>UPPSALA LÄN</t>
        </is>
      </c>
      <c r="E643" t="inlineStr">
        <is>
          <t>ÖSTHAMMAR</t>
        </is>
      </c>
      <c r="G643" t="n">
        <v>2.6</v>
      </c>
      <c r="H643" t="n">
        <v>0</v>
      </c>
      <c r="I643" t="n">
        <v>0</v>
      </c>
      <c r="J643" t="n">
        <v>0</v>
      </c>
      <c r="K643" t="n">
        <v>0</v>
      </c>
      <c r="L643" t="n">
        <v>0</v>
      </c>
      <c r="M643" t="n">
        <v>0</v>
      </c>
      <c r="N643" t="n">
        <v>0</v>
      </c>
      <c r="O643" t="n">
        <v>0</v>
      </c>
      <c r="P643" t="n">
        <v>0</v>
      </c>
      <c r="Q643" t="n">
        <v>0</v>
      </c>
      <c r="R643" s="2" t="inlineStr"/>
    </row>
    <row r="644" ht="15" customHeight="1">
      <c r="A644" t="inlineStr">
        <is>
          <t>A 2967-2023</t>
        </is>
      </c>
      <c r="B644" s="1" t="n">
        <v>44945</v>
      </c>
      <c r="C644" s="1" t="n">
        <v>45798</v>
      </c>
      <c r="D644" t="inlineStr">
        <is>
          <t>UPPSALA LÄN</t>
        </is>
      </c>
      <c r="E644" t="inlineStr">
        <is>
          <t>ÖSTHAMMAR</t>
        </is>
      </c>
      <c r="F644" t="inlineStr">
        <is>
          <t>Övriga Aktiebolag</t>
        </is>
      </c>
      <c r="G644" t="n">
        <v>3.1</v>
      </c>
      <c r="H644" t="n">
        <v>0</v>
      </c>
      <c r="I644" t="n">
        <v>0</v>
      </c>
      <c r="J644" t="n">
        <v>0</v>
      </c>
      <c r="K644" t="n">
        <v>0</v>
      </c>
      <c r="L644" t="n">
        <v>0</v>
      </c>
      <c r="M644" t="n">
        <v>0</v>
      </c>
      <c r="N644" t="n">
        <v>0</v>
      </c>
      <c r="O644" t="n">
        <v>0</v>
      </c>
      <c r="P644" t="n">
        <v>0</v>
      </c>
      <c r="Q644" t="n">
        <v>0</v>
      </c>
      <c r="R644" s="2" t="inlineStr"/>
    </row>
    <row r="645" ht="15" customHeight="1">
      <c r="A645" t="inlineStr">
        <is>
          <t>A 3005-2023</t>
        </is>
      </c>
      <c r="B645" s="1" t="n">
        <v>44945</v>
      </c>
      <c r="C645" s="1" t="n">
        <v>45798</v>
      </c>
      <c r="D645" t="inlineStr">
        <is>
          <t>UPPSALA LÄN</t>
        </is>
      </c>
      <c r="E645" t="inlineStr">
        <is>
          <t>ÖSTHAMMAR</t>
        </is>
      </c>
      <c r="F645" t="inlineStr">
        <is>
          <t>Bergvik skog öst AB</t>
        </is>
      </c>
      <c r="G645" t="n">
        <v>6.5</v>
      </c>
      <c r="H645" t="n">
        <v>0</v>
      </c>
      <c r="I645" t="n">
        <v>0</v>
      </c>
      <c r="J645" t="n">
        <v>0</v>
      </c>
      <c r="K645" t="n">
        <v>0</v>
      </c>
      <c r="L645" t="n">
        <v>0</v>
      </c>
      <c r="M645" t="n">
        <v>0</v>
      </c>
      <c r="N645" t="n">
        <v>0</v>
      </c>
      <c r="O645" t="n">
        <v>0</v>
      </c>
      <c r="P645" t="n">
        <v>0</v>
      </c>
      <c r="Q645" t="n">
        <v>0</v>
      </c>
      <c r="R645" s="2" t="inlineStr"/>
    </row>
    <row r="646" ht="15" customHeight="1">
      <c r="A646" t="inlineStr">
        <is>
          <t>A 3743-2023</t>
        </is>
      </c>
      <c r="B646" s="1" t="n">
        <v>44948</v>
      </c>
      <c r="C646" s="1" t="n">
        <v>45798</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3327-2023</t>
        </is>
      </c>
      <c r="B647" s="1" t="n">
        <v>44949</v>
      </c>
      <c r="C647" s="1" t="n">
        <v>45798</v>
      </c>
      <c r="D647" t="inlineStr">
        <is>
          <t>UPPSALA LÄN</t>
        </is>
      </c>
      <c r="E647" t="inlineStr">
        <is>
          <t>ÖSTHAMMAR</t>
        </is>
      </c>
      <c r="G647" t="n">
        <v>1.1</v>
      </c>
      <c r="H647" t="n">
        <v>0</v>
      </c>
      <c r="I647" t="n">
        <v>0</v>
      </c>
      <c r="J647" t="n">
        <v>0</v>
      </c>
      <c r="K647" t="n">
        <v>0</v>
      </c>
      <c r="L647" t="n">
        <v>0</v>
      </c>
      <c r="M647" t="n">
        <v>0</v>
      </c>
      <c r="N647" t="n">
        <v>0</v>
      </c>
      <c r="O647" t="n">
        <v>0</v>
      </c>
      <c r="P647" t="n">
        <v>0</v>
      </c>
      <c r="Q647" t="n">
        <v>0</v>
      </c>
      <c r="R647" s="2" t="inlineStr"/>
    </row>
    <row r="648" ht="15" customHeight="1">
      <c r="A648" t="inlineStr">
        <is>
          <t>A 3514-2023</t>
        </is>
      </c>
      <c r="B648" s="1" t="n">
        <v>44950</v>
      </c>
      <c r="C648" s="1" t="n">
        <v>45798</v>
      </c>
      <c r="D648" t="inlineStr">
        <is>
          <t>UPPSALA LÄN</t>
        </is>
      </c>
      <c r="E648" t="inlineStr">
        <is>
          <t>ÖSTHAMMAR</t>
        </is>
      </c>
      <c r="F648" t="inlineStr">
        <is>
          <t>Övriga Aktiebolag</t>
        </is>
      </c>
      <c r="G648" t="n">
        <v>1.9</v>
      </c>
      <c r="H648" t="n">
        <v>0</v>
      </c>
      <c r="I648" t="n">
        <v>0</v>
      </c>
      <c r="J648" t="n">
        <v>0</v>
      </c>
      <c r="K648" t="n">
        <v>0</v>
      </c>
      <c r="L648" t="n">
        <v>0</v>
      </c>
      <c r="M648" t="n">
        <v>0</v>
      </c>
      <c r="N648" t="n">
        <v>0</v>
      </c>
      <c r="O648" t="n">
        <v>0</v>
      </c>
      <c r="P648" t="n">
        <v>0</v>
      </c>
      <c r="Q648" t="n">
        <v>0</v>
      </c>
      <c r="R648" s="2" t="inlineStr"/>
    </row>
    <row r="649" ht="15" customHeight="1">
      <c r="A649" t="inlineStr">
        <is>
          <t>A 4004-2023</t>
        </is>
      </c>
      <c r="B649" s="1" t="n">
        <v>44952</v>
      </c>
      <c r="C649" s="1" t="n">
        <v>45798</v>
      </c>
      <c r="D649" t="inlineStr">
        <is>
          <t>UPPSALA LÄN</t>
        </is>
      </c>
      <c r="E649" t="inlineStr">
        <is>
          <t>ÖSTHAMMAR</t>
        </is>
      </c>
      <c r="G649" t="n">
        <v>4.1</v>
      </c>
      <c r="H649" t="n">
        <v>0</v>
      </c>
      <c r="I649" t="n">
        <v>0</v>
      </c>
      <c r="J649" t="n">
        <v>0</v>
      </c>
      <c r="K649" t="n">
        <v>0</v>
      </c>
      <c r="L649" t="n">
        <v>0</v>
      </c>
      <c r="M649" t="n">
        <v>0</v>
      </c>
      <c r="N649" t="n">
        <v>0</v>
      </c>
      <c r="O649" t="n">
        <v>0</v>
      </c>
      <c r="P649" t="n">
        <v>0</v>
      </c>
      <c r="Q649" t="n">
        <v>0</v>
      </c>
      <c r="R649" s="2" t="inlineStr"/>
    </row>
    <row r="650" ht="15" customHeight="1">
      <c r="A650" t="inlineStr">
        <is>
          <t>A 4054-2023</t>
        </is>
      </c>
      <c r="B650" s="1" t="n">
        <v>44952</v>
      </c>
      <c r="C650" s="1" t="n">
        <v>45798</v>
      </c>
      <c r="D650" t="inlineStr">
        <is>
          <t>UPPSALA LÄN</t>
        </is>
      </c>
      <c r="E650" t="inlineStr">
        <is>
          <t>ÖSTHAMMAR</t>
        </is>
      </c>
      <c r="F650" t="inlineStr">
        <is>
          <t>Övriga Aktiebolag</t>
        </is>
      </c>
      <c r="G650" t="n">
        <v>1.1</v>
      </c>
      <c r="H650" t="n">
        <v>0</v>
      </c>
      <c r="I650" t="n">
        <v>0</v>
      </c>
      <c r="J650" t="n">
        <v>0</v>
      </c>
      <c r="K650" t="n">
        <v>0</v>
      </c>
      <c r="L650" t="n">
        <v>0</v>
      </c>
      <c r="M650" t="n">
        <v>0</v>
      </c>
      <c r="N650" t="n">
        <v>0</v>
      </c>
      <c r="O650" t="n">
        <v>0</v>
      </c>
      <c r="P650" t="n">
        <v>0</v>
      </c>
      <c r="Q650" t="n">
        <v>0</v>
      </c>
      <c r="R650" s="2" t="inlineStr"/>
    </row>
    <row r="651" ht="15" customHeight="1">
      <c r="A651" t="inlineStr">
        <is>
          <t>A 4233-2023</t>
        </is>
      </c>
      <c r="B651" s="1" t="n">
        <v>44953</v>
      </c>
      <c r="C651" s="1" t="n">
        <v>45798</v>
      </c>
      <c r="D651" t="inlineStr">
        <is>
          <t>UPPSALA LÄN</t>
        </is>
      </c>
      <c r="E651" t="inlineStr">
        <is>
          <t>ÖSTHAMMAR</t>
        </is>
      </c>
      <c r="G651" t="n">
        <v>0.9</v>
      </c>
      <c r="H651" t="n">
        <v>0</v>
      </c>
      <c r="I651" t="n">
        <v>0</v>
      </c>
      <c r="J651" t="n">
        <v>0</v>
      </c>
      <c r="K651" t="n">
        <v>0</v>
      </c>
      <c r="L651" t="n">
        <v>0</v>
      </c>
      <c r="M651" t="n">
        <v>0</v>
      </c>
      <c r="N651" t="n">
        <v>0</v>
      </c>
      <c r="O651" t="n">
        <v>0</v>
      </c>
      <c r="P651" t="n">
        <v>0</v>
      </c>
      <c r="Q651" t="n">
        <v>0</v>
      </c>
      <c r="R651" s="2" t="inlineStr"/>
    </row>
    <row r="652" ht="15" customHeight="1">
      <c r="A652" t="inlineStr">
        <is>
          <t>A 4228-2023</t>
        </is>
      </c>
      <c r="B652" s="1" t="n">
        <v>44953</v>
      </c>
      <c r="C652" s="1" t="n">
        <v>45798</v>
      </c>
      <c r="D652" t="inlineStr">
        <is>
          <t>UPPSALA LÄN</t>
        </is>
      </c>
      <c r="E652" t="inlineStr">
        <is>
          <t>ÖSTHAMMAR</t>
        </is>
      </c>
      <c r="G652" t="n">
        <v>1</v>
      </c>
      <c r="H652" t="n">
        <v>0</v>
      </c>
      <c r="I652" t="n">
        <v>0</v>
      </c>
      <c r="J652" t="n">
        <v>0</v>
      </c>
      <c r="K652" t="n">
        <v>0</v>
      </c>
      <c r="L652" t="n">
        <v>0</v>
      </c>
      <c r="M652" t="n">
        <v>0</v>
      </c>
      <c r="N652" t="n">
        <v>0</v>
      </c>
      <c r="O652" t="n">
        <v>0</v>
      </c>
      <c r="P652" t="n">
        <v>0</v>
      </c>
      <c r="Q652" t="n">
        <v>0</v>
      </c>
      <c r="R652" s="2" t="inlineStr"/>
    </row>
    <row r="653" ht="15" customHeight="1">
      <c r="A653" t="inlineStr">
        <is>
          <t>A 4361-2023</t>
        </is>
      </c>
      <c r="B653" s="1" t="n">
        <v>44954</v>
      </c>
      <c r="C653" s="1" t="n">
        <v>45798</v>
      </c>
      <c r="D653" t="inlineStr">
        <is>
          <t>UPPSALA LÄN</t>
        </is>
      </c>
      <c r="E653" t="inlineStr">
        <is>
          <t>ÖSTHAMMAR</t>
        </is>
      </c>
      <c r="F653" t="inlineStr">
        <is>
          <t>Bergvik skog öst AB</t>
        </is>
      </c>
      <c r="G653" t="n">
        <v>18.3</v>
      </c>
      <c r="H653" t="n">
        <v>0</v>
      </c>
      <c r="I653" t="n">
        <v>0</v>
      </c>
      <c r="J653" t="n">
        <v>0</v>
      </c>
      <c r="K653" t="n">
        <v>0</v>
      </c>
      <c r="L653" t="n">
        <v>0</v>
      </c>
      <c r="M653" t="n">
        <v>0</v>
      </c>
      <c r="N653" t="n">
        <v>0</v>
      </c>
      <c r="O653" t="n">
        <v>0</v>
      </c>
      <c r="P653" t="n">
        <v>0</v>
      </c>
      <c r="Q653" t="n">
        <v>0</v>
      </c>
      <c r="R653" s="2" t="inlineStr"/>
    </row>
    <row r="654" ht="15" customHeight="1">
      <c r="A654" t="inlineStr">
        <is>
          <t>A 5404-2023</t>
        </is>
      </c>
      <c r="B654" s="1" t="n">
        <v>44957</v>
      </c>
      <c r="C654" s="1" t="n">
        <v>45798</v>
      </c>
      <c r="D654" t="inlineStr">
        <is>
          <t>UPPSALA LÄN</t>
        </is>
      </c>
      <c r="E654" t="inlineStr">
        <is>
          <t>ÖSTHAMMAR</t>
        </is>
      </c>
      <c r="G654" t="n">
        <v>2.5</v>
      </c>
      <c r="H654" t="n">
        <v>0</v>
      </c>
      <c r="I654" t="n">
        <v>0</v>
      </c>
      <c r="J654" t="n">
        <v>0</v>
      </c>
      <c r="K654" t="n">
        <v>0</v>
      </c>
      <c r="L654" t="n">
        <v>0</v>
      </c>
      <c r="M654" t="n">
        <v>0</v>
      </c>
      <c r="N654" t="n">
        <v>0</v>
      </c>
      <c r="O654" t="n">
        <v>0</v>
      </c>
      <c r="P654" t="n">
        <v>0</v>
      </c>
      <c r="Q654" t="n">
        <v>0</v>
      </c>
      <c r="R654" s="2" t="inlineStr"/>
    </row>
    <row r="655" ht="15" customHeight="1">
      <c r="A655" t="inlineStr">
        <is>
          <t>A 5429-2023</t>
        </is>
      </c>
      <c r="B655" s="1" t="n">
        <v>44959</v>
      </c>
      <c r="C655" s="1" t="n">
        <v>45798</v>
      </c>
      <c r="D655" t="inlineStr">
        <is>
          <t>UPPSALA LÄN</t>
        </is>
      </c>
      <c r="E655" t="inlineStr">
        <is>
          <t>ÖSTHAMMAR</t>
        </is>
      </c>
      <c r="F655" t="inlineStr">
        <is>
          <t>Bergvik skog öst AB</t>
        </is>
      </c>
      <c r="G655" t="n">
        <v>0.4</v>
      </c>
      <c r="H655" t="n">
        <v>0</v>
      </c>
      <c r="I655" t="n">
        <v>0</v>
      </c>
      <c r="J655" t="n">
        <v>0</v>
      </c>
      <c r="K655" t="n">
        <v>0</v>
      </c>
      <c r="L655" t="n">
        <v>0</v>
      </c>
      <c r="M655" t="n">
        <v>0</v>
      </c>
      <c r="N655" t="n">
        <v>0</v>
      </c>
      <c r="O655" t="n">
        <v>0</v>
      </c>
      <c r="P655" t="n">
        <v>0</v>
      </c>
      <c r="Q655" t="n">
        <v>0</v>
      </c>
      <c r="R655" s="2" t="inlineStr"/>
    </row>
    <row r="656" ht="15" customHeight="1">
      <c r="A656" t="inlineStr">
        <is>
          <t>A 5430-2023</t>
        </is>
      </c>
      <c r="B656" s="1" t="n">
        <v>44959</v>
      </c>
      <c r="C656" s="1" t="n">
        <v>45798</v>
      </c>
      <c r="D656" t="inlineStr">
        <is>
          <t>UPPSALA LÄN</t>
        </is>
      </c>
      <c r="E656" t="inlineStr">
        <is>
          <t>ÖSTHAMMAR</t>
        </is>
      </c>
      <c r="F656" t="inlineStr">
        <is>
          <t>Bergvik skog öst AB</t>
        </is>
      </c>
      <c r="G656" t="n">
        <v>18.4</v>
      </c>
      <c r="H656" t="n">
        <v>0</v>
      </c>
      <c r="I656" t="n">
        <v>0</v>
      </c>
      <c r="J656" t="n">
        <v>0</v>
      </c>
      <c r="K656" t="n">
        <v>0</v>
      </c>
      <c r="L656" t="n">
        <v>0</v>
      </c>
      <c r="M656" t="n">
        <v>0</v>
      </c>
      <c r="N656" t="n">
        <v>0</v>
      </c>
      <c r="O656" t="n">
        <v>0</v>
      </c>
      <c r="P656" t="n">
        <v>0</v>
      </c>
      <c r="Q656" t="n">
        <v>0</v>
      </c>
      <c r="R656" s="2" t="inlineStr"/>
    </row>
    <row r="657" ht="15" customHeight="1">
      <c r="A657" t="inlineStr">
        <is>
          <t>A 5643-2023</t>
        </is>
      </c>
      <c r="B657" s="1" t="n">
        <v>44960</v>
      </c>
      <c r="C657" s="1" t="n">
        <v>45798</v>
      </c>
      <c r="D657" t="inlineStr">
        <is>
          <t>UPPSALA LÄN</t>
        </is>
      </c>
      <c r="E657" t="inlineStr">
        <is>
          <t>ÖSTHAMMAR</t>
        </is>
      </c>
      <c r="G657" t="n">
        <v>1.1</v>
      </c>
      <c r="H657" t="n">
        <v>0</v>
      </c>
      <c r="I657" t="n">
        <v>0</v>
      </c>
      <c r="J657" t="n">
        <v>0</v>
      </c>
      <c r="K657" t="n">
        <v>0</v>
      </c>
      <c r="L657" t="n">
        <v>0</v>
      </c>
      <c r="M657" t="n">
        <v>0</v>
      </c>
      <c r="N657" t="n">
        <v>0</v>
      </c>
      <c r="O657" t="n">
        <v>0</v>
      </c>
      <c r="P657" t="n">
        <v>0</v>
      </c>
      <c r="Q657" t="n">
        <v>0</v>
      </c>
      <c r="R657" s="2" t="inlineStr"/>
    </row>
    <row r="658" ht="15" customHeight="1">
      <c r="A658" t="inlineStr">
        <is>
          <t>A 6629-2023</t>
        </is>
      </c>
      <c r="B658" s="1" t="n">
        <v>44960</v>
      </c>
      <c r="C658" s="1" t="n">
        <v>45798</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6635-2023</t>
        </is>
      </c>
      <c r="B659" s="1" t="n">
        <v>44960</v>
      </c>
      <c r="C659" s="1" t="n">
        <v>45798</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5832-2023</t>
        </is>
      </c>
      <c r="B660" s="1" t="n">
        <v>44963</v>
      </c>
      <c r="C660" s="1" t="n">
        <v>45798</v>
      </c>
      <c r="D660" t="inlineStr">
        <is>
          <t>UPPSALA LÄN</t>
        </is>
      </c>
      <c r="E660" t="inlineStr">
        <is>
          <t>ÖSTHAMMAR</t>
        </is>
      </c>
      <c r="G660" t="n">
        <v>3.1</v>
      </c>
      <c r="H660" t="n">
        <v>0</v>
      </c>
      <c r="I660" t="n">
        <v>0</v>
      </c>
      <c r="J660" t="n">
        <v>0</v>
      </c>
      <c r="K660" t="n">
        <v>0</v>
      </c>
      <c r="L660" t="n">
        <v>0</v>
      </c>
      <c r="M660" t="n">
        <v>0</v>
      </c>
      <c r="N660" t="n">
        <v>0</v>
      </c>
      <c r="O660" t="n">
        <v>0</v>
      </c>
      <c r="P660" t="n">
        <v>0</v>
      </c>
      <c r="Q660" t="n">
        <v>0</v>
      </c>
      <c r="R660" s="2" t="inlineStr"/>
    </row>
    <row r="661" ht="15" customHeight="1">
      <c r="A661" t="inlineStr">
        <is>
          <t>A 5836-2023</t>
        </is>
      </c>
      <c r="B661" s="1" t="n">
        <v>44963</v>
      </c>
      <c r="C661" s="1" t="n">
        <v>45798</v>
      </c>
      <c r="D661" t="inlineStr">
        <is>
          <t>UPPSALA LÄN</t>
        </is>
      </c>
      <c r="E661" t="inlineStr">
        <is>
          <t>ÖSTHAMMAR</t>
        </is>
      </c>
      <c r="G661" t="n">
        <v>1.7</v>
      </c>
      <c r="H661" t="n">
        <v>0</v>
      </c>
      <c r="I661" t="n">
        <v>0</v>
      </c>
      <c r="J661" t="n">
        <v>0</v>
      </c>
      <c r="K661" t="n">
        <v>0</v>
      </c>
      <c r="L661" t="n">
        <v>0</v>
      </c>
      <c r="M661" t="n">
        <v>0</v>
      </c>
      <c r="N661" t="n">
        <v>0</v>
      </c>
      <c r="O661" t="n">
        <v>0</v>
      </c>
      <c r="P661" t="n">
        <v>0</v>
      </c>
      <c r="Q661" t="n">
        <v>0</v>
      </c>
      <c r="R661" s="2" t="inlineStr"/>
    </row>
    <row r="662" ht="15" customHeight="1">
      <c r="A662" t="inlineStr">
        <is>
          <t>A 5831-2023</t>
        </is>
      </c>
      <c r="B662" s="1" t="n">
        <v>44963</v>
      </c>
      <c r="C662" s="1" t="n">
        <v>45798</v>
      </c>
      <c r="D662" t="inlineStr">
        <is>
          <t>UPPSALA LÄN</t>
        </is>
      </c>
      <c r="E662" t="inlineStr">
        <is>
          <t>ÖSTHAMMAR</t>
        </is>
      </c>
      <c r="G662" t="n">
        <v>8.1</v>
      </c>
      <c r="H662" t="n">
        <v>0</v>
      </c>
      <c r="I662" t="n">
        <v>0</v>
      </c>
      <c r="J662" t="n">
        <v>0</v>
      </c>
      <c r="K662" t="n">
        <v>0</v>
      </c>
      <c r="L662" t="n">
        <v>0</v>
      </c>
      <c r="M662" t="n">
        <v>0</v>
      </c>
      <c r="N662" t="n">
        <v>0</v>
      </c>
      <c r="O662" t="n">
        <v>0</v>
      </c>
      <c r="P662" t="n">
        <v>0</v>
      </c>
      <c r="Q662" t="n">
        <v>0</v>
      </c>
      <c r="R662" s="2" t="inlineStr"/>
    </row>
    <row r="663" ht="15" customHeight="1">
      <c r="A663" t="inlineStr">
        <is>
          <t>A 5857-2023</t>
        </is>
      </c>
      <c r="B663" s="1" t="n">
        <v>44963</v>
      </c>
      <c r="C663" s="1" t="n">
        <v>45798</v>
      </c>
      <c r="D663" t="inlineStr">
        <is>
          <t>UPPSALA LÄN</t>
        </is>
      </c>
      <c r="E663" t="inlineStr">
        <is>
          <t>ÖSTHAMMAR</t>
        </is>
      </c>
      <c r="G663" t="n">
        <v>1.6</v>
      </c>
      <c r="H663" t="n">
        <v>0</v>
      </c>
      <c r="I663" t="n">
        <v>0</v>
      </c>
      <c r="J663" t="n">
        <v>0</v>
      </c>
      <c r="K663" t="n">
        <v>0</v>
      </c>
      <c r="L663" t="n">
        <v>0</v>
      </c>
      <c r="M663" t="n">
        <v>0</v>
      </c>
      <c r="N663" t="n">
        <v>0</v>
      </c>
      <c r="O663" t="n">
        <v>0</v>
      </c>
      <c r="P663" t="n">
        <v>0</v>
      </c>
      <c r="Q663" t="n">
        <v>0</v>
      </c>
      <c r="R663" s="2" t="inlineStr"/>
    </row>
    <row r="664" ht="15" customHeight="1">
      <c r="A664" t="inlineStr">
        <is>
          <t>A 5884-2023</t>
        </is>
      </c>
      <c r="B664" s="1" t="n">
        <v>44963</v>
      </c>
      <c r="C664" s="1" t="n">
        <v>45798</v>
      </c>
      <c r="D664" t="inlineStr">
        <is>
          <t>UPPSALA LÄN</t>
        </is>
      </c>
      <c r="E664" t="inlineStr">
        <is>
          <t>ÖSTHAMMAR</t>
        </is>
      </c>
      <c r="G664" t="n">
        <v>0.6</v>
      </c>
      <c r="H664" t="n">
        <v>0</v>
      </c>
      <c r="I664" t="n">
        <v>0</v>
      </c>
      <c r="J664" t="n">
        <v>0</v>
      </c>
      <c r="K664" t="n">
        <v>0</v>
      </c>
      <c r="L664" t="n">
        <v>0</v>
      </c>
      <c r="M664" t="n">
        <v>0</v>
      </c>
      <c r="N664" t="n">
        <v>0</v>
      </c>
      <c r="O664" t="n">
        <v>0</v>
      </c>
      <c r="P664" t="n">
        <v>0</v>
      </c>
      <c r="Q664" t="n">
        <v>0</v>
      </c>
      <c r="R664" s="2" t="inlineStr"/>
    </row>
    <row r="665" ht="15" customHeight="1">
      <c r="A665" t="inlineStr">
        <is>
          <t>A 5877-2023</t>
        </is>
      </c>
      <c r="B665" s="1" t="n">
        <v>44963</v>
      </c>
      <c r="C665" s="1" t="n">
        <v>45798</v>
      </c>
      <c r="D665" t="inlineStr">
        <is>
          <t>UPPSALA LÄN</t>
        </is>
      </c>
      <c r="E665" t="inlineStr">
        <is>
          <t>ÖSTHAMMAR</t>
        </is>
      </c>
      <c r="G665" t="n">
        <v>0.7</v>
      </c>
      <c r="H665" t="n">
        <v>0</v>
      </c>
      <c r="I665" t="n">
        <v>0</v>
      </c>
      <c r="J665" t="n">
        <v>0</v>
      </c>
      <c r="K665" t="n">
        <v>0</v>
      </c>
      <c r="L665" t="n">
        <v>0</v>
      </c>
      <c r="M665" t="n">
        <v>0</v>
      </c>
      <c r="N665" t="n">
        <v>0</v>
      </c>
      <c r="O665" t="n">
        <v>0</v>
      </c>
      <c r="P665" t="n">
        <v>0</v>
      </c>
      <c r="Q665" t="n">
        <v>0</v>
      </c>
      <c r="R665" s="2" t="inlineStr"/>
    </row>
    <row r="666" ht="15" customHeight="1">
      <c r="A666" t="inlineStr">
        <is>
          <t>A 7195-2023</t>
        </is>
      </c>
      <c r="B666" s="1" t="n">
        <v>44970</v>
      </c>
      <c r="C666" s="1" t="n">
        <v>45798</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7206-2023</t>
        </is>
      </c>
      <c r="B667" s="1" t="n">
        <v>44970</v>
      </c>
      <c r="C667" s="1" t="n">
        <v>45798</v>
      </c>
      <c r="D667" t="inlineStr">
        <is>
          <t>UPPSALA LÄN</t>
        </is>
      </c>
      <c r="E667" t="inlineStr">
        <is>
          <t>ÖSTHAMMAR</t>
        </is>
      </c>
      <c r="G667" t="n">
        <v>1</v>
      </c>
      <c r="H667" t="n">
        <v>0</v>
      </c>
      <c r="I667" t="n">
        <v>0</v>
      </c>
      <c r="J667" t="n">
        <v>0</v>
      </c>
      <c r="K667" t="n">
        <v>0</v>
      </c>
      <c r="L667" t="n">
        <v>0</v>
      </c>
      <c r="M667" t="n">
        <v>0</v>
      </c>
      <c r="N667" t="n">
        <v>0</v>
      </c>
      <c r="O667" t="n">
        <v>0</v>
      </c>
      <c r="P667" t="n">
        <v>0</v>
      </c>
      <c r="Q667" t="n">
        <v>0</v>
      </c>
      <c r="R667" s="2" t="inlineStr"/>
    </row>
    <row r="668" ht="15" customHeight="1">
      <c r="A668" t="inlineStr">
        <is>
          <t>A 7118-2023</t>
        </is>
      </c>
      <c r="B668" s="1" t="n">
        <v>44970</v>
      </c>
      <c r="C668" s="1" t="n">
        <v>45798</v>
      </c>
      <c r="D668" t="inlineStr">
        <is>
          <t>UPPSALA LÄN</t>
        </is>
      </c>
      <c r="E668" t="inlineStr">
        <is>
          <t>ÖSTHAMMAR</t>
        </is>
      </c>
      <c r="G668" t="n">
        <v>2.1</v>
      </c>
      <c r="H668" t="n">
        <v>0</v>
      </c>
      <c r="I668" t="n">
        <v>0</v>
      </c>
      <c r="J668" t="n">
        <v>0</v>
      </c>
      <c r="K668" t="n">
        <v>0</v>
      </c>
      <c r="L668" t="n">
        <v>0</v>
      </c>
      <c r="M668" t="n">
        <v>0</v>
      </c>
      <c r="N668" t="n">
        <v>0</v>
      </c>
      <c r="O668" t="n">
        <v>0</v>
      </c>
      <c r="P668" t="n">
        <v>0</v>
      </c>
      <c r="Q668" t="n">
        <v>0</v>
      </c>
      <c r="R668" s="2" t="inlineStr"/>
    </row>
    <row r="669" ht="15" customHeight="1">
      <c r="A669" t="inlineStr">
        <is>
          <t>A 7546-2023</t>
        </is>
      </c>
      <c r="B669" s="1" t="n">
        <v>44972</v>
      </c>
      <c r="C669" s="1" t="n">
        <v>45798</v>
      </c>
      <c r="D669" t="inlineStr">
        <is>
          <t>UPPSALA LÄN</t>
        </is>
      </c>
      <c r="E669" t="inlineStr">
        <is>
          <t>ÖSTHAMMAR</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7543-2023</t>
        </is>
      </c>
      <c r="B670" s="1" t="n">
        <v>44972</v>
      </c>
      <c r="C670" s="1" t="n">
        <v>45798</v>
      </c>
      <c r="D670" t="inlineStr">
        <is>
          <t>UPPSALA LÄN</t>
        </is>
      </c>
      <c r="E670" t="inlineStr">
        <is>
          <t>ÖSTHAMMAR</t>
        </is>
      </c>
      <c r="F670" t="inlineStr">
        <is>
          <t>Bergvik skog öst AB</t>
        </is>
      </c>
      <c r="G670" t="n">
        <v>13.3</v>
      </c>
      <c r="H670" t="n">
        <v>0</v>
      </c>
      <c r="I670" t="n">
        <v>0</v>
      </c>
      <c r="J670" t="n">
        <v>0</v>
      </c>
      <c r="K670" t="n">
        <v>0</v>
      </c>
      <c r="L670" t="n">
        <v>0</v>
      </c>
      <c r="M670" t="n">
        <v>0</v>
      </c>
      <c r="N670" t="n">
        <v>0</v>
      </c>
      <c r="O670" t="n">
        <v>0</v>
      </c>
      <c r="P670" t="n">
        <v>0</v>
      </c>
      <c r="Q670" t="n">
        <v>0</v>
      </c>
      <c r="R670" s="2" t="inlineStr"/>
    </row>
    <row r="671" ht="15" customHeight="1">
      <c r="A671" t="inlineStr">
        <is>
          <t>A 7560-2023</t>
        </is>
      </c>
      <c r="B671" s="1" t="n">
        <v>44972</v>
      </c>
      <c r="C671" s="1" t="n">
        <v>45798</v>
      </c>
      <c r="D671" t="inlineStr">
        <is>
          <t>UPPSALA LÄN</t>
        </is>
      </c>
      <c r="E671" t="inlineStr">
        <is>
          <t>ÖSTHAMMAR</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7876-2023</t>
        </is>
      </c>
      <c r="B672" s="1" t="n">
        <v>44973</v>
      </c>
      <c r="C672" s="1" t="n">
        <v>45798</v>
      </c>
      <c r="D672" t="inlineStr">
        <is>
          <t>UPPSALA LÄN</t>
        </is>
      </c>
      <c r="E672" t="inlineStr">
        <is>
          <t>ÖSTHAMMAR</t>
        </is>
      </c>
      <c r="G672" t="n">
        <v>0.9</v>
      </c>
      <c r="H672" t="n">
        <v>0</v>
      </c>
      <c r="I672" t="n">
        <v>0</v>
      </c>
      <c r="J672" t="n">
        <v>0</v>
      </c>
      <c r="K672" t="n">
        <v>0</v>
      </c>
      <c r="L672" t="n">
        <v>0</v>
      </c>
      <c r="M672" t="n">
        <v>0</v>
      </c>
      <c r="N672" t="n">
        <v>0</v>
      </c>
      <c r="O672" t="n">
        <v>0</v>
      </c>
      <c r="P672" t="n">
        <v>0</v>
      </c>
      <c r="Q672" t="n">
        <v>0</v>
      </c>
      <c r="R672" s="2" t="inlineStr"/>
    </row>
    <row r="673" ht="15" customHeight="1">
      <c r="A673" t="inlineStr">
        <is>
          <t>A 7944-2023</t>
        </is>
      </c>
      <c r="B673" s="1" t="n">
        <v>44973</v>
      </c>
      <c r="C673" s="1" t="n">
        <v>45798</v>
      </c>
      <c r="D673" t="inlineStr">
        <is>
          <t>UPPSALA LÄN</t>
        </is>
      </c>
      <c r="E673" t="inlineStr">
        <is>
          <t>ÖSTHAMMAR</t>
        </is>
      </c>
      <c r="G673" t="n">
        <v>4.6</v>
      </c>
      <c r="H673" t="n">
        <v>0</v>
      </c>
      <c r="I673" t="n">
        <v>0</v>
      </c>
      <c r="J673" t="n">
        <v>0</v>
      </c>
      <c r="K673" t="n">
        <v>0</v>
      </c>
      <c r="L673" t="n">
        <v>0</v>
      </c>
      <c r="M673" t="n">
        <v>0</v>
      </c>
      <c r="N673" t="n">
        <v>0</v>
      </c>
      <c r="O673" t="n">
        <v>0</v>
      </c>
      <c r="P673" t="n">
        <v>0</v>
      </c>
      <c r="Q673" t="n">
        <v>0</v>
      </c>
      <c r="R673" s="2" t="inlineStr"/>
    </row>
    <row r="674" ht="15" customHeight="1">
      <c r="A674" t="inlineStr">
        <is>
          <t>A 7975-2023</t>
        </is>
      </c>
      <c r="B674" s="1" t="n">
        <v>44973</v>
      </c>
      <c r="C674" s="1" t="n">
        <v>45798</v>
      </c>
      <c r="D674" t="inlineStr">
        <is>
          <t>UPPSALA LÄN</t>
        </is>
      </c>
      <c r="E674" t="inlineStr">
        <is>
          <t>ÖSTHAMMAR</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8006-2023</t>
        </is>
      </c>
      <c r="B675" s="1" t="n">
        <v>44973</v>
      </c>
      <c r="C675" s="1" t="n">
        <v>45798</v>
      </c>
      <c r="D675" t="inlineStr">
        <is>
          <t>UPPSALA LÄN</t>
        </is>
      </c>
      <c r="E675" t="inlineStr">
        <is>
          <t>ÖSTHAMMAR</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8616-2023</t>
        </is>
      </c>
      <c r="B676" s="1" t="n">
        <v>44977</v>
      </c>
      <c r="C676" s="1" t="n">
        <v>45798</v>
      </c>
      <c r="D676" t="inlineStr">
        <is>
          <t>UPPSALA LÄN</t>
        </is>
      </c>
      <c r="E676" t="inlineStr">
        <is>
          <t>ÖSTHAMMAR</t>
        </is>
      </c>
      <c r="F676" t="inlineStr">
        <is>
          <t>Bergvik skog öst AB</t>
        </is>
      </c>
      <c r="G676" t="n">
        <v>0.2</v>
      </c>
      <c r="H676" t="n">
        <v>0</v>
      </c>
      <c r="I676" t="n">
        <v>0</v>
      </c>
      <c r="J676" t="n">
        <v>0</v>
      </c>
      <c r="K676" t="n">
        <v>0</v>
      </c>
      <c r="L676" t="n">
        <v>0</v>
      </c>
      <c r="M676" t="n">
        <v>0</v>
      </c>
      <c r="N676" t="n">
        <v>0</v>
      </c>
      <c r="O676" t="n">
        <v>0</v>
      </c>
      <c r="P676" t="n">
        <v>0</v>
      </c>
      <c r="Q676" t="n">
        <v>0</v>
      </c>
      <c r="R676" s="2" t="inlineStr"/>
    </row>
    <row r="677" ht="15" customHeight="1">
      <c r="A677" t="inlineStr">
        <is>
          <t>A 8826-2023</t>
        </is>
      </c>
      <c r="B677" s="1" t="n">
        <v>44978</v>
      </c>
      <c r="C677" s="1" t="n">
        <v>45798</v>
      </c>
      <c r="D677" t="inlineStr">
        <is>
          <t>UPPSALA LÄN</t>
        </is>
      </c>
      <c r="E677" t="inlineStr">
        <is>
          <t>ÖSTHAMMAR</t>
        </is>
      </c>
      <c r="F677" t="inlineStr">
        <is>
          <t>Bergvik skog öst AB</t>
        </is>
      </c>
      <c r="G677" t="n">
        <v>4.3</v>
      </c>
      <c r="H677" t="n">
        <v>0</v>
      </c>
      <c r="I677" t="n">
        <v>0</v>
      </c>
      <c r="J677" t="n">
        <v>0</v>
      </c>
      <c r="K677" t="n">
        <v>0</v>
      </c>
      <c r="L677" t="n">
        <v>0</v>
      </c>
      <c r="M677" t="n">
        <v>0</v>
      </c>
      <c r="N677" t="n">
        <v>0</v>
      </c>
      <c r="O677" t="n">
        <v>0</v>
      </c>
      <c r="P677" t="n">
        <v>0</v>
      </c>
      <c r="Q677" t="n">
        <v>0</v>
      </c>
      <c r="R677" s="2" t="inlineStr"/>
    </row>
    <row r="678" ht="15" customHeight="1">
      <c r="A678" t="inlineStr">
        <is>
          <t>A 8830-2023</t>
        </is>
      </c>
      <c r="B678" s="1" t="n">
        <v>44978</v>
      </c>
      <c r="C678" s="1" t="n">
        <v>45798</v>
      </c>
      <c r="D678" t="inlineStr">
        <is>
          <t>UPPSALA LÄN</t>
        </is>
      </c>
      <c r="E678" t="inlineStr">
        <is>
          <t>ÖSTHAMMAR</t>
        </is>
      </c>
      <c r="F678" t="inlineStr">
        <is>
          <t>Bergvik skog öst AB</t>
        </is>
      </c>
      <c r="G678" t="n">
        <v>1.6</v>
      </c>
      <c r="H678" t="n">
        <v>0</v>
      </c>
      <c r="I678" t="n">
        <v>0</v>
      </c>
      <c r="J678" t="n">
        <v>0</v>
      </c>
      <c r="K678" t="n">
        <v>0</v>
      </c>
      <c r="L678" t="n">
        <v>0</v>
      </c>
      <c r="M678" t="n">
        <v>0</v>
      </c>
      <c r="N678" t="n">
        <v>0</v>
      </c>
      <c r="O678" t="n">
        <v>0</v>
      </c>
      <c r="P678" t="n">
        <v>0</v>
      </c>
      <c r="Q678" t="n">
        <v>0</v>
      </c>
      <c r="R678" s="2" t="inlineStr"/>
    </row>
    <row r="679" ht="15" customHeight="1">
      <c r="A679" t="inlineStr">
        <is>
          <t>A 9052-2023</t>
        </is>
      </c>
      <c r="B679" s="1" t="n">
        <v>44979</v>
      </c>
      <c r="C679" s="1" t="n">
        <v>45798</v>
      </c>
      <c r="D679" t="inlineStr">
        <is>
          <t>UPPSALA LÄN</t>
        </is>
      </c>
      <c r="E679" t="inlineStr">
        <is>
          <t>ÖSTHAMMAR</t>
        </is>
      </c>
      <c r="F679" t="inlineStr">
        <is>
          <t>Kyrkan</t>
        </is>
      </c>
      <c r="G679" t="n">
        <v>0.2</v>
      </c>
      <c r="H679" t="n">
        <v>0</v>
      </c>
      <c r="I679" t="n">
        <v>0</v>
      </c>
      <c r="J679" t="n">
        <v>0</v>
      </c>
      <c r="K679" t="n">
        <v>0</v>
      </c>
      <c r="L679" t="n">
        <v>0</v>
      </c>
      <c r="M679" t="n">
        <v>0</v>
      </c>
      <c r="N679" t="n">
        <v>0</v>
      </c>
      <c r="O679" t="n">
        <v>0</v>
      </c>
      <c r="P679" t="n">
        <v>0</v>
      </c>
      <c r="Q679" t="n">
        <v>0</v>
      </c>
      <c r="R679" s="2" t="inlineStr"/>
    </row>
    <row r="680" ht="15" customHeight="1">
      <c r="A680" t="inlineStr">
        <is>
          <t>A 9543-2023</t>
        </is>
      </c>
      <c r="B680" s="1" t="n">
        <v>44981</v>
      </c>
      <c r="C680" s="1" t="n">
        <v>45798</v>
      </c>
      <c r="D680" t="inlineStr">
        <is>
          <t>UPPSALA LÄN</t>
        </is>
      </c>
      <c r="E680" t="inlineStr">
        <is>
          <t>ÖSTHAMMAR</t>
        </is>
      </c>
      <c r="F680" t="inlineStr">
        <is>
          <t>Bergvik skog öst AB</t>
        </is>
      </c>
      <c r="G680" t="n">
        <v>5.9</v>
      </c>
      <c r="H680" t="n">
        <v>0</v>
      </c>
      <c r="I680" t="n">
        <v>0</v>
      </c>
      <c r="J680" t="n">
        <v>0</v>
      </c>
      <c r="K680" t="n">
        <v>0</v>
      </c>
      <c r="L680" t="n">
        <v>0</v>
      </c>
      <c r="M680" t="n">
        <v>0</v>
      </c>
      <c r="N680" t="n">
        <v>0</v>
      </c>
      <c r="O680" t="n">
        <v>0</v>
      </c>
      <c r="P680" t="n">
        <v>0</v>
      </c>
      <c r="Q680" t="n">
        <v>0</v>
      </c>
      <c r="R680" s="2" t="inlineStr"/>
    </row>
    <row r="681" ht="15" customHeight="1">
      <c r="A681" t="inlineStr">
        <is>
          <t>A 9542-2023</t>
        </is>
      </c>
      <c r="B681" s="1" t="n">
        <v>44981</v>
      </c>
      <c r="C681" s="1" t="n">
        <v>45798</v>
      </c>
      <c r="D681" t="inlineStr">
        <is>
          <t>UPPSALA LÄN</t>
        </is>
      </c>
      <c r="E681" t="inlineStr">
        <is>
          <t>ÖSTHAMMAR</t>
        </is>
      </c>
      <c r="F681" t="inlineStr">
        <is>
          <t>Bergvik skog öst AB</t>
        </is>
      </c>
      <c r="G681" t="n">
        <v>0.4</v>
      </c>
      <c r="H681" t="n">
        <v>0</v>
      </c>
      <c r="I681" t="n">
        <v>0</v>
      </c>
      <c r="J681" t="n">
        <v>0</v>
      </c>
      <c r="K681" t="n">
        <v>0</v>
      </c>
      <c r="L681" t="n">
        <v>0</v>
      </c>
      <c r="M681" t="n">
        <v>0</v>
      </c>
      <c r="N681" t="n">
        <v>0</v>
      </c>
      <c r="O681" t="n">
        <v>0</v>
      </c>
      <c r="P681" t="n">
        <v>0</v>
      </c>
      <c r="Q681" t="n">
        <v>0</v>
      </c>
      <c r="R681" s="2" t="inlineStr"/>
    </row>
    <row r="682" ht="15" customHeight="1">
      <c r="A682" t="inlineStr">
        <is>
          <t>A 10449-2023</t>
        </is>
      </c>
      <c r="B682" s="1" t="n">
        <v>44987</v>
      </c>
      <c r="C682" s="1" t="n">
        <v>45798</v>
      </c>
      <c r="D682" t="inlineStr">
        <is>
          <t>UPPSALA LÄN</t>
        </is>
      </c>
      <c r="E682" t="inlineStr">
        <is>
          <t>ÖSTHAMMAR</t>
        </is>
      </c>
      <c r="G682" t="n">
        <v>3.1</v>
      </c>
      <c r="H682" t="n">
        <v>0</v>
      </c>
      <c r="I682" t="n">
        <v>0</v>
      </c>
      <c r="J682" t="n">
        <v>0</v>
      </c>
      <c r="K682" t="n">
        <v>0</v>
      </c>
      <c r="L682" t="n">
        <v>0</v>
      </c>
      <c r="M682" t="n">
        <v>0</v>
      </c>
      <c r="N682" t="n">
        <v>0</v>
      </c>
      <c r="O682" t="n">
        <v>0</v>
      </c>
      <c r="P682" t="n">
        <v>0</v>
      </c>
      <c r="Q682" t="n">
        <v>0</v>
      </c>
      <c r="R682" s="2" t="inlineStr"/>
    </row>
    <row r="683" ht="15" customHeight="1">
      <c r="A683" t="inlineStr">
        <is>
          <t>A 11017-2023</t>
        </is>
      </c>
      <c r="B683" s="1" t="n">
        <v>44991</v>
      </c>
      <c r="C683" s="1" t="n">
        <v>45798</v>
      </c>
      <c r="D683" t="inlineStr">
        <is>
          <t>UPPSALA LÄN</t>
        </is>
      </c>
      <c r="E683" t="inlineStr">
        <is>
          <t>ÖSTHAMMAR</t>
        </is>
      </c>
      <c r="G683" t="n">
        <v>1.9</v>
      </c>
      <c r="H683" t="n">
        <v>0</v>
      </c>
      <c r="I683" t="n">
        <v>0</v>
      </c>
      <c r="J683" t="n">
        <v>0</v>
      </c>
      <c r="K683" t="n">
        <v>0</v>
      </c>
      <c r="L683" t="n">
        <v>0</v>
      </c>
      <c r="M683" t="n">
        <v>0</v>
      </c>
      <c r="N683" t="n">
        <v>0</v>
      </c>
      <c r="O683" t="n">
        <v>0</v>
      </c>
      <c r="P683" t="n">
        <v>0</v>
      </c>
      <c r="Q683" t="n">
        <v>0</v>
      </c>
      <c r="R683" s="2" t="inlineStr"/>
    </row>
    <row r="684" ht="15" customHeight="1">
      <c r="A684" t="inlineStr">
        <is>
          <t>A 10982-2023</t>
        </is>
      </c>
      <c r="B684" s="1" t="n">
        <v>44991</v>
      </c>
      <c r="C684" s="1" t="n">
        <v>45798</v>
      </c>
      <c r="D684" t="inlineStr">
        <is>
          <t>UPPSALA LÄN</t>
        </is>
      </c>
      <c r="E684" t="inlineStr">
        <is>
          <t>ÖSTHAMMAR</t>
        </is>
      </c>
      <c r="G684" t="n">
        <v>1.2</v>
      </c>
      <c r="H684" t="n">
        <v>0</v>
      </c>
      <c r="I684" t="n">
        <v>0</v>
      </c>
      <c r="J684" t="n">
        <v>0</v>
      </c>
      <c r="K684" t="n">
        <v>0</v>
      </c>
      <c r="L684" t="n">
        <v>0</v>
      </c>
      <c r="M684" t="n">
        <v>0</v>
      </c>
      <c r="N684" t="n">
        <v>0</v>
      </c>
      <c r="O684" t="n">
        <v>0</v>
      </c>
      <c r="P684" t="n">
        <v>0</v>
      </c>
      <c r="Q684" t="n">
        <v>0</v>
      </c>
      <c r="R684" s="2" t="inlineStr"/>
    </row>
    <row r="685" ht="15" customHeight="1">
      <c r="A685" t="inlineStr">
        <is>
          <t>A 11008-2023</t>
        </is>
      </c>
      <c r="B685" s="1" t="n">
        <v>44991</v>
      </c>
      <c r="C685" s="1" t="n">
        <v>45798</v>
      </c>
      <c r="D685" t="inlineStr">
        <is>
          <t>UPPSALA LÄN</t>
        </is>
      </c>
      <c r="E685" t="inlineStr">
        <is>
          <t>ÖSTHAMMAR</t>
        </is>
      </c>
      <c r="F685" t="inlineStr">
        <is>
          <t>Bergvik skog öst AB</t>
        </is>
      </c>
      <c r="G685" t="n">
        <v>0.6</v>
      </c>
      <c r="H685" t="n">
        <v>0</v>
      </c>
      <c r="I685" t="n">
        <v>0</v>
      </c>
      <c r="J685" t="n">
        <v>0</v>
      </c>
      <c r="K685" t="n">
        <v>0</v>
      </c>
      <c r="L685" t="n">
        <v>0</v>
      </c>
      <c r="M685" t="n">
        <v>0</v>
      </c>
      <c r="N685" t="n">
        <v>0</v>
      </c>
      <c r="O685" t="n">
        <v>0</v>
      </c>
      <c r="P685" t="n">
        <v>0</v>
      </c>
      <c r="Q685" t="n">
        <v>0</v>
      </c>
      <c r="R685" s="2" t="inlineStr"/>
    </row>
    <row r="686" ht="15" customHeight="1">
      <c r="A686" t="inlineStr">
        <is>
          <t>A 11015-2023</t>
        </is>
      </c>
      <c r="B686" s="1" t="n">
        <v>44991</v>
      </c>
      <c r="C686" s="1" t="n">
        <v>45798</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11036-2023</t>
        </is>
      </c>
      <c r="B687" s="1" t="n">
        <v>44991</v>
      </c>
      <c r="C687" s="1" t="n">
        <v>45798</v>
      </c>
      <c r="D687" t="inlineStr">
        <is>
          <t>UPPSALA LÄN</t>
        </is>
      </c>
      <c r="E687" t="inlineStr">
        <is>
          <t>ÖSTHAMMAR</t>
        </is>
      </c>
      <c r="F687" t="inlineStr">
        <is>
          <t>Bergvik skog öst AB</t>
        </is>
      </c>
      <c r="G687" t="n">
        <v>3</v>
      </c>
      <c r="H687" t="n">
        <v>0</v>
      </c>
      <c r="I687" t="n">
        <v>0</v>
      </c>
      <c r="J687" t="n">
        <v>0</v>
      </c>
      <c r="K687" t="n">
        <v>0</v>
      </c>
      <c r="L687" t="n">
        <v>0</v>
      </c>
      <c r="M687" t="n">
        <v>0</v>
      </c>
      <c r="N687" t="n">
        <v>0</v>
      </c>
      <c r="O687" t="n">
        <v>0</v>
      </c>
      <c r="P687" t="n">
        <v>0</v>
      </c>
      <c r="Q687" t="n">
        <v>0</v>
      </c>
      <c r="R687" s="2" t="inlineStr"/>
    </row>
    <row r="688" ht="15" customHeight="1">
      <c r="A688" t="inlineStr">
        <is>
          <t>A 11009-2023</t>
        </is>
      </c>
      <c r="B688" s="1" t="n">
        <v>44991</v>
      </c>
      <c r="C688" s="1" t="n">
        <v>45798</v>
      </c>
      <c r="D688" t="inlineStr">
        <is>
          <t>UPPSALA LÄN</t>
        </is>
      </c>
      <c r="E688" t="inlineStr">
        <is>
          <t>ÖSTHAMMAR</t>
        </is>
      </c>
      <c r="F688" t="inlineStr">
        <is>
          <t>Bergvik skog öst AB</t>
        </is>
      </c>
      <c r="G688" t="n">
        <v>1</v>
      </c>
      <c r="H688" t="n">
        <v>0</v>
      </c>
      <c r="I688" t="n">
        <v>0</v>
      </c>
      <c r="J688" t="n">
        <v>0</v>
      </c>
      <c r="K688" t="n">
        <v>0</v>
      </c>
      <c r="L688" t="n">
        <v>0</v>
      </c>
      <c r="M688" t="n">
        <v>0</v>
      </c>
      <c r="N688" t="n">
        <v>0</v>
      </c>
      <c r="O688" t="n">
        <v>0</v>
      </c>
      <c r="P688" t="n">
        <v>0</v>
      </c>
      <c r="Q688" t="n">
        <v>0</v>
      </c>
      <c r="R688" s="2" t="inlineStr"/>
    </row>
    <row r="689" ht="15" customHeight="1">
      <c r="A689" t="inlineStr">
        <is>
          <t>A 11033-2023</t>
        </is>
      </c>
      <c r="B689" s="1" t="n">
        <v>44991</v>
      </c>
      <c r="C689" s="1" t="n">
        <v>45798</v>
      </c>
      <c r="D689" t="inlineStr">
        <is>
          <t>UPPSALA LÄN</t>
        </is>
      </c>
      <c r="E689" t="inlineStr">
        <is>
          <t>ÖSTHAMMAR</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11282-2023</t>
        </is>
      </c>
      <c r="B690" s="1" t="n">
        <v>44992</v>
      </c>
      <c r="C690" s="1" t="n">
        <v>45798</v>
      </c>
      <c r="D690" t="inlineStr">
        <is>
          <t>UPPSALA LÄN</t>
        </is>
      </c>
      <c r="E690" t="inlineStr">
        <is>
          <t>ÖSTHAMMAR</t>
        </is>
      </c>
      <c r="F690" t="inlineStr">
        <is>
          <t>Bergvik skog öst AB</t>
        </is>
      </c>
      <c r="G690" t="n">
        <v>12.3</v>
      </c>
      <c r="H690" t="n">
        <v>0</v>
      </c>
      <c r="I690" t="n">
        <v>0</v>
      </c>
      <c r="J690" t="n">
        <v>0</v>
      </c>
      <c r="K690" t="n">
        <v>0</v>
      </c>
      <c r="L690" t="n">
        <v>0</v>
      </c>
      <c r="M690" t="n">
        <v>0</v>
      </c>
      <c r="N690" t="n">
        <v>0</v>
      </c>
      <c r="O690" t="n">
        <v>0</v>
      </c>
      <c r="P690" t="n">
        <v>0</v>
      </c>
      <c r="Q690" t="n">
        <v>0</v>
      </c>
      <c r="R690" s="2" t="inlineStr"/>
    </row>
    <row r="691" ht="15" customHeight="1">
      <c r="A691" t="inlineStr">
        <is>
          <t>A 11281-2023</t>
        </is>
      </c>
      <c r="B691" s="1" t="n">
        <v>44992</v>
      </c>
      <c r="C691" s="1" t="n">
        <v>45798</v>
      </c>
      <c r="D691" t="inlineStr">
        <is>
          <t>UPPSALA LÄN</t>
        </is>
      </c>
      <c r="E691" t="inlineStr">
        <is>
          <t>ÖSTHAMMAR</t>
        </is>
      </c>
      <c r="F691" t="inlineStr">
        <is>
          <t>Bergvik skog öst AB</t>
        </is>
      </c>
      <c r="G691" t="n">
        <v>0.8</v>
      </c>
      <c r="H691" t="n">
        <v>0</v>
      </c>
      <c r="I691" t="n">
        <v>0</v>
      </c>
      <c r="J691" t="n">
        <v>0</v>
      </c>
      <c r="K691" t="n">
        <v>0</v>
      </c>
      <c r="L691" t="n">
        <v>0</v>
      </c>
      <c r="M691" t="n">
        <v>0</v>
      </c>
      <c r="N691" t="n">
        <v>0</v>
      </c>
      <c r="O691" t="n">
        <v>0</v>
      </c>
      <c r="P691" t="n">
        <v>0</v>
      </c>
      <c r="Q691" t="n">
        <v>0</v>
      </c>
      <c r="R691" s="2" t="inlineStr"/>
    </row>
    <row r="692" ht="15" customHeight="1">
      <c r="A692" t="inlineStr">
        <is>
          <t>A 11469-2023</t>
        </is>
      </c>
      <c r="B692" s="1" t="n">
        <v>44993</v>
      </c>
      <c r="C692" s="1" t="n">
        <v>45798</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12190-2023</t>
        </is>
      </c>
      <c r="B693" s="1" t="n">
        <v>44995</v>
      </c>
      <c r="C693" s="1" t="n">
        <v>45798</v>
      </c>
      <c r="D693" t="inlineStr">
        <is>
          <t>UPPSALA LÄN</t>
        </is>
      </c>
      <c r="E693" t="inlineStr">
        <is>
          <t>ÖSTHAMMAR</t>
        </is>
      </c>
      <c r="G693" t="n">
        <v>1.6</v>
      </c>
      <c r="H693" t="n">
        <v>0</v>
      </c>
      <c r="I693" t="n">
        <v>0</v>
      </c>
      <c r="J693" t="n">
        <v>0</v>
      </c>
      <c r="K693" t="n">
        <v>0</v>
      </c>
      <c r="L693" t="n">
        <v>0</v>
      </c>
      <c r="M693" t="n">
        <v>0</v>
      </c>
      <c r="N693" t="n">
        <v>0</v>
      </c>
      <c r="O693" t="n">
        <v>0</v>
      </c>
      <c r="P693" t="n">
        <v>0</v>
      </c>
      <c r="Q693" t="n">
        <v>0</v>
      </c>
      <c r="R693" s="2" t="inlineStr"/>
    </row>
    <row r="694" ht="15" customHeight="1">
      <c r="A694" t="inlineStr">
        <is>
          <t>A 12186-2023</t>
        </is>
      </c>
      <c r="B694" s="1" t="n">
        <v>44995</v>
      </c>
      <c r="C694" s="1" t="n">
        <v>45798</v>
      </c>
      <c r="D694" t="inlineStr">
        <is>
          <t>UPPSALA LÄN</t>
        </is>
      </c>
      <c r="E694" t="inlineStr">
        <is>
          <t>ÖSTHAMMAR</t>
        </is>
      </c>
      <c r="G694" t="n">
        <v>5.7</v>
      </c>
      <c r="H694" t="n">
        <v>0</v>
      </c>
      <c r="I694" t="n">
        <v>0</v>
      </c>
      <c r="J694" t="n">
        <v>0</v>
      </c>
      <c r="K694" t="n">
        <v>0</v>
      </c>
      <c r="L694" t="n">
        <v>0</v>
      </c>
      <c r="M694" t="n">
        <v>0</v>
      </c>
      <c r="N694" t="n">
        <v>0</v>
      </c>
      <c r="O694" t="n">
        <v>0</v>
      </c>
      <c r="P694" t="n">
        <v>0</v>
      </c>
      <c r="Q694" t="n">
        <v>0</v>
      </c>
      <c r="R694" s="2" t="inlineStr"/>
    </row>
    <row r="695" ht="15" customHeight="1">
      <c r="A695" t="inlineStr">
        <is>
          <t>A 12262-2023</t>
        </is>
      </c>
      <c r="B695" s="1" t="n">
        <v>44998</v>
      </c>
      <c r="C695" s="1" t="n">
        <v>45798</v>
      </c>
      <c r="D695" t="inlineStr">
        <is>
          <t>UPPSALA LÄN</t>
        </is>
      </c>
      <c r="E695" t="inlineStr">
        <is>
          <t>ÖSTHAMMAR</t>
        </is>
      </c>
      <c r="G695" t="n">
        <v>4.1</v>
      </c>
      <c r="H695" t="n">
        <v>0</v>
      </c>
      <c r="I695" t="n">
        <v>0</v>
      </c>
      <c r="J695" t="n">
        <v>0</v>
      </c>
      <c r="K695" t="n">
        <v>0</v>
      </c>
      <c r="L695" t="n">
        <v>0</v>
      </c>
      <c r="M695" t="n">
        <v>0</v>
      </c>
      <c r="N695" t="n">
        <v>0</v>
      </c>
      <c r="O695" t="n">
        <v>0</v>
      </c>
      <c r="P695" t="n">
        <v>0</v>
      </c>
      <c r="Q695" t="n">
        <v>0</v>
      </c>
      <c r="R695" s="2" t="inlineStr"/>
    </row>
    <row r="696" ht="15" customHeight="1">
      <c r="A696" t="inlineStr">
        <is>
          <t>A 12215-2023</t>
        </is>
      </c>
      <c r="B696" s="1" t="n">
        <v>44998</v>
      </c>
      <c r="C696" s="1" t="n">
        <v>45798</v>
      </c>
      <c r="D696" t="inlineStr">
        <is>
          <t>UPPSALA LÄN</t>
        </is>
      </c>
      <c r="E696" t="inlineStr">
        <is>
          <t>ÖSTHAMMAR</t>
        </is>
      </c>
      <c r="G696" t="n">
        <v>5.1</v>
      </c>
      <c r="H696" t="n">
        <v>0</v>
      </c>
      <c r="I696" t="n">
        <v>0</v>
      </c>
      <c r="J696" t="n">
        <v>0</v>
      </c>
      <c r="K696" t="n">
        <v>0</v>
      </c>
      <c r="L696" t="n">
        <v>0</v>
      </c>
      <c r="M696" t="n">
        <v>0</v>
      </c>
      <c r="N696" t="n">
        <v>0</v>
      </c>
      <c r="O696" t="n">
        <v>0</v>
      </c>
      <c r="P696" t="n">
        <v>0</v>
      </c>
      <c r="Q696" t="n">
        <v>0</v>
      </c>
      <c r="R696" s="2" t="inlineStr"/>
    </row>
    <row r="697" ht="15" customHeight="1">
      <c r="A697" t="inlineStr">
        <is>
          <t>A 12497-2023</t>
        </is>
      </c>
      <c r="B697" s="1" t="n">
        <v>44999</v>
      </c>
      <c r="C697" s="1" t="n">
        <v>45798</v>
      </c>
      <c r="D697" t="inlineStr">
        <is>
          <t>UPPSALA LÄN</t>
        </is>
      </c>
      <c r="E697" t="inlineStr">
        <is>
          <t>ÖSTHAMMAR</t>
        </is>
      </c>
      <c r="F697" t="inlineStr">
        <is>
          <t>Bergvik skog öst AB</t>
        </is>
      </c>
      <c r="G697" t="n">
        <v>3.6</v>
      </c>
      <c r="H697" t="n">
        <v>0</v>
      </c>
      <c r="I697" t="n">
        <v>0</v>
      </c>
      <c r="J697" t="n">
        <v>0</v>
      </c>
      <c r="K697" t="n">
        <v>0</v>
      </c>
      <c r="L697" t="n">
        <v>0</v>
      </c>
      <c r="M697" t="n">
        <v>0</v>
      </c>
      <c r="N697" t="n">
        <v>0</v>
      </c>
      <c r="O697" t="n">
        <v>0</v>
      </c>
      <c r="P697" t="n">
        <v>0</v>
      </c>
      <c r="Q697" t="n">
        <v>0</v>
      </c>
      <c r="R697" s="2" t="inlineStr"/>
    </row>
    <row r="698" ht="15" customHeight="1">
      <c r="A698" t="inlineStr">
        <is>
          <t>A 13336-2023</t>
        </is>
      </c>
      <c r="B698" s="1" t="n">
        <v>45005</v>
      </c>
      <c r="C698" s="1" t="n">
        <v>45798</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13352-2023</t>
        </is>
      </c>
      <c r="B699" s="1" t="n">
        <v>45005</v>
      </c>
      <c r="C699" s="1" t="n">
        <v>45798</v>
      </c>
      <c r="D699" t="inlineStr">
        <is>
          <t>UPPSALA LÄN</t>
        </is>
      </c>
      <c r="E699" t="inlineStr">
        <is>
          <t>ÖSTHAMMAR</t>
        </is>
      </c>
      <c r="G699" t="n">
        <v>1.8</v>
      </c>
      <c r="H699" t="n">
        <v>0</v>
      </c>
      <c r="I699" t="n">
        <v>0</v>
      </c>
      <c r="J699" t="n">
        <v>0</v>
      </c>
      <c r="K699" t="n">
        <v>0</v>
      </c>
      <c r="L699" t="n">
        <v>0</v>
      </c>
      <c r="M699" t="n">
        <v>0</v>
      </c>
      <c r="N699" t="n">
        <v>0</v>
      </c>
      <c r="O699" t="n">
        <v>0</v>
      </c>
      <c r="P699" t="n">
        <v>0</v>
      </c>
      <c r="Q699" t="n">
        <v>0</v>
      </c>
      <c r="R699" s="2" t="inlineStr"/>
    </row>
    <row r="700" ht="15" customHeight="1">
      <c r="A700" t="inlineStr">
        <is>
          <t>A 13643-2023</t>
        </is>
      </c>
      <c r="B700" s="1" t="n">
        <v>45006</v>
      </c>
      <c r="C700" s="1" t="n">
        <v>45798</v>
      </c>
      <c r="D700" t="inlineStr">
        <is>
          <t>UPPSALA LÄN</t>
        </is>
      </c>
      <c r="E700" t="inlineStr">
        <is>
          <t>ÖSTHAMMAR</t>
        </is>
      </c>
      <c r="G700" t="n">
        <v>2.8</v>
      </c>
      <c r="H700" t="n">
        <v>0</v>
      </c>
      <c r="I700" t="n">
        <v>0</v>
      </c>
      <c r="J700" t="n">
        <v>0</v>
      </c>
      <c r="K700" t="n">
        <v>0</v>
      </c>
      <c r="L700" t="n">
        <v>0</v>
      </c>
      <c r="M700" t="n">
        <v>0</v>
      </c>
      <c r="N700" t="n">
        <v>0</v>
      </c>
      <c r="O700" t="n">
        <v>0</v>
      </c>
      <c r="P700" t="n">
        <v>0</v>
      </c>
      <c r="Q700" t="n">
        <v>0</v>
      </c>
      <c r="R700" s="2" t="inlineStr"/>
    </row>
    <row r="701" ht="15" customHeight="1">
      <c r="A701" t="inlineStr">
        <is>
          <t>A 13580-2023</t>
        </is>
      </c>
      <c r="B701" s="1" t="n">
        <v>45006</v>
      </c>
      <c r="C701" s="1" t="n">
        <v>45798</v>
      </c>
      <c r="D701" t="inlineStr">
        <is>
          <t>UPPSALA LÄN</t>
        </is>
      </c>
      <c r="E701" t="inlineStr">
        <is>
          <t>ÖSTHAMMAR</t>
        </is>
      </c>
      <c r="F701" t="inlineStr">
        <is>
          <t>Övriga Aktiebolag</t>
        </is>
      </c>
      <c r="G701" t="n">
        <v>2.6</v>
      </c>
      <c r="H701" t="n">
        <v>0</v>
      </c>
      <c r="I701" t="n">
        <v>0</v>
      </c>
      <c r="J701" t="n">
        <v>0</v>
      </c>
      <c r="K701" t="n">
        <v>0</v>
      </c>
      <c r="L701" t="n">
        <v>0</v>
      </c>
      <c r="M701" t="n">
        <v>0</v>
      </c>
      <c r="N701" t="n">
        <v>0</v>
      </c>
      <c r="O701" t="n">
        <v>0</v>
      </c>
      <c r="P701" t="n">
        <v>0</v>
      </c>
      <c r="Q701" t="n">
        <v>0</v>
      </c>
      <c r="R701" s="2" t="inlineStr"/>
    </row>
    <row r="702" ht="15" customHeight="1">
      <c r="A702" t="inlineStr">
        <is>
          <t>A 13584-2023</t>
        </is>
      </c>
      <c r="B702" s="1" t="n">
        <v>45006</v>
      </c>
      <c r="C702" s="1" t="n">
        <v>45798</v>
      </c>
      <c r="D702" t="inlineStr">
        <is>
          <t>UPPSALA LÄN</t>
        </is>
      </c>
      <c r="E702" t="inlineStr">
        <is>
          <t>ÖSTHAMMAR</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13738-2023</t>
        </is>
      </c>
      <c r="B703" s="1" t="n">
        <v>45007</v>
      </c>
      <c r="C703" s="1" t="n">
        <v>45798</v>
      </c>
      <c r="D703" t="inlineStr">
        <is>
          <t>UPPSALA LÄN</t>
        </is>
      </c>
      <c r="E703" t="inlineStr">
        <is>
          <t>ÖSTHAMMAR</t>
        </is>
      </c>
      <c r="G703" t="n">
        <v>0.7</v>
      </c>
      <c r="H703" t="n">
        <v>0</v>
      </c>
      <c r="I703" t="n">
        <v>0</v>
      </c>
      <c r="J703" t="n">
        <v>0</v>
      </c>
      <c r="K703" t="n">
        <v>0</v>
      </c>
      <c r="L703" t="n">
        <v>0</v>
      </c>
      <c r="M703" t="n">
        <v>0</v>
      </c>
      <c r="N703" t="n">
        <v>0</v>
      </c>
      <c r="O703" t="n">
        <v>0</v>
      </c>
      <c r="P703" t="n">
        <v>0</v>
      </c>
      <c r="Q703" t="n">
        <v>0</v>
      </c>
      <c r="R703" s="2" t="inlineStr"/>
    </row>
    <row r="704" ht="15" customHeight="1">
      <c r="A704" t="inlineStr">
        <is>
          <t>A 13767-2023</t>
        </is>
      </c>
      <c r="B704" s="1" t="n">
        <v>45007</v>
      </c>
      <c r="C704" s="1" t="n">
        <v>45798</v>
      </c>
      <c r="D704" t="inlineStr">
        <is>
          <t>UPPSALA LÄN</t>
        </is>
      </c>
      <c r="E704" t="inlineStr">
        <is>
          <t>ÖSTHAMMAR</t>
        </is>
      </c>
      <c r="G704" t="n">
        <v>5.5</v>
      </c>
      <c r="H704" t="n">
        <v>0</v>
      </c>
      <c r="I704" t="n">
        <v>0</v>
      </c>
      <c r="J704" t="n">
        <v>0</v>
      </c>
      <c r="K704" t="n">
        <v>0</v>
      </c>
      <c r="L704" t="n">
        <v>0</v>
      </c>
      <c r="M704" t="n">
        <v>0</v>
      </c>
      <c r="N704" t="n">
        <v>0</v>
      </c>
      <c r="O704" t="n">
        <v>0</v>
      </c>
      <c r="P704" t="n">
        <v>0</v>
      </c>
      <c r="Q704" t="n">
        <v>0</v>
      </c>
      <c r="R704" s="2" t="inlineStr"/>
    </row>
    <row r="705" ht="15" customHeight="1">
      <c r="A705" t="inlineStr">
        <is>
          <t>A 13755-2023</t>
        </is>
      </c>
      <c r="B705" s="1" t="n">
        <v>45007</v>
      </c>
      <c r="C705" s="1" t="n">
        <v>45798</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13771-2023</t>
        </is>
      </c>
      <c r="B706" s="1" t="n">
        <v>45007</v>
      </c>
      <c r="C706" s="1" t="n">
        <v>45798</v>
      </c>
      <c r="D706" t="inlineStr">
        <is>
          <t>UPPSALA LÄN</t>
        </is>
      </c>
      <c r="E706" t="inlineStr">
        <is>
          <t>ÖSTHAMMAR</t>
        </is>
      </c>
      <c r="G706" t="n">
        <v>2.7</v>
      </c>
      <c r="H706" t="n">
        <v>0</v>
      </c>
      <c r="I706" t="n">
        <v>0</v>
      </c>
      <c r="J706" t="n">
        <v>0</v>
      </c>
      <c r="K706" t="n">
        <v>0</v>
      </c>
      <c r="L706" t="n">
        <v>0</v>
      </c>
      <c r="M706" t="n">
        <v>0</v>
      </c>
      <c r="N706" t="n">
        <v>0</v>
      </c>
      <c r="O706" t="n">
        <v>0</v>
      </c>
      <c r="P706" t="n">
        <v>0</v>
      </c>
      <c r="Q706" t="n">
        <v>0</v>
      </c>
      <c r="R706" s="2" t="inlineStr"/>
    </row>
    <row r="707" ht="15" customHeight="1">
      <c r="A707" t="inlineStr">
        <is>
          <t>A 13736-2023</t>
        </is>
      </c>
      <c r="B707" s="1" t="n">
        <v>45007</v>
      </c>
      <c r="C707" s="1" t="n">
        <v>45798</v>
      </c>
      <c r="D707" t="inlineStr">
        <is>
          <t>UPPSALA LÄN</t>
        </is>
      </c>
      <c r="E707" t="inlineStr">
        <is>
          <t>ÖSTHAMMAR</t>
        </is>
      </c>
      <c r="G707" t="n">
        <v>3.7</v>
      </c>
      <c r="H707" t="n">
        <v>0</v>
      </c>
      <c r="I707" t="n">
        <v>0</v>
      </c>
      <c r="J707" t="n">
        <v>0</v>
      </c>
      <c r="K707" t="n">
        <v>0</v>
      </c>
      <c r="L707" t="n">
        <v>0</v>
      </c>
      <c r="M707" t="n">
        <v>0</v>
      </c>
      <c r="N707" t="n">
        <v>0</v>
      </c>
      <c r="O707" t="n">
        <v>0</v>
      </c>
      <c r="P707" t="n">
        <v>0</v>
      </c>
      <c r="Q707" t="n">
        <v>0</v>
      </c>
      <c r="R707" s="2" t="inlineStr"/>
    </row>
    <row r="708" ht="15" customHeight="1">
      <c r="A708" t="inlineStr">
        <is>
          <t>A 14505-2023</t>
        </is>
      </c>
      <c r="B708" s="1" t="n">
        <v>45012</v>
      </c>
      <c r="C708" s="1" t="n">
        <v>45798</v>
      </c>
      <c r="D708" t="inlineStr">
        <is>
          <t>UPPSALA LÄN</t>
        </is>
      </c>
      <c r="E708" t="inlineStr">
        <is>
          <t>ÖSTHAMMAR</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14510-2023</t>
        </is>
      </c>
      <c r="B709" s="1" t="n">
        <v>45012</v>
      </c>
      <c r="C709" s="1" t="n">
        <v>45798</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14595-2023</t>
        </is>
      </c>
      <c r="B710" s="1" t="n">
        <v>45013</v>
      </c>
      <c r="C710" s="1" t="n">
        <v>45798</v>
      </c>
      <c r="D710" t="inlineStr">
        <is>
          <t>UPPSALA LÄN</t>
        </is>
      </c>
      <c r="E710" t="inlineStr">
        <is>
          <t>ÖSTHAMMAR</t>
        </is>
      </c>
      <c r="G710" t="n">
        <v>5</v>
      </c>
      <c r="H710" t="n">
        <v>0</v>
      </c>
      <c r="I710" t="n">
        <v>0</v>
      </c>
      <c r="J710" t="n">
        <v>0</v>
      </c>
      <c r="K710" t="n">
        <v>0</v>
      </c>
      <c r="L710" t="n">
        <v>0</v>
      </c>
      <c r="M710" t="n">
        <v>0</v>
      </c>
      <c r="N710" t="n">
        <v>0</v>
      </c>
      <c r="O710" t="n">
        <v>0</v>
      </c>
      <c r="P710" t="n">
        <v>0</v>
      </c>
      <c r="Q710" t="n">
        <v>0</v>
      </c>
      <c r="R710" s="2" t="inlineStr"/>
    </row>
    <row r="711" ht="15" customHeight="1">
      <c r="A711" t="inlineStr">
        <is>
          <t>A 14822-2023</t>
        </is>
      </c>
      <c r="B711" s="1" t="n">
        <v>45014</v>
      </c>
      <c r="C711" s="1" t="n">
        <v>45798</v>
      </c>
      <c r="D711" t="inlineStr">
        <is>
          <t>UPPSALA LÄN</t>
        </is>
      </c>
      <c r="E711" t="inlineStr">
        <is>
          <t>ÖSTHAMMAR</t>
        </is>
      </c>
      <c r="G711" t="n">
        <v>6.2</v>
      </c>
      <c r="H711" t="n">
        <v>0</v>
      </c>
      <c r="I711" t="n">
        <v>0</v>
      </c>
      <c r="J711" t="n">
        <v>0</v>
      </c>
      <c r="K711" t="n">
        <v>0</v>
      </c>
      <c r="L711" t="n">
        <v>0</v>
      </c>
      <c r="M711" t="n">
        <v>0</v>
      </c>
      <c r="N711" t="n">
        <v>0</v>
      </c>
      <c r="O711" t="n">
        <v>0</v>
      </c>
      <c r="P711" t="n">
        <v>0</v>
      </c>
      <c r="Q711" t="n">
        <v>0</v>
      </c>
      <c r="R711" s="2" t="inlineStr"/>
    </row>
    <row r="712" ht="15" customHeight="1">
      <c r="A712" t="inlineStr">
        <is>
          <t>A 14835-2023</t>
        </is>
      </c>
      <c r="B712" s="1" t="n">
        <v>45014</v>
      </c>
      <c r="C712" s="1" t="n">
        <v>45798</v>
      </c>
      <c r="D712" t="inlineStr">
        <is>
          <t>UPPSALA LÄN</t>
        </is>
      </c>
      <c r="E712" t="inlineStr">
        <is>
          <t>ÖSTHAMMAR</t>
        </is>
      </c>
      <c r="G712" t="n">
        <v>9.5</v>
      </c>
      <c r="H712" t="n">
        <v>0</v>
      </c>
      <c r="I712" t="n">
        <v>0</v>
      </c>
      <c r="J712" t="n">
        <v>0</v>
      </c>
      <c r="K712" t="n">
        <v>0</v>
      </c>
      <c r="L712" t="n">
        <v>0</v>
      </c>
      <c r="M712" t="n">
        <v>0</v>
      </c>
      <c r="N712" t="n">
        <v>0</v>
      </c>
      <c r="O712" t="n">
        <v>0</v>
      </c>
      <c r="P712" t="n">
        <v>0</v>
      </c>
      <c r="Q712" t="n">
        <v>0</v>
      </c>
      <c r="R712" s="2" t="inlineStr"/>
    </row>
    <row r="713" ht="15" customHeight="1">
      <c r="A713" t="inlineStr">
        <is>
          <t>A 14889-2023</t>
        </is>
      </c>
      <c r="B713" s="1" t="n">
        <v>45015</v>
      </c>
      <c r="C713" s="1" t="n">
        <v>45798</v>
      </c>
      <c r="D713" t="inlineStr">
        <is>
          <t>UPPSALA LÄN</t>
        </is>
      </c>
      <c r="E713" t="inlineStr">
        <is>
          <t>ÖSTHAMMAR</t>
        </is>
      </c>
      <c r="F713" t="inlineStr">
        <is>
          <t>Bergvik skog öst AB</t>
        </is>
      </c>
      <c r="G713" t="n">
        <v>7.6</v>
      </c>
      <c r="H713" t="n">
        <v>0</v>
      </c>
      <c r="I713" t="n">
        <v>0</v>
      </c>
      <c r="J713" t="n">
        <v>0</v>
      </c>
      <c r="K713" t="n">
        <v>0</v>
      </c>
      <c r="L713" t="n">
        <v>0</v>
      </c>
      <c r="M713" t="n">
        <v>0</v>
      </c>
      <c r="N713" t="n">
        <v>0</v>
      </c>
      <c r="O713" t="n">
        <v>0</v>
      </c>
      <c r="P713" t="n">
        <v>0</v>
      </c>
      <c r="Q713" t="n">
        <v>0</v>
      </c>
      <c r="R713" s="2" t="inlineStr"/>
    </row>
    <row r="714" ht="15" customHeight="1">
      <c r="A714" t="inlineStr">
        <is>
          <t>A 14888-2023</t>
        </is>
      </c>
      <c r="B714" s="1" t="n">
        <v>45015</v>
      </c>
      <c r="C714" s="1" t="n">
        <v>45798</v>
      </c>
      <c r="D714" t="inlineStr">
        <is>
          <t>UPPSALA LÄN</t>
        </is>
      </c>
      <c r="E714" t="inlineStr">
        <is>
          <t>ÖSTHAMMAR</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14976-2023</t>
        </is>
      </c>
      <c r="B715" s="1" t="n">
        <v>45015</v>
      </c>
      <c r="C715" s="1" t="n">
        <v>45798</v>
      </c>
      <c r="D715" t="inlineStr">
        <is>
          <t>UPPSALA LÄN</t>
        </is>
      </c>
      <c r="E715" t="inlineStr">
        <is>
          <t>ÖSTHAMMAR</t>
        </is>
      </c>
      <c r="G715" t="n">
        <v>3.2</v>
      </c>
      <c r="H715" t="n">
        <v>0</v>
      </c>
      <c r="I715" t="n">
        <v>0</v>
      </c>
      <c r="J715" t="n">
        <v>0</v>
      </c>
      <c r="K715" t="n">
        <v>0</v>
      </c>
      <c r="L715" t="n">
        <v>0</v>
      </c>
      <c r="M715" t="n">
        <v>0</v>
      </c>
      <c r="N715" t="n">
        <v>0</v>
      </c>
      <c r="O715" t="n">
        <v>0</v>
      </c>
      <c r="P715" t="n">
        <v>0</v>
      </c>
      <c r="Q715" t="n">
        <v>0</v>
      </c>
      <c r="R715" s="2" t="inlineStr"/>
    </row>
    <row r="716" ht="15" customHeight="1">
      <c r="A716" t="inlineStr">
        <is>
          <t>A 15554-2023</t>
        </is>
      </c>
      <c r="B716" s="1" t="n">
        <v>45019</v>
      </c>
      <c r="C716" s="1" t="n">
        <v>45798</v>
      </c>
      <c r="D716" t="inlineStr">
        <is>
          <t>UPPSALA LÄN</t>
        </is>
      </c>
      <c r="E716" t="inlineStr">
        <is>
          <t>ÖSTHAMMAR</t>
        </is>
      </c>
      <c r="G716" t="n">
        <v>5.3</v>
      </c>
      <c r="H716" t="n">
        <v>0</v>
      </c>
      <c r="I716" t="n">
        <v>0</v>
      </c>
      <c r="J716" t="n">
        <v>0</v>
      </c>
      <c r="K716" t="n">
        <v>0</v>
      </c>
      <c r="L716" t="n">
        <v>0</v>
      </c>
      <c r="M716" t="n">
        <v>0</v>
      </c>
      <c r="N716" t="n">
        <v>0</v>
      </c>
      <c r="O716" t="n">
        <v>0</v>
      </c>
      <c r="P716" t="n">
        <v>0</v>
      </c>
      <c r="Q716" t="n">
        <v>0</v>
      </c>
      <c r="R716" s="2" t="inlineStr"/>
    </row>
    <row r="717" ht="15" customHeight="1">
      <c r="A717" t="inlineStr">
        <is>
          <t>A 16112-2023</t>
        </is>
      </c>
      <c r="B717" s="1" t="n">
        <v>45027</v>
      </c>
      <c r="C717" s="1" t="n">
        <v>45798</v>
      </c>
      <c r="D717" t="inlineStr">
        <is>
          <t>UPPSALA LÄN</t>
        </is>
      </c>
      <c r="E717" t="inlineStr">
        <is>
          <t>ÖSTHAMMAR</t>
        </is>
      </c>
      <c r="G717" t="n">
        <v>2</v>
      </c>
      <c r="H717" t="n">
        <v>0</v>
      </c>
      <c r="I717" t="n">
        <v>0</v>
      </c>
      <c r="J717" t="n">
        <v>0</v>
      </c>
      <c r="K717" t="n">
        <v>0</v>
      </c>
      <c r="L717" t="n">
        <v>0</v>
      </c>
      <c r="M717" t="n">
        <v>0</v>
      </c>
      <c r="N717" t="n">
        <v>0</v>
      </c>
      <c r="O717" t="n">
        <v>0</v>
      </c>
      <c r="P717" t="n">
        <v>0</v>
      </c>
      <c r="Q717" t="n">
        <v>0</v>
      </c>
      <c r="R717" s="2" t="inlineStr"/>
    </row>
    <row r="718" ht="15" customHeight="1">
      <c r="A718" t="inlineStr">
        <is>
          <t>A 16345-2023</t>
        </is>
      </c>
      <c r="B718" s="1" t="n">
        <v>45028</v>
      </c>
      <c r="C718" s="1" t="n">
        <v>45798</v>
      </c>
      <c r="D718" t="inlineStr">
        <is>
          <t>UPPSALA LÄN</t>
        </is>
      </c>
      <c r="E718" t="inlineStr">
        <is>
          <t>ÖSTHAMMAR</t>
        </is>
      </c>
      <c r="F718" t="inlineStr">
        <is>
          <t>Övriga Aktiebolag</t>
        </is>
      </c>
      <c r="G718" t="n">
        <v>10.1</v>
      </c>
      <c r="H718" t="n">
        <v>0</v>
      </c>
      <c r="I718" t="n">
        <v>0</v>
      </c>
      <c r="J718" t="n">
        <v>0</v>
      </c>
      <c r="K718" t="n">
        <v>0</v>
      </c>
      <c r="L718" t="n">
        <v>0</v>
      </c>
      <c r="M718" t="n">
        <v>0</v>
      </c>
      <c r="N718" t="n">
        <v>0</v>
      </c>
      <c r="O718" t="n">
        <v>0</v>
      </c>
      <c r="P718" t="n">
        <v>0</v>
      </c>
      <c r="Q718" t="n">
        <v>0</v>
      </c>
      <c r="R718" s="2" t="inlineStr"/>
    </row>
    <row r="719" ht="15" customHeight="1">
      <c r="A719" t="inlineStr">
        <is>
          <t>A 16701-2023</t>
        </is>
      </c>
      <c r="B719" s="1" t="n">
        <v>45030</v>
      </c>
      <c r="C719" s="1" t="n">
        <v>45798</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16954-2023</t>
        </is>
      </c>
      <c r="B720" s="1" t="n">
        <v>45033</v>
      </c>
      <c r="C720" s="1" t="n">
        <v>45798</v>
      </c>
      <c r="D720" t="inlineStr">
        <is>
          <t>UPPSALA LÄN</t>
        </is>
      </c>
      <c r="E720" t="inlineStr">
        <is>
          <t>ÖSTHAMMAR</t>
        </is>
      </c>
      <c r="G720" t="n">
        <v>0.5</v>
      </c>
      <c r="H720" t="n">
        <v>0</v>
      </c>
      <c r="I720" t="n">
        <v>0</v>
      </c>
      <c r="J720" t="n">
        <v>0</v>
      </c>
      <c r="K720" t="n">
        <v>0</v>
      </c>
      <c r="L720" t="n">
        <v>0</v>
      </c>
      <c r="M720" t="n">
        <v>0</v>
      </c>
      <c r="N720" t="n">
        <v>0</v>
      </c>
      <c r="O720" t="n">
        <v>0</v>
      </c>
      <c r="P720" t="n">
        <v>0</v>
      </c>
      <c r="Q720" t="n">
        <v>0</v>
      </c>
      <c r="R720" s="2" t="inlineStr"/>
    </row>
    <row r="721" ht="15" customHeight="1">
      <c r="A721" t="inlineStr">
        <is>
          <t>A 16948-2023</t>
        </is>
      </c>
      <c r="B721" s="1" t="n">
        <v>45033</v>
      </c>
      <c r="C721" s="1" t="n">
        <v>45798</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16966-2023</t>
        </is>
      </c>
      <c r="B722" s="1" t="n">
        <v>45033</v>
      </c>
      <c r="C722" s="1" t="n">
        <v>45798</v>
      </c>
      <c r="D722" t="inlineStr">
        <is>
          <t>UPPSALA LÄN</t>
        </is>
      </c>
      <c r="E722" t="inlineStr">
        <is>
          <t>ÖSTHAMMAR</t>
        </is>
      </c>
      <c r="G722" t="n">
        <v>0.9</v>
      </c>
      <c r="H722" t="n">
        <v>0</v>
      </c>
      <c r="I722" t="n">
        <v>0</v>
      </c>
      <c r="J722" t="n">
        <v>0</v>
      </c>
      <c r="K722" t="n">
        <v>0</v>
      </c>
      <c r="L722" t="n">
        <v>0</v>
      </c>
      <c r="M722" t="n">
        <v>0</v>
      </c>
      <c r="N722" t="n">
        <v>0</v>
      </c>
      <c r="O722" t="n">
        <v>0</v>
      </c>
      <c r="P722" t="n">
        <v>0</v>
      </c>
      <c r="Q722" t="n">
        <v>0</v>
      </c>
      <c r="R722" s="2" t="inlineStr"/>
    </row>
    <row r="723" ht="15" customHeight="1">
      <c r="A723" t="inlineStr">
        <is>
          <t>A 17028-2023</t>
        </is>
      </c>
      <c r="B723" s="1" t="n">
        <v>45034</v>
      </c>
      <c r="C723" s="1" t="n">
        <v>45798</v>
      </c>
      <c r="D723" t="inlineStr">
        <is>
          <t>UPPSALA LÄN</t>
        </is>
      </c>
      <c r="E723" t="inlineStr">
        <is>
          <t>ÖSTHAMMAR</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17631-2023</t>
        </is>
      </c>
      <c r="B724" s="1" t="n">
        <v>45036</v>
      </c>
      <c r="C724" s="1" t="n">
        <v>45798</v>
      </c>
      <c r="D724" t="inlineStr">
        <is>
          <t>UPPSALA LÄN</t>
        </is>
      </c>
      <c r="E724" t="inlineStr">
        <is>
          <t>ÖSTHAMMAR</t>
        </is>
      </c>
      <c r="G724" t="n">
        <v>5.1</v>
      </c>
      <c r="H724" t="n">
        <v>0</v>
      </c>
      <c r="I724" t="n">
        <v>0</v>
      </c>
      <c r="J724" t="n">
        <v>0</v>
      </c>
      <c r="K724" t="n">
        <v>0</v>
      </c>
      <c r="L724" t="n">
        <v>0</v>
      </c>
      <c r="M724" t="n">
        <v>0</v>
      </c>
      <c r="N724" t="n">
        <v>0</v>
      </c>
      <c r="O724" t="n">
        <v>0</v>
      </c>
      <c r="P724" t="n">
        <v>0</v>
      </c>
      <c r="Q724" t="n">
        <v>0</v>
      </c>
      <c r="R724" s="2" t="inlineStr"/>
    </row>
    <row r="725" ht="15" customHeight="1">
      <c r="A725" t="inlineStr">
        <is>
          <t>A 17850-2023</t>
        </is>
      </c>
      <c r="B725" s="1" t="n">
        <v>45037</v>
      </c>
      <c r="C725" s="1" t="n">
        <v>45798</v>
      </c>
      <c r="D725" t="inlineStr">
        <is>
          <t>UPPSALA LÄN</t>
        </is>
      </c>
      <c r="E725" t="inlineStr">
        <is>
          <t>ÖSTHAMMAR</t>
        </is>
      </c>
      <c r="G725" t="n">
        <v>3.2</v>
      </c>
      <c r="H725" t="n">
        <v>0</v>
      </c>
      <c r="I725" t="n">
        <v>0</v>
      </c>
      <c r="J725" t="n">
        <v>0</v>
      </c>
      <c r="K725" t="n">
        <v>0</v>
      </c>
      <c r="L725" t="n">
        <v>0</v>
      </c>
      <c r="M725" t="n">
        <v>0</v>
      </c>
      <c r="N725" t="n">
        <v>0</v>
      </c>
      <c r="O725" t="n">
        <v>0</v>
      </c>
      <c r="P725" t="n">
        <v>0</v>
      </c>
      <c r="Q725" t="n">
        <v>0</v>
      </c>
      <c r="R725" s="2" t="inlineStr"/>
    </row>
    <row r="726" ht="15" customHeight="1">
      <c r="A726" t="inlineStr">
        <is>
          <t>A 17851-2023</t>
        </is>
      </c>
      <c r="B726" s="1" t="n">
        <v>45037</v>
      </c>
      <c r="C726" s="1" t="n">
        <v>45798</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17854-2023</t>
        </is>
      </c>
      <c r="B727" s="1" t="n">
        <v>45037</v>
      </c>
      <c r="C727" s="1" t="n">
        <v>45798</v>
      </c>
      <c r="D727" t="inlineStr">
        <is>
          <t>UPPSALA LÄN</t>
        </is>
      </c>
      <c r="E727" t="inlineStr">
        <is>
          <t>ÖSTHAMMAR</t>
        </is>
      </c>
      <c r="G727" t="n">
        <v>5.6</v>
      </c>
      <c r="H727" t="n">
        <v>0</v>
      </c>
      <c r="I727" t="n">
        <v>0</v>
      </c>
      <c r="J727" t="n">
        <v>0</v>
      </c>
      <c r="K727" t="n">
        <v>0</v>
      </c>
      <c r="L727" t="n">
        <v>0</v>
      </c>
      <c r="M727" t="n">
        <v>0</v>
      </c>
      <c r="N727" t="n">
        <v>0</v>
      </c>
      <c r="O727" t="n">
        <v>0</v>
      </c>
      <c r="P727" t="n">
        <v>0</v>
      </c>
      <c r="Q727" t="n">
        <v>0</v>
      </c>
      <c r="R727" s="2" t="inlineStr"/>
    </row>
    <row r="728" ht="15" customHeight="1">
      <c r="A728" t="inlineStr">
        <is>
          <t>A 18091-2023</t>
        </is>
      </c>
      <c r="B728" s="1" t="n">
        <v>45040</v>
      </c>
      <c r="C728" s="1" t="n">
        <v>45798</v>
      </c>
      <c r="D728" t="inlineStr">
        <is>
          <t>UPPSALA LÄN</t>
        </is>
      </c>
      <c r="E728" t="inlineStr">
        <is>
          <t>ÖSTHAMMAR</t>
        </is>
      </c>
      <c r="G728" t="n">
        <v>2.4</v>
      </c>
      <c r="H728" t="n">
        <v>0</v>
      </c>
      <c r="I728" t="n">
        <v>0</v>
      </c>
      <c r="J728" t="n">
        <v>0</v>
      </c>
      <c r="K728" t="n">
        <v>0</v>
      </c>
      <c r="L728" t="n">
        <v>0</v>
      </c>
      <c r="M728" t="n">
        <v>0</v>
      </c>
      <c r="N728" t="n">
        <v>0</v>
      </c>
      <c r="O728" t="n">
        <v>0</v>
      </c>
      <c r="P728" t="n">
        <v>0</v>
      </c>
      <c r="Q728" t="n">
        <v>0</v>
      </c>
      <c r="R728" s="2" t="inlineStr"/>
    </row>
    <row r="729" ht="15" customHeight="1">
      <c r="A729" t="inlineStr">
        <is>
          <t>A 17970-2023</t>
        </is>
      </c>
      <c r="B729" s="1" t="n">
        <v>45040</v>
      </c>
      <c r="C729" s="1" t="n">
        <v>45798</v>
      </c>
      <c r="D729" t="inlineStr">
        <is>
          <t>UPPSALA LÄN</t>
        </is>
      </c>
      <c r="E729" t="inlineStr">
        <is>
          <t>ÖSTHAMMAR</t>
        </is>
      </c>
      <c r="G729" t="n">
        <v>3.3</v>
      </c>
      <c r="H729" t="n">
        <v>0</v>
      </c>
      <c r="I729" t="n">
        <v>0</v>
      </c>
      <c r="J729" t="n">
        <v>0</v>
      </c>
      <c r="K729" t="n">
        <v>0</v>
      </c>
      <c r="L729" t="n">
        <v>0</v>
      </c>
      <c r="M729" t="n">
        <v>0</v>
      </c>
      <c r="N729" t="n">
        <v>0</v>
      </c>
      <c r="O729" t="n">
        <v>0</v>
      </c>
      <c r="P729" t="n">
        <v>0</v>
      </c>
      <c r="Q729" t="n">
        <v>0</v>
      </c>
      <c r="R729" s="2" t="inlineStr"/>
    </row>
    <row r="730" ht="15" customHeight="1">
      <c r="A730" t="inlineStr">
        <is>
          <t>A 18074-2023</t>
        </is>
      </c>
      <c r="B730" s="1" t="n">
        <v>45040</v>
      </c>
      <c r="C730" s="1" t="n">
        <v>45798</v>
      </c>
      <c r="D730" t="inlineStr">
        <is>
          <t>UPPSALA LÄN</t>
        </is>
      </c>
      <c r="E730" t="inlineStr">
        <is>
          <t>ÖSTHAMMAR</t>
        </is>
      </c>
      <c r="G730" t="n">
        <v>3.7</v>
      </c>
      <c r="H730" t="n">
        <v>0</v>
      </c>
      <c r="I730" t="n">
        <v>0</v>
      </c>
      <c r="J730" t="n">
        <v>0</v>
      </c>
      <c r="K730" t="n">
        <v>0</v>
      </c>
      <c r="L730" t="n">
        <v>0</v>
      </c>
      <c r="M730" t="n">
        <v>0</v>
      </c>
      <c r="N730" t="n">
        <v>0</v>
      </c>
      <c r="O730" t="n">
        <v>0</v>
      </c>
      <c r="P730" t="n">
        <v>0</v>
      </c>
      <c r="Q730" t="n">
        <v>0</v>
      </c>
      <c r="R730" s="2" t="inlineStr"/>
    </row>
    <row r="731" ht="15" customHeight="1">
      <c r="A731" t="inlineStr">
        <is>
          <t>A 18113-2023</t>
        </is>
      </c>
      <c r="B731" s="1" t="n">
        <v>45040</v>
      </c>
      <c r="C731" s="1" t="n">
        <v>45798</v>
      </c>
      <c r="D731" t="inlineStr">
        <is>
          <t>UPPSALA LÄN</t>
        </is>
      </c>
      <c r="E731" t="inlineStr">
        <is>
          <t>ÖSTHAMMAR</t>
        </is>
      </c>
      <c r="G731" t="n">
        <v>2.1</v>
      </c>
      <c r="H731" t="n">
        <v>0</v>
      </c>
      <c r="I731" t="n">
        <v>0</v>
      </c>
      <c r="J731" t="n">
        <v>0</v>
      </c>
      <c r="K731" t="n">
        <v>0</v>
      </c>
      <c r="L731" t="n">
        <v>0</v>
      </c>
      <c r="M731" t="n">
        <v>0</v>
      </c>
      <c r="N731" t="n">
        <v>0</v>
      </c>
      <c r="O731" t="n">
        <v>0</v>
      </c>
      <c r="P731" t="n">
        <v>0</v>
      </c>
      <c r="Q731" t="n">
        <v>0</v>
      </c>
      <c r="R731" s="2" t="inlineStr"/>
    </row>
    <row r="732" ht="15" customHeight="1">
      <c r="A732" t="inlineStr">
        <is>
          <t>A 17969-2023</t>
        </is>
      </c>
      <c r="B732" s="1" t="n">
        <v>45040</v>
      </c>
      <c r="C732" s="1" t="n">
        <v>45798</v>
      </c>
      <c r="D732" t="inlineStr">
        <is>
          <t>UPPSALA LÄN</t>
        </is>
      </c>
      <c r="E732" t="inlineStr">
        <is>
          <t>ÖSTHAMMAR</t>
        </is>
      </c>
      <c r="G732" t="n">
        <v>5.4</v>
      </c>
      <c r="H732" t="n">
        <v>0</v>
      </c>
      <c r="I732" t="n">
        <v>0</v>
      </c>
      <c r="J732" t="n">
        <v>0</v>
      </c>
      <c r="K732" t="n">
        <v>0</v>
      </c>
      <c r="L732" t="n">
        <v>0</v>
      </c>
      <c r="M732" t="n">
        <v>0</v>
      </c>
      <c r="N732" t="n">
        <v>0</v>
      </c>
      <c r="O732" t="n">
        <v>0</v>
      </c>
      <c r="P732" t="n">
        <v>0</v>
      </c>
      <c r="Q732" t="n">
        <v>0</v>
      </c>
      <c r="R732" s="2" t="inlineStr"/>
    </row>
    <row r="733" ht="15" customHeight="1">
      <c r="A733" t="inlineStr">
        <is>
          <t>A 18219-2023</t>
        </is>
      </c>
      <c r="B733" s="1" t="n">
        <v>45041</v>
      </c>
      <c r="C733" s="1" t="n">
        <v>45798</v>
      </c>
      <c r="D733" t="inlineStr">
        <is>
          <t>UPPSALA LÄN</t>
        </is>
      </c>
      <c r="E733" t="inlineStr">
        <is>
          <t>ÖSTHAMMAR</t>
        </is>
      </c>
      <c r="G733" t="n">
        <v>0.6</v>
      </c>
      <c r="H733" t="n">
        <v>0</v>
      </c>
      <c r="I733" t="n">
        <v>0</v>
      </c>
      <c r="J733" t="n">
        <v>0</v>
      </c>
      <c r="K733" t="n">
        <v>0</v>
      </c>
      <c r="L733" t="n">
        <v>0</v>
      </c>
      <c r="M733" t="n">
        <v>0</v>
      </c>
      <c r="N733" t="n">
        <v>0</v>
      </c>
      <c r="O733" t="n">
        <v>0</v>
      </c>
      <c r="P733" t="n">
        <v>0</v>
      </c>
      <c r="Q733" t="n">
        <v>0</v>
      </c>
      <c r="R733" s="2" t="inlineStr"/>
    </row>
    <row r="734" ht="15" customHeight="1">
      <c r="A734" t="inlineStr">
        <is>
          <t>A 18536-2023</t>
        </is>
      </c>
      <c r="B734" s="1" t="n">
        <v>45042</v>
      </c>
      <c r="C734" s="1" t="n">
        <v>45798</v>
      </c>
      <c r="D734" t="inlineStr">
        <is>
          <t>UPPSALA LÄN</t>
        </is>
      </c>
      <c r="E734" t="inlineStr">
        <is>
          <t>ÖSTHAMMAR</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18386-2023</t>
        </is>
      </c>
      <c r="B735" s="1" t="n">
        <v>45042</v>
      </c>
      <c r="C735" s="1" t="n">
        <v>45798</v>
      </c>
      <c r="D735" t="inlineStr">
        <is>
          <t>UPPSALA LÄN</t>
        </is>
      </c>
      <c r="E735" t="inlineStr">
        <is>
          <t>ÖSTHAMMAR</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18535-2023</t>
        </is>
      </c>
      <c r="B736" s="1" t="n">
        <v>45042</v>
      </c>
      <c r="C736" s="1" t="n">
        <v>45798</v>
      </c>
      <c r="D736" t="inlineStr">
        <is>
          <t>UPPSALA LÄN</t>
        </is>
      </c>
      <c r="E736" t="inlineStr">
        <is>
          <t>ÖSTHAMMAR</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18534-2023</t>
        </is>
      </c>
      <c r="B737" s="1" t="n">
        <v>45042</v>
      </c>
      <c r="C737" s="1" t="n">
        <v>45798</v>
      </c>
      <c r="D737" t="inlineStr">
        <is>
          <t>UPPSALA LÄN</t>
        </is>
      </c>
      <c r="E737" t="inlineStr">
        <is>
          <t>ÖSTHAMMAR</t>
        </is>
      </c>
      <c r="F737" t="inlineStr">
        <is>
          <t>Bergvik skog öst AB</t>
        </is>
      </c>
      <c r="G737" t="n">
        <v>2.1</v>
      </c>
      <c r="H737" t="n">
        <v>0</v>
      </c>
      <c r="I737" t="n">
        <v>0</v>
      </c>
      <c r="J737" t="n">
        <v>0</v>
      </c>
      <c r="K737" t="n">
        <v>0</v>
      </c>
      <c r="L737" t="n">
        <v>0</v>
      </c>
      <c r="M737" t="n">
        <v>0</v>
      </c>
      <c r="N737" t="n">
        <v>0</v>
      </c>
      <c r="O737" t="n">
        <v>0</v>
      </c>
      <c r="P737" t="n">
        <v>0</v>
      </c>
      <c r="Q737" t="n">
        <v>0</v>
      </c>
      <c r="R737" s="2" t="inlineStr"/>
    </row>
    <row r="738" ht="15" customHeight="1">
      <c r="A738" t="inlineStr">
        <is>
          <t>A 18538-2023</t>
        </is>
      </c>
      <c r="B738" s="1" t="n">
        <v>45042</v>
      </c>
      <c r="C738" s="1" t="n">
        <v>45798</v>
      </c>
      <c r="D738" t="inlineStr">
        <is>
          <t>UPPSALA LÄN</t>
        </is>
      </c>
      <c r="E738" t="inlineStr">
        <is>
          <t>ÖSTHAMMAR</t>
        </is>
      </c>
      <c r="F738" t="inlineStr">
        <is>
          <t>Bergvik skog öst AB</t>
        </is>
      </c>
      <c r="G738" t="n">
        <v>2.4</v>
      </c>
      <c r="H738" t="n">
        <v>0</v>
      </c>
      <c r="I738" t="n">
        <v>0</v>
      </c>
      <c r="J738" t="n">
        <v>0</v>
      </c>
      <c r="K738" t="n">
        <v>0</v>
      </c>
      <c r="L738" t="n">
        <v>0</v>
      </c>
      <c r="M738" t="n">
        <v>0</v>
      </c>
      <c r="N738" t="n">
        <v>0</v>
      </c>
      <c r="O738" t="n">
        <v>0</v>
      </c>
      <c r="P738" t="n">
        <v>0</v>
      </c>
      <c r="Q738" t="n">
        <v>0</v>
      </c>
      <c r="R738" s="2" t="inlineStr"/>
    </row>
    <row r="739" ht="15" customHeight="1">
      <c r="A739" t="inlineStr">
        <is>
          <t>A 18838-2023</t>
        </is>
      </c>
      <c r="B739" s="1" t="n">
        <v>45044</v>
      </c>
      <c r="C739" s="1" t="n">
        <v>45798</v>
      </c>
      <c r="D739" t="inlineStr">
        <is>
          <t>UPPSALA LÄN</t>
        </is>
      </c>
      <c r="E739" t="inlineStr">
        <is>
          <t>ÖSTHAMMAR</t>
        </is>
      </c>
      <c r="G739" t="n">
        <v>2.8</v>
      </c>
      <c r="H739" t="n">
        <v>0</v>
      </c>
      <c r="I739" t="n">
        <v>0</v>
      </c>
      <c r="J739" t="n">
        <v>0</v>
      </c>
      <c r="K739" t="n">
        <v>0</v>
      </c>
      <c r="L739" t="n">
        <v>0</v>
      </c>
      <c r="M739" t="n">
        <v>0</v>
      </c>
      <c r="N739" t="n">
        <v>0</v>
      </c>
      <c r="O739" t="n">
        <v>0</v>
      </c>
      <c r="P739" t="n">
        <v>0</v>
      </c>
      <c r="Q739" t="n">
        <v>0</v>
      </c>
      <c r="R739" s="2" t="inlineStr"/>
    </row>
    <row r="740" ht="15" customHeight="1">
      <c r="A740" t="inlineStr">
        <is>
          <t>A 18839-2023</t>
        </is>
      </c>
      <c r="B740" s="1" t="n">
        <v>45044</v>
      </c>
      <c r="C740" s="1" t="n">
        <v>45798</v>
      </c>
      <c r="D740" t="inlineStr">
        <is>
          <t>UPPSALA LÄN</t>
        </is>
      </c>
      <c r="E740" t="inlineStr">
        <is>
          <t>ÖSTHAMMAR</t>
        </is>
      </c>
      <c r="G740" t="n">
        <v>2.5</v>
      </c>
      <c r="H740" t="n">
        <v>0</v>
      </c>
      <c r="I740" t="n">
        <v>0</v>
      </c>
      <c r="J740" t="n">
        <v>0</v>
      </c>
      <c r="K740" t="n">
        <v>0</v>
      </c>
      <c r="L740" t="n">
        <v>0</v>
      </c>
      <c r="M740" t="n">
        <v>0</v>
      </c>
      <c r="N740" t="n">
        <v>0</v>
      </c>
      <c r="O740" t="n">
        <v>0</v>
      </c>
      <c r="P740" t="n">
        <v>0</v>
      </c>
      <c r="Q740" t="n">
        <v>0</v>
      </c>
      <c r="R740" s="2" t="inlineStr"/>
    </row>
    <row r="741" ht="15" customHeight="1">
      <c r="A741" t="inlineStr">
        <is>
          <t>A 18841-2023</t>
        </is>
      </c>
      <c r="B741" s="1" t="n">
        <v>45044</v>
      </c>
      <c r="C741" s="1" t="n">
        <v>45798</v>
      </c>
      <c r="D741" t="inlineStr">
        <is>
          <t>UPPSALA LÄN</t>
        </is>
      </c>
      <c r="E741" t="inlineStr">
        <is>
          <t>ÖSTHAMMAR</t>
        </is>
      </c>
      <c r="G741" t="n">
        <v>3.9</v>
      </c>
      <c r="H741" t="n">
        <v>0</v>
      </c>
      <c r="I741" t="n">
        <v>0</v>
      </c>
      <c r="J741" t="n">
        <v>0</v>
      </c>
      <c r="K741" t="n">
        <v>0</v>
      </c>
      <c r="L741" t="n">
        <v>0</v>
      </c>
      <c r="M741" t="n">
        <v>0</v>
      </c>
      <c r="N741" t="n">
        <v>0</v>
      </c>
      <c r="O741" t="n">
        <v>0</v>
      </c>
      <c r="P741" t="n">
        <v>0</v>
      </c>
      <c r="Q741" t="n">
        <v>0</v>
      </c>
      <c r="R741" s="2" t="inlineStr"/>
    </row>
    <row r="742" ht="15" customHeight="1">
      <c r="A742" t="inlineStr">
        <is>
          <t>A 18945-2023</t>
        </is>
      </c>
      <c r="B742" s="1" t="n">
        <v>45044</v>
      </c>
      <c r="C742" s="1" t="n">
        <v>45798</v>
      </c>
      <c r="D742" t="inlineStr">
        <is>
          <t>UPPSALA LÄN</t>
        </is>
      </c>
      <c r="E742" t="inlineStr">
        <is>
          <t>ÖSTHAMMAR</t>
        </is>
      </c>
      <c r="G742" t="n">
        <v>3.7</v>
      </c>
      <c r="H742" t="n">
        <v>0</v>
      </c>
      <c r="I742" t="n">
        <v>0</v>
      </c>
      <c r="J742" t="n">
        <v>0</v>
      </c>
      <c r="K742" t="n">
        <v>0</v>
      </c>
      <c r="L742" t="n">
        <v>0</v>
      </c>
      <c r="M742" t="n">
        <v>0</v>
      </c>
      <c r="N742" t="n">
        <v>0</v>
      </c>
      <c r="O742" t="n">
        <v>0</v>
      </c>
      <c r="P742" t="n">
        <v>0</v>
      </c>
      <c r="Q742" t="n">
        <v>0</v>
      </c>
      <c r="R742" s="2" t="inlineStr"/>
    </row>
    <row r="743" ht="15" customHeight="1">
      <c r="A743" t="inlineStr">
        <is>
          <t>A 18946-2023</t>
        </is>
      </c>
      <c r="B743" s="1" t="n">
        <v>45044</v>
      </c>
      <c r="C743" s="1" t="n">
        <v>45798</v>
      </c>
      <c r="D743" t="inlineStr">
        <is>
          <t>UPPSALA LÄN</t>
        </is>
      </c>
      <c r="E743" t="inlineStr">
        <is>
          <t>ÖSTHAMMAR</t>
        </is>
      </c>
      <c r="G743" t="n">
        <v>4.9</v>
      </c>
      <c r="H743" t="n">
        <v>0</v>
      </c>
      <c r="I743" t="n">
        <v>0</v>
      </c>
      <c r="J743" t="n">
        <v>0</v>
      </c>
      <c r="K743" t="n">
        <v>0</v>
      </c>
      <c r="L743" t="n">
        <v>0</v>
      </c>
      <c r="M743" t="n">
        <v>0</v>
      </c>
      <c r="N743" t="n">
        <v>0</v>
      </c>
      <c r="O743" t="n">
        <v>0</v>
      </c>
      <c r="P743" t="n">
        <v>0</v>
      </c>
      <c r="Q743" t="n">
        <v>0</v>
      </c>
      <c r="R743" s="2" t="inlineStr"/>
    </row>
    <row r="744" ht="15" customHeight="1">
      <c r="A744" t="inlineStr">
        <is>
          <t>A 19012-2023</t>
        </is>
      </c>
      <c r="B744" s="1" t="n">
        <v>45045</v>
      </c>
      <c r="C744" s="1" t="n">
        <v>45798</v>
      </c>
      <c r="D744" t="inlineStr">
        <is>
          <t>UPPSALA LÄN</t>
        </is>
      </c>
      <c r="E744" t="inlineStr">
        <is>
          <t>ÖSTHAMMAR</t>
        </is>
      </c>
      <c r="F744" t="inlineStr">
        <is>
          <t>Bergvik skog öst AB</t>
        </is>
      </c>
      <c r="G744" t="n">
        <v>5.7</v>
      </c>
      <c r="H744" t="n">
        <v>0</v>
      </c>
      <c r="I744" t="n">
        <v>0</v>
      </c>
      <c r="J744" t="n">
        <v>0</v>
      </c>
      <c r="K744" t="n">
        <v>0</v>
      </c>
      <c r="L744" t="n">
        <v>0</v>
      </c>
      <c r="M744" t="n">
        <v>0</v>
      </c>
      <c r="N744" t="n">
        <v>0</v>
      </c>
      <c r="O744" t="n">
        <v>0</v>
      </c>
      <c r="P744" t="n">
        <v>0</v>
      </c>
      <c r="Q744" t="n">
        <v>0</v>
      </c>
      <c r="R744" s="2" t="inlineStr"/>
    </row>
    <row r="745" ht="15" customHeight="1">
      <c r="A745" t="inlineStr">
        <is>
          <t>A 19015-2023</t>
        </is>
      </c>
      <c r="B745" s="1" t="n">
        <v>45045</v>
      </c>
      <c r="C745" s="1" t="n">
        <v>45798</v>
      </c>
      <c r="D745" t="inlineStr">
        <is>
          <t>UPPSALA LÄN</t>
        </is>
      </c>
      <c r="E745" t="inlineStr">
        <is>
          <t>ÖSTHAMMAR</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19010-2023</t>
        </is>
      </c>
      <c r="B746" s="1" t="n">
        <v>45045</v>
      </c>
      <c r="C746" s="1" t="n">
        <v>45798</v>
      </c>
      <c r="D746" t="inlineStr">
        <is>
          <t>UPPSALA LÄN</t>
        </is>
      </c>
      <c r="E746" t="inlineStr">
        <is>
          <t>ÖSTHAMMAR</t>
        </is>
      </c>
      <c r="F746" t="inlineStr">
        <is>
          <t>Bergvik skog öst AB</t>
        </is>
      </c>
      <c r="G746" t="n">
        <v>3.7</v>
      </c>
      <c r="H746" t="n">
        <v>0</v>
      </c>
      <c r="I746" t="n">
        <v>0</v>
      </c>
      <c r="J746" t="n">
        <v>0</v>
      </c>
      <c r="K746" t="n">
        <v>0</v>
      </c>
      <c r="L746" t="n">
        <v>0</v>
      </c>
      <c r="M746" t="n">
        <v>0</v>
      </c>
      <c r="N746" t="n">
        <v>0</v>
      </c>
      <c r="O746" t="n">
        <v>0</v>
      </c>
      <c r="P746" t="n">
        <v>0</v>
      </c>
      <c r="Q746" t="n">
        <v>0</v>
      </c>
      <c r="R746" s="2" t="inlineStr"/>
    </row>
    <row r="747" ht="15" customHeight="1">
      <c r="A747" t="inlineStr">
        <is>
          <t>A 19014-2023</t>
        </is>
      </c>
      <c r="B747" s="1" t="n">
        <v>45045</v>
      </c>
      <c r="C747" s="1" t="n">
        <v>45798</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19009-2023</t>
        </is>
      </c>
      <c r="B748" s="1" t="n">
        <v>45045</v>
      </c>
      <c r="C748" s="1" t="n">
        <v>45798</v>
      </c>
      <c r="D748" t="inlineStr">
        <is>
          <t>UPPSALA LÄN</t>
        </is>
      </c>
      <c r="E748" t="inlineStr">
        <is>
          <t>ÖSTHAMMAR</t>
        </is>
      </c>
      <c r="F748" t="inlineStr">
        <is>
          <t>Bergvik skog öst AB</t>
        </is>
      </c>
      <c r="G748" t="n">
        <v>0.2</v>
      </c>
      <c r="H748" t="n">
        <v>0</v>
      </c>
      <c r="I748" t="n">
        <v>0</v>
      </c>
      <c r="J748" t="n">
        <v>0</v>
      </c>
      <c r="K748" t="n">
        <v>0</v>
      </c>
      <c r="L748" t="n">
        <v>0</v>
      </c>
      <c r="M748" t="n">
        <v>0</v>
      </c>
      <c r="N748" t="n">
        <v>0</v>
      </c>
      <c r="O748" t="n">
        <v>0</v>
      </c>
      <c r="P748" t="n">
        <v>0</v>
      </c>
      <c r="Q748" t="n">
        <v>0</v>
      </c>
      <c r="R748" s="2" t="inlineStr"/>
    </row>
    <row r="749" ht="15" customHeight="1">
      <c r="A749" t="inlineStr">
        <is>
          <t>A 19041-2023</t>
        </is>
      </c>
      <c r="B749" s="1" t="n">
        <v>45047</v>
      </c>
      <c r="C749" s="1" t="n">
        <v>45798</v>
      </c>
      <c r="D749" t="inlineStr">
        <is>
          <t>UPPSALA LÄN</t>
        </is>
      </c>
      <c r="E749" t="inlineStr">
        <is>
          <t>ÖSTHAMMAR</t>
        </is>
      </c>
      <c r="F749" t="inlineStr">
        <is>
          <t>Bergvik skog öst AB</t>
        </is>
      </c>
      <c r="G749" t="n">
        <v>3.9</v>
      </c>
      <c r="H749" t="n">
        <v>0</v>
      </c>
      <c r="I749" t="n">
        <v>0</v>
      </c>
      <c r="J749" t="n">
        <v>0</v>
      </c>
      <c r="K749" t="n">
        <v>0</v>
      </c>
      <c r="L749" t="n">
        <v>0</v>
      </c>
      <c r="M749" t="n">
        <v>0</v>
      </c>
      <c r="N749" t="n">
        <v>0</v>
      </c>
      <c r="O749" t="n">
        <v>0</v>
      </c>
      <c r="P749" t="n">
        <v>0</v>
      </c>
      <c r="Q749" t="n">
        <v>0</v>
      </c>
      <c r="R749" s="2" t="inlineStr"/>
    </row>
    <row r="750" ht="15" customHeight="1">
      <c r="A750" t="inlineStr">
        <is>
          <t>A 19040-2023</t>
        </is>
      </c>
      <c r="B750" s="1" t="n">
        <v>45047</v>
      </c>
      <c r="C750" s="1" t="n">
        <v>45798</v>
      </c>
      <c r="D750" t="inlineStr">
        <is>
          <t>UPPSALA LÄN</t>
        </is>
      </c>
      <c r="E750" t="inlineStr">
        <is>
          <t>ÖSTHAMMAR</t>
        </is>
      </c>
      <c r="F750" t="inlineStr">
        <is>
          <t>Bergvik skog öst AB</t>
        </is>
      </c>
      <c r="G750" t="n">
        <v>1.7</v>
      </c>
      <c r="H750" t="n">
        <v>0</v>
      </c>
      <c r="I750" t="n">
        <v>0</v>
      </c>
      <c r="J750" t="n">
        <v>0</v>
      </c>
      <c r="K750" t="n">
        <v>0</v>
      </c>
      <c r="L750" t="n">
        <v>0</v>
      </c>
      <c r="M750" t="n">
        <v>0</v>
      </c>
      <c r="N750" t="n">
        <v>0</v>
      </c>
      <c r="O750" t="n">
        <v>0</v>
      </c>
      <c r="P750" t="n">
        <v>0</v>
      </c>
      <c r="Q750" t="n">
        <v>0</v>
      </c>
      <c r="R750" s="2" t="inlineStr"/>
    </row>
    <row r="751" ht="15" customHeight="1">
      <c r="A751" t="inlineStr">
        <is>
          <t>A 19102-2023</t>
        </is>
      </c>
      <c r="B751" s="1" t="n">
        <v>45048</v>
      </c>
      <c r="C751" s="1" t="n">
        <v>45798</v>
      </c>
      <c r="D751" t="inlineStr">
        <is>
          <t>UPPSALA LÄN</t>
        </is>
      </c>
      <c r="E751" t="inlineStr">
        <is>
          <t>ÖSTHAMMAR</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19099-2023</t>
        </is>
      </c>
      <c r="B752" s="1" t="n">
        <v>45048</v>
      </c>
      <c r="C752" s="1" t="n">
        <v>45798</v>
      </c>
      <c r="D752" t="inlineStr">
        <is>
          <t>UPPSALA LÄN</t>
        </is>
      </c>
      <c r="E752" t="inlineStr">
        <is>
          <t>ÖSTHAMMAR</t>
        </is>
      </c>
      <c r="F752" t="inlineStr">
        <is>
          <t>Bergvik skog öst AB</t>
        </is>
      </c>
      <c r="G752" t="n">
        <v>1</v>
      </c>
      <c r="H752" t="n">
        <v>0</v>
      </c>
      <c r="I752" t="n">
        <v>0</v>
      </c>
      <c r="J752" t="n">
        <v>0</v>
      </c>
      <c r="K752" t="n">
        <v>0</v>
      </c>
      <c r="L752" t="n">
        <v>0</v>
      </c>
      <c r="M752" t="n">
        <v>0</v>
      </c>
      <c r="N752" t="n">
        <v>0</v>
      </c>
      <c r="O752" t="n">
        <v>0</v>
      </c>
      <c r="P752" t="n">
        <v>0</v>
      </c>
      <c r="Q752" t="n">
        <v>0</v>
      </c>
      <c r="R752" s="2" t="inlineStr"/>
    </row>
    <row r="753" ht="15" customHeight="1">
      <c r="A753" t="inlineStr">
        <is>
          <t>A 19097-2023</t>
        </is>
      </c>
      <c r="B753" s="1" t="n">
        <v>45048</v>
      </c>
      <c r="C753" s="1" t="n">
        <v>45798</v>
      </c>
      <c r="D753" t="inlineStr">
        <is>
          <t>UPPSALA LÄN</t>
        </is>
      </c>
      <c r="E753" t="inlineStr">
        <is>
          <t>ÖSTHAMMAR</t>
        </is>
      </c>
      <c r="F753" t="inlineStr">
        <is>
          <t>Bergvik skog öst AB</t>
        </is>
      </c>
      <c r="G753" t="n">
        <v>0.4</v>
      </c>
      <c r="H753" t="n">
        <v>0</v>
      </c>
      <c r="I753" t="n">
        <v>0</v>
      </c>
      <c r="J753" t="n">
        <v>0</v>
      </c>
      <c r="K753" t="n">
        <v>0</v>
      </c>
      <c r="L753" t="n">
        <v>0</v>
      </c>
      <c r="M753" t="n">
        <v>0</v>
      </c>
      <c r="N753" t="n">
        <v>0</v>
      </c>
      <c r="O753" t="n">
        <v>0</v>
      </c>
      <c r="P753" t="n">
        <v>0</v>
      </c>
      <c r="Q753" t="n">
        <v>0</v>
      </c>
      <c r="R753" s="2" t="inlineStr"/>
    </row>
    <row r="754" ht="15" customHeight="1">
      <c r="A754" t="inlineStr">
        <is>
          <t>A 19215-2023</t>
        </is>
      </c>
      <c r="B754" s="1" t="n">
        <v>45048</v>
      </c>
      <c r="C754" s="1" t="n">
        <v>45798</v>
      </c>
      <c r="D754" t="inlineStr">
        <is>
          <t>UPPSALA LÄN</t>
        </is>
      </c>
      <c r="E754" t="inlineStr">
        <is>
          <t>ÖSTHAMMAR</t>
        </is>
      </c>
      <c r="G754" t="n">
        <v>2.3</v>
      </c>
      <c r="H754" t="n">
        <v>0</v>
      </c>
      <c r="I754" t="n">
        <v>0</v>
      </c>
      <c r="J754" t="n">
        <v>0</v>
      </c>
      <c r="K754" t="n">
        <v>0</v>
      </c>
      <c r="L754" t="n">
        <v>0</v>
      </c>
      <c r="M754" t="n">
        <v>0</v>
      </c>
      <c r="N754" t="n">
        <v>0</v>
      </c>
      <c r="O754" t="n">
        <v>0</v>
      </c>
      <c r="P754" t="n">
        <v>0</v>
      </c>
      <c r="Q754" t="n">
        <v>0</v>
      </c>
      <c r="R754" s="2" t="inlineStr"/>
    </row>
    <row r="755" ht="15" customHeight="1">
      <c r="A755" t="inlineStr">
        <is>
          <t>A 19216-2023</t>
        </is>
      </c>
      <c r="B755" s="1" t="n">
        <v>45048</v>
      </c>
      <c r="C755" s="1" t="n">
        <v>45798</v>
      </c>
      <c r="D755" t="inlineStr">
        <is>
          <t>UPPSALA LÄN</t>
        </is>
      </c>
      <c r="E755" t="inlineStr">
        <is>
          <t>ÖSTHAMMAR</t>
        </is>
      </c>
      <c r="G755" t="n">
        <v>11.3</v>
      </c>
      <c r="H755" t="n">
        <v>0</v>
      </c>
      <c r="I755" t="n">
        <v>0</v>
      </c>
      <c r="J755" t="n">
        <v>0</v>
      </c>
      <c r="K755" t="n">
        <v>0</v>
      </c>
      <c r="L755" t="n">
        <v>0</v>
      </c>
      <c r="M755" t="n">
        <v>0</v>
      </c>
      <c r="N755" t="n">
        <v>0</v>
      </c>
      <c r="O755" t="n">
        <v>0</v>
      </c>
      <c r="P755" t="n">
        <v>0</v>
      </c>
      <c r="Q755" t="n">
        <v>0</v>
      </c>
      <c r="R755" s="2" t="inlineStr"/>
    </row>
    <row r="756" ht="15" customHeight="1">
      <c r="A756" t="inlineStr">
        <is>
          <t>A 19784-2023</t>
        </is>
      </c>
      <c r="B756" s="1" t="n">
        <v>45051</v>
      </c>
      <c r="C756" s="1" t="n">
        <v>45798</v>
      </c>
      <c r="D756" t="inlineStr">
        <is>
          <t>UPPSALA LÄN</t>
        </is>
      </c>
      <c r="E756" t="inlineStr">
        <is>
          <t>ÖSTHAMMAR</t>
        </is>
      </c>
      <c r="G756" t="n">
        <v>4.2</v>
      </c>
      <c r="H756" t="n">
        <v>0</v>
      </c>
      <c r="I756" t="n">
        <v>0</v>
      </c>
      <c r="J756" t="n">
        <v>0</v>
      </c>
      <c r="K756" t="n">
        <v>0</v>
      </c>
      <c r="L756" t="n">
        <v>0</v>
      </c>
      <c r="M756" t="n">
        <v>0</v>
      </c>
      <c r="N756" t="n">
        <v>0</v>
      </c>
      <c r="O756" t="n">
        <v>0</v>
      </c>
      <c r="P756" t="n">
        <v>0</v>
      </c>
      <c r="Q756" t="n">
        <v>0</v>
      </c>
      <c r="R756" s="2" t="inlineStr"/>
    </row>
    <row r="757" ht="15" customHeight="1">
      <c r="A757" t="inlineStr">
        <is>
          <t>A 19801-2023</t>
        </is>
      </c>
      <c r="B757" s="1" t="n">
        <v>45051</v>
      </c>
      <c r="C757" s="1" t="n">
        <v>45798</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19968-2023</t>
        </is>
      </c>
      <c r="B758" s="1" t="n">
        <v>45054</v>
      </c>
      <c r="C758" s="1" t="n">
        <v>45798</v>
      </c>
      <c r="D758" t="inlineStr">
        <is>
          <t>UPPSALA LÄN</t>
        </is>
      </c>
      <c r="E758" t="inlineStr">
        <is>
          <t>ÖSTHAMMAR</t>
        </is>
      </c>
      <c r="G758" t="n">
        <v>5.8</v>
      </c>
      <c r="H758" t="n">
        <v>0</v>
      </c>
      <c r="I758" t="n">
        <v>0</v>
      </c>
      <c r="J758" t="n">
        <v>0</v>
      </c>
      <c r="K758" t="n">
        <v>0</v>
      </c>
      <c r="L758" t="n">
        <v>0</v>
      </c>
      <c r="M758" t="n">
        <v>0</v>
      </c>
      <c r="N758" t="n">
        <v>0</v>
      </c>
      <c r="O758" t="n">
        <v>0</v>
      </c>
      <c r="P758" t="n">
        <v>0</v>
      </c>
      <c r="Q758" t="n">
        <v>0</v>
      </c>
      <c r="R758" s="2" t="inlineStr"/>
    </row>
    <row r="759" ht="15" customHeight="1">
      <c r="A759" t="inlineStr">
        <is>
          <t>A 20038-2023</t>
        </is>
      </c>
      <c r="B759" s="1" t="n">
        <v>45054</v>
      </c>
      <c r="C759" s="1" t="n">
        <v>45798</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20046-2023</t>
        </is>
      </c>
      <c r="B760" s="1" t="n">
        <v>45054</v>
      </c>
      <c r="C760" s="1" t="n">
        <v>45798</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20029-2023</t>
        </is>
      </c>
      <c r="B761" s="1" t="n">
        <v>45054</v>
      </c>
      <c r="C761" s="1" t="n">
        <v>45798</v>
      </c>
      <c r="D761" t="inlineStr">
        <is>
          <t>UPPSALA LÄN</t>
        </is>
      </c>
      <c r="E761" t="inlineStr">
        <is>
          <t>ÖSTHAMMAR</t>
        </is>
      </c>
      <c r="G761" t="n">
        <v>4.8</v>
      </c>
      <c r="H761" t="n">
        <v>0</v>
      </c>
      <c r="I761" t="n">
        <v>0</v>
      </c>
      <c r="J761" t="n">
        <v>0</v>
      </c>
      <c r="K761" t="n">
        <v>0</v>
      </c>
      <c r="L761" t="n">
        <v>0</v>
      </c>
      <c r="M761" t="n">
        <v>0</v>
      </c>
      <c r="N761" t="n">
        <v>0</v>
      </c>
      <c r="O761" t="n">
        <v>0</v>
      </c>
      <c r="P761" t="n">
        <v>0</v>
      </c>
      <c r="Q761" t="n">
        <v>0</v>
      </c>
      <c r="R761" s="2" t="inlineStr"/>
    </row>
    <row r="762" ht="15" customHeight="1">
      <c r="A762" t="inlineStr">
        <is>
          <t>A 20366-2023</t>
        </is>
      </c>
      <c r="B762" s="1" t="n">
        <v>45056</v>
      </c>
      <c r="C762" s="1" t="n">
        <v>45798</v>
      </c>
      <c r="D762" t="inlineStr">
        <is>
          <t>UPPSALA LÄN</t>
        </is>
      </c>
      <c r="E762" t="inlineStr">
        <is>
          <t>ÖSTHAMMAR</t>
        </is>
      </c>
      <c r="G762" t="n">
        <v>1.6</v>
      </c>
      <c r="H762" t="n">
        <v>0</v>
      </c>
      <c r="I762" t="n">
        <v>0</v>
      </c>
      <c r="J762" t="n">
        <v>0</v>
      </c>
      <c r="K762" t="n">
        <v>0</v>
      </c>
      <c r="L762" t="n">
        <v>0</v>
      </c>
      <c r="M762" t="n">
        <v>0</v>
      </c>
      <c r="N762" t="n">
        <v>0</v>
      </c>
      <c r="O762" t="n">
        <v>0</v>
      </c>
      <c r="P762" t="n">
        <v>0</v>
      </c>
      <c r="Q762" t="n">
        <v>0</v>
      </c>
      <c r="R762" s="2" t="inlineStr"/>
    </row>
    <row r="763" ht="15" customHeight="1">
      <c r="A763" t="inlineStr">
        <is>
          <t>A 20572-2023</t>
        </is>
      </c>
      <c r="B763" s="1" t="n">
        <v>45057</v>
      </c>
      <c r="C763" s="1" t="n">
        <v>45798</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20657-2023</t>
        </is>
      </c>
      <c r="B764" s="1" t="n">
        <v>45058</v>
      </c>
      <c r="C764" s="1" t="n">
        <v>45798</v>
      </c>
      <c r="D764" t="inlineStr">
        <is>
          <t>UPPSALA LÄN</t>
        </is>
      </c>
      <c r="E764" t="inlineStr">
        <is>
          <t>ÖSTHAMMAR</t>
        </is>
      </c>
      <c r="G764" t="n">
        <v>0.7</v>
      </c>
      <c r="H764" t="n">
        <v>0</v>
      </c>
      <c r="I764" t="n">
        <v>0</v>
      </c>
      <c r="J764" t="n">
        <v>0</v>
      </c>
      <c r="K764" t="n">
        <v>0</v>
      </c>
      <c r="L764" t="n">
        <v>0</v>
      </c>
      <c r="M764" t="n">
        <v>0</v>
      </c>
      <c r="N764" t="n">
        <v>0</v>
      </c>
      <c r="O764" t="n">
        <v>0</v>
      </c>
      <c r="P764" t="n">
        <v>0</v>
      </c>
      <c r="Q764" t="n">
        <v>0</v>
      </c>
      <c r="R764" s="2" t="inlineStr"/>
    </row>
    <row r="765" ht="15" customHeight="1">
      <c r="A765" t="inlineStr">
        <is>
          <t>A 20664-2023</t>
        </is>
      </c>
      <c r="B765" s="1" t="n">
        <v>45058</v>
      </c>
      <c r="C765" s="1" t="n">
        <v>45798</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20680-2023</t>
        </is>
      </c>
      <c r="B766" s="1" t="n">
        <v>45058</v>
      </c>
      <c r="C766" s="1" t="n">
        <v>45798</v>
      </c>
      <c r="D766" t="inlineStr">
        <is>
          <t>UPPSALA LÄN</t>
        </is>
      </c>
      <c r="E766" t="inlineStr">
        <is>
          <t>ÖSTHAMMAR</t>
        </is>
      </c>
      <c r="F766" t="inlineStr">
        <is>
          <t>Bergvik skog öst AB</t>
        </is>
      </c>
      <c r="G766" t="n">
        <v>10.5</v>
      </c>
      <c r="H766" t="n">
        <v>0</v>
      </c>
      <c r="I766" t="n">
        <v>0</v>
      </c>
      <c r="J766" t="n">
        <v>0</v>
      </c>
      <c r="K766" t="n">
        <v>0</v>
      </c>
      <c r="L766" t="n">
        <v>0</v>
      </c>
      <c r="M766" t="n">
        <v>0</v>
      </c>
      <c r="N766" t="n">
        <v>0</v>
      </c>
      <c r="O766" t="n">
        <v>0</v>
      </c>
      <c r="P766" t="n">
        <v>0</v>
      </c>
      <c r="Q766" t="n">
        <v>0</v>
      </c>
      <c r="R766" s="2" t="inlineStr"/>
    </row>
    <row r="767" ht="15" customHeight="1">
      <c r="A767" t="inlineStr">
        <is>
          <t>A 20677-2023</t>
        </is>
      </c>
      <c r="B767" s="1" t="n">
        <v>45058</v>
      </c>
      <c r="C767" s="1" t="n">
        <v>45798</v>
      </c>
      <c r="D767" t="inlineStr">
        <is>
          <t>UPPSALA LÄN</t>
        </is>
      </c>
      <c r="E767" t="inlineStr">
        <is>
          <t>ÖSTHAMMAR</t>
        </is>
      </c>
      <c r="F767" t="inlineStr">
        <is>
          <t>Bergvik skog öst AB</t>
        </is>
      </c>
      <c r="G767" t="n">
        <v>4</v>
      </c>
      <c r="H767" t="n">
        <v>0</v>
      </c>
      <c r="I767" t="n">
        <v>0</v>
      </c>
      <c r="J767" t="n">
        <v>0</v>
      </c>
      <c r="K767" t="n">
        <v>0</v>
      </c>
      <c r="L767" t="n">
        <v>0</v>
      </c>
      <c r="M767" t="n">
        <v>0</v>
      </c>
      <c r="N767" t="n">
        <v>0</v>
      </c>
      <c r="O767" t="n">
        <v>0</v>
      </c>
      <c r="P767" t="n">
        <v>0</v>
      </c>
      <c r="Q767" t="n">
        <v>0</v>
      </c>
      <c r="R767" s="2" t="inlineStr"/>
    </row>
    <row r="768" ht="15" customHeight="1">
      <c r="A768" t="inlineStr">
        <is>
          <t>A 21478-2023</t>
        </is>
      </c>
      <c r="B768" s="1" t="n">
        <v>45063</v>
      </c>
      <c r="C768" s="1" t="n">
        <v>45798</v>
      </c>
      <c r="D768" t="inlineStr">
        <is>
          <t>UPPSALA LÄN</t>
        </is>
      </c>
      <c r="E768" t="inlineStr">
        <is>
          <t>ÖSTHAMMAR</t>
        </is>
      </c>
      <c r="G768" t="n">
        <v>0.4</v>
      </c>
      <c r="H768" t="n">
        <v>0</v>
      </c>
      <c r="I768" t="n">
        <v>0</v>
      </c>
      <c r="J768" t="n">
        <v>0</v>
      </c>
      <c r="K768" t="n">
        <v>0</v>
      </c>
      <c r="L768" t="n">
        <v>0</v>
      </c>
      <c r="M768" t="n">
        <v>0</v>
      </c>
      <c r="N768" t="n">
        <v>0</v>
      </c>
      <c r="O768" t="n">
        <v>0</v>
      </c>
      <c r="P768" t="n">
        <v>0</v>
      </c>
      <c r="Q768" t="n">
        <v>0</v>
      </c>
      <c r="R768" s="2" t="inlineStr"/>
    </row>
    <row r="769" ht="15" customHeight="1">
      <c r="A769" t="inlineStr">
        <is>
          <t>A 21615-2023</t>
        </is>
      </c>
      <c r="B769" s="1" t="n">
        <v>45063</v>
      </c>
      <c r="C769" s="1" t="n">
        <v>45798</v>
      </c>
      <c r="D769" t="inlineStr">
        <is>
          <t>UPPSALA LÄN</t>
        </is>
      </c>
      <c r="E769" t="inlineStr">
        <is>
          <t>ÖSTHAMMAR</t>
        </is>
      </c>
      <c r="G769" t="n">
        <v>3.3</v>
      </c>
      <c r="H769" t="n">
        <v>0</v>
      </c>
      <c r="I769" t="n">
        <v>0</v>
      </c>
      <c r="J769" t="n">
        <v>0</v>
      </c>
      <c r="K769" t="n">
        <v>0</v>
      </c>
      <c r="L769" t="n">
        <v>0</v>
      </c>
      <c r="M769" t="n">
        <v>0</v>
      </c>
      <c r="N769" t="n">
        <v>0</v>
      </c>
      <c r="O769" t="n">
        <v>0</v>
      </c>
      <c r="P769" t="n">
        <v>0</v>
      </c>
      <c r="Q769" t="n">
        <v>0</v>
      </c>
      <c r="R769" s="2" t="inlineStr"/>
    </row>
    <row r="770" ht="15" customHeight="1">
      <c r="A770" t="inlineStr">
        <is>
          <t>A 21624-2023</t>
        </is>
      </c>
      <c r="B770" s="1" t="n">
        <v>45063</v>
      </c>
      <c r="C770" s="1" t="n">
        <v>45798</v>
      </c>
      <c r="D770" t="inlineStr">
        <is>
          <t>UPPSALA LÄN</t>
        </is>
      </c>
      <c r="E770" t="inlineStr">
        <is>
          <t>ÖSTHAMMAR</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21862-2023</t>
        </is>
      </c>
      <c r="B771" s="1" t="n">
        <v>45068</v>
      </c>
      <c r="C771" s="1" t="n">
        <v>45798</v>
      </c>
      <c r="D771" t="inlineStr">
        <is>
          <t>UPPSALA LÄN</t>
        </is>
      </c>
      <c r="E771" t="inlineStr">
        <is>
          <t>ÖSTHAMMAR</t>
        </is>
      </c>
      <c r="G771" t="n">
        <v>0.5</v>
      </c>
      <c r="H771" t="n">
        <v>0</v>
      </c>
      <c r="I771" t="n">
        <v>0</v>
      </c>
      <c r="J771" t="n">
        <v>0</v>
      </c>
      <c r="K771" t="n">
        <v>0</v>
      </c>
      <c r="L771" t="n">
        <v>0</v>
      </c>
      <c r="M771" t="n">
        <v>0</v>
      </c>
      <c r="N771" t="n">
        <v>0</v>
      </c>
      <c r="O771" t="n">
        <v>0</v>
      </c>
      <c r="P771" t="n">
        <v>0</v>
      </c>
      <c r="Q771" t="n">
        <v>0</v>
      </c>
      <c r="R771" s="2" t="inlineStr"/>
    </row>
    <row r="772" ht="15" customHeight="1">
      <c r="A772" t="inlineStr">
        <is>
          <t>A 22405-2023</t>
        </is>
      </c>
      <c r="B772" s="1" t="n">
        <v>45070</v>
      </c>
      <c r="C772" s="1" t="n">
        <v>45798</v>
      </c>
      <c r="D772" t="inlineStr">
        <is>
          <t>UPPSALA LÄN</t>
        </is>
      </c>
      <c r="E772" t="inlineStr">
        <is>
          <t>ÖSTHAMMAR</t>
        </is>
      </c>
      <c r="F772" t="inlineStr">
        <is>
          <t>Bergvik skog öst AB</t>
        </is>
      </c>
      <c r="G772" t="n">
        <v>0.4</v>
      </c>
      <c r="H772" t="n">
        <v>0</v>
      </c>
      <c r="I772" t="n">
        <v>0</v>
      </c>
      <c r="J772" t="n">
        <v>0</v>
      </c>
      <c r="K772" t="n">
        <v>0</v>
      </c>
      <c r="L772" t="n">
        <v>0</v>
      </c>
      <c r="M772" t="n">
        <v>0</v>
      </c>
      <c r="N772" t="n">
        <v>0</v>
      </c>
      <c r="O772" t="n">
        <v>0</v>
      </c>
      <c r="P772" t="n">
        <v>0</v>
      </c>
      <c r="Q772" t="n">
        <v>0</v>
      </c>
      <c r="R772" s="2" t="inlineStr"/>
    </row>
    <row r="773" ht="15" customHeight="1">
      <c r="A773" t="inlineStr">
        <is>
          <t>A 22413-2023</t>
        </is>
      </c>
      <c r="B773" s="1" t="n">
        <v>45070</v>
      </c>
      <c r="C773" s="1" t="n">
        <v>45798</v>
      </c>
      <c r="D773" t="inlineStr">
        <is>
          <t>UPPSALA LÄN</t>
        </is>
      </c>
      <c r="E773" t="inlineStr">
        <is>
          <t>ÖSTHAMMAR</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22322-2023</t>
        </is>
      </c>
      <c r="B774" s="1" t="n">
        <v>45070</v>
      </c>
      <c r="C774" s="1" t="n">
        <v>45798</v>
      </c>
      <c r="D774" t="inlineStr">
        <is>
          <t>UPPSALA LÄN</t>
        </is>
      </c>
      <c r="E774" t="inlineStr">
        <is>
          <t>ÖSTHAMMAR</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22701-2023</t>
        </is>
      </c>
      <c r="B775" s="1" t="n">
        <v>45071</v>
      </c>
      <c r="C775" s="1" t="n">
        <v>45798</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22794-2023</t>
        </is>
      </c>
      <c r="B776" s="1" t="n">
        <v>45072</v>
      </c>
      <c r="C776" s="1" t="n">
        <v>45798</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22798-2023</t>
        </is>
      </c>
      <c r="B777" s="1" t="n">
        <v>45072</v>
      </c>
      <c r="C777" s="1" t="n">
        <v>45798</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22796-2023</t>
        </is>
      </c>
      <c r="B778" s="1" t="n">
        <v>45072</v>
      </c>
      <c r="C778" s="1" t="n">
        <v>45798</v>
      </c>
      <c r="D778" t="inlineStr">
        <is>
          <t>UPPSALA LÄN</t>
        </is>
      </c>
      <c r="E778" t="inlineStr">
        <is>
          <t>ÖSTHAMMAR</t>
        </is>
      </c>
      <c r="G778" t="n">
        <v>0.8</v>
      </c>
      <c r="H778" t="n">
        <v>0</v>
      </c>
      <c r="I778" t="n">
        <v>0</v>
      </c>
      <c r="J778" t="n">
        <v>0</v>
      </c>
      <c r="K778" t="n">
        <v>0</v>
      </c>
      <c r="L778" t="n">
        <v>0</v>
      </c>
      <c r="M778" t="n">
        <v>0</v>
      </c>
      <c r="N778" t="n">
        <v>0</v>
      </c>
      <c r="O778" t="n">
        <v>0</v>
      </c>
      <c r="P778" t="n">
        <v>0</v>
      </c>
      <c r="Q778" t="n">
        <v>0</v>
      </c>
      <c r="R778" s="2" t="inlineStr"/>
    </row>
    <row r="779" ht="15" customHeight="1">
      <c r="A779" t="inlineStr">
        <is>
          <t>A 23083-2023</t>
        </is>
      </c>
      <c r="B779" s="1" t="n">
        <v>45075</v>
      </c>
      <c r="C779" s="1" t="n">
        <v>45798</v>
      </c>
      <c r="D779" t="inlineStr">
        <is>
          <t>UPPSALA LÄN</t>
        </is>
      </c>
      <c r="E779" t="inlineStr">
        <is>
          <t>ÖSTHAMMAR</t>
        </is>
      </c>
      <c r="F779" t="inlineStr">
        <is>
          <t>Sveaskog</t>
        </is>
      </c>
      <c r="G779" t="n">
        <v>3.8</v>
      </c>
      <c r="H779" t="n">
        <v>0</v>
      </c>
      <c r="I779" t="n">
        <v>0</v>
      </c>
      <c r="J779" t="n">
        <v>0</v>
      </c>
      <c r="K779" t="n">
        <v>0</v>
      </c>
      <c r="L779" t="n">
        <v>0</v>
      </c>
      <c r="M779" t="n">
        <v>0</v>
      </c>
      <c r="N779" t="n">
        <v>0</v>
      </c>
      <c r="O779" t="n">
        <v>0</v>
      </c>
      <c r="P779" t="n">
        <v>0</v>
      </c>
      <c r="Q779" t="n">
        <v>0</v>
      </c>
      <c r="R779" s="2" t="inlineStr"/>
    </row>
    <row r="780" ht="15" customHeight="1">
      <c r="A780" t="inlineStr">
        <is>
          <t>A 23064-2023</t>
        </is>
      </c>
      <c r="B780" s="1" t="n">
        <v>45075</v>
      </c>
      <c r="C780" s="1" t="n">
        <v>45798</v>
      </c>
      <c r="D780" t="inlineStr">
        <is>
          <t>UPPSALA LÄN</t>
        </is>
      </c>
      <c r="E780" t="inlineStr">
        <is>
          <t>ÖSTHAMMAR</t>
        </is>
      </c>
      <c r="F780" t="inlineStr">
        <is>
          <t>Kyrkan</t>
        </is>
      </c>
      <c r="G780" t="n">
        <v>16.6</v>
      </c>
      <c r="H780" t="n">
        <v>0</v>
      </c>
      <c r="I780" t="n">
        <v>0</v>
      </c>
      <c r="J780" t="n">
        <v>0</v>
      </c>
      <c r="K780" t="n">
        <v>0</v>
      </c>
      <c r="L780" t="n">
        <v>0</v>
      </c>
      <c r="M780" t="n">
        <v>0</v>
      </c>
      <c r="N780" t="n">
        <v>0</v>
      </c>
      <c r="O780" t="n">
        <v>0</v>
      </c>
      <c r="P780" t="n">
        <v>0</v>
      </c>
      <c r="Q780" t="n">
        <v>0</v>
      </c>
      <c r="R780" s="2" t="inlineStr"/>
    </row>
    <row r="781" ht="15" customHeight="1">
      <c r="A781" t="inlineStr">
        <is>
          <t>A 23197-2023</t>
        </is>
      </c>
      <c r="B781" s="1" t="n">
        <v>45075</v>
      </c>
      <c r="C781" s="1" t="n">
        <v>45798</v>
      </c>
      <c r="D781" t="inlineStr">
        <is>
          <t>UPPSALA LÄN</t>
        </is>
      </c>
      <c r="E781" t="inlineStr">
        <is>
          <t>ÖSTHAMMAR</t>
        </is>
      </c>
      <c r="G781" t="n">
        <v>0.5</v>
      </c>
      <c r="H781" t="n">
        <v>0</v>
      </c>
      <c r="I781" t="n">
        <v>0</v>
      </c>
      <c r="J781" t="n">
        <v>0</v>
      </c>
      <c r="K781" t="n">
        <v>0</v>
      </c>
      <c r="L781" t="n">
        <v>0</v>
      </c>
      <c r="M781" t="n">
        <v>0</v>
      </c>
      <c r="N781" t="n">
        <v>0</v>
      </c>
      <c r="O781" t="n">
        <v>0</v>
      </c>
      <c r="P781" t="n">
        <v>0</v>
      </c>
      <c r="Q781" t="n">
        <v>0</v>
      </c>
      <c r="R781" s="2" t="inlineStr"/>
    </row>
    <row r="782" ht="15" customHeight="1">
      <c r="A782" t="inlineStr">
        <is>
          <t>A 23142-2023</t>
        </is>
      </c>
      <c r="B782" s="1" t="n">
        <v>45075</v>
      </c>
      <c r="C782" s="1" t="n">
        <v>45798</v>
      </c>
      <c r="D782" t="inlineStr">
        <is>
          <t>UPPSALA LÄN</t>
        </is>
      </c>
      <c r="E782" t="inlineStr">
        <is>
          <t>ÖSTHAMMAR</t>
        </is>
      </c>
      <c r="G782" t="n">
        <v>2.3</v>
      </c>
      <c r="H782" t="n">
        <v>0</v>
      </c>
      <c r="I782" t="n">
        <v>0</v>
      </c>
      <c r="J782" t="n">
        <v>0</v>
      </c>
      <c r="K782" t="n">
        <v>0</v>
      </c>
      <c r="L782" t="n">
        <v>0</v>
      </c>
      <c r="M782" t="n">
        <v>0</v>
      </c>
      <c r="N782" t="n">
        <v>0</v>
      </c>
      <c r="O782" t="n">
        <v>0</v>
      </c>
      <c r="P782" t="n">
        <v>0</v>
      </c>
      <c r="Q782" t="n">
        <v>0</v>
      </c>
      <c r="R782" s="2" t="inlineStr"/>
    </row>
    <row r="783" ht="15" customHeight="1">
      <c r="A783" t="inlineStr">
        <is>
          <t>A 23059-2023</t>
        </is>
      </c>
      <c r="B783" s="1" t="n">
        <v>45075</v>
      </c>
      <c r="C783" s="1" t="n">
        <v>45798</v>
      </c>
      <c r="D783" t="inlineStr">
        <is>
          <t>UPPSALA LÄN</t>
        </is>
      </c>
      <c r="E783" t="inlineStr">
        <is>
          <t>ÖSTHAMMAR</t>
        </is>
      </c>
      <c r="G783" t="n">
        <v>1</v>
      </c>
      <c r="H783" t="n">
        <v>0</v>
      </c>
      <c r="I783" t="n">
        <v>0</v>
      </c>
      <c r="J783" t="n">
        <v>0</v>
      </c>
      <c r="K783" t="n">
        <v>0</v>
      </c>
      <c r="L783" t="n">
        <v>0</v>
      </c>
      <c r="M783" t="n">
        <v>0</v>
      </c>
      <c r="N783" t="n">
        <v>0</v>
      </c>
      <c r="O783" t="n">
        <v>0</v>
      </c>
      <c r="P783" t="n">
        <v>0</v>
      </c>
      <c r="Q783" t="n">
        <v>0</v>
      </c>
      <c r="R783" s="2" t="inlineStr"/>
    </row>
    <row r="784" ht="15" customHeight="1">
      <c r="A784" t="inlineStr">
        <is>
          <t>A 23363-2023</t>
        </is>
      </c>
      <c r="B784" s="1" t="n">
        <v>45076</v>
      </c>
      <c r="C784" s="1" t="n">
        <v>45798</v>
      </c>
      <c r="D784" t="inlineStr">
        <is>
          <t>UPPSALA LÄN</t>
        </is>
      </c>
      <c r="E784" t="inlineStr">
        <is>
          <t>ÖSTHAMMAR</t>
        </is>
      </c>
      <c r="G784" t="n">
        <v>3</v>
      </c>
      <c r="H784" t="n">
        <v>0</v>
      </c>
      <c r="I784" t="n">
        <v>0</v>
      </c>
      <c r="J784" t="n">
        <v>0</v>
      </c>
      <c r="K784" t="n">
        <v>0</v>
      </c>
      <c r="L784" t="n">
        <v>0</v>
      </c>
      <c r="M784" t="n">
        <v>0</v>
      </c>
      <c r="N784" t="n">
        <v>0</v>
      </c>
      <c r="O784" t="n">
        <v>0</v>
      </c>
      <c r="P784" t="n">
        <v>0</v>
      </c>
      <c r="Q784" t="n">
        <v>0</v>
      </c>
      <c r="R784" s="2" t="inlineStr"/>
    </row>
    <row r="785" ht="15" customHeight="1">
      <c r="A785" t="inlineStr">
        <is>
          <t>A 23495-2023</t>
        </is>
      </c>
      <c r="B785" s="1" t="n">
        <v>45076</v>
      </c>
      <c r="C785" s="1" t="n">
        <v>45798</v>
      </c>
      <c r="D785" t="inlineStr">
        <is>
          <t>UPPSALA LÄN</t>
        </is>
      </c>
      <c r="E785" t="inlineStr">
        <is>
          <t>ÖSTHAMMAR</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24033-2023</t>
        </is>
      </c>
      <c r="B786" s="1" t="n">
        <v>45078</v>
      </c>
      <c r="C786" s="1" t="n">
        <v>45798</v>
      </c>
      <c r="D786" t="inlineStr">
        <is>
          <t>UPPSALA LÄN</t>
        </is>
      </c>
      <c r="E786" t="inlineStr">
        <is>
          <t>ÖSTHAMMAR</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24128-2023</t>
        </is>
      </c>
      <c r="B787" s="1" t="n">
        <v>45079</v>
      </c>
      <c r="C787" s="1" t="n">
        <v>45798</v>
      </c>
      <c r="D787" t="inlineStr">
        <is>
          <t>UPPSALA LÄN</t>
        </is>
      </c>
      <c r="E787" t="inlineStr">
        <is>
          <t>ÖSTHAMMAR</t>
        </is>
      </c>
      <c r="G787" t="n">
        <v>0.6</v>
      </c>
      <c r="H787" t="n">
        <v>0</v>
      </c>
      <c r="I787" t="n">
        <v>0</v>
      </c>
      <c r="J787" t="n">
        <v>0</v>
      </c>
      <c r="K787" t="n">
        <v>0</v>
      </c>
      <c r="L787" t="n">
        <v>0</v>
      </c>
      <c r="M787" t="n">
        <v>0</v>
      </c>
      <c r="N787" t="n">
        <v>0</v>
      </c>
      <c r="O787" t="n">
        <v>0</v>
      </c>
      <c r="P787" t="n">
        <v>0</v>
      </c>
      <c r="Q787" t="n">
        <v>0</v>
      </c>
      <c r="R787" s="2" t="inlineStr"/>
    </row>
    <row r="788" ht="15" customHeight="1">
      <c r="A788" t="inlineStr">
        <is>
          <t>A 24325-2023</t>
        </is>
      </c>
      <c r="B788" s="1" t="n">
        <v>45080</v>
      </c>
      <c r="C788" s="1" t="n">
        <v>45798</v>
      </c>
      <c r="D788" t="inlineStr">
        <is>
          <t>UPPSALA LÄN</t>
        </is>
      </c>
      <c r="E788" t="inlineStr">
        <is>
          <t>ÖSTHAMMAR</t>
        </is>
      </c>
      <c r="F788" t="inlineStr">
        <is>
          <t>Bergvik skog öst AB</t>
        </is>
      </c>
      <c r="G788" t="n">
        <v>0.5</v>
      </c>
      <c r="H788" t="n">
        <v>0</v>
      </c>
      <c r="I788" t="n">
        <v>0</v>
      </c>
      <c r="J788" t="n">
        <v>0</v>
      </c>
      <c r="K788" t="n">
        <v>0</v>
      </c>
      <c r="L788" t="n">
        <v>0</v>
      </c>
      <c r="M788" t="n">
        <v>0</v>
      </c>
      <c r="N788" t="n">
        <v>0</v>
      </c>
      <c r="O788" t="n">
        <v>0</v>
      </c>
      <c r="P788" t="n">
        <v>0</v>
      </c>
      <c r="Q788" t="n">
        <v>0</v>
      </c>
      <c r="R788" s="2" t="inlineStr"/>
    </row>
    <row r="789" ht="15" customHeight="1">
      <c r="A789" t="inlineStr">
        <is>
          <t>A 24324-2023</t>
        </is>
      </c>
      <c r="B789" s="1" t="n">
        <v>45080</v>
      </c>
      <c r="C789" s="1" t="n">
        <v>45798</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24428-2023</t>
        </is>
      </c>
      <c r="B790" s="1" t="n">
        <v>45082</v>
      </c>
      <c r="C790" s="1" t="n">
        <v>45798</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24493-2023</t>
        </is>
      </c>
      <c r="B791" s="1" t="n">
        <v>45082</v>
      </c>
      <c r="C791" s="1" t="n">
        <v>45798</v>
      </c>
      <c r="D791" t="inlineStr">
        <is>
          <t>UPPSALA LÄN</t>
        </is>
      </c>
      <c r="E791" t="inlineStr">
        <is>
          <t>ÖSTHAMMAR</t>
        </is>
      </c>
      <c r="G791" t="n">
        <v>1.9</v>
      </c>
      <c r="H791" t="n">
        <v>0</v>
      </c>
      <c r="I791" t="n">
        <v>0</v>
      </c>
      <c r="J791" t="n">
        <v>0</v>
      </c>
      <c r="K791" t="n">
        <v>0</v>
      </c>
      <c r="L791" t="n">
        <v>0</v>
      </c>
      <c r="M791" t="n">
        <v>0</v>
      </c>
      <c r="N791" t="n">
        <v>0</v>
      </c>
      <c r="O791" t="n">
        <v>0</v>
      </c>
      <c r="P791" t="n">
        <v>0</v>
      </c>
      <c r="Q791" t="n">
        <v>0</v>
      </c>
      <c r="R791" s="2" t="inlineStr"/>
    </row>
    <row r="792" ht="15" customHeight="1">
      <c r="A792" t="inlineStr">
        <is>
          <t>A 24491-2023</t>
        </is>
      </c>
      <c r="B792" s="1" t="n">
        <v>45082</v>
      </c>
      <c r="C792" s="1" t="n">
        <v>45798</v>
      </c>
      <c r="D792" t="inlineStr">
        <is>
          <t>UPPSALA LÄN</t>
        </is>
      </c>
      <c r="E792" t="inlineStr">
        <is>
          <t>ÖSTHAMMAR</t>
        </is>
      </c>
      <c r="G792" t="n">
        <v>5.3</v>
      </c>
      <c r="H792" t="n">
        <v>0</v>
      </c>
      <c r="I792" t="n">
        <v>0</v>
      </c>
      <c r="J792" t="n">
        <v>0</v>
      </c>
      <c r="K792" t="n">
        <v>0</v>
      </c>
      <c r="L792" t="n">
        <v>0</v>
      </c>
      <c r="M792" t="n">
        <v>0</v>
      </c>
      <c r="N792" t="n">
        <v>0</v>
      </c>
      <c r="O792" t="n">
        <v>0</v>
      </c>
      <c r="P792" t="n">
        <v>0</v>
      </c>
      <c r="Q792" t="n">
        <v>0</v>
      </c>
      <c r="R792" s="2" t="inlineStr"/>
    </row>
    <row r="793" ht="15" customHeight="1">
      <c r="A793" t="inlineStr">
        <is>
          <t>A 24587-2023</t>
        </is>
      </c>
      <c r="B793" s="1" t="n">
        <v>45083</v>
      </c>
      <c r="C793" s="1" t="n">
        <v>45798</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24642-2023</t>
        </is>
      </c>
      <c r="B794" s="1" t="n">
        <v>45084</v>
      </c>
      <c r="C794" s="1" t="n">
        <v>45798</v>
      </c>
      <c r="D794" t="inlineStr">
        <is>
          <t>UPPSALA LÄN</t>
        </is>
      </c>
      <c r="E794" t="inlineStr">
        <is>
          <t>ÖSTHAMMAR</t>
        </is>
      </c>
      <c r="F794" t="inlineStr">
        <is>
          <t>Bergvik skog öst AB</t>
        </is>
      </c>
      <c r="G794" t="n">
        <v>7.2</v>
      </c>
      <c r="H794" t="n">
        <v>0</v>
      </c>
      <c r="I794" t="n">
        <v>0</v>
      </c>
      <c r="J794" t="n">
        <v>0</v>
      </c>
      <c r="K794" t="n">
        <v>0</v>
      </c>
      <c r="L794" t="n">
        <v>0</v>
      </c>
      <c r="M794" t="n">
        <v>0</v>
      </c>
      <c r="N794" t="n">
        <v>0</v>
      </c>
      <c r="O794" t="n">
        <v>0</v>
      </c>
      <c r="P794" t="n">
        <v>0</v>
      </c>
      <c r="Q794" t="n">
        <v>0</v>
      </c>
      <c r="R794" s="2" t="inlineStr"/>
    </row>
    <row r="795" ht="15" customHeight="1">
      <c r="A795" t="inlineStr">
        <is>
          <t>A 24648-2023</t>
        </is>
      </c>
      <c r="B795" s="1" t="n">
        <v>45084</v>
      </c>
      <c r="C795" s="1" t="n">
        <v>45798</v>
      </c>
      <c r="D795" t="inlineStr">
        <is>
          <t>UPPSALA LÄN</t>
        </is>
      </c>
      <c r="E795" t="inlineStr">
        <is>
          <t>ÖSTHAMMAR</t>
        </is>
      </c>
      <c r="F795" t="inlineStr">
        <is>
          <t>Bergvik skog öst AB</t>
        </is>
      </c>
      <c r="G795" t="n">
        <v>12.5</v>
      </c>
      <c r="H795" t="n">
        <v>0</v>
      </c>
      <c r="I795" t="n">
        <v>0</v>
      </c>
      <c r="J795" t="n">
        <v>0</v>
      </c>
      <c r="K795" t="n">
        <v>0</v>
      </c>
      <c r="L795" t="n">
        <v>0</v>
      </c>
      <c r="M795" t="n">
        <v>0</v>
      </c>
      <c r="N795" t="n">
        <v>0</v>
      </c>
      <c r="O795" t="n">
        <v>0</v>
      </c>
      <c r="P795" t="n">
        <v>0</v>
      </c>
      <c r="Q795" t="n">
        <v>0</v>
      </c>
      <c r="R795" s="2" t="inlineStr"/>
    </row>
    <row r="796" ht="15" customHeight="1">
      <c r="A796" t="inlineStr">
        <is>
          <t>A 24751-2023</t>
        </is>
      </c>
      <c r="B796" s="1" t="n">
        <v>45084</v>
      </c>
      <c r="C796" s="1" t="n">
        <v>45798</v>
      </c>
      <c r="D796" t="inlineStr">
        <is>
          <t>UPPSALA LÄN</t>
        </is>
      </c>
      <c r="E796" t="inlineStr">
        <is>
          <t>ÖSTHAMMAR</t>
        </is>
      </c>
      <c r="F796" t="inlineStr">
        <is>
          <t>Bergvik skog öst AB</t>
        </is>
      </c>
      <c r="G796" t="n">
        <v>6.2</v>
      </c>
      <c r="H796" t="n">
        <v>0</v>
      </c>
      <c r="I796" t="n">
        <v>0</v>
      </c>
      <c r="J796" t="n">
        <v>0</v>
      </c>
      <c r="K796" t="n">
        <v>0</v>
      </c>
      <c r="L796" t="n">
        <v>0</v>
      </c>
      <c r="M796" t="n">
        <v>0</v>
      </c>
      <c r="N796" t="n">
        <v>0</v>
      </c>
      <c r="O796" t="n">
        <v>0</v>
      </c>
      <c r="P796" t="n">
        <v>0</v>
      </c>
      <c r="Q796" t="n">
        <v>0</v>
      </c>
      <c r="R796" s="2" t="inlineStr"/>
    </row>
    <row r="797" ht="15" customHeight="1">
      <c r="A797" t="inlineStr">
        <is>
          <t>A 25194-2023</t>
        </is>
      </c>
      <c r="B797" s="1" t="n">
        <v>45086</v>
      </c>
      <c r="C797" s="1" t="n">
        <v>45798</v>
      </c>
      <c r="D797" t="inlineStr">
        <is>
          <t>UPPSALA LÄN</t>
        </is>
      </c>
      <c r="E797" t="inlineStr">
        <is>
          <t>ÖSTHAMMAR</t>
        </is>
      </c>
      <c r="G797" t="n">
        <v>0.7</v>
      </c>
      <c r="H797" t="n">
        <v>0</v>
      </c>
      <c r="I797" t="n">
        <v>0</v>
      </c>
      <c r="J797" t="n">
        <v>0</v>
      </c>
      <c r="K797" t="n">
        <v>0</v>
      </c>
      <c r="L797" t="n">
        <v>0</v>
      </c>
      <c r="M797" t="n">
        <v>0</v>
      </c>
      <c r="N797" t="n">
        <v>0</v>
      </c>
      <c r="O797" t="n">
        <v>0</v>
      </c>
      <c r="P797" t="n">
        <v>0</v>
      </c>
      <c r="Q797" t="n">
        <v>0</v>
      </c>
      <c r="R797" s="2" t="inlineStr"/>
    </row>
    <row r="798" ht="15" customHeight="1">
      <c r="A798" t="inlineStr">
        <is>
          <t>A 26612-2023</t>
        </is>
      </c>
      <c r="B798" s="1" t="n">
        <v>45089</v>
      </c>
      <c r="C798" s="1" t="n">
        <v>45798</v>
      </c>
      <c r="D798" t="inlineStr">
        <is>
          <t>UPPSALA LÄN</t>
        </is>
      </c>
      <c r="E798" t="inlineStr">
        <is>
          <t>ÖSTHAMMAR</t>
        </is>
      </c>
      <c r="G798" t="n">
        <v>2.1</v>
      </c>
      <c r="H798" t="n">
        <v>0</v>
      </c>
      <c r="I798" t="n">
        <v>0</v>
      </c>
      <c r="J798" t="n">
        <v>0</v>
      </c>
      <c r="K798" t="n">
        <v>0</v>
      </c>
      <c r="L798" t="n">
        <v>0</v>
      </c>
      <c r="M798" t="n">
        <v>0</v>
      </c>
      <c r="N798" t="n">
        <v>0</v>
      </c>
      <c r="O798" t="n">
        <v>0</v>
      </c>
      <c r="P798" t="n">
        <v>0</v>
      </c>
      <c r="Q798" t="n">
        <v>0</v>
      </c>
      <c r="R798" s="2" t="inlineStr"/>
    </row>
    <row r="799" ht="15" customHeight="1">
      <c r="A799" t="inlineStr">
        <is>
          <t>A 26610-2023</t>
        </is>
      </c>
      <c r="B799" s="1" t="n">
        <v>45089</v>
      </c>
      <c r="C799" s="1" t="n">
        <v>45798</v>
      </c>
      <c r="D799" t="inlineStr">
        <is>
          <t>UPPSALA LÄN</t>
        </is>
      </c>
      <c r="E799" t="inlineStr">
        <is>
          <t>ÖSTHAMMAR</t>
        </is>
      </c>
      <c r="G799" t="n">
        <v>4.1</v>
      </c>
      <c r="H799" t="n">
        <v>0</v>
      </c>
      <c r="I799" t="n">
        <v>0</v>
      </c>
      <c r="J799" t="n">
        <v>0</v>
      </c>
      <c r="K799" t="n">
        <v>0</v>
      </c>
      <c r="L799" t="n">
        <v>0</v>
      </c>
      <c r="M799" t="n">
        <v>0</v>
      </c>
      <c r="N799" t="n">
        <v>0</v>
      </c>
      <c r="O799" t="n">
        <v>0</v>
      </c>
      <c r="P799" t="n">
        <v>0</v>
      </c>
      <c r="Q799" t="n">
        <v>0</v>
      </c>
      <c r="R799" s="2" t="inlineStr"/>
    </row>
    <row r="800" ht="15" customHeight="1">
      <c r="A800" t="inlineStr">
        <is>
          <t>A 25897-2023</t>
        </is>
      </c>
      <c r="B800" s="1" t="n">
        <v>45090</v>
      </c>
      <c r="C800" s="1" t="n">
        <v>45798</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25903-2023</t>
        </is>
      </c>
      <c r="B801" s="1" t="n">
        <v>45090</v>
      </c>
      <c r="C801" s="1" t="n">
        <v>45798</v>
      </c>
      <c r="D801" t="inlineStr">
        <is>
          <t>UPPSALA LÄN</t>
        </is>
      </c>
      <c r="E801" t="inlineStr">
        <is>
          <t>ÖSTHAMMAR</t>
        </is>
      </c>
      <c r="F801" t="inlineStr">
        <is>
          <t>Bergvik skog öst AB</t>
        </is>
      </c>
      <c r="G801" t="n">
        <v>29.2</v>
      </c>
      <c r="H801" t="n">
        <v>0</v>
      </c>
      <c r="I801" t="n">
        <v>0</v>
      </c>
      <c r="J801" t="n">
        <v>0</v>
      </c>
      <c r="K801" t="n">
        <v>0</v>
      </c>
      <c r="L801" t="n">
        <v>0</v>
      </c>
      <c r="M801" t="n">
        <v>0</v>
      </c>
      <c r="N801" t="n">
        <v>0</v>
      </c>
      <c r="O801" t="n">
        <v>0</v>
      </c>
      <c r="P801" t="n">
        <v>0</v>
      </c>
      <c r="Q801" t="n">
        <v>0</v>
      </c>
      <c r="R801" s="2" t="inlineStr"/>
    </row>
    <row r="802" ht="15" customHeight="1">
      <c r="A802" t="inlineStr">
        <is>
          <t>A 25970-2023</t>
        </is>
      </c>
      <c r="B802" s="1" t="n">
        <v>45090</v>
      </c>
      <c r="C802" s="1" t="n">
        <v>45798</v>
      </c>
      <c r="D802" t="inlineStr">
        <is>
          <t>UPPSALA LÄN</t>
        </is>
      </c>
      <c r="E802" t="inlineStr">
        <is>
          <t>ÖSTHAMMAR</t>
        </is>
      </c>
      <c r="F802" t="inlineStr">
        <is>
          <t>Sveaskog</t>
        </is>
      </c>
      <c r="G802" t="n">
        <v>5.2</v>
      </c>
      <c r="H802" t="n">
        <v>0</v>
      </c>
      <c r="I802" t="n">
        <v>0</v>
      </c>
      <c r="J802" t="n">
        <v>0</v>
      </c>
      <c r="K802" t="n">
        <v>0</v>
      </c>
      <c r="L802" t="n">
        <v>0</v>
      </c>
      <c r="M802" t="n">
        <v>0</v>
      </c>
      <c r="N802" t="n">
        <v>0</v>
      </c>
      <c r="O802" t="n">
        <v>0</v>
      </c>
      <c r="P802" t="n">
        <v>0</v>
      </c>
      <c r="Q802" t="n">
        <v>0</v>
      </c>
      <c r="R802" s="2" t="inlineStr"/>
    </row>
    <row r="803" ht="15" customHeight="1">
      <c r="A803" t="inlineStr">
        <is>
          <t>A 25968-2023</t>
        </is>
      </c>
      <c r="B803" s="1" t="n">
        <v>45090</v>
      </c>
      <c r="C803" s="1" t="n">
        <v>45798</v>
      </c>
      <c r="D803" t="inlineStr">
        <is>
          <t>UPPSALA LÄN</t>
        </is>
      </c>
      <c r="E803" t="inlineStr">
        <is>
          <t>ÖSTHAMMAR</t>
        </is>
      </c>
      <c r="F803" t="inlineStr">
        <is>
          <t>Sveaskog</t>
        </is>
      </c>
      <c r="G803" t="n">
        <v>3.8</v>
      </c>
      <c r="H803" t="n">
        <v>0</v>
      </c>
      <c r="I803" t="n">
        <v>0</v>
      </c>
      <c r="J803" t="n">
        <v>0</v>
      </c>
      <c r="K803" t="n">
        <v>0</v>
      </c>
      <c r="L803" t="n">
        <v>0</v>
      </c>
      <c r="M803" t="n">
        <v>0</v>
      </c>
      <c r="N803" t="n">
        <v>0</v>
      </c>
      <c r="O803" t="n">
        <v>0</v>
      </c>
      <c r="P803" t="n">
        <v>0</v>
      </c>
      <c r="Q803" t="n">
        <v>0</v>
      </c>
      <c r="R803" s="2" t="inlineStr"/>
    </row>
    <row r="804" ht="15" customHeight="1">
      <c r="A804" t="inlineStr">
        <is>
          <t>A 25969-2023</t>
        </is>
      </c>
      <c r="B804" s="1" t="n">
        <v>45090</v>
      </c>
      <c r="C804" s="1" t="n">
        <v>45798</v>
      </c>
      <c r="D804" t="inlineStr">
        <is>
          <t>UPPSALA LÄN</t>
        </is>
      </c>
      <c r="E804" t="inlineStr">
        <is>
          <t>ÖSTHAMMAR</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26774-2023</t>
        </is>
      </c>
      <c r="B805" s="1" t="n">
        <v>45093</v>
      </c>
      <c r="C805" s="1" t="n">
        <v>45798</v>
      </c>
      <c r="D805" t="inlineStr">
        <is>
          <t>UPPSALA LÄN</t>
        </is>
      </c>
      <c r="E805" t="inlineStr">
        <is>
          <t>ÖSTHAMMAR</t>
        </is>
      </c>
      <c r="F805" t="inlineStr">
        <is>
          <t>Bergvik skog öst AB</t>
        </is>
      </c>
      <c r="G805" t="n">
        <v>2.1</v>
      </c>
      <c r="H805" t="n">
        <v>0</v>
      </c>
      <c r="I805" t="n">
        <v>0</v>
      </c>
      <c r="J805" t="n">
        <v>0</v>
      </c>
      <c r="K805" t="n">
        <v>0</v>
      </c>
      <c r="L805" t="n">
        <v>0</v>
      </c>
      <c r="M805" t="n">
        <v>0</v>
      </c>
      <c r="N805" t="n">
        <v>0</v>
      </c>
      <c r="O805" t="n">
        <v>0</v>
      </c>
      <c r="P805" t="n">
        <v>0</v>
      </c>
      <c r="Q805" t="n">
        <v>0</v>
      </c>
      <c r="R805" s="2" t="inlineStr"/>
    </row>
    <row r="806" ht="15" customHeight="1">
      <c r="A806" t="inlineStr">
        <is>
          <t>A 26734-2023</t>
        </is>
      </c>
      <c r="B806" s="1" t="n">
        <v>45093</v>
      </c>
      <c r="C806" s="1" t="n">
        <v>45798</v>
      </c>
      <c r="D806" t="inlineStr">
        <is>
          <t>UPPSALA LÄN</t>
        </is>
      </c>
      <c r="E806" t="inlineStr">
        <is>
          <t>ÖSTHAMMAR</t>
        </is>
      </c>
      <c r="F806" t="inlineStr">
        <is>
          <t>Bergvik skog öst AB</t>
        </is>
      </c>
      <c r="G806" t="n">
        <v>25.5</v>
      </c>
      <c r="H806" t="n">
        <v>0</v>
      </c>
      <c r="I806" t="n">
        <v>0</v>
      </c>
      <c r="J806" t="n">
        <v>0</v>
      </c>
      <c r="K806" t="n">
        <v>0</v>
      </c>
      <c r="L806" t="n">
        <v>0</v>
      </c>
      <c r="M806" t="n">
        <v>0</v>
      </c>
      <c r="N806" t="n">
        <v>0</v>
      </c>
      <c r="O806" t="n">
        <v>0</v>
      </c>
      <c r="P806" t="n">
        <v>0</v>
      </c>
      <c r="Q806" t="n">
        <v>0</v>
      </c>
      <c r="R806" s="2" t="inlineStr"/>
    </row>
    <row r="807" ht="15" customHeight="1">
      <c r="A807" t="inlineStr">
        <is>
          <t>A 28170-2023</t>
        </is>
      </c>
      <c r="B807" s="1" t="n">
        <v>45093</v>
      </c>
      <c r="C807" s="1" t="n">
        <v>45798</v>
      </c>
      <c r="D807" t="inlineStr">
        <is>
          <t>UPPSALA LÄN</t>
        </is>
      </c>
      <c r="E807" t="inlineStr">
        <is>
          <t>ÖSTHAMMAR</t>
        </is>
      </c>
      <c r="G807" t="n">
        <v>7.2</v>
      </c>
      <c r="H807" t="n">
        <v>0</v>
      </c>
      <c r="I807" t="n">
        <v>0</v>
      </c>
      <c r="J807" t="n">
        <v>0</v>
      </c>
      <c r="K807" t="n">
        <v>0</v>
      </c>
      <c r="L807" t="n">
        <v>0</v>
      </c>
      <c r="M807" t="n">
        <v>0</v>
      </c>
      <c r="N807" t="n">
        <v>0</v>
      </c>
      <c r="O807" t="n">
        <v>0</v>
      </c>
      <c r="P807" t="n">
        <v>0</v>
      </c>
      <c r="Q807" t="n">
        <v>0</v>
      </c>
      <c r="R807" s="2" t="inlineStr"/>
    </row>
    <row r="808" ht="15" customHeight="1">
      <c r="A808" t="inlineStr">
        <is>
          <t>A 27150-2023</t>
        </is>
      </c>
      <c r="B808" s="1" t="n">
        <v>45096</v>
      </c>
      <c r="C808" s="1" t="n">
        <v>45798</v>
      </c>
      <c r="D808" t="inlineStr">
        <is>
          <t>UPPSALA LÄN</t>
        </is>
      </c>
      <c r="E808" t="inlineStr">
        <is>
          <t>ÖSTHAMMAR</t>
        </is>
      </c>
      <c r="F808" t="inlineStr">
        <is>
          <t>Bergvik skog öst AB</t>
        </is>
      </c>
      <c r="G808" t="n">
        <v>5</v>
      </c>
      <c r="H808" t="n">
        <v>0</v>
      </c>
      <c r="I808" t="n">
        <v>0</v>
      </c>
      <c r="J808" t="n">
        <v>0</v>
      </c>
      <c r="K808" t="n">
        <v>0</v>
      </c>
      <c r="L808" t="n">
        <v>0</v>
      </c>
      <c r="M808" t="n">
        <v>0</v>
      </c>
      <c r="N808" t="n">
        <v>0</v>
      </c>
      <c r="O808" t="n">
        <v>0</v>
      </c>
      <c r="P808" t="n">
        <v>0</v>
      </c>
      <c r="Q808" t="n">
        <v>0</v>
      </c>
      <c r="R808" s="2" t="inlineStr"/>
    </row>
    <row r="809" ht="15" customHeight="1">
      <c r="A809" t="inlineStr">
        <is>
          <t>A 27154-2023</t>
        </is>
      </c>
      <c r="B809" s="1" t="n">
        <v>45096</v>
      </c>
      <c r="C809" s="1" t="n">
        <v>45798</v>
      </c>
      <c r="D809" t="inlineStr">
        <is>
          <t>UPPSALA LÄN</t>
        </is>
      </c>
      <c r="E809" t="inlineStr">
        <is>
          <t>ÖSTHAMMAR</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27308-2023</t>
        </is>
      </c>
      <c r="B810" s="1" t="n">
        <v>45096</v>
      </c>
      <c r="C810" s="1" t="n">
        <v>45798</v>
      </c>
      <c r="D810" t="inlineStr">
        <is>
          <t>UPPSALA LÄN</t>
        </is>
      </c>
      <c r="E810" t="inlineStr">
        <is>
          <t>ÖSTHAMMAR</t>
        </is>
      </c>
      <c r="F810" t="inlineStr">
        <is>
          <t>Bergvik skog öst AB</t>
        </is>
      </c>
      <c r="G810" t="n">
        <v>2.4</v>
      </c>
      <c r="H810" t="n">
        <v>0</v>
      </c>
      <c r="I810" t="n">
        <v>0</v>
      </c>
      <c r="J810" t="n">
        <v>0</v>
      </c>
      <c r="K810" t="n">
        <v>0</v>
      </c>
      <c r="L810" t="n">
        <v>0</v>
      </c>
      <c r="M810" t="n">
        <v>0</v>
      </c>
      <c r="N810" t="n">
        <v>0</v>
      </c>
      <c r="O810" t="n">
        <v>0</v>
      </c>
      <c r="P810" t="n">
        <v>0</v>
      </c>
      <c r="Q810" t="n">
        <v>0</v>
      </c>
      <c r="R810" s="2" t="inlineStr"/>
    </row>
    <row r="811" ht="15" customHeight="1">
      <c r="A811" t="inlineStr">
        <is>
          <t>A 27660-2023</t>
        </is>
      </c>
      <c r="B811" s="1" t="n">
        <v>45097</v>
      </c>
      <c r="C811" s="1" t="n">
        <v>45798</v>
      </c>
      <c r="D811" t="inlineStr">
        <is>
          <t>UPPSALA LÄN</t>
        </is>
      </c>
      <c r="E811" t="inlineStr">
        <is>
          <t>ÖSTHAMMAR</t>
        </is>
      </c>
      <c r="G811" t="n">
        <v>2.8</v>
      </c>
      <c r="H811" t="n">
        <v>0</v>
      </c>
      <c r="I811" t="n">
        <v>0</v>
      </c>
      <c r="J811" t="n">
        <v>0</v>
      </c>
      <c r="K811" t="n">
        <v>0</v>
      </c>
      <c r="L811" t="n">
        <v>0</v>
      </c>
      <c r="M811" t="n">
        <v>0</v>
      </c>
      <c r="N811" t="n">
        <v>0</v>
      </c>
      <c r="O811" t="n">
        <v>0</v>
      </c>
      <c r="P811" t="n">
        <v>0</v>
      </c>
      <c r="Q811" t="n">
        <v>0</v>
      </c>
      <c r="R811" s="2" t="inlineStr"/>
    </row>
    <row r="812" ht="15" customHeight="1">
      <c r="A812" t="inlineStr">
        <is>
          <t>A 27659-2023</t>
        </is>
      </c>
      <c r="B812" s="1" t="n">
        <v>45097</v>
      </c>
      <c r="C812" s="1" t="n">
        <v>45798</v>
      </c>
      <c r="D812" t="inlineStr">
        <is>
          <t>UPPSALA LÄN</t>
        </is>
      </c>
      <c r="E812" t="inlineStr">
        <is>
          <t>ÖSTHAMMAR</t>
        </is>
      </c>
      <c r="G812" t="n">
        <v>2.6</v>
      </c>
      <c r="H812" t="n">
        <v>0</v>
      </c>
      <c r="I812" t="n">
        <v>0</v>
      </c>
      <c r="J812" t="n">
        <v>0</v>
      </c>
      <c r="K812" t="n">
        <v>0</v>
      </c>
      <c r="L812" t="n">
        <v>0</v>
      </c>
      <c r="M812" t="n">
        <v>0</v>
      </c>
      <c r="N812" t="n">
        <v>0</v>
      </c>
      <c r="O812" t="n">
        <v>0</v>
      </c>
      <c r="P812" t="n">
        <v>0</v>
      </c>
      <c r="Q812" t="n">
        <v>0</v>
      </c>
      <c r="R812" s="2" t="inlineStr"/>
    </row>
    <row r="813" ht="15" customHeight="1">
      <c r="A813" t="inlineStr">
        <is>
          <t>A 27801-2023</t>
        </is>
      </c>
      <c r="B813" s="1" t="n">
        <v>45098</v>
      </c>
      <c r="C813" s="1" t="n">
        <v>45798</v>
      </c>
      <c r="D813" t="inlineStr">
        <is>
          <t>UPPSALA LÄN</t>
        </is>
      </c>
      <c r="E813" t="inlineStr">
        <is>
          <t>ÖSTHAMMAR</t>
        </is>
      </c>
      <c r="F813" t="inlineStr">
        <is>
          <t>Kyrkan</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28422-2023</t>
        </is>
      </c>
      <c r="B814" s="1" t="n">
        <v>45102</v>
      </c>
      <c r="C814" s="1" t="n">
        <v>45798</v>
      </c>
      <c r="D814" t="inlineStr">
        <is>
          <t>UPPSALA LÄN</t>
        </is>
      </c>
      <c r="E814" t="inlineStr">
        <is>
          <t>ÖSTHAMMAR</t>
        </is>
      </c>
      <c r="F814" t="inlineStr">
        <is>
          <t>Bergvik skog öst AB</t>
        </is>
      </c>
      <c r="G814" t="n">
        <v>3.1</v>
      </c>
      <c r="H814" t="n">
        <v>0</v>
      </c>
      <c r="I814" t="n">
        <v>0</v>
      </c>
      <c r="J814" t="n">
        <v>0</v>
      </c>
      <c r="K814" t="n">
        <v>0</v>
      </c>
      <c r="L814" t="n">
        <v>0</v>
      </c>
      <c r="M814" t="n">
        <v>0</v>
      </c>
      <c r="N814" t="n">
        <v>0</v>
      </c>
      <c r="O814" t="n">
        <v>0</v>
      </c>
      <c r="P814" t="n">
        <v>0</v>
      </c>
      <c r="Q814" t="n">
        <v>0</v>
      </c>
      <c r="R814" s="2" t="inlineStr"/>
    </row>
    <row r="815" ht="15" customHeight="1">
      <c r="A815" t="inlineStr">
        <is>
          <t>A 28430-2023</t>
        </is>
      </c>
      <c r="B815" s="1" t="n">
        <v>45102</v>
      </c>
      <c r="C815" s="1" t="n">
        <v>45798</v>
      </c>
      <c r="D815" t="inlineStr">
        <is>
          <t>UPPSALA LÄN</t>
        </is>
      </c>
      <c r="E815" t="inlineStr">
        <is>
          <t>ÖSTHAMMAR</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28434-2023</t>
        </is>
      </c>
      <c r="B816" s="1" t="n">
        <v>45102</v>
      </c>
      <c r="C816" s="1" t="n">
        <v>45798</v>
      </c>
      <c r="D816" t="inlineStr">
        <is>
          <t>UPPSALA LÄN</t>
        </is>
      </c>
      <c r="E816" t="inlineStr">
        <is>
          <t>ÖSTHAMMAR</t>
        </is>
      </c>
      <c r="F816" t="inlineStr">
        <is>
          <t>Bergvik skog öst AB</t>
        </is>
      </c>
      <c r="G816" t="n">
        <v>8.9</v>
      </c>
      <c r="H816" t="n">
        <v>0</v>
      </c>
      <c r="I816" t="n">
        <v>0</v>
      </c>
      <c r="J816" t="n">
        <v>0</v>
      </c>
      <c r="K816" t="n">
        <v>0</v>
      </c>
      <c r="L816" t="n">
        <v>0</v>
      </c>
      <c r="M816" t="n">
        <v>0</v>
      </c>
      <c r="N816" t="n">
        <v>0</v>
      </c>
      <c r="O816" t="n">
        <v>0</v>
      </c>
      <c r="P816" t="n">
        <v>0</v>
      </c>
      <c r="Q816" t="n">
        <v>0</v>
      </c>
      <c r="R816" s="2" t="inlineStr"/>
    </row>
    <row r="817" ht="15" customHeight="1">
      <c r="A817" t="inlineStr">
        <is>
          <t>A 28420-2023</t>
        </is>
      </c>
      <c r="B817" s="1" t="n">
        <v>45102</v>
      </c>
      <c r="C817" s="1" t="n">
        <v>45798</v>
      </c>
      <c r="D817" t="inlineStr">
        <is>
          <t>UPPSALA LÄN</t>
        </is>
      </c>
      <c r="E817" t="inlineStr">
        <is>
          <t>ÖSTHAMMAR</t>
        </is>
      </c>
      <c r="F817" t="inlineStr">
        <is>
          <t>Bergvik skog öst AB</t>
        </is>
      </c>
      <c r="G817" t="n">
        <v>3.2</v>
      </c>
      <c r="H817" t="n">
        <v>0</v>
      </c>
      <c r="I817" t="n">
        <v>0</v>
      </c>
      <c r="J817" t="n">
        <v>0</v>
      </c>
      <c r="K817" t="n">
        <v>0</v>
      </c>
      <c r="L817" t="n">
        <v>0</v>
      </c>
      <c r="M817" t="n">
        <v>0</v>
      </c>
      <c r="N817" t="n">
        <v>0</v>
      </c>
      <c r="O817" t="n">
        <v>0</v>
      </c>
      <c r="P817" t="n">
        <v>0</v>
      </c>
      <c r="Q817" t="n">
        <v>0</v>
      </c>
      <c r="R817" s="2" t="inlineStr"/>
    </row>
    <row r="818" ht="15" customHeight="1">
      <c r="A818" t="inlineStr">
        <is>
          <t>A 28432-2023</t>
        </is>
      </c>
      <c r="B818" s="1" t="n">
        <v>45102</v>
      </c>
      <c r="C818" s="1" t="n">
        <v>45798</v>
      </c>
      <c r="D818" t="inlineStr">
        <is>
          <t>UPPSALA LÄN</t>
        </is>
      </c>
      <c r="E818" t="inlineStr">
        <is>
          <t>ÖSTHAMMAR</t>
        </is>
      </c>
      <c r="F818" t="inlineStr">
        <is>
          <t>Bergvik skog öst AB</t>
        </is>
      </c>
      <c r="G818" t="n">
        <v>3.9</v>
      </c>
      <c r="H818" t="n">
        <v>0</v>
      </c>
      <c r="I818" t="n">
        <v>0</v>
      </c>
      <c r="J818" t="n">
        <v>0</v>
      </c>
      <c r="K818" t="n">
        <v>0</v>
      </c>
      <c r="L818" t="n">
        <v>0</v>
      </c>
      <c r="M818" t="n">
        <v>0</v>
      </c>
      <c r="N818" t="n">
        <v>0</v>
      </c>
      <c r="O818" t="n">
        <v>0</v>
      </c>
      <c r="P818" t="n">
        <v>0</v>
      </c>
      <c r="Q818" t="n">
        <v>0</v>
      </c>
      <c r="R818" s="2" t="inlineStr"/>
    </row>
    <row r="819" ht="15" customHeight="1">
      <c r="A819" t="inlineStr">
        <is>
          <t>A 28421-2023</t>
        </is>
      </c>
      <c r="B819" s="1" t="n">
        <v>45102</v>
      </c>
      <c r="C819" s="1" t="n">
        <v>45798</v>
      </c>
      <c r="D819" t="inlineStr">
        <is>
          <t>UPPSALA LÄN</t>
        </is>
      </c>
      <c r="E819" t="inlineStr">
        <is>
          <t>ÖSTHAMMAR</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28429-2023</t>
        </is>
      </c>
      <c r="B820" s="1" t="n">
        <v>45102</v>
      </c>
      <c r="C820" s="1" t="n">
        <v>45798</v>
      </c>
      <c r="D820" t="inlineStr">
        <is>
          <t>UPPSALA LÄN</t>
        </is>
      </c>
      <c r="E820" t="inlineStr">
        <is>
          <t>ÖSTHAMMAR</t>
        </is>
      </c>
      <c r="F820" t="inlineStr">
        <is>
          <t>Bergvik skog öst AB</t>
        </is>
      </c>
      <c r="G820" t="n">
        <v>0.9</v>
      </c>
      <c r="H820" t="n">
        <v>0</v>
      </c>
      <c r="I820" t="n">
        <v>0</v>
      </c>
      <c r="J820" t="n">
        <v>0</v>
      </c>
      <c r="K820" t="n">
        <v>0</v>
      </c>
      <c r="L820" t="n">
        <v>0</v>
      </c>
      <c r="M820" t="n">
        <v>0</v>
      </c>
      <c r="N820" t="n">
        <v>0</v>
      </c>
      <c r="O820" t="n">
        <v>0</v>
      </c>
      <c r="P820" t="n">
        <v>0</v>
      </c>
      <c r="Q820" t="n">
        <v>0</v>
      </c>
      <c r="R820" s="2" t="inlineStr"/>
    </row>
    <row r="821" ht="15" customHeight="1">
      <c r="A821" t="inlineStr">
        <is>
          <t>A 28482-2023</t>
        </is>
      </c>
      <c r="B821" s="1" t="n">
        <v>45103</v>
      </c>
      <c r="C821" s="1" t="n">
        <v>45798</v>
      </c>
      <c r="D821" t="inlineStr">
        <is>
          <t>UPPSALA LÄN</t>
        </is>
      </c>
      <c r="E821" t="inlineStr">
        <is>
          <t>ÖSTHAMMAR</t>
        </is>
      </c>
      <c r="F821" t="inlineStr">
        <is>
          <t>Naturvårdsverket</t>
        </is>
      </c>
      <c r="G821" t="n">
        <v>8.9</v>
      </c>
      <c r="H821" t="n">
        <v>0</v>
      </c>
      <c r="I821" t="n">
        <v>0</v>
      </c>
      <c r="J821" t="n">
        <v>0</v>
      </c>
      <c r="K821" t="n">
        <v>0</v>
      </c>
      <c r="L821" t="n">
        <v>0</v>
      </c>
      <c r="M821" t="n">
        <v>0</v>
      </c>
      <c r="N821" t="n">
        <v>0</v>
      </c>
      <c r="O821" t="n">
        <v>0</v>
      </c>
      <c r="P821" t="n">
        <v>0</v>
      </c>
      <c r="Q821" t="n">
        <v>0</v>
      </c>
      <c r="R821" s="2" t="inlineStr"/>
    </row>
    <row r="822" ht="15" customHeight="1">
      <c r="A822" t="inlineStr">
        <is>
          <t>A 29873-2023</t>
        </is>
      </c>
      <c r="B822" s="1" t="n">
        <v>45107</v>
      </c>
      <c r="C822" s="1" t="n">
        <v>45798</v>
      </c>
      <c r="D822" t="inlineStr">
        <is>
          <t>UPPSALA LÄN</t>
        </is>
      </c>
      <c r="E822" t="inlineStr">
        <is>
          <t>ÖSTHAMMAR</t>
        </is>
      </c>
      <c r="F822" t="inlineStr">
        <is>
          <t>Naturvårdsverket</t>
        </is>
      </c>
      <c r="G822" t="n">
        <v>7.8</v>
      </c>
      <c r="H822" t="n">
        <v>0</v>
      </c>
      <c r="I822" t="n">
        <v>0</v>
      </c>
      <c r="J822" t="n">
        <v>0</v>
      </c>
      <c r="K822" t="n">
        <v>0</v>
      </c>
      <c r="L822" t="n">
        <v>0</v>
      </c>
      <c r="M822" t="n">
        <v>0</v>
      </c>
      <c r="N822" t="n">
        <v>0</v>
      </c>
      <c r="O822" t="n">
        <v>0</v>
      </c>
      <c r="P822" t="n">
        <v>0</v>
      </c>
      <c r="Q822" t="n">
        <v>0</v>
      </c>
      <c r="R822" s="2" t="inlineStr"/>
    </row>
    <row r="823" ht="15" customHeight="1">
      <c r="A823" t="inlineStr">
        <is>
          <t>A 29824-2023</t>
        </is>
      </c>
      <c r="B823" s="1" t="n">
        <v>45107</v>
      </c>
      <c r="C823" s="1" t="n">
        <v>45798</v>
      </c>
      <c r="D823" t="inlineStr">
        <is>
          <t>UPPSALA LÄN</t>
        </is>
      </c>
      <c r="E823" t="inlineStr">
        <is>
          <t>ÖSTHAMMAR</t>
        </is>
      </c>
      <c r="F823" t="inlineStr">
        <is>
          <t>Naturvårdsverket</t>
        </is>
      </c>
      <c r="G823" t="n">
        <v>1.6</v>
      </c>
      <c r="H823" t="n">
        <v>0</v>
      </c>
      <c r="I823" t="n">
        <v>0</v>
      </c>
      <c r="J823" t="n">
        <v>0</v>
      </c>
      <c r="K823" t="n">
        <v>0</v>
      </c>
      <c r="L823" t="n">
        <v>0</v>
      </c>
      <c r="M823" t="n">
        <v>0</v>
      </c>
      <c r="N823" t="n">
        <v>0</v>
      </c>
      <c r="O823" t="n">
        <v>0</v>
      </c>
      <c r="P823" t="n">
        <v>0</v>
      </c>
      <c r="Q823" t="n">
        <v>0</v>
      </c>
      <c r="R823" s="2" t="inlineStr"/>
    </row>
    <row r="824" ht="15" customHeight="1">
      <c r="A824" t="inlineStr">
        <is>
          <t>A 30086-2023</t>
        </is>
      </c>
      <c r="B824" s="1" t="n">
        <v>45110</v>
      </c>
      <c r="C824" s="1" t="n">
        <v>45798</v>
      </c>
      <c r="D824" t="inlineStr">
        <is>
          <t>UPPSALA LÄN</t>
        </is>
      </c>
      <c r="E824" t="inlineStr">
        <is>
          <t>ÖSTHAMMAR</t>
        </is>
      </c>
      <c r="G824" t="n">
        <v>3.5</v>
      </c>
      <c r="H824" t="n">
        <v>0</v>
      </c>
      <c r="I824" t="n">
        <v>0</v>
      </c>
      <c r="J824" t="n">
        <v>0</v>
      </c>
      <c r="K824" t="n">
        <v>0</v>
      </c>
      <c r="L824" t="n">
        <v>0</v>
      </c>
      <c r="M824" t="n">
        <v>0</v>
      </c>
      <c r="N824" t="n">
        <v>0</v>
      </c>
      <c r="O824" t="n">
        <v>0</v>
      </c>
      <c r="P824" t="n">
        <v>0</v>
      </c>
      <c r="Q824" t="n">
        <v>0</v>
      </c>
      <c r="R824" s="2" t="inlineStr"/>
    </row>
    <row r="825" ht="15" customHeight="1">
      <c r="A825" t="inlineStr">
        <is>
          <t>A 30470-2023</t>
        </is>
      </c>
      <c r="B825" s="1" t="n">
        <v>45111</v>
      </c>
      <c r="C825" s="1" t="n">
        <v>45798</v>
      </c>
      <c r="D825" t="inlineStr">
        <is>
          <t>UPPSALA LÄN</t>
        </is>
      </c>
      <c r="E825" t="inlineStr">
        <is>
          <t>ÖSTHAMMAR</t>
        </is>
      </c>
      <c r="G825" t="n">
        <v>0.8</v>
      </c>
      <c r="H825" t="n">
        <v>0</v>
      </c>
      <c r="I825" t="n">
        <v>0</v>
      </c>
      <c r="J825" t="n">
        <v>0</v>
      </c>
      <c r="K825" t="n">
        <v>0</v>
      </c>
      <c r="L825" t="n">
        <v>0</v>
      </c>
      <c r="M825" t="n">
        <v>0</v>
      </c>
      <c r="N825" t="n">
        <v>0</v>
      </c>
      <c r="O825" t="n">
        <v>0</v>
      </c>
      <c r="P825" t="n">
        <v>0</v>
      </c>
      <c r="Q825" t="n">
        <v>0</v>
      </c>
      <c r="R825" s="2" t="inlineStr"/>
    </row>
    <row r="826" ht="15" customHeight="1">
      <c r="A826" t="inlineStr">
        <is>
          <t>A 30498-2023</t>
        </is>
      </c>
      <c r="B826" s="1" t="n">
        <v>45111</v>
      </c>
      <c r="C826" s="1" t="n">
        <v>45798</v>
      </c>
      <c r="D826" t="inlineStr">
        <is>
          <t>UPPSALA LÄN</t>
        </is>
      </c>
      <c r="E826" t="inlineStr">
        <is>
          <t>ÖSTHAMMAR</t>
        </is>
      </c>
      <c r="G826" t="n">
        <v>0.7</v>
      </c>
      <c r="H826" t="n">
        <v>0</v>
      </c>
      <c r="I826" t="n">
        <v>0</v>
      </c>
      <c r="J826" t="n">
        <v>0</v>
      </c>
      <c r="K826" t="n">
        <v>0</v>
      </c>
      <c r="L826" t="n">
        <v>0</v>
      </c>
      <c r="M826" t="n">
        <v>0</v>
      </c>
      <c r="N826" t="n">
        <v>0</v>
      </c>
      <c r="O826" t="n">
        <v>0</v>
      </c>
      <c r="P826" t="n">
        <v>0</v>
      </c>
      <c r="Q826" t="n">
        <v>0</v>
      </c>
      <c r="R826" s="2" t="inlineStr"/>
    </row>
    <row r="827" ht="15" customHeight="1">
      <c r="A827" t="inlineStr">
        <is>
          <t>A 30809-2023</t>
        </is>
      </c>
      <c r="B827" s="1" t="n">
        <v>45112</v>
      </c>
      <c r="C827" s="1" t="n">
        <v>45798</v>
      </c>
      <c r="D827" t="inlineStr">
        <is>
          <t>UPPSALA LÄN</t>
        </is>
      </c>
      <c r="E827" t="inlineStr">
        <is>
          <t>ÖSTHAMMAR</t>
        </is>
      </c>
      <c r="F827" t="inlineStr">
        <is>
          <t>Bergvik skog öst AB</t>
        </is>
      </c>
      <c r="G827" t="n">
        <v>1.7</v>
      </c>
      <c r="H827" t="n">
        <v>0</v>
      </c>
      <c r="I827" t="n">
        <v>0</v>
      </c>
      <c r="J827" t="n">
        <v>0</v>
      </c>
      <c r="K827" t="n">
        <v>0</v>
      </c>
      <c r="L827" t="n">
        <v>0</v>
      </c>
      <c r="M827" t="n">
        <v>0</v>
      </c>
      <c r="N827" t="n">
        <v>0</v>
      </c>
      <c r="O827" t="n">
        <v>0</v>
      </c>
      <c r="P827" t="n">
        <v>0</v>
      </c>
      <c r="Q827" t="n">
        <v>0</v>
      </c>
      <c r="R827" s="2" t="inlineStr"/>
    </row>
    <row r="828" ht="15" customHeight="1">
      <c r="A828" t="inlineStr">
        <is>
          <t>A 30808-2023</t>
        </is>
      </c>
      <c r="B828" s="1" t="n">
        <v>45112</v>
      </c>
      <c r="C828" s="1" t="n">
        <v>45798</v>
      </c>
      <c r="D828" t="inlineStr">
        <is>
          <t>UPPSALA LÄN</t>
        </is>
      </c>
      <c r="E828" t="inlineStr">
        <is>
          <t>ÖSTHAMMAR</t>
        </is>
      </c>
      <c r="F828" t="inlineStr">
        <is>
          <t>Bergvik skog öst AB</t>
        </is>
      </c>
      <c r="G828" t="n">
        <v>3.3</v>
      </c>
      <c r="H828" t="n">
        <v>0</v>
      </c>
      <c r="I828" t="n">
        <v>0</v>
      </c>
      <c r="J828" t="n">
        <v>0</v>
      </c>
      <c r="K828" t="n">
        <v>0</v>
      </c>
      <c r="L828" t="n">
        <v>0</v>
      </c>
      <c r="M828" t="n">
        <v>0</v>
      </c>
      <c r="N828" t="n">
        <v>0</v>
      </c>
      <c r="O828" t="n">
        <v>0</v>
      </c>
      <c r="P828" t="n">
        <v>0</v>
      </c>
      <c r="Q828" t="n">
        <v>0</v>
      </c>
      <c r="R828" s="2" t="inlineStr"/>
    </row>
    <row r="829" ht="15" customHeight="1">
      <c r="A829" t="inlineStr">
        <is>
          <t>A 30812-2023</t>
        </is>
      </c>
      <c r="B829" s="1" t="n">
        <v>45112</v>
      </c>
      <c r="C829" s="1" t="n">
        <v>45798</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30810-2023</t>
        </is>
      </c>
      <c r="B830" s="1" t="n">
        <v>45112</v>
      </c>
      <c r="C830" s="1" t="n">
        <v>45798</v>
      </c>
      <c r="D830" t="inlineStr">
        <is>
          <t>UPPSALA LÄN</t>
        </is>
      </c>
      <c r="E830" t="inlineStr">
        <is>
          <t>ÖSTHAMMAR</t>
        </is>
      </c>
      <c r="F830" t="inlineStr">
        <is>
          <t>Bergvik skog öst AB</t>
        </is>
      </c>
      <c r="G830" t="n">
        <v>2</v>
      </c>
      <c r="H830" t="n">
        <v>0</v>
      </c>
      <c r="I830" t="n">
        <v>0</v>
      </c>
      <c r="J830" t="n">
        <v>0</v>
      </c>
      <c r="K830" t="n">
        <v>0</v>
      </c>
      <c r="L830" t="n">
        <v>0</v>
      </c>
      <c r="M830" t="n">
        <v>0</v>
      </c>
      <c r="N830" t="n">
        <v>0</v>
      </c>
      <c r="O830" t="n">
        <v>0</v>
      </c>
      <c r="P830" t="n">
        <v>0</v>
      </c>
      <c r="Q830" t="n">
        <v>0</v>
      </c>
      <c r="R830" s="2" t="inlineStr"/>
    </row>
    <row r="831" ht="15" customHeight="1">
      <c r="A831" t="inlineStr">
        <is>
          <t>A 30811-2023</t>
        </is>
      </c>
      <c r="B831" s="1" t="n">
        <v>45112</v>
      </c>
      <c r="C831" s="1" t="n">
        <v>45798</v>
      </c>
      <c r="D831" t="inlineStr">
        <is>
          <t>UPPSALA LÄN</t>
        </is>
      </c>
      <c r="E831" t="inlineStr">
        <is>
          <t>ÖSTHAMMAR</t>
        </is>
      </c>
      <c r="F831" t="inlineStr">
        <is>
          <t>Bergvik skog öst AB</t>
        </is>
      </c>
      <c r="G831" t="n">
        <v>0.7</v>
      </c>
      <c r="H831" t="n">
        <v>0</v>
      </c>
      <c r="I831" t="n">
        <v>0</v>
      </c>
      <c r="J831" t="n">
        <v>0</v>
      </c>
      <c r="K831" t="n">
        <v>0</v>
      </c>
      <c r="L831" t="n">
        <v>0</v>
      </c>
      <c r="M831" t="n">
        <v>0</v>
      </c>
      <c r="N831" t="n">
        <v>0</v>
      </c>
      <c r="O831" t="n">
        <v>0</v>
      </c>
      <c r="P831" t="n">
        <v>0</v>
      </c>
      <c r="Q831" t="n">
        <v>0</v>
      </c>
      <c r="R831" s="2" t="inlineStr"/>
    </row>
    <row r="832" ht="15" customHeight="1">
      <c r="A832" t="inlineStr">
        <is>
          <t>A 31480-2023</t>
        </is>
      </c>
      <c r="B832" s="1" t="n">
        <v>45114</v>
      </c>
      <c r="C832" s="1" t="n">
        <v>45798</v>
      </c>
      <c r="D832" t="inlineStr">
        <is>
          <t>UPPSALA LÄN</t>
        </is>
      </c>
      <c r="E832" t="inlineStr">
        <is>
          <t>ÖSTHAMMAR</t>
        </is>
      </c>
      <c r="F832" t="inlineStr">
        <is>
          <t>Bergvik skog öst AB</t>
        </is>
      </c>
      <c r="G832" t="n">
        <v>1.4</v>
      </c>
      <c r="H832" t="n">
        <v>0</v>
      </c>
      <c r="I832" t="n">
        <v>0</v>
      </c>
      <c r="J832" t="n">
        <v>0</v>
      </c>
      <c r="K832" t="n">
        <v>0</v>
      </c>
      <c r="L832" t="n">
        <v>0</v>
      </c>
      <c r="M832" t="n">
        <v>0</v>
      </c>
      <c r="N832" t="n">
        <v>0</v>
      </c>
      <c r="O832" t="n">
        <v>0</v>
      </c>
      <c r="P832" t="n">
        <v>0</v>
      </c>
      <c r="Q832" t="n">
        <v>0</v>
      </c>
      <c r="R832" s="2" t="inlineStr"/>
    </row>
    <row r="833" ht="15" customHeight="1">
      <c r="A833" t="inlineStr">
        <is>
          <t>A 31484-2023</t>
        </is>
      </c>
      <c r="B833" s="1" t="n">
        <v>45114</v>
      </c>
      <c r="C833" s="1" t="n">
        <v>45798</v>
      </c>
      <c r="D833" t="inlineStr">
        <is>
          <t>UPPSALA LÄN</t>
        </is>
      </c>
      <c r="E833" t="inlineStr">
        <is>
          <t>ÖSTHAMMAR</t>
        </is>
      </c>
      <c r="F833" t="inlineStr">
        <is>
          <t>Bergvik skog öst AB</t>
        </is>
      </c>
      <c r="G833" t="n">
        <v>2.6</v>
      </c>
      <c r="H833" t="n">
        <v>0</v>
      </c>
      <c r="I833" t="n">
        <v>0</v>
      </c>
      <c r="J833" t="n">
        <v>0</v>
      </c>
      <c r="K833" t="n">
        <v>0</v>
      </c>
      <c r="L833" t="n">
        <v>0</v>
      </c>
      <c r="M833" t="n">
        <v>0</v>
      </c>
      <c r="N833" t="n">
        <v>0</v>
      </c>
      <c r="O833" t="n">
        <v>0</v>
      </c>
      <c r="P833" t="n">
        <v>0</v>
      </c>
      <c r="Q833" t="n">
        <v>0</v>
      </c>
      <c r="R833" s="2" t="inlineStr"/>
    </row>
    <row r="834" ht="15" customHeight="1">
      <c r="A834" t="inlineStr">
        <is>
          <t>A 31479-2023</t>
        </is>
      </c>
      <c r="B834" s="1" t="n">
        <v>45114</v>
      </c>
      <c r="C834" s="1" t="n">
        <v>45798</v>
      </c>
      <c r="D834" t="inlineStr">
        <is>
          <t>UPPSALA LÄN</t>
        </is>
      </c>
      <c r="E834" t="inlineStr">
        <is>
          <t>ÖSTHAMMAR</t>
        </is>
      </c>
      <c r="F834" t="inlineStr">
        <is>
          <t>Bergvik skog öst AB</t>
        </is>
      </c>
      <c r="G834" t="n">
        <v>1.9</v>
      </c>
      <c r="H834" t="n">
        <v>0</v>
      </c>
      <c r="I834" t="n">
        <v>0</v>
      </c>
      <c r="J834" t="n">
        <v>0</v>
      </c>
      <c r="K834" t="n">
        <v>0</v>
      </c>
      <c r="L834" t="n">
        <v>0</v>
      </c>
      <c r="M834" t="n">
        <v>0</v>
      </c>
      <c r="N834" t="n">
        <v>0</v>
      </c>
      <c r="O834" t="n">
        <v>0</v>
      </c>
      <c r="P834" t="n">
        <v>0</v>
      </c>
      <c r="Q834" t="n">
        <v>0</v>
      </c>
      <c r="R834" s="2" t="inlineStr"/>
    </row>
    <row r="835" ht="15" customHeight="1">
      <c r="A835" t="inlineStr">
        <is>
          <t>A 31483-2023</t>
        </is>
      </c>
      <c r="B835" s="1" t="n">
        <v>45114</v>
      </c>
      <c r="C835" s="1" t="n">
        <v>45798</v>
      </c>
      <c r="D835" t="inlineStr">
        <is>
          <t>UPPSALA LÄN</t>
        </is>
      </c>
      <c r="E835" t="inlineStr">
        <is>
          <t>ÖSTHAMMAR</t>
        </is>
      </c>
      <c r="F835" t="inlineStr">
        <is>
          <t>Bergvik skog öst AB</t>
        </is>
      </c>
      <c r="G835" t="n">
        <v>4.5</v>
      </c>
      <c r="H835" t="n">
        <v>0</v>
      </c>
      <c r="I835" t="n">
        <v>0</v>
      </c>
      <c r="J835" t="n">
        <v>0</v>
      </c>
      <c r="K835" t="n">
        <v>0</v>
      </c>
      <c r="L835" t="n">
        <v>0</v>
      </c>
      <c r="M835" t="n">
        <v>0</v>
      </c>
      <c r="N835" t="n">
        <v>0</v>
      </c>
      <c r="O835" t="n">
        <v>0</v>
      </c>
      <c r="P835" t="n">
        <v>0</v>
      </c>
      <c r="Q835" t="n">
        <v>0</v>
      </c>
      <c r="R835" s="2" t="inlineStr"/>
    </row>
    <row r="836" ht="15" customHeight="1">
      <c r="A836" t="inlineStr">
        <is>
          <t>A 31482-2023</t>
        </is>
      </c>
      <c r="B836" s="1" t="n">
        <v>45114</v>
      </c>
      <c r="C836" s="1" t="n">
        <v>45798</v>
      </c>
      <c r="D836" t="inlineStr">
        <is>
          <t>UPPSALA LÄN</t>
        </is>
      </c>
      <c r="E836" t="inlineStr">
        <is>
          <t>ÖSTHAMMAR</t>
        </is>
      </c>
      <c r="F836" t="inlineStr">
        <is>
          <t>Bergvik skog öst AB</t>
        </is>
      </c>
      <c r="G836" t="n">
        <v>4.2</v>
      </c>
      <c r="H836" t="n">
        <v>0</v>
      </c>
      <c r="I836" t="n">
        <v>0</v>
      </c>
      <c r="J836" t="n">
        <v>0</v>
      </c>
      <c r="K836" t="n">
        <v>0</v>
      </c>
      <c r="L836" t="n">
        <v>0</v>
      </c>
      <c r="M836" t="n">
        <v>0</v>
      </c>
      <c r="N836" t="n">
        <v>0</v>
      </c>
      <c r="O836" t="n">
        <v>0</v>
      </c>
      <c r="P836" t="n">
        <v>0</v>
      </c>
      <c r="Q836" t="n">
        <v>0</v>
      </c>
      <c r="R836" s="2" t="inlineStr"/>
    </row>
    <row r="837" ht="15" customHeight="1">
      <c r="A837" t="inlineStr">
        <is>
          <t>A 31486-2023</t>
        </is>
      </c>
      <c r="B837" s="1" t="n">
        <v>45114</v>
      </c>
      <c r="C837" s="1" t="n">
        <v>45798</v>
      </c>
      <c r="D837" t="inlineStr">
        <is>
          <t>UPPSALA LÄN</t>
        </is>
      </c>
      <c r="E837" t="inlineStr">
        <is>
          <t>ÖSTHAMMAR</t>
        </is>
      </c>
      <c r="F837" t="inlineStr">
        <is>
          <t>Bergvik skog öst AB</t>
        </is>
      </c>
      <c r="G837" t="n">
        <v>1.3</v>
      </c>
      <c r="H837" t="n">
        <v>0</v>
      </c>
      <c r="I837" t="n">
        <v>0</v>
      </c>
      <c r="J837" t="n">
        <v>0</v>
      </c>
      <c r="K837" t="n">
        <v>0</v>
      </c>
      <c r="L837" t="n">
        <v>0</v>
      </c>
      <c r="M837" t="n">
        <v>0</v>
      </c>
      <c r="N837" t="n">
        <v>0</v>
      </c>
      <c r="O837" t="n">
        <v>0</v>
      </c>
      <c r="P837" t="n">
        <v>0</v>
      </c>
      <c r="Q837" t="n">
        <v>0</v>
      </c>
      <c r="R837" s="2" t="inlineStr"/>
    </row>
    <row r="838" ht="15" customHeight="1">
      <c r="A838" t="inlineStr">
        <is>
          <t>A 31481-2023</t>
        </is>
      </c>
      <c r="B838" s="1" t="n">
        <v>45114</v>
      </c>
      <c r="C838" s="1" t="n">
        <v>45798</v>
      </c>
      <c r="D838" t="inlineStr">
        <is>
          <t>UPPSALA LÄN</t>
        </is>
      </c>
      <c r="E838" t="inlineStr">
        <is>
          <t>ÖSTHAMMAR</t>
        </is>
      </c>
      <c r="F838" t="inlineStr">
        <is>
          <t>Bergvik skog öst AB</t>
        </is>
      </c>
      <c r="G838" t="n">
        <v>2.3</v>
      </c>
      <c r="H838" t="n">
        <v>0</v>
      </c>
      <c r="I838" t="n">
        <v>0</v>
      </c>
      <c r="J838" t="n">
        <v>0</v>
      </c>
      <c r="K838" t="n">
        <v>0</v>
      </c>
      <c r="L838" t="n">
        <v>0</v>
      </c>
      <c r="M838" t="n">
        <v>0</v>
      </c>
      <c r="N838" t="n">
        <v>0</v>
      </c>
      <c r="O838" t="n">
        <v>0</v>
      </c>
      <c r="P838" t="n">
        <v>0</v>
      </c>
      <c r="Q838" t="n">
        <v>0</v>
      </c>
      <c r="R838" s="2" t="inlineStr"/>
    </row>
    <row r="839" ht="15" customHeight="1">
      <c r="A839" t="inlineStr">
        <is>
          <t>A 31485-2023</t>
        </is>
      </c>
      <c r="B839" s="1" t="n">
        <v>45114</v>
      </c>
      <c r="C839" s="1" t="n">
        <v>45798</v>
      </c>
      <c r="D839" t="inlineStr">
        <is>
          <t>UPPSALA LÄN</t>
        </is>
      </c>
      <c r="E839" t="inlineStr">
        <is>
          <t>ÖSTHAMMAR</t>
        </is>
      </c>
      <c r="F839" t="inlineStr">
        <is>
          <t>Bergvik skog öst AB</t>
        </is>
      </c>
      <c r="G839" t="n">
        <v>1</v>
      </c>
      <c r="H839" t="n">
        <v>0</v>
      </c>
      <c r="I839" t="n">
        <v>0</v>
      </c>
      <c r="J839" t="n">
        <v>0</v>
      </c>
      <c r="K839" t="n">
        <v>0</v>
      </c>
      <c r="L839" t="n">
        <v>0</v>
      </c>
      <c r="M839" t="n">
        <v>0</v>
      </c>
      <c r="N839" t="n">
        <v>0</v>
      </c>
      <c r="O839" t="n">
        <v>0</v>
      </c>
      <c r="P839" t="n">
        <v>0</v>
      </c>
      <c r="Q839" t="n">
        <v>0</v>
      </c>
      <c r="R839" s="2" t="inlineStr"/>
    </row>
    <row r="840" ht="15" customHeight="1">
      <c r="A840" t="inlineStr">
        <is>
          <t>A 31688-2023</t>
        </is>
      </c>
      <c r="B840" s="1" t="n">
        <v>45117</v>
      </c>
      <c r="C840" s="1" t="n">
        <v>45798</v>
      </c>
      <c r="D840" t="inlineStr">
        <is>
          <t>UPPSALA LÄN</t>
        </is>
      </c>
      <c r="E840" t="inlineStr">
        <is>
          <t>ÖSTHAMMAR</t>
        </is>
      </c>
      <c r="F840" t="inlineStr">
        <is>
          <t>Bergvik skog öst AB</t>
        </is>
      </c>
      <c r="G840" t="n">
        <v>4.9</v>
      </c>
      <c r="H840" t="n">
        <v>0</v>
      </c>
      <c r="I840" t="n">
        <v>0</v>
      </c>
      <c r="J840" t="n">
        <v>0</v>
      </c>
      <c r="K840" t="n">
        <v>0</v>
      </c>
      <c r="L840" t="n">
        <v>0</v>
      </c>
      <c r="M840" t="n">
        <v>0</v>
      </c>
      <c r="N840" t="n">
        <v>0</v>
      </c>
      <c r="O840" t="n">
        <v>0</v>
      </c>
      <c r="P840" t="n">
        <v>0</v>
      </c>
      <c r="Q840" t="n">
        <v>0</v>
      </c>
      <c r="R840" s="2" t="inlineStr"/>
    </row>
    <row r="841" ht="15" customHeight="1">
      <c r="A841" t="inlineStr">
        <is>
          <t>A 32194-2023</t>
        </is>
      </c>
      <c r="B841" s="1" t="n">
        <v>45119</v>
      </c>
      <c r="C841" s="1" t="n">
        <v>45798</v>
      </c>
      <c r="D841" t="inlineStr">
        <is>
          <t>UPPSALA LÄN</t>
        </is>
      </c>
      <c r="E841" t="inlineStr">
        <is>
          <t>ÖSTHAMMAR</t>
        </is>
      </c>
      <c r="F841" t="inlineStr">
        <is>
          <t>Bergvik skog öst AB</t>
        </is>
      </c>
      <c r="G841" t="n">
        <v>2.1</v>
      </c>
      <c r="H841" t="n">
        <v>0</v>
      </c>
      <c r="I841" t="n">
        <v>0</v>
      </c>
      <c r="J841" t="n">
        <v>0</v>
      </c>
      <c r="K841" t="n">
        <v>0</v>
      </c>
      <c r="L841" t="n">
        <v>0</v>
      </c>
      <c r="M841" t="n">
        <v>0</v>
      </c>
      <c r="N841" t="n">
        <v>0</v>
      </c>
      <c r="O841" t="n">
        <v>0</v>
      </c>
      <c r="P841" t="n">
        <v>0</v>
      </c>
      <c r="Q841" t="n">
        <v>0</v>
      </c>
      <c r="R841" s="2" t="inlineStr"/>
    </row>
    <row r="842" ht="15" customHeight="1">
      <c r="A842" t="inlineStr">
        <is>
          <t>A 32195-2023</t>
        </is>
      </c>
      <c r="B842" s="1" t="n">
        <v>45119</v>
      </c>
      <c r="C842" s="1" t="n">
        <v>45798</v>
      </c>
      <c r="D842" t="inlineStr">
        <is>
          <t>UPPSALA LÄN</t>
        </is>
      </c>
      <c r="E842" t="inlineStr">
        <is>
          <t>ÖSTHAMMAR</t>
        </is>
      </c>
      <c r="F842" t="inlineStr">
        <is>
          <t>Bergvik skog öst AB</t>
        </is>
      </c>
      <c r="G842" t="n">
        <v>1.2</v>
      </c>
      <c r="H842" t="n">
        <v>0</v>
      </c>
      <c r="I842" t="n">
        <v>0</v>
      </c>
      <c r="J842" t="n">
        <v>0</v>
      </c>
      <c r="K842" t="n">
        <v>0</v>
      </c>
      <c r="L842" t="n">
        <v>0</v>
      </c>
      <c r="M842" t="n">
        <v>0</v>
      </c>
      <c r="N842" t="n">
        <v>0</v>
      </c>
      <c r="O842" t="n">
        <v>0</v>
      </c>
      <c r="P842" t="n">
        <v>0</v>
      </c>
      <c r="Q842" t="n">
        <v>0</v>
      </c>
      <c r="R842" s="2" t="inlineStr"/>
    </row>
    <row r="843" ht="15" customHeight="1">
      <c r="A843" t="inlineStr">
        <is>
          <t>A 32197-2023</t>
        </is>
      </c>
      <c r="B843" s="1" t="n">
        <v>45119</v>
      </c>
      <c r="C843" s="1" t="n">
        <v>45798</v>
      </c>
      <c r="D843" t="inlineStr">
        <is>
          <t>UPPSALA LÄN</t>
        </is>
      </c>
      <c r="E843" t="inlineStr">
        <is>
          <t>ÖSTHAMMAR</t>
        </is>
      </c>
      <c r="F843" t="inlineStr">
        <is>
          <t>Bergvik skog öst AB</t>
        </is>
      </c>
      <c r="G843" t="n">
        <v>1.1</v>
      </c>
      <c r="H843" t="n">
        <v>0</v>
      </c>
      <c r="I843" t="n">
        <v>0</v>
      </c>
      <c r="J843" t="n">
        <v>0</v>
      </c>
      <c r="K843" t="n">
        <v>0</v>
      </c>
      <c r="L843" t="n">
        <v>0</v>
      </c>
      <c r="M843" t="n">
        <v>0</v>
      </c>
      <c r="N843" t="n">
        <v>0</v>
      </c>
      <c r="O843" t="n">
        <v>0</v>
      </c>
      <c r="P843" t="n">
        <v>0</v>
      </c>
      <c r="Q843" t="n">
        <v>0</v>
      </c>
      <c r="R843" s="2" t="inlineStr"/>
    </row>
    <row r="844" ht="15" customHeight="1">
      <c r="A844" t="inlineStr">
        <is>
          <t>A 32196-2023</t>
        </is>
      </c>
      <c r="B844" s="1" t="n">
        <v>45119</v>
      </c>
      <c r="C844" s="1" t="n">
        <v>45798</v>
      </c>
      <c r="D844" t="inlineStr">
        <is>
          <t>UPPSALA LÄN</t>
        </is>
      </c>
      <c r="E844" t="inlineStr">
        <is>
          <t>ÖSTHAMMAR</t>
        </is>
      </c>
      <c r="F844" t="inlineStr">
        <is>
          <t>Bergvik skog öst AB</t>
        </is>
      </c>
      <c r="G844" t="n">
        <v>1.5</v>
      </c>
      <c r="H844" t="n">
        <v>0</v>
      </c>
      <c r="I844" t="n">
        <v>0</v>
      </c>
      <c r="J844" t="n">
        <v>0</v>
      </c>
      <c r="K844" t="n">
        <v>0</v>
      </c>
      <c r="L844" t="n">
        <v>0</v>
      </c>
      <c r="M844" t="n">
        <v>0</v>
      </c>
      <c r="N844" t="n">
        <v>0</v>
      </c>
      <c r="O844" t="n">
        <v>0</v>
      </c>
      <c r="P844" t="n">
        <v>0</v>
      </c>
      <c r="Q844" t="n">
        <v>0</v>
      </c>
      <c r="R844" s="2" t="inlineStr"/>
    </row>
    <row r="845" ht="15" customHeight="1">
      <c r="A845" t="inlineStr">
        <is>
          <t>A 32390-2023</t>
        </is>
      </c>
      <c r="B845" s="1" t="n">
        <v>45120</v>
      </c>
      <c r="C845" s="1" t="n">
        <v>45798</v>
      </c>
      <c r="D845" t="inlineStr">
        <is>
          <t>UPPSALA LÄN</t>
        </is>
      </c>
      <c r="E845" t="inlineStr">
        <is>
          <t>ÖSTHAMMAR</t>
        </is>
      </c>
      <c r="F845" t="inlineStr">
        <is>
          <t>Övriga Aktiebolag</t>
        </is>
      </c>
      <c r="G845" t="n">
        <v>3.9</v>
      </c>
      <c r="H845" t="n">
        <v>0</v>
      </c>
      <c r="I845" t="n">
        <v>0</v>
      </c>
      <c r="J845" t="n">
        <v>0</v>
      </c>
      <c r="K845" t="n">
        <v>0</v>
      </c>
      <c r="L845" t="n">
        <v>0</v>
      </c>
      <c r="M845" t="n">
        <v>0</v>
      </c>
      <c r="N845" t="n">
        <v>0</v>
      </c>
      <c r="O845" t="n">
        <v>0</v>
      </c>
      <c r="P845" t="n">
        <v>0</v>
      </c>
      <c r="Q845" t="n">
        <v>0</v>
      </c>
      <c r="R845" s="2" t="inlineStr"/>
    </row>
    <row r="846" ht="15" customHeight="1">
      <c r="A846" t="inlineStr">
        <is>
          <t>A 32693-2023</t>
        </is>
      </c>
      <c r="B846" s="1" t="n">
        <v>45121</v>
      </c>
      <c r="C846" s="1" t="n">
        <v>45798</v>
      </c>
      <c r="D846" t="inlineStr">
        <is>
          <t>UPPSALA LÄN</t>
        </is>
      </c>
      <c r="E846" t="inlineStr">
        <is>
          <t>ÖSTHAMMAR</t>
        </is>
      </c>
      <c r="F846" t="inlineStr">
        <is>
          <t>Bergvik skog öst AB</t>
        </is>
      </c>
      <c r="G846" t="n">
        <v>2.8</v>
      </c>
      <c r="H846" t="n">
        <v>0</v>
      </c>
      <c r="I846" t="n">
        <v>0</v>
      </c>
      <c r="J846" t="n">
        <v>0</v>
      </c>
      <c r="K846" t="n">
        <v>0</v>
      </c>
      <c r="L846" t="n">
        <v>0</v>
      </c>
      <c r="M846" t="n">
        <v>0</v>
      </c>
      <c r="N846" t="n">
        <v>0</v>
      </c>
      <c r="O846" t="n">
        <v>0</v>
      </c>
      <c r="P846" t="n">
        <v>0</v>
      </c>
      <c r="Q846" t="n">
        <v>0</v>
      </c>
      <c r="R846" s="2" t="inlineStr"/>
    </row>
    <row r="847" ht="15" customHeight="1">
      <c r="A847" t="inlineStr">
        <is>
          <t>A 32691-2023</t>
        </is>
      </c>
      <c r="B847" s="1" t="n">
        <v>45121</v>
      </c>
      <c r="C847" s="1" t="n">
        <v>45798</v>
      </c>
      <c r="D847" t="inlineStr">
        <is>
          <t>UPPSALA LÄN</t>
        </is>
      </c>
      <c r="E847" t="inlineStr">
        <is>
          <t>ÖSTHAMMAR</t>
        </is>
      </c>
      <c r="F847" t="inlineStr">
        <is>
          <t>Bergvik skog öst AB</t>
        </is>
      </c>
      <c r="G847" t="n">
        <v>20.2</v>
      </c>
      <c r="H847" t="n">
        <v>0</v>
      </c>
      <c r="I847" t="n">
        <v>0</v>
      </c>
      <c r="J847" t="n">
        <v>0</v>
      </c>
      <c r="K847" t="n">
        <v>0</v>
      </c>
      <c r="L847" t="n">
        <v>0</v>
      </c>
      <c r="M847" t="n">
        <v>0</v>
      </c>
      <c r="N847" t="n">
        <v>0</v>
      </c>
      <c r="O847" t="n">
        <v>0</v>
      </c>
      <c r="P847" t="n">
        <v>0</v>
      </c>
      <c r="Q847" t="n">
        <v>0</v>
      </c>
      <c r="R847" s="2" t="inlineStr"/>
    </row>
    <row r="848" ht="15" customHeight="1">
      <c r="A848" t="inlineStr">
        <is>
          <t>A 32752-2023</t>
        </is>
      </c>
      <c r="B848" s="1" t="n">
        <v>45122</v>
      </c>
      <c r="C848" s="1" t="n">
        <v>45798</v>
      </c>
      <c r="D848" t="inlineStr">
        <is>
          <t>UPPSALA LÄN</t>
        </is>
      </c>
      <c r="E848" t="inlineStr">
        <is>
          <t>ÖSTHAMMAR</t>
        </is>
      </c>
      <c r="F848" t="inlineStr">
        <is>
          <t>Bergvik skog öst AB</t>
        </is>
      </c>
      <c r="G848" t="n">
        <v>0.9</v>
      </c>
      <c r="H848" t="n">
        <v>0</v>
      </c>
      <c r="I848" t="n">
        <v>0</v>
      </c>
      <c r="J848" t="n">
        <v>0</v>
      </c>
      <c r="K848" t="n">
        <v>0</v>
      </c>
      <c r="L848" t="n">
        <v>0</v>
      </c>
      <c r="M848" t="n">
        <v>0</v>
      </c>
      <c r="N848" t="n">
        <v>0</v>
      </c>
      <c r="O848" t="n">
        <v>0</v>
      </c>
      <c r="P848" t="n">
        <v>0</v>
      </c>
      <c r="Q848" t="n">
        <v>0</v>
      </c>
      <c r="R848" s="2" t="inlineStr"/>
    </row>
    <row r="849" ht="15" customHeight="1">
      <c r="A849" t="inlineStr">
        <is>
          <t>A 32779-2023</t>
        </is>
      </c>
      <c r="B849" s="1" t="n">
        <v>45123</v>
      </c>
      <c r="C849" s="1" t="n">
        <v>45798</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32778-2023</t>
        </is>
      </c>
      <c r="B850" s="1" t="n">
        <v>45123</v>
      </c>
      <c r="C850" s="1" t="n">
        <v>45798</v>
      </c>
      <c r="D850" t="inlineStr">
        <is>
          <t>UPPSALA LÄN</t>
        </is>
      </c>
      <c r="E850" t="inlineStr">
        <is>
          <t>ÖSTHAMMAR</t>
        </is>
      </c>
      <c r="F850" t="inlineStr">
        <is>
          <t>Bergvik skog öst AB</t>
        </is>
      </c>
      <c r="G850" t="n">
        <v>1</v>
      </c>
      <c r="H850" t="n">
        <v>0</v>
      </c>
      <c r="I850" t="n">
        <v>0</v>
      </c>
      <c r="J850" t="n">
        <v>0</v>
      </c>
      <c r="K850" t="n">
        <v>0</v>
      </c>
      <c r="L850" t="n">
        <v>0</v>
      </c>
      <c r="M850" t="n">
        <v>0</v>
      </c>
      <c r="N850" t="n">
        <v>0</v>
      </c>
      <c r="O850" t="n">
        <v>0</v>
      </c>
      <c r="P850" t="n">
        <v>0</v>
      </c>
      <c r="Q850" t="n">
        <v>0</v>
      </c>
      <c r="R850" s="2" t="inlineStr"/>
    </row>
    <row r="851" ht="15" customHeight="1">
      <c r="A851" t="inlineStr">
        <is>
          <t>A 32895-2023</t>
        </is>
      </c>
      <c r="B851" s="1" t="n">
        <v>45124</v>
      </c>
      <c r="C851" s="1" t="n">
        <v>45798</v>
      </c>
      <c r="D851" t="inlineStr">
        <is>
          <t>UPPSALA LÄN</t>
        </is>
      </c>
      <c r="E851" t="inlineStr">
        <is>
          <t>ÖSTHAMMAR</t>
        </is>
      </c>
      <c r="F851" t="inlineStr">
        <is>
          <t>Bergvik skog öst AB</t>
        </is>
      </c>
      <c r="G851" t="n">
        <v>1.4</v>
      </c>
      <c r="H851" t="n">
        <v>0</v>
      </c>
      <c r="I851" t="n">
        <v>0</v>
      </c>
      <c r="J851" t="n">
        <v>0</v>
      </c>
      <c r="K851" t="n">
        <v>0</v>
      </c>
      <c r="L851" t="n">
        <v>0</v>
      </c>
      <c r="M851" t="n">
        <v>0</v>
      </c>
      <c r="N851" t="n">
        <v>0</v>
      </c>
      <c r="O851" t="n">
        <v>0</v>
      </c>
      <c r="P851" t="n">
        <v>0</v>
      </c>
      <c r="Q851" t="n">
        <v>0</v>
      </c>
      <c r="R851" s="2" t="inlineStr"/>
    </row>
    <row r="852" ht="15" customHeight="1">
      <c r="A852" t="inlineStr">
        <is>
          <t>A 34108-2023</t>
        </is>
      </c>
      <c r="B852" s="1" t="n">
        <v>45135</v>
      </c>
      <c r="C852" s="1" t="n">
        <v>45798</v>
      </c>
      <c r="D852" t="inlineStr">
        <is>
          <t>UPPSALA LÄN</t>
        </is>
      </c>
      <c r="E852" t="inlineStr">
        <is>
          <t>ÖSTHAMMAR</t>
        </is>
      </c>
      <c r="F852" t="inlineStr">
        <is>
          <t>Bergvik skog öst AB</t>
        </is>
      </c>
      <c r="G852" t="n">
        <v>1.3</v>
      </c>
      <c r="H852" t="n">
        <v>0</v>
      </c>
      <c r="I852" t="n">
        <v>0</v>
      </c>
      <c r="J852" t="n">
        <v>0</v>
      </c>
      <c r="K852" t="n">
        <v>0</v>
      </c>
      <c r="L852" t="n">
        <v>0</v>
      </c>
      <c r="M852" t="n">
        <v>0</v>
      </c>
      <c r="N852" t="n">
        <v>0</v>
      </c>
      <c r="O852" t="n">
        <v>0</v>
      </c>
      <c r="P852" t="n">
        <v>0</v>
      </c>
      <c r="Q852" t="n">
        <v>0</v>
      </c>
      <c r="R852" s="2" t="inlineStr"/>
    </row>
    <row r="853" ht="15" customHeight="1">
      <c r="A853" t="inlineStr">
        <is>
          <t>A 34607-2023</t>
        </is>
      </c>
      <c r="B853" s="1" t="n">
        <v>45138</v>
      </c>
      <c r="C853" s="1" t="n">
        <v>45798</v>
      </c>
      <c r="D853" t="inlineStr">
        <is>
          <t>UPPSALA LÄN</t>
        </is>
      </c>
      <c r="E853" t="inlineStr">
        <is>
          <t>ÖSTHAMMAR</t>
        </is>
      </c>
      <c r="G853" t="n">
        <v>4.7</v>
      </c>
      <c r="H853" t="n">
        <v>0</v>
      </c>
      <c r="I853" t="n">
        <v>0</v>
      </c>
      <c r="J853" t="n">
        <v>0</v>
      </c>
      <c r="K853" t="n">
        <v>0</v>
      </c>
      <c r="L853" t="n">
        <v>0</v>
      </c>
      <c r="M853" t="n">
        <v>0</v>
      </c>
      <c r="N853" t="n">
        <v>0</v>
      </c>
      <c r="O853" t="n">
        <v>0</v>
      </c>
      <c r="P853" t="n">
        <v>0</v>
      </c>
      <c r="Q853" t="n">
        <v>0</v>
      </c>
      <c r="R853" s="2" t="inlineStr"/>
    </row>
    <row r="854" ht="15" customHeight="1">
      <c r="A854" t="inlineStr">
        <is>
          <t>A 34412-2023</t>
        </is>
      </c>
      <c r="B854" s="1" t="n">
        <v>45139</v>
      </c>
      <c r="C854" s="1" t="n">
        <v>45798</v>
      </c>
      <c r="D854" t="inlineStr">
        <is>
          <t>UPPSALA LÄN</t>
        </is>
      </c>
      <c r="E854" t="inlineStr">
        <is>
          <t>ÖSTHAMMAR</t>
        </is>
      </c>
      <c r="F854" t="inlineStr">
        <is>
          <t>Bergvik skog öst AB</t>
        </is>
      </c>
      <c r="G854" t="n">
        <v>4</v>
      </c>
      <c r="H854" t="n">
        <v>0</v>
      </c>
      <c r="I854" t="n">
        <v>0</v>
      </c>
      <c r="J854" t="n">
        <v>0</v>
      </c>
      <c r="K854" t="n">
        <v>0</v>
      </c>
      <c r="L854" t="n">
        <v>0</v>
      </c>
      <c r="M854" t="n">
        <v>0</v>
      </c>
      <c r="N854" t="n">
        <v>0</v>
      </c>
      <c r="O854" t="n">
        <v>0</v>
      </c>
      <c r="P854" t="n">
        <v>0</v>
      </c>
      <c r="Q854" t="n">
        <v>0</v>
      </c>
      <c r="R854" s="2" t="inlineStr"/>
    </row>
    <row r="855" ht="15" customHeight="1">
      <c r="A855" t="inlineStr">
        <is>
          <t>A 34471-2023</t>
        </is>
      </c>
      <c r="B855" s="1" t="n">
        <v>45139</v>
      </c>
      <c r="C855" s="1" t="n">
        <v>45798</v>
      </c>
      <c r="D855" t="inlineStr">
        <is>
          <t>UPPSALA LÄN</t>
        </is>
      </c>
      <c r="E855" t="inlineStr">
        <is>
          <t>ÖSTHAMMAR</t>
        </is>
      </c>
      <c r="F855" t="inlineStr">
        <is>
          <t>Bergvik skog öst AB</t>
        </is>
      </c>
      <c r="G855" t="n">
        <v>4.5</v>
      </c>
      <c r="H855" t="n">
        <v>0</v>
      </c>
      <c r="I855" t="n">
        <v>0</v>
      </c>
      <c r="J855" t="n">
        <v>0</v>
      </c>
      <c r="K855" t="n">
        <v>0</v>
      </c>
      <c r="L855" t="n">
        <v>0</v>
      </c>
      <c r="M855" t="n">
        <v>0</v>
      </c>
      <c r="N855" t="n">
        <v>0</v>
      </c>
      <c r="O855" t="n">
        <v>0</v>
      </c>
      <c r="P855" t="n">
        <v>0</v>
      </c>
      <c r="Q855" t="n">
        <v>0</v>
      </c>
      <c r="R855" s="2" t="inlineStr"/>
    </row>
    <row r="856" ht="15" customHeight="1">
      <c r="A856" t="inlineStr">
        <is>
          <t>A 34920-2023</t>
        </is>
      </c>
      <c r="B856" s="1" t="n">
        <v>45142</v>
      </c>
      <c r="C856" s="1" t="n">
        <v>45798</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34923-2023</t>
        </is>
      </c>
      <c r="B857" s="1" t="n">
        <v>45142</v>
      </c>
      <c r="C857" s="1" t="n">
        <v>45798</v>
      </c>
      <c r="D857" t="inlineStr">
        <is>
          <t>UPPSALA LÄN</t>
        </is>
      </c>
      <c r="E857" t="inlineStr">
        <is>
          <t>ÖSTHAMMAR</t>
        </is>
      </c>
      <c r="F857" t="inlineStr">
        <is>
          <t>Bergvik skog öst AB</t>
        </is>
      </c>
      <c r="G857" t="n">
        <v>0.9</v>
      </c>
      <c r="H857" t="n">
        <v>0</v>
      </c>
      <c r="I857" t="n">
        <v>0</v>
      </c>
      <c r="J857" t="n">
        <v>0</v>
      </c>
      <c r="K857" t="n">
        <v>0</v>
      </c>
      <c r="L857" t="n">
        <v>0</v>
      </c>
      <c r="M857" t="n">
        <v>0</v>
      </c>
      <c r="N857" t="n">
        <v>0</v>
      </c>
      <c r="O857" t="n">
        <v>0</v>
      </c>
      <c r="P857" t="n">
        <v>0</v>
      </c>
      <c r="Q857" t="n">
        <v>0</v>
      </c>
      <c r="R857" s="2" t="inlineStr"/>
    </row>
    <row r="858" ht="15" customHeight="1">
      <c r="A858" t="inlineStr">
        <is>
          <t>A 34951-2023</t>
        </is>
      </c>
      <c r="B858" s="1" t="n">
        <v>45142</v>
      </c>
      <c r="C858" s="1" t="n">
        <v>45798</v>
      </c>
      <c r="D858" t="inlineStr">
        <is>
          <t>UPPSALA LÄN</t>
        </is>
      </c>
      <c r="E858" t="inlineStr">
        <is>
          <t>ÖSTHAMMAR</t>
        </is>
      </c>
      <c r="F858" t="inlineStr">
        <is>
          <t>Naturvårdsverket</t>
        </is>
      </c>
      <c r="G858" t="n">
        <v>4.8</v>
      </c>
      <c r="H858" t="n">
        <v>0</v>
      </c>
      <c r="I858" t="n">
        <v>0</v>
      </c>
      <c r="J858" t="n">
        <v>0</v>
      </c>
      <c r="K858" t="n">
        <v>0</v>
      </c>
      <c r="L858" t="n">
        <v>0</v>
      </c>
      <c r="M858" t="n">
        <v>0</v>
      </c>
      <c r="N858" t="n">
        <v>0</v>
      </c>
      <c r="O858" t="n">
        <v>0</v>
      </c>
      <c r="P858" t="n">
        <v>0</v>
      </c>
      <c r="Q858" t="n">
        <v>0</v>
      </c>
      <c r="R858" s="2" t="inlineStr"/>
    </row>
    <row r="859" ht="15" customHeight="1">
      <c r="A859" t="inlineStr">
        <is>
          <t>A 34922-2023</t>
        </is>
      </c>
      <c r="B859" s="1" t="n">
        <v>45142</v>
      </c>
      <c r="C859" s="1" t="n">
        <v>45798</v>
      </c>
      <c r="D859" t="inlineStr">
        <is>
          <t>UPPSALA LÄN</t>
        </is>
      </c>
      <c r="E859" t="inlineStr">
        <is>
          <t>ÖSTHAMMAR</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35403-2023</t>
        </is>
      </c>
      <c r="B860" s="1" t="n">
        <v>45146</v>
      </c>
      <c r="C860" s="1" t="n">
        <v>45798</v>
      </c>
      <c r="D860" t="inlineStr">
        <is>
          <t>UPPSALA LÄN</t>
        </is>
      </c>
      <c r="E860" t="inlineStr">
        <is>
          <t>ÖSTHAMMAR</t>
        </is>
      </c>
      <c r="F860" t="inlineStr">
        <is>
          <t>Bergvik skog öst AB</t>
        </is>
      </c>
      <c r="G860" t="n">
        <v>3.6</v>
      </c>
      <c r="H860" t="n">
        <v>0</v>
      </c>
      <c r="I860" t="n">
        <v>0</v>
      </c>
      <c r="J860" t="n">
        <v>0</v>
      </c>
      <c r="K860" t="n">
        <v>0</v>
      </c>
      <c r="L860" t="n">
        <v>0</v>
      </c>
      <c r="M860" t="n">
        <v>0</v>
      </c>
      <c r="N860" t="n">
        <v>0</v>
      </c>
      <c r="O860" t="n">
        <v>0</v>
      </c>
      <c r="P860" t="n">
        <v>0</v>
      </c>
      <c r="Q860" t="n">
        <v>0</v>
      </c>
      <c r="R860" s="2" t="inlineStr"/>
    </row>
    <row r="861" ht="15" customHeight="1">
      <c r="A861" t="inlineStr">
        <is>
          <t>A 35309-2023</t>
        </is>
      </c>
      <c r="B861" s="1" t="n">
        <v>45146</v>
      </c>
      <c r="C861" s="1" t="n">
        <v>45798</v>
      </c>
      <c r="D861" t="inlineStr">
        <is>
          <t>UPPSALA LÄN</t>
        </is>
      </c>
      <c r="E861" t="inlineStr">
        <is>
          <t>ÖSTHAMMAR</t>
        </is>
      </c>
      <c r="G861" t="n">
        <v>1.3</v>
      </c>
      <c r="H861" t="n">
        <v>0</v>
      </c>
      <c r="I861" t="n">
        <v>0</v>
      </c>
      <c r="J861" t="n">
        <v>0</v>
      </c>
      <c r="K861" t="n">
        <v>0</v>
      </c>
      <c r="L861" t="n">
        <v>0</v>
      </c>
      <c r="M861" t="n">
        <v>0</v>
      </c>
      <c r="N861" t="n">
        <v>0</v>
      </c>
      <c r="O861" t="n">
        <v>0</v>
      </c>
      <c r="P861" t="n">
        <v>0</v>
      </c>
      <c r="Q861" t="n">
        <v>0</v>
      </c>
      <c r="R861" s="2" t="inlineStr"/>
    </row>
    <row r="862" ht="15" customHeight="1">
      <c r="A862" t="inlineStr">
        <is>
          <t>A 35413-2023</t>
        </is>
      </c>
      <c r="B862" s="1" t="n">
        <v>45146</v>
      </c>
      <c r="C862" s="1" t="n">
        <v>45798</v>
      </c>
      <c r="D862" t="inlineStr">
        <is>
          <t>UPPSALA LÄN</t>
        </is>
      </c>
      <c r="E862" t="inlineStr">
        <is>
          <t>ÖSTHAMMAR</t>
        </is>
      </c>
      <c r="F862" t="inlineStr">
        <is>
          <t>Bergvik skog öst AB</t>
        </is>
      </c>
      <c r="G862" t="n">
        <v>26.1</v>
      </c>
      <c r="H862" t="n">
        <v>0</v>
      </c>
      <c r="I862" t="n">
        <v>0</v>
      </c>
      <c r="J862" t="n">
        <v>0</v>
      </c>
      <c r="K862" t="n">
        <v>0</v>
      </c>
      <c r="L862" t="n">
        <v>0</v>
      </c>
      <c r="M862" t="n">
        <v>0</v>
      </c>
      <c r="N862" t="n">
        <v>0</v>
      </c>
      <c r="O862" t="n">
        <v>0</v>
      </c>
      <c r="P862" t="n">
        <v>0</v>
      </c>
      <c r="Q862" t="n">
        <v>0</v>
      </c>
      <c r="R862" s="2" t="inlineStr"/>
    </row>
    <row r="863" ht="15" customHeight="1">
      <c r="A863" t="inlineStr">
        <is>
          <t>A 35406-2023</t>
        </is>
      </c>
      <c r="B863" s="1" t="n">
        <v>45146</v>
      </c>
      <c r="C863" s="1" t="n">
        <v>45798</v>
      </c>
      <c r="D863" t="inlineStr">
        <is>
          <t>UPPSALA LÄN</t>
        </is>
      </c>
      <c r="E863" t="inlineStr">
        <is>
          <t>ÖSTHAMMAR</t>
        </is>
      </c>
      <c r="F863" t="inlineStr">
        <is>
          <t>Bergvik skog öst AB</t>
        </is>
      </c>
      <c r="G863" t="n">
        <v>1.7</v>
      </c>
      <c r="H863" t="n">
        <v>0</v>
      </c>
      <c r="I863" t="n">
        <v>0</v>
      </c>
      <c r="J863" t="n">
        <v>0</v>
      </c>
      <c r="K863" t="n">
        <v>0</v>
      </c>
      <c r="L863" t="n">
        <v>0</v>
      </c>
      <c r="M863" t="n">
        <v>0</v>
      </c>
      <c r="N863" t="n">
        <v>0</v>
      </c>
      <c r="O863" t="n">
        <v>0</v>
      </c>
      <c r="P863" t="n">
        <v>0</v>
      </c>
      <c r="Q863" t="n">
        <v>0</v>
      </c>
      <c r="R863" s="2" t="inlineStr"/>
    </row>
    <row r="864" ht="15" customHeight="1">
      <c r="A864" t="inlineStr">
        <is>
          <t>A 35410-2023</t>
        </is>
      </c>
      <c r="B864" s="1" t="n">
        <v>45146</v>
      </c>
      <c r="C864" s="1" t="n">
        <v>45798</v>
      </c>
      <c r="D864" t="inlineStr">
        <is>
          <t>UPPSALA LÄN</t>
        </is>
      </c>
      <c r="E864" t="inlineStr">
        <is>
          <t>ÖSTHAMMAR</t>
        </is>
      </c>
      <c r="F864" t="inlineStr">
        <is>
          <t>Bergvik skog öst AB</t>
        </is>
      </c>
      <c r="G864" t="n">
        <v>2.4</v>
      </c>
      <c r="H864" t="n">
        <v>0</v>
      </c>
      <c r="I864" t="n">
        <v>0</v>
      </c>
      <c r="J864" t="n">
        <v>0</v>
      </c>
      <c r="K864" t="n">
        <v>0</v>
      </c>
      <c r="L864" t="n">
        <v>0</v>
      </c>
      <c r="M864" t="n">
        <v>0</v>
      </c>
      <c r="N864" t="n">
        <v>0</v>
      </c>
      <c r="O864" t="n">
        <v>0</v>
      </c>
      <c r="P864" t="n">
        <v>0</v>
      </c>
      <c r="Q864" t="n">
        <v>0</v>
      </c>
      <c r="R864" s="2" t="inlineStr"/>
    </row>
    <row r="865" ht="15" customHeight="1">
      <c r="A865" t="inlineStr">
        <is>
          <t>A 35474-2023</t>
        </is>
      </c>
      <c r="B865" s="1" t="n">
        <v>45146</v>
      </c>
      <c r="C865" s="1" t="n">
        <v>45798</v>
      </c>
      <c r="D865" t="inlineStr">
        <is>
          <t>UPPSALA LÄN</t>
        </is>
      </c>
      <c r="E865" t="inlineStr">
        <is>
          <t>ÖSTHAMMAR</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35476-2023</t>
        </is>
      </c>
      <c r="B866" s="1" t="n">
        <v>45146</v>
      </c>
      <c r="C866" s="1" t="n">
        <v>45798</v>
      </c>
      <c r="D866" t="inlineStr">
        <is>
          <t>UPPSALA LÄN</t>
        </is>
      </c>
      <c r="E866" t="inlineStr">
        <is>
          <t>ÖSTHAMMAR</t>
        </is>
      </c>
      <c r="G866" t="n">
        <v>2.4</v>
      </c>
      <c r="H866" t="n">
        <v>0</v>
      </c>
      <c r="I866" t="n">
        <v>0</v>
      </c>
      <c r="J866" t="n">
        <v>0</v>
      </c>
      <c r="K866" t="n">
        <v>0</v>
      </c>
      <c r="L866" t="n">
        <v>0</v>
      </c>
      <c r="M866" t="n">
        <v>0</v>
      </c>
      <c r="N866" t="n">
        <v>0</v>
      </c>
      <c r="O866" t="n">
        <v>0</v>
      </c>
      <c r="P866" t="n">
        <v>0</v>
      </c>
      <c r="Q866" t="n">
        <v>0</v>
      </c>
      <c r="R866" s="2" t="inlineStr"/>
    </row>
    <row r="867" ht="15" customHeight="1">
      <c r="A867" t="inlineStr">
        <is>
          <t>A 35539-2023</t>
        </is>
      </c>
      <c r="B867" s="1" t="n">
        <v>45147</v>
      </c>
      <c r="C867" s="1" t="n">
        <v>45798</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35918-2023</t>
        </is>
      </c>
      <c r="B868" s="1" t="n">
        <v>45148</v>
      </c>
      <c r="C868" s="1" t="n">
        <v>45798</v>
      </c>
      <c r="D868" t="inlineStr">
        <is>
          <t>UPPSALA LÄN</t>
        </is>
      </c>
      <c r="E868" t="inlineStr">
        <is>
          <t>ÖSTHAMMAR</t>
        </is>
      </c>
      <c r="F868" t="inlineStr">
        <is>
          <t>Bergvik skog öst AB</t>
        </is>
      </c>
      <c r="G868" t="n">
        <v>0.9</v>
      </c>
      <c r="H868" t="n">
        <v>0</v>
      </c>
      <c r="I868" t="n">
        <v>0</v>
      </c>
      <c r="J868" t="n">
        <v>0</v>
      </c>
      <c r="K868" t="n">
        <v>0</v>
      </c>
      <c r="L868" t="n">
        <v>0</v>
      </c>
      <c r="M868" t="n">
        <v>0</v>
      </c>
      <c r="N868" t="n">
        <v>0</v>
      </c>
      <c r="O868" t="n">
        <v>0</v>
      </c>
      <c r="P868" t="n">
        <v>0</v>
      </c>
      <c r="Q868" t="n">
        <v>0</v>
      </c>
      <c r="R868" s="2" t="inlineStr"/>
    </row>
    <row r="869" ht="15" customHeight="1">
      <c r="A869" t="inlineStr">
        <is>
          <t>A 36020-2023</t>
        </is>
      </c>
      <c r="B869" s="1" t="n">
        <v>45149</v>
      </c>
      <c r="C869" s="1" t="n">
        <v>45798</v>
      </c>
      <c r="D869" t="inlineStr">
        <is>
          <t>UPPSALA LÄN</t>
        </is>
      </c>
      <c r="E869" t="inlineStr">
        <is>
          <t>ÖSTHAMMAR</t>
        </is>
      </c>
      <c r="F869" t="inlineStr">
        <is>
          <t>Bergvik skog öst AB</t>
        </is>
      </c>
      <c r="G869" t="n">
        <v>6.8</v>
      </c>
      <c r="H869" t="n">
        <v>0</v>
      </c>
      <c r="I869" t="n">
        <v>0</v>
      </c>
      <c r="J869" t="n">
        <v>0</v>
      </c>
      <c r="K869" t="n">
        <v>0</v>
      </c>
      <c r="L869" t="n">
        <v>0</v>
      </c>
      <c r="M869" t="n">
        <v>0</v>
      </c>
      <c r="N869" t="n">
        <v>0</v>
      </c>
      <c r="O869" t="n">
        <v>0</v>
      </c>
      <c r="P869" t="n">
        <v>0</v>
      </c>
      <c r="Q869" t="n">
        <v>0</v>
      </c>
      <c r="R869" s="2" t="inlineStr"/>
    </row>
    <row r="870" ht="15" customHeight="1">
      <c r="A870" t="inlineStr">
        <is>
          <t>A 36301-2023</t>
        </is>
      </c>
      <c r="B870" s="1" t="n">
        <v>45152</v>
      </c>
      <c r="C870" s="1" t="n">
        <v>45798</v>
      </c>
      <c r="D870" t="inlineStr">
        <is>
          <t>UPPSALA LÄN</t>
        </is>
      </c>
      <c r="E870" t="inlineStr">
        <is>
          <t>ÖSTHAMMAR</t>
        </is>
      </c>
      <c r="G870" t="n">
        <v>0.9</v>
      </c>
      <c r="H870" t="n">
        <v>0</v>
      </c>
      <c r="I870" t="n">
        <v>0</v>
      </c>
      <c r="J870" t="n">
        <v>0</v>
      </c>
      <c r="K870" t="n">
        <v>0</v>
      </c>
      <c r="L870" t="n">
        <v>0</v>
      </c>
      <c r="M870" t="n">
        <v>0</v>
      </c>
      <c r="N870" t="n">
        <v>0</v>
      </c>
      <c r="O870" t="n">
        <v>0</v>
      </c>
      <c r="P870" t="n">
        <v>0</v>
      </c>
      <c r="Q870" t="n">
        <v>0</v>
      </c>
      <c r="R870" s="2" t="inlineStr"/>
    </row>
    <row r="871" ht="15" customHeight="1">
      <c r="A871" t="inlineStr">
        <is>
          <t>A 36447-2023</t>
        </is>
      </c>
      <c r="B871" s="1" t="n">
        <v>45152</v>
      </c>
      <c r="C871" s="1" t="n">
        <v>45798</v>
      </c>
      <c r="D871" t="inlineStr">
        <is>
          <t>UPPSALA LÄN</t>
        </is>
      </c>
      <c r="E871" t="inlineStr">
        <is>
          <t>ÖSTHAMMAR</t>
        </is>
      </c>
      <c r="F871" t="inlineStr">
        <is>
          <t>Bergvik skog öst AB</t>
        </is>
      </c>
      <c r="G871" t="n">
        <v>6.5</v>
      </c>
      <c r="H871" t="n">
        <v>0</v>
      </c>
      <c r="I871" t="n">
        <v>0</v>
      </c>
      <c r="J871" t="n">
        <v>0</v>
      </c>
      <c r="K871" t="n">
        <v>0</v>
      </c>
      <c r="L871" t="n">
        <v>0</v>
      </c>
      <c r="M871" t="n">
        <v>0</v>
      </c>
      <c r="N871" t="n">
        <v>0</v>
      </c>
      <c r="O871" t="n">
        <v>0</v>
      </c>
      <c r="P871" t="n">
        <v>0</v>
      </c>
      <c r="Q871" t="n">
        <v>0</v>
      </c>
      <c r="R871" s="2" t="inlineStr"/>
    </row>
    <row r="872" ht="15" customHeight="1">
      <c r="A872" t="inlineStr">
        <is>
          <t>A 36861-2023</t>
        </is>
      </c>
      <c r="B872" s="1" t="n">
        <v>45154</v>
      </c>
      <c r="C872" s="1" t="n">
        <v>45798</v>
      </c>
      <c r="D872" t="inlineStr">
        <is>
          <t>UPPSALA LÄN</t>
        </is>
      </c>
      <c r="E872" t="inlineStr">
        <is>
          <t>ÖSTHAMMAR</t>
        </is>
      </c>
      <c r="G872" t="n">
        <v>1.2</v>
      </c>
      <c r="H872" t="n">
        <v>0</v>
      </c>
      <c r="I872" t="n">
        <v>0</v>
      </c>
      <c r="J872" t="n">
        <v>0</v>
      </c>
      <c r="K872" t="n">
        <v>0</v>
      </c>
      <c r="L872" t="n">
        <v>0</v>
      </c>
      <c r="M872" t="n">
        <v>0</v>
      </c>
      <c r="N872" t="n">
        <v>0</v>
      </c>
      <c r="O872" t="n">
        <v>0</v>
      </c>
      <c r="P872" t="n">
        <v>0</v>
      </c>
      <c r="Q872" t="n">
        <v>0</v>
      </c>
      <c r="R872" s="2" t="inlineStr"/>
    </row>
    <row r="873" ht="15" customHeight="1">
      <c r="A873" t="inlineStr">
        <is>
          <t>A 36857-2023</t>
        </is>
      </c>
      <c r="B873" s="1" t="n">
        <v>45154</v>
      </c>
      <c r="C873" s="1" t="n">
        <v>45798</v>
      </c>
      <c r="D873" t="inlineStr">
        <is>
          <t>UPPSALA LÄN</t>
        </is>
      </c>
      <c r="E873" t="inlineStr">
        <is>
          <t>ÖSTHAMMAR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36904-2023</t>
        </is>
      </c>
      <c r="B874" s="1" t="n">
        <v>45154</v>
      </c>
      <c r="C874" s="1" t="n">
        <v>45798</v>
      </c>
      <c r="D874" t="inlineStr">
        <is>
          <t>UPPSALA LÄN</t>
        </is>
      </c>
      <c r="E874" t="inlineStr">
        <is>
          <t>ÖSTHAMMAR</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37021-2023</t>
        </is>
      </c>
      <c r="B875" s="1" t="n">
        <v>45155</v>
      </c>
      <c r="C875" s="1" t="n">
        <v>45798</v>
      </c>
      <c r="D875" t="inlineStr">
        <is>
          <t>UPPSALA LÄN</t>
        </is>
      </c>
      <c r="E875" t="inlineStr">
        <is>
          <t>ÖSTHAMMAR</t>
        </is>
      </c>
      <c r="F875" t="inlineStr">
        <is>
          <t>Övriga Aktiebolag</t>
        </is>
      </c>
      <c r="G875" t="n">
        <v>3.8</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45798</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45798</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45798</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45798</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45798</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45798</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45798</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45798</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45798</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45798</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45798</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45798</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45798</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45798</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45798</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45798</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45798</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45798</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45798</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45798</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45798</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45798</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45798</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45798</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45798</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45798</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45798</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45798</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45798</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45798</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45798</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45798</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45798</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45798</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45798</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45798</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45798</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45798</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45798</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45798</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45798</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45798</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45798</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45798</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45798</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45798</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45798</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45798</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45798</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45798</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45798</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45798</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45798</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45798</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45798</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45798</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45798</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45798</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45798</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45798</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45798</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45798</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45798</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45798</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45798</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45798</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45798</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45798</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45798</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45798</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45798</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45798</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45798</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45798</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45798</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45798</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45798</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45798</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45798</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45798</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45798</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45798</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45798</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45798</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45798</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45798</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45798</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45798</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45798</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45798</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45798</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45798</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45798</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45798</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45798</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45798</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45798</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45798</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45798</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45798</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45798</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45798</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45798</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45798</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45798</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45798</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45798</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45798</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45798</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45798</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45798</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45798</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45798</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45798</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45798</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45798</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45798</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45798</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45798</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45798</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45798</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45798</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45798</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45798</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45798</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45798</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45798</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45798</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45798</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45798</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45798</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45798</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45798</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45798</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45798</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45798</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45798</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45798</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45798</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45798</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45798</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45798</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45798</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45798</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45798</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45798</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45798</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45798</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45798</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45798</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45798</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45798</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45798</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45798</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45798</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45798</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45798</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45798</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45798</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45798</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45798</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45798</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45798</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45798</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45798</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45798</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45798</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45798</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45798</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45798</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45798</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45798</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45798</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45798</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45798</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45798</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45798</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45798</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45798</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45798</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45798</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45798</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45798</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45798</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45798</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45798</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45798</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45798</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45798</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45798</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45798</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45798</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45798</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45798</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45798</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45798</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45798</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45798</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45798</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45798</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45798</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45798</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45798</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45798</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45798</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45798</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45798</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45798</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45798</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45798</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45798</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45798</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45798</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45798</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45798</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45798</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45798</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45798</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45798</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45798</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45798</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45798</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45798</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45798</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45798</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45798</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45798</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45798</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45798</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45798</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45798</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45798</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45798</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45798</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45798</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45798</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45798</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45798</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45798</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45798</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45798</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45798</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45798</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45798</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45798</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45798</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45798</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45798</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45798</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45798</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45798</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45798</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45798</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45798</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45798</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45798</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45798</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45798</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45798</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45798</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45798</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45798</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45798</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45798</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45798</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45798</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45798</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45798</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45798</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45798</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45798</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45798</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45798</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45798</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45798</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45798</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45798</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45798</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45798</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45798</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45798</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45798</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45798</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45798</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45798</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45798</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45798</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45798</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45798</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45798</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45798</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45798</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45798</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45798</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45798</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45798</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45798</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45798</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45798</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45798</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45798</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45798</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45798</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45798</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45798</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45798</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45798</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45798</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45798</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45798</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45798</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45798</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45798</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45798</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45798</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45798</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45798</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45798</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45798</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45798</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45798</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45798</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45798</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45798</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45798</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45798</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45798</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45798</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45798</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45798</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45798</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45798</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45798</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45798</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45798</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45798</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45798</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45798</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45798</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45798</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45798</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45798</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45798</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45798</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45798</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45798</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45798</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45798</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45798</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45798</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45798</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45798</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45798</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45798</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45798</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45798</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45798</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45798</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45798</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45798</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45798</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45798</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45798</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45798</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45798</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45798</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45798</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45798</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45798</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45798</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45798</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45798</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45798</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45798</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45798</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45798</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45798</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45798</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45798</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45798</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45798</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45798</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45798</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45798</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45798</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45798</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45798</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45798</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45798</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45798</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45798</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45798</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45798</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45798</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45798</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45798</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45798</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45798</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45798</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45798</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45798</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45798</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45798</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45798</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45798</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45798</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45798</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45798</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45798</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45798</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45798</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45798</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45798</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45798</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45798</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45798</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45798</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45798</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45798</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45798</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45798</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45798</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45798</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45798</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45798</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45798</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45798</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45798</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45798</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45798</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45798</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45798</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45798</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45798</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45798</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45798</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45798</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45798</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45798</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45798</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45798</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45798</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45798</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45798</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45798</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45798</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45798</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45798</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45798</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45798</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45798</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45798</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45798</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45798</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45798</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45798</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45798</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45798</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45798</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45798</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45798</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45798</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45798</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45798</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45798</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45798</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45798</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45798</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45798</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45798</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45798</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45798</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45798</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45798</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45798</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45798</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45798</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45798</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45798</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45798</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45798</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45798</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45798</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45798</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45798</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45798</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45798</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45798</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45798</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45798</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45798</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45798</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45798</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45798</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45798</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45798</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45798</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45798</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45798</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45798</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45798</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45798</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45798</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45798</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45798</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45798</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45798</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45798</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45798</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45798</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45798</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45798</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45798</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45798</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45798</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45798</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45798</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45798</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45798</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45798</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45798</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45798</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45798</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45798</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45798</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45798</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45798</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45798</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45798</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45798</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45798</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45798</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45798</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45798</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45798</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45798</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45798</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45798</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45798</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45798</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45798</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45798</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45798</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45798</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45798</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45798</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45798</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45798</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45798</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45798</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45798</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45798</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45798</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45798</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45798</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45798</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45798</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45798</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45798</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45798</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45798</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45798</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45798</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45798</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17090-2025</t>
        </is>
      </c>
      <c r="B1440" s="1" t="n">
        <v>45755</v>
      </c>
      <c r="C1440" s="1" t="n">
        <v>45798</v>
      </c>
      <c r="D1440" t="inlineStr">
        <is>
          <t>UPPSALA LÄN</t>
        </is>
      </c>
      <c r="E1440" t="inlineStr">
        <is>
          <t>ÖSTHAMMAR</t>
        </is>
      </c>
      <c r="F1440" t="inlineStr">
        <is>
          <t>Bergvik skog öst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45798</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45798</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45798</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45798</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17430-2025</t>
        </is>
      </c>
      <c r="B1445" s="1" t="n">
        <v>45757</v>
      </c>
      <c r="C1445" s="1" t="n">
        <v>45798</v>
      </c>
      <c r="D1445" t="inlineStr">
        <is>
          <t>UPPSALA LÄN</t>
        </is>
      </c>
      <c r="E1445" t="inlineStr">
        <is>
          <t>ÖSTHAMMAR</t>
        </is>
      </c>
      <c r="F1445" t="inlineStr">
        <is>
          <t>Övriga Aktiebolag</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45798</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45798</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45798</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17655-2025</t>
        </is>
      </c>
      <c r="B1449" s="1" t="n">
        <v>45758</v>
      </c>
      <c r="C1449" s="1" t="n">
        <v>45798</v>
      </c>
      <c r="D1449" t="inlineStr">
        <is>
          <t>UPPSALA LÄN</t>
        </is>
      </c>
      <c r="E1449" t="inlineStr">
        <is>
          <t>ÖSTHAMMAR</t>
        </is>
      </c>
      <c r="F1449" t="inlineStr">
        <is>
          <t>Övriga Aktiebolag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17644-2025</t>
        </is>
      </c>
      <c r="B1450" s="1" t="n">
        <v>45758</v>
      </c>
      <c r="C1450" s="1" t="n">
        <v>45798</v>
      </c>
      <c r="D1450" t="inlineStr">
        <is>
          <t>UPPSALA LÄN</t>
        </is>
      </c>
      <c r="E1450" t="inlineStr">
        <is>
          <t>ÖSTHAMMAR</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17646-2025</t>
        </is>
      </c>
      <c r="B1451" s="1" t="n">
        <v>45758</v>
      </c>
      <c r="C1451" s="1" t="n">
        <v>45798</v>
      </c>
      <c r="D1451" t="inlineStr">
        <is>
          <t>UPPSALA LÄN</t>
        </is>
      </c>
      <c r="E1451" t="inlineStr">
        <is>
          <t>ÖSTHAMMAR</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17648-2025</t>
        </is>
      </c>
      <c r="B1452" s="1" t="n">
        <v>45758</v>
      </c>
      <c r="C1452" s="1" t="n">
        <v>45798</v>
      </c>
      <c r="D1452" t="inlineStr">
        <is>
          <t>UPPSALA LÄN</t>
        </is>
      </c>
      <c r="E1452" t="inlineStr">
        <is>
          <t>ÖSTHAMMAR</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45798</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17930-2025</t>
        </is>
      </c>
      <c r="B1454" s="1" t="n">
        <v>45759</v>
      </c>
      <c r="C1454" s="1" t="n">
        <v>45798</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45798</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45798</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17931-2025</t>
        </is>
      </c>
      <c r="B1457" s="1" t="n">
        <v>45759</v>
      </c>
      <c r="C1457" s="1" t="n">
        <v>45798</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45798</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17939-2025</t>
        </is>
      </c>
      <c r="B1459" s="1" t="n">
        <v>45760</v>
      </c>
      <c r="C1459" s="1" t="n">
        <v>45798</v>
      </c>
      <c r="D1459" t="inlineStr">
        <is>
          <t>UPPSALA LÄN</t>
        </is>
      </c>
      <c r="E1459" t="inlineStr">
        <is>
          <t>ÖSTHAMMAR</t>
        </is>
      </c>
      <c r="F1459" t="inlineStr">
        <is>
          <t>Bergvik skog öst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17938-2025</t>
        </is>
      </c>
      <c r="B1460" s="1" t="n">
        <v>45760</v>
      </c>
      <c r="C1460" s="1" t="n">
        <v>45798</v>
      </c>
      <c r="D1460" t="inlineStr">
        <is>
          <t>UPPSALA LÄN</t>
        </is>
      </c>
      <c r="E1460" t="inlineStr">
        <is>
          <t>ÖSTHAMMAR</t>
        </is>
      </c>
      <c r="F1460" t="inlineStr">
        <is>
          <t>Bergvik skog öst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18230-2025</t>
        </is>
      </c>
      <c r="B1461" s="1" t="n">
        <v>45761</v>
      </c>
      <c r="C1461" s="1" t="n">
        <v>45798</v>
      </c>
      <c r="D1461" t="inlineStr">
        <is>
          <t>UPPSALA LÄN</t>
        </is>
      </c>
      <c r="E1461" t="inlineStr">
        <is>
          <t>ÖSTHAMMAR</t>
        </is>
      </c>
      <c r="F1461" t="inlineStr">
        <is>
          <t>Bergvik skog öst AB</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18095-2025</t>
        </is>
      </c>
      <c r="B1462" s="1" t="n">
        <v>45761</v>
      </c>
      <c r="C1462" s="1" t="n">
        <v>45798</v>
      </c>
      <c r="D1462" t="inlineStr">
        <is>
          <t>UPPSALA LÄN</t>
        </is>
      </c>
      <c r="E1462" t="inlineStr">
        <is>
          <t>ÖSTHAMMAR</t>
        </is>
      </c>
      <c r="F1462" t="inlineStr">
        <is>
          <t>Bergvik skog öst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18088-2025</t>
        </is>
      </c>
      <c r="B1463" s="1" t="n">
        <v>45761</v>
      </c>
      <c r="C1463" s="1" t="n">
        <v>45798</v>
      </c>
      <c r="D1463" t="inlineStr">
        <is>
          <t>UPPSALA LÄN</t>
        </is>
      </c>
      <c r="E1463" t="inlineStr">
        <is>
          <t>ÖSTHAMMAR</t>
        </is>
      </c>
      <c r="F1463" t="inlineStr">
        <is>
          <t>Bergvik skog öst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18094-2025</t>
        </is>
      </c>
      <c r="B1464" s="1" t="n">
        <v>45761</v>
      </c>
      <c r="C1464" s="1" t="n">
        <v>45798</v>
      </c>
      <c r="D1464" t="inlineStr">
        <is>
          <t>UPPSALA LÄN</t>
        </is>
      </c>
      <c r="E1464" t="inlineStr">
        <is>
          <t>ÖSTHAMMAR</t>
        </is>
      </c>
      <c r="F1464" t="inlineStr">
        <is>
          <t>Bergvik skog öst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45798</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19637-2025</t>
        </is>
      </c>
      <c r="B1466" s="1" t="n">
        <v>45770</v>
      </c>
      <c r="C1466" s="1" t="n">
        <v>45798</v>
      </c>
      <c r="D1466" t="inlineStr">
        <is>
          <t>UPPSALA LÄN</t>
        </is>
      </c>
      <c r="E1466" t="inlineStr">
        <is>
          <t>ÖSTHAMMAR</t>
        </is>
      </c>
      <c r="F1466" t="inlineStr">
        <is>
          <t>Övriga Aktiebolag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19650-2025</t>
        </is>
      </c>
      <c r="B1467" s="1" t="n">
        <v>45770</v>
      </c>
      <c r="C1467" s="1" t="n">
        <v>45798</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19646-2025</t>
        </is>
      </c>
      <c r="B1468" s="1" t="n">
        <v>45770</v>
      </c>
      <c r="C1468" s="1" t="n">
        <v>45798</v>
      </c>
      <c r="D1468" t="inlineStr">
        <is>
          <t>UPPSALA LÄN</t>
        </is>
      </c>
      <c r="E1468" t="inlineStr">
        <is>
          <t>ÖSTHAMMAR</t>
        </is>
      </c>
      <c r="F1468" t="inlineStr">
        <is>
          <t>Övriga Aktiebolag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19501-2025</t>
        </is>
      </c>
      <c r="B1469" s="1" t="n">
        <v>45770</v>
      </c>
      <c r="C1469" s="1" t="n">
        <v>45798</v>
      </c>
      <c r="D1469" t="inlineStr">
        <is>
          <t>UPPSALA LÄN</t>
        </is>
      </c>
      <c r="E1469" t="inlineStr">
        <is>
          <t>ÖSTHAMMAR</t>
        </is>
      </c>
      <c r="F1469" t="inlineStr">
        <is>
          <t>Övriga Aktiebolag</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45798</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45798</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45798</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45798</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45798</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21133-2025</t>
        </is>
      </c>
      <c r="B1475" s="1" t="n">
        <v>45778</v>
      </c>
      <c r="C1475" s="1" t="n">
        <v>45798</v>
      </c>
      <c r="D1475" t="inlineStr">
        <is>
          <t>UPPSALA LÄN</t>
        </is>
      </c>
      <c r="E1475" t="inlineStr">
        <is>
          <t>ÖSTHAMMAR</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21132-2025</t>
        </is>
      </c>
      <c r="B1476" s="1" t="n">
        <v>45778</v>
      </c>
      <c r="C1476" s="1" t="n">
        <v>45798</v>
      </c>
      <c r="D1476" t="inlineStr">
        <is>
          <t>UPPSALA LÄN</t>
        </is>
      </c>
      <c r="E1476" t="inlineStr">
        <is>
          <t>ÖSTHAMMAR</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22483-2025</t>
        </is>
      </c>
      <c r="B1477" s="1" t="n">
        <v>45786</v>
      </c>
      <c r="C1477" s="1" t="n">
        <v>45798</v>
      </c>
      <c r="D1477" t="inlineStr">
        <is>
          <t>UPPSALA LÄN</t>
        </is>
      </c>
      <c r="E1477" t="inlineStr">
        <is>
          <t>ÖSTHAMMAR</t>
        </is>
      </c>
      <c r="F1477" t="inlineStr">
        <is>
          <t>Bergvik skog öst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22492-2025</t>
        </is>
      </c>
      <c r="B1478" s="1" t="n">
        <v>45786</v>
      </c>
      <c r="C1478" s="1" t="n">
        <v>45798</v>
      </c>
      <c r="D1478" t="inlineStr">
        <is>
          <t>UPPSALA LÄN</t>
        </is>
      </c>
      <c r="E1478" t="inlineStr">
        <is>
          <t>ÖSTHAMMAR</t>
        </is>
      </c>
      <c r="F1478" t="inlineStr">
        <is>
          <t>Bergvik skog öst AB</t>
        </is>
      </c>
      <c r="G1478" t="n">
        <v>16.6</v>
      </c>
      <c r="H1478" t="n">
        <v>0</v>
      </c>
      <c r="I1478" t="n">
        <v>0</v>
      </c>
      <c r="J1478" t="n">
        <v>0</v>
      </c>
      <c r="K1478" t="n">
        <v>0</v>
      </c>
      <c r="L1478" t="n">
        <v>0</v>
      </c>
      <c r="M1478" t="n">
        <v>0</v>
      </c>
      <c r="N1478" t="n">
        <v>0</v>
      </c>
      <c r="O1478" t="n">
        <v>0</v>
      </c>
      <c r="P1478" t="n">
        <v>0</v>
      </c>
      <c r="Q1478" t="n">
        <v>0</v>
      </c>
      <c r="R1478" s="2" t="inlineStr"/>
    </row>
    <row r="1479" ht="15" customHeight="1">
      <c r="A1479" t="inlineStr">
        <is>
          <t>A 22488-2025</t>
        </is>
      </c>
      <c r="B1479" s="1" t="n">
        <v>45786</v>
      </c>
      <c r="C1479" s="1" t="n">
        <v>45798</v>
      </c>
      <c r="D1479" t="inlineStr">
        <is>
          <t>UPPSALA LÄN</t>
        </is>
      </c>
      <c r="E1479" t="inlineStr">
        <is>
          <t>ÖSTHAMMAR</t>
        </is>
      </c>
      <c r="F1479" t="inlineStr">
        <is>
          <t>Bergvik skog öst AB</t>
        </is>
      </c>
      <c r="G1479" t="n">
        <v>14.9</v>
      </c>
      <c r="H1479" t="n">
        <v>0</v>
      </c>
      <c r="I1479" t="n">
        <v>0</v>
      </c>
      <c r="J1479" t="n">
        <v>0</v>
      </c>
      <c r="K1479" t="n">
        <v>0</v>
      </c>
      <c r="L1479" t="n">
        <v>0</v>
      </c>
      <c r="M1479" t="n">
        <v>0</v>
      </c>
      <c r="N1479" t="n">
        <v>0</v>
      </c>
      <c r="O1479" t="n">
        <v>0</v>
      </c>
      <c r="P1479" t="n">
        <v>0</v>
      </c>
      <c r="Q1479" t="n">
        <v>0</v>
      </c>
      <c r="R1479" s="2" t="inlineStr"/>
    </row>
    <row r="1480" ht="15" customHeight="1">
      <c r="A1480" t="inlineStr">
        <is>
          <t>A 23305-2025</t>
        </is>
      </c>
      <c r="B1480" s="1" t="n">
        <v>45791</v>
      </c>
      <c r="C1480" s="1" t="n">
        <v>45798</v>
      </c>
      <c r="D1480" t="inlineStr">
        <is>
          <t>UPPSALA LÄN</t>
        </is>
      </c>
      <c r="E1480" t="inlineStr">
        <is>
          <t>ÖSTHAMMAR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23728-2025</t>
        </is>
      </c>
      <c r="B1481" s="1" t="n">
        <v>45793</v>
      </c>
      <c r="C1481" s="1" t="n">
        <v>45798</v>
      </c>
      <c r="D1481" t="inlineStr">
        <is>
          <t>UPPSALA LÄN</t>
        </is>
      </c>
      <c r="E1481" t="inlineStr">
        <is>
          <t>ÖSTHAMMAR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24174-2025</t>
        </is>
      </c>
      <c r="B1482" s="1" t="n">
        <v>45796</v>
      </c>
      <c r="C1482" s="1" t="n">
        <v>45798</v>
      </c>
      <c r="D1482" t="inlineStr">
        <is>
          <t>UPPSALA LÄN</t>
        </is>
      </c>
      <c r="E1482" t="inlineStr">
        <is>
          <t>ÖSTHAMMAR</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23968-2025</t>
        </is>
      </c>
      <c r="B1483" s="1" t="n">
        <v>45796</v>
      </c>
      <c r="C1483" s="1" t="n">
        <v>45798</v>
      </c>
      <c r="D1483" t="inlineStr">
        <is>
          <t>UPPSALA LÄN</t>
        </is>
      </c>
      <c r="E1483" t="inlineStr">
        <is>
          <t>ÖSTHAMMAR</t>
        </is>
      </c>
      <c r="F1483" t="inlineStr">
        <is>
          <t>Bergvik skog öst AB</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24408-2025</t>
        </is>
      </c>
      <c r="B1484" s="1" t="n">
        <v>45797</v>
      </c>
      <c r="C1484" s="1" t="n">
        <v>45798</v>
      </c>
      <c r="D1484" t="inlineStr">
        <is>
          <t>UPPSALA LÄN</t>
        </is>
      </c>
      <c r="E1484" t="inlineStr">
        <is>
          <t>ÖSTHAMMAR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24415-2025</t>
        </is>
      </c>
      <c r="B1485" s="1" t="n">
        <v>45797</v>
      </c>
      <c r="C1485" s="1" t="n">
        <v>45798</v>
      </c>
      <c r="D1485" t="inlineStr">
        <is>
          <t>UPPSALA LÄN</t>
        </is>
      </c>
      <c r="E1485" t="inlineStr">
        <is>
          <t>ÖSTHAMMAR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24389-2025</t>
        </is>
      </c>
      <c r="B1486" s="1" t="n">
        <v>45797</v>
      </c>
      <c r="C1486" s="1" t="n">
        <v>45798</v>
      </c>
      <c r="D1486" t="inlineStr">
        <is>
          <t>UPPSALA LÄN</t>
        </is>
      </c>
      <c r="E1486" t="inlineStr">
        <is>
          <t>ÖSTHAMMAR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24401-2025</t>
        </is>
      </c>
      <c r="B1487" s="1" t="n">
        <v>45797</v>
      </c>
      <c r="C1487" s="1" t="n">
        <v>45798</v>
      </c>
      <c r="D1487" t="inlineStr">
        <is>
          <t>UPPSALA LÄN</t>
        </is>
      </c>
      <c r="E1487" t="inlineStr">
        <is>
          <t>ÖSTHAMMAR</t>
        </is>
      </c>
      <c r="G1487" t="n">
        <v>1.4</v>
      </c>
      <c r="H1487" t="n">
        <v>0</v>
      </c>
      <c r="I1487" t="n">
        <v>0</v>
      </c>
      <c r="J1487" t="n">
        <v>0</v>
      </c>
      <c r="K1487" t="n">
        <v>0</v>
      </c>
      <c r="L1487" t="n">
        <v>0</v>
      </c>
      <c r="M1487" t="n">
        <v>0</v>
      </c>
      <c r="N1487" t="n">
        <v>0</v>
      </c>
      <c r="O1487" t="n">
        <v>0</v>
      </c>
      <c r="P1487" t="n">
        <v>0</v>
      </c>
      <c r="Q1487" t="n">
        <v>0</v>
      </c>
      <c r="R1487" s="2" t="inlineStr"/>
    </row>
    <row r="1488">
      <c r="A1488" t="inlineStr">
        <is>
          <t>A 24412-2025</t>
        </is>
      </c>
      <c r="B1488" s="1" t="n">
        <v>45797</v>
      </c>
      <c r="C1488" s="1" t="n">
        <v>45798</v>
      </c>
      <c r="D1488" t="inlineStr">
        <is>
          <t>UPPSALA LÄN</t>
        </is>
      </c>
      <c r="E1488" t="inlineStr">
        <is>
          <t>ÖSTHAMMAR</t>
        </is>
      </c>
      <c r="G1488" t="n">
        <v>1.2</v>
      </c>
      <c r="H1488" t="n">
        <v>0</v>
      </c>
      <c r="I1488" t="n">
        <v>0</v>
      </c>
      <c r="J1488" t="n">
        <v>0</v>
      </c>
      <c r="K1488" t="n">
        <v>0</v>
      </c>
      <c r="L1488" t="n">
        <v>0</v>
      </c>
      <c r="M1488" t="n">
        <v>0</v>
      </c>
      <c r="N1488" t="n">
        <v>0</v>
      </c>
      <c r="O1488" t="n">
        <v>0</v>
      </c>
      <c r="P1488" t="n">
        <v>0</v>
      </c>
      <c r="Q1488" t="n">
        <v>0</v>
      </c>
      <c r="R1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2025-05-21T17:21:12Z</dcterms:created>
  <dcterms:modified xmlns:dcterms="http://purl.org/dc/terms/" xmlns:xsi="http://www.w3.org/2001/XMLSchema-instance" xsi:type="dcterms:W3CDTF">2025-05-21T17:21:13Z</dcterms:modified>
</cp:coreProperties>
</file>