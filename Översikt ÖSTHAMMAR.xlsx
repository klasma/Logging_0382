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45567</v>
      </c>
      <c r="D4" t="inlineStr">
        <is>
          <t>UPPSALA LÄN</t>
        </is>
      </c>
      <c r="E4" t="inlineStr">
        <is>
          <t>ÖSTHAMMAR</t>
        </is>
      </c>
      <c r="F4" t="inlineStr">
        <is>
          <t>Bergvik skog öst AB</t>
        </is>
      </c>
      <c r="G4" t="n">
        <v>23.7</v>
      </c>
      <c r="H4" t="n">
        <v>10</v>
      </c>
      <c r="I4" t="n">
        <v>11</v>
      </c>
      <c r="J4" t="n">
        <v>6</v>
      </c>
      <c r="K4" t="n">
        <v>4</v>
      </c>
      <c r="L4" t="n">
        <v>0</v>
      </c>
      <c r="M4" t="n">
        <v>0</v>
      </c>
      <c r="N4" t="n">
        <v>0</v>
      </c>
      <c r="O4" t="n">
        <v>10</v>
      </c>
      <c r="P4" t="n">
        <v>4</v>
      </c>
      <c r="Q4" t="n">
        <v>27</v>
      </c>
      <c r="R4" s="2" t="inlineStr">
        <is>
          <t>Finporing
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45567</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42855-2023</t>
        </is>
      </c>
      <c r="B6" s="1" t="n">
        <v>45182</v>
      </c>
      <c r="C6" s="1" t="n">
        <v>45567</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45567</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45567</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45567</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45567</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45567</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45567</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45567</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45567</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45567</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45567</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45567</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45567</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45567</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45567</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45567</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45567</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45567</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45567</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45567</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45567</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45567</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45567</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45567</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45567</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45567</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45567</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45567</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45567</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45567</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45567</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45567</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45567</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45567</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45567</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45567</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45567</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45567</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45567</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45567</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45567</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45567</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45567</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45567</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26279-2024</t>
        </is>
      </c>
      <c r="B50" s="1" t="n">
        <v>45468</v>
      </c>
      <c r="C50" s="1" t="n">
        <v>45567</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8385-2020</t>
        </is>
      </c>
      <c r="B51" s="1" t="n">
        <v>43875</v>
      </c>
      <c r="C51" s="1" t="n">
        <v>45567</v>
      </c>
      <c r="D51" t="inlineStr">
        <is>
          <t>UPPSALA LÄN</t>
        </is>
      </c>
      <c r="E51" t="inlineStr">
        <is>
          <t>ÖSTHAMMAR</t>
        </is>
      </c>
      <c r="F51" t="inlineStr">
        <is>
          <t>Bergvik skog öst AB</t>
        </is>
      </c>
      <c r="G51" t="n">
        <v>0.7</v>
      </c>
      <c r="H51" t="n">
        <v>2</v>
      </c>
      <c r="I51" t="n">
        <v>1</v>
      </c>
      <c r="J51" t="n">
        <v>2</v>
      </c>
      <c r="K51" t="n">
        <v>0</v>
      </c>
      <c r="L51" t="n">
        <v>0</v>
      </c>
      <c r="M51" t="n">
        <v>0</v>
      </c>
      <c r="N51" t="n">
        <v>0</v>
      </c>
      <c r="O51" t="n">
        <v>2</v>
      </c>
      <c r="P51" t="n">
        <v>0</v>
      </c>
      <c r="Q51" t="n">
        <v>3</v>
      </c>
      <c r="R51" s="2" t="inlineStr">
        <is>
          <t>Gulsparv
Svartvit flugsnappare
Svavelriska</t>
        </is>
      </c>
      <c r="S51">
        <f>HYPERLINK("https://klasma.github.io/Logging_0382/artfynd/A 8385-2020 artfynd.xlsx", "A 8385-2020")</f>
        <v/>
      </c>
      <c r="T51">
        <f>HYPERLINK("https://klasma.github.io/Logging_0382/kartor/A 8385-2020 karta.png", "A 8385-2020")</f>
        <v/>
      </c>
      <c r="V51">
        <f>HYPERLINK("https://klasma.github.io/Logging_0382/klagomål/A 8385-2020 FSC-klagomål.docx", "A 8385-2020")</f>
        <v/>
      </c>
      <c r="W51">
        <f>HYPERLINK("https://klasma.github.io/Logging_0382/klagomålsmail/A 8385-2020 FSC-klagomål mail.docx", "A 8385-2020")</f>
        <v/>
      </c>
      <c r="X51">
        <f>HYPERLINK("https://klasma.github.io/Logging_0382/tillsyn/A 8385-2020 tillsynsbegäran.docx", "A 8385-2020")</f>
        <v/>
      </c>
      <c r="Y51">
        <f>HYPERLINK("https://klasma.github.io/Logging_0382/tillsynsmail/A 8385-2020 tillsynsbegäran mail.docx", "A 8385-2020")</f>
        <v/>
      </c>
      <c r="Z51">
        <f>HYPERLINK("https://klasma.github.io/Logging_0382/fåglar/A 8385-2020 prioriterade fågelarter.docx", "A 8385-2020")</f>
        <v/>
      </c>
    </row>
    <row r="52" ht="15" customHeight="1">
      <c r="A52" t="inlineStr">
        <is>
          <t>A 45714-2020</t>
        </is>
      </c>
      <c r="B52" s="1" t="n">
        <v>44090</v>
      </c>
      <c r="C52" s="1" t="n">
        <v>45567</v>
      </c>
      <c r="D52" t="inlineStr">
        <is>
          <t>UPPSALA LÄN</t>
        </is>
      </c>
      <c r="E52" t="inlineStr">
        <is>
          <t>ÖSTHAMMAR</t>
        </is>
      </c>
      <c r="F52" t="inlineStr">
        <is>
          <t>Övriga Aktiebolag</t>
        </is>
      </c>
      <c r="G52" t="n">
        <v>10.8</v>
      </c>
      <c r="H52" t="n">
        <v>1</v>
      </c>
      <c r="I52" t="n">
        <v>1</v>
      </c>
      <c r="J52" t="n">
        <v>2</v>
      </c>
      <c r="K52" t="n">
        <v>0</v>
      </c>
      <c r="L52" t="n">
        <v>0</v>
      </c>
      <c r="M52" t="n">
        <v>0</v>
      </c>
      <c r="N52" t="n">
        <v>0</v>
      </c>
      <c r="O52" t="n">
        <v>2</v>
      </c>
      <c r="P52" t="n">
        <v>0</v>
      </c>
      <c r="Q52" t="n">
        <v>3</v>
      </c>
      <c r="R52" s="2" t="inlineStr">
        <is>
          <t>Slåtterfibbla
Solvända
Skogsknipprot</t>
        </is>
      </c>
      <c r="S52">
        <f>HYPERLINK("https://klasma.github.io/Logging_0382/artfynd/A 45714-2020 artfynd.xlsx", "A 45714-2020")</f>
        <v/>
      </c>
      <c r="T52">
        <f>HYPERLINK("https://klasma.github.io/Logging_0382/kartor/A 45714-2020 karta.png", "A 45714-2020")</f>
        <v/>
      </c>
      <c r="V52">
        <f>HYPERLINK("https://klasma.github.io/Logging_0382/klagomål/A 45714-2020 FSC-klagomål.docx", "A 45714-2020")</f>
        <v/>
      </c>
      <c r="W52">
        <f>HYPERLINK("https://klasma.github.io/Logging_0382/klagomålsmail/A 45714-2020 FSC-klagomål mail.docx", "A 45714-2020")</f>
        <v/>
      </c>
      <c r="X52">
        <f>HYPERLINK("https://klasma.github.io/Logging_0382/tillsyn/A 45714-2020 tillsynsbegäran.docx", "A 45714-2020")</f>
        <v/>
      </c>
      <c r="Y52">
        <f>HYPERLINK("https://klasma.github.io/Logging_0382/tillsynsmail/A 45714-2020 tillsynsbegäran mail.docx", "A 45714-2020")</f>
        <v/>
      </c>
    </row>
    <row r="53" ht="15" customHeight="1">
      <c r="A53" t="inlineStr">
        <is>
          <t>A 33035-2021</t>
        </is>
      </c>
      <c r="B53" s="1" t="n">
        <v>44376</v>
      </c>
      <c r="C53" s="1" t="n">
        <v>45567</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55051-2021</t>
        </is>
      </c>
      <c r="B54" s="1" t="n">
        <v>44474</v>
      </c>
      <c r="C54" s="1" t="n">
        <v>45567</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69515-2021</t>
        </is>
      </c>
      <c r="B55" s="1" t="n">
        <v>44531</v>
      </c>
      <c r="C55" s="1" t="n">
        <v>45567</v>
      </c>
      <c r="D55" t="inlineStr">
        <is>
          <t>UPPSALA LÄN</t>
        </is>
      </c>
      <c r="E55" t="inlineStr">
        <is>
          <t>ÖSTHAMMAR</t>
        </is>
      </c>
      <c r="G55" t="n">
        <v>7</v>
      </c>
      <c r="H55" t="n">
        <v>1</v>
      </c>
      <c r="I55" t="n">
        <v>2</v>
      </c>
      <c r="J55" t="n">
        <v>0</v>
      </c>
      <c r="K55" t="n">
        <v>0</v>
      </c>
      <c r="L55" t="n">
        <v>0</v>
      </c>
      <c r="M55" t="n">
        <v>0</v>
      </c>
      <c r="N55" t="n">
        <v>0</v>
      </c>
      <c r="O55" t="n">
        <v>0</v>
      </c>
      <c r="P55" t="n">
        <v>0</v>
      </c>
      <c r="Q55" t="n">
        <v>3</v>
      </c>
      <c r="R55" s="2" t="inlineStr">
        <is>
          <t>Svart trolldruva
Underviol
Revlummer</t>
        </is>
      </c>
      <c r="S55">
        <f>HYPERLINK("https://klasma.github.io/Logging_0382/artfynd/A 69515-2021 artfynd.xlsx", "A 69515-2021")</f>
        <v/>
      </c>
      <c r="T55">
        <f>HYPERLINK("https://klasma.github.io/Logging_0382/kartor/A 69515-2021 karta.png", "A 69515-2021")</f>
        <v/>
      </c>
      <c r="V55">
        <f>HYPERLINK("https://klasma.github.io/Logging_0382/klagomål/A 69515-2021 FSC-klagomål.docx", "A 69515-2021")</f>
        <v/>
      </c>
      <c r="W55">
        <f>HYPERLINK("https://klasma.github.io/Logging_0382/klagomålsmail/A 69515-2021 FSC-klagomål mail.docx", "A 69515-2021")</f>
        <v/>
      </c>
      <c r="X55">
        <f>HYPERLINK("https://klasma.github.io/Logging_0382/tillsyn/A 69515-2021 tillsynsbegäran.docx", "A 69515-2021")</f>
        <v/>
      </c>
      <c r="Y55">
        <f>HYPERLINK("https://klasma.github.io/Logging_0382/tillsynsmail/A 69515-2021 tillsynsbegäran mail.docx", "A 69515-2021")</f>
        <v/>
      </c>
    </row>
    <row r="56" ht="15" customHeight="1">
      <c r="A56" t="inlineStr">
        <is>
          <t>A 26557-2022</t>
        </is>
      </c>
      <c r="B56" s="1" t="n">
        <v>44739</v>
      </c>
      <c r="C56" s="1" t="n">
        <v>45567</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52808-2022</t>
        </is>
      </c>
      <c r="B57" s="1" t="n">
        <v>44875</v>
      </c>
      <c r="C57" s="1" t="n">
        <v>45567</v>
      </c>
      <c r="D57" t="inlineStr">
        <is>
          <t>UPPSALA LÄN</t>
        </is>
      </c>
      <c r="E57" t="inlineStr">
        <is>
          <t>ÖSTHAMMAR</t>
        </is>
      </c>
      <c r="G57" t="n">
        <v>4.8</v>
      </c>
      <c r="H57" t="n">
        <v>2</v>
      </c>
      <c r="I57" t="n">
        <v>2</v>
      </c>
      <c r="J57" t="n">
        <v>0</v>
      </c>
      <c r="K57" t="n">
        <v>0</v>
      </c>
      <c r="L57" t="n">
        <v>0</v>
      </c>
      <c r="M57" t="n">
        <v>0</v>
      </c>
      <c r="N57" t="n">
        <v>0</v>
      </c>
      <c r="O57" t="n">
        <v>0</v>
      </c>
      <c r="P57" t="n">
        <v>0</v>
      </c>
      <c r="Q57" t="n">
        <v>3</v>
      </c>
      <c r="R57" s="2" t="inlineStr">
        <is>
          <t>Tibast
Tvåblad
Revlummer</t>
        </is>
      </c>
      <c r="S57">
        <f>HYPERLINK("https://klasma.github.io/Logging_0382/artfynd/A 52808-2022 artfynd.xlsx", "A 52808-2022")</f>
        <v/>
      </c>
      <c r="T57">
        <f>HYPERLINK("https://klasma.github.io/Logging_0382/kartor/A 52808-2022 karta.png", "A 52808-2022")</f>
        <v/>
      </c>
      <c r="V57">
        <f>HYPERLINK("https://klasma.github.io/Logging_0382/klagomål/A 52808-2022 FSC-klagomål.docx", "A 52808-2022")</f>
        <v/>
      </c>
      <c r="W57">
        <f>HYPERLINK("https://klasma.github.io/Logging_0382/klagomålsmail/A 52808-2022 FSC-klagomål mail.docx", "A 52808-2022")</f>
        <v/>
      </c>
      <c r="X57">
        <f>HYPERLINK("https://klasma.github.io/Logging_0382/tillsyn/A 52808-2022 tillsynsbegäran.docx", "A 52808-2022")</f>
        <v/>
      </c>
      <c r="Y57">
        <f>HYPERLINK("https://klasma.github.io/Logging_0382/tillsynsmail/A 52808-2022 tillsynsbegäran mail.docx", "A 52808-2022")</f>
        <v/>
      </c>
    </row>
    <row r="58" ht="15" customHeight="1">
      <c r="A58" t="inlineStr">
        <is>
          <t>A 9683-2023</t>
        </is>
      </c>
      <c r="B58" s="1" t="n">
        <v>44984</v>
      </c>
      <c r="C58" s="1" t="n">
        <v>45567</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12485-2023</t>
        </is>
      </c>
      <c r="B59" s="1" t="n">
        <v>44998</v>
      </c>
      <c r="C59" s="1" t="n">
        <v>45567</v>
      </c>
      <c r="D59" t="inlineStr">
        <is>
          <t>UPPSALA LÄN</t>
        </is>
      </c>
      <c r="E59" t="inlineStr">
        <is>
          <t>ÖSTHAMMAR</t>
        </is>
      </c>
      <c r="G59" t="n">
        <v>4.3</v>
      </c>
      <c r="H59" t="n">
        <v>0</v>
      </c>
      <c r="I59" t="n">
        <v>0</v>
      </c>
      <c r="J59" t="n">
        <v>3</v>
      </c>
      <c r="K59" t="n">
        <v>0</v>
      </c>
      <c r="L59" t="n">
        <v>0</v>
      </c>
      <c r="M59" t="n">
        <v>0</v>
      </c>
      <c r="N59" t="n">
        <v>0</v>
      </c>
      <c r="O59" t="n">
        <v>3</v>
      </c>
      <c r="P59" t="n">
        <v>0</v>
      </c>
      <c r="Q59" t="n">
        <v>3</v>
      </c>
      <c r="R59" s="2" t="inlineStr">
        <is>
          <t>Backklöver
Slåtterfibbla
Solvända</t>
        </is>
      </c>
      <c r="S59">
        <f>HYPERLINK("https://klasma.github.io/Logging_0382/artfynd/A 12485-2023 artfynd.xlsx", "A 12485-2023")</f>
        <v/>
      </c>
      <c r="T59">
        <f>HYPERLINK("https://klasma.github.io/Logging_0382/kartor/A 12485-2023 karta.png", "A 12485-2023")</f>
        <v/>
      </c>
      <c r="V59">
        <f>HYPERLINK("https://klasma.github.io/Logging_0382/klagomål/A 12485-2023 FSC-klagomål.docx", "A 12485-2023")</f>
        <v/>
      </c>
      <c r="W59">
        <f>HYPERLINK("https://klasma.github.io/Logging_0382/klagomålsmail/A 12485-2023 FSC-klagomål mail.docx", "A 12485-2023")</f>
        <v/>
      </c>
      <c r="X59">
        <f>HYPERLINK("https://klasma.github.io/Logging_0382/tillsyn/A 12485-2023 tillsynsbegäran.docx", "A 12485-2023")</f>
        <v/>
      </c>
      <c r="Y59">
        <f>HYPERLINK("https://klasma.github.io/Logging_0382/tillsynsmail/A 12485-2023 tillsynsbegäran mail.docx", "A 12485-2023")</f>
        <v/>
      </c>
    </row>
    <row r="60" ht="15" customHeight="1">
      <c r="A60" t="inlineStr">
        <is>
          <t>A 13120-2023</t>
        </is>
      </c>
      <c r="B60" s="1" t="n">
        <v>45002</v>
      </c>
      <c r="C60" s="1" t="n">
        <v>45567</v>
      </c>
      <c r="D60" t="inlineStr">
        <is>
          <t>UPPSALA LÄN</t>
        </is>
      </c>
      <c r="E60" t="inlineStr">
        <is>
          <t>ÖSTHAMMAR</t>
        </is>
      </c>
      <c r="G60" t="n">
        <v>5.8</v>
      </c>
      <c r="H60" t="n">
        <v>0</v>
      </c>
      <c r="I60" t="n">
        <v>3</v>
      </c>
      <c r="J60" t="n">
        <v>0</v>
      </c>
      <c r="K60" t="n">
        <v>0</v>
      </c>
      <c r="L60" t="n">
        <v>0</v>
      </c>
      <c r="M60" t="n">
        <v>0</v>
      </c>
      <c r="N60" t="n">
        <v>0</v>
      </c>
      <c r="O60" t="n">
        <v>0</v>
      </c>
      <c r="P60" t="n">
        <v>0</v>
      </c>
      <c r="Q60" t="n">
        <v>3</v>
      </c>
      <c r="R60" s="2" t="inlineStr">
        <is>
          <t>Anisspindling
Olivspindling
Rödgul trumpetsvamp</t>
        </is>
      </c>
      <c r="S60">
        <f>HYPERLINK("https://klasma.github.io/Logging_0382/artfynd/A 13120-2023 artfynd.xlsx", "A 13120-2023")</f>
        <v/>
      </c>
      <c r="T60">
        <f>HYPERLINK("https://klasma.github.io/Logging_0382/kartor/A 13120-2023 karta.png", "A 13120-2023")</f>
        <v/>
      </c>
      <c r="V60">
        <f>HYPERLINK("https://klasma.github.io/Logging_0382/klagomål/A 13120-2023 FSC-klagomål.docx", "A 13120-2023")</f>
        <v/>
      </c>
      <c r="W60">
        <f>HYPERLINK("https://klasma.github.io/Logging_0382/klagomålsmail/A 13120-2023 FSC-klagomål mail.docx", "A 13120-2023")</f>
        <v/>
      </c>
      <c r="X60">
        <f>HYPERLINK("https://klasma.github.io/Logging_0382/tillsyn/A 13120-2023 tillsynsbegäran.docx", "A 13120-2023")</f>
        <v/>
      </c>
      <c r="Y60">
        <f>HYPERLINK("https://klasma.github.io/Logging_0382/tillsynsmail/A 13120-2023 tillsynsbegäran mail.docx", "A 13120-2023")</f>
        <v/>
      </c>
    </row>
    <row r="61" ht="15" customHeight="1">
      <c r="A61" t="inlineStr">
        <is>
          <t>A 15179-2023</t>
        </is>
      </c>
      <c r="B61" s="1" t="n">
        <v>45016</v>
      </c>
      <c r="C61" s="1" t="n">
        <v>45567</v>
      </c>
      <c r="D61" t="inlineStr">
        <is>
          <t>UPPSALA LÄN</t>
        </is>
      </c>
      <c r="E61" t="inlineStr">
        <is>
          <t>ÖSTHAMMAR</t>
        </is>
      </c>
      <c r="G61" t="n">
        <v>6.1</v>
      </c>
      <c r="H61" t="n">
        <v>1</v>
      </c>
      <c r="I61" t="n">
        <v>3</v>
      </c>
      <c r="J61" t="n">
        <v>0</v>
      </c>
      <c r="K61" t="n">
        <v>0</v>
      </c>
      <c r="L61" t="n">
        <v>0</v>
      </c>
      <c r="M61" t="n">
        <v>0</v>
      </c>
      <c r="N61" t="n">
        <v>0</v>
      </c>
      <c r="O61" t="n">
        <v>0</v>
      </c>
      <c r="P61" t="n">
        <v>0</v>
      </c>
      <c r="Q61" t="n">
        <v>3</v>
      </c>
      <c r="R61" s="2" t="inlineStr">
        <is>
          <t>Skogsknipprot
Tibast
Vårärt</t>
        </is>
      </c>
      <c r="S61">
        <f>HYPERLINK("https://klasma.github.io/Logging_0382/artfynd/A 15179-2023 artfynd.xlsx", "A 15179-2023")</f>
        <v/>
      </c>
      <c r="T61">
        <f>HYPERLINK("https://klasma.github.io/Logging_0382/kartor/A 15179-2023 karta.png", "A 15179-2023")</f>
        <v/>
      </c>
      <c r="V61">
        <f>HYPERLINK("https://klasma.github.io/Logging_0382/klagomål/A 15179-2023 FSC-klagomål.docx", "A 15179-2023")</f>
        <v/>
      </c>
      <c r="W61">
        <f>HYPERLINK("https://klasma.github.io/Logging_0382/klagomålsmail/A 15179-2023 FSC-klagomål mail.docx", "A 15179-2023")</f>
        <v/>
      </c>
      <c r="X61">
        <f>HYPERLINK("https://klasma.github.io/Logging_0382/tillsyn/A 15179-2023 tillsynsbegäran.docx", "A 15179-2023")</f>
        <v/>
      </c>
      <c r="Y61">
        <f>HYPERLINK("https://klasma.github.io/Logging_0382/tillsynsmail/A 15179-2023 tillsynsbegäran mail.docx", "A 15179-2023")</f>
        <v/>
      </c>
    </row>
    <row r="62" ht="15" customHeight="1">
      <c r="A62" t="inlineStr">
        <is>
          <t>A 19884-2023</t>
        </is>
      </c>
      <c r="B62" s="1" t="n">
        <v>45054</v>
      </c>
      <c r="C62" s="1" t="n">
        <v>45567</v>
      </c>
      <c r="D62" t="inlineStr">
        <is>
          <t>UPPSALA LÄN</t>
        </is>
      </c>
      <c r="E62" t="inlineStr">
        <is>
          <t>ÖSTHAMMAR</t>
        </is>
      </c>
      <c r="G62" t="n">
        <v>2.5</v>
      </c>
      <c r="H62" t="n">
        <v>3</v>
      </c>
      <c r="I62" t="n">
        <v>0</v>
      </c>
      <c r="J62" t="n">
        <v>2</v>
      </c>
      <c r="K62" t="n">
        <v>0</v>
      </c>
      <c r="L62" t="n">
        <v>1</v>
      </c>
      <c r="M62" t="n">
        <v>0</v>
      </c>
      <c r="N62" t="n">
        <v>0</v>
      </c>
      <c r="O62" t="n">
        <v>3</v>
      </c>
      <c r="P62" t="n">
        <v>1</v>
      </c>
      <c r="Q62" t="n">
        <v>3</v>
      </c>
      <c r="R62" s="2" t="inlineStr">
        <is>
          <t>Grönfink
Grönsångare
Rödvingetrast</t>
        </is>
      </c>
      <c r="S62">
        <f>HYPERLINK("https://klasma.github.io/Logging_0382/artfynd/A 19884-2023 artfynd.xlsx", "A 19884-2023")</f>
        <v/>
      </c>
      <c r="T62">
        <f>HYPERLINK("https://klasma.github.io/Logging_0382/kartor/A 19884-2023 karta.png", "A 19884-2023")</f>
        <v/>
      </c>
      <c r="V62">
        <f>HYPERLINK("https://klasma.github.io/Logging_0382/klagomål/A 19884-2023 FSC-klagomål.docx", "A 19884-2023")</f>
        <v/>
      </c>
      <c r="W62">
        <f>HYPERLINK("https://klasma.github.io/Logging_0382/klagomålsmail/A 19884-2023 FSC-klagomål mail.docx", "A 19884-2023")</f>
        <v/>
      </c>
      <c r="X62">
        <f>HYPERLINK("https://klasma.github.io/Logging_0382/tillsyn/A 19884-2023 tillsynsbegäran.docx", "A 19884-2023")</f>
        <v/>
      </c>
      <c r="Y62">
        <f>HYPERLINK("https://klasma.github.io/Logging_0382/tillsynsmail/A 19884-2023 tillsynsbegäran mail.docx", "A 19884-2023")</f>
        <v/>
      </c>
      <c r="Z62">
        <f>HYPERLINK("https://klasma.github.io/Logging_0382/fåglar/A 19884-2023 prioriterade fågelarter.docx", "A 19884-2023")</f>
        <v/>
      </c>
    </row>
    <row r="63" ht="15" customHeight="1">
      <c r="A63" t="inlineStr">
        <is>
          <t>A 20115-2023</t>
        </is>
      </c>
      <c r="B63" s="1" t="n">
        <v>45055</v>
      </c>
      <c r="C63" s="1" t="n">
        <v>45567</v>
      </c>
      <c r="D63" t="inlineStr">
        <is>
          <t>UPPSALA LÄN</t>
        </is>
      </c>
      <c r="E63" t="inlineStr">
        <is>
          <t>ÖSTHAMMAR</t>
        </is>
      </c>
      <c r="G63" t="n">
        <v>13.4</v>
      </c>
      <c r="H63" t="n">
        <v>0</v>
      </c>
      <c r="I63" t="n">
        <v>0</v>
      </c>
      <c r="J63" t="n">
        <v>3</v>
      </c>
      <c r="K63" t="n">
        <v>0</v>
      </c>
      <c r="L63" t="n">
        <v>0</v>
      </c>
      <c r="M63" t="n">
        <v>0</v>
      </c>
      <c r="N63" t="n">
        <v>0</v>
      </c>
      <c r="O63" t="n">
        <v>3</v>
      </c>
      <c r="P63" t="n">
        <v>0</v>
      </c>
      <c r="Q63" t="n">
        <v>3</v>
      </c>
      <c r="R63" s="2" t="inlineStr">
        <is>
          <t>Grantaggsvamp
Leopardsköldbagge
Orange taggsvamp</t>
        </is>
      </c>
      <c r="S63">
        <f>HYPERLINK("https://klasma.github.io/Logging_0382/artfynd/A 20115-2023 artfynd.xlsx", "A 20115-2023")</f>
        <v/>
      </c>
      <c r="T63">
        <f>HYPERLINK("https://klasma.github.io/Logging_0382/kartor/A 20115-2023 karta.png", "A 20115-2023")</f>
        <v/>
      </c>
      <c r="U63">
        <f>HYPERLINK("https://klasma.github.io/Logging_0382/knärot/A 20115-2023 karta knärot.png", "A 20115-2023")</f>
        <v/>
      </c>
      <c r="V63">
        <f>HYPERLINK("https://klasma.github.io/Logging_0382/klagomål/A 20115-2023 FSC-klagomål.docx", "A 20115-2023")</f>
        <v/>
      </c>
      <c r="W63">
        <f>HYPERLINK("https://klasma.github.io/Logging_0382/klagomålsmail/A 20115-2023 FSC-klagomål mail.docx", "A 20115-2023")</f>
        <v/>
      </c>
      <c r="X63">
        <f>HYPERLINK("https://klasma.github.io/Logging_0382/tillsyn/A 20115-2023 tillsynsbegäran.docx", "A 20115-2023")</f>
        <v/>
      </c>
      <c r="Y63">
        <f>HYPERLINK("https://klasma.github.io/Logging_0382/tillsynsmail/A 20115-2023 tillsynsbegäran mail.docx", "A 20115-2023")</f>
        <v/>
      </c>
    </row>
    <row r="64" ht="15" customHeight="1">
      <c r="A64" t="inlineStr">
        <is>
          <t>A 46204-2023</t>
        </is>
      </c>
      <c r="B64" s="1" t="n">
        <v>45190</v>
      </c>
      <c r="C64" s="1" t="n">
        <v>45567</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53731-2023</t>
        </is>
      </c>
      <c r="B65" s="1" t="n">
        <v>45230</v>
      </c>
      <c r="C65" s="1" t="n">
        <v>45567</v>
      </c>
      <c r="D65" t="inlineStr">
        <is>
          <t>UPPSALA LÄN</t>
        </is>
      </c>
      <c r="E65" t="inlineStr">
        <is>
          <t>ÖSTHAMMAR</t>
        </is>
      </c>
      <c r="G65" t="n">
        <v>3.2</v>
      </c>
      <c r="H65" t="n">
        <v>0</v>
      </c>
      <c r="I65" t="n">
        <v>1</v>
      </c>
      <c r="J65" t="n">
        <v>1</v>
      </c>
      <c r="K65" t="n">
        <v>1</v>
      </c>
      <c r="L65" t="n">
        <v>0</v>
      </c>
      <c r="M65" t="n">
        <v>0</v>
      </c>
      <c r="N65" t="n">
        <v>0</v>
      </c>
      <c r="O65" t="n">
        <v>2</v>
      </c>
      <c r="P65" t="n">
        <v>1</v>
      </c>
      <c r="Q65" t="n">
        <v>3</v>
      </c>
      <c r="R65" s="2" t="inlineStr">
        <is>
          <t>Taggfingersvamp
Äggspindling
Sårläka</t>
        </is>
      </c>
      <c r="S65">
        <f>HYPERLINK("https://klasma.github.io/Logging_0382/artfynd/A 53731-2023 artfynd.xlsx", "A 53731-2023")</f>
        <v/>
      </c>
      <c r="T65">
        <f>HYPERLINK("https://klasma.github.io/Logging_0382/kartor/A 53731-2023 karta.png", "A 53731-2023")</f>
        <v/>
      </c>
      <c r="V65">
        <f>HYPERLINK("https://klasma.github.io/Logging_0382/klagomål/A 53731-2023 FSC-klagomål.docx", "A 53731-2023")</f>
        <v/>
      </c>
      <c r="W65">
        <f>HYPERLINK("https://klasma.github.io/Logging_0382/klagomålsmail/A 53731-2023 FSC-klagomål mail.docx", "A 53731-2023")</f>
        <v/>
      </c>
      <c r="X65">
        <f>HYPERLINK("https://klasma.github.io/Logging_0382/tillsyn/A 53731-2023 tillsynsbegäran.docx", "A 53731-2023")</f>
        <v/>
      </c>
      <c r="Y65">
        <f>HYPERLINK("https://klasma.github.io/Logging_0382/tillsynsmail/A 53731-2023 tillsynsbegäran mail.docx", "A 53731-2023")</f>
        <v/>
      </c>
    </row>
    <row r="66" ht="15" customHeight="1">
      <c r="A66" t="inlineStr">
        <is>
          <t>A 57633-2023</t>
        </is>
      </c>
      <c r="B66" s="1" t="n">
        <v>45246</v>
      </c>
      <c r="C66" s="1" t="n">
        <v>45567</v>
      </c>
      <c r="D66" t="inlineStr">
        <is>
          <t>UPPSALA LÄN</t>
        </is>
      </c>
      <c r="E66" t="inlineStr">
        <is>
          <t>ÖSTHAMMAR</t>
        </is>
      </c>
      <c r="F66" t="inlineStr">
        <is>
          <t>Bergvik skog öst AB</t>
        </is>
      </c>
      <c r="G66" t="n">
        <v>1</v>
      </c>
      <c r="H66" t="n">
        <v>1</v>
      </c>
      <c r="I66" t="n">
        <v>3</v>
      </c>
      <c r="J66" t="n">
        <v>0</v>
      </c>
      <c r="K66" t="n">
        <v>0</v>
      </c>
      <c r="L66" t="n">
        <v>0</v>
      </c>
      <c r="M66" t="n">
        <v>0</v>
      </c>
      <c r="N66" t="n">
        <v>0</v>
      </c>
      <c r="O66" t="n">
        <v>0</v>
      </c>
      <c r="P66" t="n">
        <v>0</v>
      </c>
      <c r="Q66" t="n">
        <v>3</v>
      </c>
      <c r="R66" s="2" t="inlineStr">
        <is>
          <t>Skogsknipprot
Svart trolldruva
Svavelriska</t>
        </is>
      </c>
      <c r="S66">
        <f>HYPERLINK("https://klasma.github.io/Logging_0382/artfynd/A 57633-2023 artfynd.xlsx", "A 57633-2023")</f>
        <v/>
      </c>
      <c r="T66">
        <f>HYPERLINK("https://klasma.github.io/Logging_0382/kartor/A 57633-2023 karta.png", "A 57633-2023")</f>
        <v/>
      </c>
      <c r="V66">
        <f>HYPERLINK("https://klasma.github.io/Logging_0382/klagomål/A 57633-2023 FSC-klagomål.docx", "A 57633-2023")</f>
        <v/>
      </c>
      <c r="W66">
        <f>HYPERLINK("https://klasma.github.io/Logging_0382/klagomålsmail/A 57633-2023 FSC-klagomål mail.docx", "A 57633-2023")</f>
        <v/>
      </c>
      <c r="X66">
        <f>HYPERLINK("https://klasma.github.io/Logging_0382/tillsyn/A 57633-2023 tillsynsbegäran.docx", "A 57633-2023")</f>
        <v/>
      </c>
      <c r="Y66">
        <f>HYPERLINK("https://klasma.github.io/Logging_0382/tillsynsmail/A 57633-2023 tillsynsbegäran mail.docx", "A 57633-2023")</f>
        <v/>
      </c>
    </row>
    <row r="67" ht="15" customHeight="1">
      <c r="A67" t="inlineStr">
        <is>
          <t>A 57636-2023</t>
        </is>
      </c>
      <c r="B67" s="1" t="n">
        <v>45246</v>
      </c>
      <c r="C67" s="1" t="n">
        <v>45567</v>
      </c>
      <c r="D67" t="inlineStr">
        <is>
          <t>UPPSALA LÄN</t>
        </is>
      </c>
      <c r="E67" t="inlineStr">
        <is>
          <t>ÖSTHAMMAR</t>
        </is>
      </c>
      <c r="F67" t="inlineStr">
        <is>
          <t>Bergvik skog öst AB</t>
        </is>
      </c>
      <c r="G67" t="n">
        <v>9.800000000000001</v>
      </c>
      <c r="H67" t="n">
        <v>1</v>
      </c>
      <c r="I67" t="n">
        <v>3</v>
      </c>
      <c r="J67" t="n">
        <v>0</v>
      </c>
      <c r="K67" t="n">
        <v>0</v>
      </c>
      <c r="L67" t="n">
        <v>0</v>
      </c>
      <c r="M67" t="n">
        <v>0</v>
      </c>
      <c r="N67" t="n">
        <v>0</v>
      </c>
      <c r="O67" t="n">
        <v>0</v>
      </c>
      <c r="P67" t="n">
        <v>0</v>
      </c>
      <c r="Q67" t="n">
        <v>3</v>
      </c>
      <c r="R67" s="2" t="inlineStr">
        <is>
          <t>Skogsknipprot
Svavelriska
Tibast</t>
        </is>
      </c>
      <c r="S67">
        <f>HYPERLINK("https://klasma.github.io/Logging_0382/artfynd/A 57636-2023 artfynd.xlsx", "A 57636-2023")</f>
        <v/>
      </c>
      <c r="T67">
        <f>HYPERLINK("https://klasma.github.io/Logging_0382/kartor/A 57636-2023 karta.png", "A 57636-2023")</f>
        <v/>
      </c>
      <c r="V67">
        <f>HYPERLINK("https://klasma.github.io/Logging_0382/klagomål/A 57636-2023 FSC-klagomål.docx", "A 57636-2023")</f>
        <v/>
      </c>
      <c r="W67">
        <f>HYPERLINK("https://klasma.github.io/Logging_0382/klagomålsmail/A 57636-2023 FSC-klagomål mail.docx", "A 57636-2023")</f>
        <v/>
      </c>
      <c r="X67">
        <f>HYPERLINK("https://klasma.github.io/Logging_0382/tillsyn/A 57636-2023 tillsynsbegäran.docx", "A 57636-2023")</f>
        <v/>
      </c>
      <c r="Y67">
        <f>HYPERLINK("https://klasma.github.io/Logging_0382/tillsynsmail/A 57636-2023 tillsynsbegäran mail.docx", "A 57636-2023")</f>
        <v/>
      </c>
    </row>
    <row r="68" ht="15" customHeight="1">
      <c r="A68" t="inlineStr">
        <is>
          <t>A 9715-2024</t>
        </is>
      </c>
      <c r="B68" s="1" t="n">
        <v>45362</v>
      </c>
      <c r="C68" s="1" t="n">
        <v>45567</v>
      </c>
      <c r="D68" t="inlineStr">
        <is>
          <t>UPPSALA LÄN</t>
        </is>
      </c>
      <c r="E68" t="inlineStr">
        <is>
          <t>ÖSTHAMMAR</t>
        </is>
      </c>
      <c r="G68" t="n">
        <v>4.7</v>
      </c>
      <c r="H68" t="n">
        <v>2</v>
      </c>
      <c r="I68" t="n">
        <v>2</v>
      </c>
      <c r="J68" t="n">
        <v>0</v>
      </c>
      <c r="K68" t="n">
        <v>1</v>
      </c>
      <c r="L68" t="n">
        <v>0</v>
      </c>
      <c r="M68" t="n">
        <v>0</v>
      </c>
      <c r="N68" t="n">
        <v>0</v>
      </c>
      <c r="O68" t="n">
        <v>1</v>
      </c>
      <c r="P68" t="n">
        <v>1</v>
      </c>
      <c r="Q68" t="n">
        <v>3</v>
      </c>
      <c r="R68" s="2" t="inlineStr">
        <is>
          <t>Knärot
Skogsknipprot
Vedticka</t>
        </is>
      </c>
      <c r="S68">
        <f>HYPERLINK("https://klasma.github.io/Logging_0382/artfynd/A 9715-2024 artfynd.xlsx", "A 9715-2024")</f>
        <v/>
      </c>
      <c r="T68">
        <f>HYPERLINK("https://klasma.github.io/Logging_0382/kartor/A 9715-2024 karta.png", "A 9715-2024")</f>
        <v/>
      </c>
      <c r="U68">
        <f>HYPERLINK("https://klasma.github.io/Logging_0382/knärot/A 9715-2024 karta knärot.png", "A 9715-2024")</f>
        <v/>
      </c>
      <c r="V68">
        <f>HYPERLINK("https://klasma.github.io/Logging_0382/klagomål/A 9715-2024 FSC-klagomål.docx", "A 9715-2024")</f>
        <v/>
      </c>
      <c r="W68">
        <f>HYPERLINK("https://klasma.github.io/Logging_0382/klagomålsmail/A 9715-2024 FSC-klagomål mail.docx", "A 9715-2024")</f>
        <v/>
      </c>
      <c r="X68">
        <f>HYPERLINK("https://klasma.github.io/Logging_0382/tillsyn/A 9715-2024 tillsynsbegäran.docx", "A 9715-2024")</f>
        <v/>
      </c>
      <c r="Y68">
        <f>HYPERLINK("https://klasma.github.io/Logging_0382/tillsynsmail/A 9715-2024 tillsynsbegäran mail.docx", "A 9715-2024")</f>
        <v/>
      </c>
    </row>
    <row r="69" ht="15" customHeight="1">
      <c r="A69" t="inlineStr">
        <is>
          <t>A 17004-2024</t>
        </is>
      </c>
      <c r="B69" s="1" t="n">
        <v>45412</v>
      </c>
      <c r="C69" s="1" t="n">
        <v>45567</v>
      </c>
      <c r="D69" t="inlineStr">
        <is>
          <t>UPPSALA LÄN</t>
        </is>
      </c>
      <c r="E69" t="inlineStr">
        <is>
          <t>ÖSTHAMMAR</t>
        </is>
      </c>
      <c r="F69" t="inlineStr">
        <is>
          <t>Bergvik skog öst AB</t>
        </is>
      </c>
      <c r="G69" t="n">
        <v>24.4</v>
      </c>
      <c r="H69" t="n">
        <v>0</v>
      </c>
      <c r="I69" t="n">
        <v>2</v>
      </c>
      <c r="J69" t="n">
        <v>0</v>
      </c>
      <c r="K69" t="n">
        <v>0</v>
      </c>
      <c r="L69" t="n">
        <v>0</v>
      </c>
      <c r="M69" t="n">
        <v>1</v>
      </c>
      <c r="N69" t="n">
        <v>0</v>
      </c>
      <c r="O69" t="n">
        <v>1</v>
      </c>
      <c r="P69" t="n">
        <v>1</v>
      </c>
      <c r="Q69" t="n">
        <v>3</v>
      </c>
      <c r="R69" s="2" t="inlineStr">
        <is>
          <t>Skogsalm
Myskmadra
Underviol</t>
        </is>
      </c>
      <c r="S69">
        <f>HYPERLINK("https://klasma.github.io/Logging_0382/artfynd/A 17004-2024 artfynd.xlsx", "A 17004-2024")</f>
        <v/>
      </c>
      <c r="T69">
        <f>HYPERLINK("https://klasma.github.io/Logging_0382/kartor/A 17004-2024 karta.png", "A 17004-2024")</f>
        <v/>
      </c>
      <c r="V69">
        <f>HYPERLINK("https://klasma.github.io/Logging_0382/klagomål/A 17004-2024 FSC-klagomål.docx", "A 17004-2024")</f>
        <v/>
      </c>
      <c r="W69">
        <f>HYPERLINK("https://klasma.github.io/Logging_0382/klagomålsmail/A 17004-2024 FSC-klagomål mail.docx", "A 17004-2024")</f>
        <v/>
      </c>
      <c r="X69">
        <f>HYPERLINK("https://klasma.github.io/Logging_0382/tillsyn/A 17004-2024 tillsynsbegäran.docx", "A 17004-2024")</f>
        <v/>
      </c>
      <c r="Y69">
        <f>HYPERLINK("https://klasma.github.io/Logging_0382/tillsynsmail/A 17004-2024 tillsynsbegäran mail.docx", "A 17004-2024")</f>
        <v/>
      </c>
    </row>
    <row r="70" ht="15" customHeight="1">
      <c r="A70" t="inlineStr">
        <is>
          <t>A 29322-2024</t>
        </is>
      </c>
      <c r="B70" s="1" t="n">
        <v>45483</v>
      </c>
      <c r="C70" s="1" t="n">
        <v>45567</v>
      </c>
      <c r="D70" t="inlineStr">
        <is>
          <t>UPPSALA LÄN</t>
        </is>
      </c>
      <c r="E70" t="inlineStr">
        <is>
          <t>ÖSTHAMMAR</t>
        </is>
      </c>
      <c r="G70" t="n">
        <v>11.9</v>
      </c>
      <c r="H70" t="n">
        <v>0</v>
      </c>
      <c r="I70" t="n">
        <v>2</v>
      </c>
      <c r="J70" t="n">
        <v>1</v>
      </c>
      <c r="K70" t="n">
        <v>0</v>
      </c>
      <c r="L70" t="n">
        <v>0</v>
      </c>
      <c r="M70" t="n">
        <v>0</v>
      </c>
      <c r="N70" t="n">
        <v>0</v>
      </c>
      <c r="O70" t="n">
        <v>1</v>
      </c>
      <c r="P70" t="n">
        <v>0</v>
      </c>
      <c r="Q70" t="n">
        <v>3</v>
      </c>
      <c r="R70" s="2" t="inlineStr">
        <is>
          <t>Äggspindling
Anisspindling
Guldkremla</t>
        </is>
      </c>
      <c r="S70">
        <f>HYPERLINK("https://klasma.github.io/Logging_0382/artfynd/A 29322-2024 artfynd.xlsx", "A 29322-2024")</f>
        <v/>
      </c>
      <c r="T70">
        <f>HYPERLINK("https://klasma.github.io/Logging_0382/kartor/A 29322-2024 karta.png", "A 29322-2024")</f>
        <v/>
      </c>
      <c r="V70">
        <f>HYPERLINK("https://klasma.github.io/Logging_0382/klagomål/A 29322-2024 FSC-klagomål.docx", "A 29322-2024")</f>
        <v/>
      </c>
      <c r="W70">
        <f>HYPERLINK("https://klasma.github.io/Logging_0382/klagomålsmail/A 29322-2024 FSC-klagomål mail.docx", "A 29322-2024")</f>
        <v/>
      </c>
      <c r="X70">
        <f>HYPERLINK("https://klasma.github.io/Logging_0382/tillsyn/A 29322-2024 tillsynsbegäran.docx", "A 29322-2024")</f>
        <v/>
      </c>
      <c r="Y70">
        <f>HYPERLINK("https://klasma.github.io/Logging_0382/tillsynsmail/A 29322-2024 tillsynsbegäran mail.docx", "A 29322-2024")</f>
        <v/>
      </c>
    </row>
    <row r="71" ht="15" customHeight="1">
      <c r="A71" t="inlineStr">
        <is>
          <t>A 2172-2020</t>
        </is>
      </c>
      <c r="B71" s="1" t="n">
        <v>43846</v>
      </c>
      <c r="C71" s="1" t="n">
        <v>45567</v>
      </c>
      <c r="D71" t="inlineStr">
        <is>
          <t>UPPSALA LÄN</t>
        </is>
      </c>
      <c r="E71" t="inlineStr">
        <is>
          <t>ÖSTHAMMAR</t>
        </is>
      </c>
      <c r="G71" t="n">
        <v>3.8</v>
      </c>
      <c r="H71" t="n">
        <v>0</v>
      </c>
      <c r="I71" t="n">
        <v>1</v>
      </c>
      <c r="J71" t="n">
        <v>1</v>
      </c>
      <c r="K71" t="n">
        <v>0</v>
      </c>
      <c r="L71" t="n">
        <v>0</v>
      </c>
      <c r="M71" t="n">
        <v>0</v>
      </c>
      <c r="N71" t="n">
        <v>0</v>
      </c>
      <c r="O71" t="n">
        <v>1</v>
      </c>
      <c r="P71" t="n">
        <v>0</v>
      </c>
      <c r="Q71" t="n">
        <v>2</v>
      </c>
      <c r="R71" s="2" t="inlineStr">
        <is>
          <t>Flattoppad klubbsvamp
Zontaggsvamp</t>
        </is>
      </c>
      <c r="S71">
        <f>HYPERLINK("https://klasma.github.io/Logging_0382/artfynd/A 2172-2020 artfynd.xlsx", "A 2172-2020")</f>
        <v/>
      </c>
      <c r="T71">
        <f>HYPERLINK("https://klasma.github.io/Logging_0382/kartor/A 2172-2020 karta.png", "A 2172-2020")</f>
        <v/>
      </c>
      <c r="V71">
        <f>HYPERLINK("https://klasma.github.io/Logging_0382/klagomål/A 2172-2020 FSC-klagomål.docx", "A 2172-2020")</f>
        <v/>
      </c>
      <c r="W71">
        <f>HYPERLINK("https://klasma.github.io/Logging_0382/klagomålsmail/A 2172-2020 FSC-klagomål mail.docx", "A 2172-2020")</f>
        <v/>
      </c>
      <c r="X71">
        <f>HYPERLINK("https://klasma.github.io/Logging_0382/tillsyn/A 2172-2020 tillsynsbegäran.docx", "A 2172-2020")</f>
        <v/>
      </c>
      <c r="Y71">
        <f>HYPERLINK("https://klasma.github.io/Logging_0382/tillsynsmail/A 2172-2020 tillsynsbegäran mail.docx", "A 2172-2020")</f>
        <v/>
      </c>
    </row>
    <row r="72" ht="15" customHeight="1">
      <c r="A72" t="inlineStr">
        <is>
          <t>A 9867-2020</t>
        </is>
      </c>
      <c r="B72" s="1" t="n">
        <v>43882</v>
      </c>
      <c r="C72" s="1" t="n">
        <v>45567</v>
      </c>
      <c r="D72" t="inlineStr">
        <is>
          <t>UPPSALA LÄN</t>
        </is>
      </c>
      <c r="E72" t="inlineStr">
        <is>
          <t>ÖSTHAMMAR</t>
        </is>
      </c>
      <c r="F72" t="inlineStr">
        <is>
          <t>Bergvik skog öst AB</t>
        </is>
      </c>
      <c r="G72" t="n">
        <v>11.1</v>
      </c>
      <c r="H72" t="n">
        <v>1</v>
      </c>
      <c r="I72" t="n">
        <v>1</v>
      </c>
      <c r="J72" t="n">
        <v>0</v>
      </c>
      <c r="K72" t="n">
        <v>0</v>
      </c>
      <c r="L72" t="n">
        <v>0</v>
      </c>
      <c r="M72" t="n">
        <v>0</v>
      </c>
      <c r="N72" t="n">
        <v>0</v>
      </c>
      <c r="O72" t="n">
        <v>0</v>
      </c>
      <c r="P72" t="n">
        <v>0</v>
      </c>
      <c r="Q72" t="n">
        <v>2</v>
      </c>
      <c r="R72" s="2" t="inlineStr">
        <is>
          <t>Gräsull
Revlummer</t>
        </is>
      </c>
      <c r="S72">
        <f>HYPERLINK("https://klasma.github.io/Logging_0382/artfynd/A 9867-2020 artfynd.xlsx", "A 9867-2020")</f>
        <v/>
      </c>
      <c r="T72">
        <f>HYPERLINK("https://klasma.github.io/Logging_0382/kartor/A 9867-2020 karta.png", "A 9867-2020")</f>
        <v/>
      </c>
      <c r="V72">
        <f>HYPERLINK("https://klasma.github.io/Logging_0382/klagomål/A 9867-2020 FSC-klagomål.docx", "A 9867-2020")</f>
        <v/>
      </c>
      <c r="W72">
        <f>HYPERLINK("https://klasma.github.io/Logging_0382/klagomålsmail/A 9867-2020 FSC-klagomål mail.docx", "A 9867-2020")</f>
        <v/>
      </c>
      <c r="X72">
        <f>HYPERLINK("https://klasma.github.io/Logging_0382/tillsyn/A 9867-2020 tillsynsbegäran.docx", "A 9867-2020")</f>
        <v/>
      </c>
      <c r="Y72">
        <f>HYPERLINK("https://klasma.github.io/Logging_0382/tillsynsmail/A 9867-2020 tillsynsbegäran mail.docx", "A 9867-2020")</f>
        <v/>
      </c>
    </row>
    <row r="73" ht="15" customHeight="1">
      <c r="A73" t="inlineStr">
        <is>
          <t>A 42520-2020</t>
        </is>
      </c>
      <c r="B73" s="1" t="n">
        <v>44077</v>
      </c>
      <c r="C73" s="1" t="n">
        <v>45567</v>
      </c>
      <c r="D73" t="inlineStr">
        <is>
          <t>UPPSALA LÄN</t>
        </is>
      </c>
      <c r="E73" t="inlineStr">
        <is>
          <t>ÖSTHAMMAR</t>
        </is>
      </c>
      <c r="G73" t="n">
        <v>2.8</v>
      </c>
      <c r="H73" t="n">
        <v>1</v>
      </c>
      <c r="I73" t="n">
        <v>2</v>
      </c>
      <c r="J73" t="n">
        <v>0</v>
      </c>
      <c r="K73" t="n">
        <v>0</v>
      </c>
      <c r="L73" t="n">
        <v>0</v>
      </c>
      <c r="M73" t="n">
        <v>0</v>
      </c>
      <c r="N73" t="n">
        <v>0</v>
      </c>
      <c r="O73" t="n">
        <v>0</v>
      </c>
      <c r="P73" t="n">
        <v>0</v>
      </c>
      <c r="Q73" t="n">
        <v>2</v>
      </c>
      <c r="R73" s="2" t="inlineStr">
        <is>
          <t>Hasselticka
Skogsknipprot</t>
        </is>
      </c>
      <c r="S73">
        <f>HYPERLINK("https://klasma.github.io/Logging_0382/artfynd/A 42520-2020 artfynd.xlsx", "A 42520-2020")</f>
        <v/>
      </c>
      <c r="T73">
        <f>HYPERLINK("https://klasma.github.io/Logging_0382/kartor/A 42520-2020 karta.png", "A 42520-2020")</f>
        <v/>
      </c>
      <c r="V73">
        <f>HYPERLINK("https://klasma.github.io/Logging_0382/klagomål/A 42520-2020 FSC-klagomål.docx", "A 42520-2020")</f>
        <v/>
      </c>
      <c r="W73">
        <f>HYPERLINK("https://klasma.github.io/Logging_0382/klagomålsmail/A 42520-2020 FSC-klagomål mail.docx", "A 42520-2020")</f>
        <v/>
      </c>
      <c r="X73">
        <f>HYPERLINK("https://klasma.github.io/Logging_0382/tillsyn/A 42520-2020 tillsynsbegäran.docx", "A 42520-2020")</f>
        <v/>
      </c>
      <c r="Y73">
        <f>HYPERLINK("https://klasma.github.io/Logging_0382/tillsynsmail/A 42520-2020 tillsynsbegäran mail.docx", "A 42520-2020")</f>
        <v/>
      </c>
    </row>
    <row r="74" ht="15" customHeight="1">
      <c r="A74" t="inlineStr">
        <is>
          <t>A 59416-2020</t>
        </is>
      </c>
      <c r="B74" s="1" t="n">
        <v>44148</v>
      </c>
      <c r="C74" s="1" t="n">
        <v>45567</v>
      </c>
      <c r="D74" t="inlineStr">
        <is>
          <t>UPPSALA LÄN</t>
        </is>
      </c>
      <c r="E74" t="inlineStr">
        <is>
          <t>ÖSTHAMMAR</t>
        </is>
      </c>
      <c r="F74" t="inlineStr">
        <is>
          <t>Sveaskog</t>
        </is>
      </c>
      <c r="G74" t="n">
        <v>1.7</v>
      </c>
      <c r="H74" t="n">
        <v>2</v>
      </c>
      <c r="I74" t="n">
        <v>0</v>
      </c>
      <c r="J74" t="n">
        <v>1</v>
      </c>
      <c r="K74" t="n">
        <v>0</v>
      </c>
      <c r="L74" t="n">
        <v>1</v>
      </c>
      <c r="M74" t="n">
        <v>0</v>
      </c>
      <c r="N74" t="n">
        <v>0</v>
      </c>
      <c r="O74" t="n">
        <v>2</v>
      </c>
      <c r="P74" t="n">
        <v>1</v>
      </c>
      <c r="Q74" t="n">
        <v>2</v>
      </c>
      <c r="R74" s="2" t="inlineStr">
        <is>
          <t>Grönfink
Svartvit flugsnappare</t>
        </is>
      </c>
      <c r="S74">
        <f>HYPERLINK("https://klasma.github.io/Logging_0382/artfynd/A 59416-2020 artfynd.xlsx", "A 59416-2020")</f>
        <v/>
      </c>
      <c r="T74">
        <f>HYPERLINK("https://klasma.github.io/Logging_0382/kartor/A 59416-2020 karta.png", "A 59416-2020")</f>
        <v/>
      </c>
      <c r="V74">
        <f>HYPERLINK("https://klasma.github.io/Logging_0382/klagomål/A 59416-2020 FSC-klagomål.docx", "A 59416-2020")</f>
        <v/>
      </c>
      <c r="W74">
        <f>HYPERLINK("https://klasma.github.io/Logging_0382/klagomålsmail/A 59416-2020 FSC-klagomål mail.docx", "A 59416-2020")</f>
        <v/>
      </c>
      <c r="X74">
        <f>HYPERLINK("https://klasma.github.io/Logging_0382/tillsyn/A 59416-2020 tillsynsbegäran.docx", "A 59416-2020")</f>
        <v/>
      </c>
      <c r="Y74">
        <f>HYPERLINK("https://klasma.github.io/Logging_0382/tillsynsmail/A 59416-2020 tillsynsbegäran mail.docx", "A 59416-2020")</f>
        <v/>
      </c>
      <c r="Z74">
        <f>HYPERLINK("https://klasma.github.io/Logging_0382/fåglar/A 59416-2020 prioriterade fågelarter.docx", "A 59416-2020")</f>
        <v/>
      </c>
    </row>
    <row r="75" ht="15" customHeight="1">
      <c r="A75" t="inlineStr">
        <is>
          <t>A 6223-2021</t>
        </is>
      </c>
      <c r="B75" s="1" t="n">
        <v>44235</v>
      </c>
      <c r="C75" s="1" t="n">
        <v>45567</v>
      </c>
      <c r="D75" t="inlineStr">
        <is>
          <t>UPPSALA LÄN</t>
        </is>
      </c>
      <c r="E75" t="inlineStr">
        <is>
          <t>ÖSTHAMMAR</t>
        </is>
      </c>
      <c r="G75" t="n">
        <v>0.5</v>
      </c>
      <c r="H75" t="n">
        <v>2</v>
      </c>
      <c r="I75" t="n">
        <v>0</v>
      </c>
      <c r="J75" t="n">
        <v>0</v>
      </c>
      <c r="K75" t="n">
        <v>0</v>
      </c>
      <c r="L75" t="n">
        <v>0</v>
      </c>
      <c r="M75" t="n">
        <v>0</v>
      </c>
      <c r="N75" t="n">
        <v>0</v>
      </c>
      <c r="O75" t="n">
        <v>0</v>
      </c>
      <c r="P75" t="n">
        <v>0</v>
      </c>
      <c r="Q75" t="n">
        <v>2</v>
      </c>
      <c r="R75" s="2" t="inlineStr">
        <is>
          <t>Blåsippa
Gullviva</t>
        </is>
      </c>
      <c r="S75">
        <f>HYPERLINK("https://klasma.github.io/Logging_0382/artfynd/A 6223-2021 artfynd.xlsx", "A 6223-2021")</f>
        <v/>
      </c>
      <c r="T75">
        <f>HYPERLINK("https://klasma.github.io/Logging_0382/kartor/A 6223-2021 karta.png", "A 6223-2021")</f>
        <v/>
      </c>
      <c r="V75">
        <f>HYPERLINK("https://klasma.github.io/Logging_0382/klagomål/A 6223-2021 FSC-klagomål.docx", "A 6223-2021")</f>
        <v/>
      </c>
      <c r="W75">
        <f>HYPERLINK("https://klasma.github.io/Logging_0382/klagomålsmail/A 6223-2021 FSC-klagomål mail.docx", "A 6223-2021")</f>
        <v/>
      </c>
      <c r="X75">
        <f>HYPERLINK("https://klasma.github.io/Logging_0382/tillsyn/A 6223-2021 tillsynsbegäran.docx", "A 6223-2021")</f>
        <v/>
      </c>
      <c r="Y75">
        <f>HYPERLINK("https://klasma.github.io/Logging_0382/tillsynsmail/A 6223-2021 tillsynsbegäran mail.docx", "A 6223-2021")</f>
        <v/>
      </c>
    </row>
    <row r="76" ht="15" customHeight="1">
      <c r="A76" t="inlineStr">
        <is>
          <t>A 60078-2021</t>
        </is>
      </c>
      <c r="B76" s="1" t="n">
        <v>44495</v>
      </c>
      <c r="C76" s="1" t="n">
        <v>45567</v>
      </c>
      <c r="D76" t="inlineStr">
        <is>
          <t>UPPSALA LÄN</t>
        </is>
      </c>
      <c r="E76" t="inlineStr">
        <is>
          <t>ÖSTHAMMAR</t>
        </is>
      </c>
      <c r="G76" t="n">
        <v>1.1</v>
      </c>
      <c r="H76" t="n">
        <v>0</v>
      </c>
      <c r="I76" t="n">
        <v>0</v>
      </c>
      <c r="J76" t="n">
        <v>1</v>
      </c>
      <c r="K76" t="n">
        <v>1</v>
      </c>
      <c r="L76" t="n">
        <v>0</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67855-2021</t>
        </is>
      </c>
      <c r="B77" s="1" t="n">
        <v>44525</v>
      </c>
      <c r="C77" s="1" t="n">
        <v>45567</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69241-2021</t>
        </is>
      </c>
      <c r="B78" s="1" t="n">
        <v>44529</v>
      </c>
      <c r="C78" s="1" t="n">
        <v>45567</v>
      </c>
      <c r="D78" t="inlineStr">
        <is>
          <t>UPPSALA LÄN</t>
        </is>
      </c>
      <c r="E78" t="inlineStr">
        <is>
          <t>ÖSTHAMMAR</t>
        </is>
      </c>
      <c r="G78" t="n">
        <v>0.7</v>
      </c>
      <c r="H78" t="n">
        <v>0</v>
      </c>
      <c r="I78" t="n">
        <v>1</v>
      </c>
      <c r="J78" t="n">
        <v>1</v>
      </c>
      <c r="K78" t="n">
        <v>0</v>
      </c>
      <c r="L78" t="n">
        <v>0</v>
      </c>
      <c r="M78" t="n">
        <v>0</v>
      </c>
      <c r="N78" t="n">
        <v>0</v>
      </c>
      <c r="O78" t="n">
        <v>1</v>
      </c>
      <c r="P78" t="n">
        <v>0</v>
      </c>
      <c r="Q78" t="n">
        <v>2</v>
      </c>
      <c r="R78" s="2" t="inlineStr">
        <is>
          <t>Harticka
Zontaggsvamp</t>
        </is>
      </c>
      <c r="S78">
        <f>HYPERLINK("https://klasma.github.io/Logging_0382/artfynd/A 69241-2021 artfynd.xlsx", "A 69241-2021")</f>
        <v/>
      </c>
      <c r="T78">
        <f>HYPERLINK("https://klasma.github.io/Logging_0382/kartor/A 69241-2021 karta.png", "A 69241-2021")</f>
        <v/>
      </c>
      <c r="V78">
        <f>HYPERLINK("https://klasma.github.io/Logging_0382/klagomål/A 69241-2021 FSC-klagomål.docx", "A 69241-2021")</f>
        <v/>
      </c>
      <c r="W78">
        <f>HYPERLINK("https://klasma.github.io/Logging_0382/klagomålsmail/A 69241-2021 FSC-klagomål mail.docx", "A 69241-2021")</f>
        <v/>
      </c>
      <c r="X78">
        <f>HYPERLINK("https://klasma.github.io/Logging_0382/tillsyn/A 69241-2021 tillsynsbegäran.docx", "A 69241-2021")</f>
        <v/>
      </c>
      <c r="Y78">
        <f>HYPERLINK("https://klasma.github.io/Logging_0382/tillsynsmail/A 69241-2021 tillsynsbegäran mail.docx", "A 69241-2021")</f>
        <v/>
      </c>
    </row>
    <row r="79" ht="15" customHeight="1">
      <c r="A79" t="inlineStr">
        <is>
          <t>A 73981-2021</t>
        </is>
      </c>
      <c r="B79" s="1" t="n">
        <v>44555</v>
      </c>
      <c r="C79" s="1" t="n">
        <v>45567</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8290-2022</t>
        </is>
      </c>
      <c r="B80" s="1" t="n">
        <v>44610</v>
      </c>
      <c r="C80" s="1" t="n">
        <v>45567</v>
      </c>
      <c r="D80" t="inlineStr">
        <is>
          <t>UPPSALA LÄN</t>
        </is>
      </c>
      <c r="E80" t="inlineStr">
        <is>
          <t>ÖSTHAMMAR</t>
        </is>
      </c>
      <c r="G80" t="n">
        <v>3.5</v>
      </c>
      <c r="H80" t="n">
        <v>0</v>
      </c>
      <c r="I80" t="n">
        <v>1</v>
      </c>
      <c r="J80" t="n">
        <v>0</v>
      </c>
      <c r="K80" t="n">
        <v>1</v>
      </c>
      <c r="L80" t="n">
        <v>0</v>
      </c>
      <c r="M80" t="n">
        <v>0</v>
      </c>
      <c r="N80" t="n">
        <v>0</v>
      </c>
      <c r="O80" t="n">
        <v>1</v>
      </c>
      <c r="P80" t="n">
        <v>1</v>
      </c>
      <c r="Q80" t="n">
        <v>2</v>
      </c>
      <c r="R80" s="2" t="inlineStr">
        <is>
          <t>Gul lammticka
Brandmusseron</t>
        </is>
      </c>
      <c r="S80">
        <f>HYPERLINK("https://klasma.github.io/Logging_0382/artfynd/A 8290-2022 artfynd.xlsx", "A 8290-2022")</f>
        <v/>
      </c>
      <c r="T80">
        <f>HYPERLINK("https://klasma.github.io/Logging_0382/kartor/A 8290-2022 karta.png", "A 8290-2022")</f>
        <v/>
      </c>
      <c r="V80">
        <f>HYPERLINK("https://klasma.github.io/Logging_0382/klagomål/A 8290-2022 FSC-klagomål.docx", "A 8290-2022")</f>
        <v/>
      </c>
      <c r="W80">
        <f>HYPERLINK("https://klasma.github.io/Logging_0382/klagomålsmail/A 8290-2022 FSC-klagomål mail.docx", "A 8290-2022")</f>
        <v/>
      </c>
      <c r="X80">
        <f>HYPERLINK("https://klasma.github.io/Logging_0382/tillsyn/A 8290-2022 tillsynsbegäran.docx", "A 8290-2022")</f>
        <v/>
      </c>
      <c r="Y80">
        <f>HYPERLINK("https://klasma.github.io/Logging_0382/tillsynsmail/A 8290-2022 tillsynsbegäran mail.docx", "A 8290-2022")</f>
        <v/>
      </c>
    </row>
    <row r="81" ht="15" customHeight="1">
      <c r="A81" t="inlineStr">
        <is>
          <t>A 13287-2022</t>
        </is>
      </c>
      <c r="B81" s="1" t="n">
        <v>44644</v>
      </c>
      <c r="C81" s="1" t="n">
        <v>45567</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25098-2022</t>
        </is>
      </c>
      <c r="B82" s="1" t="n">
        <v>44729</v>
      </c>
      <c r="C82" s="1" t="n">
        <v>45567</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32064-2022</t>
        </is>
      </c>
      <c r="B83" s="1" t="n">
        <v>44778</v>
      </c>
      <c r="C83" s="1" t="n">
        <v>45567</v>
      </c>
      <c r="D83" t="inlineStr">
        <is>
          <t>UPPSALA LÄN</t>
        </is>
      </c>
      <c r="E83" t="inlineStr">
        <is>
          <t>ÖSTHAMMAR</t>
        </is>
      </c>
      <c r="G83" t="n">
        <v>2.2</v>
      </c>
      <c r="H83" t="n">
        <v>0</v>
      </c>
      <c r="I83" t="n">
        <v>1</v>
      </c>
      <c r="J83" t="n">
        <v>0</v>
      </c>
      <c r="K83" t="n">
        <v>1</v>
      </c>
      <c r="L83" t="n">
        <v>0</v>
      </c>
      <c r="M83" t="n">
        <v>0</v>
      </c>
      <c r="N83" t="n">
        <v>0</v>
      </c>
      <c r="O83" t="n">
        <v>1</v>
      </c>
      <c r="P83" t="n">
        <v>1</v>
      </c>
      <c r="Q83" t="n">
        <v>2</v>
      </c>
      <c r="R83" s="2" t="inlineStr">
        <is>
          <t>Gul lammticka
Olivspindling</t>
        </is>
      </c>
      <c r="S83">
        <f>HYPERLINK("https://klasma.github.io/Logging_0382/artfynd/A 32064-2022 artfynd.xlsx", "A 32064-2022")</f>
        <v/>
      </c>
      <c r="T83">
        <f>HYPERLINK("https://klasma.github.io/Logging_0382/kartor/A 32064-2022 karta.png", "A 32064-2022")</f>
        <v/>
      </c>
      <c r="V83">
        <f>HYPERLINK("https://klasma.github.io/Logging_0382/klagomål/A 32064-2022 FSC-klagomål.docx", "A 32064-2022")</f>
        <v/>
      </c>
      <c r="W83">
        <f>HYPERLINK("https://klasma.github.io/Logging_0382/klagomålsmail/A 32064-2022 FSC-klagomål mail.docx", "A 32064-2022")</f>
        <v/>
      </c>
      <c r="X83">
        <f>HYPERLINK("https://klasma.github.io/Logging_0382/tillsyn/A 32064-2022 tillsynsbegäran.docx", "A 32064-2022")</f>
        <v/>
      </c>
      <c r="Y83">
        <f>HYPERLINK("https://klasma.github.io/Logging_0382/tillsynsmail/A 32064-2022 tillsynsbegäran mail.docx", "A 32064-2022")</f>
        <v/>
      </c>
    </row>
    <row r="84" ht="15" customHeight="1">
      <c r="A84" t="inlineStr">
        <is>
          <t>A 52654-2022</t>
        </is>
      </c>
      <c r="B84" s="1" t="n">
        <v>44874</v>
      </c>
      <c r="C84" s="1" t="n">
        <v>45567</v>
      </c>
      <c r="D84" t="inlineStr">
        <is>
          <t>UPPSALA LÄN</t>
        </is>
      </c>
      <c r="E84" t="inlineStr">
        <is>
          <t>ÖSTHAMMAR</t>
        </is>
      </c>
      <c r="F84" t="inlineStr">
        <is>
          <t>Bergvik skog öst AB</t>
        </is>
      </c>
      <c r="G84" t="n">
        <v>5.2</v>
      </c>
      <c r="H84" t="n">
        <v>2</v>
      </c>
      <c r="I84" t="n">
        <v>0</v>
      </c>
      <c r="J84" t="n">
        <v>2</v>
      </c>
      <c r="K84" t="n">
        <v>0</v>
      </c>
      <c r="L84" t="n">
        <v>0</v>
      </c>
      <c r="M84" t="n">
        <v>0</v>
      </c>
      <c r="N84" t="n">
        <v>0</v>
      </c>
      <c r="O84" t="n">
        <v>2</v>
      </c>
      <c r="P84" t="n">
        <v>0</v>
      </c>
      <c r="Q84" t="n">
        <v>2</v>
      </c>
      <c r="R84" s="2" t="inlineStr">
        <is>
          <t>Fiskmås
Strandskata</t>
        </is>
      </c>
      <c r="S84">
        <f>HYPERLINK("https://klasma.github.io/Logging_0382/artfynd/A 52654-2022 artfynd.xlsx", "A 52654-2022")</f>
        <v/>
      </c>
      <c r="T84">
        <f>HYPERLINK("https://klasma.github.io/Logging_0382/kartor/A 52654-2022 karta.png", "A 52654-2022")</f>
        <v/>
      </c>
      <c r="V84">
        <f>HYPERLINK("https://klasma.github.io/Logging_0382/klagomål/A 52654-2022 FSC-klagomål.docx", "A 52654-2022")</f>
        <v/>
      </c>
      <c r="W84">
        <f>HYPERLINK("https://klasma.github.io/Logging_0382/klagomålsmail/A 52654-2022 FSC-klagomål mail.docx", "A 52654-2022")</f>
        <v/>
      </c>
      <c r="X84">
        <f>HYPERLINK("https://klasma.github.io/Logging_0382/tillsyn/A 52654-2022 tillsynsbegäran.docx", "A 52654-2022")</f>
        <v/>
      </c>
      <c r="Y84">
        <f>HYPERLINK("https://klasma.github.io/Logging_0382/tillsynsmail/A 52654-2022 tillsynsbegäran mail.docx", "A 52654-2022")</f>
        <v/>
      </c>
    </row>
    <row r="85" ht="15" customHeight="1">
      <c r="A85" t="inlineStr">
        <is>
          <t>A 52658-2022</t>
        </is>
      </c>
      <c r="B85" s="1" t="n">
        <v>44874</v>
      </c>
      <c r="C85" s="1" t="n">
        <v>45567</v>
      </c>
      <c r="D85" t="inlineStr">
        <is>
          <t>UPPSALA LÄN</t>
        </is>
      </c>
      <c r="E85" t="inlineStr">
        <is>
          <t>ÖSTHAMMAR</t>
        </is>
      </c>
      <c r="F85" t="inlineStr">
        <is>
          <t>Bergvik skog öst AB</t>
        </is>
      </c>
      <c r="G85" t="n">
        <v>1.4</v>
      </c>
      <c r="H85" t="n">
        <v>2</v>
      </c>
      <c r="I85" t="n">
        <v>0</v>
      </c>
      <c r="J85" t="n">
        <v>2</v>
      </c>
      <c r="K85" t="n">
        <v>0</v>
      </c>
      <c r="L85" t="n">
        <v>0</v>
      </c>
      <c r="M85" t="n">
        <v>0</v>
      </c>
      <c r="N85" t="n">
        <v>0</v>
      </c>
      <c r="O85" t="n">
        <v>2</v>
      </c>
      <c r="P85" t="n">
        <v>0</v>
      </c>
      <c r="Q85" t="n">
        <v>2</v>
      </c>
      <c r="R85" s="2" t="inlineStr">
        <is>
          <t>Strandskata
Svartvit flugsnappare</t>
        </is>
      </c>
      <c r="S85">
        <f>HYPERLINK("https://klasma.github.io/Logging_0382/artfynd/A 52658-2022 artfynd.xlsx", "A 52658-2022")</f>
        <v/>
      </c>
      <c r="T85">
        <f>HYPERLINK("https://klasma.github.io/Logging_0382/kartor/A 52658-2022 karta.png", "A 52658-2022")</f>
        <v/>
      </c>
      <c r="V85">
        <f>HYPERLINK("https://klasma.github.io/Logging_0382/klagomål/A 52658-2022 FSC-klagomål.docx", "A 52658-2022")</f>
        <v/>
      </c>
      <c r="W85">
        <f>HYPERLINK("https://klasma.github.io/Logging_0382/klagomålsmail/A 52658-2022 FSC-klagomål mail.docx", "A 52658-2022")</f>
        <v/>
      </c>
      <c r="X85">
        <f>HYPERLINK("https://klasma.github.io/Logging_0382/tillsyn/A 52658-2022 tillsynsbegäran.docx", "A 52658-2022")</f>
        <v/>
      </c>
      <c r="Y85">
        <f>HYPERLINK("https://klasma.github.io/Logging_0382/tillsynsmail/A 52658-2022 tillsynsbegäran mail.docx", "A 52658-2022")</f>
        <v/>
      </c>
      <c r="Z85">
        <f>HYPERLINK("https://klasma.github.io/Logging_0382/fåglar/A 52658-2022 prioriterade fågelarter.docx", "A 52658-2022")</f>
        <v/>
      </c>
    </row>
    <row r="86" ht="15" customHeight="1">
      <c r="A86" t="inlineStr">
        <is>
          <t>A 6981-2023</t>
        </is>
      </c>
      <c r="B86" s="1" t="n">
        <v>44967</v>
      </c>
      <c r="C86" s="1" t="n">
        <v>45567</v>
      </c>
      <c r="D86" t="inlineStr">
        <is>
          <t>UPPSALA LÄN</t>
        </is>
      </c>
      <c r="E86" t="inlineStr">
        <is>
          <t>ÖSTHAMMAR</t>
        </is>
      </c>
      <c r="G86" t="n">
        <v>3.2</v>
      </c>
      <c r="H86" t="n">
        <v>1</v>
      </c>
      <c r="I86" t="n">
        <v>0</v>
      </c>
      <c r="J86" t="n">
        <v>1</v>
      </c>
      <c r="K86" t="n">
        <v>0</v>
      </c>
      <c r="L86" t="n">
        <v>0</v>
      </c>
      <c r="M86" t="n">
        <v>0</v>
      </c>
      <c r="N86" t="n">
        <v>0</v>
      </c>
      <c r="O86" t="n">
        <v>1</v>
      </c>
      <c r="P86" t="n">
        <v>0</v>
      </c>
      <c r="Q86" t="n">
        <v>2</v>
      </c>
      <c r="R86" s="2" t="inlineStr">
        <is>
          <t>Tallticka
Större vattensalamander</t>
        </is>
      </c>
      <c r="S86">
        <f>HYPERLINK("https://klasma.github.io/Logging_0382/artfynd/A 6981-2023 artfynd.xlsx", "A 6981-2023")</f>
        <v/>
      </c>
      <c r="T86">
        <f>HYPERLINK("https://klasma.github.io/Logging_0382/kartor/A 6981-2023 karta.png", "A 6981-2023")</f>
        <v/>
      </c>
      <c r="V86">
        <f>HYPERLINK("https://klasma.github.io/Logging_0382/klagomål/A 6981-2023 FSC-klagomål.docx", "A 6981-2023")</f>
        <v/>
      </c>
      <c r="W86">
        <f>HYPERLINK("https://klasma.github.io/Logging_0382/klagomålsmail/A 6981-2023 FSC-klagomål mail.docx", "A 6981-2023")</f>
        <v/>
      </c>
      <c r="X86">
        <f>HYPERLINK("https://klasma.github.io/Logging_0382/tillsyn/A 6981-2023 tillsynsbegäran.docx", "A 6981-2023")</f>
        <v/>
      </c>
      <c r="Y86">
        <f>HYPERLINK("https://klasma.github.io/Logging_0382/tillsynsmail/A 6981-2023 tillsynsbegäran mail.docx", "A 6981-2023")</f>
        <v/>
      </c>
    </row>
    <row r="87" ht="15" customHeight="1">
      <c r="A87" t="inlineStr">
        <is>
          <t>A 21453-2023</t>
        </is>
      </c>
      <c r="B87" s="1" t="n">
        <v>45063</v>
      </c>
      <c r="C87" s="1" t="n">
        <v>45567</v>
      </c>
      <c r="D87" t="inlineStr">
        <is>
          <t>UPPSALA LÄN</t>
        </is>
      </c>
      <c r="E87" t="inlineStr">
        <is>
          <t>ÖSTHAMMAR</t>
        </is>
      </c>
      <c r="F87" t="inlineStr">
        <is>
          <t>Bergvik skog väst AB</t>
        </is>
      </c>
      <c r="G87" t="n">
        <v>6.1</v>
      </c>
      <c r="H87" t="n">
        <v>1</v>
      </c>
      <c r="I87" t="n">
        <v>1</v>
      </c>
      <c r="J87" t="n">
        <v>0</v>
      </c>
      <c r="K87" t="n">
        <v>0</v>
      </c>
      <c r="L87" t="n">
        <v>0</v>
      </c>
      <c r="M87" t="n">
        <v>0</v>
      </c>
      <c r="N87" t="n">
        <v>0</v>
      </c>
      <c r="O87" t="n">
        <v>0</v>
      </c>
      <c r="P87" t="n">
        <v>0</v>
      </c>
      <c r="Q87" t="n">
        <v>2</v>
      </c>
      <c r="R87" s="2" t="inlineStr">
        <is>
          <t>Fransig jordstjärna
Blåsippa</t>
        </is>
      </c>
      <c r="S87">
        <f>HYPERLINK("https://klasma.github.io/Logging_0382/artfynd/A 21453-2023 artfynd.xlsx", "A 21453-2023")</f>
        <v/>
      </c>
      <c r="T87">
        <f>HYPERLINK("https://klasma.github.io/Logging_0382/kartor/A 21453-2023 karta.png", "A 21453-2023")</f>
        <v/>
      </c>
      <c r="V87">
        <f>HYPERLINK("https://klasma.github.io/Logging_0382/klagomål/A 21453-2023 FSC-klagomål.docx", "A 21453-2023")</f>
        <v/>
      </c>
      <c r="W87">
        <f>HYPERLINK("https://klasma.github.io/Logging_0382/klagomålsmail/A 21453-2023 FSC-klagomål mail.docx", "A 21453-2023")</f>
        <v/>
      </c>
      <c r="X87">
        <f>HYPERLINK("https://klasma.github.io/Logging_0382/tillsyn/A 21453-2023 tillsynsbegäran.docx", "A 21453-2023")</f>
        <v/>
      </c>
      <c r="Y87">
        <f>HYPERLINK("https://klasma.github.io/Logging_0382/tillsynsmail/A 21453-2023 tillsynsbegäran mail.docx", "A 21453-2023")</f>
        <v/>
      </c>
    </row>
    <row r="88" ht="15" customHeight="1">
      <c r="A88" t="inlineStr">
        <is>
          <t>A 21422-2023</t>
        </is>
      </c>
      <c r="B88" s="1" t="n">
        <v>45063</v>
      </c>
      <c r="C88" s="1" t="n">
        <v>45567</v>
      </c>
      <c r="D88" t="inlineStr">
        <is>
          <t>UPPSALA LÄN</t>
        </is>
      </c>
      <c r="E88" t="inlineStr">
        <is>
          <t>ÖSTHAMMAR</t>
        </is>
      </c>
      <c r="F88" t="inlineStr">
        <is>
          <t>Sveaskog</t>
        </is>
      </c>
      <c r="G88" t="n">
        <v>2.8</v>
      </c>
      <c r="H88" t="n">
        <v>2</v>
      </c>
      <c r="I88" t="n">
        <v>0</v>
      </c>
      <c r="J88" t="n">
        <v>1</v>
      </c>
      <c r="K88" t="n">
        <v>0</v>
      </c>
      <c r="L88" t="n">
        <v>0</v>
      </c>
      <c r="M88" t="n">
        <v>0</v>
      </c>
      <c r="N88" t="n">
        <v>0</v>
      </c>
      <c r="O88" t="n">
        <v>1</v>
      </c>
      <c r="P88" t="n">
        <v>0</v>
      </c>
      <c r="Q88" t="n">
        <v>2</v>
      </c>
      <c r="R88" s="2" t="inlineStr">
        <is>
          <t>Nordfladdermus
Dvärgpipistrell</t>
        </is>
      </c>
      <c r="S88">
        <f>HYPERLINK("https://klasma.github.io/Logging_0382/artfynd/A 21422-2023 artfynd.xlsx", "A 21422-2023")</f>
        <v/>
      </c>
      <c r="T88">
        <f>HYPERLINK("https://klasma.github.io/Logging_0382/kartor/A 21422-2023 karta.png", "A 21422-2023")</f>
        <v/>
      </c>
      <c r="V88">
        <f>HYPERLINK("https://klasma.github.io/Logging_0382/klagomål/A 21422-2023 FSC-klagomål.docx", "A 21422-2023")</f>
        <v/>
      </c>
      <c r="W88">
        <f>HYPERLINK("https://klasma.github.io/Logging_0382/klagomålsmail/A 21422-2023 FSC-klagomål mail.docx", "A 21422-2023")</f>
        <v/>
      </c>
      <c r="X88">
        <f>HYPERLINK("https://klasma.github.io/Logging_0382/tillsyn/A 21422-2023 tillsynsbegäran.docx", "A 21422-2023")</f>
        <v/>
      </c>
      <c r="Y88">
        <f>HYPERLINK("https://klasma.github.io/Logging_0382/tillsynsmail/A 21422-2023 tillsynsbegäran mail.docx", "A 21422-2023")</f>
        <v/>
      </c>
    </row>
    <row r="89" ht="15" customHeight="1">
      <c r="A89" t="inlineStr">
        <is>
          <t>A 26602-2023</t>
        </is>
      </c>
      <c r="B89" s="1" t="n">
        <v>45092</v>
      </c>
      <c r="C89" s="1" t="n">
        <v>45567</v>
      </c>
      <c r="D89" t="inlineStr">
        <is>
          <t>UPPSALA LÄN</t>
        </is>
      </c>
      <c r="E89" t="inlineStr">
        <is>
          <t>ÖSTHAMMAR</t>
        </is>
      </c>
      <c r="F89" t="inlineStr">
        <is>
          <t>Sveaskog</t>
        </is>
      </c>
      <c r="G89" t="n">
        <v>1.6</v>
      </c>
      <c r="H89" t="n">
        <v>2</v>
      </c>
      <c r="I89" t="n">
        <v>0</v>
      </c>
      <c r="J89" t="n">
        <v>2</v>
      </c>
      <c r="K89" t="n">
        <v>0</v>
      </c>
      <c r="L89" t="n">
        <v>0</v>
      </c>
      <c r="M89" t="n">
        <v>0</v>
      </c>
      <c r="N89" t="n">
        <v>0</v>
      </c>
      <c r="O89" t="n">
        <v>2</v>
      </c>
      <c r="P89" t="n">
        <v>0</v>
      </c>
      <c r="Q89" t="n">
        <v>2</v>
      </c>
      <c r="R89" s="2" t="inlineStr">
        <is>
          <t>Gulsparv
Skrattmås</t>
        </is>
      </c>
      <c r="S89">
        <f>HYPERLINK("https://klasma.github.io/Logging_0382/artfynd/A 26602-2023 artfynd.xlsx", "A 26602-2023")</f>
        <v/>
      </c>
      <c r="T89">
        <f>HYPERLINK("https://klasma.github.io/Logging_0382/kartor/A 26602-2023 karta.png", "A 26602-2023")</f>
        <v/>
      </c>
      <c r="V89">
        <f>HYPERLINK("https://klasma.github.io/Logging_0382/klagomål/A 26602-2023 FSC-klagomål.docx", "A 26602-2023")</f>
        <v/>
      </c>
      <c r="W89">
        <f>HYPERLINK("https://klasma.github.io/Logging_0382/klagomålsmail/A 26602-2023 FSC-klagomål mail.docx", "A 26602-2023")</f>
        <v/>
      </c>
      <c r="X89">
        <f>HYPERLINK("https://klasma.github.io/Logging_0382/tillsyn/A 26602-2023 tillsynsbegäran.docx", "A 26602-2023")</f>
        <v/>
      </c>
      <c r="Y89">
        <f>HYPERLINK("https://klasma.github.io/Logging_0382/tillsynsmail/A 26602-2023 tillsynsbegäran mail.docx", "A 26602-2023")</f>
        <v/>
      </c>
      <c r="Z89">
        <f>HYPERLINK("https://klasma.github.io/Logging_0382/fåglar/A 26602-2023 prioriterade fågelarter.docx", "A 26602-2023")</f>
        <v/>
      </c>
    </row>
    <row r="90" ht="15" customHeight="1">
      <c r="A90" t="inlineStr">
        <is>
          <t>A 36876-2023</t>
        </is>
      </c>
      <c r="B90" s="1" t="n">
        <v>45154</v>
      </c>
      <c r="C90" s="1" t="n">
        <v>45567</v>
      </c>
      <c r="D90" t="inlineStr">
        <is>
          <t>UPPSALA LÄN</t>
        </is>
      </c>
      <c r="E90" t="inlineStr">
        <is>
          <t>ÖSTHAMMAR</t>
        </is>
      </c>
      <c r="F90" t="inlineStr">
        <is>
          <t>Övriga Aktiebolag</t>
        </is>
      </c>
      <c r="G90" t="n">
        <v>12.6</v>
      </c>
      <c r="H90" t="n">
        <v>1</v>
      </c>
      <c r="I90" t="n">
        <v>0</v>
      </c>
      <c r="J90" t="n">
        <v>2</v>
      </c>
      <c r="K90" t="n">
        <v>0</v>
      </c>
      <c r="L90" t="n">
        <v>0</v>
      </c>
      <c r="M90" t="n">
        <v>0</v>
      </c>
      <c r="N90" t="n">
        <v>0</v>
      </c>
      <c r="O90" t="n">
        <v>2</v>
      </c>
      <c r="P90" t="n">
        <v>0</v>
      </c>
      <c r="Q90" t="n">
        <v>2</v>
      </c>
      <c r="R90" s="2" t="inlineStr">
        <is>
          <t>Slaguggla
Slåtterfibbla</t>
        </is>
      </c>
      <c r="S90">
        <f>HYPERLINK("https://klasma.github.io/Logging_0382/artfynd/A 36876-2023 artfynd.xlsx", "A 36876-2023")</f>
        <v/>
      </c>
      <c r="T90">
        <f>HYPERLINK("https://klasma.github.io/Logging_0382/kartor/A 36876-2023 karta.png", "A 36876-2023")</f>
        <v/>
      </c>
      <c r="V90">
        <f>HYPERLINK("https://klasma.github.io/Logging_0382/klagomål/A 36876-2023 FSC-klagomål.docx", "A 36876-2023")</f>
        <v/>
      </c>
      <c r="W90">
        <f>HYPERLINK("https://klasma.github.io/Logging_0382/klagomålsmail/A 36876-2023 FSC-klagomål mail.docx", "A 36876-2023")</f>
        <v/>
      </c>
      <c r="X90">
        <f>HYPERLINK("https://klasma.github.io/Logging_0382/tillsyn/A 36876-2023 tillsynsbegäran.docx", "A 36876-2023")</f>
        <v/>
      </c>
      <c r="Y90">
        <f>HYPERLINK("https://klasma.github.io/Logging_0382/tillsynsmail/A 36876-2023 tillsynsbegäran mail.docx", "A 36876-2023")</f>
        <v/>
      </c>
      <c r="Z90">
        <f>HYPERLINK("https://klasma.github.io/Logging_0382/fåglar/A 36876-2023 prioriterade fågelarter.docx", "A 36876-2023")</f>
        <v/>
      </c>
    </row>
    <row r="91" ht="15" customHeight="1">
      <c r="A91" t="inlineStr">
        <is>
          <t>A 48209-2023</t>
        </is>
      </c>
      <c r="B91" s="1" t="n">
        <v>45205</v>
      </c>
      <c r="C91" s="1" t="n">
        <v>45567</v>
      </c>
      <c r="D91" t="inlineStr">
        <is>
          <t>UPPSALA LÄN</t>
        </is>
      </c>
      <c r="E91" t="inlineStr">
        <is>
          <t>ÖSTHAMMAR</t>
        </is>
      </c>
      <c r="G91" t="n">
        <v>3.7</v>
      </c>
      <c r="H91" t="n">
        <v>1</v>
      </c>
      <c r="I91" t="n">
        <v>2</v>
      </c>
      <c r="J91" t="n">
        <v>0</v>
      </c>
      <c r="K91" t="n">
        <v>0</v>
      </c>
      <c r="L91" t="n">
        <v>0</v>
      </c>
      <c r="M91" t="n">
        <v>0</v>
      </c>
      <c r="N91" t="n">
        <v>0</v>
      </c>
      <c r="O91" t="n">
        <v>0</v>
      </c>
      <c r="P91" t="n">
        <v>0</v>
      </c>
      <c r="Q91" t="n">
        <v>2</v>
      </c>
      <c r="R91" s="2" t="inlineStr">
        <is>
          <t>Skogsknipprot
Tibast</t>
        </is>
      </c>
      <c r="S91">
        <f>HYPERLINK("https://klasma.github.io/Logging_0382/artfynd/A 48209-2023 artfynd.xlsx", "A 48209-2023")</f>
        <v/>
      </c>
      <c r="T91">
        <f>HYPERLINK("https://klasma.github.io/Logging_0382/kartor/A 48209-2023 karta.png", "A 48209-2023")</f>
        <v/>
      </c>
      <c r="V91">
        <f>HYPERLINK("https://klasma.github.io/Logging_0382/klagomål/A 48209-2023 FSC-klagomål.docx", "A 48209-2023")</f>
        <v/>
      </c>
      <c r="W91">
        <f>HYPERLINK("https://klasma.github.io/Logging_0382/klagomålsmail/A 48209-2023 FSC-klagomål mail.docx", "A 48209-2023")</f>
        <v/>
      </c>
      <c r="X91">
        <f>HYPERLINK("https://klasma.github.io/Logging_0382/tillsyn/A 48209-2023 tillsynsbegäran.docx", "A 48209-2023")</f>
        <v/>
      </c>
      <c r="Y91">
        <f>HYPERLINK("https://klasma.github.io/Logging_0382/tillsynsmail/A 48209-2023 tillsynsbegäran mail.docx", "A 48209-2023")</f>
        <v/>
      </c>
    </row>
    <row r="92" ht="15" customHeight="1">
      <c r="A92" t="inlineStr">
        <is>
          <t>A 48723-2023</t>
        </is>
      </c>
      <c r="B92" s="1" t="n">
        <v>45208</v>
      </c>
      <c r="C92" s="1" t="n">
        <v>45567</v>
      </c>
      <c r="D92" t="inlineStr">
        <is>
          <t>UPPSALA LÄN</t>
        </is>
      </c>
      <c r="E92" t="inlineStr">
        <is>
          <t>ÖSTHAMMAR</t>
        </is>
      </c>
      <c r="G92" t="n">
        <v>1</v>
      </c>
      <c r="H92" t="n">
        <v>0</v>
      </c>
      <c r="I92" t="n">
        <v>2</v>
      </c>
      <c r="J92" t="n">
        <v>0</v>
      </c>
      <c r="K92" t="n">
        <v>0</v>
      </c>
      <c r="L92" t="n">
        <v>0</v>
      </c>
      <c r="M92" t="n">
        <v>0</v>
      </c>
      <c r="N92" t="n">
        <v>0</v>
      </c>
      <c r="O92" t="n">
        <v>0</v>
      </c>
      <c r="P92" t="n">
        <v>0</v>
      </c>
      <c r="Q92" t="n">
        <v>2</v>
      </c>
      <c r="R92" s="2" t="inlineStr">
        <is>
          <t>Anisspindling
Fjällig taggsvamp s.str.</t>
        </is>
      </c>
      <c r="S92">
        <f>HYPERLINK("https://klasma.github.io/Logging_0382/artfynd/A 48723-2023 artfynd.xlsx", "A 48723-2023")</f>
        <v/>
      </c>
      <c r="T92">
        <f>HYPERLINK("https://klasma.github.io/Logging_0382/kartor/A 48723-2023 karta.png", "A 48723-2023")</f>
        <v/>
      </c>
      <c r="V92">
        <f>HYPERLINK("https://klasma.github.io/Logging_0382/klagomål/A 48723-2023 FSC-klagomål.docx", "A 48723-2023")</f>
        <v/>
      </c>
      <c r="W92">
        <f>HYPERLINK("https://klasma.github.io/Logging_0382/klagomålsmail/A 48723-2023 FSC-klagomål mail.docx", "A 48723-2023")</f>
        <v/>
      </c>
      <c r="X92">
        <f>HYPERLINK("https://klasma.github.io/Logging_0382/tillsyn/A 48723-2023 tillsynsbegäran.docx", "A 48723-2023")</f>
        <v/>
      </c>
      <c r="Y92">
        <f>HYPERLINK("https://klasma.github.io/Logging_0382/tillsynsmail/A 48723-2023 tillsynsbegäran mail.docx", "A 48723-2023")</f>
        <v/>
      </c>
    </row>
    <row r="93" ht="15" customHeight="1">
      <c r="A93" t="inlineStr">
        <is>
          <t>A 55508-2023</t>
        </is>
      </c>
      <c r="B93" s="1" t="n">
        <v>45238</v>
      </c>
      <c r="C93" s="1" t="n">
        <v>45567</v>
      </c>
      <c r="D93" t="inlineStr">
        <is>
          <t>UPPSALA LÄN</t>
        </is>
      </c>
      <c r="E93" t="inlineStr">
        <is>
          <t>ÖSTHAMMAR</t>
        </is>
      </c>
      <c r="G93" t="n">
        <v>3.4</v>
      </c>
      <c r="H93" t="n">
        <v>1</v>
      </c>
      <c r="I93" t="n">
        <v>1</v>
      </c>
      <c r="J93" t="n">
        <v>1</v>
      </c>
      <c r="K93" t="n">
        <v>0</v>
      </c>
      <c r="L93" t="n">
        <v>0</v>
      </c>
      <c r="M93" t="n">
        <v>0</v>
      </c>
      <c r="N93" t="n">
        <v>0</v>
      </c>
      <c r="O93" t="n">
        <v>1</v>
      </c>
      <c r="P93" t="n">
        <v>0</v>
      </c>
      <c r="Q93" t="n">
        <v>2</v>
      </c>
      <c r="R93" s="2" t="inlineStr">
        <is>
          <t>Svart taggsvamp
Guckusko</t>
        </is>
      </c>
      <c r="S93">
        <f>HYPERLINK("https://klasma.github.io/Logging_0382/artfynd/A 55508-2023 artfynd.xlsx", "A 55508-2023")</f>
        <v/>
      </c>
      <c r="T93">
        <f>HYPERLINK("https://klasma.github.io/Logging_0382/kartor/A 55508-2023 karta.png", "A 55508-2023")</f>
        <v/>
      </c>
      <c r="V93">
        <f>HYPERLINK("https://klasma.github.io/Logging_0382/klagomål/A 55508-2023 FSC-klagomål.docx", "A 55508-2023")</f>
        <v/>
      </c>
      <c r="W93">
        <f>HYPERLINK("https://klasma.github.io/Logging_0382/klagomålsmail/A 55508-2023 FSC-klagomål mail.docx", "A 55508-2023")</f>
        <v/>
      </c>
      <c r="X93">
        <f>HYPERLINK("https://klasma.github.io/Logging_0382/tillsyn/A 55508-2023 tillsynsbegäran.docx", "A 55508-2023")</f>
        <v/>
      </c>
      <c r="Y93">
        <f>HYPERLINK("https://klasma.github.io/Logging_0382/tillsynsmail/A 55508-2023 tillsynsbegäran mail.docx", "A 55508-2023")</f>
        <v/>
      </c>
    </row>
    <row r="94" ht="15" customHeight="1">
      <c r="A94" t="inlineStr">
        <is>
          <t>A 55385-2023</t>
        </is>
      </c>
      <c r="B94" s="1" t="n">
        <v>45238</v>
      </c>
      <c r="C94" s="1" t="n">
        <v>45567</v>
      </c>
      <c r="D94" t="inlineStr">
        <is>
          <t>UPPSALA LÄN</t>
        </is>
      </c>
      <c r="E94" t="inlineStr">
        <is>
          <t>ÖSTHAMMAR</t>
        </is>
      </c>
      <c r="G94" t="n">
        <v>3</v>
      </c>
      <c r="H94" t="n">
        <v>1</v>
      </c>
      <c r="I94" t="n">
        <v>2</v>
      </c>
      <c r="J94" t="n">
        <v>0</v>
      </c>
      <c r="K94" t="n">
        <v>0</v>
      </c>
      <c r="L94" t="n">
        <v>0</v>
      </c>
      <c r="M94" t="n">
        <v>0</v>
      </c>
      <c r="N94" t="n">
        <v>0</v>
      </c>
      <c r="O94" t="n">
        <v>0</v>
      </c>
      <c r="P94" t="n">
        <v>0</v>
      </c>
      <c r="Q94" t="n">
        <v>2</v>
      </c>
      <c r="R94" s="2" t="inlineStr">
        <is>
          <t>Guckusko
Korallblylav</t>
        </is>
      </c>
      <c r="S94">
        <f>HYPERLINK("https://klasma.github.io/Logging_0382/artfynd/A 55385-2023 artfynd.xlsx", "A 55385-2023")</f>
        <v/>
      </c>
      <c r="T94">
        <f>HYPERLINK("https://klasma.github.io/Logging_0382/kartor/A 55385-2023 karta.png", "A 55385-2023")</f>
        <v/>
      </c>
      <c r="V94">
        <f>HYPERLINK("https://klasma.github.io/Logging_0382/klagomål/A 55385-2023 FSC-klagomål.docx", "A 55385-2023")</f>
        <v/>
      </c>
      <c r="W94">
        <f>HYPERLINK("https://klasma.github.io/Logging_0382/klagomålsmail/A 55385-2023 FSC-klagomål mail.docx", "A 55385-2023")</f>
        <v/>
      </c>
      <c r="X94">
        <f>HYPERLINK("https://klasma.github.io/Logging_0382/tillsyn/A 55385-2023 tillsynsbegäran.docx", "A 55385-2023")</f>
        <v/>
      </c>
      <c r="Y94">
        <f>HYPERLINK("https://klasma.github.io/Logging_0382/tillsynsmail/A 55385-2023 tillsynsbegäran mail.docx", "A 55385-2023")</f>
        <v/>
      </c>
    </row>
    <row r="95" ht="15" customHeight="1">
      <c r="A95" t="inlineStr">
        <is>
          <t>A 59283-2023</t>
        </is>
      </c>
      <c r="B95" s="1" t="n">
        <v>45253</v>
      </c>
      <c r="C95" s="1" t="n">
        <v>45567</v>
      </c>
      <c r="D95" t="inlineStr">
        <is>
          <t>UPPSALA LÄN</t>
        </is>
      </c>
      <c r="E95" t="inlineStr">
        <is>
          <t>ÖSTHAMMAR</t>
        </is>
      </c>
      <c r="G95" t="n">
        <v>2</v>
      </c>
      <c r="H95" t="n">
        <v>0</v>
      </c>
      <c r="I95" t="n">
        <v>0</v>
      </c>
      <c r="J95" t="n">
        <v>0</v>
      </c>
      <c r="K95" t="n">
        <v>2</v>
      </c>
      <c r="L95" t="n">
        <v>0</v>
      </c>
      <c r="M95" t="n">
        <v>0</v>
      </c>
      <c r="N95" t="n">
        <v>0</v>
      </c>
      <c r="O95" t="n">
        <v>2</v>
      </c>
      <c r="P95" t="n">
        <v>2</v>
      </c>
      <c r="Q95" t="n">
        <v>2</v>
      </c>
      <c r="R95" s="2" t="inlineStr">
        <is>
          <t>Koppartaggsvamp
Spricktaggsvamp</t>
        </is>
      </c>
      <c r="S95">
        <f>HYPERLINK("https://klasma.github.io/Logging_0382/artfynd/A 59283-2023 artfynd.xlsx", "A 59283-2023")</f>
        <v/>
      </c>
      <c r="T95">
        <f>HYPERLINK("https://klasma.github.io/Logging_0382/kartor/A 59283-2023 karta.png", "A 59283-2023")</f>
        <v/>
      </c>
      <c r="V95">
        <f>HYPERLINK("https://klasma.github.io/Logging_0382/klagomål/A 59283-2023 FSC-klagomål.docx", "A 59283-2023")</f>
        <v/>
      </c>
      <c r="W95">
        <f>HYPERLINK("https://klasma.github.io/Logging_0382/klagomålsmail/A 59283-2023 FSC-klagomål mail.docx", "A 59283-2023")</f>
        <v/>
      </c>
      <c r="X95">
        <f>HYPERLINK("https://klasma.github.io/Logging_0382/tillsyn/A 59283-2023 tillsynsbegäran.docx", "A 59283-2023")</f>
        <v/>
      </c>
      <c r="Y95">
        <f>HYPERLINK("https://klasma.github.io/Logging_0382/tillsynsmail/A 59283-2023 tillsynsbegäran mail.docx", "A 59283-2023")</f>
        <v/>
      </c>
    </row>
    <row r="96" ht="15" customHeight="1">
      <c r="A96" t="inlineStr">
        <is>
          <t>A 9646-2024</t>
        </is>
      </c>
      <c r="B96" s="1" t="n">
        <v>45362</v>
      </c>
      <c r="C96" s="1" t="n">
        <v>45567</v>
      </c>
      <c r="D96" t="inlineStr">
        <is>
          <t>UPPSALA LÄN</t>
        </is>
      </c>
      <c r="E96" t="inlineStr">
        <is>
          <t>ÖSTHAMMAR</t>
        </is>
      </c>
      <c r="G96" t="n">
        <v>1.6</v>
      </c>
      <c r="H96" t="n">
        <v>0</v>
      </c>
      <c r="I96" t="n">
        <v>0</v>
      </c>
      <c r="J96" t="n">
        <v>1</v>
      </c>
      <c r="K96" t="n">
        <v>1</v>
      </c>
      <c r="L96" t="n">
        <v>0</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11695-2024</t>
        </is>
      </c>
      <c r="B97" s="1" t="n">
        <v>45373</v>
      </c>
      <c r="C97" s="1" t="n">
        <v>45567</v>
      </c>
      <c r="D97" t="inlineStr">
        <is>
          <t>UPPSALA LÄN</t>
        </is>
      </c>
      <c r="E97" t="inlineStr">
        <is>
          <t>ÖSTHAMMAR</t>
        </is>
      </c>
      <c r="G97" t="n">
        <v>2</v>
      </c>
      <c r="H97" t="n">
        <v>0</v>
      </c>
      <c r="I97" t="n">
        <v>2</v>
      </c>
      <c r="J97" t="n">
        <v>0</v>
      </c>
      <c r="K97" t="n">
        <v>0</v>
      </c>
      <c r="L97" t="n">
        <v>0</v>
      </c>
      <c r="M97" t="n">
        <v>0</v>
      </c>
      <c r="N97" t="n">
        <v>0</v>
      </c>
      <c r="O97" t="n">
        <v>0</v>
      </c>
      <c r="P97" t="n">
        <v>0</v>
      </c>
      <c r="Q97" t="n">
        <v>2</v>
      </c>
      <c r="R97" s="2" t="inlineStr">
        <is>
          <t>Blåmossa
Fjällig taggsvamp s.str.</t>
        </is>
      </c>
      <c r="S97">
        <f>HYPERLINK("https://klasma.github.io/Logging_0382/artfynd/A 11695-2024 artfynd.xlsx", "A 11695-2024")</f>
        <v/>
      </c>
      <c r="T97">
        <f>HYPERLINK("https://klasma.github.io/Logging_0382/kartor/A 11695-2024 karta.png", "A 11695-2024")</f>
        <v/>
      </c>
      <c r="V97">
        <f>HYPERLINK("https://klasma.github.io/Logging_0382/klagomål/A 11695-2024 FSC-klagomål.docx", "A 11695-2024")</f>
        <v/>
      </c>
      <c r="W97">
        <f>HYPERLINK("https://klasma.github.io/Logging_0382/klagomålsmail/A 11695-2024 FSC-klagomål mail.docx", "A 11695-2024")</f>
        <v/>
      </c>
      <c r="X97">
        <f>HYPERLINK("https://klasma.github.io/Logging_0382/tillsyn/A 11695-2024 tillsynsbegäran.docx", "A 11695-2024")</f>
        <v/>
      </c>
      <c r="Y97">
        <f>HYPERLINK("https://klasma.github.io/Logging_0382/tillsynsmail/A 11695-2024 tillsynsbegäran mail.docx", "A 11695-2024")</f>
        <v/>
      </c>
    </row>
    <row r="98" ht="15" customHeight="1">
      <c r="A98" t="inlineStr">
        <is>
          <t>A 18539-2024</t>
        </is>
      </c>
      <c r="B98" s="1" t="n">
        <v>45425</v>
      </c>
      <c r="C98" s="1" t="n">
        <v>45567</v>
      </c>
      <c r="D98" t="inlineStr">
        <is>
          <t>UPPSALA LÄN</t>
        </is>
      </c>
      <c r="E98" t="inlineStr">
        <is>
          <t>ÖSTHAMMAR</t>
        </is>
      </c>
      <c r="G98" t="n">
        <v>4.7</v>
      </c>
      <c r="H98" t="n">
        <v>0</v>
      </c>
      <c r="I98" t="n">
        <v>2</v>
      </c>
      <c r="J98" t="n">
        <v>0</v>
      </c>
      <c r="K98" t="n">
        <v>0</v>
      </c>
      <c r="L98" t="n">
        <v>0</v>
      </c>
      <c r="M98" t="n">
        <v>0</v>
      </c>
      <c r="N98" t="n">
        <v>0</v>
      </c>
      <c r="O98" t="n">
        <v>0</v>
      </c>
      <c r="P98" t="n">
        <v>0</v>
      </c>
      <c r="Q98" t="n">
        <v>2</v>
      </c>
      <c r="R98" s="2" t="inlineStr">
        <is>
          <t>Bronshjon
Vågbandad barkbock</t>
        </is>
      </c>
      <c r="S98">
        <f>HYPERLINK("https://klasma.github.io/Logging_0382/artfynd/A 18539-2024 artfynd.xlsx", "A 18539-2024")</f>
        <v/>
      </c>
      <c r="T98">
        <f>HYPERLINK("https://klasma.github.io/Logging_0382/kartor/A 18539-2024 karta.png", "A 18539-2024")</f>
        <v/>
      </c>
      <c r="V98">
        <f>HYPERLINK("https://klasma.github.io/Logging_0382/klagomål/A 18539-2024 FSC-klagomål.docx", "A 18539-2024")</f>
        <v/>
      </c>
      <c r="W98">
        <f>HYPERLINK("https://klasma.github.io/Logging_0382/klagomålsmail/A 18539-2024 FSC-klagomål mail.docx", "A 18539-2024")</f>
        <v/>
      </c>
      <c r="X98">
        <f>HYPERLINK("https://klasma.github.io/Logging_0382/tillsyn/A 18539-2024 tillsynsbegäran.docx", "A 18539-2024")</f>
        <v/>
      </c>
      <c r="Y98">
        <f>HYPERLINK("https://klasma.github.io/Logging_0382/tillsynsmail/A 18539-2024 tillsynsbegäran mail.docx", "A 18539-2024")</f>
        <v/>
      </c>
    </row>
    <row r="99" ht="15" customHeight="1">
      <c r="A99" t="inlineStr">
        <is>
          <t>A 26277-2024</t>
        </is>
      </c>
      <c r="B99" s="1" t="n">
        <v>45468</v>
      </c>
      <c r="C99" s="1" t="n">
        <v>45567</v>
      </c>
      <c r="D99" t="inlineStr">
        <is>
          <t>UPPSALA LÄN</t>
        </is>
      </c>
      <c r="E99" t="inlineStr">
        <is>
          <t>ÖSTHAMMAR</t>
        </is>
      </c>
      <c r="G99" t="n">
        <v>3.5</v>
      </c>
      <c r="H99" t="n">
        <v>1</v>
      </c>
      <c r="I99" t="n">
        <v>2</v>
      </c>
      <c r="J99" t="n">
        <v>0</v>
      </c>
      <c r="K99" t="n">
        <v>0</v>
      </c>
      <c r="L99" t="n">
        <v>0</v>
      </c>
      <c r="M99" t="n">
        <v>0</v>
      </c>
      <c r="N99" t="n">
        <v>0</v>
      </c>
      <c r="O99" t="n">
        <v>0</v>
      </c>
      <c r="P99" t="n">
        <v>0</v>
      </c>
      <c r="Q99" t="n">
        <v>2</v>
      </c>
      <c r="R99" s="2" t="inlineStr">
        <is>
          <t>Nästrot
Sårläka</t>
        </is>
      </c>
      <c r="S99">
        <f>HYPERLINK("https://klasma.github.io/Logging_0382/artfynd/A 26277-2024 artfynd.xlsx", "A 26277-2024")</f>
        <v/>
      </c>
      <c r="T99">
        <f>HYPERLINK("https://klasma.github.io/Logging_0382/kartor/A 26277-2024 karta.png", "A 26277-2024")</f>
        <v/>
      </c>
      <c r="V99">
        <f>HYPERLINK("https://klasma.github.io/Logging_0382/klagomål/A 26277-2024 FSC-klagomål.docx", "A 26277-2024")</f>
        <v/>
      </c>
      <c r="W99">
        <f>HYPERLINK("https://klasma.github.io/Logging_0382/klagomålsmail/A 26277-2024 FSC-klagomål mail.docx", "A 26277-2024")</f>
        <v/>
      </c>
      <c r="X99">
        <f>HYPERLINK("https://klasma.github.io/Logging_0382/tillsyn/A 26277-2024 tillsynsbegäran.docx", "A 26277-2024")</f>
        <v/>
      </c>
      <c r="Y99">
        <f>HYPERLINK("https://klasma.github.io/Logging_0382/tillsynsmail/A 26277-2024 tillsynsbegäran mail.docx", "A 26277-2024")</f>
        <v/>
      </c>
    </row>
    <row r="100" ht="15" customHeight="1">
      <c r="A100" t="inlineStr">
        <is>
          <t>A 30943-2024</t>
        </is>
      </c>
      <c r="B100" s="1" t="n">
        <v>45499</v>
      </c>
      <c r="C100" s="1" t="n">
        <v>45567</v>
      </c>
      <c r="D100" t="inlineStr">
        <is>
          <t>UPPSALA LÄN</t>
        </is>
      </c>
      <c r="E100" t="inlineStr">
        <is>
          <t>ÖSTHAMMAR</t>
        </is>
      </c>
      <c r="G100" t="n">
        <v>4.5</v>
      </c>
      <c r="H100" t="n">
        <v>0</v>
      </c>
      <c r="I100" t="n">
        <v>2</v>
      </c>
      <c r="J100" t="n">
        <v>0</v>
      </c>
      <c r="K100" t="n">
        <v>0</v>
      </c>
      <c r="L100" t="n">
        <v>0</v>
      </c>
      <c r="M100" t="n">
        <v>0</v>
      </c>
      <c r="N100" t="n">
        <v>0</v>
      </c>
      <c r="O100" t="n">
        <v>0</v>
      </c>
      <c r="P100" t="n">
        <v>0</v>
      </c>
      <c r="Q100" t="n">
        <v>2</v>
      </c>
      <c r="R100" s="2" t="inlineStr">
        <is>
          <t>Tibast
Underviol</t>
        </is>
      </c>
      <c r="S100">
        <f>HYPERLINK("https://klasma.github.io/Logging_0382/artfynd/A 30943-2024 artfynd.xlsx", "A 30943-2024")</f>
        <v/>
      </c>
      <c r="T100">
        <f>HYPERLINK("https://klasma.github.io/Logging_0382/kartor/A 30943-2024 karta.png", "A 30943-2024")</f>
        <v/>
      </c>
      <c r="V100">
        <f>HYPERLINK("https://klasma.github.io/Logging_0382/klagomål/A 30943-2024 FSC-klagomål.docx", "A 30943-2024")</f>
        <v/>
      </c>
      <c r="W100">
        <f>HYPERLINK("https://klasma.github.io/Logging_0382/klagomålsmail/A 30943-2024 FSC-klagomål mail.docx", "A 30943-2024")</f>
        <v/>
      </c>
      <c r="X100">
        <f>HYPERLINK("https://klasma.github.io/Logging_0382/tillsyn/A 30943-2024 tillsynsbegäran.docx", "A 30943-2024")</f>
        <v/>
      </c>
      <c r="Y100">
        <f>HYPERLINK("https://klasma.github.io/Logging_0382/tillsynsmail/A 30943-2024 tillsynsbegäran mail.docx", "A 30943-2024")</f>
        <v/>
      </c>
    </row>
    <row r="101" ht="15" customHeight="1">
      <c r="A101" t="inlineStr">
        <is>
          <t>A 38957-2019</t>
        </is>
      </c>
      <c r="B101" s="1" t="n">
        <v>43689</v>
      </c>
      <c r="C101" s="1" t="n">
        <v>45567</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Bredbrämad bastardsvärmare</t>
        </is>
      </c>
      <c r="S101">
        <f>HYPERLINK("https://klasma.github.io/Logging_0382/artfynd/A 38957-2019 artfynd.xlsx", "A 38957-2019")</f>
        <v/>
      </c>
      <c r="T101">
        <f>HYPERLINK("https://klasma.github.io/Logging_0382/kartor/A 38957-2019 karta.png", "A 38957-2019")</f>
        <v/>
      </c>
      <c r="V101">
        <f>HYPERLINK("https://klasma.github.io/Logging_0382/klagomål/A 38957-2019 FSC-klagomål.docx", "A 38957-2019")</f>
        <v/>
      </c>
      <c r="W101">
        <f>HYPERLINK("https://klasma.github.io/Logging_0382/klagomålsmail/A 38957-2019 FSC-klagomål mail.docx", "A 38957-2019")</f>
        <v/>
      </c>
      <c r="X101">
        <f>HYPERLINK("https://klasma.github.io/Logging_0382/tillsyn/A 38957-2019 tillsynsbegäran.docx", "A 38957-2019")</f>
        <v/>
      </c>
      <c r="Y101">
        <f>HYPERLINK("https://klasma.github.io/Logging_0382/tillsynsmail/A 38957-2019 tillsynsbegäran mail.docx", "A 38957-2019")</f>
        <v/>
      </c>
    </row>
    <row r="102" ht="15" customHeight="1">
      <c r="A102" t="inlineStr">
        <is>
          <t>A 52004-2019</t>
        </is>
      </c>
      <c r="B102" s="1" t="n">
        <v>43742</v>
      </c>
      <c r="C102" s="1" t="n">
        <v>45567</v>
      </c>
      <c r="D102" t="inlineStr">
        <is>
          <t>UPPSALA LÄN</t>
        </is>
      </c>
      <c r="E102" t="inlineStr">
        <is>
          <t>ÖSTHAMMAR</t>
        </is>
      </c>
      <c r="G102" t="n">
        <v>2.5</v>
      </c>
      <c r="H102" t="n">
        <v>1</v>
      </c>
      <c r="I102" t="n">
        <v>0</v>
      </c>
      <c r="J102" t="n">
        <v>0</v>
      </c>
      <c r="K102" t="n">
        <v>0</v>
      </c>
      <c r="L102" t="n">
        <v>0</v>
      </c>
      <c r="M102" t="n">
        <v>0</v>
      </c>
      <c r="N102" t="n">
        <v>0</v>
      </c>
      <c r="O102" t="n">
        <v>0</v>
      </c>
      <c r="P102" t="n">
        <v>0</v>
      </c>
      <c r="Q102" t="n">
        <v>1</v>
      </c>
      <c r="R102" s="2" t="inlineStr">
        <is>
          <t>Revlummer</t>
        </is>
      </c>
      <c r="S102">
        <f>HYPERLINK("https://klasma.github.io/Logging_0382/artfynd/A 52004-2019 artfynd.xlsx", "A 52004-2019")</f>
        <v/>
      </c>
      <c r="T102">
        <f>HYPERLINK("https://klasma.github.io/Logging_0382/kartor/A 52004-2019 karta.png", "A 52004-2019")</f>
        <v/>
      </c>
      <c r="V102">
        <f>HYPERLINK("https://klasma.github.io/Logging_0382/klagomål/A 52004-2019 FSC-klagomål.docx", "A 52004-2019")</f>
        <v/>
      </c>
      <c r="W102">
        <f>HYPERLINK("https://klasma.github.io/Logging_0382/klagomålsmail/A 52004-2019 FSC-klagomål mail.docx", "A 52004-2019")</f>
        <v/>
      </c>
      <c r="X102">
        <f>HYPERLINK("https://klasma.github.io/Logging_0382/tillsyn/A 52004-2019 tillsynsbegäran.docx", "A 52004-2019")</f>
        <v/>
      </c>
      <c r="Y102">
        <f>HYPERLINK("https://klasma.github.io/Logging_0382/tillsynsmail/A 52004-2019 tillsynsbegäran mail.docx", "A 52004-2019")</f>
        <v/>
      </c>
    </row>
    <row r="103" ht="15" customHeight="1">
      <c r="A103" t="inlineStr">
        <is>
          <t>A 22044-2020</t>
        </is>
      </c>
      <c r="B103" s="1" t="n">
        <v>43959</v>
      </c>
      <c r="C103" s="1" t="n">
        <v>45567</v>
      </c>
      <c r="D103" t="inlineStr">
        <is>
          <t>UPPSALA LÄN</t>
        </is>
      </c>
      <c r="E103" t="inlineStr">
        <is>
          <t>ÖSTHAMMAR</t>
        </is>
      </c>
      <c r="G103" t="n">
        <v>2.7</v>
      </c>
      <c r="H103" t="n">
        <v>0</v>
      </c>
      <c r="I103" t="n">
        <v>1</v>
      </c>
      <c r="J103" t="n">
        <v>0</v>
      </c>
      <c r="K103" t="n">
        <v>0</v>
      </c>
      <c r="L103" t="n">
        <v>0</v>
      </c>
      <c r="M103" t="n">
        <v>0</v>
      </c>
      <c r="N103" t="n">
        <v>0</v>
      </c>
      <c r="O103" t="n">
        <v>0</v>
      </c>
      <c r="P103" t="n">
        <v>0</v>
      </c>
      <c r="Q103" t="n">
        <v>1</v>
      </c>
      <c r="R103" s="2" t="inlineStr">
        <is>
          <t>Anisspindling</t>
        </is>
      </c>
      <c r="S103">
        <f>HYPERLINK("https://klasma.github.io/Logging_0382/artfynd/A 22044-2020 artfynd.xlsx", "A 22044-2020")</f>
        <v/>
      </c>
      <c r="T103">
        <f>HYPERLINK("https://klasma.github.io/Logging_0382/kartor/A 22044-2020 karta.png", "A 22044-2020")</f>
        <v/>
      </c>
      <c r="V103">
        <f>HYPERLINK("https://klasma.github.io/Logging_0382/klagomål/A 22044-2020 FSC-klagomål.docx", "A 22044-2020")</f>
        <v/>
      </c>
      <c r="W103">
        <f>HYPERLINK("https://klasma.github.io/Logging_0382/klagomålsmail/A 22044-2020 FSC-klagomål mail.docx", "A 22044-2020")</f>
        <v/>
      </c>
      <c r="X103">
        <f>HYPERLINK("https://klasma.github.io/Logging_0382/tillsyn/A 22044-2020 tillsynsbegäran.docx", "A 22044-2020")</f>
        <v/>
      </c>
      <c r="Y103">
        <f>HYPERLINK("https://klasma.github.io/Logging_0382/tillsynsmail/A 22044-2020 tillsynsbegäran mail.docx", "A 22044-2020")</f>
        <v/>
      </c>
    </row>
    <row r="104" ht="15" customHeight="1">
      <c r="A104" t="inlineStr">
        <is>
          <t>A 30405-2020</t>
        </is>
      </c>
      <c r="B104" s="1" t="n">
        <v>44007</v>
      </c>
      <c r="C104" s="1" t="n">
        <v>45567</v>
      </c>
      <c r="D104" t="inlineStr">
        <is>
          <t>UPPSALA LÄN</t>
        </is>
      </c>
      <c r="E104" t="inlineStr">
        <is>
          <t>ÖSTHAMMAR</t>
        </is>
      </c>
      <c r="G104" t="n">
        <v>0.6</v>
      </c>
      <c r="H104" t="n">
        <v>0</v>
      </c>
      <c r="I104" t="n">
        <v>0</v>
      </c>
      <c r="J104" t="n">
        <v>0</v>
      </c>
      <c r="K104" t="n">
        <v>1</v>
      </c>
      <c r="L104" t="n">
        <v>0</v>
      </c>
      <c r="M104" t="n">
        <v>0</v>
      </c>
      <c r="N104" t="n">
        <v>0</v>
      </c>
      <c r="O104" t="n">
        <v>1</v>
      </c>
      <c r="P104" t="n">
        <v>1</v>
      </c>
      <c r="Q104" t="n">
        <v>1</v>
      </c>
      <c r="R104" s="2" t="inlineStr">
        <is>
          <t>Gulvit blekspik</t>
        </is>
      </c>
      <c r="S104">
        <f>HYPERLINK("https://klasma.github.io/Logging_0382/artfynd/A 30405-2020 artfynd.xlsx", "A 30405-2020")</f>
        <v/>
      </c>
      <c r="T104">
        <f>HYPERLINK("https://klasma.github.io/Logging_0382/kartor/A 30405-2020 karta.png", "A 30405-2020")</f>
        <v/>
      </c>
      <c r="V104">
        <f>HYPERLINK("https://klasma.github.io/Logging_0382/klagomål/A 30405-2020 FSC-klagomål.docx", "A 30405-2020")</f>
        <v/>
      </c>
      <c r="W104">
        <f>HYPERLINK("https://klasma.github.io/Logging_0382/klagomålsmail/A 30405-2020 FSC-klagomål mail.docx", "A 30405-2020")</f>
        <v/>
      </c>
      <c r="X104">
        <f>HYPERLINK("https://klasma.github.io/Logging_0382/tillsyn/A 30405-2020 tillsynsbegäran.docx", "A 30405-2020")</f>
        <v/>
      </c>
      <c r="Y104">
        <f>HYPERLINK("https://klasma.github.io/Logging_0382/tillsynsmail/A 30405-2020 tillsynsbegäran mail.docx", "A 30405-2020")</f>
        <v/>
      </c>
    </row>
    <row r="105" ht="15" customHeight="1">
      <c r="A105" t="inlineStr">
        <is>
          <t>A 35553-2020</t>
        </is>
      </c>
      <c r="B105" s="1" t="n">
        <v>44043</v>
      </c>
      <c r="C105" s="1" t="n">
        <v>45567</v>
      </c>
      <c r="D105" t="inlineStr">
        <is>
          <t>UPPSALA LÄN</t>
        </is>
      </c>
      <c r="E105" t="inlineStr">
        <is>
          <t>ÖSTHAMMAR</t>
        </is>
      </c>
      <c r="F105" t="inlineStr">
        <is>
          <t>Bergvik skog öst AB</t>
        </is>
      </c>
      <c r="G105" t="n">
        <v>5.8</v>
      </c>
      <c r="H105" t="n">
        <v>1</v>
      </c>
      <c r="I105" t="n">
        <v>0</v>
      </c>
      <c r="J105" t="n">
        <v>0</v>
      </c>
      <c r="K105" t="n">
        <v>0</v>
      </c>
      <c r="L105" t="n">
        <v>0</v>
      </c>
      <c r="M105" t="n">
        <v>0</v>
      </c>
      <c r="N105" t="n">
        <v>0</v>
      </c>
      <c r="O105" t="n">
        <v>0</v>
      </c>
      <c r="P105" t="n">
        <v>0</v>
      </c>
      <c r="Q105" t="n">
        <v>1</v>
      </c>
      <c r="R105" s="2" t="inlineStr">
        <is>
          <t>Tjäder</t>
        </is>
      </c>
      <c r="S105">
        <f>HYPERLINK("https://klasma.github.io/Logging_0382/artfynd/A 35553-2020 artfynd.xlsx", "A 35553-2020")</f>
        <v/>
      </c>
      <c r="T105">
        <f>HYPERLINK("https://klasma.github.io/Logging_0382/kartor/A 35553-2020 karta.png", "A 35553-2020")</f>
        <v/>
      </c>
      <c r="V105">
        <f>HYPERLINK("https://klasma.github.io/Logging_0382/klagomål/A 35553-2020 FSC-klagomål.docx", "A 35553-2020")</f>
        <v/>
      </c>
      <c r="W105">
        <f>HYPERLINK("https://klasma.github.io/Logging_0382/klagomålsmail/A 35553-2020 FSC-klagomål mail.docx", "A 35553-2020")</f>
        <v/>
      </c>
      <c r="X105">
        <f>HYPERLINK("https://klasma.github.io/Logging_0382/tillsyn/A 35553-2020 tillsynsbegäran.docx", "A 35553-2020")</f>
        <v/>
      </c>
      <c r="Y105">
        <f>HYPERLINK("https://klasma.github.io/Logging_0382/tillsynsmail/A 35553-2020 tillsynsbegäran mail.docx", "A 35553-2020")</f>
        <v/>
      </c>
      <c r="Z105">
        <f>HYPERLINK("https://klasma.github.io/Logging_0382/fåglar/A 35553-2020 prioriterade fågelarter.docx", "A 35553-2020")</f>
        <v/>
      </c>
    </row>
    <row r="106" ht="15" customHeight="1">
      <c r="A106" t="inlineStr">
        <is>
          <t>A 61479-2020</t>
        </is>
      </c>
      <c r="B106" s="1" t="n">
        <v>44154</v>
      </c>
      <c r="C106" s="1" t="n">
        <v>45567</v>
      </c>
      <c r="D106" t="inlineStr">
        <is>
          <t>UPPSALA LÄN</t>
        </is>
      </c>
      <c r="E106" t="inlineStr">
        <is>
          <t>ÖSTHAMMAR</t>
        </is>
      </c>
      <c r="G106" t="n">
        <v>2.5</v>
      </c>
      <c r="H106" t="n">
        <v>0</v>
      </c>
      <c r="I106" t="n">
        <v>1</v>
      </c>
      <c r="J106" t="n">
        <v>0</v>
      </c>
      <c r="K106" t="n">
        <v>0</v>
      </c>
      <c r="L106" t="n">
        <v>0</v>
      </c>
      <c r="M106" t="n">
        <v>0</v>
      </c>
      <c r="N106" t="n">
        <v>0</v>
      </c>
      <c r="O106" t="n">
        <v>0</v>
      </c>
      <c r="P106" t="n">
        <v>0</v>
      </c>
      <c r="Q106" t="n">
        <v>1</v>
      </c>
      <c r="R106" s="2" t="inlineStr">
        <is>
          <t>Olivspindling</t>
        </is>
      </c>
      <c r="S106">
        <f>HYPERLINK("https://klasma.github.io/Logging_0382/artfynd/A 61479-2020 artfynd.xlsx", "A 61479-2020")</f>
        <v/>
      </c>
      <c r="T106">
        <f>HYPERLINK("https://klasma.github.io/Logging_0382/kartor/A 61479-2020 karta.png", "A 61479-2020")</f>
        <v/>
      </c>
      <c r="V106">
        <f>HYPERLINK("https://klasma.github.io/Logging_0382/klagomål/A 61479-2020 FSC-klagomål.docx", "A 61479-2020")</f>
        <v/>
      </c>
      <c r="W106">
        <f>HYPERLINK("https://klasma.github.io/Logging_0382/klagomålsmail/A 61479-2020 FSC-klagomål mail.docx", "A 61479-2020")</f>
        <v/>
      </c>
      <c r="X106">
        <f>HYPERLINK("https://klasma.github.io/Logging_0382/tillsyn/A 61479-2020 tillsynsbegäran.docx", "A 61479-2020")</f>
        <v/>
      </c>
      <c r="Y106">
        <f>HYPERLINK("https://klasma.github.io/Logging_0382/tillsynsmail/A 61479-2020 tillsynsbegäran mail.docx", "A 61479-2020")</f>
        <v/>
      </c>
    </row>
    <row r="107" ht="15" customHeight="1">
      <c r="A107" t="inlineStr">
        <is>
          <t>A 31622-2021</t>
        </is>
      </c>
      <c r="B107" s="1" t="n">
        <v>44369</v>
      </c>
      <c r="C107" s="1" t="n">
        <v>45567</v>
      </c>
      <c r="D107" t="inlineStr">
        <is>
          <t>UPPSALA LÄN</t>
        </is>
      </c>
      <c r="E107" t="inlineStr">
        <is>
          <t>ÖSTHAMMAR</t>
        </is>
      </c>
      <c r="G107" t="n">
        <v>12.6</v>
      </c>
      <c r="H107" t="n">
        <v>1</v>
      </c>
      <c r="I107" t="n">
        <v>0</v>
      </c>
      <c r="J107" t="n">
        <v>0</v>
      </c>
      <c r="K107" t="n">
        <v>0</v>
      </c>
      <c r="L107" t="n">
        <v>0</v>
      </c>
      <c r="M107" t="n">
        <v>0</v>
      </c>
      <c r="N107" t="n">
        <v>0</v>
      </c>
      <c r="O107" t="n">
        <v>0</v>
      </c>
      <c r="P107" t="n">
        <v>0</v>
      </c>
      <c r="Q107" t="n">
        <v>1</v>
      </c>
      <c r="R107" s="2" t="inlineStr">
        <is>
          <t>Mattlummer</t>
        </is>
      </c>
      <c r="S107">
        <f>HYPERLINK("https://klasma.github.io/Logging_0382/artfynd/A 31622-2021 artfynd.xlsx", "A 31622-2021")</f>
        <v/>
      </c>
      <c r="T107">
        <f>HYPERLINK("https://klasma.github.io/Logging_0382/kartor/A 31622-2021 karta.png", "A 31622-2021")</f>
        <v/>
      </c>
      <c r="V107">
        <f>HYPERLINK("https://klasma.github.io/Logging_0382/klagomål/A 31622-2021 FSC-klagomål.docx", "A 31622-2021")</f>
        <v/>
      </c>
      <c r="W107">
        <f>HYPERLINK("https://klasma.github.io/Logging_0382/klagomålsmail/A 31622-2021 FSC-klagomål mail.docx", "A 31622-2021")</f>
        <v/>
      </c>
      <c r="X107">
        <f>HYPERLINK("https://klasma.github.io/Logging_0382/tillsyn/A 31622-2021 tillsynsbegäran.docx", "A 31622-2021")</f>
        <v/>
      </c>
      <c r="Y107">
        <f>HYPERLINK("https://klasma.github.io/Logging_0382/tillsynsmail/A 31622-2021 tillsynsbegäran mail.docx", "A 31622-2021")</f>
        <v/>
      </c>
    </row>
    <row r="108" ht="15" customHeight="1">
      <c r="A108" t="inlineStr">
        <is>
          <t>A 46417-2021</t>
        </is>
      </c>
      <c r="B108" s="1" t="n">
        <v>44445</v>
      </c>
      <c r="C108" s="1" t="n">
        <v>45567</v>
      </c>
      <c r="D108" t="inlineStr">
        <is>
          <t>UPPSALA LÄN</t>
        </is>
      </c>
      <c r="E108" t="inlineStr">
        <is>
          <t>ÖSTHAMMAR</t>
        </is>
      </c>
      <c r="F108" t="inlineStr">
        <is>
          <t>Övriga Aktiebolag</t>
        </is>
      </c>
      <c r="G108" t="n">
        <v>9.1</v>
      </c>
      <c r="H108" t="n">
        <v>0</v>
      </c>
      <c r="I108" t="n">
        <v>0</v>
      </c>
      <c r="J108" t="n">
        <v>1</v>
      </c>
      <c r="K108" t="n">
        <v>0</v>
      </c>
      <c r="L108" t="n">
        <v>0</v>
      </c>
      <c r="M108" t="n">
        <v>0</v>
      </c>
      <c r="N108" t="n">
        <v>0</v>
      </c>
      <c r="O108" t="n">
        <v>1</v>
      </c>
      <c r="P108" t="n">
        <v>0</v>
      </c>
      <c r="Q108" t="n">
        <v>1</v>
      </c>
      <c r="R108" s="2" t="inlineStr">
        <is>
          <t>Klasefibbla</t>
        </is>
      </c>
      <c r="S108">
        <f>HYPERLINK("https://klasma.github.io/Logging_0382/artfynd/A 46417-2021 artfynd.xlsx", "A 46417-2021")</f>
        <v/>
      </c>
      <c r="T108">
        <f>HYPERLINK("https://klasma.github.io/Logging_0382/kartor/A 46417-2021 karta.png", "A 46417-2021")</f>
        <v/>
      </c>
      <c r="V108">
        <f>HYPERLINK("https://klasma.github.io/Logging_0382/klagomål/A 46417-2021 FSC-klagomål.docx", "A 46417-2021")</f>
        <v/>
      </c>
      <c r="W108">
        <f>HYPERLINK("https://klasma.github.io/Logging_0382/klagomålsmail/A 46417-2021 FSC-klagomål mail.docx", "A 46417-2021")</f>
        <v/>
      </c>
      <c r="X108">
        <f>HYPERLINK("https://klasma.github.io/Logging_0382/tillsyn/A 46417-2021 tillsynsbegäran.docx", "A 46417-2021")</f>
        <v/>
      </c>
      <c r="Y108">
        <f>HYPERLINK("https://klasma.github.io/Logging_0382/tillsynsmail/A 46417-2021 tillsynsbegäran mail.docx", "A 46417-2021")</f>
        <v/>
      </c>
    </row>
    <row r="109" ht="15" customHeight="1">
      <c r="A109" t="inlineStr">
        <is>
          <t>A 49839-2021</t>
        </is>
      </c>
      <c r="B109" s="1" t="n">
        <v>44455</v>
      </c>
      <c r="C109" s="1" t="n">
        <v>45567</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49871-2021</t>
        </is>
      </c>
      <c r="B110" s="1" t="n">
        <v>44455</v>
      </c>
      <c r="C110" s="1" t="n">
        <v>45567</v>
      </c>
      <c r="D110" t="inlineStr">
        <is>
          <t>UPPSALA LÄN</t>
        </is>
      </c>
      <c r="E110" t="inlineStr">
        <is>
          <t>ÖSTHAMMAR</t>
        </is>
      </c>
      <c r="G110" t="n">
        <v>0.5</v>
      </c>
      <c r="H110" t="n">
        <v>0</v>
      </c>
      <c r="I110" t="n">
        <v>1</v>
      </c>
      <c r="J110" t="n">
        <v>0</v>
      </c>
      <c r="K110" t="n">
        <v>0</v>
      </c>
      <c r="L110" t="n">
        <v>0</v>
      </c>
      <c r="M110" t="n">
        <v>0</v>
      </c>
      <c r="N110" t="n">
        <v>0</v>
      </c>
      <c r="O110" t="n">
        <v>0</v>
      </c>
      <c r="P110" t="n">
        <v>0</v>
      </c>
      <c r="Q110" t="n">
        <v>1</v>
      </c>
      <c r="R110" s="2" t="inlineStr">
        <is>
          <t>Anisspindling</t>
        </is>
      </c>
      <c r="S110">
        <f>HYPERLINK("https://klasma.github.io/Logging_0382/artfynd/A 49871-2021 artfynd.xlsx", "A 49871-2021")</f>
        <v/>
      </c>
      <c r="T110">
        <f>HYPERLINK("https://klasma.github.io/Logging_0382/kartor/A 49871-2021 karta.png", "A 49871-2021")</f>
        <v/>
      </c>
      <c r="V110">
        <f>HYPERLINK("https://klasma.github.io/Logging_0382/klagomål/A 49871-2021 FSC-klagomål.docx", "A 49871-2021")</f>
        <v/>
      </c>
      <c r="W110">
        <f>HYPERLINK("https://klasma.github.io/Logging_0382/klagomålsmail/A 49871-2021 FSC-klagomål mail.docx", "A 49871-2021")</f>
        <v/>
      </c>
      <c r="X110">
        <f>HYPERLINK("https://klasma.github.io/Logging_0382/tillsyn/A 49871-2021 tillsynsbegäran.docx", "A 49871-2021")</f>
        <v/>
      </c>
      <c r="Y110">
        <f>HYPERLINK("https://klasma.github.io/Logging_0382/tillsynsmail/A 49871-2021 tillsynsbegäran mail.docx", "A 49871-2021")</f>
        <v/>
      </c>
    </row>
    <row r="111" ht="15" customHeight="1">
      <c r="A111" t="inlineStr">
        <is>
          <t>A 61536-2021</t>
        </is>
      </c>
      <c r="B111" s="1" t="n">
        <v>44501</v>
      </c>
      <c r="C111" s="1" t="n">
        <v>45567</v>
      </c>
      <c r="D111" t="inlineStr">
        <is>
          <t>UPPSALA LÄN</t>
        </is>
      </c>
      <c r="E111" t="inlineStr">
        <is>
          <t>ÖSTHAMMAR</t>
        </is>
      </c>
      <c r="F111" t="inlineStr">
        <is>
          <t>Sveaskog</t>
        </is>
      </c>
      <c r="G111" t="n">
        <v>2.1</v>
      </c>
      <c r="H111" t="n">
        <v>0</v>
      </c>
      <c r="I111" t="n">
        <v>0</v>
      </c>
      <c r="J111" t="n">
        <v>1</v>
      </c>
      <c r="K111" t="n">
        <v>0</v>
      </c>
      <c r="L111" t="n">
        <v>0</v>
      </c>
      <c r="M111" t="n">
        <v>0</v>
      </c>
      <c r="N111" t="n">
        <v>0</v>
      </c>
      <c r="O111" t="n">
        <v>1</v>
      </c>
      <c r="P111" t="n">
        <v>0</v>
      </c>
      <c r="Q111" t="n">
        <v>1</v>
      </c>
      <c r="R111" s="2" t="inlineStr">
        <is>
          <t>Klasefibbla</t>
        </is>
      </c>
      <c r="S111">
        <f>HYPERLINK("https://klasma.github.io/Logging_0382/artfynd/A 61536-2021 artfynd.xlsx", "A 61536-2021")</f>
        <v/>
      </c>
      <c r="T111">
        <f>HYPERLINK("https://klasma.github.io/Logging_0382/kartor/A 61536-2021 karta.png", "A 61536-2021")</f>
        <v/>
      </c>
      <c r="V111">
        <f>HYPERLINK("https://klasma.github.io/Logging_0382/klagomål/A 61536-2021 FSC-klagomål.docx", "A 61536-2021")</f>
        <v/>
      </c>
      <c r="W111">
        <f>HYPERLINK("https://klasma.github.io/Logging_0382/klagomålsmail/A 61536-2021 FSC-klagomål mail.docx", "A 61536-2021")</f>
        <v/>
      </c>
      <c r="X111">
        <f>HYPERLINK("https://klasma.github.io/Logging_0382/tillsyn/A 61536-2021 tillsynsbegäran.docx", "A 61536-2021")</f>
        <v/>
      </c>
      <c r="Y111">
        <f>HYPERLINK("https://klasma.github.io/Logging_0382/tillsynsmail/A 61536-2021 tillsynsbegäran mail.docx", "A 61536-2021")</f>
        <v/>
      </c>
    </row>
    <row r="112" ht="15" customHeight="1">
      <c r="A112" t="inlineStr">
        <is>
          <t>A 61559-2021</t>
        </is>
      </c>
      <c r="B112" s="1" t="n">
        <v>44501</v>
      </c>
      <c r="C112" s="1" t="n">
        <v>45567</v>
      </c>
      <c r="D112" t="inlineStr">
        <is>
          <t>UPPSALA LÄN</t>
        </is>
      </c>
      <c r="E112" t="inlineStr">
        <is>
          <t>ÖSTHAMMAR</t>
        </is>
      </c>
      <c r="F112" t="inlineStr">
        <is>
          <t>Sveaskog</t>
        </is>
      </c>
      <c r="G112" t="n">
        <v>2.3</v>
      </c>
      <c r="H112" t="n">
        <v>0</v>
      </c>
      <c r="I112" t="n">
        <v>0</v>
      </c>
      <c r="J112" t="n">
        <v>1</v>
      </c>
      <c r="K112" t="n">
        <v>0</v>
      </c>
      <c r="L112" t="n">
        <v>0</v>
      </c>
      <c r="M112" t="n">
        <v>0</v>
      </c>
      <c r="N112" t="n">
        <v>0</v>
      </c>
      <c r="O112" t="n">
        <v>1</v>
      </c>
      <c r="P112" t="n">
        <v>0</v>
      </c>
      <c r="Q112" t="n">
        <v>1</v>
      </c>
      <c r="R112" s="2" t="inlineStr">
        <is>
          <t>Backklöver</t>
        </is>
      </c>
      <c r="S112">
        <f>HYPERLINK("https://klasma.github.io/Logging_0382/artfynd/A 61559-2021 artfynd.xlsx", "A 61559-2021")</f>
        <v/>
      </c>
      <c r="T112">
        <f>HYPERLINK("https://klasma.github.io/Logging_0382/kartor/A 61559-2021 karta.png", "A 61559-2021")</f>
        <v/>
      </c>
      <c r="V112">
        <f>HYPERLINK("https://klasma.github.io/Logging_0382/klagomål/A 61559-2021 FSC-klagomål.docx", "A 61559-2021")</f>
        <v/>
      </c>
      <c r="W112">
        <f>HYPERLINK("https://klasma.github.io/Logging_0382/klagomålsmail/A 61559-2021 FSC-klagomål mail.docx", "A 61559-2021")</f>
        <v/>
      </c>
      <c r="X112">
        <f>HYPERLINK("https://klasma.github.io/Logging_0382/tillsyn/A 61559-2021 tillsynsbegäran.docx", "A 61559-2021")</f>
        <v/>
      </c>
      <c r="Y112">
        <f>HYPERLINK("https://klasma.github.io/Logging_0382/tillsynsmail/A 61559-2021 tillsynsbegäran mail.docx", "A 61559-2021")</f>
        <v/>
      </c>
    </row>
    <row r="113" ht="15" customHeight="1">
      <c r="A113" t="inlineStr">
        <is>
          <t>A 63615-2021</t>
        </is>
      </c>
      <c r="B113" s="1" t="n">
        <v>44509</v>
      </c>
      <c r="C113" s="1" t="n">
        <v>45567</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64564-2021</t>
        </is>
      </c>
      <c r="B114" s="1" t="n">
        <v>44511</v>
      </c>
      <c r="C114" s="1" t="n">
        <v>45567</v>
      </c>
      <c r="D114" t="inlineStr">
        <is>
          <t>UPPSALA LÄN</t>
        </is>
      </c>
      <c r="E114" t="inlineStr">
        <is>
          <t>ÖSTHAMMAR</t>
        </is>
      </c>
      <c r="G114" t="n">
        <v>7.2</v>
      </c>
      <c r="H114" t="n">
        <v>0</v>
      </c>
      <c r="I114" t="n">
        <v>0</v>
      </c>
      <c r="J114" t="n">
        <v>0</v>
      </c>
      <c r="K114" t="n">
        <v>1</v>
      </c>
      <c r="L114" t="n">
        <v>0</v>
      </c>
      <c r="M114" t="n">
        <v>0</v>
      </c>
      <c r="N114" t="n">
        <v>0</v>
      </c>
      <c r="O114" t="n">
        <v>1</v>
      </c>
      <c r="P114" t="n">
        <v>1</v>
      </c>
      <c r="Q114" t="n">
        <v>1</v>
      </c>
      <c r="R114" s="2" t="inlineStr">
        <is>
          <t>Violgubbe</t>
        </is>
      </c>
      <c r="S114">
        <f>HYPERLINK("https://klasma.github.io/Logging_0382/artfynd/A 64564-2021 artfynd.xlsx", "A 64564-2021")</f>
        <v/>
      </c>
      <c r="T114">
        <f>HYPERLINK("https://klasma.github.io/Logging_0382/kartor/A 64564-2021 karta.png", "A 64564-2021")</f>
        <v/>
      </c>
      <c r="V114">
        <f>HYPERLINK("https://klasma.github.io/Logging_0382/klagomål/A 64564-2021 FSC-klagomål.docx", "A 64564-2021")</f>
        <v/>
      </c>
      <c r="W114">
        <f>HYPERLINK("https://klasma.github.io/Logging_0382/klagomålsmail/A 64564-2021 FSC-klagomål mail.docx", "A 64564-2021")</f>
        <v/>
      </c>
      <c r="X114">
        <f>HYPERLINK("https://klasma.github.io/Logging_0382/tillsyn/A 64564-2021 tillsynsbegäran.docx", "A 64564-2021")</f>
        <v/>
      </c>
      <c r="Y114">
        <f>HYPERLINK("https://klasma.github.io/Logging_0382/tillsynsmail/A 64564-2021 tillsynsbegäran mail.docx", "A 64564-2021")</f>
        <v/>
      </c>
    </row>
    <row r="115" ht="15" customHeight="1">
      <c r="A115" t="inlineStr">
        <is>
          <t>A 65989-2021</t>
        </is>
      </c>
      <c r="B115" s="1" t="n">
        <v>44517</v>
      </c>
      <c r="C115" s="1" t="n">
        <v>45567</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70495-2021</t>
        </is>
      </c>
      <c r="B116" s="1" t="n">
        <v>44536</v>
      </c>
      <c r="C116" s="1" t="n">
        <v>45567</v>
      </c>
      <c r="D116" t="inlineStr">
        <is>
          <t>UPPSALA LÄN</t>
        </is>
      </c>
      <c r="E116" t="inlineStr">
        <is>
          <t>ÖSTHAMMAR</t>
        </is>
      </c>
      <c r="G116" t="n">
        <v>1</v>
      </c>
      <c r="H116" t="n">
        <v>1</v>
      </c>
      <c r="I116" t="n">
        <v>0</v>
      </c>
      <c r="J116" t="n">
        <v>1</v>
      </c>
      <c r="K116" t="n">
        <v>0</v>
      </c>
      <c r="L116" t="n">
        <v>0</v>
      </c>
      <c r="M116" t="n">
        <v>0</v>
      </c>
      <c r="N116" t="n">
        <v>0</v>
      </c>
      <c r="O116" t="n">
        <v>1</v>
      </c>
      <c r="P116" t="n">
        <v>0</v>
      </c>
      <c r="Q116" t="n">
        <v>1</v>
      </c>
      <c r="R116" s="2" t="inlineStr">
        <is>
          <t>Slaguggla</t>
        </is>
      </c>
      <c r="S116">
        <f>HYPERLINK("https://klasma.github.io/Logging_0382/artfynd/A 70495-2021 artfynd.xlsx", "A 70495-2021")</f>
        <v/>
      </c>
      <c r="T116">
        <f>HYPERLINK("https://klasma.github.io/Logging_0382/kartor/A 70495-2021 karta.png", "A 70495-2021")</f>
        <v/>
      </c>
      <c r="V116">
        <f>HYPERLINK("https://klasma.github.io/Logging_0382/klagomål/A 70495-2021 FSC-klagomål.docx", "A 70495-2021")</f>
        <v/>
      </c>
      <c r="W116">
        <f>HYPERLINK("https://klasma.github.io/Logging_0382/klagomålsmail/A 70495-2021 FSC-klagomål mail.docx", "A 70495-2021")</f>
        <v/>
      </c>
      <c r="X116">
        <f>HYPERLINK("https://klasma.github.io/Logging_0382/tillsyn/A 70495-2021 tillsynsbegäran.docx", "A 70495-2021")</f>
        <v/>
      </c>
      <c r="Y116">
        <f>HYPERLINK("https://klasma.github.io/Logging_0382/tillsynsmail/A 70495-2021 tillsynsbegäran mail.docx", "A 70495-2021")</f>
        <v/>
      </c>
      <c r="Z116">
        <f>HYPERLINK("https://klasma.github.io/Logging_0382/fåglar/A 70495-2021 prioriterade fågelarter.docx", "A 70495-2021")</f>
        <v/>
      </c>
    </row>
    <row r="117" ht="15" customHeight="1">
      <c r="A117" t="inlineStr">
        <is>
          <t>A 938-2022</t>
        </is>
      </c>
      <c r="B117" s="1" t="n">
        <v>44571</v>
      </c>
      <c r="C117" s="1" t="n">
        <v>45567</v>
      </c>
      <c r="D117" t="inlineStr">
        <is>
          <t>UPPSALA LÄN</t>
        </is>
      </c>
      <c r="E117" t="inlineStr">
        <is>
          <t>ÖSTHAMMAR</t>
        </is>
      </c>
      <c r="G117" t="n">
        <v>3.2</v>
      </c>
      <c r="H117" t="n">
        <v>0</v>
      </c>
      <c r="I117" t="n">
        <v>0</v>
      </c>
      <c r="J117" t="n">
        <v>1</v>
      </c>
      <c r="K117" t="n">
        <v>0</v>
      </c>
      <c r="L117" t="n">
        <v>0</v>
      </c>
      <c r="M117" t="n">
        <v>0</v>
      </c>
      <c r="N117" t="n">
        <v>0</v>
      </c>
      <c r="O117" t="n">
        <v>1</v>
      </c>
      <c r="P117" t="n">
        <v>0</v>
      </c>
      <c r="Q117" t="n">
        <v>1</v>
      </c>
      <c r="R117" s="2" t="inlineStr">
        <is>
          <t>Vedtrappmossa</t>
        </is>
      </c>
      <c r="S117">
        <f>HYPERLINK("https://klasma.github.io/Logging_0382/artfynd/A 938-2022 artfynd.xlsx", "A 938-2022")</f>
        <v/>
      </c>
      <c r="T117">
        <f>HYPERLINK("https://klasma.github.io/Logging_0382/kartor/A 938-2022 karta.png", "A 938-2022")</f>
        <v/>
      </c>
      <c r="V117">
        <f>HYPERLINK("https://klasma.github.io/Logging_0382/klagomål/A 938-2022 FSC-klagomål.docx", "A 938-2022")</f>
        <v/>
      </c>
      <c r="W117">
        <f>HYPERLINK("https://klasma.github.io/Logging_0382/klagomålsmail/A 938-2022 FSC-klagomål mail.docx", "A 938-2022")</f>
        <v/>
      </c>
      <c r="X117">
        <f>HYPERLINK("https://klasma.github.io/Logging_0382/tillsyn/A 938-2022 tillsynsbegäran.docx", "A 938-2022")</f>
        <v/>
      </c>
      <c r="Y117">
        <f>HYPERLINK("https://klasma.github.io/Logging_0382/tillsynsmail/A 938-2022 tillsynsbegäran mail.docx", "A 938-2022")</f>
        <v/>
      </c>
    </row>
    <row r="118" ht="15" customHeight="1">
      <c r="A118" t="inlineStr">
        <is>
          <t>A 1227-2022</t>
        </is>
      </c>
      <c r="B118" s="1" t="n">
        <v>44572</v>
      </c>
      <c r="C118" s="1" t="n">
        <v>45567</v>
      </c>
      <c r="D118" t="inlineStr">
        <is>
          <t>UPPSALA LÄN</t>
        </is>
      </c>
      <c r="E118" t="inlineStr">
        <is>
          <t>ÖSTHAMMAR</t>
        </is>
      </c>
      <c r="G118" t="n">
        <v>1.7</v>
      </c>
      <c r="H118" t="n">
        <v>0</v>
      </c>
      <c r="I118" t="n">
        <v>1</v>
      </c>
      <c r="J118" t="n">
        <v>0</v>
      </c>
      <c r="K118" t="n">
        <v>0</v>
      </c>
      <c r="L118" t="n">
        <v>0</v>
      </c>
      <c r="M118" t="n">
        <v>0</v>
      </c>
      <c r="N118" t="n">
        <v>0</v>
      </c>
      <c r="O118" t="n">
        <v>0</v>
      </c>
      <c r="P118" t="n">
        <v>0</v>
      </c>
      <c r="Q118" t="n">
        <v>1</v>
      </c>
      <c r="R118" s="2" t="inlineStr">
        <is>
          <t>Guldkremla</t>
        </is>
      </c>
      <c r="S118">
        <f>HYPERLINK("https://klasma.github.io/Logging_0382/artfynd/A 1227-2022 artfynd.xlsx", "A 1227-2022")</f>
        <v/>
      </c>
      <c r="T118">
        <f>HYPERLINK("https://klasma.github.io/Logging_0382/kartor/A 1227-2022 karta.png", "A 1227-2022")</f>
        <v/>
      </c>
      <c r="V118">
        <f>HYPERLINK("https://klasma.github.io/Logging_0382/klagomål/A 1227-2022 FSC-klagomål.docx", "A 1227-2022")</f>
        <v/>
      </c>
      <c r="W118">
        <f>HYPERLINK("https://klasma.github.io/Logging_0382/klagomålsmail/A 1227-2022 FSC-klagomål mail.docx", "A 1227-2022")</f>
        <v/>
      </c>
      <c r="X118">
        <f>HYPERLINK("https://klasma.github.io/Logging_0382/tillsyn/A 1227-2022 tillsynsbegäran.docx", "A 1227-2022")</f>
        <v/>
      </c>
      <c r="Y118">
        <f>HYPERLINK("https://klasma.github.io/Logging_0382/tillsynsmail/A 1227-2022 tillsynsbegäran mail.docx", "A 1227-2022")</f>
        <v/>
      </c>
    </row>
    <row r="119" ht="15" customHeight="1">
      <c r="A119" t="inlineStr">
        <is>
          <t>A 7446-2022</t>
        </is>
      </c>
      <c r="B119" s="1" t="n">
        <v>44606</v>
      </c>
      <c r="C119" s="1" t="n">
        <v>45567</v>
      </c>
      <c r="D119" t="inlineStr">
        <is>
          <t>UPPSALA LÄN</t>
        </is>
      </c>
      <c r="E119" t="inlineStr">
        <is>
          <t>ÖSTHAMMAR</t>
        </is>
      </c>
      <c r="G119" t="n">
        <v>5</v>
      </c>
      <c r="H119" t="n">
        <v>1</v>
      </c>
      <c r="I119" t="n">
        <v>0</v>
      </c>
      <c r="J119" t="n">
        <v>0</v>
      </c>
      <c r="K119" t="n">
        <v>0</v>
      </c>
      <c r="L119" t="n">
        <v>0</v>
      </c>
      <c r="M119" t="n">
        <v>0</v>
      </c>
      <c r="N119" t="n">
        <v>0</v>
      </c>
      <c r="O119" t="n">
        <v>0</v>
      </c>
      <c r="P119" t="n">
        <v>0</v>
      </c>
      <c r="Q119" t="n">
        <v>1</v>
      </c>
      <c r="R119" s="2" t="inlineStr">
        <is>
          <t>Mattlummer</t>
        </is>
      </c>
      <c r="S119">
        <f>HYPERLINK("https://klasma.github.io/Logging_0382/artfynd/A 7446-2022 artfynd.xlsx", "A 7446-2022")</f>
        <v/>
      </c>
      <c r="T119">
        <f>HYPERLINK("https://klasma.github.io/Logging_0382/kartor/A 7446-2022 karta.png", "A 7446-2022")</f>
        <v/>
      </c>
      <c r="V119">
        <f>HYPERLINK("https://klasma.github.io/Logging_0382/klagomål/A 7446-2022 FSC-klagomål.docx", "A 7446-2022")</f>
        <v/>
      </c>
      <c r="W119">
        <f>HYPERLINK("https://klasma.github.io/Logging_0382/klagomålsmail/A 7446-2022 FSC-klagomål mail.docx", "A 7446-2022")</f>
        <v/>
      </c>
      <c r="X119">
        <f>HYPERLINK("https://klasma.github.io/Logging_0382/tillsyn/A 7446-2022 tillsynsbegäran.docx", "A 7446-2022")</f>
        <v/>
      </c>
      <c r="Y119">
        <f>HYPERLINK("https://klasma.github.io/Logging_0382/tillsynsmail/A 7446-2022 tillsynsbegäran mail.docx", "A 7446-2022")</f>
        <v/>
      </c>
    </row>
    <row r="120" ht="15" customHeight="1">
      <c r="A120" t="inlineStr">
        <is>
          <t>A 7470-2022</t>
        </is>
      </c>
      <c r="B120" s="1" t="n">
        <v>44607</v>
      </c>
      <c r="C120" s="1" t="n">
        <v>45567</v>
      </c>
      <c r="D120" t="inlineStr">
        <is>
          <t>UPPSALA LÄN</t>
        </is>
      </c>
      <c r="E120" t="inlineStr">
        <is>
          <t>ÖSTHAMMAR</t>
        </is>
      </c>
      <c r="G120" t="n">
        <v>2.6</v>
      </c>
      <c r="H120" t="n">
        <v>1</v>
      </c>
      <c r="I120" t="n">
        <v>1</v>
      </c>
      <c r="J120" t="n">
        <v>0</v>
      </c>
      <c r="K120" t="n">
        <v>0</v>
      </c>
      <c r="L120" t="n">
        <v>0</v>
      </c>
      <c r="M120" t="n">
        <v>0</v>
      </c>
      <c r="N120" t="n">
        <v>0</v>
      </c>
      <c r="O120" t="n">
        <v>0</v>
      </c>
      <c r="P120" t="n">
        <v>0</v>
      </c>
      <c r="Q120" t="n">
        <v>1</v>
      </c>
      <c r="R120" s="2" t="inlineStr">
        <is>
          <t>Grön sköldmossa</t>
        </is>
      </c>
      <c r="S120">
        <f>HYPERLINK("https://klasma.github.io/Logging_0382/artfynd/A 7470-2022 artfynd.xlsx", "A 7470-2022")</f>
        <v/>
      </c>
      <c r="T120">
        <f>HYPERLINK("https://klasma.github.io/Logging_0382/kartor/A 7470-2022 karta.png", "A 7470-2022")</f>
        <v/>
      </c>
      <c r="V120">
        <f>HYPERLINK("https://klasma.github.io/Logging_0382/klagomål/A 7470-2022 FSC-klagomål.docx", "A 7470-2022")</f>
        <v/>
      </c>
      <c r="W120">
        <f>HYPERLINK("https://klasma.github.io/Logging_0382/klagomålsmail/A 7470-2022 FSC-klagomål mail.docx", "A 7470-2022")</f>
        <v/>
      </c>
      <c r="X120">
        <f>HYPERLINK("https://klasma.github.io/Logging_0382/tillsyn/A 7470-2022 tillsynsbegäran.docx", "A 7470-2022")</f>
        <v/>
      </c>
      <c r="Y120">
        <f>HYPERLINK("https://klasma.github.io/Logging_0382/tillsynsmail/A 7470-2022 tillsynsbegäran mail.docx", "A 7470-2022")</f>
        <v/>
      </c>
    </row>
    <row r="121" ht="15" customHeight="1">
      <c r="A121" t="inlineStr">
        <is>
          <t>A 22209-2022</t>
        </is>
      </c>
      <c r="B121" s="1" t="n">
        <v>44712</v>
      </c>
      <c r="C121" s="1" t="n">
        <v>45567</v>
      </c>
      <c r="D121" t="inlineStr">
        <is>
          <t>UPPSALA LÄN</t>
        </is>
      </c>
      <c r="E121" t="inlineStr">
        <is>
          <t>ÖSTHAMMAR</t>
        </is>
      </c>
      <c r="F121" t="inlineStr">
        <is>
          <t>Bergvik skog öst AB</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HYPERLINK("https://klasma.github.io/Logging_0382/artfynd/A 22209-2022 artfynd.xlsx", "A 22209-2022")</f>
        <v/>
      </c>
      <c r="T121">
        <f>HYPERLINK("https://klasma.github.io/Logging_0382/kartor/A 22209-2022 karta.png", "A 22209-2022")</f>
        <v/>
      </c>
      <c r="V121">
        <f>HYPERLINK("https://klasma.github.io/Logging_0382/klagomål/A 22209-2022 FSC-klagomål.docx", "A 22209-2022")</f>
        <v/>
      </c>
      <c r="W121">
        <f>HYPERLINK("https://klasma.github.io/Logging_0382/klagomålsmail/A 22209-2022 FSC-klagomål mail.docx", "A 22209-2022")</f>
        <v/>
      </c>
      <c r="X121">
        <f>HYPERLINK("https://klasma.github.io/Logging_0382/tillsyn/A 22209-2022 tillsynsbegäran.docx", "A 22209-2022")</f>
        <v/>
      </c>
      <c r="Y121">
        <f>HYPERLINK("https://klasma.github.io/Logging_0382/tillsynsmail/A 22209-2022 tillsynsbegäran mail.docx", "A 22209-2022")</f>
        <v/>
      </c>
    </row>
    <row r="122" ht="15" customHeight="1">
      <c r="A122" t="inlineStr">
        <is>
          <t>A 24797-2022</t>
        </is>
      </c>
      <c r="B122" s="1" t="n">
        <v>44728</v>
      </c>
      <c r="C122" s="1" t="n">
        <v>45567</v>
      </c>
      <c r="D122" t="inlineStr">
        <is>
          <t>UPPSALA LÄN</t>
        </is>
      </c>
      <c r="E122" t="inlineStr">
        <is>
          <t>ÖSTHAMMAR</t>
        </is>
      </c>
      <c r="F122" t="inlineStr">
        <is>
          <t>Sveaskog</t>
        </is>
      </c>
      <c r="G122" t="n">
        <v>1.7</v>
      </c>
      <c r="H122" t="n">
        <v>1</v>
      </c>
      <c r="I122" t="n">
        <v>0</v>
      </c>
      <c r="J122" t="n">
        <v>1</v>
      </c>
      <c r="K122" t="n">
        <v>0</v>
      </c>
      <c r="L122" t="n">
        <v>0</v>
      </c>
      <c r="M122" t="n">
        <v>0</v>
      </c>
      <c r="N122" t="n">
        <v>0</v>
      </c>
      <c r="O122" t="n">
        <v>1</v>
      </c>
      <c r="P122" t="n">
        <v>0</v>
      </c>
      <c r="Q122" t="n">
        <v>1</v>
      </c>
      <c r="R122" s="2" t="inlineStr">
        <is>
          <t>Gulsparv</t>
        </is>
      </c>
      <c r="S122">
        <f>HYPERLINK("https://klasma.github.io/Logging_0382/artfynd/A 24797-2022 artfynd.xlsx", "A 24797-2022")</f>
        <v/>
      </c>
      <c r="T122">
        <f>HYPERLINK("https://klasma.github.io/Logging_0382/kartor/A 24797-2022 karta.png", "A 24797-2022")</f>
        <v/>
      </c>
      <c r="V122">
        <f>HYPERLINK("https://klasma.github.io/Logging_0382/klagomål/A 24797-2022 FSC-klagomål.docx", "A 24797-2022")</f>
        <v/>
      </c>
      <c r="W122">
        <f>HYPERLINK("https://klasma.github.io/Logging_0382/klagomålsmail/A 24797-2022 FSC-klagomål mail.docx", "A 24797-2022")</f>
        <v/>
      </c>
      <c r="X122">
        <f>HYPERLINK("https://klasma.github.io/Logging_0382/tillsyn/A 24797-2022 tillsynsbegäran.docx", "A 24797-2022")</f>
        <v/>
      </c>
      <c r="Y122">
        <f>HYPERLINK("https://klasma.github.io/Logging_0382/tillsynsmail/A 24797-2022 tillsynsbegäran mail.docx", "A 24797-2022")</f>
        <v/>
      </c>
      <c r="Z122">
        <f>HYPERLINK("https://klasma.github.io/Logging_0382/fåglar/A 24797-2022 prioriterade fågelarter.docx", "A 24797-2022")</f>
        <v/>
      </c>
    </row>
    <row r="123" ht="15" customHeight="1">
      <c r="A123" t="inlineStr">
        <is>
          <t>A 27451-2022</t>
        </is>
      </c>
      <c r="B123" s="1" t="n">
        <v>44742</v>
      </c>
      <c r="C123" s="1" t="n">
        <v>45567</v>
      </c>
      <c r="D123" t="inlineStr">
        <is>
          <t>UPPSALA LÄN</t>
        </is>
      </c>
      <c r="E123" t="inlineStr">
        <is>
          <t>ÖSTHAMMAR</t>
        </is>
      </c>
      <c r="G123" t="n">
        <v>6.4</v>
      </c>
      <c r="H123" t="n">
        <v>0</v>
      </c>
      <c r="I123" t="n">
        <v>0</v>
      </c>
      <c r="J123" t="n">
        <v>1</v>
      </c>
      <c r="K123" t="n">
        <v>0</v>
      </c>
      <c r="L123" t="n">
        <v>0</v>
      </c>
      <c r="M123" t="n">
        <v>0</v>
      </c>
      <c r="N123" t="n">
        <v>0</v>
      </c>
      <c r="O123" t="n">
        <v>1</v>
      </c>
      <c r="P123" t="n">
        <v>0</v>
      </c>
      <c r="Q123" t="n">
        <v>1</v>
      </c>
      <c r="R123" s="2" t="inlineStr">
        <is>
          <t>Skogsklocka</t>
        </is>
      </c>
      <c r="S123">
        <f>HYPERLINK("https://klasma.github.io/Logging_0382/artfynd/A 27451-2022 artfynd.xlsx", "A 27451-2022")</f>
        <v/>
      </c>
      <c r="T123">
        <f>HYPERLINK("https://klasma.github.io/Logging_0382/kartor/A 27451-2022 karta.png", "A 27451-2022")</f>
        <v/>
      </c>
      <c r="V123">
        <f>HYPERLINK("https://klasma.github.io/Logging_0382/klagomål/A 27451-2022 FSC-klagomål.docx", "A 27451-2022")</f>
        <v/>
      </c>
      <c r="W123">
        <f>HYPERLINK("https://klasma.github.io/Logging_0382/klagomålsmail/A 27451-2022 FSC-klagomål mail.docx", "A 27451-2022")</f>
        <v/>
      </c>
      <c r="X123">
        <f>HYPERLINK("https://klasma.github.io/Logging_0382/tillsyn/A 27451-2022 tillsynsbegäran.docx", "A 27451-2022")</f>
        <v/>
      </c>
      <c r="Y123">
        <f>HYPERLINK("https://klasma.github.io/Logging_0382/tillsynsmail/A 27451-2022 tillsynsbegäran mail.docx", "A 27451-2022")</f>
        <v/>
      </c>
    </row>
    <row r="124" ht="15" customHeight="1">
      <c r="A124" t="inlineStr">
        <is>
          <t>A 34974-2022</t>
        </is>
      </c>
      <c r="B124" s="1" t="n">
        <v>44796</v>
      </c>
      <c r="C124" s="1" t="n">
        <v>45567</v>
      </c>
      <c r="D124" t="inlineStr">
        <is>
          <t>UPPSALA LÄN</t>
        </is>
      </c>
      <c r="E124" t="inlineStr">
        <is>
          <t>ÖSTHAMMAR</t>
        </is>
      </c>
      <c r="F124" t="inlineStr">
        <is>
          <t>Bergvik skog öst AB</t>
        </is>
      </c>
      <c r="G124" t="n">
        <v>19.4</v>
      </c>
      <c r="H124" t="n">
        <v>1</v>
      </c>
      <c r="I124" t="n">
        <v>0</v>
      </c>
      <c r="J124" t="n">
        <v>0</v>
      </c>
      <c r="K124" t="n">
        <v>0</v>
      </c>
      <c r="L124" t="n">
        <v>0</v>
      </c>
      <c r="M124" t="n">
        <v>0</v>
      </c>
      <c r="N124" t="n">
        <v>0</v>
      </c>
      <c r="O124" t="n">
        <v>0</v>
      </c>
      <c r="P124" t="n">
        <v>0</v>
      </c>
      <c r="Q124" t="n">
        <v>1</v>
      </c>
      <c r="R124" s="2" t="inlineStr">
        <is>
          <t>Kopparödla</t>
        </is>
      </c>
      <c r="S124">
        <f>HYPERLINK("https://klasma.github.io/Logging_0382/artfynd/A 34974-2022 artfynd.xlsx", "A 34974-2022")</f>
        <v/>
      </c>
      <c r="T124">
        <f>HYPERLINK("https://klasma.github.io/Logging_0382/kartor/A 34974-2022 karta.png", "A 34974-2022")</f>
        <v/>
      </c>
      <c r="V124">
        <f>HYPERLINK("https://klasma.github.io/Logging_0382/klagomål/A 34974-2022 FSC-klagomål.docx", "A 34974-2022")</f>
        <v/>
      </c>
      <c r="W124">
        <f>HYPERLINK("https://klasma.github.io/Logging_0382/klagomålsmail/A 34974-2022 FSC-klagomål mail.docx", "A 34974-2022")</f>
        <v/>
      </c>
      <c r="X124">
        <f>HYPERLINK("https://klasma.github.io/Logging_0382/tillsyn/A 34974-2022 tillsynsbegäran.docx", "A 34974-2022")</f>
        <v/>
      </c>
      <c r="Y124">
        <f>HYPERLINK("https://klasma.github.io/Logging_0382/tillsynsmail/A 34974-2022 tillsynsbegäran mail.docx", "A 34974-2022")</f>
        <v/>
      </c>
    </row>
    <row r="125" ht="15" customHeight="1">
      <c r="A125" t="inlineStr">
        <is>
          <t>A 52648-2022</t>
        </is>
      </c>
      <c r="B125" s="1" t="n">
        <v>44874</v>
      </c>
      <c r="C125" s="1" t="n">
        <v>45567</v>
      </c>
      <c r="D125" t="inlineStr">
        <is>
          <t>UPPSALA LÄN</t>
        </is>
      </c>
      <c r="E125" t="inlineStr">
        <is>
          <t>ÖSTHAMMAR</t>
        </is>
      </c>
      <c r="F125" t="inlineStr">
        <is>
          <t>Bergvik skog öst AB</t>
        </is>
      </c>
      <c r="G125" t="n">
        <v>2.3</v>
      </c>
      <c r="H125" t="n">
        <v>1</v>
      </c>
      <c r="I125" t="n">
        <v>0</v>
      </c>
      <c r="J125" t="n">
        <v>1</v>
      </c>
      <c r="K125" t="n">
        <v>0</v>
      </c>
      <c r="L125" t="n">
        <v>0</v>
      </c>
      <c r="M125" t="n">
        <v>0</v>
      </c>
      <c r="N125" t="n">
        <v>0</v>
      </c>
      <c r="O125" t="n">
        <v>1</v>
      </c>
      <c r="P125" t="n">
        <v>0</v>
      </c>
      <c r="Q125" t="n">
        <v>1</v>
      </c>
      <c r="R125" s="2" t="inlineStr">
        <is>
          <t>Buskskvätta</t>
        </is>
      </c>
      <c r="S125">
        <f>HYPERLINK("https://klasma.github.io/Logging_0382/artfynd/A 52648-2022 artfynd.xlsx", "A 52648-2022")</f>
        <v/>
      </c>
      <c r="T125">
        <f>HYPERLINK("https://klasma.github.io/Logging_0382/kartor/A 52648-2022 karta.png", "A 52648-2022")</f>
        <v/>
      </c>
      <c r="V125">
        <f>HYPERLINK("https://klasma.github.io/Logging_0382/klagomål/A 52648-2022 FSC-klagomål.docx", "A 52648-2022")</f>
        <v/>
      </c>
      <c r="W125">
        <f>HYPERLINK("https://klasma.github.io/Logging_0382/klagomålsmail/A 52648-2022 FSC-klagomål mail.docx", "A 52648-2022")</f>
        <v/>
      </c>
      <c r="X125">
        <f>HYPERLINK("https://klasma.github.io/Logging_0382/tillsyn/A 52648-2022 tillsynsbegäran.docx", "A 52648-2022")</f>
        <v/>
      </c>
      <c r="Y125">
        <f>HYPERLINK("https://klasma.github.io/Logging_0382/tillsynsmail/A 52648-2022 tillsynsbegäran mail.docx", "A 52648-2022")</f>
        <v/>
      </c>
      <c r="Z125">
        <f>HYPERLINK("https://klasma.github.io/Logging_0382/fåglar/A 52648-2022 prioriterade fågelarter.docx", "A 52648-2022")</f>
        <v/>
      </c>
    </row>
    <row r="126" ht="15" customHeight="1">
      <c r="A126" t="inlineStr">
        <is>
          <t>A 52651-2022</t>
        </is>
      </c>
      <c r="B126" s="1" t="n">
        <v>44874</v>
      </c>
      <c r="C126" s="1" t="n">
        <v>45567</v>
      </c>
      <c r="D126" t="inlineStr">
        <is>
          <t>UPPSALA LÄN</t>
        </is>
      </c>
      <c r="E126" t="inlineStr">
        <is>
          <t>ÖSTHAMMAR</t>
        </is>
      </c>
      <c r="F126" t="inlineStr">
        <is>
          <t>Bergvik skog öst AB</t>
        </is>
      </c>
      <c r="G126" t="n">
        <v>0.6</v>
      </c>
      <c r="H126" t="n">
        <v>1</v>
      </c>
      <c r="I126" t="n">
        <v>0</v>
      </c>
      <c r="J126" t="n">
        <v>1</v>
      </c>
      <c r="K126" t="n">
        <v>0</v>
      </c>
      <c r="L126" t="n">
        <v>0</v>
      </c>
      <c r="M126" t="n">
        <v>0</v>
      </c>
      <c r="N126" t="n">
        <v>0</v>
      </c>
      <c r="O126" t="n">
        <v>1</v>
      </c>
      <c r="P126" t="n">
        <v>0</v>
      </c>
      <c r="Q126" t="n">
        <v>1</v>
      </c>
      <c r="R126" s="2" t="inlineStr">
        <is>
          <t>Svartvit flugsnappare</t>
        </is>
      </c>
      <c r="S126">
        <f>HYPERLINK("https://klasma.github.io/Logging_0382/artfynd/A 52651-2022 artfynd.xlsx", "A 52651-2022")</f>
        <v/>
      </c>
      <c r="T126">
        <f>HYPERLINK("https://klasma.github.io/Logging_0382/kartor/A 52651-2022 karta.png", "A 52651-2022")</f>
        <v/>
      </c>
      <c r="V126">
        <f>HYPERLINK("https://klasma.github.io/Logging_0382/klagomål/A 52651-2022 FSC-klagomål.docx", "A 52651-2022")</f>
        <v/>
      </c>
      <c r="W126">
        <f>HYPERLINK("https://klasma.github.io/Logging_0382/klagomålsmail/A 52651-2022 FSC-klagomål mail.docx", "A 52651-2022")</f>
        <v/>
      </c>
      <c r="X126">
        <f>HYPERLINK("https://klasma.github.io/Logging_0382/tillsyn/A 52651-2022 tillsynsbegäran.docx", "A 52651-2022")</f>
        <v/>
      </c>
      <c r="Y126">
        <f>HYPERLINK("https://klasma.github.io/Logging_0382/tillsynsmail/A 52651-2022 tillsynsbegäran mail.docx", "A 52651-2022")</f>
        <v/>
      </c>
      <c r="Z126">
        <f>HYPERLINK("https://klasma.github.io/Logging_0382/fåglar/A 52651-2022 prioriterade fågelarter.docx", "A 52651-2022")</f>
        <v/>
      </c>
    </row>
    <row r="127" ht="15" customHeight="1">
      <c r="A127" t="inlineStr">
        <is>
          <t>A 52818-2022</t>
        </is>
      </c>
      <c r="B127" s="1" t="n">
        <v>44875</v>
      </c>
      <c r="C127" s="1" t="n">
        <v>45567</v>
      </c>
      <c r="D127" t="inlineStr">
        <is>
          <t>UPPSALA LÄN</t>
        </is>
      </c>
      <c r="E127" t="inlineStr">
        <is>
          <t>ÖSTHAMMAR</t>
        </is>
      </c>
      <c r="G127" t="n">
        <v>0.9</v>
      </c>
      <c r="H127" t="n">
        <v>1</v>
      </c>
      <c r="I127" t="n">
        <v>1</v>
      </c>
      <c r="J127" t="n">
        <v>0</v>
      </c>
      <c r="K127" t="n">
        <v>0</v>
      </c>
      <c r="L127" t="n">
        <v>0</v>
      </c>
      <c r="M127" t="n">
        <v>0</v>
      </c>
      <c r="N127" t="n">
        <v>0</v>
      </c>
      <c r="O127" t="n">
        <v>0</v>
      </c>
      <c r="P127" t="n">
        <v>0</v>
      </c>
      <c r="Q127" t="n">
        <v>1</v>
      </c>
      <c r="R127" s="2" t="inlineStr">
        <is>
          <t>Guckusko</t>
        </is>
      </c>
      <c r="S127">
        <f>HYPERLINK("https://klasma.github.io/Logging_0382/artfynd/A 52818-2022 artfynd.xlsx", "A 52818-2022")</f>
        <v/>
      </c>
      <c r="T127">
        <f>HYPERLINK("https://klasma.github.io/Logging_0382/kartor/A 52818-2022 karta.png", "A 52818-2022")</f>
        <v/>
      </c>
      <c r="V127">
        <f>HYPERLINK("https://klasma.github.io/Logging_0382/klagomål/A 52818-2022 FSC-klagomål.docx", "A 52818-2022")</f>
        <v/>
      </c>
      <c r="W127">
        <f>HYPERLINK("https://klasma.github.io/Logging_0382/klagomålsmail/A 52818-2022 FSC-klagomål mail.docx", "A 52818-2022")</f>
        <v/>
      </c>
      <c r="X127">
        <f>HYPERLINK("https://klasma.github.io/Logging_0382/tillsyn/A 52818-2022 tillsynsbegäran.docx", "A 52818-2022")</f>
        <v/>
      </c>
      <c r="Y127">
        <f>HYPERLINK("https://klasma.github.io/Logging_0382/tillsynsmail/A 52818-2022 tillsynsbegäran mail.docx", "A 52818-2022")</f>
        <v/>
      </c>
    </row>
    <row r="128" ht="15" customHeight="1">
      <c r="A128" t="inlineStr">
        <is>
          <t>A 1783-2023</t>
        </is>
      </c>
      <c r="B128" s="1" t="n">
        <v>44938</v>
      </c>
      <c r="C128" s="1" t="n">
        <v>45567</v>
      </c>
      <c r="D128" t="inlineStr">
        <is>
          <t>UPPSALA LÄN</t>
        </is>
      </c>
      <c r="E128" t="inlineStr">
        <is>
          <t>ÖSTHAMMAR</t>
        </is>
      </c>
      <c r="G128" t="n">
        <v>4.1</v>
      </c>
      <c r="H128" t="n">
        <v>0</v>
      </c>
      <c r="I128" t="n">
        <v>0</v>
      </c>
      <c r="J128" t="n">
        <v>1</v>
      </c>
      <c r="K128" t="n">
        <v>0</v>
      </c>
      <c r="L128" t="n">
        <v>0</v>
      </c>
      <c r="M128" t="n">
        <v>0</v>
      </c>
      <c r="N128" t="n">
        <v>0</v>
      </c>
      <c r="O128" t="n">
        <v>1</v>
      </c>
      <c r="P128" t="n">
        <v>0</v>
      </c>
      <c r="Q128" t="n">
        <v>1</v>
      </c>
      <c r="R128" s="2" t="inlineStr">
        <is>
          <t>Svart taggsvamp</t>
        </is>
      </c>
      <c r="S128">
        <f>HYPERLINK("https://klasma.github.io/Logging_0382/artfynd/A 1783-2023 artfynd.xlsx", "A 1783-2023")</f>
        <v/>
      </c>
      <c r="T128">
        <f>HYPERLINK("https://klasma.github.io/Logging_0382/kartor/A 1783-2023 karta.png", "A 1783-2023")</f>
        <v/>
      </c>
      <c r="V128">
        <f>HYPERLINK("https://klasma.github.io/Logging_0382/klagomål/A 1783-2023 FSC-klagomål.docx", "A 1783-2023")</f>
        <v/>
      </c>
      <c r="W128">
        <f>HYPERLINK("https://klasma.github.io/Logging_0382/klagomålsmail/A 1783-2023 FSC-klagomål mail.docx", "A 1783-2023")</f>
        <v/>
      </c>
      <c r="X128">
        <f>HYPERLINK("https://klasma.github.io/Logging_0382/tillsyn/A 1783-2023 tillsynsbegäran.docx", "A 1783-2023")</f>
        <v/>
      </c>
      <c r="Y128">
        <f>HYPERLINK("https://klasma.github.io/Logging_0382/tillsynsmail/A 1783-2023 tillsynsbegäran mail.docx", "A 1783-2023")</f>
        <v/>
      </c>
    </row>
    <row r="129" ht="15" customHeight="1">
      <c r="A129" t="inlineStr">
        <is>
          <t>A 14706-2023</t>
        </is>
      </c>
      <c r="B129" s="1" t="n">
        <v>45013</v>
      </c>
      <c r="C129" s="1" t="n">
        <v>45567</v>
      </c>
      <c r="D129" t="inlineStr">
        <is>
          <t>UPPSALA LÄN</t>
        </is>
      </c>
      <c r="E129" t="inlineStr">
        <is>
          <t>ÖSTHAMMAR</t>
        </is>
      </c>
      <c r="G129" t="n">
        <v>0.9</v>
      </c>
      <c r="H129" t="n">
        <v>0</v>
      </c>
      <c r="I129" t="n">
        <v>1</v>
      </c>
      <c r="J129" t="n">
        <v>0</v>
      </c>
      <c r="K129" t="n">
        <v>0</v>
      </c>
      <c r="L129" t="n">
        <v>0</v>
      </c>
      <c r="M129" t="n">
        <v>0</v>
      </c>
      <c r="N129" t="n">
        <v>0</v>
      </c>
      <c r="O129" t="n">
        <v>0</v>
      </c>
      <c r="P129" t="n">
        <v>0</v>
      </c>
      <c r="Q129" t="n">
        <v>1</v>
      </c>
      <c r="R129" s="2" t="inlineStr">
        <is>
          <t>Olivspindling</t>
        </is>
      </c>
      <c r="S129">
        <f>HYPERLINK("https://klasma.github.io/Logging_0382/artfynd/A 14706-2023 artfynd.xlsx", "A 14706-2023")</f>
        <v/>
      </c>
      <c r="T129">
        <f>HYPERLINK("https://klasma.github.io/Logging_0382/kartor/A 14706-2023 karta.png", "A 14706-2023")</f>
        <v/>
      </c>
      <c r="V129">
        <f>HYPERLINK("https://klasma.github.io/Logging_0382/klagomål/A 14706-2023 FSC-klagomål.docx", "A 14706-2023")</f>
        <v/>
      </c>
      <c r="W129">
        <f>HYPERLINK("https://klasma.github.io/Logging_0382/klagomålsmail/A 14706-2023 FSC-klagomål mail.docx", "A 14706-2023")</f>
        <v/>
      </c>
      <c r="X129">
        <f>HYPERLINK("https://klasma.github.io/Logging_0382/tillsyn/A 14706-2023 tillsynsbegäran.docx", "A 14706-2023")</f>
        <v/>
      </c>
      <c r="Y129">
        <f>HYPERLINK("https://klasma.github.io/Logging_0382/tillsynsmail/A 14706-2023 tillsynsbegäran mail.docx", "A 14706-2023")</f>
        <v/>
      </c>
    </row>
    <row r="130" ht="15" customHeight="1">
      <c r="A130" t="inlineStr">
        <is>
          <t>A 15627-2023</t>
        </is>
      </c>
      <c r="B130" s="1" t="n">
        <v>45021</v>
      </c>
      <c r="C130" s="1" t="n">
        <v>45567</v>
      </c>
      <c r="D130" t="inlineStr">
        <is>
          <t>UPPSALA LÄN</t>
        </is>
      </c>
      <c r="E130" t="inlineStr">
        <is>
          <t>ÖSTHAMMAR</t>
        </is>
      </c>
      <c r="F130" t="inlineStr">
        <is>
          <t>Övriga Aktiebolag</t>
        </is>
      </c>
      <c r="G130" t="n">
        <v>22.8</v>
      </c>
      <c r="H130" t="n">
        <v>1</v>
      </c>
      <c r="I130" t="n">
        <v>1</v>
      </c>
      <c r="J130" t="n">
        <v>0</v>
      </c>
      <c r="K130" t="n">
        <v>0</v>
      </c>
      <c r="L130" t="n">
        <v>0</v>
      </c>
      <c r="M130" t="n">
        <v>0</v>
      </c>
      <c r="N130" t="n">
        <v>0</v>
      </c>
      <c r="O130" t="n">
        <v>0</v>
      </c>
      <c r="P130" t="n">
        <v>0</v>
      </c>
      <c r="Q130" t="n">
        <v>1</v>
      </c>
      <c r="R130" s="2" t="inlineStr">
        <is>
          <t>Guckusko</t>
        </is>
      </c>
      <c r="S130">
        <f>HYPERLINK("https://klasma.github.io/Logging_0382/artfynd/A 15627-2023 artfynd.xlsx", "A 15627-2023")</f>
        <v/>
      </c>
      <c r="T130">
        <f>HYPERLINK("https://klasma.github.io/Logging_0382/kartor/A 15627-2023 karta.png", "A 15627-2023")</f>
        <v/>
      </c>
      <c r="V130">
        <f>HYPERLINK("https://klasma.github.io/Logging_0382/klagomål/A 15627-2023 FSC-klagomål.docx", "A 15627-2023")</f>
        <v/>
      </c>
      <c r="W130">
        <f>HYPERLINK("https://klasma.github.io/Logging_0382/klagomålsmail/A 15627-2023 FSC-klagomål mail.docx", "A 15627-2023")</f>
        <v/>
      </c>
      <c r="X130">
        <f>HYPERLINK("https://klasma.github.io/Logging_0382/tillsyn/A 15627-2023 tillsynsbegäran.docx", "A 15627-2023")</f>
        <v/>
      </c>
      <c r="Y130">
        <f>HYPERLINK("https://klasma.github.io/Logging_0382/tillsynsmail/A 15627-2023 tillsynsbegäran mail.docx", "A 15627-2023")</f>
        <v/>
      </c>
    </row>
    <row r="131" ht="15" customHeight="1">
      <c r="A131" t="inlineStr">
        <is>
          <t>A 15628-2023</t>
        </is>
      </c>
      <c r="B131" s="1" t="n">
        <v>45021</v>
      </c>
      <c r="C131" s="1" t="n">
        <v>45567</v>
      </c>
      <c r="D131" t="inlineStr">
        <is>
          <t>UPPSALA LÄN</t>
        </is>
      </c>
      <c r="E131" t="inlineStr">
        <is>
          <t>ÖSTHAMMAR</t>
        </is>
      </c>
      <c r="F131" t="inlineStr">
        <is>
          <t>Övriga Aktiebolag</t>
        </is>
      </c>
      <c r="G131" t="n">
        <v>14.8</v>
      </c>
      <c r="H131" t="n">
        <v>1</v>
      </c>
      <c r="I131" t="n">
        <v>0</v>
      </c>
      <c r="J131" t="n">
        <v>0</v>
      </c>
      <c r="K131" t="n">
        <v>1</v>
      </c>
      <c r="L131" t="n">
        <v>0</v>
      </c>
      <c r="M131" t="n">
        <v>0</v>
      </c>
      <c r="N131" t="n">
        <v>0</v>
      </c>
      <c r="O131" t="n">
        <v>1</v>
      </c>
      <c r="P131" t="n">
        <v>1</v>
      </c>
      <c r="Q131" t="n">
        <v>1</v>
      </c>
      <c r="R131" s="2" t="inlineStr">
        <is>
          <t>Knärot</t>
        </is>
      </c>
      <c r="S131">
        <f>HYPERLINK("https://klasma.github.io/Logging_0382/artfynd/A 15628-2023 artfynd.xlsx", "A 15628-2023")</f>
        <v/>
      </c>
      <c r="T131">
        <f>HYPERLINK("https://klasma.github.io/Logging_0382/kartor/A 15628-2023 karta.png", "A 15628-2023")</f>
        <v/>
      </c>
      <c r="U131">
        <f>HYPERLINK("https://klasma.github.io/Logging_0382/knärot/A 15628-2023 karta knärot.png", "A 15628-2023")</f>
        <v/>
      </c>
      <c r="V131">
        <f>HYPERLINK("https://klasma.github.io/Logging_0382/klagomål/A 15628-2023 FSC-klagomål.docx", "A 15628-2023")</f>
        <v/>
      </c>
      <c r="W131">
        <f>HYPERLINK("https://klasma.github.io/Logging_0382/klagomålsmail/A 15628-2023 FSC-klagomål mail.docx", "A 15628-2023")</f>
        <v/>
      </c>
      <c r="X131">
        <f>HYPERLINK("https://klasma.github.io/Logging_0382/tillsyn/A 15628-2023 tillsynsbegäran.docx", "A 15628-2023")</f>
        <v/>
      </c>
      <c r="Y131">
        <f>HYPERLINK("https://klasma.github.io/Logging_0382/tillsynsmail/A 15628-2023 tillsynsbegäran mail.docx", "A 15628-2023")</f>
        <v/>
      </c>
    </row>
    <row r="132" ht="15" customHeight="1">
      <c r="A132" t="inlineStr">
        <is>
          <t>A 19100-2023</t>
        </is>
      </c>
      <c r="B132" s="1" t="n">
        <v>45048</v>
      </c>
      <c r="C132" s="1" t="n">
        <v>45567</v>
      </c>
      <c r="D132" t="inlineStr">
        <is>
          <t>UPPSALA LÄN</t>
        </is>
      </c>
      <c r="E132" t="inlineStr">
        <is>
          <t>ÖSTHAMMAR</t>
        </is>
      </c>
      <c r="F132" t="inlineStr">
        <is>
          <t>Bergvik skog öst AB</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19100-2023 artfynd.xlsx", "A 19100-2023")</f>
        <v/>
      </c>
      <c r="T132">
        <f>HYPERLINK("https://klasma.github.io/Logging_0382/kartor/A 19100-2023 karta.png", "A 19100-2023")</f>
        <v/>
      </c>
      <c r="V132">
        <f>HYPERLINK("https://klasma.github.io/Logging_0382/klagomål/A 19100-2023 FSC-klagomål.docx", "A 19100-2023")</f>
        <v/>
      </c>
      <c r="W132">
        <f>HYPERLINK("https://klasma.github.io/Logging_0382/klagomålsmail/A 19100-2023 FSC-klagomål mail.docx", "A 19100-2023")</f>
        <v/>
      </c>
      <c r="X132">
        <f>HYPERLINK("https://klasma.github.io/Logging_0382/tillsyn/A 19100-2023 tillsynsbegäran.docx", "A 19100-2023")</f>
        <v/>
      </c>
      <c r="Y132">
        <f>HYPERLINK("https://klasma.github.io/Logging_0382/tillsynsmail/A 19100-2023 tillsynsbegäran mail.docx", "A 19100-2023")</f>
        <v/>
      </c>
    </row>
    <row r="133" ht="15" customHeight="1">
      <c r="A133" t="inlineStr">
        <is>
          <t>A 21628-2023</t>
        </is>
      </c>
      <c r="B133" s="1" t="n">
        <v>45063</v>
      </c>
      <c r="C133" s="1" t="n">
        <v>45567</v>
      </c>
      <c r="D133" t="inlineStr">
        <is>
          <t>UPPSALA LÄN</t>
        </is>
      </c>
      <c r="E133" t="inlineStr">
        <is>
          <t>ÖSTHAMMAR</t>
        </is>
      </c>
      <c r="F133" t="inlineStr">
        <is>
          <t>Sveaskog</t>
        </is>
      </c>
      <c r="G133" t="n">
        <v>4.9</v>
      </c>
      <c r="H133" t="n">
        <v>1</v>
      </c>
      <c r="I133" t="n">
        <v>0</v>
      </c>
      <c r="J133" t="n">
        <v>1</v>
      </c>
      <c r="K133" t="n">
        <v>0</v>
      </c>
      <c r="L133" t="n">
        <v>0</v>
      </c>
      <c r="M133" t="n">
        <v>0</v>
      </c>
      <c r="N133" t="n">
        <v>0</v>
      </c>
      <c r="O133" t="n">
        <v>1</v>
      </c>
      <c r="P133" t="n">
        <v>0</v>
      </c>
      <c r="Q133" t="n">
        <v>1</v>
      </c>
      <c r="R133" s="2" t="inlineStr">
        <is>
          <t>Slaguggla</t>
        </is>
      </c>
      <c r="S133">
        <f>HYPERLINK("https://klasma.github.io/Logging_0382/artfynd/A 21628-2023 artfynd.xlsx", "A 21628-2023")</f>
        <v/>
      </c>
      <c r="T133">
        <f>HYPERLINK("https://klasma.github.io/Logging_0382/kartor/A 21628-2023 karta.png", "A 21628-2023")</f>
        <v/>
      </c>
      <c r="V133">
        <f>HYPERLINK("https://klasma.github.io/Logging_0382/klagomål/A 21628-2023 FSC-klagomål.docx", "A 21628-2023")</f>
        <v/>
      </c>
      <c r="W133">
        <f>HYPERLINK("https://klasma.github.io/Logging_0382/klagomålsmail/A 21628-2023 FSC-klagomål mail.docx", "A 21628-2023")</f>
        <v/>
      </c>
      <c r="X133">
        <f>HYPERLINK("https://klasma.github.io/Logging_0382/tillsyn/A 21628-2023 tillsynsbegäran.docx", "A 21628-2023")</f>
        <v/>
      </c>
      <c r="Y133">
        <f>HYPERLINK("https://klasma.github.io/Logging_0382/tillsynsmail/A 21628-2023 tillsynsbegäran mail.docx", "A 21628-2023")</f>
        <v/>
      </c>
      <c r="Z133">
        <f>HYPERLINK("https://klasma.github.io/Logging_0382/fåglar/A 21628-2023 prioriterade fågelarter.docx", "A 21628-2023")</f>
        <v/>
      </c>
    </row>
    <row r="134" ht="15" customHeight="1">
      <c r="A134" t="inlineStr">
        <is>
          <t>A 22307-2023</t>
        </is>
      </c>
      <c r="B134" s="1" t="n">
        <v>45070</v>
      </c>
      <c r="C134" s="1" t="n">
        <v>45567</v>
      </c>
      <c r="D134" t="inlineStr">
        <is>
          <t>UPPSALA LÄN</t>
        </is>
      </c>
      <c r="E134" t="inlineStr">
        <is>
          <t>ÖSTHAMMAR</t>
        </is>
      </c>
      <c r="F134" t="inlineStr">
        <is>
          <t>Bergvik skog öst AB</t>
        </is>
      </c>
      <c r="G134" t="n">
        <v>13.9</v>
      </c>
      <c r="H134" t="n">
        <v>0</v>
      </c>
      <c r="I134" t="n">
        <v>1</v>
      </c>
      <c r="J134" t="n">
        <v>0</v>
      </c>
      <c r="K134" t="n">
        <v>0</v>
      </c>
      <c r="L134" t="n">
        <v>0</v>
      </c>
      <c r="M134" t="n">
        <v>0</v>
      </c>
      <c r="N134" t="n">
        <v>0</v>
      </c>
      <c r="O134" t="n">
        <v>0</v>
      </c>
      <c r="P134" t="n">
        <v>0</v>
      </c>
      <c r="Q134" t="n">
        <v>1</v>
      </c>
      <c r="R134" s="2" t="inlineStr">
        <is>
          <t>Myskmadra</t>
        </is>
      </c>
      <c r="S134">
        <f>HYPERLINK("https://klasma.github.io/Logging_0382/artfynd/A 22307-2023 artfynd.xlsx", "A 22307-2023")</f>
        <v/>
      </c>
      <c r="T134">
        <f>HYPERLINK("https://klasma.github.io/Logging_0382/kartor/A 22307-2023 karta.png", "A 22307-2023")</f>
        <v/>
      </c>
      <c r="V134">
        <f>HYPERLINK("https://klasma.github.io/Logging_0382/klagomål/A 22307-2023 FSC-klagomål.docx", "A 22307-2023")</f>
        <v/>
      </c>
      <c r="W134">
        <f>HYPERLINK("https://klasma.github.io/Logging_0382/klagomålsmail/A 22307-2023 FSC-klagomål mail.docx", "A 22307-2023")</f>
        <v/>
      </c>
      <c r="X134">
        <f>HYPERLINK("https://klasma.github.io/Logging_0382/tillsyn/A 22307-2023 tillsynsbegäran.docx", "A 22307-2023")</f>
        <v/>
      </c>
      <c r="Y134">
        <f>HYPERLINK("https://klasma.github.io/Logging_0382/tillsynsmail/A 22307-2023 tillsynsbegäran mail.docx", "A 22307-2023")</f>
        <v/>
      </c>
    </row>
    <row r="135" ht="15" customHeight="1">
      <c r="A135" t="inlineStr">
        <is>
          <t>A 22287-2023</t>
        </is>
      </c>
      <c r="B135" s="1" t="n">
        <v>45070</v>
      </c>
      <c r="C135" s="1" t="n">
        <v>45567</v>
      </c>
      <c r="D135" t="inlineStr">
        <is>
          <t>UPPSALA LÄN</t>
        </is>
      </c>
      <c r="E135" t="inlineStr">
        <is>
          <t>ÖSTHAMMAR</t>
        </is>
      </c>
      <c r="G135" t="n">
        <v>6.3</v>
      </c>
      <c r="H135" t="n">
        <v>1</v>
      </c>
      <c r="I135" t="n">
        <v>1</v>
      </c>
      <c r="J135" t="n">
        <v>0</v>
      </c>
      <c r="K135" t="n">
        <v>0</v>
      </c>
      <c r="L135" t="n">
        <v>0</v>
      </c>
      <c r="M135" t="n">
        <v>0</v>
      </c>
      <c r="N135" t="n">
        <v>0</v>
      </c>
      <c r="O135" t="n">
        <v>0</v>
      </c>
      <c r="P135" t="n">
        <v>0</v>
      </c>
      <c r="Q135" t="n">
        <v>1</v>
      </c>
      <c r="R135" s="2" t="inlineStr">
        <is>
          <t>Guckusko</t>
        </is>
      </c>
      <c r="S135">
        <f>HYPERLINK("https://klasma.github.io/Logging_0382/artfynd/A 22287-2023 artfynd.xlsx", "A 22287-2023")</f>
        <v/>
      </c>
      <c r="T135">
        <f>HYPERLINK("https://klasma.github.io/Logging_0382/kartor/A 22287-2023 karta.png", "A 22287-2023")</f>
        <v/>
      </c>
      <c r="V135">
        <f>HYPERLINK("https://klasma.github.io/Logging_0382/klagomål/A 22287-2023 FSC-klagomål.docx", "A 22287-2023")</f>
        <v/>
      </c>
      <c r="W135">
        <f>HYPERLINK("https://klasma.github.io/Logging_0382/klagomålsmail/A 22287-2023 FSC-klagomål mail.docx", "A 22287-2023")</f>
        <v/>
      </c>
      <c r="X135">
        <f>HYPERLINK("https://klasma.github.io/Logging_0382/tillsyn/A 22287-2023 tillsynsbegäran.docx", "A 22287-2023")</f>
        <v/>
      </c>
      <c r="Y135">
        <f>HYPERLINK("https://klasma.github.io/Logging_0382/tillsynsmail/A 22287-2023 tillsynsbegäran mail.docx", "A 22287-2023")</f>
        <v/>
      </c>
    </row>
    <row r="136" ht="15" customHeight="1">
      <c r="A136" t="inlineStr">
        <is>
          <t>A 22688-2023</t>
        </is>
      </c>
      <c r="B136" s="1" t="n">
        <v>45071</v>
      </c>
      <c r="C136" s="1" t="n">
        <v>45567</v>
      </c>
      <c r="D136" t="inlineStr">
        <is>
          <t>UPPSALA LÄN</t>
        </is>
      </c>
      <c r="E136" t="inlineStr">
        <is>
          <t>ÖSTHAMMAR</t>
        </is>
      </c>
      <c r="G136" t="n">
        <v>3</v>
      </c>
      <c r="H136" t="n">
        <v>1</v>
      </c>
      <c r="I136" t="n">
        <v>1</v>
      </c>
      <c r="J136" t="n">
        <v>0</v>
      </c>
      <c r="K136" t="n">
        <v>0</v>
      </c>
      <c r="L136" t="n">
        <v>0</v>
      </c>
      <c r="M136" t="n">
        <v>0</v>
      </c>
      <c r="N136" t="n">
        <v>0</v>
      </c>
      <c r="O136" t="n">
        <v>0</v>
      </c>
      <c r="P136" t="n">
        <v>0</v>
      </c>
      <c r="Q136" t="n">
        <v>1</v>
      </c>
      <c r="R136" s="2" t="inlineStr">
        <is>
          <t>Nästrot</t>
        </is>
      </c>
      <c r="S136">
        <f>HYPERLINK("https://klasma.github.io/Logging_0382/artfynd/A 22688-2023 artfynd.xlsx", "A 22688-2023")</f>
        <v/>
      </c>
      <c r="T136">
        <f>HYPERLINK("https://klasma.github.io/Logging_0382/kartor/A 22688-2023 karta.png", "A 22688-2023")</f>
        <v/>
      </c>
      <c r="V136">
        <f>HYPERLINK("https://klasma.github.io/Logging_0382/klagomål/A 22688-2023 FSC-klagomål.docx", "A 22688-2023")</f>
        <v/>
      </c>
      <c r="W136">
        <f>HYPERLINK("https://klasma.github.io/Logging_0382/klagomålsmail/A 22688-2023 FSC-klagomål mail.docx", "A 22688-2023")</f>
        <v/>
      </c>
      <c r="X136">
        <f>HYPERLINK("https://klasma.github.io/Logging_0382/tillsyn/A 22688-2023 tillsynsbegäran.docx", "A 22688-2023")</f>
        <v/>
      </c>
      <c r="Y136">
        <f>HYPERLINK("https://klasma.github.io/Logging_0382/tillsynsmail/A 22688-2023 tillsynsbegäran mail.docx", "A 22688-2023")</f>
        <v/>
      </c>
    </row>
    <row r="137" ht="15" customHeight="1">
      <c r="A137" t="inlineStr">
        <is>
          <t>A 23128-2023</t>
        </is>
      </c>
      <c r="B137" s="1" t="n">
        <v>45075</v>
      </c>
      <c r="C137" s="1" t="n">
        <v>45567</v>
      </c>
      <c r="D137" t="inlineStr">
        <is>
          <t>UPPSALA LÄN</t>
        </is>
      </c>
      <c r="E137" t="inlineStr">
        <is>
          <t>ÖSTHAMMAR</t>
        </is>
      </c>
      <c r="G137" t="n">
        <v>6</v>
      </c>
      <c r="H137" t="n">
        <v>0</v>
      </c>
      <c r="I137" t="n">
        <v>0</v>
      </c>
      <c r="J137" t="n">
        <v>1</v>
      </c>
      <c r="K137" t="n">
        <v>0</v>
      </c>
      <c r="L137" t="n">
        <v>0</v>
      </c>
      <c r="M137" t="n">
        <v>0</v>
      </c>
      <c r="N137" t="n">
        <v>0</v>
      </c>
      <c r="O137" t="n">
        <v>1</v>
      </c>
      <c r="P137" t="n">
        <v>0</v>
      </c>
      <c r="Q137" t="n">
        <v>1</v>
      </c>
      <c r="R137" s="2" t="inlineStr">
        <is>
          <t>Grönhjon</t>
        </is>
      </c>
      <c r="S137">
        <f>HYPERLINK("https://klasma.github.io/Logging_0382/artfynd/A 23128-2023 artfynd.xlsx", "A 23128-2023")</f>
        <v/>
      </c>
      <c r="T137">
        <f>HYPERLINK("https://klasma.github.io/Logging_0382/kartor/A 23128-2023 karta.png", "A 23128-2023")</f>
        <v/>
      </c>
      <c r="V137">
        <f>HYPERLINK("https://klasma.github.io/Logging_0382/klagomål/A 23128-2023 FSC-klagomål.docx", "A 23128-2023")</f>
        <v/>
      </c>
      <c r="W137">
        <f>HYPERLINK("https://klasma.github.io/Logging_0382/klagomålsmail/A 23128-2023 FSC-klagomål mail.docx", "A 23128-2023")</f>
        <v/>
      </c>
      <c r="X137">
        <f>HYPERLINK("https://klasma.github.io/Logging_0382/tillsyn/A 23128-2023 tillsynsbegäran.docx", "A 23128-2023")</f>
        <v/>
      </c>
      <c r="Y137">
        <f>HYPERLINK("https://klasma.github.io/Logging_0382/tillsynsmail/A 23128-2023 tillsynsbegäran mail.docx", "A 23128-2023")</f>
        <v/>
      </c>
    </row>
    <row r="138" ht="15" customHeight="1">
      <c r="A138" t="inlineStr">
        <is>
          <t>A 25179-2023</t>
        </is>
      </c>
      <c r="B138" s="1" t="n">
        <v>45078</v>
      </c>
      <c r="C138" s="1" t="n">
        <v>45567</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Grantaggsvamp</t>
        </is>
      </c>
      <c r="S138">
        <f>HYPERLINK("https://klasma.github.io/Logging_0382/artfynd/A 25179-2023 artfynd.xlsx", "A 25179-2023")</f>
        <v/>
      </c>
      <c r="T138">
        <f>HYPERLINK("https://klasma.github.io/Logging_0382/kartor/A 25179-2023 karta.png", "A 25179-2023")</f>
        <v/>
      </c>
      <c r="V138">
        <f>HYPERLINK("https://klasma.github.io/Logging_0382/klagomål/A 25179-2023 FSC-klagomål.docx", "A 25179-2023")</f>
        <v/>
      </c>
      <c r="W138">
        <f>HYPERLINK("https://klasma.github.io/Logging_0382/klagomålsmail/A 25179-2023 FSC-klagomål mail.docx", "A 25179-2023")</f>
        <v/>
      </c>
      <c r="X138">
        <f>HYPERLINK("https://klasma.github.io/Logging_0382/tillsyn/A 25179-2023 tillsynsbegäran.docx", "A 25179-2023")</f>
        <v/>
      </c>
      <c r="Y138">
        <f>HYPERLINK("https://klasma.github.io/Logging_0382/tillsynsmail/A 25179-2023 tillsynsbegäran mail.docx", "A 25179-2023")</f>
        <v/>
      </c>
    </row>
    <row r="139" ht="15" customHeight="1">
      <c r="A139" t="inlineStr">
        <is>
          <t>A 26896-2023</t>
        </is>
      </c>
      <c r="B139" s="1" t="n">
        <v>45093</v>
      </c>
      <c r="C139" s="1" t="n">
        <v>45567</v>
      </c>
      <c r="D139" t="inlineStr">
        <is>
          <t>UPPSALA LÄN</t>
        </is>
      </c>
      <c r="E139" t="inlineStr">
        <is>
          <t>ÖSTHAMMAR</t>
        </is>
      </c>
      <c r="G139" t="n">
        <v>3.2</v>
      </c>
      <c r="H139" t="n">
        <v>0</v>
      </c>
      <c r="I139" t="n">
        <v>1</v>
      </c>
      <c r="J139" t="n">
        <v>0</v>
      </c>
      <c r="K139" t="n">
        <v>0</v>
      </c>
      <c r="L139" t="n">
        <v>0</v>
      </c>
      <c r="M139" t="n">
        <v>0</v>
      </c>
      <c r="N139" t="n">
        <v>0</v>
      </c>
      <c r="O139" t="n">
        <v>0</v>
      </c>
      <c r="P139" t="n">
        <v>0</v>
      </c>
      <c r="Q139" t="n">
        <v>1</v>
      </c>
      <c r="R139" s="2" t="inlineStr">
        <is>
          <t>Mörk husmossa</t>
        </is>
      </c>
      <c r="S139">
        <f>HYPERLINK("https://klasma.github.io/Logging_0382/artfynd/A 26896-2023 artfynd.xlsx", "A 26896-2023")</f>
        <v/>
      </c>
      <c r="T139">
        <f>HYPERLINK("https://klasma.github.io/Logging_0382/kartor/A 26896-2023 karta.png", "A 26896-2023")</f>
        <v/>
      </c>
      <c r="V139">
        <f>HYPERLINK("https://klasma.github.io/Logging_0382/klagomål/A 26896-2023 FSC-klagomål.docx", "A 26896-2023")</f>
        <v/>
      </c>
      <c r="W139">
        <f>HYPERLINK("https://klasma.github.io/Logging_0382/klagomålsmail/A 26896-2023 FSC-klagomål mail.docx", "A 26896-2023")</f>
        <v/>
      </c>
      <c r="X139">
        <f>HYPERLINK("https://klasma.github.io/Logging_0382/tillsyn/A 26896-2023 tillsynsbegäran.docx", "A 26896-2023")</f>
        <v/>
      </c>
      <c r="Y139">
        <f>HYPERLINK("https://klasma.github.io/Logging_0382/tillsynsmail/A 26896-2023 tillsynsbegäran mail.docx", "A 26896-2023")</f>
        <v/>
      </c>
    </row>
    <row r="140" ht="15" customHeight="1">
      <c r="A140" t="inlineStr">
        <is>
          <t>A 29679-2023</t>
        </is>
      </c>
      <c r="B140" s="1" t="n">
        <v>45107</v>
      </c>
      <c r="C140" s="1" t="n">
        <v>45567</v>
      </c>
      <c r="D140" t="inlineStr">
        <is>
          <t>UPPSALA LÄN</t>
        </is>
      </c>
      <c r="E140" t="inlineStr">
        <is>
          <t>ÖSTHAMMAR</t>
        </is>
      </c>
      <c r="F140" t="inlineStr">
        <is>
          <t>Övriga Aktiebolag</t>
        </is>
      </c>
      <c r="G140" t="n">
        <v>7.3</v>
      </c>
      <c r="H140" t="n">
        <v>0</v>
      </c>
      <c r="I140" t="n">
        <v>0</v>
      </c>
      <c r="J140" t="n">
        <v>1</v>
      </c>
      <c r="K140" t="n">
        <v>0</v>
      </c>
      <c r="L140" t="n">
        <v>0</v>
      </c>
      <c r="M140" t="n">
        <v>0</v>
      </c>
      <c r="N140" t="n">
        <v>0</v>
      </c>
      <c r="O140" t="n">
        <v>1</v>
      </c>
      <c r="P140" t="n">
        <v>0</v>
      </c>
      <c r="Q140" t="n">
        <v>1</v>
      </c>
      <c r="R140" s="2" t="inlineStr">
        <is>
          <t>Vintertagging</t>
        </is>
      </c>
      <c r="S140">
        <f>HYPERLINK("https://klasma.github.io/Logging_0382/artfynd/A 29679-2023 artfynd.xlsx", "A 29679-2023")</f>
        <v/>
      </c>
      <c r="T140">
        <f>HYPERLINK("https://klasma.github.io/Logging_0382/kartor/A 29679-2023 karta.png", "A 29679-2023")</f>
        <v/>
      </c>
      <c r="V140">
        <f>HYPERLINK("https://klasma.github.io/Logging_0382/klagomål/A 29679-2023 FSC-klagomål.docx", "A 29679-2023")</f>
        <v/>
      </c>
      <c r="W140">
        <f>HYPERLINK("https://klasma.github.io/Logging_0382/klagomålsmail/A 29679-2023 FSC-klagomål mail.docx", "A 29679-2023")</f>
        <v/>
      </c>
      <c r="X140">
        <f>HYPERLINK("https://klasma.github.io/Logging_0382/tillsyn/A 29679-2023 tillsynsbegäran.docx", "A 29679-2023")</f>
        <v/>
      </c>
      <c r="Y140">
        <f>HYPERLINK("https://klasma.github.io/Logging_0382/tillsynsmail/A 29679-2023 tillsynsbegäran mail.docx", "A 29679-2023")</f>
        <v/>
      </c>
    </row>
    <row r="141" ht="15" customHeight="1">
      <c r="A141" t="inlineStr">
        <is>
          <t>A 32518-2023</t>
        </is>
      </c>
      <c r="B141" s="1" t="n">
        <v>45121</v>
      </c>
      <c r="C141" s="1" t="n">
        <v>45567</v>
      </c>
      <c r="D141" t="inlineStr">
        <is>
          <t>UPPSALA LÄN</t>
        </is>
      </c>
      <c r="E141" t="inlineStr">
        <is>
          <t>ÖSTHAMMAR</t>
        </is>
      </c>
      <c r="G141" t="n">
        <v>11.1</v>
      </c>
      <c r="H141" t="n">
        <v>0</v>
      </c>
      <c r="I141" t="n">
        <v>1</v>
      </c>
      <c r="J141" t="n">
        <v>0</v>
      </c>
      <c r="K141" t="n">
        <v>0</v>
      </c>
      <c r="L141" t="n">
        <v>0</v>
      </c>
      <c r="M141" t="n">
        <v>0</v>
      </c>
      <c r="N141" t="n">
        <v>0</v>
      </c>
      <c r="O141" t="n">
        <v>0</v>
      </c>
      <c r="P141" t="n">
        <v>0</v>
      </c>
      <c r="Q141" t="n">
        <v>1</v>
      </c>
      <c r="R141" s="2" t="inlineStr">
        <is>
          <t>Olivspindling</t>
        </is>
      </c>
      <c r="S141">
        <f>HYPERLINK("https://klasma.github.io/Logging_0382/artfynd/A 32518-2023 artfynd.xlsx", "A 32518-2023")</f>
        <v/>
      </c>
      <c r="T141">
        <f>HYPERLINK("https://klasma.github.io/Logging_0382/kartor/A 32518-2023 karta.png", "A 32518-2023")</f>
        <v/>
      </c>
      <c r="V141">
        <f>HYPERLINK("https://klasma.github.io/Logging_0382/klagomål/A 32518-2023 FSC-klagomål.docx", "A 32518-2023")</f>
        <v/>
      </c>
      <c r="W141">
        <f>HYPERLINK("https://klasma.github.io/Logging_0382/klagomålsmail/A 32518-2023 FSC-klagomål mail.docx", "A 32518-2023")</f>
        <v/>
      </c>
      <c r="X141">
        <f>HYPERLINK("https://klasma.github.io/Logging_0382/tillsyn/A 32518-2023 tillsynsbegäran.docx", "A 32518-2023")</f>
        <v/>
      </c>
      <c r="Y141">
        <f>HYPERLINK("https://klasma.github.io/Logging_0382/tillsynsmail/A 32518-2023 tillsynsbegäran mail.docx", "A 32518-2023")</f>
        <v/>
      </c>
    </row>
    <row r="142" ht="15" customHeight="1">
      <c r="A142" t="inlineStr">
        <is>
          <t>A 34090-2023</t>
        </is>
      </c>
      <c r="B142" s="1" t="n">
        <v>45135</v>
      </c>
      <c r="C142" s="1" t="n">
        <v>45567</v>
      </c>
      <c r="D142" t="inlineStr">
        <is>
          <t>UPPSALA LÄN</t>
        </is>
      </c>
      <c r="E142" t="inlineStr">
        <is>
          <t>ÖSTHAMMAR</t>
        </is>
      </c>
      <c r="F142" t="inlineStr">
        <is>
          <t>Bergvik skog öst AB</t>
        </is>
      </c>
      <c r="G142" t="n">
        <v>5.7</v>
      </c>
      <c r="H142" t="n">
        <v>1</v>
      </c>
      <c r="I142" t="n">
        <v>0</v>
      </c>
      <c r="J142" t="n">
        <v>1</v>
      </c>
      <c r="K142" t="n">
        <v>0</v>
      </c>
      <c r="L142" t="n">
        <v>0</v>
      </c>
      <c r="M142" t="n">
        <v>0</v>
      </c>
      <c r="N142" t="n">
        <v>0</v>
      </c>
      <c r="O142" t="n">
        <v>1</v>
      </c>
      <c r="P142" t="n">
        <v>0</v>
      </c>
      <c r="Q142" t="n">
        <v>1</v>
      </c>
      <c r="R142" s="2" t="inlineStr">
        <is>
          <t>Spillkråka</t>
        </is>
      </c>
      <c r="S142">
        <f>HYPERLINK("https://klasma.github.io/Logging_0382/artfynd/A 34090-2023 artfynd.xlsx", "A 34090-2023")</f>
        <v/>
      </c>
      <c r="T142">
        <f>HYPERLINK("https://klasma.github.io/Logging_0382/kartor/A 34090-2023 karta.png", "A 34090-2023")</f>
        <v/>
      </c>
      <c r="V142">
        <f>HYPERLINK("https://klasma.github.io/Logging_0382/klagomål/A 34090-2023 FSC-klagomål.docx", "A 34090-2023")</f>
        <v/>
      </c>
      <c r="W142">
        <f>HYPERLINK("https://klasma.github.io/Logging_0382/klagomålsmail/A 34090-2023 FSC-klagomål mail.docx", "A 34090-2023")</f>
        <v/>
      </c>
      <c r="X142">
        <f>HYPERLINK("https://klasma.github.io/Logging_0382/tillsyn/A 34090-2023 tillsynsbegäran.docx", "A 34090-2023")</f>
        <v/>
      </c>
      <c r="Y142">
        <f>HYPERLINK("https://klasma.github.io/Logging_0382/tillsynsmail/A 34090-2023 tillsynsbegäran mail.docx", "A 34090-2023")</f>
        <v/>
      </c>
      <c r="Z142">
        <f>HYPERLINK("https://klasma.github.io/Logging_0382/fåglar/A 34090-2023 prioriterade fågelarter.docx", "A 34090-2023")</f>
        <v/>
      </c>
    </row>
    <row r="143" ht="15" customHeight="1">
      <c r="A143" t="inlineStr">
        <is>
          <t>A 36864-2023</t>
        </is>
      </c>
      <c r="B143" s="1" t="n">
        <v>45154</v>
      </c>
      <c r="C143" s="1" t="n">
        <v>45567</v>
      </c>
      <c r="D143" t="inlineStr">
        <is>
          <t>UPPSALA LÄN</t>
        </is>
      </c>
      <c r="E143" t="inlineStr">
        <is>
          <t>ÖSTHAMMAR</t>
        </is>
      </c>
      <c r="G143" t="n">
        <v>3.1</v>
      </c>
      <c r="H143" t="n">
        <v>0</v>
      </c>
      <c r="I143" t="n">
        <v>1</v>
      </c>
      <c r="J143" t="n">
        <v>0</v>
      </c>
      <c r="K143" t="n">
        <v>0</v>
      </c>
      <c r="L143" t="n">
        <v>0</v>
      </c>
      <c r="M143" t="n">
        <v>0</v>
      </c>
      <c r="N143" t="n">
        <v>0</v>
      </c>
      <c r="O143" t="n">
        <v>0</v>
      </c>
      <c r="P143" t="n">
        <v>0</v>
      </c>
      <c r="Q143" t="n">
        <v>1</v>
      </c>
      <c r="R143" s="2" t="inlineStr">
        <is>
          <t>Bronshjon</t>
        </is>
      </c>
      <c r="S143">
        <f>HYPERLINK("https://klasma.github.io/Logging_0382/artfynd/A 36864-2023 artfynd.xlsx", "A 36864-2023")</f>
        <v/>
      </c>
      <c r="T143">
        <f>HYPERLINK("https://klasma.github.io/Logging_0382/kartor/A 36864-2023 karta.png", "A 36864-2023")</f>
        <v/>
      </c>
      <c r="V143">
        <f>HYPERLINK("https://klasma.github.io/Logging_0382/klagomål/A 36864-2023 FSC-klagomål.docx", "A 36864-2023")</f>
        <v/>
      </c>
      <c r="W143">
        <f>HYPERLINK("https://klasma.github.io/Logging_0382/klagomålsmail/A 36864-2023 FSC-klagomål mail.docx", "A 36864-2023")</f>
        <v/>
      </c>
      <c r="X143">
        <f>HYPERLINK("https://klasma.github.io/Logging_0382/tillsyn/A 36864-2023 tillsynsbegäran.docx", "A 36864-2023")</f>
        <v/>
      </c>
      <c r="Y143">
        <f>HYPERLINK("https://klasma.github.io/Logging_0382/tillsynsmail/A 36864-2023 tillsynsbegäran mail.docx", "A 36864-2023")</f>
        <v/>
      </c>
    </row>
    <row r="144" ht="15" customHeight="1">
      <c r="A144" t="inlineStr">
        <is>
          <t>A 53706-2023</t>
        </is>
      </c>
      <c r="B144" s="1" t="n">
        <v>45230</v>
      </c>
      <c r="C144" s="1" t="n">
        <v>45567</v>
      </c>
      <c r="D144" t="inlineStr">
        <is>
          <t>UPPSALA LÄN</t>
        </is>
      </c>
      <c r="E144" t="inlineStr">
        <is>
          <t>ÖSTHAMMAR</t>
        </is>
      </c>
      <c r="G144" t="n">
        <v>2.9</v>
      </c>
      <c r="H144" t="n">
        <v>0</v>
      </c>
      <c r="I144" t="n">
        <v>1</v>
      </c>
      <c r="J144" t="n">
        <v>0</v>
      </c>
      <c r="K144" t="n">
        <v>0</v>
      </c>
      <c r="L144" t="n">
        <v>0</v>
      </c>
      <c r="M144" t="n">
        <v>0</v>
      </c>
      <c r="N144" t="n">
        <v>0</v>
      </c>
      <c r="O144" t="n">
        <v>0</v>
      </c>
      <c r="P144" t="n">
        <v>0</v>
      </c>
      <c r="Q144" t="n">
        <v>1</v>
      </c>
      <c r="R144" s="2" t="inlineStr">
        <is>
          <t>Dofttråding</t>
        </is>
      </c>
      <c r="S144">
        <f>HYPERLINK("https://klasma.github.io/Logging_0382/artfynd/A 53706-2023 artfynd.xlsx", "A 53706-2023")</f>
        <v/>
      </c>
      <c r="T144">
        <f>HYPERLINK("https://klasma.github.io/Logging_0382/kartor/A 53706-2023 karta.png", "A 53706-2023")</f>
        <v/>
      </c>
      <c r="V144">
        <f>HYPERLINK("https://klasma.github.io/Logging_0382/klagomål/A 53706-2023 FSC-klagomål.docx", "A 53706-2023")</f>
        <v/>
      </c>
      <c r="W144">
        <f>HYPERLINK("https://klasma.github.io/Logging_0382/klagomålsmail/A 53706-2023 FSC-klagomål mail.docx", "A 53706-2023")</f>
        <v/>
      </c>
      <c r="X144">
        <f>HYPERLINK("https://klasma.github.io/Logging_0382/tillsyn/A 53706-2023 tillsynsbegäran.docx", "A 53706-2023")</f>
        <v/>
      </c>
      <c r="Y144">
        <f>HYPERLINK("https://klasma.github.io/Logging_0382/tillsynsmail/A 53706-2023 tillsynsbegäran mail.docx", "A 53706-2023")</f>
        <v/>
      </c>
    </row>
    <row r="145" ht="15" customHeight="1">
      <c r="A145" t="inlineStr">
        <is>
          <t>A 53729-2023</t>
        </is>
      </c>
      <c r="B145" s="1" t="n">
        <v>45230</v>
      </c>
      <c r="C145" s="1" t="n">
        <v>45567</v>
      </c>
      <c r="D145" t="inlineStr">
        <is>
          <t>UPPSALA LÄN</t>
        </is>
      </c>
      <c r="E145" t="inlineStr">
        <is>
          <t>ÖSTHAMMAR</t>
        </is>
      </c>
      <c r="G145" t="n">
        <v>2.6</v>
      </c>
      <c r="H145" t="n">
        <v>1</v>
      </c>
      <c r="I145" t="n">
        <v>0</v>
      </c>
      <c r="J145" t="n">
        <v>0</v>
      </c>
      <c r="K145" t="n">
        <v>0</v>
      </c>
      <c r="L145" t="n">
        <v>0</v>
      </c>
      <c r="M145" t="n">
        <v>0</v>
      </c>
      <c r="N145" t="n">
        <v>0</v>
      </c>
      <c r="O145" t="n">
        <v>0</v>
      </c>
      <c r="P145" t="n">
        <v>0</v>
      </c>
      <c r="Q145" t="n">
        <v>1</v>
      </c>
      <c r="R145" s="2" t="inlineStr">
        <is>
          <t>Gullviva</t>
        </is>
      </c>
      <c r="S145">
        <f>HYPERLINK("https://klasma.github.io/Logging_0382/artfynd/A 53729-2023 artfynd.xlsx", "A 53729-2023")</f>
        <v/>
      </c>
      <c r="T145">
        <f>HYPERLINK("https://klasma.github.io/Logging_0382/kartor/A 53729-2023 karta.png", "A 53729-2023")</f>
        <v/>
      </c>
      <c r="V145">
        <f>HYPERLINK("https://klasma.github.io/Logging_0382/klagomål/A 53729-2023 FSC-klagomål.docx", "A 53729-2023")</f>
        <v/>
      </c>
      <c r="W145">
        <f>HYPERLINK("https://klasma.github.io/Logging_0382/klagomålsmail/A 53729-2023 FSC-klagomål mail.docx", "A 53729-2023")</f>
        <v/>
      </c>
      <c r="X145">
        <f>HYPERLINK("https://klasma.github.io/Logging_0382/tillsyn/A 53729-2023 tillsynsbegäran.docx", "A 53729-2023")</f>
        <v/>
      </c>
      <c r="Y145">
        <f>HYPERLINK("https://klasma.github.io/Logging_0382/tillsynsmail/A 53729-2023 tillsynsbegäran mail.docx", "A 53729-2023")</f>
        <v/>
      </c>
    </row>
    <row r="146" ht="15" customHeight="1">
      <c r="A146" t="inlineStr">
        <is>
          <t>A 55492-2023</t>
        </is>
      </c>
      <c r="B146" s="1" t="n">
        <v>45238</v>
      </c>
      <c r="C146" s="1" t="n">
        <v>45567</v>
      </c>
      <c r="D146" t="inlineStr">
        <is>
          <t>UPPSALA LÄN</t>
        </is>
      </c>
      <c r="E146" t="inlineStr">
        <is>
          <t>ÖSTHAMMAR</t>
        </is>
      </c>
      <c r="G146" t="n">
        <v>3.1</v>
      </c>
      <c r="H146" t="n">
        <v>0</v>
      </c>
      <c r="I146" t="n">
        <v>0</v>
      </c>
      <c r="J146" t="n">
        <v>0</v>
      </c>
      <c r="K146" t="n">
        <v>1</v>
      </c>
      <c r="L146" t="n">
        <v>0</v>
      </c>
      <c r="M146" t="n">
        <v>0</v>
      </c>
      <c r="N146" t="n">
        <v>0</v>
      </c>
      <c r="O146" t="n">
        <v>1</v>
      </c>
      <c r="P146" t="n">
        <v>1</v>
      </c>
      <c r="Q146" t="n">
        <v>1</v>
      </c>
      <c r="R146" s="2" t="inlineStr">
        <is>
          <t>Violgubbe</t>
        </is>
      </c>
      <c r="S146">
        <f>HYPERLINK("https://klasma.github.io/Logging_0382/artfynd/A 55492-2023 artfynd.xlsx", "A 55492-2023")</f>
        <v/>
      </c>
      <c r="T146">
        <f>HYPERLINK("https://klasma.github.io/Logging_0382/kartor/A 55492-2023 karta.png",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57598-2023</t>
        </is>
      </c>
      <c r="B147" s="1" t="n">
        <v>45246</v>
      </c>
      <c r="C147" s="1" t="n">
        <v>45567</v>
      </c>
      <c r="D147" t="inlineStr">
        <is>
          <t>UPPSALA LÄN</t>
        </is>
      </c>
      <c r="E147" t="inlineStr">
        <is>
          <t>ÖSTHAMMAR</t>
        </is>
      </c>
      <c r="F147" t="inlineStr">
        <is>
          <t>Bergvik skog öst AB</t>
        </is>
      </c>
      <c r="G147" t="n">
        <v>1</v>
      </c>
      <c r="H147" t="n">
        <v>1</v>
      </c>
      <c r="I147" t="n">
        <v>1</v>
      </c>
      <c r="J147" t="n">
        <v>0</v>
      </c>
      <c r="K147" t="n">
        <v>0</v>
      </c>
      <c r="L147" t="n">
        <v>0</v>
      </c>
      <c r="M147" t="n">
        <v>0</v>
      </c>
      <c r="N147" t="n">
        <v>0</v>
      </c>
      <c r="O147" t="n">
        <v>0</v>
      </c>
      <c r="P147" t="n">
        <v>0</v>
      </c>
      <c r="Q147" t="n">
        <v>1</v>
      </c>
      <c r="R147" s="2" t="inlineStr">
        <is>
          <t>Skogsknipprot</t>
        </is>
      </c>
      <c r="S147">
        <f>HYPERLINK("https://klasma.github.io/Logging_0382/artfynd/A 57598-2023 artfynd.xlsx", "A 57598-2023")</f>
        <v/>
      </c>
      <c r="T147">
        <f>HYPERLINK("https://klasma.github.io/Logging_0382/kartor/A 57598-2023 karta.png", "A 57598-2023")</f>
        <v/>
      </c>
      <c r="V147">
        <f>HYPERLINK("https://klasma.github.io/Logging_0382/klagomål/A 57598-2023 FSC-klagomål.docx", "A 57598-2023")</f>
        <v/>
      </c>
      <c r="W147">
        <f>HYPERLINK("https://klasma.github.io/Logging_0382/klagomålsmail/A 57598-2023 FSC-klagomål mail.docx", "A 57598-2023")</f>
        <v/>
      </c>
      <c r="X147">
        <f>HYPERLINK("https://klasma.github.io/Logging_0382/tillsyn/A 57598-2023 tillsynsbegäran.docx", "A 57598-2023")</f>
        <v/>
      </c>
      <c r="Y147">
        <f>HYPERLINK("https://klasma.github.io/Logging_0382/tillsynsmail/A 57598-2023 tillsynsbegäran mail.docx", "A 57598-2023")</f>
        <v/>
      </c>
    </row>
    <row r="148" ht="15" customHeight="1">
      <c r="A148" t="inlineStr">
        <is>
          <t>A 57607-2023</t>
        </is>
      </c>
      <c r="B148" s="1" t="n">
        <v>45246</v>
      </c>
      <c r="C148" s="1" t="n">
        <v>45567</v>
      </c>
      <c r="D148" t="inlineStr">
        <is>
          <t>UPPSALA LÄN</t>
        </is>
      </c>
      <c r="E148" t="inlineStr">
        <is>
          <t>ÖSTHAMMAR</t>
        </is>
      </c>
      <c r="F148" t="inlineStr">
        <is>
          <t>Bergvik skog öst AB</t>
        </is>
      </c>
      <c r="G148" t="n">
        <v>5.8</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57607-2023 artfynd.xlsx", "A 57607-2023")</f>
        <v/>
      </c>
      <c r="T148">
        <f>HYPERLINK("https://klasma.github.io/Logging_0382/kartor/A 57607-2023 karta.png", "A 57607-2023")</f>
        <v/>
      </c>
      <c r="V148">
        <f>HYPERLINK("https://klasma.github.io/Logging_0382/klagomål/A 57607-2023 FSC-klagomål.docx", "A 57607-2023")</f>
        <v/>
      </c>
      <c r="W148">
        <f>HYPERLINK("https://klasma.github.io/Logging_0382/klagomålsmail/A 57607-2023 FSC-klagomål mail.docx", "A 57607-2023")</f>
        <v/>
      </c>
      <c r="X148">
        <f>HYPERLINK("https://klasma.github.io/Logging_0382/tillsyn/A 57607-2023 tillsynsbegäran.docx", "A 57607-2023")</f>
        <v/>
      </c>
      <c r="Y148">
        <f>HYPERLINK("https://klasma.github.io/Logging_0382/tillsynsmail/A 57607-2023 tillsynsbegäran mail.docx", "A 57607-2023")</f>
        <v/>
      </c>
    </row>
    <row r="149" ht="15" customHeight="1">
      <c r="A149" t="inlineStr">
        <is>
          <t>A 57640-2023</t>
        </is>
      </c>
      <c r="B149" s="1" t="n">
        <v>45246</v>
      </c>
      <c r="C149" s="1" t="n">
        <v>45567</v>
      </c>
      <c r="D149" t="inlineStr">
        <is>
          <t>UPPSALA LÄN</t>
        </is>
      </c>
      <c r="E149" t="inlineStr">
        <is>
          <t>ÖSTHAMMAR</t>
        </is>
      </c>
      <c r="F149" t="inlineStr">
        <is>
          <t>Bergvik skog öst AB</t>
        </is>
      </c>
      <c r="G149" t="n">
        <v>2.3</v>
      </c>
      <c r="H149" t="n">
        <v>0</v>
      </c>
      <c r="I149" t="n">
        <v>1</v>
      </c>
      <c r="J149" t="n">
        <v>0</v>
      </c>
      <c r="K149" t="n">
        <v>0</v>
      </c>
      <c r="L149" t="n">
        <v>0</v>
      </c>
      <c r="M149" t="n">
        <v>0</v>
      </c>
      <c r="N149" t="n">
        <v>0</v>
      </c>
      <c r="O149" t="n">
        <v>0</v>
      </c>
      <c r="P149" t="n">
        <v>0</v>
      </c>
      <c r="Q149" t="n">
        <v>1</v>
      </c>
      <c r="R149" s="2" t="inlineStr">
        <is>
          <t>Svavelriska</t>
        </is>
      </c>
      <c r="S149">
        <f>HYPERLINK("https://klasma.github.io/Logging_0382/artfynd/A 57640-2023 artfynd.xlsx", "A 57640-2023")</f>
        <v/>
      </c>
      <c r="T149">
        <f>HYPERLINK("https://klasma.github.io/Logging_0382/kartor/A 57640-2023 karta.png", "A 57640-2023")</f>
        <v/>
      </c>
      <c r="V149">
        <f>HYPERLINK("https://klasma.github.io/Logging_0382/klagomål/A 57640-2023 FSC-klagomål.docx", "A 57640-2023")</f>
        <v/>
      </c>
      <c r="W149">
        <f>HYPERLINK("https://klasma.github.io/Logging_0382/klagomålsmail/A 57640-2023 FSC-klagomål mail.docx", "A 57640-2023")</f>
        <v/>
      </c>
      <c r="X149">
        <f>HYPERLINK("https://klasma.github.io/Logging_0382/tillsyn/A 57640-2023 tillsynsbegäran.docx", "A 57640-2023")</f>
        <v/>
      </c>
      <c r="Y149">
        <f>HYPERLINK("https://klasma.github.io/Logging_0382/tillsynsmail/A 57640-2023 tillsynsbegäran mail.docx", "A 57640-2023")</f>
        <v/>
      </c>
    </row>
    <row r="150" ht="15" customHeight="1">
      <c r="A150" t="inlineStr">
        <is>
          <t>A 4048-2024</t>
        </is>
      </c>
      <c r="B150" s="1" t="n">
        <v>45323</v>
      </c>
      <c r="C150" s="1" t="n">
        <v>45567</v>
      </c>
      <c r="D150" t="inlineStr">
        <is>
          <t>UPPSALA LÄN</t>
        </is>
      </c>
      <c r="E150" t="inlineStr">
        <is>
          <t>ÖSTHAMMAR</t>
        </is>
      </c>
      <c r="F150" t="inlineStr">
        <is>
          <t>Övriga Aktiebolag</t>
        </is>
      </c>
      <c r="G150" t="n">
        <v>21.2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4048-2024 artfynd.xlsx", "A 4048-2024")</f>
        <v/>
      </c>
      <c r="T150">
        <f>HYPERLINK("https://klasma.github.io/Logging_0382/kartor/A 4048-2024 karta.png", "A 4048-2024")</f>
        <v/>
      </c>
      <c r="V150">
        <f>HYPERLINK("https://klasma.github.io/Logging_0382/klagomål/A 4048-2024 FSC-klagomål.docx", "A 4048-2024")</f>
        <v/>
      </c>
      <c r="W150">
        <f>HYPERLINK("https://klasma.github.io/Logging_0382/klagomålsmail/A 4048-2024 FSC-klagomål mail.docx", "A 4048-2024")</f>
        <v/>
      </c>
      <c r="X150">
        <f>HYPERLINK("https://klasma.github.io/Logging_0382/tillsyn/A 4048-2024 tillsynsbegäran.docx", "A 4048-2024")</f>
        <v/>
      </c>
      <c r="Y150">
        <f>HYPERLINK("https://klasma.github.io/Logging_0382/tillsynsmail/A 4048-2024 tillsynsbegäran mail.docx", "A 4048-2024")</f>
        <v/>
      </c>
    </row>
    <row r="151" ht="15" customHeight="1">
      <c r="A151" t="inlineStr">
        <is>
          <t>A 10210-2024</t>
        </is>
      </c>
      <c r="B151" s="1" t="n">
        <v>45364</v>
      </c>
      <c r="C151" s="1" t="n">
        <v>45567</v>
      </c>
      <c r="D151" t="inlineStr">
        <is>
          <t>UPPSALA LÄN</t>
        </is>
      </c>
      <c r="E151" t="inlineStr">
        <is>
          <t>ÖSTHAMMAR</t>
        </is>
      </c>
      <c r="F151" t="inlineStr">
        <is>
          <t>Bergvik skog öst AB</t>
        </is>
      </c>
      <c r="G151" t="n">
        <v>18</v>
      </c>
      <c r="H151" t="n">
        <v>1</v>
      </c>
      <c r="I151" t="n">
        <v>0</v>
      </c>
      <c r="J151" t="n">
        <v>0</v>
      </c>
      <c r="K151" t="n">
        <v>0</v>
      </c>
      <c r="L151" t="n">
        <v>0</v>
      </c>
      <c r="M151" t="n">
        <v>0</v>
      </c>
      <c r="N151" t="n">
        <v>0</v>
      </c>
      <c r="O151" t="n">
        <v>0</v>
      </c>
      <c r="P151" t="n">
        <v>0</v>
      </c>
      <c r="Q151" t="n">
        <v>1</v>
      </c>
      <c r="R151" s="2" t="inlineStr">
        <is>
          <t>Tjäder</t>
        </is>
      </c>
      <c r="S151">
        <f>HYPERLINK("https://klasma.github.io/Logging_0382/artfynd/A 10210-2024 artfynd.xlsx", "A 10210-2024")</f>
        <v/>
      </c>
      <c r="T151">
        <f>HYPERLINK("https://klasma.github.io/Logging_0382/kartor/A 10210-2024 karta.png", "A 10210-2024")</f>
        <v/>
      </c>
      <c r="V151">
        <f>HYPERLINK("https://klasma.github.io/Logging_0382/klagomål/A 10210-2024 FSC-klagomål.docx", "A 10210-2024")</f>
        <v/>
      </c>
      <c r="W151">
        <f>HYPERLINK("https://klasma.github.io/Logging_0382/klagomålsmail/A 10210-2024 FSC-klagomål mail.docx", "A 10210-2024")</f>
        <v/>
      </c>
      <c r="X151">
        <f>HYPERLINK("https://klasma.github.io/Logging_0382/tillsyn/A 10210-2024 tillsynsbegäran.docx", "A 10210-2024")</f>
        <v/>
      </c>
      <c r="Y151">
        <f>HYPERLINK("https://klasma.github.io/Logging_0382/tillsynsmail/A 10210-2024 tillsynsbegäran mail.docx", "A 10210-2024")</f>
        <v/>
      </c>
      <c r="Z151">
        <f>HYPERLINK("https://klasma.github.io/Logging_0382/fåglar/A 10210-2024 prioriterade fågelarter.docx", "A 10210-2024")</f>
        <v/>
      </c>
    </row>
    <row r="152" ht="15" customHeight="1">
      <c r="A152" t="inlineStr">
        <is>
          <t>A 12753-2024</t>
        </is>
      </c>
      <c r="B152" s="1" t="n">
        <v>45384</v>
      </c>
      <c r="C152" s="1" t="n">
        <v>45567</v>
      </c>
      <c r="D152" t="inlineStr">
        <is>
          <t>UPPSALA LÄN</t>
        </is>
      </c>
      <c r="E152" t="inlineStr">
        <is>
          <t>ÖSTHAMMAR</t>
        </is>
      </c>
      <c r="G152" t="n">
        <v>1.7</v>
      </c>
      <c r="H152" t="n">
        <v>0</v>
      </c>
      <c r="I152" t="n">
        <v>0</v>
      </c>
      <c r="J152" t="n">
        <v>1</v>
      </c>
      <c r="K152" t="n">
        <v>0</v>
      </c>
      <c r="L152" t="n">
        <v>0</v>
      </c>
      <c r="M152" t="n">
        <v>0</v>
      </c>
      <c r="N152" t="n">
        <v>0</v>
      </c>
      <c r="O152" t="n">
        <v>1</v>
      </c>
      <c r="P152" t="n">
        <v>0</v>
      </c>
      <c r="Q152" t="n">
        <v>1</v>
      </c>
      <c r="R152" s="2" t="inlineStr">
        <is>
          <t>Flattoppad klubbsvamp</t>
        </is>
      </c>
      <c r="S152">
        <f>HYPERLINK("https://klasma.github.io/Logging_0382/artfynd/A 12753-2024 artfynd.xlsx", "A 12753-2024")</f>
        <v/>
      </c>
      <c r="T152">
        <f>HYPERLINK("https://klasma.github.io/Logging_0382/kartor/A 12753-2024 karta.png", "A 12753-2024")</f>
        <v/>
      </c>
      <c r="V152">
        <f>HYPERLINK("https://klasma.github.io/Logging_0382/klagomål/A 12753-2024 FSC-klagomål.docx", "A 12753-2024")</f>
        <v/>
      </c>
      <c r="W152">
        <f>HYPERLINK("https://klasma.github.io/Logging_0382/klagomålsmail/A 12753-2024 FSC-klagomål mail.docx", "A 12753-2024")</f>
        <v/>
      </c>
      <c r="X152">
        <f>HYPERLINK("https://klasma.github.io/Logging_0382/tillsyn/A 12753-2024 tillsynsbegäran.docx", "A 12753-2024")</f>
        <v/>
      </c>
      <c r="Y152">
        <f>HYPERLINK("https://klasma.github.io/Logging_0382/tillsynsmail/A 12753-2024 tillsynsbegäran mail.docx", "A 12753-2024")</f>
        <v/>
      </c>
    </row>
    <row r="153" ht="15" customHeight="1">
      <c r="A153" t="inlineStr">
        <is>
          <t>A 14203-2024</t>
        </is>
      </c>
      <c r="B153" s="1" t="n">
        <v>45393</v>
      </c>
      <c r="C153" s="1" t="n">
        <v>45567</v>
      </c>
      <c r="D153" t="inlineStr">
        <is>
          <t>UPPSALA LÄN</t>
        </is>
      </c>
      <c r="E153" t="inlineStr">
        <is>
          <t>ÖSTHAMMAR</t>
        </is>
      </c>
      <c r="G153" t="n">
        <v>1.4</v>
      </c>
      <c r="H153" t="n">
        <v>0</v>
      </c>
      <c r="I153" t="n">
        <v>0</v>
      </c>
      <c r="J153" t="n">
        <v>1</v>
      </c>
      <c r="K153" t="n">
        <v>0</v>
      </c>
      <c r="L153" t="n">
        <v>0</v>
      </c>
      <c r="M153" t="n">
        <v>0</v>
      </c>
      <c r="N153" t="n">
        <v>0</v>
      </c>
      <c r="O153" t="n">
        <v>1</v>
      </c>
      <c r="P153" t="n">
        <v>0</v>
      </c>
      <c r="Q153" t="n">
        <v>1</v>
      </c>
      <c r="R153" s="2" t="inlineStr">
        <is>
          <t>Scharlakansvaxskivling</t>
        </is>
      </c>
      <c r="S153">
        <f>HYPERLINK("https://klasma.github.io/Logging_0382/artfynd/A 14203-2024 artfynd.xlsx", "A 14203-2024")</f>
        <v/>
      </c>
      <c r="T153">
        <f>HYPERLINK("https://klasma.github.io/Logging_0382/kartor/A 14203-2024 karta.png", "A 14203-2024")</f>
        <v/>
      </c>
      <c r="V153">
        <f>HYPERLINK("https://klasma.github.io/Logging_0382/klagomål/A 14203-2024 FSC-klagomål.docx", "A 14203-2024")</f>
        <v/>
      </c>
      <c r="W153">
        <f>HYPERLINK("https://klasma.github.io/Logging_0382/klagomålsmail/A 14203-2024 FSC-klagomål mail.docx", "A 14203-2024")</f>
        <v/>
      </c>
      <c r="X153">
        <f>HYPERLINK("https://klasma.github.io/Logging_0382/tillsyn/A 14203-2024 tillsynsbegäran.docx", "A 14203-2024")</f>
        <v/>
      </c>
      <c r="Y153">
        <f>HYPERLINK("https://klasma.github.io/Logging_0382/tillsynsmail/A 14203-2024 tillsynsbegäran mail.docx", "A 14203-2024")</f>
        <v/>
      </c>
    </row>
    <row r="154" ht="15" customHeight="1">
      <c r="A154" t="inlineStr">
        <is>
          <t>A 22375-2024</t>
        </is>
      </c>
      <c r="B154" s="1" t="n">
        <v>45446</v>
      </c>
      <c r="C154" s="1" t="n">
        <v>45567</v>
      </c>
      <c r="D154" t="inlineStr">
        <is>
          <t>UPPSALA LÄN</t>
        </is>
      </c>
      <c r="E154" t="inlineStr">
        <is>
          <t>ÖSTHAMMAR</t>
        </is>
      </c>
      <c r="F154" t="inlineStr">
        <is>
          <t>Bergvik skog öst AB</t>
        </is>
      </c>
      <c r="G154" t="n">
        <v>2.2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22375-2024 artfynd.xlsx", "A 22375-2024")</f>
        <v/>
      </c>
      <c r="T154">
        <f>HYPERLINK("https://klasma.github.io/Logging_0382/kartor/A 22375-2024 karta.png", "A 22375-2024")</f>
        <v/>
      </c>
      <c r="V154">
        <f>HYPERLINK("https://klasma.github.io/Logging_0382/klagomål/A 22375-2024 FSC-klagomål.docx", "A 22375-2024")</f>
        <v/>
      </c>
      <c r="W154">
        <f>HYPERLINK("https://klasma.github.io/Logging_0382/klagomålsmail/A 22375-2024 FSC-klagomål mail.docx", "A 22375-2024")</f>
        <v/>
      </c>
      <c r="X154">
        <f>HYPERLINK("https://klasma.github.io/Logging_0382/tillsyn/A 22375-2024 tillsynsbegäran.docx", "A 22375-2024")</f>
        <v/>
      </c>
      <c r="Y154">
        <f>HYPERLINK("https://klasma.github.io/Logging_0382/tillsynsmail/A 22375-2024 tillsynsbegäran mail.docx", "A 22375-2024")</f>
        <v/>
      </c>
    </row>
    <row r="155" ht="15" customHeight="1">
      <c r="A155" t="inlineStr">
        <is>
          <t>A 35927-2024</t>
        </is>
      </c>
      <c r="B155" s="1" t="n">
        <v>45533</v>
      </c>
      <c r="C155" s="1" t="n">
        <v>45567</v>
      </c>
      <c r="D155" t="inlineStr">
        <is>
          <t>UPPSALA LÄN</t>
        </is>
      </c>
      <c r="E155" t="inlineStr">
        <is>
          <t>ÖSTHAMMAR</t>
        </is>
      </c>
      <c r="F155" t="inlineStr">
        <is>
          <t>Övriga Aktiebolag</t>
        </is>
      </c>
      <c r="G155" t="n">
        <v>13.1</v>
      </c>
      <c r="H155" t="n">
        <v>0</v>
      </c>
      <c r="I155" t="n">
        <v>1</v>
      </c>
      <c r="J155" t="n">
        <v>0</v>
      </c>
      <c r="K155" t="n">
        <v>0</v>
      </c>
      <c r="L155" t="n">
        <v>0</v>
      </c>
      <c r="M155" t="n">
        <v>0</v>
      </c>
      <c r="N155" t="n">
        <v>0</v>
      </c>
      <c r="O155" t="n">
        <v>0</v>
      </c>
      <c r="P155" t="n">
        <v>0</v>
      </c>
      <c r="Q155" t="n">
        <v>1</v>
      </c>
      <c r="R155" s="2" t="inlineStr">
        <is>
          <t>Vårärt</t>
        </is>
      </c>
      <c r="S155">
        <f>HYPERLINK("https://klasma.github.io/Logging_0382/artfynd/A 35927-2024 artfynd.xlsx", "A 35927-2024")</f>
        <v/>
      </c>
      <c r="T155">
        <f>HYPERLINK("https://klasma.github.io/Logging_0382/kartor/A 35927-2024 karta.png", "A 35927-2024")</f>
        <v/>
      </c>
      <c r="V155">
        <f>HYPERLINK("https://klasma.github.io/Logging_0382/klagomål/A 35927-2024 FSC-klagomål.docx", "A 35927-2024")</f>
        <v/>
      </c>
      <c r="W155">
        <f>HYPERLINK("https://klasma.github.io/Logging_0382/klagomålsmail/A 35927-2024 FSC-klagomål mail.docx", "A 35927-2024")</f>
        <v/>
      </c>
      <c r="X155">
        <f>HYPERLINK("https://klasma.github.io/Logging_0382/tillsyn/A 35927-2024 tillsynsbegäran.docx", "A 35927-2024")</f>
        <v/>
      </c>
      <c r="Y155">
        <f>HYPERLINK("https://klasma.github.io/Logging_0382/tillsynsmail/A 35927-2024 tillsynsbegäran mail.docx", "A 35927-2024")</f>
        <v/>
      </c>
    </row>
    <row r="156" ht="15" customHeight="1">
      <c r="A156" t="inlineStr">
        <is>
          <t>A 18596-2019</t>
        </is>
      </c>
      <c r="B156" s="1" t="n">
        <v>43560</v>
      </c>
      <c r="C156" s="1" t="n">
        <v>45567</v>
      </c>
      <c r="D156" t="inlineStr">
        <is>
          <t>UPPSALA LÄN</t>
        </is>
      </c>
      <c r="E156" t="inlineStr">
        <is>
          <t>ÖSTHAMMAR</t>
        </is>
      </c>
      <c r="G156" t="n">
        <v>1.2</v>
      </c>
      <c r="H156" t="n">
        <v>0</v>
      </c>
      <c r="I156" t="n">
        <v>0</v>
      </c>
      <c r="J156" t="n">
        <v>0</v>
      </c>
      <c r="K156" t="n">
        <v>0</v>
      </c>
      <c r="L156" t="n">
        <v>0</v>
      </c>
      <c r="M156" t="n">
        <v>0</v>
      </c>
      <c r="N156" t="n">
        <v>0</v>
      </c>
      <c r="O156" t="n">
        <v>0</v>
      </c>
      <c r="P156" t="n">
        <v>0</v>
      </c>
      <c r="Q156" t="n">
        <v>0</v>
      </c>
      <c r="R156" s="2" t="inlineStr"/>
    </row>
    <row r="157" ht="15" customHeight="1">
      <c r="A157" t="inlineStr">
        <is>
          <t>A 18781-2019</t>
        </is>
      </c>
      <c r="B157" s="1" t="n">
        <v>43561</v>
      </c>
      <c r="C157" s="1" t="n">
        <v>45567</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18792-2019</t>
        </is>
      </c>
      <c r="B158" s="1" t="n">
        <v>43562</v>
      </c>
      <c r="C158" s="1" t="n">
        <v>45567</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18800-2019</t>
        </is>
      </c>
      <c r="B159" s="1" t="n">
        <v>43562</v>
      </c>
      <c r="C159" s="1" t="n">
        <v>45567</v>
      </c>
      <c r="D159" t="inlineStr">
        <is>
          <t>UPPSALA LÄN</t>
        </is>
      </c>
      <c r="E159" t="inlineStr">
        <is>
          <t>ÖSTHAMMAR</t>
        </is>
      </c>
      <c r="F159" t="inlineStr">
        <is>
          <t>Bergvik skog öst AB</t>
        </is>
      </c>
      <c r="G159" t="n">
        <v>1.6</v>
      </c>
      <c r="H159" t="n">
        <v>0</v>
      </c>
      <c r="I159" t="n">
        <v>0</v>
      </c>
      <c r="J159" t="n">
        <v>0</v>
      </c>
      <c r="K159" t="n">
        <v>0</v>
      </c>
      <c r="L159" t="n">
        <v>0</v>
      </c>
      <c r="M159" t="n">
        <v>0</v>
      </c>
      <c r="N159" t="n">
        <v>0</v>
      </c>
      <c r="O159" t="n">
        <v>0</v>
      </c>
      <c r="P159" t="n">
        <v>0</v>
      </c>
      <c r="Q159" t="n">
        <v>0</v>
      </c>
      <c r="R159" s="2" t="inlineStr"/>
    </row>
    <row r="160" ht="15" customHeight="1">
      <c r="A160" t="inlineStr">
        <is>
          <t>A 20683-2019</t>
        </is>
      </c>
      <c r="B160" s="1" t="n">
        <v>43573</v>
      </c>
      <c r="C160" s="1" t="n">
        <v>45567</v>
      </c>
      <c r="D160" t="inlineStr">
        <is>
          <t>UPPSALA LÄN</t>
        </is>
      </c>
      <c r="E160" t="inlineStr">
        <is>
          <t>ÖSTHAMMAR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21471-2019</t>
        </is>
      </c>
      <c r="B161" s="1" t="n">
        <v>43580</v>
      </c>
      <c r="C161" s="1" t="n">
        <v>45567</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22800-2019</t>
        </is>
      </c>
      <c r="B162" s="1" t="n">
        <v>43590</v>
      </c>
      <c r="C162" s="1" t="n">
        <v>45567</v>
      </c>
      <c r="D162" t="inlineStr">
        <is>
          <t>UPPSALA LÄN</t>
        </is>
      </c>
      <c r="E162" t="inlineStr">
        <is>
          <t>ÖSTHAMMAR</t>
        </is>
      </c>
      <c r="G162" t="n">
        <v>1.5</v>
      </c>
      <c r="H162" t="n">
        <v>0</v>
      </c>
      <c r="I162" t="n">
        <v>0</v>
      </c>
      <c r="J162" t="n">
        <v>0</v>
      </c>
      <c r="K162" t="n">
        <v>0</v>
      </c>
      <c r="L162" t="n">
        <v>0</v>
      </c>
      <c r="M162" t="n">
        <v>0</v>
      </c>
      <c r="N162" t="n">
        <v>0</v>
      </c>
      <c r="O162" t="n">
        <v>0</v>
      </c>
      <c r="P162" t="n">
        <v>0</v>
      </c>
      <c r="Q162" t="n">
        <v>0</v>
      </c>
      <c r="R162" s="2" t="inlineStr"/>
      <c r="U162">
        <f>HYPERLINK("https://klasma.github.io/Logging_0382/knärot/A 22800-2019 karta knärot.png", "A 22800-2019")</f>
        <v/>
      </c>
      <c r="V162">
        <f>HYPERLINK("https://klasma.github.io/Logging_0382/klagomål/A 22800-2019 FSC-klagomål.docx", "A 22800-2019")</f>
        <v/>
      </c>
      <c r="W162">
        <f>HYPERLINK("https://klasma.github.io/Logging_0382/klagomålsmail/A 22800-2019 FSC-klagomål mail.docx", "A 22800-2019")</f>
        <v/>
      </c>
      <c r="X162">
        <f>HYPERLINK("https://klasma.github.io/Logging_0382/tillsyn/A 22800-2019 tillsynsbegäran.docx", "A 22800-2019")</f>
        <v/>
      </c>
      <c r="Y162">
        <f>HYPERLINK("https://klasma.github.io/Logging_0382/tillsynsmail/A 22800-2019 tillsynsbegäran mail.docx", "A 22800-2019")</f>
        <v/>
      </c>
    </row>
    <row r="163" ht="15" customHeight="1">
      <c r="A163" t="inlineStr">
        <is>
          <t>A 22801-2019</t>
        </is>
      </c>
      <c r="B163" s="1" t="n">
        <v>43590</v>
      </c>
      <c r="C163" s="1" t="n">
        <v>45567</v>
      </c>
      <c r="D163" t="inlineStr">
        <is>
          <t>UPPSALA LÄN</t>
        </is>
      </c>
      <c r="E163" t="inlineStr">
        <is>
          <t>ÖSTHAMMAR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23008-2019</t>
        </is>
      </c>
      <c r="B164" s="1" t="n">
        <v>43591</v>
      </c>
      <c r="C164" s="1" t="n">
        <v>45567</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25874-2019</t>
        </is>
      </c>
      <c r="B165" s="1" t="n">
        <v>43605</v>
      </c>
      <c r="C165" s="1" t="n">
        <v>45567</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25703-2019</t>
        </is>
      </c>
      <c r="B166" s="1" t="n">
        <v>43607</v>
      </c>
      <c r="C166" s="1" t="n">
        <v>45567</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25708-2019</t>
        </is>
      </c>
      <c r="B167" s="1" t="n">
        <v>43607</v>
      </c>
      <c r="C167" s="1" t="n">
        <v>45567</v>
      </c>
      <c r="D167" t="inlineStr">
        <is>
          <t>UPPSALA LÄN</t>
        </is>
      </c>
      <c r="E167" t="inlineStr">
        <is>
          <t>ÖSTHAMMAR</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25706-2019</t>
        </is>
      </c>
      <c r="B168" s="1" t="n">
        <v>43607</v>
      </c>
      <c r="C168" s="1" t="n">
        <v>45567</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26562-2019</t>
        </is>
      </c>
      <c r="B169" s="1" t="n">
        <v>43612</v>
      </c>
      <c r="C169" s="1" t="n">
        <v>45567</v>
      </c>
      <c r="D169" t="inlineStr">
        <is>
          <t>UPPSALA LÄN</t>
        </is>
      </c>
      <c r="E169" t="inlineStr">
        <is>
          <t>ÖSTHAMMAR</t>
        </is>
      </c>
      <c r="G169" t="n">
        <v>3.2</v>
      </c>
      <c r="H169" t="n">
        <v>0</v>
      </c>
      <c r="I169" t="n">
        <v>0</v>
      </c>
      <c r="J169" t="n">
        <v>0</v>
      </c>
      <c r="K169" t="n">
        <v>0</v>
      </c>
      <c r="L169" t="n">
        <v>0</v>
      </c>
      <c r="M169" t="n">
        <v>0</v>
      </c>
      <c r="N169" t="n">
        <v>0</v>
      </c>
      <c r="O169" t="n">
        <v>0</v>
      </c>
      <c r="P169" t="n">
        <v>0</v>
      </c>
      <c r="Q169" t="n">
        <v>0</v>
      </c>
      <c r="R169" s="2" t="inlineStr"/>
    </row>
    <row r="170" ht="15" customHeight="1">
      <c r="A170" t="inlineStr">
        <is>
          <t>A 26724-2019</t>
        </is>
      </c>
      <c r="B170" s="1" t="n">
        <v>43613</v>
      </c>
      <c r="C170" s="1" t="n">
        <v>45567</v>
      </c>
      <c r="D170" t="inlineStr">
        <is>
          <t>UPPSALA LÄN</t>
        </is>
      </c>
      <c r="E170" t="inlineStr">
        <is>
          <t>ÖSTHAMMAR</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26796-2019</t>
        </is>
      </c>
      <c r="B171" s="1" t="n">
        <v>43613</v>
      </c>
      <c r="C171" s="1" t="n">
        <v>45567</v>
      </c>
      <c r="D171" t="inlineStr">
        <is>
          <t>UPPSALA LÄN</t>
        </is>
      </c>
      <c r="E171" t="inlineStr">
        <is>
          <t>ÖSTHAMMAR</t>
        </is>
      </c>
      <c r="F171" t="inlineStr">
        <is>
          <t>Bergvik skog öst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27458-2019</t>
        </is>
      </c>
      <c r="B172" s="1" t="n">
        <v>43618</v>
      </c>
      <c r="C172" s="1" t="n">
        <v>45567</v>
      </c>
      <c r="D172" t="inlineStr">
        <is>
          <t>UPPSALA LÄN</t>
        </is>
      </c>
      <c r="E172" t="inlineStr">
        <is>
          <t>ÖSTHAMMAR</t>
        </is>
      </c>
      <c r="F172" t="inlineStr">
        <is>
          <t>Bergvik skog öst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29204-2019</t>
        </is>
      </c>
      <c r="B173" s="1" t="n">
        <v>43623</v>
      </c>
      <c r="C173" s="1" t="n">
        <v>45567</v>
      </c>
      <c r="D173" t="inlineStr">
        <is>
          <t>UPPSALA LÄN</t>
        </is>
      </c>
      <c r="E173" t="inlineStr">
        <is>
          <t>ÖSTHAMMAR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31106-2019</t>
        </is>
      </c>
      <c r="B174" s="1" t="n">
        <v>43635</v>
      </c>
      <c r="C174" s="1" t="n">
        <v>45567</v>
      </c>
      <c r="D174" t="inlineStr">
        <is>
          <t>UPPSALA LÄN</t>
        </is>
      </c>
      <c r="E174" t="inlineStr">
        <is>
          <t>ÖSTHAMMAR</t>
        </is>
      </c>
      <c r="F174" t="inlineStr">
        <is>
          <t>Övriga statliga verk och myndigheter</t>
        </is>
      </c>
      <c r="G174" t="n">
        <v>1.5</v>
      </c>
      <c r="H174" t="n">
        <v>0</v>
      </c>
      <c r="I174" t="n">
        <v>0</v>
      </c>
      <c r="J174" t="n">
        <v>0</v>
      </c>
      <c r="K174" t="n">
        <v>0</v>
      </c>
      <c r="L174" t="n">
        <v>0</v>
      </c>
      <c r="M174" t="n">
        <v>0</v>
      </c>
      <c r="N174" t="n">
        <v>0</v>
      </c>
      <c r="O174" t="n">
        <v>0</v>
      </c>
      <c r="P174" t="n">
        <v>0</v>
      </c>
      <c r="Q174" t="n">
        <v>0</v>
      </c>
      <c r="R174" s="2" t="inlineStr"/>
    </row>
    <row r="175" ht="15" customHeight="1">
      <c r="A175" t="inlineStr">
        <is>
          <t>A 31716-2019</t>
        </is>
      </c>
      <c r="B175" s="1" t="n">
        <v>43642</v>
      </c>
      <c r="C175" s="1" t="n">
        <v>45567</v>
      </c>
      <c r="D175" t="inlineStr">
        <is>
          <t>UPPSALA LÄN</t>
        </is>
      </c>
      <c r="E175" t="inlineStr">
        <is>
          <t>ÖSTHAMMAR</t>
        </is>
      </c>
      <c r="G175" t="n">
        <v>1.5</v>
      </c>
      <c r="H175" t="n">
        <v>0</v>
      </c>
      <c r="I175" t="n">
        <v>0</v>
      </c>
      <c r="J175" t="n">
        <v>0</v>
      </c>
      <c r="K175" t="n">
        <v>0</v>
      </c>
      <c r="L175" t="n">
        <v>0</v>
      </c>
      <c r="M175" t="n">
        <v>0</v>
      </c>
      <c r="N175" t="n">
        <v>0</v>
      </c>
      <c r="O175" t="n">
        <v>0</v>
      </c>
      <c r="P175" t="n">
        <v>0</v>
      </c>
      <c r="Q175" t="n">
        <v>0</v>
      </c>
      <c r="R175" s="2" t="inlineStr"/>
    </row>
    <row r="176" ht="15" customHeight="1">
      <c r="A176" t="inlineStr">
        <is>
          <t>A 31882-2019</t>
        </is>
      </c>
      <c r="B176" s="1" t="n">
        <v>43642</v>
      </c>
      <c r="C176" s="1" t="n">
        <v>45567</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32718-2019</t>
        </is>
      </c>
      <c r="B177" s="1" t="n">
        <v>43647</v>
      </c>
      <c r="C177" s="1" t="n">
        <v>45567</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33532-2019</t>
        </is>
      </c>
      <c r="B178" s="1" t="n">
        <v>43651</v>
      </c>
      <c r="C178" s="1" t="n">
        <v>45567</v>
      </c>
      <c r="D178" t="inlineStr">
        <is>
          <t>UPPSALA LÄN</t>
        </is>
      </c>
      <c r="E178" t="inlineStr">
        <is>
          <t>ÖSTHAMMAR</t>
        </is>
      </c>
      <c r="G178" t="n">
        <v>1.6</v>
      </c>
      <c r="H178" t="n">
        <v>0</v>
      </c>
      <c r="I178" t="n">
        <v>0</v>
      </c>
      <c r="J178" t="n">
        <v>0</v>
      </c>
      <c r="K178" t="n">
        <v>0</v>
      </c>
      <c r="L178" t="n">
        <v>0</v>
      </c>
      <c r="M178" t="n">
        <v>0</v>
      </c>
      <c r="N178" t="n">
        <v>0</v>
      </c>
      <c r="O178" t="n">
        <v>0</v>
      </c>
      <c r="P178" t="n">
        <v>0</v>
      </c>
      <c r="Q178" t="n">
        <v>0</v>
      </c>
      <c r="R178" s="2" t="inlineStr"/>
    </row>
    <row r="179" ht="15" customHeight="1">
      <c r="A179" t="inlineStr">
        <is>
          <t>A 33544-2019</t>
        </is>
      </c>
      <c r="B179" s="1" t="n">
        <v>43651</v>
      </c>
      <c r="C179" s="1" t="n">
        <v>45567</v>
      </c>
      <c r="D179" t="inlineStr">
        <is>
          <t>UPPSALA LÄN</t>
        </is>
      </c>
      <c r="E179" t="inlineStr">
        <is>
          <t>ÖSTHAMMAR</t>
        </is>
      </c>
      <c r="G179" t="n">
        <v>4.3</v>
      </c>
      <c r="H179" t="n">
        <v>0</v>
      </c>
      <c r="I179" t="n">
        <v>0</v>
      </c>
      <c r="J179" t="n">
        <v>0</v>
      </c>
      <c r="K179" t="n">
        <v>0</v>
      </c>
      <c r="L179" t="n">
        <v>0</v>
      </c>
      <c r="M179" t="n">
        <v>0</v>
      </c>
      <c r="N179" t="n">
        <v>0</v>
      </c>
      <c r="O179" t="n">
        <v>0</v>
      </c>
      <c r="P179" t="n">
        <v>0</v>
      </c>
      <c r="Q179" t="n">
        <v>0</v>
      </c>
      <c r="R179" s="2" t="inlineStr"/>
    </row>
    <row r="180" ht="15" customHeight="1">
      <c r="A180" t="inlineStr">
        <is>
          <t>A 33539-2019</t>
        </is>
      </c>
      <c r="B180" s="1" t="n">
        <v>43651</v>
      </c>
      <c r="C180" s="1" t="n">
        <v>45567</v>
      </c>
      <c r="D180" t="inlineStr">
        <is>
          <t>UPPSALA LÄN</t>
        </is>
      </c>
      <c r="E180" t="inlineStr">
        <is>
          <t>ÖSTHAMMAR</t>
        </is>
      </c>
      <c r="G180" t="n">
        <v>4.6</v>
      </c>
      <c r="H180" t="n">
        <v>0</v>
      </c>
      <c r="I180" t="n">
        <v>0</v>
      </c>
      <c r="J180" t="n">
        <v>0</v>
      </c>
      <c r="K180" t="n">
        <v>0</v>
      </c>
      <c r="L180" t="n">
        <v>0</v>
      </c>
      <c r="M180" t="n">
        <v>0</v>
      </c>
      <c r="N180" t="n">
        <v>0</v>
      </c>
      <c r="O180" t="n">
        <v>0</v>
      </c>
      <c r="P180" t="n">
        <v>0</v>
      </c>
      <c r="Q180" t="n">
        <v>0</v>
      </c>
      <c r="R180" s="2" t="inlineStr"/>
    </row>
    <row r="181" ht="15" customHeight="1">
      <c r="A181" t="inlineStr">
        <is>
          <t>A 33551-2019</t>
        </is>
      </c>
      <c r="B181" s="1" t="n">
        <v>43651</v>
      </c>
      <c r="C181" s="1" t="n">
        <v>45567</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33784-2019</t>
        </is>
      </c>
      <c r="B182" s="1" t="n">
        <v>43651</v>
      </c>
      <c r="C182" s="1" t="n">
        <v>45567</v>
      </c>
      <c r="D182" t="inlineStr">
        <is>
          <t>UPPSALA LÄN</t>
        </is>
      </c>
      <c r="E182" t="inlineStr">
        <is>
          <t>ÖSTHAMMAR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39582-2019</t>
        </is>
      </c>
      <c r="B183" s="1" t="n">
        <v>43686</v>
      </c>
      <c r="C183" s="1" t="n">
        <v>45567</v>
      </c>
      <c r="D183" t="inlineStr">
        <is>
          <t>UPPSALA LÄN</t>
        </is>
      </c>
      <c r="E183" t="inlineStr">
        <is>
          <t>ÖSTHAMMAR</t>
        </is>
      </c>
      <c r="G183" t="n">
        <v>12.2</v>
      </c>
      <c r="H183" t="n">
        <v>0</v>
      </c>
      <c r="I183" t="n">
        <v>0</v>
      </c>
      <c r="J183" t="n">
        <v>0</v>
      </c>
      <c r="K183" t="n">
        <v>0</v>
      </c>
      <c r="L183" t="n">
        <v>0</v>
      </c>
      <c r="M183" t="n">
        <v>0</v>
      </c>
      <c r="N183" t="n">
        <v>0</v>
      </c>
      <c r="O183" t="n">
        <v>0</v>
      </c>
      <c r="P183" t="n">
        <v>0</v>
      </c>
      <c r="Q183" t="n">
        <v>0</v>
      </c>
      <c r="R183" s="2" t="inlineStr"/>
    </row>
    <row r="184" ht="15" customHeight="1">
      <c r="A184" t="inlineStr">
        <is>
          <t>A 39910-2019</t>
        </is>
      </c>
      <c r="B184" s="1" t="n">
        <v>43692</v>
      </c>
      <c r="C184" s="1" t="n">
        <v>45567</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41697-2019</t>
        </is>
      </c>
      <c r="B185" s="1" t="n">
        <v>43699</v>
      </c>
      <c r="C185" s="1" t="n">
        <v>45567</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41539-2019</t>
        </is>
      </c>
      <c r="B186" s="1" t="n">
        <v>43699</v>
      </c>
      <c r="C186" s="1" t="n">
        <v>45567</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43426-2019</t>
        </is>
      </c>
      <c r="B187" s="1" t="n">
        <v>43706</v>
      </c>
      <c r="C187" s="1" t="n">
        <v>45567</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45140-2019</t>
        </is>
      </c>
      <c r="B188" s="1" t="n">
        <v>43713</v>
      </c>
      <c r="C188" s="1" t="n">
        <v>45567</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45681-2019</t>
        </is>
      </c>
      <c r="B189" s="1" t="n">
        <v>43717</v>
      </c>
      <c r="C189" s="1" t="n">
        <v>45567</v>
      </c>
      <c r="D189" t="inlineStr">
        <is>
          <t>UPPSALA LÄN</t>
        </is>
      </c>
      <c r="E189" t="inlineStr">
        <is>
          <t>ÖSTHAMMAR</t>
        </is>
      </c>
      <c r="F189" t="inlineStr">
        <is>
          <t>Bergvik skog öst AB</t>
        </is>
      </c>
      <c r="G189" t="n">
        <v>3</v>
      </c>
      <c r="H189" t="n">
        <v>0</v>
      </c>
      <c r="I189" t="n">
        <v>0</v>
      </c>
      <c r="J189" t="n">
        <v>0</v>
      </c>
      <c r="K189" t="n">
        <v>0</v>
      </c>
      <c r="L189" t="n">
        <v>0</v>
      </c>
      <c r="M189" t="n">
        <v>0</v>
      </c>
      <c r="N189" t="n">
        <v>0</v>
      </c>
      <c r="O189" t="n">
        <v>0</v>
      </c>
      <c r="P189" t="n">
        <v>0</v>
      </c>
      <c r="Q189" t="n">
        <v>0</v>
      </c>
      <c r="R189" s="2" t="inlineStr"/>
    </row>
    <row r="190" ht="15" customHeight="1">
      <c r="A190" t="inlineStr">
        <is>
          <t>A 47440-2019</t>
        </is>
      </c>
      <c r="B190" s="1" t="n">
        <v>43723</v>
      </c>
      <c r="C190" s="1" t="n">
        <v>45567</v>
      </c>
      <c r="D190" t="inlineStr">
        <is>
          <t>UPPSALA LÄN</t>
        </is>
      </c>
      <c r="E190" t="inlineStr">
        <is>
          <t>ÖSTHAMMAR</t>
        </is>
      </c>
      <c r="G190" t="n">
        <v>0.1</v>
      </c>
      <c r="H190" t="n">
        <v>0</v>
      </c>
      <c r="I190" t="n">
        <v>0</v>
      </c>
      <c r="J190" t="n">
        <v>0</v>
      </c>
      <c r="K190" t="n">
        <v>0</v>
      </c>
      <c r="L190" t="n">
        <v>0</v>
      </c>
      <c r="M190" t="n">
        <v>0</v>
      </c>
      <c r="N190" t="n">
        <v>0</v>
      </c>
      <c r="O190" t="n">
        <v>0</v>
      </c>
      <c r="P190" t="n">
        <v>0</v>
      </c>
      <c r="Q190" t="n">
        <v>0</v>
      </c>
      <c r="R190" s="2" t="inlineStr"/>
    </row>
    <row r="191" ht="15" customHeight="1">
      <c r="A191" t="inlineStr">
        <is>
          <t>A 47436-2019</t>
        </is>
      </c>
      <c r="B191" s="1" t="n">
        <v>43723</v>
      </c>
      <c r="C191" s="1" t="n">
        <v>45567</v>
      </c>
      <c r="D191" t="inlineStr">
        <is>
          <t>UPPSALA LÄN</t>
        </is>
      </c>
      <c r="E191" t="inlineStr">
        <is>
          <t>ÖSTHAMMAR</t>
        </is>
      </c>
      <c r="G191" t="n">
        <v>0.7</v>
      </c>
      <c r="H191" t="n">
        <v>0</v>
      </c>
      <c r="I191" t="n">
        <v>0</v>
      </c>
      <c r="J191" t="n">
        <v>0</v>
      </c>
      <c r="K191" t="n">
        <v>0</v>
      </c>
      <c r="L191" t="n">
        <v>0</v>
      </c>
      <c r="M191" t="n">
        <v>0</v>
      </c>
      <c r="N191" t="n">
        <v>0</v>
      </c>
      <c r="O191" t="n">
        <v>0</v>
      </c>
      <c r="P191" t="n">
        <v>0</v>
      </c>
      <c r="Q191" t="n">
        <v>0</v>
      </c>
      <c r="R191" s="2" t="inlineStr"/>
    </row>
    <row r="192" ht="15" customHeight="1">
      <c r="A192" t="inlineStr">
        <is>
          <t>A 51025-2019</t>
        </is>
      </c>
      <c r="B192" s="1" t="n">
        <v>43739</v>
      </c>
      <c r="C192" s="1" t="n">
        <v>45567</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53442-2019</t>
        </is>
      </c>
      <c r="B193" s="1" t="n">
        <v>43748</v>
      </c>
      <c r="C193" s="1" t="n">
        <v>45567</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55382-2019</t>
        </is>
      </c>
      <c r="B194" s="1" t="n">
        <v>43755</v>
      </c>
      <c r="C194" s="1" t="n">
        <v>45567</v>
      </c>
      <c r="D194" t="inlineStr">
        <is>
          <t>UPPSALA LÄN</t>
        </is>
      </c>
      <c r="E194" t="inlineStr">
        <is>
          <t>ÖSTHAMMAR</t>
        </is>
      </c>
      <c r="G194" t="n">
        <v>1.8</v>
      </c>
      <c r="H194" t="n">
        <v>0</v>
      </c>
      <c r="I194" t="n">
        <v>0</v>
      </c>
      <c r="J194" t="n">
        <v>0</v>
      </c>
      <c r="K194" t="n">
        <v>0</v>
      </c>
      <c r="L194" t="n">
        <v>0</v>
      </c>
      <c r="M194" t="n">
        <v>0</v>
      </c>
      <c r="N194" t="n">
        <v>0</v>
      </c>
      <c r="O194" t="n">
        <v>0</v>
      </c>
      <c r="P194" t="n">
        <v>0</v>
      </c>
      <c r="Q194" t="n">
        <v>0</v>
      </c>
      <c r="R194" s="2" t="inlineStr"/>
    </row>
    <row r="195" ht="15" customHeight="1">
      <c r="A195" t="inlineStr">
        <is>
          <t>A 57686-2019</t>
        </is>
      </c>
      <c r="B195" s="1" t="n">
        <v>43761</v>
      </c>
      <c r="C195" s="1" t="n">
        <v>45567</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57304-2019</t>
        </is>
      </c>
      <c r="B196" s="1" t="n">
        <v>43767</v>
      </c>
      <c r="C196" s="1" t="n">
        <v>45567</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58665-2019</t>
        </is>
      </c>
      <c r="B197" s="1" t="n">
        <v>43773</v>
      </c>
      <c r="C197" s="1" t="n">
        <v>45567</v>
      </c>
      <c r="D197" t="inlineStr">
        <is>
          <t>UPPSALA LÄN</t>
        </is>
      </c>
      <c r="E197" t="inlineStr">
        <is>
          <t>ÖSTHAMMAR</t>
        </is>
      </c>
      <c r="G197" t="n">
        <v>2</v>
      </c>
      <c r="H197" t="n">
        <v>0</v>
      </c>
      <c r="I197" t="n">
        <v>0</v>
      </c>
      <c r="J197" t="n">
        <v>0</v>
      </c>
      <c r="K197" t="n">
        <v>0</v>
      </c>
      <c r="L197" t="n">
        <v>0</v>
      </c>
      <c r="M197" t="n">
        <v>0</v>
      </c>
      <c r="N197" t="n">
        <v>0</v>
      </c>
      <c r="O197" t="n">
        <v>0</v>
      </c>
      <c r="P197" t="n">
        <v>0</v>
      </c>
      <c r="Q197" t="n">
        <v>0</v>
      </c>
      <c r="R197" s="2" t="inlineStr"/>
    </row>
    <row r="198" ht="15" customHeight="1">
      <c r="A198" t="inlineStr">
        <is>
          <t>A 60977-2019</t>
        </is>
      </c>
      <c r="B198" s="1" t="n">
        <v>43782</v>
      </c>
      <c r="C198" s="1" t="n">
        <v>45567</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61866-2019</t>
        </is>
      </c>
      <c r="B199" s="1" t="n">
        <v>43787</v>
      </c>
      <c r="C199" s="1" t="n">
        <v>45567</v>
      </c>
      <c r="D199" t="inlineStr">
        <is>
          <t>UPPSALA LÄN</t>
        </is>
      </c>
      <c r="E199" t="inlineStr">
        <is>
          <t>ÖSTHAMMAR</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62808-2019</t>
        </is>
      </c>
      <c r="B200" s="1" t="n">
        <v>43790</v>
      </c>
      <c r="C200" s="1" t="n">
        <v>45567</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63564-2019</t>
        </is>
      </c>
      <c r="B201" s="1" t="n">
        <v>43795</v>
      </c>
      <c r="C201" s="1" t="n">
        <v>45567</v>
      </c>
      <c r="D201" t="inlineStr">
        <is>
          <t>UPPSALA LÄN</t>
        </is>
      </c>
      <c r="E201" t="inlineStr">
        <is>
          <t>ÖSTHAMMAR</t>
        </is>
      </c>
      <c r="F201" t="inlineStr">
        <is>
          <t>Övriga Aktiebolag</t>
        </is>
      </c>
      <c r="G201" t="n">
        <v>4.7</v>
      </c>
      <c r="H201" t="n">
        <v>0</v>
      </c>
      <c r="I201" t="n">
        <v>0</v>
      </c>
      <c r="J201" t="n">
        <v>0</v>
      </c>
      <c r="K201" t="n">
        <v>0</v>
      </c>
      <c r="L201" t="n">
        <v>0</v>
      </c>
      <c r="M201" t="n">
        <v>0</v>
      </c>
      <c r="N201" t="n">
        <v>0</v>
      </c>
      <c r="O201" t="n">
        <v>0</v>
      </c>
      <c r="P201" t="n">
        <v>0</v>
      </c>
      <c r="Q201" t="n">
        <v>0</v>
      </c>
      <c r="R201" s="2" t="inlineStr"/>
    </row>
    <row r="202" ht="15" customHeight="1">
      <c r="A202" t="inlineStr">
        <is>
          <t>A 64344-2019</t>
        </is>
      </c>
      <c r="B202" s="1" t="n">
        <v>43797</v>
      </c>
      <c r="C202" s="1" t="n">
        <v>45567</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65107-2019</t>
        </is>
      </c>
      <c r="B203" s="1" t="n">
        <v>43802</v>
      </c>
      <c r="C203" s="1" t="n">
        <v>45567</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67647-2019</t>
        </is>
      </c>
      <c r="B204" s="1" t="n">
        <v>43808</v>
      </c>
      <c r="C204" s="1" t="n">
        <v>45567</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66802-2019</t>
        </is>
      </c>
      <c r="B205" s="1" t="n">
        <v>43810</v>
      </c>
      <c r="C205" s="1" t="n">
        <v>45567</v>
      </c>
      <c r="D205" t="inlineStr">
        <is>
          <t>UPPSALA LÄN</t>
        </is>
      </c>
      <c r="E205" t="inlineStr">
        <is>
          <t>ÖSTHAMMAR</t>
        </is>
      </c>
      <c r="F205" t="inlineStr">
        <is>
          <t>Bergvik skog öst AB</t>
        </is>
      </c>
      <c r="G205" t="n">
        <v>34.8</v>
      </c>
      <c r="H205" t="n">
        <v>0</v>
      </c>
      <c r="I205" t="n">
        <v>0</v>
      </c>
      <c r="J205" t="n">
        <v>0</v>
      </c>
      <c r="K205" t="n">
        <v>0</v>
      </c>
      <c r="L205" t="n">
        <v>0</v>
      </c>
      <c r="M205" t="n">
        <v>0</v>
      </c>
      <c r="N205" t="n">
        <v>0</v>
      </c>
      <c r="O205" t="n">
        <v>0</v>
      </c>
      <c r="P205" t="n">
        <v>0</v>
      </c>
      <c r="Q205" t="n">
        <v>0</v>
      </c>
      <c r="R205" s="2" t="inlineStr"/>
    </row>
    <row r="206" ht="15" customHeight="1">
      <c r="A206" t="inlineStr">
        <is>
          <t>A 67254-2019</t>
        </is>
      </c>
      <c r="B206" s="1" t="n">
        <v>43812</v>
      </c>
      <c r="C206" s="1" t="n">
        <v>45567</v>
      </c>
      <c r="D206" t="inlineStr">
        <is>
          <t>UPPSALA LÄN</t>
        </is>
      </c>
      <c r="E206" t="inlineStr">
        <is>
          <t>ÖSTHAMMAR</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618-2020</t>
        </is>
      </c>
      <c r="B207" s="1" t="n">
        <v>43817</v>
      </c>
      <c r="C207" s="1" t="n">
        <v>45567</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68870-2019</t>
        </is>
      </c>
      <c r="B208" s="1" t="n">
        <v>43821</v>
      </c>
      <c r="C208" s="1" t="n">
        <v>45567</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68871-2019</t>
        </is>
      </c>
      <c r="B209" s="1" t="n">
        <v>43821</v>
      </c>
      <c r="C209" s="1" t="n">
        <v>45567</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68868-2019</t>
        </is>
      </c>
      <c r="B210" s="1" t="n">
        <v>43821</v>
      </c>
      <c r="C210" s="1" t="n">
        <v>45567</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685-2020</t>
        </is>
      </c>
      <c r="B211" s="1" t="n">
        <v>43838</v>
      </c>
      <c r="C211" s="1" t="n">
        <v>45567</v>
      </c>
      <c r="D211" t="inlineStr">
        <is>
          <t>UPPSALA LÄN</t>
        </is>
      </c>
      <c r="E211" t="inlineStr">
        <is>
          <t>ÖSTHAMMAR</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1685-2020</t>
        </is>
      </c>
      <c r="B212" s="1" t="n">
        <v>43844</v>
      </c>
      <c r="C212" s="1" t="n">
        <v>45567</v>
      </c>
      <c r="D212" t="inlineStr">
        <is>
          <t>UPPSALA LÄN</t>
        </is>
      </c>
      <c r="E212" t="inlineStr">
        <is>
          <t>ÖSTHAMMAR</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1681-2020</t>
        </is>
      </c>
      <c r="B213" s="1" t="n">
        <v>43844</v>
      </c>
      <c r="C213" s="1" t="n">
        <v>45567</v>
      </c>
      <c r="D213" t="inlineStr">
        <is>
          <t>UPPSALA LÄN</t>
        </is>
      </c>
      <c r="E213" t="inlineStr">
        <is>
          <t>ÖSTHAMMAR</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4473-2020</t>
        </is>
      </c>
      <c r="B214" s="1" t="n">
        <v>43850</v>
      </c>
      <c r="C214" s="1" t="n">
        <v>45567</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3334-2020</t>
        </is>
      </c>
      <c r="B215" s="1" t="n">
        <v>43852</v>
      </c>
      <c r="C215" s="1" t="n">
        <v>45567</v>
      </c>
      <c r="D215" t="inlineStr">
        <is>
          <t>UPPSALA LÄN</t>
        </is>
      </c>
      <c r="E215" t="inlineStr">
        <is>
          <t>ÖSTHAMMAR</t>
        </is>
      </c>
      <c r="G215" t="n">
        <v>2.5</v>
      </c>
      <c r="H215" t="n">
        <v>0</v>
      </c>
      <c r="I215" t="n">
        <v>0</v>
      </c>
      <c r="J215" t="n">
        <v>0</v>
      </c>
      <c r="K215" t="n">
        <v>0</v>
      </c>
      <c r="L215" t="n">
        <v>0</v>
      </c>
      <c r="M215" t="n">
        <v>0</v>
      </c>
      <c r="N215" t="n">
        <v>0</v>
      </c>
      <c r="O215" t="n">
        <v>0</v>
      </c>
      <c r="P215" t="n">
        <v>0</v>
      </c>
      <c r="Q215" t="n">
        <v>0</v>
      </c>
      <c r="R215" s="2" t="inlineStr"/>
    </row>
    <row r="216" ht="15" customHeight="1">
      <c r="A216" t="inlineStr">
        <is>
          <t>A 3984-2020</t>
        </is>
      </c>
      <c r="B216" s="1" t="n">
        <v>43855</v>
      </c>
      <c r="C216" s="1" t="n">
        <v>45567</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6052-2020</t>
        </is>
      </c>
      <c r="B217" s="1" t="n">
        <v>43864</v>
      </c>
      <c r="C217" s="1" t="n">
        <v>45567</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6026-2020</t>
        </is>
      </c>
      <c r="B218" s="1" t="n">
        <v>43865</v>
      </c>
      <c r="C218" s="1" t="n">
        <v>45567</v>
      </c>
      <c r="D218" t="inlineStr">
        <is>
          <t>UPPSALA LÄN</t>
        </is>
      </c>
      <c r="E218" t="inlineStr">
        <is>
          <t>ÖSTHAMMAR</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6791-2020</t>
        </is>
      </c>
      <c r="B219" s="1" t="n">
        <v>43867</v>
      </c>
      <c r="C219" s="1" t="n">
        <v>45567</v>
      </c>
      <c r="D219" t="inlineStr">
        <is>
          <t>UPPSALA LÄN</t>
        </is>
      </c>
      <c r="E219" t="inlineStr">
        <is>
          <t>ÖSTHAMMAR</t>
        </is>
      </c>
      <c r="G219" t="n">
        <v>3</v>
      </c>
      <c r="H219" t="n">
        <v>0</v>
      </c>
      <c r="I219" t="n">
        <v>0</v>
      </c>
      <c r="J219" t="n">
        <v>0</v>
      </c>
      <c r="K219" t="n">
        <v>0</v>
      </c>
      <c r="L219" t="n">
        <v>0</v>
      </c>
      <c r="M219" t="n">
        <v>0</v>
      </c>
      <c r="N219" t="n">
        <v>0</v>
      </c>
      <c r="O219" t="n">
        <v>0</v>
      </c>
      <c r="P219" t="n">
        <v>0</v>
      </c>
      <c r="Q219" t="n">
        <v>0</v>
      </c>
      <c r="R219" s="2" t="inlineStr"/>
    </row>
    <row r="220" ht="15" customHeight="1">
      <c r="A220" t="inlineStr">
        <is>
          <t>A 7847-2020</t>
        </is>
      </c>
      <c r="B220" s="1" t="n">
        <v>43873</v>
      </c>
      <c r="C220" s="1" t="n">
        <v>45567</v>
      </c>
      <c r="D220" t="inlineStr">
        <is>
          <t>UPPSALA LÄN</t>
        </is>
      </c>
      <c r="E220" t="inlineStr">
        <is>
          <t>ÖSTHAMMAR</t>
        </is>
      </c>
      <c r="F220" t="inlineStr">
        <is>
          <t>Övriga Aktiebolag</t>
        </is>
      </c>
      <c r="G220" t="n">
        <v>15.3</v>
      </c>
      <c r="H220" t="n">
        <v>0</v>
      </c>
      <c r="I220" t="n">
        <v>0</v>
      </c>
      <c r="J220" t="n">
        <v>0</v>
      </c>
      <c r="K220" t="n">
        <v>0</v>
      </c>
      <c r="L220" t="n">
        <v>0</v>
      </c>
      <c r="M220" t="n">
        <v>0</v>
      </c>
      <c r="N220" t="n">
        <v>0</v>
      </c>
      <c r="O220" t="n">
        <v>0</v>
      </c>
      <c r="P220" t="n">
        <v>0</v>
      </c>
      <c r="Q220" t="n">
        <v>0</v>
      </c>
      <c r="R220" s="2" t="inlineStr"/>
    </row>
    <row r="221" ht="15" customHeight="1">
      <c r="A221" t="inlineStr">
        <is>
          <t>A 10008-2020</t>
        </is>
      </c>
      <c r="B221" s="1" t="n">
        <v>43882</v>
      </c>
      <c r="C221" s="1" t="n">
        <v>45567</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10345-2020</t>
        </is>
      </c>
      <c r="B222" s="1" t="n">
        <v>43885</v>
      </c>
      <c r="C222" s="1" t="n">
        <v>45567</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10347-2020</t>
        </is>
      </c>
      <c r="B223" s="1" t="n">
        <v>43885</v>
      </c>
      <c r="C223" s="1" t="n">
        <v>45567</v>
      </c>
      <c r="D223" t="inlineStr">
        <is>
          <t>UPPSALA LÄN</t>
        </is>
      </c>
      <c r="E223" t="inlineStr">
        <is>
          <t>ÖSTHAMMAR</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12080-2020</t>
        </is>
      </c>
      <c r="B224" s="1" t="n">
        <v>43895</v>
      </c>
      <c r="C224" s="1" t="n">
        <v>45567</v>
      </c>
      <c r="D224" t="inlineStr">
        <is>
          <t>UPPSALA LÄN</t>
        </is>
      </c>
      <c r="E224" t="inlineStr">
        <is>
          <t>ÖSTHAMMAR</t>
        </is>
      </c>
      <c r="F224" t="inlineStr">
        <is>
          <t>Övriga Aktiebolag</t>
        </is>
      </c>
      <c r="G224" t="n">
        <v>13.9</v>
      </c>
      <c r="H224" t="n">
        <v>0</v>
      </c>
      <c r="I224" t="n">
        <v>0</v>
      </c>
      <c r="J224" t="n">
        <v>0</v>
      </c>
      <c r="K224" t="n">
        <v>0</v>
      </c>
      <c r="L224" t="n">
        <v>0</v>
      </c>
      <c r="M224" t="n">
        <v>0</v>
      </c>
      <c r="N224" t="n">
        <v>0</v>
      </c>
      <c r="O224" t="n">
        <v>0</v>
      </c>
      <c r="P224" t="n">
        <v>0</v>
      </c>
      <c r="Q224" t="n">
        <v>0</v>
      </c>
      <c r="R224" s="2" t="inlineStr"/>
    </row>
    <row r="225" ht="15" customHeight="1">
      <c r="A225" t="inlineStr">
        <is>
          <t>A 13112-2020</t>
        </is>
      </c>
      <c r="B225" s="1" t="n">
        <v>43901</v>
      </c>
      <c r="C225" s="1" t="n">
        <v>45567</v>
      </c>
      <c r="D225" t="inlineStr">
        <is>
          <t>UPPSALA LÄN</t>
        </is>
      </c>
      <c r="E225" t="inlineStr">
        <is>
          <t>ÖSTHAMMAR</t>
        </is>
      </c>
      <c r="F225" t="inlineStr">
        <is>
          <t>Övriga Aktiebolag</t>
        </is>
      </c>
      <c r="G225" t="n">
        <v>6.5</v>
      </c>
      <c r="H225" t="n">
        <v>0</v>
      </c>
      <c r="I225" t="n">
        <v>0</v>
      </c>
      <c r="J225" t="n">
        <v>0</v>
      </c>
      <c r="K225" t="n">
        <v>0</v>
      </c>
      <c r="L225" t="n">
        <v>0</v>
      </c>
      <c r="M225" t="n">
        <v>0</v>
      </c>
      <c r="N225" t="n">
        <v>0</v>
      </c>
      <c r="O225" t="n">
        <v>0</v>
      </c>
      <c r="P225" t="n">
        <v>0</v>
      </c>
      <c r="Q225" t="n">
        <v>0</v>
      </c>
      <c r="R225" s="2" t="inlineStr"/>
    </row>
    <row r="226" ht="15" customHeight="1">
      <c r="A226" t="inlineStr">
        <is>
          <t>A 13310-2020</t>
        </is>
      </c>
      <c r="B226" s="1" t="n">
        <v>43902</v>
      </c>
      <c r="C226" s="1" t="n">
        <v>45567</v>
      </c>
      <c r="D226" t="inlineStr">
        <is>
          <t>UPPSALA LÄN</t>
        </is>
      </c>
      <c r="E226" t="inlineStr">
        <is>
          <t>ÖSTHAMMAR</t>
        </is>
      </c>
      <c r="F226" t="inlineStr">
        <is>
          <t>Bergvik skog öst AB</t>
        </is>
      </c>
      <c r="G226" t="n">
        <v>14.4</v>
      </c>
      <c r="H226" t="n">
        <v>0</v>
      </c>
      <c r="I226" t="n">
        <v>0</v>
      </c>
      <c r="J226" t="n">
        <v>0</v>
      </c>
      <c r="K226" t="n">
        <v>0</v>
      </c>
      <c r="L226" t="n">
        <v>0</v>
      </c>
      <c r="M226" t="n">
        <v>0</v>
      </c>
      <c r="N226" t="n">
        <v>0</v>
      </c>
      <c r="O226" t="n">
        <v>0</v>
      </c>
      <c r="P226" t="n">
        <v>0</v>
      </c>
      <c r="Q226" t="n">
        <v>0</v>
      </c>
      <c r="R226" s="2" t="inlineStr"/>
    </row>
    <row r="227" ht="15" customHeight="1">
      <c r="A227" t="inlineStr">
        <is>
          <t>A 13595-2020</t>
        </is>
      </c>
      <c r="B227" s="1" t="n">
        <v>43903</v>
      </c>
      <c r="C227" s="1" t="n">
        <v>45567</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13945-2020</t>
        </is>
      </c>
      <c r="B228" s="1" t="n">
        <v>43906</v>
      </c>
      <c r="C228" s="1" t="n">
        <v>45567</v>
      </c>
      <c r="D228" t="inlineStr">
        <is>
          <t>UPPSALA LÄN</t>
        </is>
      </c>
      <c r="E228" t="inlineStr">
        <is>
          <t>ÖSTHAMMAR</t>
        </is>
      </c>
      <c r="G228" t="n">
        <v>3.5</v>
      </c>
      <c r="H228" t="n">
        <v>0</v>
      </c>
      <c r="I228" t="n">
        <v>0</v>
      </c>
      <c r="J228" t="n">
        <v>0</v>
      </c>
      <c r="K228" t="n">
        <v>0</v>
      </c>
      <c r="L228" t="n">
        <v>0</v>
      </c>
      <c r="M228" t="n">
        <v>0</v>
      </c>
      <c r="N228" t="n">
        <v>0</v>
      </c>
      <c r="O228" t="n">
        <v>0</v>
      </c>
      <c r="P228" t="n">
        <v>0</v>
      </c>
      <c r="Q228" t="n">
        <v>0</v>
      </c>
      <c r="R228" s="2" t="inlineStr"/>
    </row>
    <row r="229" ht="15" customHeight="1">
      <c r="A229" t="inlineStr">
        <is>
          <t>A 14802-2020</t>
        </is>
      </c>
      <c r="B229" s="1" t="n">
        <v>43909</v>
      </c>
      <c r="C229" s="1" t="n">
        <v>45567</v>
      </c>
      <c r="D229" t="inlineStr">
        <is>
          <t>UPPSALA LÄN</t>
        </is>
      </c>
      <c r="E229" t="inlineStr">
        <is>
          <t>ÖSTHAMMAR</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14817-2020</t>
        </is>
      </c>
      <c r="B230" s="1" t="n">
        <v>43909</v>
      </c>
      <c r="C230" s="1" t="n">
        <v>45567</v>
      </c>
      <c r="D230" t="inlineStr">
        <is>
          <t>UPPSALA LÄN</t>
        </is>
      </c>
      <c r="E230" t="inlineStr">
        <is>
          <t>ÖSTHAMMAR</t>
        </is>
      </c>
      <c r="F230" t="inlineStr">
        <is>
          <t>Bergvik skog öst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15067-2020</t>
        </is>
      </c>
      <c r="B231" s="1" t="n">
        <v>43910</v>
      </c>
      <c r="C231" s="1" t="n">
        <v>45567</v>
      </c>
      <c r="D231" t="inlineStr">
        <is>
          <t>UPPSALA LÄN</t>
        </is>
      </c>
      <c r="E231" t="inlineStr">
        <is>
          <t>ÖSTHAMMAR</t>
        </is>
      </c>
      <c r="F231" t="inlineStr">
        <is>
          <t>Bergvik skog öst AB</t>
        </is>
      </c>
      <c r="G231" t="n">
        <v>20.5</v>
      </c>
      <c r="H231" t="n">
        <v>0</v>
      </c>
      <c r="I231" t="n">
        <v>0</v>
      </c>
      <c r="J231" t="n">
        <v>0</v>
      </c>
      <c r="K231" t="n">
        <v>0</v>
      </c>
      <c r="L231" t="n">
        <v>0</v>
      </c>
      <c r="M231" t="n">
        <v>0</v>
      </c>
      <c r="N231" t="n">
        <v>0</v>
      </c>
      <c r="O231" t="n">
        <v>0</v>
      </c>
      <c r="P231" t="n">
        <v>0</v>
      </c>
      <c r="Q231" t="n">
        <v>0</v>
      </c>
      <c r="R231" s="2" t="inlineStr"/>
    </row>
    <row r="232" ht="15" customHeight="1">
      <c r="A232" t="inlineStr">
        <is>
          <t>A 17549-2020</t>
        </is>
      </c>
      <c r="B232" s="1" t="n">
        <v>43920</v>
      </c>
      <c r="C232" s="1" t="n">
        <v>45567</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19556-2020</t>
        </is>
      </c>
      <c r="B233" s="1" t="n">
        <v>43936</v>
      </c>
      <c r="C233" s="1" t="n">
        <v>45567</v>
      </c>
      <c r="D233" t="inlineStr">
        <is>
          <t>UPPSALA LÄN</t>
        </is>
      </c>
      <c r="E233" t="inlineStr">
        <is>
          <t>ÖSTHAMMAR</t>
        </is>
      </c>
      <c r="G233" t="n">
        <v>6.3</v>
      </c>
      <c r="H233" t="n">
        <v>0</v>
      </c>
      <c r="I233" t="n">
        <v>0</v>
      </c>
      <c r="J233" t="n">
        <v>0</v>
      </c>
      <c r="K233" t="n">
        <v>0</v>
      </c>
      <c r="L233" t="n">
        <v>0</v>
      </c>
      <c r="M233" t="n">
        <v>0</v>
      </c>
      <c r="N233" t="n">
        <v>0</v>
      </c>
      <c r="O233" t="n">
        <v>0</v>
      </c>
      <c r="P233" t="n">
        <v>0</v>
      </c>
      <c r="Q233" t="n">
        <v>0</v>
      </c>
      <c r="R233" s="2" t="inlineStr"/>
    </row>
    <row r="234" ht="15" customHeight="1">
      <c r="A234" t="inlineStr">
        <is>
          <t>A 23621-2020</t>
        </is>
      </c>
      <c r="B234" s="1" t="n">
        <v>43969</v>
      </c>
      <c r="C234" s="1" t="n">
        <v>45567</v>
      </c>
      <c r="D234" t="inlineStr">
        <is>
          <t>UPPSALA LÄN</t>
        </is>
      </c>
      <c r="E234" t="inlineStr">
        <is>
          <t>ÖSTHAMMAR</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26198-2020</t>
        </is>
      </c>
      <c r="B235" s="1" t="n">
        <v>43986</v>
      </c>
      <c r="C235" s="1" t="n">
        <v>45567</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30338-2020</t>
        </is>
      </c>
      <c r="B236" s="1" t="n">
        <v>44007</v>
      </c>
      <c r="C236" s="1" t="n">
        <v>45567</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30419-2020</t>
        </is>
      </c>
      <c r="B237" s="1" t="n">
        <v>44007</v>
      </c>
      <c r="C237" s="1" t="n">
        <v>45567</v>
      </c>
      <c r="D237" t="inlineStr">
        <is>
          <t>UPPSALA LÄN</t>
        </is>
      </c>
      <c r="E237" t="inlineStr">
        <is>
          <t>ÖSTHAMMAR</t>
        </is>
      </c>
      <c r="G237" t="n">
        <v>5.6</v>
      </c>
      <c r="H237" t="n">
        <v>0</v>
      </c>
      <c r="I237" t="n">
        <v>0</v>
      </c>
      <c r="J237" t="n">
        <v>0</v>
      </c>
      <c r="K237" t="n">
        <v>0</v>
      </c>
      <c r="L237" t="n">
        <v>0</v>
      </c>
      <c r="M237" t="n">
        <v>0</v>
      </c>
      <c r="N237" t="n">
        <v>0</v>
      </c>
      <c r="O237" t="n">
        <v>0</v>
      </c>
      <c r="P237" t="n">
        <v>0</v>
      </c>
      <c r="Q237" t="n">
        <v>0</v>
      </c>
      <c r="R237" s="2" t="inlineStr"/>
    </row>
    <row r="238" ht="15" customHeight="1">
      <c r="A238" t="inlineStr">
        <is>
          <t>A 32192-2020</t>
        </is>
      </c>
      <c r="B238" s="1" t="n">
        <v>44015</v>
      </c>
      <c r="C238" s="1" t="n">
        <v>45567</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33098-2020</t>
        </is>
      </c>
      <c r="B239" s="1" t="n">
        <v>44021</v>
      </c>
      <c r="C239" s="1" t="n">
        <v>45567</v>
      </c>
      <c r="D239" t="inlineStr">
        <is>
          <t>UPPSALA LÄN</t>
        </is>
      </c>
      <c r="E239" t="inlineStr">
        <is>
          <t>ÖSTHAMMAR</t>
        </is>
      </c>
      <c r="G239" t="n">
        <v>3.8</v>
      </c>
      <c r="H239" t="n">
        <v>0</v>
      </c>
      <c r="I239" t="n">
        <v>0</v>
      </c>
      <c r="J239" t="n">
        <v>0</v>
      </c>
      <c r="K239" t="n">
        <v>0</v>
      </c>
      <c r="L239" t="n">
        <v>0</v>
      </c>
      <c r="M239" t="n">
        <v>0</v>
      </c>
      <c r="N239" t="n">
        <v>0</v>
      </c>
      <c r="O239" t="n">
        <v>0</v>
      </c>
      <c r="P239" t="n">
        <v>0</v>
      </c>
      <c r="Q239" t="n">
        <v>0</v>
      </c>
      <c r="R239" s="2" t="inlineStr"/>
    </row>
    <row r="240" ht="15" customHeight="1">
      <c r="A240" t="inlineStr">
        <is>
          <t>A 34943-2020</t>
        </is>
      </c>
      <c r="B240" s="1" t="n">
        <v>44038</v>
      </c>
      <c r="C240" s="1" t="n">
        <v>45567</v>
      </c>
      <c r="D240" t="inlineStr">
        <is>
          <t>UPPSALA LÄN</t>
        </is>
      </c>
      <c r="E240" t="inlineStr">
        <is>
          <t>ÖSTHAMMAR</t>
        </is>
      </c>
      <c r="F240" t="inlineStr">
        <is>
          <t>Bergvik skog öst AB</t>
        </is>
      </c>
      <c r="G240" t="n">
        <v>4.2</v>
      </c>
      <c r="H240" t="n">
        <v>0</v>
      </c>
      <c r="I240" t="n">
        <v>0</v>
      </c>
      <c r="J240" t="n">
        <v>0</v>
      </c>
      <c r="K240" t="n">
        <v>0</v>
      </c>
      <c r="L240" t="n">
        <v>0</v>
      </c>
      <c r="M240" t="n">
        <v>0</v>
      </c>
      <c r="N240" t="n">
        <v>0</v>
      </c>
      <c r="O240" t="n">
        <v>0</v>
      </c>
      <c r="P240" t="n">
        <v>0</v>
      </c>
      <c r="Q240" t="n">
        <v>0</v>
      </c>
      <c r="R240" s="2" t="inlineStr"/>
    </row>
    <row r="241" ht="15" customHeight="1">
      <c r="A241" t="inlineStr">
        <is>
          <t>A 34941-2020</t>
        </is>
      </c>
      <c r="B241" s="1" t="n">
        <v>44038</v>
      </c>
      <c r="C241" s="1" t="n">
        <v>45567</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34940-2020</t>
        </is>
      </c>
      <c r="B242" s="1" t="n">
        <v>44038</v>
      </c>
      <c r="C242" s="1" t="n">
        <v>45567</v>
      </c>
      <c r="D242" t="inlineStr">
        <is>
          <t>UPPSALA LÄN</t>
        </is>
      </c>
      <c r="E242" t="inlineStr">
        <is>
          <t>ÖSTHAMMAR</t>
        </is>
      </c>
      <c r="F242" t="inlineStr">
        <is>
          <t>Bergvik skog öst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35094-2020</t>
        </is>
      </c>
      <c r="B243" s="1" t="n">
        <v>44040</v>
      </c>
      <c r="C243" s="1" t="n">
        <v>45567</v>
      </c>
      <c r="D243" t="inlineStr">
        <is>
          <t>UPPSALA LÄN</t>
        </is>
      </c>
      <c r="E243" t="inlineStr">
        <is>
          <t>ÖSTHAMMAR</t>
        </is>
      </c>
      <c r="F243" t="inlineStr">
        <is>
          <t>Bergvik skog öst AB</t>
        </is>
      </c>
      <c r="G243" t="n">
        <v>14.5</v>
      </c>
      <c r="H243" t="n">
        <v>0</v>
      </c>
      <c r="I243" t="n">
        <v>0</v>
      </c>
      <c r="J243" t="n">
        <v>0</v>
      </c>
      <c r="K243" t="n">
        <v>0</v>
      </c>
      <c r="L243" t="n">
        <v>0</v>
      </c>
      <c r="M243" t="n">
        <v>0</v>
      </c>
      <c r="N243" t="n">
        <v>0</v>
      </c>
      <c r="O243" t="n">
        <v>0</v>
      </c>
      <c r="P243" t="n">
        <v>0</v>
      </c>
      <c r="Q243" t="n">
        <v>0</v>
      </c>
      <c r="R243" s="2" t="inlineStr"/>
    </row>
    <row r="244" ht="15" customHeight="1">
      <c r="A244" t="inlineStr">
        <is>
          <t>A 35096-2020</t>
        </is>
      </c>
      <c r="B244" s="1" t="n">
        <v>44040</v>
      </c>
      <c r="C244" s="1" t="n">
        <v>45567</v>
      </c>
      <c r="D244" t="inlineStr">
        <is>
          <t>UPPSALA LÄN</t>
        </is>
      </c>
      <c r="E244" t="inlineStr">
        <is>
          <t>ÖSTHAMMAR</t>
        </is>
      </c>
      <c r="F244" t="inlineStr">
        <is>
          <t>Bergvik skog öst AB</t>
        </is>
      </c>
      <c r="G244" t="n">
        <v>7.6</v>
      </c>
      <c r="H244" t="n">
        <v>0</v>
      </c>
      <c r="I244" t="n">
        <v>0</v>
      </c>
      <c r="J244" t="n">
        <v>0</v>
      </c>
      <c r="K244" t="n">
        <v>0</v>
      </c>
      <c r="L244" t="n">
        <v>0</v>
      </c>
      <c r="M244" t="n">
        <v>0</v>
      </c>
      <c r="N244" t="n">
        <v>0</v>
      </c>
      <c r="O244" t="n">
        <v>0</v>
      </c>
      <c r="P244" t="n">
        <v>0</v>
      </c>
      <c r="Q244" t="n">
        <v>0</v>
      </c>
      <c r="R244" s="2" t="inlineStr"/>
    </row>
    <row r="245" ht="15" customHeight="1">
      <c r="A245" t="inlineStr">
        <is>
          <t>A 38285-2020</t>
        </is>
      </c>
      <c r="B245" s="1" t="n">
        <v>44060</v>
      </c>
      <c r="C245" s="1" t="n">
        <v>45567</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38630-2020</t>
        </is>
      </c>
      <c r="B246" s="1" t="n">
        <v>44061</v>
      </c>
      <c r="C246" s="1" t="n">
        <v>45567</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39640-2020</t>
        </is>
      </c>
      <c r="B247" s="1" t="n">
        <v>44064</v>
      </c>
      <c r="C247" s="1" t="n">
        <v>45567</v>
      </c>
      <c r="D247" t="inlineStr">
        <is>
          <t>UPPSALA LÄN</t>
        </is>
      </c>
      <c r="E247" t="inlineStr">
        <is>
          <t>ÖSTHAMMAR</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41849-2020</t>
        </is>
      </c>
      <c r="B248" s="1" t="n">
        <v>44074</v>
      </c>
      <c r="C248" s="1" t="n">
        <v>45567</v>
      </c>
      <c r="D248" t="inlineStr">
        <is>
          <t>UPPSALA LÄN</t>
        </is>
      </c>
      <c r="E248" t="inlineStr">
        <is>
          <t>ÖSTHAMMAR</t>
        </is>
      </c>
      <c r="F248" t="inlineStr">
        <is>
          <t>Bergvik skog öst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42549-2020</t>
        </is>
      </c>
      <c r="B249" s="1" t="n">
        <v>44077</v>
      </c>
      <c r="C249" s="1" t="n">
        <v>45567</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46311-2020</t>
        </is>
      </c>
      <c r="B250" s="1" t="n">
        <v>44092</v>
      </c>
      <c r="C250" s="1" t="n">
        <v>45567</v>
      </c>
      <c r="D250" t="inlineStr">
        <is>
          <t>UPPSALA LÄN</t>
        </is>
      </c>
      <c r="E250" t="inlineStr">
        <is>
          <t>ÖSTHAMMAR</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46423-2020</t>
        </is>
      </c>
      <c r="B251" s="1" t="n">
        <v>44095</v>
      </c>
      <c r="C251" s="1" t="n">
        <v>45567</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47481-2020</t>
        </is>
      </c>
      <c r="B252" s="1" t="n">
        <v>44098</v>
      </c>
      <c r="C252" s="1" t="n">
        <v>45567</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49206-2020</t>
        </is>
      </c>
      <c r="B253" s="1" t="n">
        <v>44105</v>
      </c>
      <c r="C253" s="1" t="n">
        <v>45567</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49336-2020</t>
        </is>
      </c>
      <c r="B254" s="1" t="n">
        <v>44105</v>
      </c>
      <c r="C254" s="1" t="n">
        <v>45567</v>
      </c>
      <c r="D254" t="inlineStr">
        <is>
          <t>UPPSALA LÄN</t>
        </is>
      </c>
      <c r="E254" t="inlineStr">
        <is>
          <t>ÖSTHAMMAR</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52432-2020</t>
        </is>
      </c>
      <c r="B255" s="1" t="n">
        <v>44118</v>
      </c>
      <c r="C255" s="1" t="n">
        <v>45567</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52434-2020</t>
        </is>
      </c>
      <c r="B256" s="1" t="n">
        <v>44118</v>
      </c>
      <c r="C256" s="1" t="n">
        <v>45567</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53137-2020</t>
        </is>
      </c>
      <c r="B257" s="1" t="n">
        <v>44120</v>
      </c>
      <c r="C257" s="1" t="n">
        <v>45567</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55389-2020</t>
        </is>
      </c>
      <c r="B258" s="1" t="n">
        <v>44131</v>
      </c>
      <c r="C258" s="1" t="n">
        <v>45567</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56041-2020</t>
        </is>
      </c>
      <c r="B259" s="1" t="n">
        <v>44133</v>
      </c>
      <c r="C259" s="1" t="n">
        <v>45567</v>
      </c>
      <c r="D259" t="inlineStr">
        <is>
          <t>UPPSALA LÄN</t>
        </is>
      </c>
      <c r="E259" t="inlineStr">
        <is>
          <t>ÖSTHAMMAR</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56079-2020</t>
        </is>
      </c>
      <c r="B260" s="1" t="n">
        <v>44133</v>
      </c>
      <c r="C260" s="1" t="n">
        <v>45567</v>
      </c>
      <c r="D260" t="inlineStr">
        <is>
          <t>UPPSALA LÄN</t>
        </is>
      </c>
      <c r="E260" t="inlineStr">
        <is>
          <t>ÖSTHAMMAR</t>
        </is>
      </c>
      <c r="F260" t="inlineStr">
        <is>
          <t>Bergvik skog öst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56089-2020</t>
        </is>
      </c>
      <c r="B261" s="1" t="n">
        <v>44133</v>
      </c>
      <c r="C261" s="1" t="n">
        <v>45567</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57408-2020</t>
        </is>
      </c>
      <c r="B262" s="1" t="n">
        <v>44140</v>
      </c>
      <c r="C262" s="1" t="n">
        <v>45567</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59432-2020</t>
        </is>
      </c>
      <c r="B263" s="1" t="n">
        <v>44148</v>
      </c>
      <c r="C263" s="1" t="n">
        <v>45567</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59414-2020</t>
        </is>
      </c>
      <c r="B264" s="1" t="n">
        <v>44148</v>
      </c>
      <c r="C264" s="1" t="n">
        <v>45567</v>
      </c>
      <c r="D264" t="inlineStr">
        <is>
          <t>UPPSALA LÄN</t>
        </is>
      </c>
      <c r="E264" t="inlineStr">
        <is>
          <t>ÖSTHAMMAR</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59417-2020</t>
        </is>
      </c>
      <c r="B265" s="1" t="n">
        <v>44148</v>
      </c>
      <c r="C265" s="1" t="n">
        <v>45567</v>
      </c>
      <c r="D265" t="inlineStr">
        <is>
          <t>UPPSALA LÄN</t>
        </is>
      </c>
      <c r="E265" t="inlineStr">
        <is>
          <t>ÖSTHAMMAR</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59714-2020</t>
        </is>
      </c>
      <c r="B266" s="1" t="n">
        <v>44151</v>
      </c>
      <c r="C266" s="1" t="n">
        <v>45567</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45567</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61193-2020</t>
        </is>
      </c>
      <c r="B268" s="1" t="n">
        <v>44155</v>
      </c>
      <c r="C268" s="1" t="n">
        <v>45567</v>
      </c>
      <c r="D268" t="inlineStr">
        <is>
          <t>UPPSALA LÄN</t>
        </is>
      </c>
      <c r="E268" t="inlineStr">
        <is>
          <t>ÖSTHAMMAR</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62484-2020</t>
        </is>
      </c>
      <c r="B269" s="1" t="n">
        <v>44160</v>
      </c>
      <c r="C269" s="1" t="n">
        <v>45567</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63637-2020</t>
        </is>
      </c>
      <c r="B270" s="1" t="n">
        <v>44162</v>
      </c>
      <c r="C270" s="1" t="n">
        <v>45567</v>
      </c>
      <c r="D270" t="inlineStr">
        <is>
          <t>UPPSALA LÄN</t>
        </is>
      </c>
      <c r="E270" t="inlineStr">
        <is>
          <t>ÖSTHAMMAR</t>
        </is>
      </c>
      <c r="G270" t="n">
        <v>4</v>
      </c>
      <c r="H270" t="n">
        <v>0</v>
      </c>
      <c r="I270" t="n">
        <v>0</v>
      </c>
      <c r="J270" t="n">
        <v>0</v>
      </c>
      <c r="K270" t="n">
        <v>0</v>
      </c>
      <c r="L270" t="n">
        <v>0</v>
      </c>
      <c r="M270" t="n">
        <v>0</v>
      </c>
      <c r="N270" t="n">
        <v>0</v>
      </c>
      <c r="O270" t="n">
        <v>0</v>
      </c>
      <c r="P270" t="n">
        <v>0</v>
      </c>
      <c r="Q270" t="n">
        <v>0</v>
      </c>
      <c r="R270" s="2" t="inlineStr"/>
    </row>
    <row r="271" ht="15" customHeight="1">
      <c r="A271" t="inlineStr">
        <is>
          <t>A 63577-2020</t>
        </is>
      </c>
      <c r="B271" s="1" t="n">
        <v>44165</v>
      </c>
      <c r="C271" s="1" t="n">
        <v>45567</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63987-2020</t>
        </is>
      </c>
      <c r="B272" s="1" t="n">
        <v>44167</v>
      </c>
      <c r="C272" s="1" t="n">
        <v>45567</v>
      </c>
      <c r="D272" t="inlineStr">
        <is>
          <t>UPPSALA LÄN</t>
        </is>
      </c>
      <c r="E272" t="inlineStr">
        <is>
          <t>ÖSTHAMMAR</t>
        </is>
      </c>
      <c r="G272" t="n">
        <v>5.9</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45567</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68243-2020</t>
        </is>
      </c>
      <c r="B274" s="1" t="n">
        <v>44183</v>
      </c>
      <c r="C274" s="1" t="n">
        <v>45567</v>
      </c>
      <c r="D274" t="inlineStr">
        <is>
          <t>UPPSALA LÄN</t>
        </is>
      </c>
      <c r="E274" t="inlineStr">
        <is>
          <t>ÖSTHAMMAR</t>
        </is>
      </c>
      <c r="G274" t="n">
        <v>8.5</v>
      </c>
      <c r="H274" t="n">
        <v>0</v>
      </c>
      <c r="I274" t="n">
        <v>0</v>
      </c>
      <c r="J274" t="n">
        <v>0</v>
      </c>
      <c r="K274" t="n">
        <v>0</v>
      </c>
      <c r="L274" t="n">
        <v>0</v>
      </c>
      <c r="M274" t="n">
        <v>0</v>
      </c>
      <c r="N274" t="n">
        <v>0</v>
      </c>
      <c r="O274" t="n">
        <v>0</v>
      </c>
      <c r="P274" t="n">
        <v>0</v>
      </c>
      <c r="Q274" t="n">
        <v>0</v>
      </c>
      <c r="R274" s="2" t="inlineStr"/>
    </row>
    <row r="275" ht="15" customHeight="1">
      <c r="A275" t="inlineStr">
        <is>
          <t>A 68828-2020</t>
        </is>
      </c>
      <c r="B275" s="1" t="n">
        <v>44186</v>
      </c>
      <c r="C275" s="1" t="n">
        <v>45567</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69681-2020</t>
        </is>
      </c>
      <c r="B276" s="1" t="n">
        <v>44196</v>
      </c>
      <c r="C276" s="1" t="n">
        <v>45567</v>
      </c>
      <c r="D276" t="inlineStr">
        <is>
          <t>UPPSALA LÄN</t>
        </is>
      </c>
      <c r="E276" t="inlineStr">
        <is>
          <t>ÖSTHAMMAR</t>
        </is>
      </c>
      <c r="F276" t="inlineStr">
        <is>
          <t>Bergvik skog öst AB</t>
        </is>
      </c>
      <c r="G276" t="n">
        <v>21.9</v>
      </c>
      <c r="H276" t="n">
        <v>0</v>
      </c>
      <c r="I276" t="n">
        <v>0</v>
      </c>
      <c r="J276" t="n">
        <v>0</v>
      </c>
      <c r="K276" t="n">
        <v>0</v>
      </c>
      <c r="L276" t="n">
        <v>0</v>
      </c>
      <c r="M276" t="n">
        <v>0</v>
      </c>
      <c r="N276" t="n">
        <v>0</v>
      </c>
      <c r="O276" t="n">
        <v>0</v>
      </c>
      <c r="P276" t="n">
        <v>0</v>
      </c>
      <c r="Q276" t="n">
        <v>0</v>
      </c>
      <c r="R276" s="2" t="inlineStr"/>
    </row>
    <row r="277" ht="15" customHeight="1">
      <c r="A277" t="inlineStr">
        <is>
          <t>A 3693-2021</t>
        </is>
      </c>
      <c r="B277" s="1" t="n">
        <v>44221</v>
      </c>
      <c r="C277" s="1" t="n">
        <v>45567</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4151-2021</t>
        </is>
      </c>
      <c r="B278" s="1" t="n">
        <v>44221</v>
      </c>
      <c r="C278" s="1" t="n">
        <v>45567</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4590-2021</t>
        </is>
      </c>
      <c r="B279" s="1" t="n">
        <v>44224</v>
      </c>
      <c r="C279" s="1" t="n">
        <v>45567</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6221-2021</t>
        </is>
      </c>
      <c r="B280" s="1" t="n">
        <v>44235</v>
      </c>
      <c r="C280" s="1" t="n">
        <v>45567</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7113-2021</t>
        </is>
      </c>
      <c r="B281" s="1" t="n">
        <v>44238</v>
      </c>
      <c r="C281" s="1" t="n">
        <v>45567</v>
      </c>
      <c r="D281" t="inlineStr">
        <is>
          <t>UPPSALA LÄN</t>
        </is>
      </c>
      <c r="E281" t="inlineStr">
        <is>
          <t>ÖSTHAMMAR</t>
        </is>
      </c>
      <c r="F281" t="inlineStr">
        <is>
          <t>Bergvik skog öst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8009-2021</t>
        </is>
      </c>
      <c r="B282" s="1" t="n">
        <v>44243</v>
      </c>
      <c r="C282" s="1" t="n">
        <v>45567</v>
      </c>
      <c r="D282" t="inlineStr">
        <is>
          <t>UPPSALA LÄN</t>
        </is>
      </c>
      <c r="E282" t="inlineStr">
        <is>
          <t>ÖSTHAMMAR</t>
        </is>
      </c>
      <c r="G282" t="n">
        <v>9.9</v>
      </c>
      <c r="H282" t="n">
        <v>0</v>
      </c>
      <c r="I282" t="n">
        <v>0</v>
      </c>
      <c r="J282" t="n">
        <v>0</v>
      </c>
      <c r="K282" t="n">
        <v>0</v>
      </c>
      <c r="L282" t="n">
        <v>0</v>
      </c>
      <c r="M282" t="n">
        <v>0</v>
      </c>
      <c r="N282" t="n">
        <v>0</v>
      </c>
      <c r="O282" t="n">
        <v>0</v>
      </c>
      <c r="P282" t="n">
        <v>0</v>
      </c>
      <c r="Q282" t="n">
        <v>0</v>
      </c>
      <c r="R282" s="2" t="inlineStr"/>
    </row>
    <row r="283" ht="15" customHeight="1">
      <c r="A283" t="inlineStr">
        <is>
          <t>A 10316-2021</t>
        </is>
      </c>
      <c r="B283" s="1" t="n">
        <v>44257</v>
      </c>
      <c r="C283" s="1" t="n">
        <v>45567</v>
      </c>
      <c r="D283" t="inlineStr">
        <is>
          <t>UPPSALA LÄN</t>
        </is>
      </c>
      <c r="E283" t="inlineStr">
        <is>
          <t>ÖSTHAMMAR</t>
        </is>
      </c>
      <c r="F283" t="inlineStr">
        <is>
          <t>Övriga Aktiebolag</t>
        </is>
      </c>
      <c r="G283" t="n">
        <v>3.3</v>
      </c>
      <c r="H283" t="n">
        <v>0</v>
      </c>
      <c r="I283" t="n">
        <v>0</v>
      </c>
      <c r="J283" t="n">
        <v>0</v>
      </c>
      <c r="K283" t="n">
        <v>0</v>
      </c>
      <c r="L283" t="n">
        <v>0</v>
      </c>
      <c r="M283" t="n">
        <v>0</v>
      </c>
      <c r="N283" t="n">
        <v>0</v>
      </c>
      <c r="O283" t="n">
        <v>0</v>
      </c>
      <c r="P283" t="n">
        <v>0</v>
      </c>
      <c r="Q283" t="n">
        <v>0</v>
      </c>
      <c r="R283" s="2" t="inlineStr"/>
    </row>
    <row r="284" ht="15" customHeight="1">
      <c r="A284" t="inlineStr">
        <is>
          <t>A 10498-2021</t>
        </is>
      </c>
      <c r="B284" s="1" t="n">
        <v>44258</v>
      </c>
      <c r="C284" s="1" t="n">
        <v>45567</v>
      </c>
      <c r="D284" t="inlineStr">
        <is>
          <t>UPPSALA LÄN</t>
        </is>
      </c>
      <c r="E284" t="inlineStr">
        <is>
          <t>ÖSTHAMMAR</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14248-2021</t>
        </is>
      </c>
      <c r="B285" s="1" t="n">
        <v>44278</v>
      </c>
      <c r="C285" s="1" t="n">
        <v>45567</v>
      </c>
      <c r="D285" t="inlineStr">
        <is>
          <t>UPPSALA LÄN</t>
        </is>
      </c>
      <c r="E285" t="inlineStr">
        <is>
          <t>ÖSTHAMMAR</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14525-2021</t>
        </is>
      </c>
      <c r="B286" s="1" t="n">
        <v>44279</v>
      </c>
      <c r="C286" s="1" t="n">
        <v>45567</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16212-2021</t>
        </is>
      </c>
      <c r="B287" s="1" t="n">
        <v>44287</v>
      </c>
      <c r="C287" s="1" t="n">
        <v>45567</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16209-2021</t>
        </is>
      </c>
      <c r="B288" s="1" t="n">
        <v>44287</v>
      </c>
      <c r="C288" s="1" t="n">
        <v>45567</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17009-2021</t>
        </is>
      </c>
      <c r="B289" s="1" t="n">
        <v>44295</v>
      </c>
      <c r="C289" s="1" t="n">
        <v>45567</v>
      </c>
      <c r="D289" t="inlineStr">
        <is>
          <t>UPPSALA LÄN</t>
        </is>
      </c>
      <c r="E289" t="inlineStr">
        <is>
          <t>ÖSTHAMMAR</t>
        </is>
      </c>
      <c r="F289" t="inlineStr">
        <is>
          <t>Bergvik skog öst AB</t>
        </is>
      </c>
      <c r="G289" t="n">
        <v>3.2</v>
      </c>
      <c r="H289" t="n">
        <v>0</v>
      </c>
      <c r="I289" t="n">
        <v>0</v>
      </c>
      <c r="J289" t="n">
        <v>0</v>
      </c>
      <c r="K289" t="n">
        <v>0</v>
      </c>
      <c r="L289" t="n">
        <v>0</v>
      </c>
      <c r="M289" t="n">
        <v>0</v>
      </c>
      <c r="N289" t="n">
        <v>0</v>
      </c>
      <c r="O289" t="n">
        <v>0</v>
      </c>
      <c r="P289" t="n">
        <v>0</v>
      </c>
      <c r="Q289" t="n">
        <v>0</v>
      </c>
      <c r="R289" s="2" t="inlineStr"/>
    </row>
    <row r="290" ht="15" customHeight="1">
      <c r="A290" t="inlineStr">
        <is>
          <t>A 17022-2021</t>
        </is>
      </c>
      <c r="B290" s="1" t="n">
        <v>44295</v>
      </c>
      <c r="C290" s="1" t="n">
        <v>45567</v>
      </c>
      <c r="D290" t="inlineStr">
        <is>
          <t>UPPSALA LÄN</t>
        </is>
      </c>
      <c r="E290" t="inlineStr">
        <is>
          <t>ÖSTHAMMAR</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17033-2021</t>
        </is>
      </c>
      <c r="B291" s="1" t="n">
        <v>44295</v>
      </c>
      <c r="C291" s="1" t="n">
        <v>45567</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17349-2021</t>
        </is>
      </c>
      <c r="B292" s="1" t="n">
        <v>44298</v>
      </c>
      <c r="C292" s="1" t="n">
        <v>45567</v>
      </c>
      <c r="D292" t="inlineStr">
        <is>
          <t>UPPSALA LÄN</t>
        </is>
      </c>
      <c r="E292" t="inlineStr">
        <is>
          <t>ÖSTHAMMAR</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18944-2021</t>
        </is>
      </c>
      <c r="B293" s="1" t="n">
        <v>44308</v>
      </c>
      <c r="C293" s="1" t="n">
        <v>45567</v>
      </c>
      <c r="D293" t="inlineStr">
        <is>
          <t>UPPSALA LÄN</t>
        </is>
      </c>
      <c r="E293" t="inlineStr">
        <is>
          <t>ÖSTHAMMAR</t>
        </is>
      </c>
      <c r="F293" t="inlineStr">
        <is>
          <t>Bergvik skog öst AB</t>
        </is>
      </c>
      <c r="G293" t="n">
        <v>12.5</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45567</v>
      </c>
      <c r="D294" t="inlineStr">
        <is>
          <t>UPPSALA LÄN</t>
        </is>
      </c>
      <c r="E294" t="inlineStr">
        <is>
          <t>ÖSTHAMMAR</t>
        </is>
      </c>
      <c r="G294" t="n">
        <v>7.8</v>
      </c>
      <c r="H294" t="n">
        <v>0</v>
      </c>
      <c r="I294" t="n">
        <v>0</v>
      </c>
      <c r="J294" t="n">
        <v>0</v>
      </c>
      <c r="K294" t="n">
        <v>0</v>
      </c>
      <c r="L294" t="n">
        <v>0</v>
      </c>
      <c r="M294" t="n">
        <v>0</v>
      </c>
      <c r="N294" t="n">
        <v>0</v>
      </c>
      <c r="O294" t="n">
        <v>0</v>
      </c>
      <c r="P294" t="n">
        <v>0</v>
      </c>
      <c r="Q294" t="n">
        <v>0</v>
      </c>
      <c r="R294" s="2" t="inlineStr"/>
    </row>
    <row r="295" ht="15" customHeight="1">
      <c r="A295" t="inlineStr">
        <is>
          <t>A 20325-2021</t>
        </is>
      </c>
      <c r="B295" s="1" t="n">
        <v>44308</v>
      </c>
      <c r="C295" s="1" t="n">
        <v>45567</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45567</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v>
      </c>
      <c r="C297" s="1" t="n">
        <v>45567</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19552-2021</t>
        </is>
      </c>
      <c r="B298" s="1" t="n">
        <v>44312</v>
      </c>
      <c r="C298" s="1" t="n">
        <v>45567</v>
      </c>
      <c r="D298" t="inlineStr">
        <is>
          <t>UPPSALA LÄN</t>
        </is>
      </c>
      <c r="E298" t="inlineStr">
        <is>
          <t>ÖSTHAMMAR</t>
        </is>
      </c>
      <c r="G298" t="n">
        <v>4.5</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v>
      </c>
      <c r="C299" s="1" t="n">
        <v>45567</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23120-2021</t>
        </is>
      </c>
      <c r="B300" s="1" t="n">
        <v>44330</v>
      </c>
      <c r="C300" s="1" t="n">
        <v>45567</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24062-2021</t>
        </is>
      </c>
      <c r="B301" s="1" t="n">
        <v>44336</v>
      </c>
      <c r="C301" s="1" t="n">
        <v>45567</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24316-2021</t>
        </is>
      </c>
      <c r="B302" s="1" t="n">
        <v>44337</v>
      </c>
      <c r="C302" s="1" t="n">
        <v>45567</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v>
      </c>
      <c r="C303" s="1" t="n">
        <v>45567</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25378-2021</t>
        </is>
      </c>
      <c r="B304" s="1" t="n">
        <v>44342</v>
      </c>
      <c r="C304" s="1" t="n">
        <v>45567</v>
      </c>
      <c r="D304" t="inlineStr">
        <is>
          <t>UPPSALA LÄN</t>
        </is>
      </c>
      <c r="E304" t="inlineStr">
        <is>
          <t>ÖSTHAMMAR</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25395-2021</t>
        </is>
      </c>
      <c r="B305" s="1" t="n">
        <v>44342</v>
      </c>
      <c r="C305" s="1" t="n">
        <v>45567</v>
      </c>
      <c r="D305" t="inlineStr">
        <is>
          <t>UPPSALA LÄN</t>
        </is>
      </c>
      <c r="E305" t="inlineStr">
        <is>
          <t>ÖSTHAMMAR</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26257-2021</t>
        </is>
      </c>
      <c r="B306" s="1" t="n">
        <v>44347</v>
      </c>
      <c r="C306" s="1" t="n">
        <v>45567</v>
      </c>
      <c r="D306" t="inlineStr">
        <is>
          <t>UPPSALA LÄN</t>
        </is>
      </c>
      <c r="E306" t="inlineStr">
        <is>
          <t>ÖSTHAMMAR</t>
        </is>
      </c>
      <c r="G306" t="n">
        <v>3.2</v>
      </c>
      <c r="H306" t="n">
        <v>0</v>
      </c>
      <c r="I306" t="n">
        <v>0</v>
      </c>
      <c r="J306" t="n">
        <v>0</v>
      </c>
      <c r="K306" t="n">
        <v>0</v>
      </c>
      <c r="L306" t="n">
        <v>0</v>
      </c>
      <c r="M306" t="n">
        <v>0</v>
      </c>
      <c r="N306" t="n">
        <v>0</v>
      </c>
      <c r="O306" t="n">
        <v>0</v>
      </c>
      <c r="P306" t="n">
        <v>0</v>
      </c>
      <c r="Q306" t="n">
        <v>0</v>
      </c>
      <c r="R306" s="2" t="inlineStr"/>
    </row>
    <row r="307" ht="15" customHeight="1">
      <c r="A307" t="inlineStr">
        <is>
          <t>A 27939-2021</t>
        </is>
      </c>
      <c r="B307" s="1" t="n">
        <v>44354</v>
      </c>
      <c r="C307" s="1" t="n">
        <v>45567</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27940-2021</t>
        </is>
      </c>
      <c r="B308" s="1" t="n">
        <v>44354</v>
      </c>
      <c r="C308" s="1" t="n">
        <v>45567</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29282-2021</t>
        </is>
      </c>
      <c r="B309" s="1" t="n">
        <v>44361</v>
      </c>
      <c r="C309" s="1" t="n">
        <v>45567</v>
      </c>
      <c r="D309" t="inlineStr">
        <is>
          <t>UPPSALA LÄN</t>
        </is>
      </c>
      <c r="E309" t="inlineStr">
        <is>
          <t>ÖSTHAMMAR</t>
        </is>
      </c>
      <c r="G309" t="n">
        <v>2.4</v>
      </c>
      <c r="H309" t="n">
        <v>0</v>
      </c>
      <c r="I309" t="n">
        <v>0</v>
      </c>
      <c r="J309" t="n">
        <v>0</v>
      </c>
      <c r="K309" t="n">
        <v>0</v>
      </c>
      <c r="L309" t="n">
        <v>0</v>
      </c>
      <c r="M309" t="n">
        <v>0</v>
      </c>
      <c r="N309" t="n">
        <v>0</v>
      </c>
      <c r="O309" t="n">
        <v>0</v>
      </c>
      <c r="P309" t="n">
        <v>0</v>
      </c>
      <c r="Q309" t="n">
        <v>0</v>
      </c>
      <c r="R309" s="2" t="inlineStr"/>
    </row>
    <row r="310" ht="15" customHeight="1">
      <c r="A310" t="inlineStr">
        <is>
          <t>A 30927-2021</t>
        </is>
      </c>
      <c r="B310" s="1" t="n">
        <v>44365</v>
      </c>
      <c r="C310" s="1" t="n">
        <v>45567</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45567</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31263-2021</t>
        </is>
      </c>
      <c r="B312" s="1" t="n">
        <v>44368</v>
      </c>
      <c r="C312" s="1" t="n">
        <v>45567</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32244-2021</t>
        </is>
      </c>
      <c r="B313" s="1" t="n">
        <v>44371</v>
      </c>
      <c r="C313" s="1" t="n">
        <v>45567</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32939-2021</t>
        </is>
      </c>
      <c r="B314" s="1" t="n">
        <v>44376</v>
      </c>
      <c r="C314" s="1" t="n">
        <v>45567</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32948-2021</t>
        </is>
      </c>
      <c r="B315" s="1" t="n">
        <v>44376</v>
      </c>
      <c r="C315" s="1" t="n">
        <v>45567</v>
      </c>
      <c r="D315" t="inlineStr">
        <is>
          <t>UPPSALA LÄN</t>
        </is>
      </c>
      <c r="E315" t="inlineStr">
        <is>
          <t>ÖSTHAMMAR</t>
        </is>
      </c>
      <c r="F315" t="inlineStr">
        <is>
          <t>Bergvik skog öst AB</t>
        </is>
      </c>
      <c r="G315" t="n">
        <v>13.5</v>
      </c>
      <c r="H315" t="n">
        <v>0</v>
      </c>
      <c r="I315" t="n">
        <v>0</v>
      </c>
      <c r="J315" t="n">
        <v>0</v>
      </c>
      <c r="K315" t="n">
        <v>0</v>
      </c>
      <c r="L315" t="n">
        <v>0</v>
      </c>
      <c r="M315" t="n">
        <v>0</v>
      </c>
      <c r="N315" t="n">
        <v>0</v>
      </c>
      <c r="O315" t="n">
        <v>0</v>
      </c>
      <c r="P315" t="n">
        <v>0</v>
      </c>
      <c r="Q315" t="n">
        <v>0</v>
      </c>
      <c r="R315" s="2" t="inlineStr"/>
    </row>
    <row r="316" ht="15" customHeight="1">
      <c r="A316" t="inlineStr">
        <is>
          <t>A 33062-2021</t>
        </is>
      </c>
      <c r="B316" s="1" t="n">
        <v>44376</v>
      </c>
      <c r="C316" s="1" t="n">
        <v>45567</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33056-2021</t>
        </is>
      </c>
      <c r="B317" s="1" t="n">
        <v>44376</v>
      </c>
      <c r="C317" s="1" t="n">
        <v>45567</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33271-2021</t>
        </is>
      </c>
      <c r="B318" s="1" t="n">
        <v>44377</v>
      </c>
      <c r="C318" s="1" t="n">
        <v>45567</v>
      </c>
      <c r="D318" t="inlineStr">
        <is>
          <t>UPPSALA LÄN</t>
        </is>
      </c>
      <c r="E318" t="inlineStr">
        <is>
          <t>ÖSTHAMMAR</t>
        </is>
      </c>
      <c r="F318" t="inlineStr">
        <is>
          <t>Bergvik skog öst AB</t>
        </is>
      </c>
      <c r="G318" t="n">
        <v>3.9</v>
      </c>
      <c r="H318" t="n">
        <v>0</v>
      </c>
      <c r="I318" t="n">
        <v>0</v>
      </c>
      <c r="J318" t="n">
        <v>0</v>
      </c>
      <c r="K318" t="n">
        <v>0</v>
      </c>
      <c r="L318" t="n">
        <v>0</v>
      </c>
      <c r="M318" t="n">
        <v>0</v>
      </c>
      <c r="N318" t="n">
        <v>0</v>
      </c>
      <c r="O318" t="n">
        <v>0</v>
      </c>
      <c r="P318" t="n">
        <v>0</v>
      </c>
      <c r="Q318" t="n">
        <v>0</v>
      </c>
      <c r="R318" s="2" t="inlineStr"/>
    </row>
    <row r="319" ht="15" customHeight="1">
      <c r="A319" t="inlineStr">
        <is>
          <t>A 38411-2021</t>
        </is>
      </c>
      <c r="B319" s="1" t="n">
        <v>44406</v>
      </c>
      <c r="C319" s="1" t="n">
        <v>45567</v>
      </c>
      <c r="D319" t="inlineStr">
        <is>
          <t>UPPSALA LÄN</t>
        </is>
      </c>
      <c r="E319" t="inlineStr">
        <is>
          <t>ÖSTHAMMAR</t>
        </is>
      </c>
      <c r="F319" t="inlineStr">
        <is>
          <t>Bergvik skog öst AB</t>
        </is>
      </c>
      <c r="G319" t="n">
        <v>20.6</v>
      </c>
      <c r="H319" t="n">
        <v>0</v>
      </c>
      <c r="I319" t="n">
        <v>0</v>
      </c>
      <c r="J319" t="n">
        <v>0</v>
      </c>
      <c r="K319" t="n">
        <v>0</v>
      </c>
      <c r="L319" t="n">
        <v>0</v>
      </c>
      <c r="M319" t="n">
        <v>0</v>
      </c>
      <c r="N319" t="n">
        <v>0</v>
      </c>
      <c r="O319" t="n">
        <v>0</v>
      </c>
      <c r="P319" t="n">
        <v>0</v>
      </c>
      <c r="Q319" t="n">
        <v>0</v>
      </c>
      <c r="R319" s="2" t="inlineStr"/>
    </row>
    <row r="320" ht="15" customHeight="1">
      <c r="A320" t="inlineStr">
        <is>
          <t>A 40606-2021</t>
        </is>
      </c>
      <c r="B320" s="1" t="n">
        <v>44420</v>
      </c>
      <c r="C320" s="1" t="n">
        <v>45567</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41531-2021</t>
        </is>
      </c>
      <c r="B321" s="1" t="n">
        <v>44425</v>
      </c>
      <c r="C321" s="1" t="n">
        <v>45567</v>
      </c>
      <c r="D321" t="inlineStr">
        <is>
          <t>UPPSALA LÄN</t>
        </is>
      </c>
      <c r="E321" t="inlineStr">
        <is>
          <t>ÖSTHAMMAR</t>
        </is>
      </c>
      <c r="F321" t="inlineStr">
        <is>
          <t>Bergvik skog öst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41558-2021</t>
        </is>
      </c>
      <c r="B322" s="1" t="n">
        <v>44425</v>
      </c>
      <c r="C322" s="1" t="n">
        <v>45567</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41538-2021</t>
        </is>
      </c>
      <c r="B323" s="1" t="n">
        <v>44425</v>
      </c>
      <c r="C323" s="1" t="n">
        <v>45567</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41744-2021</t>
        </is>
      </c>
      <c r="B324" s="1" t="n">
        <v>44425</v>
      </c>
      <c r="C324" s="1" t="n">
        <v>45567</v>
      </c>
      <c r="D324" t="inlineStr">
        <is>
          <t>UPPSALA LÄN</t>
        </is>
      </c>
      <c r="E324" t="inlineStr">
        <is>
          <t>ÖSTHAMMAR</t>
        </is>
      </c>
      <c r="F324" t="inlineStr">
        <is>
          <t>Bergvik skog öst AB</t>
        </is>
      </c>
      <c r="G324" t="n">
        <v>2.7</v>
      </c>
      <c r="H324" t="n">
        <v>0</v>
      </c>
      <c r="I324" t="n">
        <v>0</v>
      </c>
      <c r="J324" t="n">
        <v>0</v>
      </c>
      <c r="K324" t="n">
        <v>0</v>
      </c>
      <c r="L324" t="n">
        <v>0</v>
      </c>
      <c r="M324" t="n">
        <v>0</v>
      </c>
      <c r="N324" t="n">
        <v>0</v>
      </c>
      <c r="O324" t="n">
        <v>0</v>
      </c>
      <c r="P324" t="n">
        <v>0</v>
      </c>
      <c r="Q324" t="n">
        <v>0</v>
      </c>
      <c r="R324" s="2" t="inlineStr"/>
    </row>
    <row r="325" ht="15" customHeight="1">
      <c r="A325" t="inlineStr">
        <is>
          <t>A 43469-2021</t>
        </is>
      </c>
      <c r="B325" s="1" t="n">
        <v>44432</v>
      </c>
      <c r="C325" s="1" t="n">
        <v>45567</v>
      </c>
      <c r="D325" t="inlineStr">
        <is>
          <t>UPPSALA LÄN</t>
        </is>
      </c>
      <c r="E325" t="inlineStr">
        <is>
          <t>ÖSTHAMMAR</t>
        </is>
      </c>
      <c r="G325" t="n">
        <v>3.9</v>
      </c>
      <c r="H325" t="n">
        <v>0</v>
      </c>
      <c r="I325" t="n">
        <v>0</v>
      </c>
      <c r="J325" t="n">
        <v>0</v>
      </c>
      <c r="K325" t="n">
        <v>0</v>
      </c>
      <c r="L325" t="n">
        <v>0</v>
      </c>
      <c r="M325" t="n">
        <v>0</v>
      </c>
      <c r="N325" t="n">
        <v>0</v>
      </c>
      <c r="O325" t="n">
        <v>0</v>
      </c>
      <c r="P325" t="n">
        <v>0</v>
      </c>
      <c r="Q325" t="n">
        <v>0</v>
      </c>
      <c r="R325" s="2" t="inlineStr"/>
    </row>
    <row r="326" ht="15" customHeight="1">
      <c r="A326" t="inlineStr">
        <is>
          <t>A 48308-2021</t>
        </is>
      </c>
      <c r="B326" s="1" t="n">
        <v>44450</v>
      </c>
      <c r="C326" s="1" t="n">
        <v>45567</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51010-2021</t>
        </is>
      </c>
      <c r="B327" s="1" t="n">
        <v>44460</v>
      </c>
      <c r="C327" s="1" t="n">
        <v>45567</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51412-2021</t>
        </is>
      </c>
      <c r="B328" s="1" t="n">
        <v>44461</v>
      </c>
      <c r="C328" s="1" t="n">
        <v>45567</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45567</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51612-2021</t>
        </is>
      </c>
      <c r="B330" s="1" t="n">
        <v>44462</v>
      </c>
      <c r="C330" s="1" t="n">
        <v>45567</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52659-2021</t>
        </is>
      </c>
      <c r="B331" s="1" t="n">
        <v>44466</v>
      </c>
      <c r="C331" s="1" t="n">
        <v>45567</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52544-2021</t>
        </is>
      </c>
      <c r="B332" s="1" t="n">
        <v>44466</v>
      </c>
      <c r="C332" s="1" t="n">
        <v>45567</v>
      </c>
      <c r="D332" t="inlineStr">
        <is>
          <t>UPPSALA LÄN</t>
        </is>
      </c>
      <c r="E332" t="inlineStr">
        <is>
          <t>ÖSTHAMMAR</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52898-2021</t>
        </is>
      </c>
      <c r="B333" s="1" t="n">
        <v>44467</v>
      </c>
      <c r="C333" s="1" t="n">
        <v>45567</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55646-2021</t>
        </is>
      </c>
      <c r="B334" s="1" t="n">
        <v>44476</v>
      </c>
      <c r="C334" s="1" t="n">
        <v>45567</v>
      </c>
      <c r="D334" t="inlineStr">
        <is>
          <t>UPPSALA LÄN</t>
        </is>
      </c>
      <c r="E334" t="inlineStr">
        <is>
          <t>ÖSTHAMMAR</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55872-2021</t>
        </is>
      </c>
      <c r="B335" s="1" t="n">
        <v>44476</v>
      </c>
      <c r="C335" s="1" t="n">
        <v>45567</v>
      </c>
      <c r="D335" t="inlineStr">
        <is>
          <t>UPPSALA LÄN</t>
        </is>
      </c>
      <c r="E335" t="inlineStr">
        <is>
          <t>ÖSTHAMMAR</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57003-2021</t>
        </is>
      </c>
      <c r="B336" s="1" t="n">
        <v>44482</v>
      </c>
      <c r="C336" s="1" t="n">
        <v>45567</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57080-2021</t>
        </is>
      </c>
      <c r="B337" s="1" t="n">
        <v>44482</v>
      </c>
      <c r="C337" s="1" t="n">
        <v>45567</v>
      </c>
      <c r="D337" t="inlineStr">
        <is>
          <t>UPPSALA LÄN</t>
        </is>
      </c>
      <c r="E337" t="inlineStr">
        <is>
          <t>ÖSTHAMMAR</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58334-2021</t>
        </is>
      </c>
      <c r="B338" s="1" t="n">
        <v>44488</v>
      </c>
      <c r="C338" s="1" t="n">
        <v>45567</v>
      </c>
      <c r="D338" t="inlineStr">
        <is>
          <t>UPPSALA LÄN</t>
        </is>
      </c>
      <c r="E338" t="inlineStr">
        <is>
          <t>ÖSTHAMMAR</t>
        </is>
      </c>
      <c r="G338" t="n">
        <v>5.7</v>
      </c>
      <c r="H338" t="n">
        <v>0</v>
      </c>
      <c r="I338" t="n">
        <v>0</v>
      </c>
      <c r="J338" t="n">
        <v>0</v>
      </c>
      <c r="K338" t="n">
        <v>0</v>
      </c>
      <c r="L338" t="n">
        <v>0</v>
      </c>
      <c r="M338" t="n">
        <v>0</v>
      </c>
      <c r="N338" t="n">
        <v>0</v>
      </c>
      <c r="O338" t="n">
        <v>0</v>
      </c>
      <c r="P338" t="n">
        <v>0</v>
      </c>
      <c r="Q338" t="n">
        <v>0</v>
      </c>
      <c r="R338" s="2" t="inlineStr"/>
    </row>
    <row r="339" ht="15" customHeight="1">
      <c r="A339" t="inlineStr">
        <is>
          <t>A 59360-2021</t>
        </is>
      </c>
      <c r="B339" s="1" t="n">
        <v>44491</v>
      </c>
      <c r="C339" s="1" t="n">
        <v>45567</v>
      </c>
      <c r="D339" t="inlineStr">
        <is>
          <t>UPPSALA LÄN</t>
        </is>
      </c>
      <c r="E339" t="inlineStr">
        <is>
          <t>ÖSTHAMMAR</t>
        </is>
      </c>
      <c r="F339" t="inlineStr">
        <is>
          <t>Bergvik skog öst AB</t>
        </is>
      </c>
      <c r="G339" t="n">
        <v>8</v>
      </c>
      <c r="H339" t="n">
        <v>0</v>
      </c>
      <c r="I339" t="n">
        <v>0</v>
      </c>
      <c r="J339" t="n">
        <v>0</v>
      </c>
      <c r="K339" t="n">
        <v>0</v>
      </c>
      <c r="L339" t="n">
        <v>0</v>
      </c>
      <c r="M339" t="n">
        <v>0</v>
      </c>
      <c r="N339" t="n">
        <v>0</v>
      </c>
      <c r="O339" t="n">
        <v>0</v>
      </c>
      <c r="P339" t="n">
        <v>0</v>
      </c>
      <c r="Q339" t="n">
        <v>0</v>
      </c>
      <c r="R339" s="2" t="inlineStr"/>
    </row>
    <row r="340" ht="15" customHeight="1">
      <c r="A340" t="inlineStr">
        <is>
          <t>A 59498-2021</t>
        </is>
      </c>
      <c r="B340" s="1" t="n">
        <v>44491</v>
      </c>
      <c r="C340" s="1" t="n">
        <v>45567</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60047-2021</t>
        </is>
      </c>
      <c r="B341" s="1" t="n">
        <v>44495</v>
      </c>
      <c r="C341" s="1" t="n">
        <v>45567</v>
      </c>
      <c r="D341" t="inlineStr">
        <is>
          <t>UPPSALA LÄN</t>
        </is>
      </c>
      <c r="E341" t="inlineStr">
        <is>
          <t>ÖSTHAMMAR</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v>
      </c>
      <c r="C342" s="1" t="n">
        <v>45567</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60584-2021</t>
        </is>
      </c>
      <c r="B343" s="1" t="n">
        <v>44496</v>
      </c>
      <c r="C343" s="1" t="n">
        <v>45567</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61746-2021</t>
        </is>
      </c>
      <c r="B344" s="1" t="n">
        <v>44498</v>
      </c>
      <c r="C344" s="1" t="n">
        <v>45567</v>
      </c>
      <c r="D344" t="inlineStr">
        <is>
          <t>UPPSALA LÄN</t>
        </is>
      </c>
      <c r="E344" t="inlineStr">
        <is>
          <t>ÖSTHAMMAR</t>
        </is>
      </c>
      <c r="G344" t="n">
        <v>5.6</v>
      </c>
      <c r="H344" t="n">
        <v>0</v>
      </c>
      <c r="I344" t="n">
        <v>0</v>
      </c>
      <c r="J344" t="n">
        <v>0</v>
      </c>
      <c r="K344" t="n">
        <v>0</v>
      </c>
      <c r="L344" t="n">
        <v>0</v>
      </c>
      <c r="M344" t="n">
        <v>0</v>
      </c>
      <c r="N344" t="n">
        <v>0</v>
      </c>
      <c r="O344" t="n">
        <v>0</v>
      </c>
      <c r="P344" t="n">
        <v>0</v>
      </c>
      <c r="Q344" t="n">
        <v>0</v>
      </c>
      <c r="R344" s="2" t="inlineStr"/>
    </row>
    <row r="345" ht="15" customHeight="1">
      <c r="A345" t="inlineStr">
        <is>
          <t>A 61555-2021</t>
        </is>
      </c>
      <c r="B345" s="1" t="n">
        <v>44501</v>
      </c>
      <c r="C345" s="1" t="n">
        <v>45567</v>
      </c>
      <c r="D345" t="inlineStr">
        <is>
          <t>UPPSALA LÄN</t>
        </is>
      </c>
      <c r="E345" t="inlineStr">
        <is>
          <t>ÖSTHAMMAR</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61560-2021</t>
        </is>
      </c>
      <c r="B346" s="1" t="n">
        <v>44501</v>
      </c>
      <c r="C346" s="1" t="n">
        <v>45567</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61817-2021</t>
        </is>
      </c>
      <c r="B347" s="1" t="n">
        <v>44501</v>
      </c>
      <c r="C347" s="1" t="n">
        <v>45567</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62854-2021</t>
        </is>
      </c>
      <c r="B348" s="1" t="n">
        <v>44504</v>
      </c>
      <c r="C348" s="1" t="n">
        <v>45567</v>
      </c>
      <c r="D348" t="inlineStr">
        <is>
          <t>UPPSALA LÄN</t>
        </is>
      </c>
      <c r="E348" t="inlineStr">
        <is>
          <t>ÖSTHAMMAR</t>
        </is>
      </c>
      <c r="F348" t="inlineStr">
        <is>
          <t>Bergvik skog öst AB</t>
        </is>
      </c>
      <c r="G348" t="n">
        <v>10.3</v>
      </c>
      <c r="H348" t="n">
        <v>0</v>
      </c>
      <c r="I348" t="n">
        <v>0</v>
      </c>
      <c r="J348" t="n">
        <v>0</v>
      </c>
      <c r="K348" t="n">
        <v>0</v>
      </c>
      <c r="L348" t="n">
        <v>0</v>
      </c>
      <c r="M348" t="n">
        <v>0</v>
      </c>
      <c r="N348" t="n">
        <v>0</v>
      </c>
      <c r="O348" t="n">
        <v>0</v>
      </c>
      <c r="P348" t="n">
        <v>0</v>
      </c>
      <c r="Q348" t="n">
        <v>0</v>
      </c>
      <c r="R348" s="2" t="inlineStr"/>
    </row>
    <row r="349" ht="15" customHeight="1">
      <c r="A349" t="inlineStr">
        <is>
          <t>A 62782-2021</t>
        </is>
      </c>
      <c r="B349" s="1" t="n">
        <v>44504</v>
      </c>
      <c r="C349" s="1" t="n">
        <v>45567</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45567</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64811-2021</t>
        </is>
      </c>
      <c r="B351" s="1" t="n">
        <v>44512</v>
      </c>
      <c r="C351" s="1" t="n">
        <v>45567</v>
      </c>
      <c r="D351" t="inlineStr">
        <is>
          <t>UPPSALA LÄN</t>
        </is>
      </c>
      <c r="E351" t="inlineStr">
        <is>
          <t>ÖSTHAMMAR</t>
        </is>
      </c>
      <c r="G351" t="n">
        <v>4.2</v>
      </c>
      <c r="H351" t="n">
        <v>0</v>
      </c>
      <c r="I351" t="n">
        <v>0</v>
      </c>
      <c r="J351" t="n">
        <v>0</v>
      </c>
      <c r="K351" t="n">
        <v>0</v>
      </c>
      <c r="L351" t="n">
        <v>0</v>
      </c>
      <c r="M351" t="n">
        <v>0</v>
      </c>
      <c r="N351" t="n">
        <v>0</v>
      </c>
      <c r="O351" t="n">
        <v>0</v>
      </c>
      <c r="P351" t="n">
        <v>0</v>
      </c>
      <c r="Q351" t="n">
        <v>0</v>
      </c>
      <c r="R351" s="2" t="inlineStr"/>
    </row>
    <row r="352" ht="15" customHeight="1">
      <c r="A352" t="inlineStr">
        <is>
          <t>A 64872-2021</t>
        </is>
      </c>
      <c r="B352" s="1" t="n">
        <v>44512</v>
      </c>
      <c r="C352" s="1" t="n">
        <v>45567</v>
      </c>
      <c r="D352" t="inlineStr">
        <is>
          <t>UPPSALA LÄN</t>
        </is>
      </c>
      <c r="E352" t="inlineStr">
        <is>
          <t>ÖSTHAMMAR</t>
        </is>
      </c>
      <c r="G352" t="n">
        <v>0.5</v>
      </c>
      <c r="H352" t="n">
        <v>0</v>
      </c>
      <c r="I352" t="n">
        <v>0</v>
      </c>
      <c r="J352" t="n">
        <v>0</v>
      </c>
      <c r="K352" t="n">
        <v>0</v>
      </c>
      <c r="L352" t="n">
        <v>0</v>
      </c>
      <c r="M352" t="n">
        <v>0</v>
      </c>
      <c r="N352" t="n">
        <v>0</v>
      </c>
      <c r="O352" t="n">
        <v>0</v>
      </c>
      <c r="P352" t="n">
        <v>0</v>
      </c>
      <c r="Q352" t="n">
        <v>0</v>
      </c>
      <c r="R352" s="2" t="inlineStr"/>
    </row>
    <row r="353" ht="15" customHeight="1">
      <c r="A353" t="inlineStr">
        <is>
          <t>A 64885-2021</t>
        </is>
      </c>
      <c r="B353" s="1" t="n">
        <v>44512</v>
      </c>
      <c r="C353" s="1" t="n">
        <v>45567</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45567</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65165-2021</t>
        </is>
      </c>
      <c r="B355" s="1" t="n">
        <v>44515</v>
      </c>
      <c r="C355" s="1" t="n">
        <v>45567</v>
      </c>
      <c r="D355" t="inlineStr">
        <is>
          <t>UPPSALA LÄN</t>
        </is>
      </c>
      <c r="E355" t="inlineStr">
        <is>
          <t>ÖSTHAMMAR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65104-2021</t>
        </is>
      </c>
      <c r="B356" s="1" t="n">
        <v>44515</v>
      </c>
      <c r="C356" s="1" t="n">
        <v>45567</v>
      </c>
      <c r="D356" t="inlineStr">
        <is>
          <t>UPPSALA LÄN</t>
        </is>
      </c>
      <c r="E356" t="inlineStr">
        <is>
          <t>ÖSTHAMMAR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65028-2021</t>
        </is>
      </c>
      <c r="B357" s="1" t="n">
        <v>44515</v>
      </c>
      <c r="C357" s="1" t="n">
        <v>45567</v>
      </c>
      <c r="D357" t="inlineStr">
        <is>
          <t>UPPSALA LÄN</t>
        </is>
      </c>
      <c r="E357" t="inlineStr">
        <is>
          <t>ÖSTHAMMAR</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66549-2021</t>
        </is>
      </c>
      <c r="B358" s="1" t="n">
        <v>44519</v>
      </c>
      <c r="C358" s="1" t="n">
        <v>45567</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v>
      </c>
      <c r="C359" s="1" t="n">
        <v>45567</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67033-2021</t>
        </is>
      </c>
      <c r="B360" s="1" t="n">
        <v>44522</v>
      </c>
      <c r="C360" s="1" t="n">
        <v>45567</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67030-2021</t>
        </is>
      </c>
      <c r="B361" s="1" t="n">
        <v>44522</v>
      </c>
      <c r="C361" s="1" t="n">
        <v>45567</v>
      </c>
      <c r="D361" t="inlineStr">
        <is>
          <t>UPPSALA LÄN</t>
        </is>
      </c>
      <c r="E361" t="inlineStr">
        <is>
          <t>ÖSTHAMMAR</t>
        </is>
      </c>
      <c r="G361" t="n">
        <v>8.6</v>
      </c>
      <c r="H361" t="n">
        <v>0</v>
      </c>
      <c r="I361" t="n">
        <v>0</v>
      </c>
      <c r="J361" t="n">
        <v>0</v>
      </c>
      <c r="K361" t="n">
        <v>0</v>
      </c>
      <c r="L361" t="n">
        <v>0</v>
      </c>
      <c r="M361" t="n">
        <v>0</v>
      </c>
      <c r="N361" t="n">
        <v>0</v>
      </c>
      <c r="O361" t="n">
        <v>0</v>
      </c>
      <c r="P361" t="n">
        <v>0</v>
      </c>
      <c r="Q361" t="n">
        <v>0</v>
      </c>
      <c r="R361" s="2" t="inlineStr"/>
    </row>
    <row r="362" ht="15" customHeight="1">
      <c r="A362" t="inlineStr">
        <is>
          <t>A 67151-2021</t>
        </is>
      </c>
      <c r="B362" s="1" t="n">
        <v>44523</v>
      </c>
      <c r="C362" s="1" t="n">
        <v>45567</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67199-2021</t>
        </is>
      </c>
      <c r="B363" s="1" t="n">
        <v>44523</v>
      </c>
      <c r="C363" s="1" t="n">
        <v>45567</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67217-2021</t>
        </is>
      </c>
      <c r="B364" s="1" t="n">
        <v>44523</v>
      </c>
      <c r="C364" s="1" t="n">
        <v>45567</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67859-2021</t>
        </is>
      </c>
      <c r="B365" s="1" t="n">
        <v>44525</v>
      </c>
      <c r="C365" s="1" t="n">
        <v>45567</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45567</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69505-2021</t>
        </is>
      </c>
      <c r="B367" s="1" t="n">
        <v>44531</v>
      </c>
      <c r="C367" s="1" t="n">
        <v>45567</v>
      </c>
      <c r="D367" t="inlineStr">
        <is>
          <t>UPPSALA LÄN</t>
        </is>
      </c>
      <c r="E367" t="inlineStr">
        <is>
          <t>ÖSTHAMMAR</t>
        </is>
      </c>
      <c r="F367" t="inlineStr">
        <is>
          <t>Bergvik skog öst AB</t>
        </is>
      </c>
      <c r="G367" t="n">
        <v>5.4</v>
      </c>
      <c r="H367" t="n">
        <v>0</v>
      </c>
      <c r="I367" t="n">
        <v>0</v>
      </c>
      <c r="J367" t="n">
        <v>0</v>
      </c>
      <c r="K367" t="n">
        <v>0</v>
      </c>
      <c r="L367" t="n">
        <v>0</v>
      </c>
      <c r="M367" t="n">
        <v>0</v>
      </c>
      <c r="N367" t="n">
        <v>0</v>
      </c>
      <c r="O367" t="n">
        <v>0</v>
      </c>
      <c r="P367" t="n">
        <v>0</v>
      </c>
      <c r="Q367" t="n">
        <v>0</v>
      </c>
      <c r="R367" s="2" t="inlineStr"/>
    </row>
    <row r="368" ht="15" customHeight="1">
      <c r="A368" t="inlineStr">
        <is>
          <t>A 69411-2021</t>
        </is>
      </c>
      <c r="B368" s="1" t="n">
        <v>44531</v>
      </c>
      <c r="C368" s="1" t="n">
        <v>45567</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69518-2021</t>
        </is>
      </c>
      <c r="B369" s="1" t="n">
        <v>44531</v>
      </c>
      <c r="C369" s="1" t="n">
        <v>45567</v>
      </c>
      <c r="D369" t="inlineStr">
        <is>
          <t>UPPSALA LÄN</t>
        </is>
      </c>
      <c r="E369" t="inlineStr">
        <is>
          <t>ÖSTHAMMAR</t>
        </is>
      </c>
      <c r="G369" t="n">
        <v>4.5</v>
      </c>
      <c r="H369" t="n">
        <v>0</v>
      </c>
      <c r="I369" t="n">
        <v>0</v>
      </c>
      <c r="J369" t="n">
        <v>0</v>
      </c>
      <c r="K369" t="n">
        <v>0</v>
      </c>
      <c r="L369" t="n">
        <v>0</v>
      </c>
      <c r="M369" t="n">
        <v>0</v>
      </c>
      <c r="N369" t="n">
        <v>0</v>
      </c>
      <c r="O369" t="n">
        <v>0</v>
      </c>
      <c r="P369" t="n">
        <v>0</v>
      </c>
      <c r="Q369" t="n">
        <v>0</v>
      </c>
      <c r="R369" s="2" t="inlineStr"/>
    </row>
    <row r="370" ht="15" customHeight="1">
      <c r="A370" t="inlineStr">
        <is>
          <t>A 70008-2021</t>
        </is>
      </c>
      <c r="B370" s="1" t="n">
        <v>44533</v>
      </c>
      <c r="C370" s="1" t="n">
        <v>45567</v>
      </c>
      <c r="D370" t="inlineStr">
        <is>
          <t>UPPSALA LÄN</t>
        </is>
      </c>
      <c r="E370" t="inlineStr">
        <is>
          <t>ÖSTHAMMAR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70408-2021</t>
        </is>
      </c>
      <c r="B371" s="1" t="n">
        <v>44536</v>
      </c>
      <c r="C371" s="1" t="n">
        <v>45567</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72627-2021</t>
        </is>
      </c>
      <c r="B372" s="1" t="n">
        <v>44546</v>
      </c>
      <c r="C372" s="1" t="n">
        <v>45567</v>
      </c>
      <c r="D372" t="inlineStr">
        <is>
          <t>UPPSALA LÄN</t>
        </is>
      </c>
      <c r="E372" t="inlineStr">
        <is>
          <t>ÖSTHAMMAR</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72637-2021</t>
        </is>
      </c>
      <c r="B373" s="1" t="n">
        <v>44546</v>
      </c>
      <c r="C373" s="1" t="n">
        <v>45567</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72969-2021</t>
        </is>
      </c>
      <c r="B374" s="1" t="n">
        <v>44548</v>
      </c>
      <c r="C374" s="1" t="n">
        <v>45567</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45567</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73592-2021</t>
        </is>
      </c>
      <c r="B376" s="1" t="n">
        <v>44552</v>
      </c>
      <c r="C376" s="1" t="n">
        <v>45567</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73965-2021</t>
        </is>
      </c>
      <c r="B377" s="1" t="n">
        <v>44553</v>
      </c>
      <c r="C377" s="1" t="n">
        <v>45567</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v>
      </c>
      <c r="C378" s="1" t="n">
        <v>45567</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73983-2021</t>
        </is>
      </c>
      <c r="B379" s="1" t="n">
        <v>44555</v>
      </c>
      <c r="C379" s="1" t="n">
        <v>45567</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v>
      </c>
      <c r="C380" s="1" t="n">
        <v>45567</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74467-2021</t>
        </is>
      </c>
      <c r="B381" s="1" t="n">
        <v>44560</v>
      </c>
      <c r="C381" s="1" t="n">
        <v>45567</v>
      </c>
      <c r="D381" t="inlineStr">
        <is>
          <t>UPPSALA LÄN</t>
        </is>
      </c>
      <c r="E381" t="inlineStr">
        <is>
          <t>ÖSTHAMMAR</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74428-2021</t>
        </is>
      </c>
      <c r="B382" s="1" t="n">
        <v>44560</v>
      </c>
      <c r="C382" s="1" t="n">
        <v>45567</v>
      </c>
      <c r="D382" t="inlineStr">
        <is>
          <t>UPPSALA LÄN</t>
        </is>
      </c>
      <c r="E382" t="inlineStr">
        <is>
          <t>ÖSTHAMMAR</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74436-2021</t>
        </is>
      </c>
      <c r="B383" s="1" t="n">
        <v>44560</v>
      </c>
      <c r="C383" s="1" t="n">
        <v>45567</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1238-2022</t>
        </is>
      </c>
      <c r="B384" s="1" t="n">
        <v>44572</v>
      </c>
      <c r="C384" s="1" t="n">
        <v>45567</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1609-2022</t>
        </is>
      </c>
      <c r="B385" s="1" t="n">
        <v>44573</v>
      </c>
      <c r="C385" s="1" t="n">
        <v>45567</v>
      </c>
      <c r="D385" t="inlineStr">
        <is>
          <t>UPPSALA LÄN</t>
        </is>
      </c>
      <c r="E385" t="inlineStr">
        <is>
          <t>ÖSTHAMMAR</t>
        </is>
      </c>
      <c r="G385" t="n">
        <v>5.3</v>
      </c>
      <c r="H385" t="n">
        <v>0</v>
      </c>
      <c r="I385" t="n">
        <v>0</v>
      </c>
      <c r="J385" t="n">
        <v>0</v>
      </c>
      <c r="K385" t="n">
        <v>0</v>
      </c>
      <c r="L385" t="n">
        <v>0</v>
      </c>
      <c r="M385" t="n">
        <v>0</v>
      </c>
      <c r="N385" t="n">
        <v>0</v>
      </c>
      <c r="O385" t="n">
        <v>0</v>
      </c>
      <c r="P385" t="n">
        <v>0</v>
      </c>
      <c r="Q385" t="n">
        <v>0</v>
      </c>
      <c r="R385" s="2" t="inlineStr"/>
    </row>
    <row r="386" ht="15" customHeight="1">
      <c r="A386" t="inlineStr">
        <is>
          <t>A 2085-2022</t>
        </is>
      </c>
      <c r="B386" s="1" t="n">
        <v>44576</v>
      </c>
      <c r="C386" s="1" t="n">
        <v>45567</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2108-2022</t>
        </is>
      </c>
      <c r="B387" s="1" t="n">
        <v>44577</v>
      </c>
      <c r="C387" s="1" t="n">
        <v>45567</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2168-2022</t>
        </is>
      </c>
      <c r="B388" s="1" t="n">
        <v>44578</v>
      </c>
      <c r="C388" s="1" t="n">
        <v>45567</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3638-2022</t>
        </is>
      </c>
      <c r="B389" s="1" t="n">
        <v>44578</v>
      </c>
      <c r="C389" s="1" t="n">
        <v>45567</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3725-2022</t>
        </is>
      </c>
      <c r="B390" s="1" t="n">
        <v>44586</v>
      </c>
      <c r="C390" s="1" t="n">
        <v>45567</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3732-2022</t>
        </is>
      </c>
      <c r="B391" s="1" t="n">
        <v>44586</v>
      </c>
      <c r="C391" s="1" t="n">
        <v>45567</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3740-2022</t>
        </is>
      </c>
      <c r="B392" s="1" t="n">
        <v>44586</v>
      </c>
      <c r="C392" s="1" t="n">
        <v>45567</v>
      </c>
      <c r="D392" t="inlineStr">
        <is>
          <t>UPPSALA LÄN</t>
        </is>
      </c>
      <c r="E392" t="inlineStr">
        <is>
          <t>ÖSTHAMMAR</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3991-2022</t>
        </is>
      </c>
      <c r="B393" s="1" t="n">
        <v>44587</v>
      </c>
      <c r="C393" s="1" t="n">
        <v>45567</v>
      </c>
      <c r="D393" t="inlineStr">
        <is>
          <t>UPPSALA LÄN</t>
        </is>
      </c>
      <c r="E393" t="inlineStr">
        <is>
          <t>ÖSTHAMMAR</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4101-2022</t>
        </is>
      </c>
      <c r="B394" s="1" t="n">
        <v>44588</v>
      </c>
      <c r="C394" s="1" t="n">
        <v>45567</v>
      </c>
      <c r="D394" t="inlineStr">
        <is>
          <t>UPPSALA LÄN</t>
        </is>
      </c>
      <c r="E394" t="inlineStr">
        <is>
          <t>ÖSTHAMMAR</t>
        </is>
      </c>
      <c r="G394" t="n">
        <v>4.4</v>
      </c>
      <c r="H394" t="n">
        <v>0</v>
      </c>
      <c r="I394" t="n">
        <v>0</v>
      </c>
      <c r="J394" t="n">
        <v>0</v>
      </c>
      <c r="K394" t="n">
        <v>0</v>
      </c>
      <c r="L394" t="n">
        <v>0</v>
      </c>
      <c r="M394" t="n">
        <v>0</v>
      </c>
      <c r="N394" t="n">
        <v>0</v>
      </c>
      <c r="O394" t="n">
        <v>0</v>
      </c>
      <c r="P394" t="n">
        <v>0</v>
      </c>
      <c r="Q394" t="n">
        <v>0</v>
      </c>
      <c r="R394" s="2" t="inlineStr"/>
    </row>
    <row r="395" ht="15" customHeight="1">
      <c r="A395" t="inlineStr">
        <is>
          <t>A 4318-2022</t>
        </is>
      </c>
      <c r="B395" s="1" t="n">
        <v>44588</v>
      </c>
      <c r="C395" s="1" t="n">
        <v>45567</v>
      </c>
      <c r="D395" t="inlineStr">
        <is>
          <t>UPPSALA LÄN</t>
        </is>
      </c>
      <c r="E395" t="inlineStr">
        <is>
          <t>ÖSTHAMMAR</t>
        </is>
      </c>
      <c r="F395" t="inlineStr">
        <is>
          <t>Bergvik skog öst AB</t>
        </is>
      </c>
      <c r="G395" t="n">
        <v>9.6</v>
      </c>
      <c r="H395" t="n">
        <v>0</v>
      </c>
      <c r="I395" t="n">
        <v>0</v>
      </c>
      <c r="J395" t="n">
        <v>0</v>
      </c>
      <c r="K395" t="n">
        <v>0</v>
      </c>
      <c r="L395" t="n">
        <v>0</v>
      </c>
      <c r="M395" t="n">
        <v>0</v>
      </c>
      <c r="N395" t="n">
        <v>0</v>
      </c>
      <c r="O395" t="n">
        <v>0</v>
      </c>
      <c r="P395" t="n">
        <v>0</v>
      </c>
      <c r="Q395" t="n">
        <v>0</v>
      </c>
      <c r="R395" s="2" t="inlineStr"/>
    </row>
    <row r="396" ht="15" customHeight="1">
      <c r="A396" t="inlineStr">
        <is>
          <t>A 4315-2022</t>
        </is>
      </c>
      <c r="B396" s="1" t="n">
        <v>44588</v>
      </c>
      <c r="C396" s="1" t="n">
        <v>45567</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4491-2022</t>
        </is>
      </c>
      <c r="B397" s="1" t="n">
        <v>44589</v>
      </c>
      <c r="C397" s="1" t="n">
        <v>45567</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4357-2022</t>
        </is>
      </c>
      <c r="B398" s="1" t="n">
        <v>44589</v>
      </c>
      <c r="C398" s="1" t="n">
        <v>45567</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4563-2022</t>
        </is>
      </c>
      <c r="B399" s="1" t="n">
        <v>44591</v>
      </c>
      <c r="C399" s="1" t="n">
        <v>45567</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4562-2022</t>
        </is>
      </c>
      <c r="B400" s="1" t="n">
        <v>44591</v>
      </c>
      <c r="C400" s="1" t="n">
        <v>45567</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4561-2022</t>
        </is>
      </c>
      <c r="B401" s="1" t="n">
        <v>44591</v>
      </c>
      <c r="C401" s="1" t="n">
        <v>45567</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4559-2022</t>
        </is>
      </c>
      <c r="B402" s="1" t="n">
        <v>44591</v>
      </c>
      <c r="C402" s="1" t="n">
        <v>45567</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4565-2022</t>
        </is>
      </c>
      <c r="B403" s="1" t="n">
        <v>44591</v>
      </c>
      <c r="C403" s="1" t="n">
        <v>45567</v>
      </c>
      <c r="D403" t="inlineStr">
        <is>
          <t>UPPSALA LÄN</t>
        </is>
      </c>
      <c r="E403" t="inlineStr">
        <is>
          <t>ÖSTHAMMAR</t>
        </is>
      </c>
      <c r="F403" t="inlineStr">
        <is>
          <t>Bergvik skog öst AB</t>
        </is>
      </c>
      <c r="G403" t="n">
        <v>5.3</v>
      </c>
      <c r="H403" t="n">
        <v>0</v>
      </c>
      <c r="I403" t="n">
        <v>0</v>
      </c>
      <c r="J403" t="n">
        <v>0</v>
      </c>
      <c r="K403" t="n">
        <v>0</v>
      </c>
      <c r="L403" t="n">
        <v>0</v>
      </c>
      <c r="M403" t="n">
        <v>0</v>
      </c>
      <c r="N403" t="n">
        <v>0</v>
      </c>
      <c r="O403" t="n">
        <v>0</v>
      </c>
      <c r="P403" t="n">
        <v>0</v>
      </c>
      <c r="Q403" t="n">
        <v>0</v>
      </c>
      <c r="R403" s="2" t="inlineStr"/>
    </row>
    <row r="404" ht="15" customHeight="1">
      <c r="A404" t="inlineStr">
        <is>
          <t>A 5855-2022</t>
        </is>
      </c>
      <c r="B404" s="1" t="n">
        <v>44596</v>
      </c>
      <c r="C404" s="1" t="n">
        <v>45567</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5974-2022</t>
        </is>
      </c>
      <c r="B405" s="1" t="n">
        <v>44597</v>
      </c>
      <c r="C405" s="1" t="n">
        <v>45567</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5933-2022</t>
        </is>
      </c>
      <c r="B406" s="1" t="n">
        <v>44598</v>
      </c>
      <c r="C406" s="1" t="n">
        <v>45567</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5934-2022</t>
        </is>
      </c>
      <c r="B407" s="1" t="n">
        <v>44598</v>
      </c>
      <c r="C407" s="1" t="n">
        <v>45567</v>
      </c>
      <c r="D407" t="inlineStr">
        <is>
          <t>UPPSALA LÄN</t>
        </is>
      </c>
      <c r="E407" t="inlineStr">
        <is>
          <t>ÖSTHAMMAR</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5932-2022</t>
        </is>
      </c>
      <c r="B408" s="1" t="n">
        <v>44598</v>
      </c>
      <c r="C408" s="1" t="n">
        <v>45567</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5931-2022</t>
        </is>
      </c>
      <c r="B409" s="1" t="n">
        <v>44598</v>
      </c>
      <c r="C409" s="1" t="n">
        <v>45567</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6143-2022</t>
        </is>
      </c>
      <c r="B410" s="1" t="n">
        <v>44599</v>
      </c>
      <c r="C410" s="1" t="n">
        <v>45567</v>
      </c>
      <c r="D410" t="inlineStr">
        <is>
          <t>UPPSALA LÄN</t>
        </is>
      </c>
      <c r="E410" t="inlineStr">
        <is>
          <t>ÖSTHAMMAR</t>
        </is>
      </c>
      <c r="G410" t="n">
        <v>3.4</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45567</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6206-2022</t>
        </is>
      </c>
      <c r="B412" s="1" t="n">
        <v>44600</v>
      </c>
      <c r="C412" s="1" t="n">
        <v>45567</v>
      </c>
      <c r="D412" t="inlineStr">
        <is>
          <t>UPPSALA LÄN</t>
        </is>
      </c>
      <c r="E412" t="inlineStr">
        <is>
          <t>ÖSTHAMMAR</t>
        </is>
      </c>
      <c r="G412" t="n">
        <v>7.4</v>
      </c>
      <c r="H412" t="n">
        <v>0</v>
      </c>
      <c r="I412" t="n">
        <v>0</v>
      </c>
      <c r="J412" t="n">
        <v>0</v>
      </c>
      <c r="K412" t="n">
        <v>0</v>
      </c>
      <c r="L412" t="n">
        <v>0</v>
      </c>
      <c r="M412" t="n">
        <v>0</v>
      </c>
      <c r="N412" t="n">
        <v>0</v>
      </c>
      <c r="O412" t="n">
        <v>0</v>
      </c>
      <c r="P412" t="n">
        <v>0</v>
      </c>
      <c r="Q412" t="n">
        <v>0</v>
      </c>
      <c r="R412" s="2" t="inlineStr"/>
    </row>
    <row r="413" ht="15" customHeight="1">
      <c r="A413" t="inlineStr">
        <is>
          <t>A 6313-2022</t>
        </is>
      </c>
      <c r="B413" s="1" t="n">
        <v>44600</v>
      </c>
      <c r="C413" s="1" t="n">
        <v>45567</v>
      </c>
      <c r="D413" t="inlineStr">
        <is>
          <t>UPPSALA LÄN</t>
        </is>
      </c>
      <c r="E413" t="inlineStr">
        <is>
          <t>ÖSTHAMMAR</t>
        </is>
      </c>
      <c r="G413" t="n">
        <v>4</v>
      </c>
      <c r="H413" t="n">
        <v>0</v>
      </c>
      <c r="I413" t="n">
        <v>0</v>
      </c>
      <c r="J413" t="n">
        <v>0</v>
      </c>
      <c r="K413" t="n">
        <v>0</v>
      </c>
      <c r="L413" t="n">
        <v>0</v>
      </c>
      <c r="M413" t="n">
        <v>0</v>
      </c>
      <c r="N413" t="n">
        <v>0</v>
      </c>
      <c r="O413" t="n">
        <v>0</v>
      </c>
      <c r="P413" t="n">
        <v>0</v>
      </c>
      <c r="Q413" t="n">
        <v>0</v>
      </c>
      <c r="R413" s="2" t="inlineStr"/>
    </row>
    <row r="414" ht="15" customHeight="1">
      <c r="A414" t="inlineStr">
        <is>
          <t>A 6892-2022</t>
        </is>
      </c>
      <c r="B414" s="1" t="n">
        <v>44602</v>
      </c>
      <c r="C414" s="1" t="n">
        <v>45567</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7181-2022</t>
        </is>
      </c>
      <c r="B415" s="1" t="n">
        <v>44605</v>
      </c>
      <c r="C415" s="1" t="n">
        <v>45567</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7302-2022</t>
        </is>
      </c>
      <c r="B416" s="1" t="n">
        <v>44606</v>
      </c>
      <c r="C416" s="1" t="n">
        <v>45567</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7475-2022</t>
        </is>
      </c>
      <c r="B417" s="1" t="n">
        <v>44607</v>
      </c>
      <c r="C417" s="1" t="n">
        <v>45567</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7488-2022</t>
        </is>
      </c>
      <c r="B418" s="1" t="n">
        <v>44607</v>
      </c>
      <c r="C418" s="1" t="n">
        <v>45567</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7858-2022</t>
        </is>
      </c>
      <c r="B419" s="1" t="n">
        <v>44608</v>
      </c>
      <c r="C419" s="1" t="n">
        <v>45567</v>
      </c>
      <c r="D419" t="inlineStr">
        <is>
          <t>UPPSALA LÄN</t>
        </is>
      </c>
      <c r="E419" t="inlineStr">
        <is>
          <t>ÖSTHAMMAR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7871-2022</t>
        </is>
      </c>
      <c r="B420" s="1" t="n">
        <v>44608</v>
      </c>
      <c r="C420" s="1" t="n">
        <v>45567</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45567</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8283-2022</t>
        </is>
      </c>
      <c r="B422" s="1" t="n">
        <v>44610</v>
      </c>
      <c r="C422" s="1" t="n">
        <v>45567</v>
      </c>
      <c r="D422" t="inlineStr">
        <is>
          <t>UPPSALA LÄN</t>
        </is>
      </c>
      <c r="E422" t="inlineStr">
        <is>
          <t>ÖSTHAMMAR</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45567</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8708-2022</t>
        </is>
      </c>
      <c r="B424" s="1" t="n">
        <v>44613</v>
      </c>
      <c r="C424" s="1" t="n">
        <v>45567</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8710-2022</t>
        </is>
      </c>
      <c r="B425" s="1" t="n">
        <v>44613</v>
      </c>
      <c r="C425" s="1" t="n">
        <v>45567</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8537-2022</t>
        </is>
      </c>
      <c r="B426" s="1" t="n">
        <v>44613</v>
      </c>
      <c r="C426" s="1" t="n">
        <v>45567</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8554-2022</t>
        </is>
      </c>
      <c r="B427" s="1" t="n">
        <v>44613</v>
      </c>
      <c r="C427" s="1" t="n">
        <v>45567</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8556-2022</t>
        </is>
      </c>
      <c r="B428" s="1" t="n">
        <v>44613</v>
      </c>
      <c r="C428" s="1" t="n">
        <v>45567</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45567</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8750-2022</t>
        </is>
      </c>
      <c r="B430" s="1" t="n">
        <v>44614</v>
      </c>
      <c r="C430" s="1" t="n">
        <v>45567</v>
      </c>
      <c r="D430" t="inlineStr">
        <is>
          <t>UPPSALA LÄN</t>
        </is>
      </c>
      <c r="E430" t="inlineStr">
        <is>
          <t>ÖSTHAMMAR</t>
        </is>
      </c>
      <c r="G430" t="n">
        <v>1.6</v>
      </c>
      <c r="H430" t="n">
        <v>0</v>
      </c>
      <c r="I430" t="n">
        <v>0</v>
      </c>
      <c r="J430" t="n">
        <v>0</v>
      </c>
      <c r="K430" t="n">
        <v>0</v>
      </c>
      <c r="L430" t="n">
        <v>0</v>
      </c>
      <c r="M430" t="n">
        <v>0</v>
      </c>
      <c r="N430" t="n">
        <v>0</v>
      </c>
      <c r="O430" t="n">
        <v>0</v>
      </c>
      <c r="P430" t="n">
        <v>0</v>
      </c>
      <c r="Q430" t="n">
        <v>0</v>
      </c>
      <c r="R430" s="2" t="inlineStr"/>
    </row>
    <row r="431" ht="15" customHeight="1">
      <c r="A431" t="inlineStr">
        <is>
          <t>A 9755-2022</t>
        </is>
      </c>
      <c r="B431" s="1" t="n">
        <v>44618</v>
      </c>
      <c r="C431" s="1" t="n">
        <v>45567</v>
      </c>
      <c r="D431" t="inlineStr">
        <is>
          <t>UPPSALA LÄN</t>
        </is>
      </c>
      <c r="E431" t="inlineStr">
        <is>
          <t>ÖSTHAMMAR</t>
        </is>
      </c>
      <c r="F431" t="inlineStr">
        <is>
          <t>Bergvik skog öst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9789-2022</t>
        </is>
      </c>
      <c r="B432" s="1" t="n">
        <v>44620</v>
      </c>
      <c r="C432" s="1" t="n">
        <v>45567</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9795-2022</t>
        </is>
      </c>
      <c r="B433" s="1" t="n">
        <v>44620</v>
      </c>
      <c r="C433" s="1" t="n">
        <v>45567</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45567</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10294-2022</t>
        </is>
      </c>
      <c r="B435" s="1" t="n">
        <v>44622</v>
      </c>
      <c r="C435" s="1" t="n">
        <v>45567</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10288-2022</t>
        </is>
      </c>
      <c r="B436" s="1" t="n">
        <v>44622</v>
      </c>
      <c r="C436" s="1" t="n">
        <v>45567</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10298-2022</t>
        </is>
      </c>
      <c r="B437" s="1" t="n">
        <v>44622</v>
      </c>
      <c r="C437" s="1" t="n">
        <v>45567</v>
      </c>
      <c r="D437" t="inlineStr">
        <is>
          <t>UPPSALA LÄN</t>
        </is>
      </c>
      <c r="E437" t="inlineStr">
        <is>
          <t>ÖSTHAMMAR</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10980-2022</t>
        </is>
      </c>
      <c r="B438" s="1" t="n">
        <v>44628</v>
      </c>
      <c r="C438" s="1" t="n">
        <v>45567</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11547-2022</t>
        </is>
      </c>
      <c r="B439" s="1" t="n">
        <v>44631</v>
      </c>
      <c r="C439" s="1" t="n">
        <v>45567</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v>
      </c>
      <c r="C440" s="1" t="n">
        <v>45567</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11884-2022</t>
        </is>
      </c>
      <c r="B441" s="1" t="n">
        <v>44635</v>
      </c>
      <c r="C441" s="1" t="n">
        <v>45567</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11987-2022</t>
        </is>
      </c>
      <c r="B442" s="1" t="n">
        <v>44635</v>
      </c>
      <c r="C442" s="1" t="n">
        <v>45567</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11986-2022</t>
        </is>
      </c>
      <c r="B443" s="1" t="n">
        <v>44635</v>
      </c>
      <c r="C443" s="1" t="n">
        <v>45567</v>
      </c>
      <c r="D443" t="inlineStr">
        <is>
          <t>UPPSALA LÄN</t>
        </is>
      </c>
      <c r="E443" t="inlineStr">
        <is>
          <t>ÖSTHAMMAR</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12176-2022</t>
        </is>
      </c>
      <c r="B444" s="1" t="n">
        <v>44636</v>
      </c>
      <c r="C444" s="1" t="n">
        <v>45567</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12999-2022</t>
        </is>
      </c>
      <c r="B445" s="1" t="n">
        <v>44643</v>
      </c>
      <c r="C445" s="1" t="n">
        <v>45567</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45567</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v>
      </c>
      <c r="C447" s="1" t="n">
        <v>45567</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13238-2022</t>
        </is>
      </c>
      <c r="B448" s="1" t="n">
        <v>44644</v>
      </c>
      <c r="C448" s="1" t="n">
        <v>45567</v>
      </c>
      <c r="D448" t="inlineStr">
        <is>
          <t>UPPSALA LÄN</t>
        </is>
      </c>
      <c r="E448" t="inlineStr">
        <is>
          <t>ÖSTHAMMAR</t>
        </is>
      </c>
      <c r="G448" t="n">
        <v>6.5</v>
      </c>
      <c r="H448" t="n">
        <v>0</v>
      </c>
      <c r="I448" t="n">
        <v>0</v>
      </c>
      <c r="J448" t="n">
        <v>0</v>
      </c>
      <c r="K448" t="n">
        <v>0</v>
      </c>
      <c r="L448" t="n">
        <v>0</v>
      </c>
      <c r="M448" t="n">
        <v>0</v>
      </c>
      <c r="N448" t="n">
        <v>0</v>
      </c>
      <c r="O448" t="n">
        <v>0</v>
      </c>
      <c r="P448" t="n">
        <v>0</v>
      </c>
      <c r="Q448" t="n">
        <v>0</v>
      </c>
      <c r="R448" s="2" t="inlineStr"/>
    </row>
    <row r="449" ht="15" customHeight="1">
      <c r="A449" t="inlineStr">
        <is>
          <t>A 13279-2022</t>
        </is>
      </c>
      <c r="B449" s="1" t="n">
        <v>44644</v>
      </c>
      <c r="C449" s="1" t="n">
        <v>45567</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13867-2022</t>
        </is>
      </c>
      <c r="B450" s="1" t="n">
        <v>44649</v>
      </c>
      <c r="C450" s="1" t="n">
        <v>45567</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14272-2022</t>
        </is>
      </c>
      <c r="B451" s="1" t="n">
        <v>44651</v>
      </c>
      <c r="C451" s="1" t="n">
        <v>45567</v>
      </c>
      <c r="D451" t="inlineStr">
        <is>
          <t>UPPSALA LÄN</t>
        </is>
      </c>
      <c r="E451" t="inlineStr">
        <is>
          <t>ÖSTHAMMAR</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14124-2022</t>
        </is>
      </c>
      <c r="B452" s="1" t="n">
        <v>44651</v>
      </c>
      <c r="C452" s="1" t="n">
        <v>45567</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14187-2022</t>
        </is>
      </c>
      <c r="B453" s="1" t="n">
        <v>44651</v>
      </c>
      <c r="C453" s="1" t="n">
        <v>45567</v>
      </c>
      <c r="D453" t="inlineStr">
        <is>
          <t>UPPSALA LÄN</t>
        </is>
      </c>
      <c r="E453" t="inlineStr">
        <is>
          <t>ÖSTHAMMAR</t>
        </is>
      </c>
      <c r="F453" t="inlineStr">
        <is>
          <t>Övriga Aktiebolag</t>
        </is>
      </c>
      <c r="G453" t="n">
        <v>14.1</v>
      </c>
      <c r="H453" t="n">
        <v>0</v>
      </c>
      <c r="I453" t="n">
        <v>0</v>
      </c>
      <c r="J453" t="n">
        <v>0</v>
      </c>
      <c r="K453" t="n">
        <v>0</v>
      </c>
      <c r="L453" t="n">
        <v>0</v>
      </c>
      <c r="M453" t="n">
        <v>0</v>
      </c>
      <c r="N453" t="n">
        <v>0</v>
      </c>
      <c r="O453" t="n">
        <v>0</v>
      </c>
      <c r="P453" t="n">
        <v>0</v>
      </c>
      <c r="Q453" t="n">
        <v>0</v>
      </c>
      <c r="R453" s="2" t="inlineStr"/>
    </row>
    <row r="454" ht="15" customHeight="1">
      <c r="A454" t="inlineStr">
        <is>
          <t>A 14271-2022</t>
        </is>
      </c>
      <c r="B454" s="1" t="n">
        <v>44651</v>
      </c>
      <c r="C454" s="1" t="n">
        <v>45567</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14671-2022</t>
        </is>
      </c>
      <c r="B455" s="1" t="n">
        <v>44655</v>
      </c>
      <c r="C455" s="1" t="n">
        <v>45567</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15064-2022</t>
        </is>
      </c>
      <c r="B456" s="1" t="n">
        <v>44657</v>
      </c>
      <c r="C456" s="1" t="n">
        <v>45567</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15311-2022</t>
        </is>
      </c>
      <c r="B457" s="1" t="n">
        <v>44659</v>
      </c>
      <c r="C457" s="1" t="n">
        <v>45567</v>
      </c>
      <c r="D457" t="inlineStr">
        <is>
          <t>UPPSALA LÄN</t>
        </is>
      </c>
      <c r="E457" t="inlineStr">
        <is>
          <t>ÖSTHAMMAR</t>
        </is>
      </c>
      <c r="G457" t="n">
        <v>5.5</v>
      </c>
      <c r="H457" t="n">
        <v>0</v>
      </c>
      <c r="I457" t="n">
        <v>0</v>
      </c>
      <c r="J457" t="n">
        <v>0</v>
      </c>
      <c r="K457" t="n">
        <v>0</v>
      </c>
      <c r="L457" t="n">
        <v>0</v>
      </c>
      <c r="M457" t="n">
        <v>0</v>
      </c>
      <c r="N457" t="n">
        <v>0</v>
      </c>
      <c r="O457" t="n">
        <v>0</v>
      </c>
      <c r="P457" t="n">
        <v>0</v>
      </c>
      <c r="Q457" t="n">
        <v>0</v>
      </c>
      <c r="R457" s="2" t="inlineStr"/>
    </row>
    <row r="458" ht="15" customHeight="1">
      <c r="A458" t="inlineStr">
        <is>
          <t>A 15334-2022</t>
        </is>
      </c>
      <c r="B458" s="1" t="n">
        <v>44659</v>
      </c>
      <c r="C458" s="1" t="n">
        <v>45567</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15447-2022</t>
        </is>
      </c>
      <c r="B459" s="1" t="n">
        <v>44660</v>
      </c>
      <c r="C459" s="1" t="n">
        <v>45567</v>
      </c>
      <c r="D459" t="inlineStr">
        <is>
          <t>UPPSALA LÄN</t>
        </is>
      </c>
      <c r="E459" t="inlineStr">
        <is>
          <t>ÖSTHAMMAR</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15445-2022</t>
        </is>
      </c>
      <c r="B460" s="1" t="n">
        <v>44660</v>
      </c>
      <c r="C460" s="1" t="n">
        <v>45567</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15449-2022</t>
        </is>
      </c>
      <c r="B461" s="1" t="n">
        <v>44660</v>
      </c>
      <c r="C461" s="1" t="n">
        <v>45567</v>
      </c>
      <c r="D461" t="inlineStr">
        <is>
          <t>UPPSALA LÄN</t>
        </is>
      </c>
      <c r="E461" t="inlineStr">
        <is>
          <t>ÖSTHAMMAR</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15456-2022</t>
        </is>
      </c>
      <c r="B462" s="1" t="n">
        <v>44661</v>
      </c>
      <c r="C462" s="1" t="n">
        <v>45567</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15457-2022</t>
        </is>
      </c>
      <c r="B463" s="1" t="n">
        <v>44661</v>
      </c>
      <c r="C463" s="1" t="n">
        <v>45567</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45567</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15845-2022</t>
        </is>
      </c>
      <c r="B465" s="1" t="n">
        <v>44664</v>
      </c>
      <c r="C465" s="1" t="n">
        <v>45567</v>
      </c>
      <c r="D465" t="inlineStr">
        <is>
          <t>UPPSALA LÄN</t>
        </is>
      </c>
      <c r="E465" t="inlineStr">
        <is>
          <t>ÖSTHAMMAR</t>
        </is>
      </c>
      <c r="G465" t="n">
        <v>4.5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45567</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16141-2022</t>
        </is>
      </c>
      <c r="B467" s="1" t="n">
        <v>44665</v>
      </c>
      <c r="C467" s="1" t="n">
        <v>45567</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16142-2022</t>
        </is>
      </c>
      <c r="B468" s="1" t="n">
        <v>44665</v>
      </c>
      <c r="C468" s="1" t="n">
        <v>45567</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16167-2022</t>
        </is>
      </c>
      <c r="B469" s="1" t="n">
        <v>44667</v>
      </c>
      <c r="C469" s="1" t="n">
        <v>45567</v>
      </c>
      <c r="D469" t="inlineStr">
        <is>
          <t>UPPSALA LÄN</t>
        </is>
      </c>
      <c r="E469" t="inlineStr">
        <is>
          <t>ÖSTHAMMAR</t>
        </is>
      </c>
      <c r="F469" t="inlineStr">
        <is>
          <t>Bergvik skog öst AB</t>
        </is>
      </c>
      <c r="G469" t="n">
        <v>18.7</v>
      </c>
      <c r="H469" t="n">
        <v>0</v>
      </c>
      <c r="I469" t="n">
        <v>0</v>
      </c>
      <c r="J469" t="n">
        <v>0</v>
      </c>
      <c r="K469" t="n">
        <v>0</v>
      </c>
      <c r="L469" t="n">
        <v>0</v>
      </c>
      <c r="M469" t="n">
        <v>0</v>
      </c>
      <c r="N469" t="n">
        <v>0</v>
      </c>
      <c r="O469" t="n">
        <v>0</v>
      </c>
      <c r="P469" t="n">
        <v>0</v>
      </c>
      <c r="Q469" t="n">
        <v>0</v>
      </c>
      <c r="R469" s="2" t="inlineStr"/>
    </row>
    <row r="470" ht="15" customHeight="1">
      <c r="A470" t="inlineStr">
        <is>
          <t>A 16185-2022</t>
        </is>
      </c>
      <c r="B470" s="1" t="n">
        <v>44669</v>
      </c>
      <c r="C470" s="1" t="n">
        <v>45567</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16184-2022</t>
        </is>
      </c>
      <c r="B471" s="1" t="n">
        <v>44669</v>
      </c>
      <c r="C471" s="1" t="n">
        <v>45567</v>
      </c>
      <c r="D471" t="inlineStr">
        <is>
          <t>UPPSALA LÄN</t>
        </is>
      </c>
      <c r="E471" t="inlineStr">
        <is>
          <t>ÖSTHAMMAR</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16254-2022</t>
        </is>
      </c>
      <c r="B472" s="1" t="n">
        <v>44670</v>
      </c>
      <c r="C472" s="1" t="n">
        <v>45567</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45567</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17013-2022</t>
        </is>
      </c>
      <c r="B474" s="1" t="n">
        <v>44676</v>
      </c>
      <c r="C474" s="1" t="n">
        <v>45567</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17947-2022</t>
        </is>
      </c>
      <c r="B475" s="1" t="n">
        <v>44683</v>
      </c>
      <c r="C475" s="1" t="n">
        <v>45567</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18183-2022</t>
        </is>
      </c>
      <c r="B476" s="1" t="n">
        <v>44684</v>
      </c>
      <c r="C476" s="1" t="n">
        <v>45567</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45567</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v>
      </c>
      <c r="C478" s="1" t="n">
        <v>45567</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18728-2022</t>
        </is>
      </c>
      <c r="B479" s="1" t="n">
        <v>44687</v>
      </c>
      <c r="C479" s="1" t="n">
        <v>45567</v>
      </c>
      <c r="D479" t="inlineStr">
        <is>
          <t>UPPSALA LÄN</t>
        </is>
      </c>
      <c r="E479" t="inlineStr">
        <is>
          <t>ÖSTHAMMAR</t>
        </is>
      </c>
      <c r="G479" t="n">
        <v>8.1</v>
      </c>
      <c r="H479" t="n">
        <v>0</v>
      </c>
      <c r="I479" t="n">
        <v>0</v>
      </c>
      <c r="J479" t="n">
        <v>0</v>
      </c>
      <c r="K479" t="n">
        <v>0</v>
      </c>
      <c r="L479" t="n">
        <v>0</v>
      </c>
      <c r="M479" t="n">
        <v>0</v>
      </c>
      <c r="N479" t="n">
        <v>0</v>
      </c>
      <c r="O479" t="n">
        <v>0</v>
      </c>
      <c r="P479" t="n">
        <v>0</v>
      </c>
      <c r="Q479" t="n">
        <v>0</v>
      </c>
      <c r="R479" s="2" t="inlineStr"/>
    </row>
    <row r="480" ht="15" customHeight="1">
      <c r="A480" t="inlineStr">
        <is>
          <t>A 18734-2022</t>
        </is>
      </c>
      <c r="B480" s="1" t="n">
        <v>44687</v>
      </c>
      <c r="C480" s="1" t="n">
        <v>45567</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18731-2022</t>
        </is>
      </c>
      <c r="B481" s="1" t="n">
        <v>44687</v>
      </c>
      <c r="C481" s="1" t="n">
        <v>45567</v>
      </c>
      <c r="D481" t="inlineStr">
        <is>
          <t>UPPSALA LÄN</t>
        </is>
      </c>
      <c r="E481" t="inlineStr">
        <is>
          <t>ÖSTHAMMAR</t>
        </is>
      </c>
      <c r="G481" t="n">
        <v>4.9</v>
      </c>
      <c r="H481" t="n">
        <v>0</v>
      </c>
      <c r="I481" t="n">
        <v>0</v>
      </c>
      <c r="J481" t="n">
        <v>0</v>
      </c>
      <c r="K481" t="n">
        <v>0</v>
      </c>
      <c r="L481" t="n">
        <v>0</v>
      </c>
      <c r="M481" t="n">
        <v>0</v>
      </c>
      <c r="N481" t="n">
        <v>0</v>
      </c>
      <c r="O481" t="n">
        <v>0</v>
      </c>
      <c r="P481" t="n">
        <v>0</v>
      </c>
      <c r="Q481" t="n">
        <v>0</v>
      </c>
      <c r="R481" s="2" t="inlineStr"/>
    </row>
    <row r="482" ht="15" customHeight="1">
      <c r="A482" t="inlineStr">
        <is>
          <t>A 18736-2022</t>
        </is>
      </c>
      <c r="B482" s="1" t="n">
        <v>44687</v>
      </c>
      <c r="C482" s="1" t="n">
        <v>45567</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19174-2022</t>
        </is>
      </c>
      <c r="B483" s="1" t="n">
        <v>44691</v>
      </c>
      <c r="C483" s="1" t="n">
        <v>45567</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19181-2022</t>
        </is>
      </c>
      <c r="B484" s="1" t="n">
        <v>44691</v>
      </c>
      <c r="C484" s="1" t="n">
        <v>45567</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19287-2022</t>
        </is>
      </c>
      <c r="B485" s="1" t="n">
        <v>44692</v>
      </c>
      <c r="C485" s="1" t="n">
        <v>45567</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19707-2022</t>
        </is>
      </c>
      <c r="B486" s="1" t="n">
        <v>44694</v>
      </c>
      <c r="C486" s="1" t="n">
        <v>45567</v>
      </c>
      <c r="D486" t="inlineStr">
        <is>
          <t>UPPSALA LÄN</t>
        </is>
      </c>
      <c r="E486" t="inlineStr">
        <is>
          <t>ÖSTHAMMAR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20468-2022</t>
        </is>
      </c>
      <c r="B487" s="1" t="n">
        <v>44699</v>
      </c>
      <c r="C487" s="1" t="n">
        <v>45567</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45567</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21830-2022</t>
        </is>
      </c>
      <c r="B489" s="1" t="n">
        <v>44710</v>
      </c>
      <c r="C489" s="1" t="n">
        <v>45567</v>
      </c>
      <c r="D489" t="inlineStr">
        <is>
          <t>UPPSALA LÄN</t>
        </is>
      </c>
      <c r="E489" t="inlineStr">
        <is>
          <t>ÖSTHAMMAR</t>
        </is>
      </c>
      <c r="F489" t="inlineStr">
        <is>
          <t>Bergvik skog öst AB</t>
        </is>
      </c>
      <c r="G489" t="n">
        <v>3.6</v>
      </c>
      <c r="H489" t="n">
        <v>0</v>
      </c>
      <c r="I489" t="n">
        <v>0</v>
      </c>
      <c r="J489" t="n">
        <v>0</v>
      </c>
      <c r="K489" t="n">
        <v>0</v>
      </c>
      <c r="L489" t="n">
        <v>0</v>
      </c>
      <c r="M489" t="n">
        <v>0</v>
      </c>
      <c r="N489" t="n">
        <v>0</v>
      </c>
      <c r="O489" t="n">
        <v>0</v>
      </c>
      <c r="P489" t="n">
        <v>0</v>
      </c>
      <c r="Q489" t="n">
        <v>0</v>
      </c>
      <c r="R489" s="2" t="inlineStr"/>
    </row>
    <row r="490" ht="15" customHeight="1">
      <c r="A490" t="inlineStr">
        <is>
          <t>A 21829-2022</t>
        </is>
      </c>
      <c r="B490" s="1" t="n">
        <v>44710</v>
      </c>
      <c r="C490" s="1" t="n">
        <v>45567</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22207-2022</t>
        </is>
      </c>
      <c r="B491" s="1" t="n">
        <v>44712</v>
      </c>
      <c r="C491" s="1" t="n">
        <v>45567</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22619-2022</t>
        </is>
      </c>
      <c r="B492" s="1" t="n">
        <v>44714</v>
      </c>
      <c r="C492" s="1" t="n">
        <v>45567</v>
      </c>
      <c r="D492" t="inlineStr">
        <is>
          <t>UPPSALA LÄN</t>
        </is>
      </c>
      <c r="E492" t="inlineStr">
        <is>
          <t>ÖSTHAMMAR</t>
        </is>
      </c>
      <c r="G492" t="n">
        <v>0.7</v>
      </c>
      <c r="H492" t="n">
        <v>0</v>
      </c>
      <c r="I492" t="n">
        <v>0</v>
      </c>
      <c r="J492" t="n">
        <v>0</v>
      </c>
      <c r="K492" t="n">
        <v>0</v>
      </c>
      <c r="L492" t="n">
        <v>0</v>
      </c>
      <c r="M492" t="n">
        <v>0</v>
      </c>
      <c r="N492" t="n">
        <v>0</v>
      </c>
      <c r="O492" t="n">
        <v>0</v>
      </c>
      <c r="P492" t="n">
        <v>0</v>
      </c>
      <c r="Q492" t="n">
        <v>0</v>
      </c>
      <c r="R492" s="2" t="inlineStr"/>
    </row>
    <row r="493" ht="15" customHeight="1">
      <c r="A493" t="inlineStr">
        <is>
          <t>A 22804-2022</t>
        </is>
      </c>
      <c r="B493" s="1" t="n">
        <v>44715</v>
      </c>
      <c r="C493" s="1" t="n">
        <v>45567</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22887-2022</t>
        </is>
      </c>
      <c r="B494" s="1" t="n">
        <v>44715</v>
      </c>
      <c r="C494" s="1" t="n">
        <v>45567</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22945-2022</t>
        </is>
      </c>
      <c r="B495" s="1" t="n">
        <v>44715</v>
      </c>
      <c r="C495" s="1" t="n">
        <v>45567</v>
      </c>
      <c r="D495" t="inlineStr">
        <is>
          <t>UPPSALA LÄN</t>
        </is>
      </c>
      <c r="E495" t="inlineStr">
        <is>
          <t>ÖSTHAMMAR</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22993-2022</t>
        </is>
      </c>
      <c r="B496" s="1" t="n">
        <v>44718</v>
      </c>
      <c r="C496" s="1" t="n">
        <v>45567</v>
      </c>
      <c r="D496" t="inlineStr">
        <is>
          <t>UPPSALA LÄN</t>
        </is>
      </c>
      <c r="E496" t="inlineStr">
        <is>
          <t>ÖSTHAMMAR</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22994-2022</t>
        </is>
      </c>
      <c r="B497" s="1" t="n">
        <v>44718</v>
      </c>
      <c r="C497" s="1" t="n">
        <v>45567</v>
      </c>
      <c r="D497" t="inlineStr">
        <is>
          <t>UPPSALA LÄN</t>
        </is>
      </c>
      <c r="E497" t="inlineStr">
        <is>
          <t>ÖSTHAMMAR</t>
        </is>
      </c>
      <c r="F497" t="inlineStr">
        <is>
          <t>Bergvik skog öst AB</t>
        </is>
      </c>
      <c r="G497" t="n">
        <v>29.9</v>
      </c>
      <c r="H497" t="n">
        <v>0</v>
      </c>
      <c r="I497" t="n">
        <v>0</v>
      </c>
      <c r="J497" t="n">
        <v>0</v>
      </c>
      <c r="K497" t="n">
        <v>0</v>
      </c>
      <c r="L497" t="n">
        <v>0</v>
      </c>
      <c r="M497" t="n">
        <v>0</v>
      </c>
      <c r="N497" t="n">
        <v>0</v>
      </c>
      <c r="O497" t="n">
        <v>0</v>
      </c>
      <c r="P497" t="n">
        <v>0</v>
      </c>
      <c r="Q497" t="n">
        <v>0</v>
      </c>
      <c r="R497" s="2" t="inlineStr"/>
    </row>
    <row r="498" ht="15" customHeight="1">
      <c r="A498" t="inlineStr">
        <is>
          <t>A 23603-2022</t>
        </is>
      </c>
      <c r="B498" s="1" t="n">
        <v>44721</v>
      </c>
      <c r="C498" s="1" t="n">
        <v>45567</v>
      </c>
      <c r="D498" t="inlineStr">
        <is>
          <t>UPPSALA LÄN</t>
        </is>
      </c>
      <c r="E498" t="inlineStr">
        <is>
          <t>ÖSTHAMMAR</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24138-2022</t>
        </is>
      </c>
      <c r="B499" s="1" t="n">
        <v>44725</v>
      </c>
      <c r="C499" s="1" t="n">
        <v>45567</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24149-2022</t>
        </is>
      </c>
      <c r="B500" s="1" t="n">
        <v>44725</v>
      </c>
      <c r="C500" s="1" t="n">
        <v>45567</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24181-2022</t>
        </is>
      </c>
      <c r="B501" s="1" t="n">
        <v>44725</v>
      </c>
      <c r="C501" s="1" t="n">
        <v>45567</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24259-2022</t>
        </is>
      </c>
      <c r="B502" s="1" t="n">
        <v>44725</v>
      </c>
      <c r="C502" s="1" t="n">
        <v>45567</v>
      </c>
      <c r="D502" t="inlineStr">
        <is>
          <t>UPPSALA LÄN</t>
        </is>
      </c>
      <c r="E502" t="inlineStr">
        <is>
          <t>ÖSTHAMMAR</t>
        </is>
      </c>
      <c r="G502" t="n">
        <v>2.4</v>
      </c>
      <c r="H502" t="n">
        <v>0</v>
      </c>
      <c r="I502" t="n">
        <v>0</v>
      </c>
      <c r="J502" t="n">
        <v>0</v>
      </c>
      <c r="K502" t="n">
        <v>0</v>
      </c>
      <c r="L502" t="n">
        <v>0</v>
      </c>
      <c r="M502" t="n">
        <v>0</v>
      </c>
      <c r="N502" t="n">
        <v>0</v>
      </c>
      <c r="O502" t="n">
        <v>0</v>
      </c>
      <c r="P502" t="n">
        <v>0</v>
      </c>
      <c r="Q502" t="n">
        <v>0</v>
      </c>
      <c r="R502" s="2" t="inlineStr"/>
    </row>
    <row r="503" ht="15" customHeight="1">
      <c r="A503" t="inlineStr">
        <is>
          <t>A 24447-2022</t>
        </is>
      </c>
      <c r="B503" s="1" t="n">
        <v>44726</v>
      </c>
      <c r="C503" s="1" t="n">
        <v>45567</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24367-2022</t>
        </is>
      </c>
      <c r="B504" s="1" t="n">
        <v>44726</v>
      </c>
      <c r="C504" s="1" t="n">
        <v>45567</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24817-2022</t>
        </is>
      </c>
      <c r="B505" s="1" t="n">
        <v>44728</v>
      </c>
      <c r="C505" s="1" t="n">
        <v>45567</v>
      </c>
      <c r="D505" t="inlineStr">
        <is>
          <t>UPPSALA LÄN</t>
        </is>
      </c>
      <c r="E505" t="inlineStr">
        <is>
          <t>ÖSTHAMMAR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45567</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25418-2022</t>
        </is>
      </c>
      <c r="B507" s="1" t="n">
        <v>44732</v>
      </c>
      <c r="C507" s="1" t="n">
        <v>45567</v>
      </c>
      <c r="D507" t="inlineStr">
        <is>
          <t>UPPSALA LÄN</t>
        </is>
      </c>
      <c r="E507" t="inlineStr">
        <is>
          <t>ÖSTHAMMAR</t>
        </is>
      </c>
      <c r="G507" t="n">
        <v>2.8</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v>
      </c>
      <c r="C508" s="1" t="n">
        <v>45567</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26008-2022</t>
        </is>
      </c>
      <c r="B509" s="1" t="n">
        <v>44734</v>
      </c>
      <c r="C509" s="1" t="n">
        <v>45567</v>
      </c>
      <c r="D509" t="inlineStr">
        <is>
          <t>UPPSALA LÄN</t>
        </is>
      </c>
      <c r="E509" t="inlineStr">
        <is>
          <t>ÖSTHAMMAR</t>
        </is>
      </c>
      <c r="F509" t="inlineStr">
        <is>
          <t>Bergvik skog öst AB</t>
        </is>
      </c>
      <c r="G509" t="n">
        <v>8.4</v>
      </c>
      <c r="H509" t="n">
        <v>0</v>
      </c>
      <c r="I509" t="n">
        <v>0</v>
      </c>
      <c r="J509" t="n">
        <v>0</v>
      </c>
      <c r="K509" t="n">
        <v>0</v>
      </c>
      <c r="L509" t="n">
        <v>0</v>
      </c>
      <c r="M509" t="n">
        <v>0</v>
      </c>
      <c r="N509" t="n">
        <v>0</v>
      </c>
      <c r="O509" t="n">
        <v>0</v>
      </c>
      <c r="P509" t="n">
        <v>0</v>
      </c>
      <c r="Q509" t="n">
        <v>0</v>
      </c>
      <c r="R509" s="2" t="inlineStr"/>
    </row>
    <row r="510" ht="15" customHeight="1">
      <c r="A510" t="inlineStr">
        <is>
          <t>A 25987-2022</t>
        </is>
      </c>
      <c r="B510" s="1" t="n">
        <v>44734</v>
      </c>
      <c r="C510" s="1" t="n">
        <v>45567</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25983-2022</t>
        </is>
      </c>
      <c r="B511" s="1" t="n">
        <v>44734</v>
      </c>
      <c r="C511" s="1" t="n">
        <v>45567</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26004-2022</t>
        </is>
      </c>
      <c r="B512" s="1" t="n">
        <v>44734</v>
      </c>
      <c r="C512" s="1" t="n">
        <v>45567</v>
      </c>
      <c r="D512" t="inlineStr">
        <is>
          <t>UPPSALA LÄN</t>
        </is>
      </c>
      <c r="E512" t="inlineStr">
        <is>
          <t>ÖSTHAMMAR</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26534-2022</t>
        </is>
      </c>
      <c r="B513" s="1" t="n">
        <v>44739</v>
      </c>
      <c r="C513" s="1" t="n">
        <v>45567</v>
      </c>
      <c r="D513" t="inlineStr">
        <is>
          <t>UPPSALA LÄN</t>
        </is>
      </c>
      <c r="E513" t="inlineStr">
        <is>
          <t>ÖSTHAMMAR</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26552-2022</t>
        </is>
      </c>
      <c r="B514" s="1" t="n">
        <v>44739</v>
      </c>
      <c r="C514" s="1" t="n">
        <v>45567</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26561-2022</t>
        </is>
      </c>
      <c r="B515" s="1" t="n">
        <v>44739</v>
      </c>
      <c r="C515" s="1" t="n">
        <v>45567</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28228-2022</t>
        </is>
      </c>
      <c r="B516" s="1" t="n">
        <v>44746</v>
      </c>
      <c r="C516" s="1" t="n">
        <v>45567</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29753-2022</t>
        </is>
      </c>
      <c r="B517" s="1" t="n">
        <v>44755</v>
      </c>
      <c r="C517" s="1" t="n">
        <v>45567</v>
      </c>
      <c r="D517" t="inlineStr">
        <is>
          <t>UPPSALA LÄN</t>
        </is>
      </c>
      <c r="E517" t="inlineStr">
        <is>
          <t>ÖSTHAMMAR</t>
        </is>
      </c>
      <c r="G517" t="n">
        <v>9.4</v>
      </c>
      <c r="H517" t="n">
        <v>0</v>
      </c>
      <c r="I517" t="n">
        <v>0</v>
      </c>
      <c r="J517" t="n">
        <v>0</v>
      </c>
      <c r="K517" t="n">
        <v>0</v>
      </c>
      <c r="L517" t="n">
        <v>0</v>
      </c>
      <c r="M517" t="n">
        <v>0</v>
      </c>
      <c r="N517" t="n">
        <v>0</v>
      </c>
      <c r="O517" t="n">
        <v>0</v>
      </c>
      <c r="P517" t="n">
        <v>0</v>
      </c>
      <c r="Q517" t="n">
        <v>0</v>
      </c>
      <c r="R517" s="2" t="inlineStr"/>
    </row>
    <row r="518" ht="15" customHeight="1">
      <c r="A518" t="inlineStr">
        <is>
          <t>A 30212-2022</t>
        </is>
      </c>
      <c r="B518" s="1" t="n">
        <v>44757</v>
      </c>
      <c r="C518" s="1" t="n">
        <v>45567</v>
      </c>
      <c r="D518" t="inlineStr">
        <is>
          <t>UPPSALA LÄN</t>
        </is>
      </c>
      <c r="E518" t="inlineStr">
        <is>
          <t>ÖSTHAMMAR</t>
        </is>
      </c>
      <c r="F518" t="inlineStr">
        <is>
          <t>Bergvik skog öst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30209-2022</t>
        </is>
      </c>
      <c r="B519" s="1" t="n">
        <v>44757</v>
      </c>
      <c r="C519" s="1" t="n">
        <v>45567</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30549-2022</t>
        </is>
      </c>
      <c r="B520" s="1" t="n">
        <v>44762</v>
      </c>
      <c r="C520" s="1" t="n">
        <v>45567</v>
      </c>
      <c r="D520" t="inlineStr">
        <is>
          <t>UPPSALA LÄN</t>
        </is>
      </c>
      <c r="E520" t="inlineStr">
        <is>
          <t>ÖSTHAMMAR</t>
        </is>
      </c>
      <c r="F520" t="inlineStr">
        <is>
          <t>Bergvik skog öst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31027-2022</t>
        </is>
      </c>
      <c r="B521" s="1" t="n">
        <v>44768</v>
      </c>
      <c r="C521" s="1" t="n">
        <v>45567</v>
      </c>
      <c r="D521" t="inlineStr">
        <is>
          <t>UPPSALA LÄN</t>
        </is>
      </c>
      <c r="E521" t="inlineStr">
        <is>
          <t>ÖSTHAMMAR</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31035-2022</t>
        </is>
      </c>
      <c r="B522" s="1" t="n">
        <v>44768</v>
      </c>
      <c r="C522" s="1" t="n">
        <v>45567</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31026-2022</t>
        </is>
      </c>
      <c r="B523" s="1" t="n">
        <v>44768</v>
      </c>
      <c r="C523" s="1" t="n">
        <v>45567</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31182-2022</t>
        </is>
      </c>
      <c r="B524" s="1" t="n">
        <v>44770</v>
      </c>
      <c r="C524" s="1" t="n">
        <v>45567</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31140-2022</t>
        </is>
      </c>
      <c r="B525" s="1" t="n">
        <v>44770</v>
      </c>
      <c r="C525" s="1" t="n">
        <v>45567</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v>
      </c>
      <c r="C526" s="1" t="n">
        <v>45567</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31282-2022</t>
        </is>
      </c>
      <c r="B527" s="1" t="n">
        <v>44771</v>
      </c>
      <c r="C527" s="1" t="n">
        <v>45567</v>
      </c>
      <c r="D527" t="inlineStr">
        <is>
          <t>UPPSALA LÄN</t>
        </is>
      </c>
      <c r="E527" t="inlineStr">
        <is>
          <t>ÖSTHAMMAR</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31574-2022</t>
        </is>
      </c>
      <c r="B528" s="1" t="n">
        <v>44775</v>
      </c>
      <c r="C528" s="1" t="n">
        <v>45567</v>
      </c>
      <c r="D528" t="inlineStr">
        <is>
          <t>UPPSALA LÄN</t>
        </is>
      </c>
      <c r="E528" t="inlineStr">
        <is>
          <t>ÖSTHAMMAR</t>
        </is>
      </c>
      <c r="G528" t="n">
        <v>29.7</v>
      </c>
      <c r="H528" t="n">
        <v>0</v>
      </c>
      <c r="I528" t="n">
        <v>0</v>
      </c>
      <c r="J528" t="n">
        <v>0</v>
      </c>
      <c r="K528" t="n">
        <v>0</v>
      </c>
      <c r="L528" t="n">
        <v>0</v>
      </c>
      <c r="M528" t="n">
        <v>0</v>
      </c>
      <c r="N528" t="n">
        <v>0</v>
      </c>
      <c r="O528" t="n">
        <v>0</v>
      </c>
      <c r="P528" t="n">
        <v>0</v>
      </c>
      <c r="Q528" t="n">
        <v>0</v>
      </c>
      <c r="R528" s="2" t="inlineStr"/>
    </row>
    <row r="529" ht="15" customHeight="1">
      <c r="A529" t="inlineStr">
        <is>
          <t>A 31549-2022</t>
        </is>
      </c>
      <c r="B529" s="1" t="n">
        <v>44775</v>
      </c>
      <c r="C529" s="1" t="n">
        <v>45567</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31669-2022</t>
        </is>
      </c>
      <c r="B530" s="1" t="n">
        <v>44775</v>
      </c>
      <c r="C530" s="1" t="n">
        <v>45567</v>
      </c>
      <c r="D530" t="inlineStr">
        <is>
          <t>UPPSALA LÄN</t>
        </is>
      </c>
      <c r="E530" t="inlineStr">
        <is>
          <t>ÖSTHAMMAR</t>
        </is>
      </c>
      <c r="G530" t="n">
        <v>6</v>
      </c>
      <c r="H530" t="n">
        <v>0</v>
      </c>
      <c r="I530" t="n">
        <v>0</v>
      </c>
      <c r="J530" t="n">
        <v>0</v>
      </c>
      <c r="K530" t="n">
        <v>0</v>
      </c>
      <c r="L530" t="n">
        <v>0</v>
      </c>
      <c r="M530" t="n">
        <v>0</v>
      </c>
      <c r="N530" t="n">
        <v>0</v>
      </c>
      <c r="O530" t="n">
        <v>0</v>
      </c>
      <c r="P530" t="n">
        <v>0</v>
      </c>
      <c r="Q530" t="n">
        <v>0</v>
      </c>
      <c r="R530" s="2" t="inlineStr"/>
    </row>
    <row r="531" ht="15" customHeight="1">
      <c r="A531" t="inlineStr">
        <is>
          <t>A 32678-2022</t>
        </is>
      </c>
      <c r="B531" s="1" t="n">
        <v>44783</v>
      </c>
      <c r="C531" s="1" t="n">
        <v>45567</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32742-2022</t>
        </is>
      </c>
      <c r="B532" s="1" t="n">
        <v>44783</v>
      </c>
      <c r="C532" s="1" t="n">
        <v>45567</v>
      </c>
      <c r="D532" t="inlineStr">
        <is>
          <t>UPPSALA LÄN</t>
        </is>
      </c>
      <c r="E532" t="inlineStr">
        <is>
          <t>ÖSTHAMMAR</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32744-2022</t>
        </is>
      </c>
      <c r="B533" s="1" t="n">
        <v>44783</v>
      </c>
      <c r="C533" s="1" t="n">
        <v>45567</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34418-2022</t>
        </is>
      </c>
      <c r="B534" s="1" t="n">
        <v>44792</v>
      </c>
      <c r="C534" s="1" t="n">
        <v>45567</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34742-2022</t>
        </is>
      </c>
      <c r="B535" s="1" t="n">
        <v>44795</v>
      </c>
      <c r="C535" s="1" t="n">
        <v>45567</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34971-2022</t>
        </is>
      </c>
      <c r="B536" s="1" t="n">
        <v>44796</v>
      </c>
      <c r="C536" s="1" t="n">
        <v>45567</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34994-2022</t>
        </is>
      </c>
      <c r="B537" s="1" t="n">
        <v>44796</v>
      </c>
      <c r="C537" s="1" t="n">
        <v>45567</v>
      </c>
      <c r="D537" t="inlineStr">
        <is>
          <t>UPPSALA LÄN</t>
        </is>
      </c>
      <c r="E537" t="inlineStr">
        <is>
          <t>ÖSTHAMMAR</t>
        </is>
      </c>
      <c r="F537" t="inlineStr">
        <is>
          <t>Bergvik skog öst AB</t>
        </is>
      </c>
      <c r="G537" t="n">
        <v>3.7</v>
      </c>
      <c r="H537" t="n">
        <v>0</v>
      </c>
      <c r="I537" t="n">
        <v>0</v>
      </c>
      <c r="J537" t="n">
        <v>0</v>
      </c>
      <c r="K537" t="n">
        <v>0</v>
      </c>
      <c r="L537" t="n">
        <v>0</v>
      </c>
      <c r="M537" t="n">
        <v>0</v>
      </c>
      <c r="N537" t="n">
        <v>0</v>
      </c>
      <c r="O537" t="n">
        <v>0</v>
      </c>
      <c r="P537" t="n">
        <v>0</v>
      </c>
      <c r="Q537" t="n">
        <v>0</v>
      </c>
      <c r="R537" s="2" t="inlineStr"/>
    </row>
    <row r="538" ht="15" customHeight="1">
      <c r="A538" t="inlineStr">
        <is>
          <t>A 36343-2022</t>
        </is>
      </c>
      <c r="B538" s="1" t="n">
        <v>44803</v>
      </c>
      <c r="C538" s="1" t="n">
        <v>45567</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36873-2022</t>
        </is>
      </c>
      <c r="B539" s="1" t="n">
        <v>44805</v>
      </c>
      <c r="C539" s="1" t="n">
        <v>45567</v>
      </c>
      <c r="D539" t="inlineStr">
        <is>
          <t>UPPSALA LÄN</t>
        </is>
      </c>
      <c r="E539" t="inlineStr">
        <is>
          <t>ÖSTHAMMAR</t>
        </is>
      </c>
      <c r="G539" t="n">
        <v>2.5</v>
      </c>
      <c r="H539" t="n">
        <v>0</v>
      </c>
      <c r="I539" t="n">
        <v>0</v>
      </c>
      <c r="J539" t="n">
        <v>0</v>
      </c>
      <c r="K539" t="n">
        <v>0</v>
      </c>
      <c r="L539" t="n">
        <v>0</v>
      </c>
      <c r="M539" t="n">
        <v>0</v>
      </c>
      <c r="N539" t="n">
        <v>0</v>
      </c>
      <c r="O539" t="n">
        <v>0</v>
      </c>
      <c r="P539" t="n">
        <v>0</v>
      </c>
      <c r="Q539" t="n">
        <v>0</v>
      </c>
      <c r="R539" s="2" t="inlineStr"/>
    </row>
    <row r="540" ht="15" customHeight="1">
      <c r="A540" t="inlineStr">
        <is>
          <t>A 37545-2022</t>
        </is>
      </c>
      <c r="B540" s="1" t="n">
        <v>44809</v>
      </c>
      <c r="C540" s="1" t="n">
        <v>45567</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37570-2022</t>
        </is>
      </c>
      <c r="B541" s="1" t="n">
        <v>44809</v>
      </c>
      <c r="C541" s="1" t="n">
        <v>45567</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37813-2022</t>
        </is>
      </c>
      <c r="B542" s="1" t="n">
        <v>44810</v>
      </c>
      <c r="C542" s="1" t="n">
        <v>45567</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37812-2022</t>
        </is>
      </c>
      <c r="B543" s="1" t="n">
        <v>44810</v>
      </c>
      <c r="C543" s="1" t="n">
        <v>45567</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38442-2022</t>
        </is>
      </c>
      <c r="B544" s="1" t="n">
        <v>44813</v>
      </c>
      <c r="C544" s="1" t="n">
        <v>45567</v>
      </c>
      <c r="D544" t="inlineStr">
        <is>
          <t>UPPSALA LÄN</t>
        </is>
      </c>
      <c r="E544" t="inlineStr">
        <is>
          <t>ÖSTHAMMAR</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38501-2022</t>
        </is>
      </c>
      <c r="B545" s="1" t="n">
        <v>44813</v>
      </c>
      <c r="C545" s="1" t="n">
        <v>45567</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38702-2022</t>
        </is>
      </c>
      <c r="B546" s="1" t="n">
        <v>44814</v>
      </c>
      <c r="C546" s="1" t="n">
        <v>45567</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39480-2022</t>
        </is>
      </c>
      <c r="B547" s="1" t="n">
        <v>44818</v>
      </c>
      <c r="C547" s="1" t="n">
        <v>45567</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40336-2022</t>
        </is>
      </c>
      <c r="B548" s="1" t="n">
        <v>44823</v>
      </c>
      <c r="C548" s="1" t="n">
        <v>45567</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40637-2022</t>
        </is>
      </c>
      <c r="B549" s="1" t="n">
        <v>44824</v>
      </c>
      <c r="C549" s="1" t="n">
        <v>45567</v>
      </c>
      <c r="D549" t="inlineStr">
        <is>
          <t>UPPSALA LÄN</t>
        </is>
      </c>
      <c r="E549" t="inlineStr">
        <is>
          <t>ÖSTHAMMAR</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40681-2022</t>
        </is>
      </c>
      <c r="B550" s="1" t="n">
        <v>44824</v>
      </c>
      <c r="C550" s="1" t="n">
        <v>45567</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41033-2022</t>
        </is>
      </c>
      <c r="B551" s="1" t="n">
        <v>44825</v>
      </c>
      <c r="C551" s="1" t="n">
        <v>45567</v>
      </c>
      <c r="D551" t="inlineStr">
        <is>
          <t>UPPSALA LÄN</t>
        </is>
      </c>
      <c r="E551" t="inlineStr">
        <is>
          <t>ÖSTHAMMAR</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41423-2022</t>
        </is>
      </c>
      <c r="B552" s="1" t="n">
        <v>44826</v>
      </c>
      <c r="C552" s="1" t="n">
        <v>45567</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44020-2022</t>
        </is>
      </c>
      <c r="B553" s="1" t="n">
        <v>44838</v>
      </c>
      <c r="C553" s="1" t="n">
        <v>45567</v>
      </c>
      <c r="D553" t="inlineStr">
        <is>
          <t>UPPSALA LÄN</t>
        </is>
      </c>
      <c r="E553" t="inlineStr">
        <is>
          <t>ÖSTHAMMAR</t>
        </is>
      </c>
      <c r="F553" t="inlineStr">
        <is>
          <t>Bergvik skog öst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v>
      </c>
      <c r="C554" s="1" t="n">
        <v>45567</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44354-2022</t>
        </is>
      </c>
      <c r="B555" s="1" t="n">
        <v>44839</v>
      </c>
      <c r="C555" s="1" t="n">
        <v>45567</v>
      </c>
      <c r="D555" t="inlineStr">
        <is>
          <t>UPPSALA LÄN</t>
        </is>
      </c>
      <c r="E555" t="inlineStr">
        <is>
          <t>ÖSTHAMMAR</t>
        </is>
      </c>
      <c r="G555" t="n">
        <v>5.4</v>
      </c>
      <c r="H555" t="n">
        <v>0</v>
      </c>
      <c r="I555" t="n">
        <v>0</v>
      </c>
      <c r="J555" t="n">
        <v>0</v>
      </c>
      <c r="K555" t="n">
        <v>0</v>
      </c>
      <c r="L555" t="n">
        <v>0</v>
      </c>
      <c r="M555" t="n">
        <v>0</v>
      </c>
      <c r="N555" t="n">
        <v>0</v>
      </c>
      <c r="O555" t="n">
        <v>0</v>
      </c>
      <c r="P555" t="n">
        <v>0</v>
      </c>
      <c r="Q555" t="n">
        <v>0</v>
      </c>
      <c r="R555" s="2" t="inlineStr"/>
    </row>
    <row r="556" ht="15" customHeight="1">
      <c r="A556" t="inlineStr">
        <is>
          <t>A 44366-2022</t>
        </is>
      </c>
      <c r="B556" s="1" t="n">
        <v>44839</v>
      </c>
      <c r="C556" s="1" t="n">
        <v>45567</v>
      </c>
      <c r="D556" t="inlineStr">
        <is>
          <t>UPPSALA LÄN</t>
        </is>
      </c>
      <c r="E556" t="inlineStr">
        <is>
          <t>ÖSTHAMMAR</t>
        </is>
      </c>
      <c r="G556" t="n">
        <v>8.1</v>
      </c>
      <c r="H556" t="n">
        <v>0</v>
      </c>
      <c r="I556" t="n">
        <v>0</v>
      </c>
      <c r="J556" t="n">
        <v>0</v>
      </c>
      <c r="K556" t="n">
        <v>0</v>
      </c>
      <c r="L556" t="n">
        <v>0</v>
      </c>
      <c r="M556" t="n">
        <v>0</v>
      </c>
      <c r="N556" t="n">
        <v>0</v>
      </c>
      <c r="O556" t="n">
        <v>0</v>
      </c>
      <c r="P556" t="n">
        <v>0</v>
      </c>
      <c r="Q556" t="n">
        <v>0</v>
      </c>
      <c r="R556" s="2" t="inlineStr"/>
    </row>
    <row r="557" ht="15" customHeight="1">
      <c r="A557" t="inlineStr">
        <is>
          <t>A 44184-2022</t>
        </is>
      </c>
      <c r="B557" s="1" t="n">
        <v>44839</v>
      </c>
      <c r="C557" s="1" t="n">
        <v>45567</v>
      </c>
      <c r="D557" t="inlineStr">
        <is>
          <t>UPPSALA LÄN</t>
        </is>
      </c>
      <c r="E557" t="inlineStr">
        <is>
          <t>ÖSTHAMMAR</t>
        </is>
      </c>
      <c r="G557" t="n">
        <v>4.2</v>
      </c>
      <c r="H557" t="n">
        <v>0</v>
      </c>
      <c r="I557" t="n">
        <v>0</v>
      </c>
      <c r="J557" t="n">
        <v>0</v>
      </c>
      <c r="K557" t="n">
        <v>0</v>
      </c>
      <c r="L557" t="n">
        <v>0</v>
      </c>
      <c r="M557" t="n">
        <v>0</v>
      </c>
      <c r="N557" t="n">
        <v>0</v>
      </c>
      <c r="O557" t="n">
        <v>0</v>
      </c>
      <c r="P557" t="n">
        <v>0</v>
      </c>
      <c r="Q557" t="n">
        <v>0</v>
      </c>
      <c r="R557" s="2" t="inlineStr"/>
    </row>
    <row r="558" ht="15" customHeight="1">
      <c r="A558" t="inlineStr">
        <is>
          <t>A 44617-2022</t>
        </is>
      </c>
      <c r="B558" s="1" t="n">
        <v>44840</v>
      </c>
      <c r="C558" s="1" t="n">
        <v>45567</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44945-2022</t>
        </is>
      </c>
      <c r="B559" s="1" t="n">
        <v>44841</v>
      </c>
      <c r="C559" s="1" t="n">
        <v>45567</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44815-2022</t>
        </is>
      </c>
      <c r="B560" s="1" t="n">
        <v>44841</v>
      </c>
      <c r="C560" s="1" t="n">
        <v>45567</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45788-2022</t>
        </is>
      </c>
      <c r="B561" s="1" t="n">
        <v>44846</v>
      </c>
      <c r="C561" s="1" t="n">
        <v>45567</v>
      </c>
      <c r="D561" t="inlineStr">
        <is>
          <t>UPPSALA LÄN</t>
        </is>
      </c>
      <c r="E561" t="inlineStr">
        <is>
          <t>ÖSTHAMMAR</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46448-2022</t>
        </is>
      </c>
      <c r="B562" s="1" t="n">
        <v>44848</v>
      </c>
      <c r="C562" s="1" t="n">
        <v>45567</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46915-2022</t>
        </is>
      </c>
      <c r="B563" s="1" t="n">
        <v>44851</v>
      </c>
      <c r="C563" s="1" t="n">
        <v>45567</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47163-2022</t>
        </is>
      </c>
      <c r="B564" s="1" t="n">
        <v>44852</v>
      </c>
      <c r="C564" s="1" t="n">
        <v>45567</v>
      </c>
      <c r="D564" t="inlineStr">
        <is>
          <t>UPPSALA LÄN</t>
        </is>
      </c>
      <c r="E564" t="inlineStr">
        <is>
          <t>ÖSTHAMMAR</t>
        </is>
      </c>
      <c r="G564" t="n">
        <v>5.5</v>
      </c>
      <c r="H564" t="n">
        <v>0</v>
      </c>
      <c r="I564" t="n">
        <v>0</v>
      </c>
      <c r="J564" t="n">
        <v>0</v>
      </c>
      <c r="K564" t="n">
        <v>0</v>
      </c>
      <c r="L564" t="n">
        <v>0</v>
      </c>
      <c r="M564" t="n">
        <v>0</v>
      </c>
      <c r="N564" t="n">
        <v>0</v>
      </c>
      <c r="O564" t="n">
        <v>0</v>
      </c>
      <c r="P564" t="n">
        <v>0</v>
      </c>
      <c r="Q564" t="n">
        <v>0</v>
      </c>
      <c r="R564" s="2" t="inlineStr"/>
    </row>
    <row r="565" ht="15" customHeight="1">
      <c r="A565" t="inlineStr">
        <is>
          <t>A 48191-2022</t>
        </is>
      </c>
      <c r="B565" s="1" t="n">
        <v>44858</v>
      </c>
      <c r="C565" s="1" t="n">
        <v>45567</v>
      </c>
      <c r="D565" t="inlineStr">
        <is>
          <t>UPPSALA LÄN</t>
        </is>
      </c>
      <c r="E565" t="inlineStr">
        <is>
          <t>ÖSTHAMMAR</t>
        </is>
      </c>
      <c r="G565" t="n">
        <v>3.4</v>
      </c>
      <c r="H565" t="n">
        <v>0</v>
      </c>
      <c r="I565" t="n">
        <v>0</v>
      </c>
      <c r="J565" t="n">
        <v>0</v>
      </c>
      <c r="K565" t="n">
        <v>0</v>
      </c>
      <c r="L565" t="n">
        <v>0</v>
      </c>
      <c r="M565" t="n">
        <v>0</v>
      </c>
      <c r="N565" t="n">
        <v>0</v>
      </c>
      <c r="O565" t="n">
        <v>0</v>
      </c>
      <c r="P565" t="n">
        <v>0</v>
      </c>
      <c r="Q565" t="n">
        <v>0</v>
      </c>
      <c r="R565" s="2" t="inlineStr"/>
    </row>
    <row r="566" ht="15" customHeight="1">
      <c r="A566" t="inlineStr">
        <is>
          <t>A 48231-2022</t>
        </is>
      </c>
      <c r="B566" s="1" t="n">
        <v>44858</v>
      </c>
      <c r="C566" s="1" t="n">
        <v>45567</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45567</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49334-2022</t>
        </is>
      </c>
      <c r="B568" s="1" t="n">
        <v>44861</v>
      </c>
      <c r="C568" s="1" t="n">
        <v>45567</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49914-2022</t>
        </is>
      </c>
      <c r="B569" s="1" t="n">
        <v>44865</v>
      </c>
      <c r="C569" s="1" t="n">
        <v>45567</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50576-2022</t>
        </is>
      </c>
      <c r="B570" s="1" t="n">
        <v>44866</v>
      </c>
      <c r="C570" s="1" t="n">
        <v>45567</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45567</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51696-2022</t>
        </is>
      </c>
      <c r="B572" s="1" t="n">
        <v>44872</v>
      </c>
      <c r="C572" s="1" t="n">
        <v>45567</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51906-2022</t>
        </is>
      </c>
      <c r="B573" s="1" t="n">
        <v>44872</v>
      </c>
      <c r="C573" s="1" t="n">
        <v>45567</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52265-2022</t>
        </is>
      </c>
      <c r="B574" s="1" t="n">
        <v>44873</v>
      </c>
      <c r="C574" s="1" t="n">
        <v>45567</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52255-2022</t>
        </is>
      </c>
      <c r="B575" s="1" t="n">
        <v>44873</v>
      </c>
      <c r="C575" s="1" t="n">
        <v>45567</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52295-2022</t>
        </is>
      </c>
      <c r="B576" s="1" t="n">
        <v>44873</v>
      </c>
      <c r="C576" s="1" t="n">
        <v>45567</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52652-2022</t>
        </is>
      </c>
      <c r="B577" s="1" t="n">
        <v>44874</v>
      </c>
      <c r="C577" s="1" t="n">
        <v>45567</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52389-2022</t>
        </is>
      </c>
      <c r="B578" s="1" t="n">
        <v>44874</v>
      </c>
      <c r="C578" s="1" t="n">
        <v>45567</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52663-2022</t>
        </is>
      </c>
      <c r="B579" s="1" t="n">
        <v>44874</v>
      </c>
      <c r="C579" s="1" t="n">
        <v>45567</v>
      </c>
      <c r="D579" t="inlineStr">
        <is>
          <t>UPPSALA LÄN</t>
        </is>
      </c>
      <c r="E579" t="inlineStr">
        <is>
          <t>ÖSTHAMMAR</t>
        </is>
      </c>
      <c r="F579" t="inlineStr">
        <is>
          <t>Bergvik skog öst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45567</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52661-2022</t>
        </is>
      </c>
      <c r="B581" s="1" t="n">
        <v>44874</v>
      </c>
      <c r="C581" s="1" t="n">
        <v>45567</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53180-2022</t>
        </is>
      </c>
      <c r="B582" s="1" t="n">
        <v>44876</v>
      </c>
      <c r="C582" s="1" t="n">
        <v>45567</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54666-2022</t>
        </is>
      </c>
      <c r="B583" s="1" t="n">
        <v>44883</v>
      </c>
      <c r="C583" s="1" t="n">
        <v>45567</v>
      </c>
      <c r="D583" t="inlineStr">
        <is>
          <t>UPPSALA LÄN</t>
        </is>
      </c>
      <c r="E583" t="inlineStr">
        <is>
          <t>ÖSTHAMMAR</t>
        </is>
      </c>
      <c r="G583" t="n">
        <v>14.3</v>
      </c>
      <c r="H583" t="n">
        <v>0</v>
      </c>
      <c r="I583" t="n">
        <v>0</v>
      </c>
      <c r="J583" t="n">
        <v>0</v>
      </c>
      <c r="K583" t="n">
        <v>0</v>
      </c>
      <c r="L583" t="n">
        <v>0</v>
      </c>
      <c r="M583" t="n">
        <v>0</v>
      </c>
      <c r="N583" t="n">
        <v>0</v>
      </c>
      <c r="O583" t="n">
        <v>0</v>
      </c>
      <c r="P583" t="n">
        <v>0</v>
      </c>
      <c r="Q583" t="n">
        <v>0</v>
      </c>
      <c r="R583" s="2" t="inlineStr"/>
    </row>
    <row r="584" ht="15" customHeight="1">
      <c r="A584" t="inlineStr">
        <is>
          <t>A 56260-2022</t>
        </is>
      </c>
      <c r="B584" s="1" t="n">
        <v>44890</v>
      </c>
      <c r="C584" s="1" t="n">
        <v>45567</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56969-2022</t>
        </is>
      </c>
      <c r="B585" s="1" t="n">
        <v>44894</v>
      </c>
      <c r="C585" s="1" t="n">
        <v>45567</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57462-2022</t>
        </is>
      </c>
      <c r="B586" s="1" t="n">
        <v>44896</v>
      </c>
      <c r="C586" s="1" t="n">
        <v>45567</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v>
      </c>
      <c r="C587" s="1" t="n">
        <v>45567</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58127-2022</t>
        </is>
      </c>
      <c r="B588" s="1" t="n">
        <v>44900</v>
      </c>
      <c r="C588" s="1" t="n">
        <v>45567</v>
      </c>
      <c r="D588" t="inlineStr">
        <is>
          <t>UPPSALA LÄN</t>
        </is>
      </c>
      <c r="E588" t="inlineStr">
        <is>
          <t>ÖSTHAMMAR</t>
        </is>
      </c>
      <c r="F588" t="inlineStr">
        <is>
          <t>Bergvik skog öst AB</t>
        </is>
      </c>
      <c r="G588" t="n">
        <v>6.4</v>
      </c>
      <c r="H588" t="n">
        <v>0</v>
      </c>
      <c r="I588" t="n">
        <v>0</v>
      </c>
      <c r="J588" t="n">
        <v>0</v>
      </c>
      <c r="K588" t="n">
        <v>0</v>
      </c>
      <c r="L588" t="n">
        <v>0</v>
      </c>
      <c r="M588" t="n">
        <v>0</v>
      </c>
      <c r="N588" t="n">
        <v>0</v>
      </c>
      <c r="O588" t="n">
        <v>0</v>
      </c>
      <c r="P588" t="n">
        <v>0</v>
      </c>
      <c r="Q588" t="n">
        <v>0</v>
      </c>
      <c r="R588" s="2" t="inlineStr"/>
    </row>
    <row r="589" ht="15" customHeight="1">
      <c r="A589" t="inlineStr">
        <is>
          <t>A 58367-2022</t>
        </is>
      </c>
      <c r="B589" s="1" t="n">
        <v>44901</v>
      </c>
      <c r="C589" s="1" t="n">
        <v>45567</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45567</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60258-2022</t>
        </is>
      </c>
      <c r="B591" s="1" t="n">
        <v>44903</v>
      </c>
      <c r="C591" s="1" t="n">
        <v>45567</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59382-2022</t>
        </is>
      </c>
      <c r="B592" s="1" t="n">
        <v>44905</v>
      </c>
      <c r="C592" s="1" t="n">
        <v>45567</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59563-2022</t>
        </is>
      </c>
      <c r="B593" s="1" t="n">
        <v>44907</v>
      </c>
      <c r="C593" s="1" t="n">
        <v>45567</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v>
      </c>
      <c r="C594" s="1" t="n">
        <v>45567</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60079-2022</t>
        </is>
      </c>
      <c r="B595" s="1" t="n">
        <v>44909</v>
      </c>
      <c r="C595" s="1" t="n">
        <v>45567</v>
      </c>
      <c r="D595" t="inlineStr">
        <is>
          <t>UPPSALA LÄN</t>
        </is>
      </c>
      <c r="E595" t="inlineStr">
        <is>
          <t>ÖSTHAMMAR</t>
        </is>
      </c>
      <c r="G595" t="n">
        <v>9.6</v>
      </c>
      <c r="H595" t="n">
        <v>0</v>
      </c>
      <c r="I595" t="n">
        <v>0</v>
      </c>
      <c r="J595" t="n">
        <v>0</v>
      </c>
      <c r="K595" t="n">
        <v>0</v>
      </c>
      <c r="L595" t="n">
        <v>0</v>
      </c>
      <c r="M595" t="n">
        <v>0</v>
      </c>
      <c r="N595" t="n">
        <v>0</v>
      </c>
      <c r="O595" t="n">
        <v>0</v>
      </c>
      <c r="P595" t="n">
        <v>0</v>
      </c>
      <c r="Q595" t="n">
        <v>0</v>
      </c>
      <c r="R595" s="2" t="inlineStr"/>
    </row>
    <row r="596" ht="15" customHeight="1">
      <c r="A596" t="inlineStr">
        <is>
          <t>A 60597-2022</t>
        </is>
      </c>
      <c r="B596" s="1" t="n">
        <v>44911</v>
      </c>
      <c r="C596" s="1" t="n">
        <v>45567</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61261-2022</t>
        </is>
      </c>
      <c r="B597" s="1" t="n">
        <v>44915</v>
      </c>
      <c r="C597" s="1" t="n">
        <v>45567</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61216-2022</t>
        </is>
      </c>
      <c r="B598" s="1" t="n">
        <v>44915</v>
      </c>
      <c r="C598" s="1" t="n">
        <v>45567</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v>
      </c>
      <c r="C599" s="1" t="n">
        <v>45567</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45567</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62394-2022</t>
        </is>
      </c>
      <c r="B601" s="1" t="n">
        <v>44923</v>
      </c>
      <c r="C601" s="1" t="n">
        <v>45567</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62393-2022</t>
        </is>
      </c>
      <c r="B602" s="1" t="n">
        <v>44923</v>
      </c>
      <c r="C602" s="1" t="n">
        <v>45567</v>
      </c>
      <c r="D602" t="inlineStr">
        <is>
          <t>UPPSALA LÄN</t>
        </is>
      </c>
      <c r="E602" t="inlineStr">
        <is>
          <t>ÖSTHAMMAR</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62392-2022</t>
        </is>
      </c>
      <c r="B603" s="1" t="n">
        <v>44923</v>
      </c>
      <c r="C603" s="1" t="n">
        <v>45567</v>
      </c>
      <c r="D603" t="inlineStr">
        <is>
          <t>UPPSALA LÄN</t>
        </is>
      </c>
      <c r="E603" t="inlineStr">
        <is>
          <t>ÖSTHAMMAR</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62391-2022</t>
        </is>
      </c>
      <c r="B604" s="1" t="n">
        <v>44923</v>
      </c>
      <c r="C604" s="1" t="n">
        <v>45567</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57-2023</t>
        </is>
      </c>
      <c r="B605" s="1" t="n">
        <v>44928</v>
      </c>
      <c r="C605" s="1" t="n">
        <v>45567</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59-2023</t>
        </is>
      </c>
      <c r="B606" s="1" t="n">
        <v>44928</v>
      </c>
      <c r="C606" s="1" t="n">
        <v>45567</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390-2023</t>
        </is>
      </c>
      <c r="B607" s="1" t="n">
        <v>44929</v>
      </c>
      <c r="C607" s="1" t="n">
        <v>45567</v>
      </c>
      <c r="D607" t="inlineStr">
        <is>
          <t>UPPSALA LÄN</t>
        </is>
      </c>
      <c r="E607" t="inlineStr">
        <is>
          <t>ÖSTHAMMAR</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1390-2023</t>
        </is>
      </c>
      <c r="B608" s="1" t="n">
        <v>44936</v>
      </c>
      <c r="C608" s="1" t="n">
        <v>45567</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1791-2023</t>
        </is>
      </c>
      <c r="B609" s="1" t="n">
        <v>44938</v>
      </c>
      <c r="C609" s="1" t="n">
        <v>45567</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1800-2023</t>
        </is>
      </c>
      <c r="B610" s="1" t="n">
        <v>44938</v>
      </c>
      <c r="C610" s="1" t="n">
        <v>45567</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1796-2023</t>
        </is>
      </c>
      <c r="B611" s="1" t="n">
        <v>44938</v>
      </c>
      <c r="C611" s="1" t="n">
        <v>45567</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2733-2023</t>
        </is>
      </c>
      <c r="B612" s="1" t="n">
        <v>44943</v>
      </c>
      <c r="C612" s="1" t="n">
        <v>45567</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2967-2023</t>
        </is>
      </c>
      <c r="B613" s="1" t="n">
        <v>44945</v>
      </c>
      <c r="C613" s="1" t="n">
        <v>45567</v>
      </c>
      <c r="D613" t="inlineStr">
        <is>
          <t>UPPSALA LÄN</t>
        </is>
      </c>
      <c r="E613" t="inlineStr">
        <is>
          <t>ÖSTHAMMAR</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3005-2023</t>
        </is>
      </c>
      <c r="B614" s="1" t="n">
        <v>44945</v>
      </c>
      <c r="C614" s="1" t="n">
        <v>45567</v>
      </c>
      <c r="D614" t="inlineStr">
        <is>
          <t>UPPSALA LÄN</t>
        </is>
      </c>
      <c r="E614" t="inlineStr">
        <is>
          <t>ÖSTHAMMAR</t>
        </is>
      </c>
      <c r="F614" t="inlineStr">
        <is>
          <t>Bergvik skog öst AB</t>
        </is>
      </c>
      <c r="G614" t="n">
        <v>6.5</v>
      </c>
      <c r="H614" t="n">
        <v>0</v>
      </c>
      <c r="I614" t="n">
        <v>0</v>
      </c>
      <c r="J614" t="n">
        <v>0</v>
      </c>
      <c r="K614" t="n">
        <v>0</v>
      </c>
      <c r="L614" t="n">
        <v>0</v>
      </c>
      <c r="M614" t="n">
        <v>0</v>
      </c>
      <c r="N614" t="n">
        <v>0</v>
      </c>
      <c r="O614" t="n">
        <v>0</v>
      </c>
      <c r="P614" t="n">
        <v>0</v>
      </c>
      <c r="Q614" t="n">
        <v>0</v>
      </c>
      <c r="R614" s="2" t="inlineStr"/>
    </row>
    <row r="615" ht="15" customHeight="1">
      <c r="A615" t="inlineStr">
        <is>
          <t>A 3743-2023</t>
        </is>
      </c>
      <c r="B615" s="1" t="n">
        <v>44948</v>
      </c>
      <c r="C615" s="1" t="n">
        <v>45567</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3327-2023</t>
        </is>
      </c>
      <c r="B616" s="1" t="n">
        <v>44949</v>
      </c>
      <c r="C616" s="1" t="n">
        <v>45567</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3514-2023</t>
        </is>
      </c>
      <c r="B617" s="1" t="n">
        <v>44950</v>
      </c>
      <c r="C617" s="1" t="n">
        <v>45567</v>
      </c>
      <c r="D617" t="inlineStr">
        <is>
          <t>UPPSALA LÄN</t>
        </is>
      </c>
      <c r="E617" t="inlineStr">
        <is>
          <t>ÖSTHAMMAR</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4004-2023</t>
        </is>
      </c>
      <c r="B618" s="1" t="n">
        <v>44952</v>
      </c>
      <c r="C618" s="1" t="n">
        <v>45567</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4054-2023</t>
        </is>
      </c>
      <c r="B619" s="1" t="n">
        <v>44952</v>
      </c>
      <c r="C619" s="1" t="n">
        <v>45567</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4233-2023</t>
        </is>
      </c>
      <c r="B620" s="1" t="n">
        <v>44953</v>
      </c>
      <c r="C620" s="1" t="n">
        <v>45567</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v>
      </c>
      <c r="C621" s="1" t="n">
        <v>45567</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4361-2023</t>
        </is>
      </c>
      <c r="B622" s="1" t="n">
        <v>44954</v>
      </c>
      <c r="C622" s="1" t="n">
        <v>45567</v>
      </c>
      <c r="D622" t="inlineStr">
        <is>
          <t>UPPSALA LÄN</t>
        </is>
      </c>
      <c r="E622" t="inlineStr">
        <is>
          <t>ÖSTHAMMAR</t>
        </is>
      </c>
      <c r="F622" t="inlineStr">
        <is>
          <t>Bergvik skog öst AB</t>
        </is>
      </c>
      <c r="G622" t="n">
        <v>18.3</v>
      </c>
      <c r="H622" t="n">
        <v>0</v>
      </c>
      <c r="I622" t="n">
        <v>0</v>
      </c>
      <c r="J622" t="n">
        <v>0</v>
      </c>
      <c r="K622" t="n">
        <v>0</v>
      </c>
      <c r="L622" t="n">
        <v>0</v>
      </c>
      <c r="M622" t="n">
        <v>0</v>
      </c>
      <c r="N622" t="n">
        <v>0</v>
      </c>
      <c r="O622" t="n">
        <v>0</v>
      </c>
      <c r="P622" t="n">
        <v>0</v>
      </c>
      <c r="Q622" t="n">
        <v>0</v>
      </c>
      <c r="R622" s="2" t="inlineStr"/>
    </row>
    <row r="623" ht="15" customHeight="1">
      <c r="A623" t="inlineStr">
        <is>
          <t>A 5404-2023</t>
        </is>
      </c>
      <c r="B623" s="1" t="n">
        <v>44957</v>
      </c>
      <c r="C623" s="1" t="n">
        <v>45567</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5429-2023</t>
        </is>
      </c>
      <c r="B624" s="1" t="n">
        <v>44959</v>
      </c>
      <c r="C624" s="1" t="n">
        <v>45567</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5430-2023</t>
        </is>
      </c>
      <c r="B625" s="1" t="n">
        <v>44959</v>
      </c>
      <c r="C625" s="1" t="n">
        <v>45567</v>
      </c>
      <c r="D625" t="inlineStr">
        <is>
          <t>UPPSALA LÄN</t>
        </is>
      </c>
      <c r="E625" t="inlineStr">
        <is>
          <t>ÖSTHAMMAR</t>
        </is>
      </c>
      <c r="F625" t="inlineStr">
        <is>
          <t>Bergvik skog öst AB</t>
        </is>
      </c>
      <c r="G625" t="n">
        <v>18.4</v>
      </c>
      <c r="H625" t="n">
        <v>0</v>
      </c>
      <c r="I625" t="n">
        <v>0</v>
      </c>
      <c r="J625" t="n">
        <v>0</v>
      </c>
      <c r="K625" t="n">
        <v>0</v>
      </c>
      <c r="L625" t="n">
        <v>0</v>
      </c>
      <c r="M625" t="n">
        <v>0</v>
      </c>
      <c r="N625" t="n">
        <v>0</v>
      </c>
      <c r="O625" t="n">
        <v>0</v>
      </c>
      <c r="P625" t="n">
        <v>0</v>
      </c>
      <c r="Q625" t="n">
        <v>0</v>
      </c>
      <c r="R625" s="2" t="inlineStr"/>
    </row>
    <row r="626" ht="15" customHeight="1">
      <c r="A626" t="inlineStr">
        <is>
          <t>A 5643-2023</t>
        </is>
      </c>
      <c r="B626" s="1" t="n">
        <v>44960</v>
      </c>
      <c r="C626" s="1" t="n">
        <v>45567</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6629-2023</t>
        </is>
      </c>
      <c r="B627" s="1" t="n">
        <v>44960</v>
      </c>
      <c r="C627" s="1" t="n">
        <v>45567</v>
      </c>
      <c r="D627" t="inlineStr">
        <is>
          <t>UPPSALA LÄN</t>
        </is>
      </c>
      <c r="E627" t="inlineStr">
        <is>
          <t>ÖSTHAMMAR</t>
        </is>
      </c>
      <c r="G627" t="n">
        <v>4.6</v>
      </c>
      <c r="H627" t="n">
        <v>0</v>
      </c>
      <c r="I627" t="n">
        <v>0</v>
      </c>
      <c r="J627" t="n">
        <v>0</v>
      </c>
      <c r="K627" t="n">
        <v>0</v>
      </c>
      <c r="L627" t="n">
        <v>0</v>
      </c>
      <c r="M627" t="n">
        <v>0</v>
      </c>
      <c r="N627" t="n">
        <v>0</v>
      </c>
      <c r="O627" t="n">
        <v>0</v>
      </c>
      <c r="P627" t="n">
        <v>0</v>
      </c>
      <c r="Q627" t="n">
        <v>0</v>
      </c>
      <c r="R627" s="2" t="inlineStr"/>
    </row>
    <row r="628" ht="15" customHeight="1">
      <c r="A628" t="inlineStr">
        <is>
          <t>A 6635-2023</t>
        </is>
      </c>
      <c r="B628" s="1" t="n">
        <v>44960</v>
      </c>
      <c r="C628" s="1" t="n">
        <v>45567</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5832-2023</t>
        </is>
      </c>
      <c r="B629" s="1" t="n">
        <v>44963</v>
      </c>
      <c r="C629" s="1" t="n">
        <v>45567</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5836-2023</t>
        </is>
      </c>
      <c r="B630" s="1" t="n">
        <v>44963</v>
      </c>
      <c r="C630" s="1" t="n">
        <v>45567</v>
      </c>
      <c r="D630" t="inlineStr">
        <is>
          <t>UPPSALA LÄN</t>
        </is>
      </c>
      <c r="E630" t="inlineStr">
        <is>
          <t>ÖSTHAMMAR</t>
        </is>
      </c>
      <c r="G630" t="n">
        <v>1.7</v>
      </c>
      <c r="H630" t="n">
        <v>0</v>
      </c>
      <c r="I630" t="n">
        <v>0</v>
      </c>
      <c r="J630" t="n">
        <v>0</v>
      </c>
      <c r="K630" t="n">
        <v>0</v>
      </c>
      <c r="L630" t="n">
        <v>0</v>
      </c>
      <c r="M630" t="n">
        <v>0</v>
      </c>
      <c r="N630" t="n">
        <v>0</v>
      </c>
      <c r="O630" t="n">
        <v>0</v>
      </c>
      <c r="P630" t="n">
        <v>0</v>
      </c>
      <c r="Q630" t="n">
        <v>0</v>
      </c>
      <c r="R630" s="2" t="inlineStr"/>
    </row>
    <row r="631" ht="15" customHeight="1">
      <c r="A631" t="inlineStr">
        <is>
          <t>A 5831-2023</t>
        </is>
      </c>
      <c r="B631" s="1" t="n">
        <v>44963</v>
      </c>
      <c r="C631" s="1" t="n">
        <v>45567</v>
      </c>
      <c r="D631" t="inlineStr">
        <is>
          <t>UPPSALA LÄN</t>
        </is>
      </c>
      <c r="E631" t="inlineStr">
        <is>
          <t>ÖSTHAMMAR</t>
        </is>
      </c>
      <c r="G631" t="n">
        <v>8.1</v>
      </c>
      <c r="H631" t="n">
        <v>0</v>
      </c>
      <c r="I631" t="n">
        <v>0</v>
      </c>
      <c r="J631" t="n">
        <v>0</v>
      </c>
      <c r="K631" t="n">
        <v>0</v>
      </c>
      <c r="L631" t="n">
        <v>0</v>
      </c>
      <c r="M631" t="n">
        <v>0</v>
      </c>
      <c r="N631" t="n">
        <v>0</v>
      </c>
      <c r="O631" t="n">
        <v>0</v>
      </c>
      <c r="P631" t="n">
        <v>0</v>
      </c>
      <c r="Q631" t="n">
        <v>0</v>
      </c>
      <c r="R631" s="2" t="inlineStr"/>
    </row>
    <row r="632" ht="15" customHeight="1">
      <c r="A632" t="inlineStr">
        <is>
          <t>A 5857-2023</t>
        </is>
      </c>
      <c r="B632" s="1" t="n">
        <v>44963</v>
      </c>
      <c r="C632" s="1" t="n">
        <v>45567</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5884-2023</t>
        </is>
      </c>
      <c r="B633" s="1" t="n">
        <v>44963</v>
      </c>
      <c r="C633" s="1" t="n">
        <v>45567</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5877-2023</t>
        </is>
      </c>
      <c r="B634" s="1" t="n">
        <v>44963</v>
      </c>
      <c r="C634" s="1" t="n">
        <v>45567</v>
      </c>
      <c r="D634" t="inlineStr">
        <is>
          <t>UPPSALA LÄN</t>
        </is>
      </c>
      <c r="E634" t="inlineStr">
        <is>
          <t>ÖSTHAMMAR</t>
        </is>
      </c>
      <c r="G634" t="n">
        <v>0.7</v>
      </c>
      <c r="H634" t="n">
        <v>0</v>
      </c>
      <c r="I634" t="n">
        <v>0</v>
      </c>
      <c r="J634" t="n">
        <v>0</v>
      </c>
      <c r="K634" t="n">
        <v>0</v>
      </c>
      <c r="L634" t="n">
        <v>0</v>
      </c>
      <c r="M634" t="n">
        <v>0</v>
      </c>
      <c r="N634" t="n">
        <v>0</v>
      </c>
      <c r="O634" t="n">
        <v>0</v>
      </c>
      <c r="P634" t="n">
        <v>0</v>
      </c>
      <c r="Q634" t="n">
        <v>0</v>
      </c>
      <c r="R634" s="2" t="inlineStr"/>
    </row>
    <row r="635" ht="15" customHeight="1">
      <c r="A635" t="inlineStr">
        <is>
          <t>A 7195-2023</t>
        </is>
      </c>
      <c r="B635" s="1" t="n">
        <v>44970</v>
      </c>
      <c r="C635" s="1" t="n">
        <v>45567</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7206-2023</t>
        </is>
      </c>
      <c r="B636" s="1" t="n">
        <v>44970</v>
      </c>
      <c r="C636" s="1" t="n">
        <v>45567</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7118-2023</t>
        </is>
      </c>
      <c r="B637" s="1" t="n">
        <v>44970</v>
      </c>
      <c r="C637" s="1" t="n">
        <v>45567</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7546-2023</t>
        </is>
      </c>
      <c r="B638" s="1" t="n">
        <v>44972</v>
      </c>
      <c r="C638" s="1" t="n">
        <v>45567</v>
      </c>
      <c r="D638" t="inlineStr">
        <is>
          <t>UPPSALA LÄN</t>
        </is>
      </c>
      <c r="E638" t="inlineStr">
        <is>
          <t>ÖSTHAMMAR</t>
        </is>
      </c>
      <c r="F638" t="inlineStr">
        <is>
          <t>Bergvik skog öst AB</t>
        </is>
      </c>
      <c r="G638" t="n">
        <v>3.2</v>
      </c>
      <c r="H638" t="n">
        <v>0</v>
      </c>
      <c r="I638" t="n">
        <v>0</v>
      </c>
      <c r="J638" t="n">
        <v>0</v>
      </c>
      <c r="K638" t="n">
        <v>0</v>
      </c>
      <c r="L638" t="n">
        <v>0</v>
      </c>
      <c r="M638" t="n">
        <v>0</v>
      </c>
      <c r="N638" t="n">
        <v>0</v>
      </c>
      <c r="O638" t="n">
        <v>0</v>
      </c>
      <c r="P638" t="n">
        <v>0</v>
      </c>
      <c r="Q638" t="n">
        <v>0</v>
      </c>
      <c r="R638" s="2" t="inlineStr"/>
    </row>
    <row r="639" ht="15" customHeight="1">
      <c r="A639" t="inlineStr">
        <is>
          <t>A 7543-2023</t>
        </is>
      </c>
      <c r="B639" s="1" t="n">
        <v>44972</v>
      </c>
      <c r="C639" s="1" t="n">
        <v>45567</v>
      </c>
      <c r="D639" t="inlineStr">
        <is>
          <t>UPPSALA LÄN</t>
        </is>
      </c>
      <c r="E639" t="inlineStr">
        <is>
          <t>ÖSTHAMMAR</t>
        </is>
      </c>
      <c r="F639" t="inlineStr">
        <is>
          <t>Bergvik skog öst AB</t>
        </is>
      </c>
      <c r="G639" t="n">
        <v>13.3</v>
      </c>
      <c r="H639" t="n">
        <v>0</v>
      </c>
      <c r="I639" t="n">
        <v>0</v>
      </c>
      <c r="J639" t="n">
        <v>0</v>
      </c>
      <c r="K639" t="n">
        <v>0</v>
      </c>
      <c r="L639" t="n">
        <v>0</v>
      </c>
      <c r="M639" t="n">
        <v>0</v>
      </c>
      <c r="N639" t="n">
        <v>0</v>
      </c>
      <c r="O639" t="n">
        <v>0</v>
      </c>
      <c r="P639" t="n">
        <v>0</v>
      </c>
      <c r="Q639" t="n">
        <v>0</v>
      </c>
      <c r="R639" s="2" t="inlineStr"/>
    </row>
    <row r="640" ht="15" customHeight="1">
      <c r="A640" t="inlineStr">
        <is>
          <t>A 7560-2023</t>
        </is>
      </c>
      <c r="B640" s="1" t="n">
        <v>44972</v>
      </c>
      <c r="C640" s="1" t="n">
        <v>45567</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7876-2023</t>
        </is>
      </c>
      <c r="B641" s="1" t="n">
        <v>44973</v>
      </c>
      <c r="C641" s="1" t="n">
        <v>45567</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7944-2023</t>
        </is>
      </c>
      <c r="B642" s="1" t="n">
        <v>44973</v>
      </c>
      <c r="C642" s="1" t="n">
        <v>45567</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7975-2023</t>
        </is>
      </c>
      <c r="B643" s="1" t="n">
        <v>44973</v>
      </c>
      <c r="C643" s="1" t="n">
        <v>45567</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45567</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8616-2023</t>
        </is>
      </c>
      <c r="B645" s="1" t="n">
        <v>44977</v>
      </c>
      <c r="C645" s="1" t="n">
        <v>45567</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8826-2023</t>
        </is>
      </c>
      <c r="B646" s="1" t="n">
        <v>44978</v>
      </c>
      <c r="C646" s="1" t="n">
        <v>45567</v>
      </c>
      <c r="D646" t="inlineStr">
        <is>
          <t>UPPSALA LÄN</t>
        </is>
      </c>
      <c r="E646" t="inlineStr">
        <is>
          <t>ÖSTHAMMAR</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8830-2023</t>
        </is>
      </c>
      <c r="B647" s="1" t="n">
        <v>44978</v>
      </c>
      <c r="C647" s="1" t="n">
        <v>45567</v>
      </c>
      <c r="D647" t="inlineStr">
        <is>
          <t>UPPSALA LÄN</t>
        </is>
      </c>
      <c r="E647" t="inlineStr">
        <is>
          <t>ÖSTHAMMAR</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9052-2023</t>
        </is>
      </c>
      <c r="B648" s="1" t="n">
        <v>44979</v>
      </c>
      <c r="C648" s="1" t="n">
        <v>45567</v>
      </c>
      <c r="D648" t="inlineStr">
        <is>
          <t>UPPSALA LÄN</t>
        </is>
      </c>
      <c r="E648" t="inlineStr">
        <is>
          <t>ÖSTHAMMAR</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9264-2023</t>
        </is>
      </c>
      <c r="B649" s="1" t="n">
        <v>44980</v>
      </c>
      <c r="C649" s="1" t="n">
        <v>45567</v>
      </c>
      <c r="D649" t="inlineStr">
        <is>
          <t>UPPSALA LÄN</t>
        </is>
      </c>
      <c r="E649" t="inlineStr">
        <is>
          <t>ÖSTHAMMAR</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9543-2023</t>
        </is>
      </c>
      <c r="B650" s="1" t="n">
        <v>44981</v>
      </c>
      <c r="C650" s="1" t="n">
        <v>45567</v>
      </c>
      <c r="D650" t="inlineStr">
        <is>
          <t>UPPSALA LÄN</t>
        </is>
      </c>
      <c r="E650" t="inlineStr">
        <is>
          <t>ÖSTHAMMAR</t>
        </is>
      </c>
      <c r="F650" t="inlineStr">
        <is>
          <t>Bergvik skog öst AB</t>
        </is>
      </c>
      <c r="G650" t="n">
        <v>5.9</v>
      </c>
      <c r="H650" t="n">
        <v>0</v>
      </c>
      <c r="I650" t="n">
        <v>0</v>
      </c>
      <c r="J650" t="n">
        <v>0</v>
      </c>
      <c r="K650" t="n">
        <v>0</v>
      </c>
      <c r="L650" t="n">
        <v>0</v>
      </c>
      <c r="M650" t="n">
        <v>0</v>
      </c>
      <c r="N650" t="n">
        <v>0</v>
      </c>
      <c r="O650" t="n">
        <v>0</v>
      </c>
      <c r="P650" t="n">
        <v>0</v>
      </c>
      <c r="Q650" t="n">
        <v>0</v>
      </c>
      <c r="R650" s="2" t="inlineStr"/>
    </row>
    <row r="651" ht="15" customHeight="1">
      <c r="A651" t="inlineStr">
        <is>
          <t>A 9542-2023</t>
        </is>
      </c>
      <c r="B651" s="1" t="n">
        <v>44981</v>
      </c>
      <c r="C651" s="1" t="n">
        <v>45567</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10034-2023</t>
        </is>
      </c>
      <c r="B652" s="1" t="n">
        <v>44985</v>
      </c>
      <c r="C652" s="1" t="n">
        <v>45567</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45567</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11017-2023</t>
        </is>
      </c>
      <c r="B654" s="1" t="n">
        <v>44991</v>
      </c>
      <c r="C654" s="1" t="n">
        <v>45567</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10982-2023</t>
        </is>
      </c>
      <c r="B655" s="1" t="n">
        <v>44991</v>
      </c>
      <c r="C655" s="1" t="n">
        <v>45567</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11008-2023</t>
        </is>
      </c>
      <c r="B656" s="1" t="n">
        <v>44991</v>
      </c>
      <c r="C656" s="1" t="n">
        <v>45567</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11015-2023</t>
        </is>
      </c>
      <c r="B657" s="1" t="n">
        <v>44991</v>
      </c>
      <c r="C657" s="1" t="n">
        <v>45567</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11036-2023</t>
        </is>
      </c>
      <c r="B658" s="1" t="n">
        <v>44991</v>
      </c>
      <c r="C658" s="1" t="n">
        <v>45567</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11009-2023</t>
        </is>
      </c>
      <c r="B659" s="1" t="n">
        <v>44991</v>
      </c>
      <c r="C659" s="1" t="n">
        <v>45567</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11033-2023</t>
        </is>
      </c>
      <c r="B660" s="1" t="n">
        <v>44991</v>
      </c>
      <c r="C660" s="1" t="n">
        <v>45567</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11282-2023</t>
        </is>
      </c>
      <c r="B661" s="1" t="n">
        <v>44992</v>
      </c>
      <c r="C661" s="1" t="n">
        <v>45567</v>
      </c>
      <c r="D661" t="inlineStr">
        <is>
          <t>UPPSALA LÄN</t>
        </is>
      </c>
      <c r="E661" t="inlineStr">
        <is>
          <t>ÖSTHAMMAR</t>
        </is>
      </c>
      <c r="F661" t="inlineStr">
        <is>
          <t>Bergvik skog öst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11281-2023</t>
        </is>
      </c>
      <c r="B662" s="1" t="n">
        <v>44992</v>
      </c>
      <c r="C662" s="1" t="n">
        <v>45567</v>
      </c>
      <c r="D662" t="inlineStr">
        <is>
          <t>UPPSALA LÄN</t>
        </is>
      </c>
      <c r="E662" t="inlineStr">
        <is>
          <t>ÖSTHAMMAR</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v>
      </c>
      <c r="C663" s="1" t="n">
        <v>45567</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12190-2023</t>
        </is>
      </c>
      <c r="B664" s="1" t="n">
        <v>44995</v>
      </c>
      <c r="C664" s="1" t="n">
        <v>45567</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12186-2023</t>
        </is>
      </c>
      <c r="B665" s="1" t="n">
        <v>44995</v>
      </c>
      <c r="C665" s="1" t="n">
        <v>45567</v>
      </c>
      <c r="D665" t="inlineStr">
        <is>
          <t>UPPSALA LÄN</t>
        </is>
      </c>
      <c r="E665" t="inlineStr">
        <is>
          <t>ÖSTHAMMAR</t>
        </is>
      </c>
      <c r="G665" t="n">
        <v>5.7</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v>
      </c>
      <c r="C666" s="1" t="n">
        <v>45567</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12215-2023</t>
        </is>
      </c>
      <c r="B667" s="1" t="n">
        <v>44998</v>
      </c>
      <c r="C667" s="1" t="n">
        <v>45567</v>
      </c>
      <c r="D667" t="inlineStr">
        <is>
          <t>UPPSALA LÄN</t>
        </is>
      </c>
      <c r="E667" t="inlineStr">
        <is>
          <t>ÖSTHAMMAR</t>
        </is>
      </c>
      <c r="G667" t="n">
        <v>5.1</v>
      </c>
      <c r="H667" t="n">
        <v>0</v>
      </c>
      <c r="I667" t="n">
        <v>0</v>
      </c>
      <c r="J667" t="n">
        <v>0</v>
      </c>
      <c r="K667" t="n">
        <v>0</v>
      </c>
      <c r="L667" t="n">
        <v>0</v>
      </c>
      <c r="M667" t="n">
        <v>0</v>
      </c>
      <c r="N667" t="n">
        <v>0</v>
      </c>
      <c r="O667" t="n">
        <v>0</v>
      </c>
      <c r="P667" t="n">
        <v>0</v>
      </c>
      <c r="Q667" t="n">
        <v>0</v>
      </c>
      <c r="R667" s="2" t="inlineStr"/>
    </row>
    <row r="668" ht="15" customHeight="1">
      <c r="A668" t="inlineStr">
        <is>
          <t>A 12497-2023</t>
        </is>
      </c>
      <c r="B668" s="1" t="n">
        <v>44999</v>
      </c>
      <c r="C668" s="1" t="n">
        <v>45567</v>
      </c>
      <c r="D668" t="inlineStr">
        <is>
          <t>UPPSALA LÄN</t>
        </is>
      </c>
      <c r="E668" t="inlineStr">
        <is>
          <t>ÖSTHAMMAR</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13336-2023</t>
        </is>
      </c>
      <c r="B669" s="1" t="n">
        <v>45005</v>
      </c>
      <c r="C669" s="1" t="n">
        <v>45567</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45567</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13643-2023</t>
        </is>
      </c>
      <c r="B671" s="1" t="n">
        <v>45006</v>
      </c>
      <c r="C671" s="1" t="n">
        <v>45567</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13580-2023</t>
        </is>
      </c>
      <c r="B672" s="1" t="n">
        <v>45006</v>
      </c>
      <c r="C672" s="1" t="n">
        <v>45567</v>
      </c>
      <c r="D672" t="inlineStr">
        <is>
          <t>UPPSALA LÄN</t>
        </is>
      </c>
      <c r="E672" t="inlineStr">
        <is>
          <t>ÖSTHAMMAR</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13584-2023</t>
        </is>
      </c>
      <c r="B673" s="1" t="n">
        <v>45006</v>
      </c>
      <c r="C673" s="1" t="n">
        <v>45567</v>
      </c>
      <c r="D673" t="inlineStr">
        <is>
          <t>UPPSALA LÄN</t>
        </is>
      </c>
      <c r="E673" t="inlineStr">
        <is>
          <t>ÖSTHAMMAR</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13738-2023</t>
        </is>
      </c>
      <c r="B674" s="1" t="n">
        <v>45007</v>
      </c>
      <c r="C674" s="1" t="n">
        <v>45567</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13767-2023</t>
        </is>
      </c>
      <c r="B675" s="1" t="n">
        <v>45007</v>
      </c>
      <c r="C675" s="1" t="n">
        <v>45567</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45567</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13771-2023</t>
        </is>
      </c>
      <c r="B677" s="1" t="n">
        <v>45007</v>
      </c>
      <c r="C677" s="1" t="n">
        <v>45567</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13736-2023</t>
        </is>
      </c>
      <c r="B678" s="1" t="n">
        <v>45007</v>
      </c>
      <c r="C678" s="1" t="n">
        <v>45567</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14505-2023</t>
        </is>
      </c>
      <c r="B679" s="1" t="n">
        <v>45012</v>
      </c>
      <c r="C679" s="1" t="n">
        <v>45567</v>
      </c>
      <c r="D679" t="inlineStr">
        <is>
          <t>UPPSALA LÄN</t>
        </is>
      </c>
      <c r="E679" t="inlineStr">
        <is>
          <t>ÖSTHAMMAR</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14510-2023</t>
        </is>
      </c>
      <c r="B680" s="1" t="n">
        <v>45012</v>
      </c>
      <c r="C680" s="1" t="n">
        <v>45567</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14595-2023</t>
        </is>
      </c>
      <c r="B681" s="1" t="n">
        <v>45013</v>
      </c>
      <c r="C681" s="1" t="n">
        <v>45567</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14822-2023</t>
        </is>
      </c>
      <c r="B682" s="1" t="n">
        <v>45014</v>
      </c>
      <c r="C682" s="1" t="n">
        <v>45567</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14835-2023</t>
        </is>
      </c>
      <c r="B683" s="1" t="n">
        <v>45014</v>
      </c>
      <c r="C683" s="1" t="n">
        <v>45567</v>
      </c>
      <c r="D683" t="inlineStr">
        <is>
          <t>UPPSALA LÄN</t>
        </is>
      </c>
      <c r="E683" t="inlineStr">
        <is>
          <t>ÖSTHAMMAR</t>
        </is>
      </c>
      <c r="G683" t="n">
        <v>9.5</v>
      </c>
      <c r="H683" t="n">
        <v>0</v>
      </c>
      <c r="I683" t="n">
        <v>0</v>
      </c>
      <c r="J683" t="n">
        <v>0</v>
      </c>
      <c r="K683" t="n">
        <v>0</v>
      </c>
      <c r="L683" t="n">
        <v>0</v>
      </c>
      <c r="M683" t="n">
        <v>0</v>
      </c>
      <c r="N683" t="n">
        <v>0</v>
      </c>
      <c r="O683" t="n">
        <v>0</v>
      </c>
      <c r="P683" t="n">
        <v>0</v>
      </c>
      <c r="Q683" t="n">
        <v>0</v>
      </c>
      <c r="R683" s="2" t="inlineStr"/>
    </row>
    <row r="684" ht="15" customHeight="1">
      <c r="A684" t="inlineStr">
        <is>
          <t>A 14889-2023</t>
        </is>
      </c>
      <c r="B684" s="1" t="n">
        <v>45015</v>
      </c>
      <c r="C684" s="1" t="n">
        <v>45567</v>
      </c>
      <c r="D684" t="inlineStr">
        <is>
          <t>UPPSALA LÄN</t>
        </is>
      </c>
      <c r="E684" t="inlineStr">
        <is>
          <t>ÖSTHAMMAR</t>
        </is>
      </c>
      <c r="F684" t="inlineStr">
        <is>
          <t>Bergvik skog öst AB</t>
        </is>
      </c>
      <c r="G684" t="n">
        <v>7.6</v>
      </c>
      <c r="H684" t="n">
        <v>0</v>
      </c>
      <c r="I684" t="n">
        <v>0</v>
      </c>
      <c r="J684" t="n">
        <v>0</v>
      </c>
      <c r="K684" t="n">
        <v>0</v>
      </c>
      <c r="L684" t="n">
        <v>0</v>
      </c>
      <c r="M684" t="n">
        <v>0</v>
      </c>
      <c r="N684" t="n">
        <v>0</v>
      </c>
      <c r="O684" t="n">
        <v>0</v>
      </c>
      <c r="P684" t="n">
        <v>0</v>
      </c>
      <c r="Q684" t="n">
        <v>0</v>
      </c>
      <c r="R684" s="2" t="inlineStr"/>
    </row>
    <row r="685" ht="15" customHeight="1">
      <c r="A685" t="inlineStr">
        <is>
          <t>A 14888-2023</t>
        </is>
      </c>
      <c r="B685" s="1" t="n">
        <v>45015</v>
      </c>
      <c r="C685" s="1" t="n">
        <v>45567</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14976-2023</t>
        </is>
      </c>
      <c r="B686" s="1" t="n">
        <v>45015</v>
      </c>
      <c r="C686" s="1" t="n">
        <v>45567</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15554-2023</t>
        </is>
      </c>
      <c r="B687" s="1" t="n">
        <v>45019</v>
      </c>
      <c r="C687" s="1" t="n">
        <v>45567</v>
      </c>
      <c r="D687" t="inlineStr">
        <is>
          <t>UPPSALA LÄN</t>
        </is>
      </c>
      <c r="E687" t="inlineStr">
        <is>
          <t>ÖSTHAMMAR</t>
        </is>
      </c>
      <c r="G687" t="n">
        <v>5.3</v>
      </c>
      <c r="H687" t="n">
        <v>0</v>
      </c>
      <c r="I687" t="n">
        <v>0</v>
      </c>
      <c r="J687" t="n">
        <v>0</v>
      </c>
      <c r="K687" t="n">
        <v>0</v>
      </c>
      <c r="L687" t="n">
        <v>0</v>
      </c>
      <c r="M687" t="n">
        <v>0</v>
      </c>
      <c r="N687" t="n">
        <v>0</v>
      </c>
      <c r="O687" t="n">
        <v>0</v>
      </c>
      <c r="P687" t="n">
        <v>0</v>
      </c>
      <c r="Q687" t="n">
        <v>0</v>
      </c>
      <c r="R687" s="2" t="inlineStr"/>
    </row>
    <row r="688" ht="15" customHeight="1">
      <c r="A688" t="inlineStr">
        <is>
          <t>A 16112-2023</t>
        </is>
      </c>
      <c r="B688" s="1" t="n">
        <v>45027</v>
      </c>
      <c r="C688" s="1" t="n">
        <v>45567</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16345-2023</t>
        </is>
      </c>
      <c r="B689" s="1" t="n">
        <v>45028</v>
      </c>
      <c r="C689" s="1" t="n">
        <v>45567</v>
      </c>
      <c r="D689" t="inlineStr">
        <is>
          <t>UPPSALA LÄN</t>
        </is>
      </c>
      <c r="E689" t="inlineStr">
        <is>
          <t>ÖSTHAMMAR</t>
        </is>
      </c>
      <c r="F689" t="inlineStr">
        <is>
          <t>Övriga Aktiebolag</t>
        </is>
      </c>
      <c r="G689" t="n">
        <v>10.1</v>
      </c>
      <c r="H689" t="n">
        <v>0</v>
      </c>
      <c r="I689" t="n">
        <v>0</v>
      </c>
      <c r="J689" t="n">
        <v>0</v>
      </c>
      <c r="K689" t="n">
        <v>0</v>
      </c>
      <c r="L689" t="n">
        <v>0</v>
      </c>
      <c r="M689" t="n">
        <v>0</v>
      </c>
      <c r="N689" t="n">
        <v>0</v>
      </c>
      <c r="O689" t="n">
        <v>0</v>
      </c>
      <c r="P689" t="n">
        <v>0</v>
      </c>
      <c r="Q689" t="n">
        <v>0</v>
      </c>
      <c r="R689" s="2" t="inlineStr"/>
    </row>
    <row r="690" ht="15" customHeight="1">
      <c r="A690" t="inlineStr">
        <is>
          <t>A 16701-2023</t>
        </is>
      </c>
      <c r="B690" s="1" t="n">
        <v>45030</v>
      </c>
      <c r="C690" s="1" t="n">
        <v>45567</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16954-2023</t>
        </is>
      </c>
      <c r="B691" s="1" t="n">
        <v>45033</v>
      </c>
      <c r="C691" s="1" t="n">
        <v>45567</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16948-2023</t>
        </is>
      </c>
      <c r="B692" s="1" t="n">
        <v>45033</v>
      </c>
      <c r="C692" s="1" t="n">
        <v>45567</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16966-2023</t>
        </is>
      </c>
      <c r="B693" s="1" t="n">
        <v>45033</v>
      </c>
      <c r="C693" s="1" t="n">
        <v>45567</v>
      </c>
      <c r="D693" t="inlineStr">
        <is>
          <t>UPPSALA LÄN</t>
        </is>
      </c>
      <c r="E693" t="inlineStr">
        <is>
          <t>ÖSTHAMMAR</t>
        </is>
      </c>
      <c r="G693" t="n">
        <v>0.9</v>
      </c>
      <c r="H693" t="n">
        <v>0</v>
      </c>
      <c r="I693" t="n">
        <v>0</v>
      </c>
      <c r="J693" t="n">
        <v>0</v>
      </c>
      <c r="K693" t="n">
        <v>0</v>
      </c>
      <c r="L693" t="n">
        <v>0</v>
      </c>
      <c r="M693" t="n">
        <v>0</v>
      </c>
      <c r="N693" t="n">
        <v>0</v>
      </c>
      <c r="O693" t="n">
        <v>0</v>
      </c>
      <c r="P693" t="n">
        <v>0</v>
      </c>
      <c r="Q693" t="n">
        <v>0</v>
      </c>
      <c r="R693" s="2" t="inlineStr"/>
    </row>
    <row r="694" ht="15" customHeight="1">
      <c r="A694" t="inlineStr">
        <is>
          <t>A 17028-2023</t>
        </is>
      </c>
      <c r="B694" s="1" t="n">
        <v>45034</v>
      </c>
      <c r="C694" s="1" t="n">
        <v>45567</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17631-2023</t>
        </is>
      </c>
      <c r="B695" s="1" t="n">
        <v>45036</v>
      </c>
      <c r="C695" s="1" t="n">
        <v>45567</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17850-2023</t>
        </is>
      </c>
      <c r="B696" s="1" t="n">
        <v>45037</v>
      </c>
      <c r="C696" s="1" t="n">
        <v>45567</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17851-2023</t>
        </is>
      </c>
      <c r="B697" s="1" t="n">
        <v>45037</v>
      </c>
      <c r="C697" s="1" t="n">
        <v>45567</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17854-2023</t>
        </is>
      </c>
      <c r="B698" s="1" t="n">
        <v>45037</v>
      </c>
      <c r="C698" s="1" t="n">
        <v>45567</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18091-2023</t>
        </is>
      </c>
      <c r="B699" s="1" t="n">
        <v>45040</v>
      </c>
      <c r="C699" s="1" t="n">
        <v>45567</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17970-2023</t>
        </is>
      </c>
      <c r="B700" s="1" t="n">
        <v>45040</v>
      </c>
      <c r="C700" s="1" t="n">
        <v>45567</v>
      </c>
      <c r="D700" t="inlineStr">
        <is>
          <t>UPPSALA LÄN</t>
        </is>
      </c>
      <c r="E700" t="inlineStr">
        <is>
          <t>ÖSTHAMMAR</t>
        </is>
      </c>
      <c r="G700" t="n">
        <v>3.3</v>
      </c>
      <c r="H700" t="n">
        <v>0</v>
      </c>
      <c r="I700" t="n">
        <v>0</v>
      </c>
      <c r="J700" t="n">
        <v>0</v>
      </c>
      <c r="K700" t="n">
        <v>0</v>
      </c>
      <c r="L700" t="n">
        <v>0</v>
      </c>
      <c r="M700" t="n">
        <v>0</v>
      </c>
      <c r="N700" t="n">
        <v>0</v>
      </c>
      <c r="O700" t="n">
        <v>0</v>
      </c>
      <c r="P700" t="n">
        <v>0</v>
      </c>
      <c r="Q700" t="n">
        <v>0</v>
      </c>
      <c r="R700" s="2" t="inlineStr"/>
    </row>
    <row r="701" ht="15" customHeight="1">
      <c r="A701" t="inlineStr">
        <is>
          <t>A 18074-2023</t>
        </is>
      </c>
      <c r="B701" s="1" t="n">
        <v>45040</v>
      </c>
      <c r="C701" s="1" t="n">
        <v>45567</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18113-2023</t>
        </is>
      </c>
      <c r="B702" s="1" t="n">
        <v>45040</v>
      </c>
      <c r="C702" s="1" t="n">
        <v>45567</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17969-2023</t>
        </is>
      </c>
      <c r="B703" s="1" t="n">
        <v>45040</v>
      </c>
      <c r="C703" s="1" t="n">
        <v>45567</v>
      </c>
      <c r="D703" t="inlineStr">
        <is>
          <t>UPPSALA LÄN</t>
        </is>
      </c>
      <c r="E703" t="inlineStr">
        <is>
          <t>ÖSTHAMMAR</t>
        </is>
      </c>
      <c r="G703" t="n">
        <v>5.4</v>
      </c>
      <c r="H703" t="n">
        <v>0</v>
      </c>
      <c r="I703" t="n">
        <v>0</v>
      </c>
      <c r="J703" t="n">
        <v>0</v>
      </c>
      <c r="K703" t="n">
        <v>0</v>
      </c>
      <c r="L703" t="n">
        <v>0</v>
      </c>
      <c r="M703" t="n">
        <v>0</v>
      </c>
      <c r="N703" t="n">
        <v>0</v>
      </c>
      <c r="O703" t="n">
        <v>0</v>
      </c>
      <c r="P703" t="n">
        <v>0</v>
      </c>
      <c r="Q703" t="n">
        <v>0</v>
      </c>
      <c r="R703" s="2" t="inlineStr"/>
    </row>
    <row r="704" ht="15" customHeight="1">
      <c r="A704" t="inlineStr">
        <is>
          <t>A 18219-2023</t>
        </is>
      </c>
      <c r="B704" s="1" t="n">
        <v>45041</v>
      </c>
      <c r="C704" s="1" t="n">
        <v>45567</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18536-2023</t>
        </is>
      </c>
      <c r="B705" s="1" t="n">
        <v>45042</v>
      </c>
      <c r="C705" s="1" t="n">
        <v>45567</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18386-2023</t>
        </is>
      </c>
      <c r="B706" s="1" t="n">
        <v>45042</v>
      </c>
      <c r="C706" s="1" t="n">
        <v>45567</v>
      </c>
      <c r="D706" t="inlineStr">
        <is>
          <t>UPPSALA LÄN</t>
        </is>
      </c>
      <c r="E706" t="inlineStr">
        <is>
          <t>ÖSTHAMMAR</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18535-2023</t>
        </is>
      </c>
      <c r="B707" s="1" t="n">
        <v>45042</v>
      </c>
      <c r="C707" s="1" t="n">
        <v>45567</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18534-2023</t>
        </is>
      </c>
      <c r="B708" s="1" t="n">
        <v>45042</v>
      </c>
      <c r="C708" s="1" t="n">
        <v>45567</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18538-2023</t>
        </is>
      </c>
      <c r="B709" s="1" t="n">
        <v>45042</v>
      </c>
      <c r="C709" s="1" t="n">
        <v>45567</v>
      </c>
      <c r="D709" t="inlineStr">
        <is>
          <t>UPPSALA LÄN</t>
        </is>
      </c>
      <c r="E709" t="inlineStr">
        <is>
          <t>ÖSTHAMMAR</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18838-2023</t>
        </is>
      </c>
      <c r="B710" s="1" t="n">
        <v>45044</v>
      </c>
      <c r="C710" s="1" t="n">
        <v>45567</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18839-2023</t>
        </is>
      </c>
      <c r="B711" s="1" t="n">
        <v>45044</v>
      </c>
      <c r="C711" s="1" t="n">
        <v>45567</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18841-2023</t>
        </is>
      </c>
      <c r="B712" s="1" t="n">
        <v>45044</v>
      </c>
      <c r="C712" s="1" t="n">
        <v>45567</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18945-2023</t>
        </is>
      </c>
      <c r="B713" s="1" t="n">
        <v>45044</v>
      </c>
      <c r="C713" s="1" t="n">
        <v>45567</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18946-2023</t>
        </is>
      </c>
      <c r="B714" s="1" t="n">
        <v>45044</v>
      </c>
      <c r="C714" s="1" t="n">
        <v>45567</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19012-2023</t>
        </is>
      </c>
      <c r="B715" s="1" t="n">
        <v>45045</v>
      </c>
      <c r="C715" s="1" t="n">
        <v>45567</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19015-2023</t>
        </is>
      </c>
      <c r="B716" s="1" t="n">
        <v>45045</v>
      </c>
      <c r="C716" s="1" t="n">
        <v>45567</v>
      </c>
      <c r="D716" t="inlineStr">
        <is>
          <t>UPPSALA LÄN</t>
        </is>
      </c>
      <c r="E716" t="inlineStr">
        <is>
          <t>ÖSTHAMMAR</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19010-2023</t>
        </is>
      </c>
      <c r="B717" s="1" t="n">
        <v>45045</v>
      </c>
      <c r="C717" s="1" t="n">
        <v>45567</v>
      </c>
      <c r="D717" t="inlineStr">
        <is>
          <t>UPPSALA LÄN</t>
        </is>
      </c>
      <c r="E717" t="inlineStr">
        <is>
          <t>ÖSTHAMMAR</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19014-2023</t>
        </is>
      </c>
      <c r="B718" s="1" t="n">
        <v>45045</v>
      </c>
      <c r="C718" s="1" t="n">
        <v>45567</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45567</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19041-2023</t>
        </is>
      </c>
      <c r="B720" s="1" t="n">
        <v>45047</v>
      </c>
      <c r="C720" s="1" t="n">
        <v>45567</v>
      </c>
      <c r="D720" t="inlineStr">
        <is>
          <t>UPPSALA LÄN</t>
        </is>
      </c>
      <c r="E720" t="inlineStr">
        <is>
          <t>ÖSTHAMMAR</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19040-2023</t>
        </is>
      </c>
      <c r="B721" s="1" t="n">
        <v>45047</v>
      </c>
      <c r="C721" s="1" t="n">
        <v>45567</v>
      </c>
      <c r="D721" t="inlineStr">
        <is>
          <t>UPPSALA LÄN</t>
        </is>
      </c>
      <c r="E721" t="inlineStr">
        <is>
          <t>ÖSTHAMMAR</t>
        </is>
      </c>
      <c r="F721" t="inlineStr">
        <is>
          <t>Bergvik skog öst AB</t>
        </is>
      </c>
      <c r="G721" t="n">
        <v>1.7</v>
      </c>
      <c r="H721" t="n">
        <v>0</v>
      </c>
      <c r="I721" t="n">
        <v>0</v>
      </c>
      <c r="J721" t="n">
        <v>0</v>
      </c>
      <c r="K721" t="n">
        <v>0</v>
      </c>
      <c r="L721" t="n">
        <v>0</v>
      </c>
      <c r="M721" t="n">
        <v>0</v>
      </c>
      <c r="N721" t="n">
        <v>0</v>
      </c>
      <c r="O721" t="n">
        <v>0</v>
      </c>
      <c r="P721" t="n">
        <v>0</v>
      </c>
      <c r="Q721" t="n">
        <v>0</v>
      </c>
      <c r="R721" s="2" t="inlineStr"/>
    </row>
    <row r="722" ht="15" customHeight="1">
      <c r="A722" t="inlineStr">
        <is>
          <t>A 19102-2023</t>
        </is>
      </c>
      <c r="B722" s="1" t="n">
        <v>45048</v>
      </c>
      <c r="C722" s="1" t="n">
        <v>45567</v>
      </c>
      <c r="D722" t="inlineStr">
        <is>
          <t>UPPSALA LÄN</t>
        </is>
      </c>
      <c r="E722" t="inlineStr">
        <is>
          <t>ÖSTHAMMAR</t>
        </is>
      </c>
      <c r="F722" t="inlineStr">
        <is>
          <t>Bergvik skog öst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19099-2023</t>
        </is>
      </c>
      <c r="B723" s="1" t="n">
        <v>45048</v>
      </c>
      <c r="C723" s="1" t="n">
        <v>45567</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19097-2023</t>
        </is>
      </c>
      <c r="B724" s="1" t="n">
        <v>45048</v>
      </c>
      <c r="C724" s="1" t="n">
        <v>45567</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19215-2023</t>
        </is>
      </c>
      <c r="B725" s="1" t="n">
        <v>45048</v>
      </c>
      <c r="C725" s="1" t="n">
        <v>45567</v>
      </c>
      <c r="D725" t="inlineStr">
        <is>
          <t>UPPSALA LÄN</t>
        </is>
      </c>
      <c r="E725" t="inlineStr">
        <is>
          <t>ÖSTHAMMAR</t>
        </is>
      </c>
      <c r="G725" t="n">
        <v>2.3</v>
      </c>
      <c r="H725" t="n">
        <v>0</v>
      </c>
      <c r="I725" t="n">
        <v>0</v>
      </c>
      <c r="J725" t="n">
        <v>0</v>
      </c>
      <c r="K725" t="n">
        <v>0</v>
      </c>
      <c r="L725" t="n">
        <v>0</v>
      </c>
      <c r="M725" t="n">
        <v>0</v>
      </c>
      <c r="N725" t="n">
        <v>0</v>
      </c>
      <c r="O725" t="n">
        <v>0</v>
      </c>
      <c r="P725" t="n">
        <v>0</v>
      </c>
      <c r="Q725" t="n">
        <v>0</v>
      </c>
      <c r="R725" s="2" t="inlineStr"/>
    </row>
    <row r="726" ht="15" customHeight="1">
      <c r="A726" t="inlineStr">
        <is>
          <t>A 19216-2023</t>
        </is>
      </c>
      <c r="B726" s="1" t="n">
        <v>45048</v>
      </c>
      <c r="C726" s="1" t="n">
        <v>45567</v>
      </c>
      <c r="D726" t="inlineStr">
        <is>
          <t>UPPSALA LÄN</t>
        </is>
      </c>
      <c r="E726" t="inlineStr">
        <is>
          <t>ÖSTHAMMAR</t>
        </is>
      </c>
      <c r="G726" t="n">
        <v>11.3</v>
      </c>
      <c r="H726" t="n">
        <v>0</v>
      </c>
      <c r="I726" t="n">
        <v>0</v>
      </c>
      <c r="J726" t="n">
        <v>0</v>
      </c>
      <c r="K726" t="n">
        <v>0</v>
      </c>
      <c r="L726" t="n">
        <v>0</v>
      </c>
      <c r="M726" t="n">
        <v>0</v>
      </c>
      <c r="N726" t="n">
        <v>0</v>
      </c>
      <c r="O726" t="n">
        <v>0</v>
      </c>
      <c r="P726" t="n">
        <v>0</v>
      </c>
      <c r="Q726" t="n">
        <v>0</v>
      </c>
      <c r="R726" s="2" t="inlineStr"/>
    </row>
    <row r="727" ht="15" customHeight="1">
      <c r="A727" t="inlineStr">
        <is>
          <t>A 19784-2023</t>
        </is>
      </c>
      <c r="B727" s="1" t="n">
        <v>45051</v>
      </c>
      <c r="C727" s="1" t="n">
        <v>45567</v>
      </c>
      <c r="D727" t="inlineStr">
        <is>
          <t>UPPSALA LÄN</t>
        </is>
      </c>
      <c r="E727" t="inlineStr">
        <is>
          <t>ÖSTHAMMAR</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19801-2023</t>
        </is>
      </c>
      <c r="B728" s="1" t="n">
        <v>45051</v>
      </c>
      <c r="C728" s="1" t="n">
        <v>45567</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19968-2023</t>
        </is>
      </c>
      <c r="B729" s="1" t="n">
        <v>45054</v>
      </c>
      <c r="C729" s="1" t="n">
        <v>45567</v>
      </c>
      <c r="D729" t="inlineStr">
        <is>
          <t>UPPSALA LÄN</t>
        </is>
      </c>
      <c r="E729" t="inlineStr">
        <is>
          <t>ÖSTHAMMAR</t>
        </is>
      </c>
      <c r="G729" t="n">
        <v>5.8</v>
      </c>
      <c r="H729" t="n">
        <v>0</v>
      </c>
      <c r="I729" t="n">
        <v>0</v>
      </c>
      <c r="J729" t="n">
        <v>0</v>
      </c>
      <c r="K729" t="n">
        <v>0</v>
      </c>
      <c r="L729" t="n">
        <v>0</v>
      </c>
      <c r="M729" t="n">
        <v>0</v>
      </c>
      <c r="N729" t="n">
        <v>0</v>
      </c>
      <c r="O729" t="n">
        <v>0</v>
      </c>
      <c r="P729" t="n">
        <v>0</v>
      </c>
      <c r="Q729" t="n">
        <v>0</v>
      </c>
      <c r="R729" s="2" t="inlineStr"/>
    </row>
    <row r="730" ht="15" customHeight="1">
      <c r="A730" t="inlineStr">
        <is>
          <t>A 20038-2023</t>
        </is>
      </c>
      <c r="B730" s="1" t="n">
        <v>45054</v>
      </c>
      <c r="C730" s="1" t="n">
        <v>45567</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20046-2023</t>
        </is>
      </c>
      <c r="B731" s="1" t="n">
        <v>45054</v>
      </c>
      <c r="C731" s="1" t="n">
        <v>45567</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20029-2023</t>
        </is>
      </c>
      <c r="B732" s="1" t="n">
        <v>45054</v>
      </c>
      <c r="C732" s="1" t="n">
        <v>45567</v>
      </c>
      <c r="D732" t="inlineStr">
        <is>
          <t>UPPSALA LÄN</t>
        </is>
      </c>
      <c r="E732" t="inlineStr">
        <is>
          <t>ÖSTHAMMAR</t>
        </is>
      </c>
      <c r="G732" t="n">
        <v>4.8</v>
      </c>
      <c r="H732" t="n">
        <v>0</v>
      </c>
      <c r="I732" t="n">
        <v>0</v>
      </c>
      <c r="J732" t="n">
        <v>0</v>
      </c>
      <c r="K732" t="n">
        <v>0</v>
      </c>
      <c r="L732" t="n">
        <v>0</v>
      </c>
      <c r="M732" t="n">
        <v>0</v>
      </c>
      <c r="N732" t="n">
        <v>0</v>
      </c>
      <c r="O732" t="n">
        <v>0</v>
      </c>
      <c r="P732" t="n">
        <v>0</v>
      </c>
      <c r="Q732" t="n">
        <v>0</v>
      </c>
      <c r="R732" s="2" t="inlineStr"/>
    </row>
    <row r="733" ht="15" customHeight="1">
      <c r="A733" t="inlineStr">
        <is>
          <t>A 20366-2023</t>
        </is>
      </c>
      <c r="B733" s="1" t="n">
        <v>45056</v>
      </c>
      <c r="C733" s="1" t="n">
        <v>45567</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20572-2023</t>
        </is>
      </c>
      <c r="B734" s="1" t="n">
        <v>45057</v>
      </c>
      <c r="C734" s="1" t="n">
        <v>45567</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20657-2023</t>
        </is>
      </c>
      <c r="B735" s="1" t="n">
        <v>45058</v>
      </c>
      <c r="C735" s="1" t="n">
        <v>45567</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20664-2023</t>
        </is>
      </c>
      <c r="B736" s="1" t="n">
        <v>45058</v>
      </c>
      <c r="C736" s="1" t="n">
        <v>45567</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20680-2023</t>
        </is>
      </c>
      <c r="B737" s="1" t="n">
        <v>45058</v>
      </c>
      <c r="C737" s="1" t="n">
        <v>45567</v>
      </c>
      <c r="D737" t="inlineStr">
        <is>
          <t>UPPSALA LÄN</t>
        </is>
      </c>
      <c r="E737" t="inlineStr">
        <is>
          <t>ÖSTHAMMAR</t>
        </is>
      </c>
      <c r="F737" t="inlineStr">
        <is>
          <t>Bergvik skog öst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20677-2023</t>
        </is>
      </c>
      <c r="B738" s="1" t="n">
        <v>45058</v>
      </c>
      <c r="C738" s="1" t="n">
        <v>45567</v>
      </c>
      <c r="D738" t="inlineStr">
        <is>
          <t>UPPSALA LÄN</t>
        </is>
      </c>
      <c r="E738" t="inlineStr">
        <is>
          <t>ÖSTHAMMAR</t>
        </is>
      </c>
      <c r="F738" t="inlineStr">
        <is>
          <t>Bergvik skog öst AB</t>
        </is>
      </c>
      <c r="G738" t="n">
        <v>4</v>
      </c>
      <c r="H738" t="n">
        <v>0</v>
      </c>
      <c r="I738" t="n">
        <v>0</v>
      </c>
      <c r="J738" t="n">
        <v>0</v>
      </c>
      <c r="K738" t="n">
        <v>0</v>
      </c>
      <c r="L738" t="n">
        <v>0</v>
      </c>
      <c r="M738" t="n">
        <v>0</v>
      </c>
      <c r="N738" t="n">
        <v>0</v>
      </c>
      <c r="O738" t="n">
        <v>0</v>
      </c>
      <c r="P738" t="n">
        <v>0</v>
      </c>
      <c r="Q738" t="n">
        <v>0</v>
      </c>
      <c r="R738" s="2" t="inlineStr"/>
    </row>
    <row r="739" ht="15" customHeight="1">
      <c r="A739" t="inlineStr">
        <is>
          <t>A 21478-2023</t>
        </is>
      </c>
      <c r="B739" s="1" t="n">
        <v>45063</v>
      </c>
      <c r="C739" s="1" t="n">
        <v>45567</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21615-2023</t>
        </is>
      </c>
      <c r="B740" s="1" t="n">
        <v>45063</v>
      </c>
      <c r="C740" s="1" t="n">
        <v>45567</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21624-2023</t>
        </is>
      </c>
      <c r="B741" s="1" t="n">
        <v>45063</v>
      </c>
      <c r="C741" s="1" t="n">
        <v>45567</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21862-2023</t>
        </is>
      </c>
      <c r="B742" s="1" t="n">
        <v>45068</v>
      </c>
      <c r="C742" s="1" t="n">
        <v>45567</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22405-2023</t>
        </is>
      </c>
      <c r="B743" s="1" t="n">
        <v>45070</v>
      </c>
      <c r="C743" s="1" t="n">
        <v>45567</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22413-2023</t>
        </is>
      </c>
      <c r="B744" s="1" t="n">
        <v>45070</v>
      </c>
      <c r="C744" s="1" t="n">
        <v>45567</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22322-2023</t>
        </is>
      </c>
      <c r="B745" s="1" t="n">
        <v>45070</v>
      </c>
      <c r="C745" s="1" t="n">
        <v>45567</v>
      </c>
      <c r="D745" t="inlineStr">
        <is>
          <t>UPPSALA LÄN</t>
        </is>
      </c>
      <c r="E745" t="inlineStr">
        <is>
          <t>ÖSTHAMMAR</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22701-2023</t>
        </is>
      </c>
      <c r="B746" s="1" t="n">
        <v>45071</v>
      </c>
      <c r="C746" s="1" t="n">
        <v>45567</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22794-2023</t>
        </is>
      </c>
      <c r="B747" s="1" t="n">
        <v>45072</v>
      </c>
      <c r="C747" s="1" t="n">
        <v>45567</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45567</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22796-2023</t>
        </is>
      </c>
      <c r="B749" s="1" t="n">
        <v>45072</v>
      </c>
      <c r="C749" s="1" t="n">
        <v>45567</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23083-2023</t>
        </is>
      </c>
      <c r="B750" s="1" t="n">
        <v>45075</v>
      </c>
      <c r="C750" s="1" t="n">
        <v>45567</v>
      </c>
      <c r="D750" t="inlineStr">
        <is>
          <t>UPPSALA LÄN</t>
        </is>
      </c>
      <c r="E750" t="inlineStr">
        <is>
          <t>ÖSTHAMMAR</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23064-2023</t>
        </is>
      </c>
      <c r="B751" s="1" t="n">
        <v>45075</v>
      </c>
      <c r="C751" s="1" t="n">
        <v>45567</v>
      </c>
      <c r="D751" t="inlineStr">
        <is>
          <t>UPPSALA LÄN</t>
        </is>
      </c>
      <c r="E751" t="inlineStr">
        <is>
          <t>ÖSTHAMMAR</t>
        </is>
      </c>
      <c r="F751" t="inlineStr">
        <is>
          <t>Kyrkan</t>
        </is>
      </c>
      <c r="G751" t="n">
        <v>16.6</v>
      </c>
      <c r="H751" t="n">
        <v>0</v>
      </c>
      <c r="I751" t="n">
        <v>0</v>
      </c>
      <c r="J751" t="n">
        <v>0</v>
      </c>
      <c r="K751" t="n">
        <v>0</v>
      </c>
      <c r="L751" t="n">
        <v>0</v>
      </c>
      <c r="M751" t="n">
        <v>0</v>
      </c>
      <c r="N751" t="n">
        <v>0</v>
      </c>
      <c r="O751" t="n">
        <v>0</v>
      </c>
      <c r="P751" t="n">
        <v>0</v>
      </c>
      <c r="Q751" t="n">
        <v>0</v>
      </c>
      <c r="R751" s="2" t="inlineStr"/>
    </row>
    <row r="752" ht="15" customHeight="1">
      <c r="A752" t="inlineStr">
        <is>
          <t>A 23197-2023</t>
        </is>
      </c>
      <c r="B752" s="1" t="n">
        <v>45075</v>
      </c>
      <c r="C752" s="1" t="n">
        <v>45567</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23142-2023</t>
        </is>
      </c>
      <c r="B753" s="1" t="n">
        <v>45075</v>
      </c>
      <c r="C753" s="1" t="n">
        <v>45567</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23059-2023</t>
        </is>
      </c>
      <c r="B754" s="1" t="n">
        <v>45075</v>
      </c>
      <c r="C754" s="1" t="n">
        <v>45567</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23363-2023</t>
        </is>
      </c>
      <c r="B755" s="1" t="n">
        <v>45076</v>
      </c>
      <c r="C755" s="1" t="n">
        <v>45567</v>
      </c>
      <c r="D755" t="inlineStr">
        <is>
          <t>UPPSALA LÄN</t>
        </is>
      </c>
      <c r="E755" t="inlineStr">
        <is>
          <t>ÖSTHAMMAR</t>
        </is>
      </c>
      <c r="G755" t="n">
        <v>3</v>
      </c>
      <c r="H755" t="n">
        <v>0</v>
      </c>
      <c r="I755" t="n">
        <v>0</v>
      </c>
      <c r="J755" t="n">
        <v>0</v>
      </c>
      <c r="K755" t="n">
        <v>0</v>
      </c>
      <c r="L755" t="n">
        <v>0</v>
      </c>
      <c r="M755" t="n">
        <v>0</v>
      </c>
      <c r="N755" t="n">
        <v>0</v>
      </c>
      <c r="O755" t="n">
        <v>0</v>
      </c>
      <c r="P755" t="n">
        <v>0</v>
      </c>
      <c r="Q755" t="n">
        <v>0</v>
      </c>
      <c r="R755" s="2" t="inlineStr"/>
    </row>
    <row r="756" ht="15" customHeight="1">
      <c r="A756" t="inlineStr">
        <is>
          <t>A 23495-2023</t>
        </is>
      </c>
      <c r="B756" s="1" t="n">
        <v>45076</v>
      </c>
      <c r="C756" s="1" t="n">
        <v>45567</v>
      </c>
      <c r="D756" t="inlineStr">
        <is>
          <t>UPPSALA LÄN</t>
        </is>
      </c>
      <c r="E756" t="inlineStr">
        <is>
          <t>ÖSTHAMMAR</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24033-2023</t>
        </is>
      </c>
      <c r="B757" s="1" t="n">
        <v>45078</v>
      </c>
      <c r="C757" s="1" t="n">
        <v>45567</v>
      </c>
      <c r="D757" t="inlineStr">
        <is>
          <t>UPPSALA LÄN</t>
        </is>
      </c>
      <c r="E757" t="inlineStr">
        <is>
          <t>ÖSTHAMMAR</t>
        </is>
      </c>
      <c r="F757" t="inlineStr">
        <is>
          <t>Bergvik skog öst AB</t>
        </is>
      </c>
      <c r="G757" t="n">
        <v>0.7</v>
      </c>
      <c r="H757" t="n">
        <v>0</v>
      </c>
      <c r="I757" t="n">
        <v>0</v>
      </c>
      <c r="J757" t="n">
        <v>0</v>
      </c>
      <c r="K757" t="n">
        <v>0</v>
      </c>
      <c r="L757" t="n">
        <v>0</v>
      </c>
      <c r="M757" t="n">
        <v>0</v>
      </c>
      <c r="N757" t="n">
        <v>0</v>
      </c>
      <c r="O757" t="n">
        <v>0</v>
      </c>
      <c r="P757" t="n">
        <v>0</v>
      </c>
      <c r="Q757" t="n">
        <v>0</v>
      </c>
      <c r="R757" s="2" t="inlineStr"/>
    </row>
    <row r="758" ht="15" customHeight="1">
      <c r="A758" t="inlineStr">
        <is>
          <t>A 24128-2023</t>
        </is>
      </c>
      <c r="B758" s="1" t="n">
        <v>45079</v>
      </c>
      <c r="C758" s="1" t="n">
        <v>45567</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24325-2023</t>
        </is>
      </c>
      <c r="B759" s="1" t="n">
        <v>45080</v>
      </c>
      <c r="C759" s="1" t="n">
        <v>45567</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24324-2023</t>
        </is>
      </c>
      <c r="B760" s="1" t="n">
        <v>45080</v>
      </c>
      <c r="C760" s="1" t="n">
        <v>45567</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24428-2023</t>
        </is>
      </c>
      <c r="B761" s="1" t="n">
        <v>45082</v>
      </c>
      <c r="C761" s="1" t="n">
        <v>45567</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24493-2023</t>
        </is>
      </c>
      <c r="B762" s="1" t="n">
        <v>45082</v>
      </c>
      <c r="C762" s="1" t="n">
        <v>45567</v>
      </c>
      <c r="D762" t="inlineStr">
        <is>
          <t>UPPSALA LÄN</t>
        </is>
      </c>
      <c r="E762" t="inlineStr">
        <is>
          <t>ÖSTHAMMAR</t>
        </is>
      </c>
      <c r="G762" t="n">
        <v>1.9</v>
      </c>
      <c r="H762" t="n">
        <v>0</v>
      </c>
      <c r="I762" t="n">
        <v>0</v>
      </c>
      <c r="J762" t="n">
        <v>0</v>
      </c>
      <c r="K762" t="n">
        <v>0</v>
      </c>
      <c r="L762" t="n">
        <v>0</v>
      </c>
      <c r="M762" t="n">
        <v>0</v>
      </c>
      <c r="N762" t="n">
        <v>0</v>
      </c>
      <c r="O762" t="n">
        <v>0</v>
      </c>
      <c r="P762" t="n">
        <v>0</v>
      </c>
      <c r="Q762" t="n">
        <v>0</v>
      </c>
      <c r="R762" s="2" t="inlineStr"/>
    </row>
    <row r="763" ht="15" customHeight="1">
      <c r="A763" t="inlineStr">
        <is>
          <t>A 24491-2023</t>
        </is>
      </c>
      <c r="B763" s="1" t="n">
        <v>45082</v>
      </c>
      <c r="C763" s="1" t="n">
        <v>45567</v>
      </c>
      <c r="D763" t="inlineStr">
        <is>
          <t>UPPSALA LÄN</t>
        </is>
      </c>
      <c r="E763" t="inlineStr">
        <is>
          <t>ÖSTHAMMAR</t>
        </is>
      </c>
      <c r="G763" t="n">
        <v>5.3</v>
      </c>
      <c r="H763" t="n">
        <v>0</v>
      </c>
      <c r="I763" t="n">
        <v>0</v>
      </c>
      <c r="J763" t="n">
        <v>0</v>
      </c>
      <c r="K763" t="n">
        <v>0</v>
      </c>
      <c r="L763" t="n">
        <v>0</v>
      </c>
      <c r="M763" t="n">
        <v>0</v>
      </c>
      <c r="N763" t="n">
        <v>0</v>
      </c>
      <c r="O763" t="n">
        <v>0</v>
      </c>
      <c r="P763" t="n">
        <v>0</v>
      </c>
      <c r="Q763" t="n">
        <v>0</v>
      </c>
      <c r="R763" s="2" t="inlineStr"/>
    </row>
    <row r="764" ht="15" customHeight="1">
      <c r="A764" t="inlineStr">
        <is>
          <t>A 24587-2023</t>
        </is>
      </c>
      <c r="B764" s="1" t="n">
        <v>45083</v>
      </c>
      <c r="C764" s="1" t="n">
        <v>45567</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24642-2023</t>
        </is>
      </c>
      <c r="B765" s="1" t="n">
        <v>45084</v>
      </c>
      <c r="C765" s="1" t="n">
        <v>45567</v>
      </c>
      <c r="D765" t="inlineStr">
        <is>
          <t>UPPSALA LÄN</t>
        </is>
      </c>
      <c r="E765" t="inlineStr">
        <is>
          <t>ÖSTHAMMAR</t>
        </is>
      </c>
      <c r="F765" t="inlineStr">
        <is>
          <t>Bergvik skog öst AB</t>
        </is>
      </c>
      <c r="G765" t="n">
        <v>7.2</v>
      </c>
      <c r="H765" t="n">
        <v>0</v>
      </c>
      <c r="I765" t="n">
        <v>0</v>
      </c>
      <c r="J765" t="n">
        <v>0</v>
      </c>
      <c r="K765" t="n">
        <v>0</v>
      </c>
      <c r="L765" t="n">
        <v>0</v>
      </c>
      <c r="M765" t="n">
        <v>0</v>
      </c>
      <c r="N765" t="n">
        <v>0</v>
      </c>
      <c r="O765" t="n">
        <v>0</v>
      </c>
      <c r="P765" t="n">
        <v>0</v>
      </c>
      <c r="Q765" t="n">
        <v>0</v>
      </c>
      <c r="R765" s="2" t="inlineStr"/>
    </row>
    <row r="766" ht="15" customHeight="1">
      <c r="A766" t="inlineStr">
        <is>
          <t>A 24648-2023</t>
        </is>
      </c>
      <c r="B766" s="1" t="n">
        <v>45084</v>
      </c>
      <c r="C766" s="1" t="n">
        <v>45567</v>
      </c>
      <c r="D766" t="inlineStr">
        <is>
          <t>UPPSALA LÄN</t>
        </is>
      </c>
      <c r="E766" t="inlineStr">
        <is>
          <t>ÖSTHAMMAR</t>
        </is>
      </c>
      <c r="F766" t="inlineStr">
        <is>
          <t>Bergvik skog öst AB</t>
        </is>
      </c>
      <c r="G766" t="n">
        <v>12.5</v>
      </c>
      <c r="H766" t="n">
        <v>0</v>
      </c>
      <c r="I766" t="n">
        <v>0</v>
      </c>
      <c r="J766" t="n">
        <v>0</v>
      </c>
      <c r="K766" t="n">
        <v>0</v>
      </c>
      <c r="L766" t="n">
        <v>0</v>
      </c>
      <c r="M766" t="n">
        <v>0</v>
      </c>
      <c r="N766" t="n">
        <v>0</v>
      </c>
      <c r="O766" t="n">
        <v>0</v>
      </c>
      <c r="P766" t="n">
        <v>0</v>
      </c>
      <c r="Q766" t="n">
        <v>0</v>
      </c>
      <c r="R766" s="2" t="inlineStr"/>
    </row>
    <row r="767" ht="15" customHeight="1">
      <c r="A767" t="inlineStr">
        <is>
          <t>A 24751-2023</t>
        </is>
      </c>
      <c r="B767" s="1" t="n">
        <v>45084</v>
      </c>
      <c r="C767" s="1" t="n">
        <v>45567</v>
      </c>
      <c r="D767" t="inlineStr">
        <is>
          <t>UPPSALA LÄN</t>
        </is>
      </c>
      <c r="E767" t="inlineStr">
        <is>
          <t>ÖSTHAMMAR</t>
        </is>
      </c>
      <c r="F767" t="inlineStr">
        <is>
          <t>Bergvik skog öst AB</t>
        </is>
      </c>
      <c r="G767" t="n">
        <v>6.2</v>
      </c>
      <c r="H767" t="n">
        <v>0</v>
      </c>
      <c r="I767" t="n">
        <v>0</v>
      </c>
      <c r="J767" t="n">
        <v>0</v>
      </c>
      <c r="K767" t="n">
        <v>0</v>
      </c>
      <c r="L767" t="n">
        <v>0</v>
      </c>
      <c r="M767" t="n">
        <v>0</v>
      </c>
      <c r="N767" t="n">
        <v>0</v>
      </c>
      <c r="O767" t="n">
        <v>0</v>
      </c>
      <c r="P767" t="n">
        <v>0</v>
      </c>
      <c r="Q767" t="n">
        <v>0</v>
      </c>
      <c r="R767" s="2" t="inlineStr"/>
    </row>
    <row r="768" ht="15" customHeight="1">
      <c r="A768" t="inlineStr">
        <is>
          <t>A 25194-2023</t>
        </is>
      </c>
      <c r="B768" s="1" t="n">
        <v>45086</v>
      </c>
      <c r="C768" s="1" t="n">
        <v>45567</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26612-2023</t>
        </is>
      </c>
      <c r="B769" s="1" t="n">
        <v>45089</v>
      </c>
      <c r="C769" s="1" t="n">
        <v>45567</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26610-2023</t>
        </is>
      </c>
      <c r="B770" s="1" t="n">
        <v>45089</v>
      </c>
      <c r="C770" s="1" t="n">
        <v>45567</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25897-2023</t>
        </is>
      </c>
      <c r="B771" s="1" t="n">
        <v>45090</v>
      </c>
      <c r="C771" s="1" t="n">
        <v>45567</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25903-2023</t>
        </is>
      </c>
      <c r="B772" s="1" t="n">
        <v>45090</v>
      </c>
      <c r="C772" s="1" t="n">
        <v>45567</v>
      </c>
      <c r="D772" t="inlineStr">
        <is>
          <t>UPPSALA LÄN</t>
        </is>
      </c>
      <c r="E772" t="inlineStr">
        <is>
          <t>ÖSTHAMMAR</t>
        </is>
      </c>
      <c r="F772" t="inlineStr">
        <is>
          <t>Bergvik skog öst AB</t>
        </is>
      </c>
      <c r="G772" t="n">
        <v>29.2</v>
      </c>
      <c r="H772" t="n">
        <v>0</v>
      </c>
      <c r="I772" t="n">
        <v>0</v>
      </c>
      <c r="J772" t="n">
        <v>0</v>
      </c>
      <c r="K772" t="n">
        <v>0</v>
      </c>
      <c r="L772" t="n">
        <v>0</v>
      </c>
      <c r="M772" t="n">
        <v>0</v>
      </c>
      <c r="N772" t="n">
        <v>0</v>
      </c>
      <c r="O772" t="n">
        <v>0</v>
      </c>
      <c r="P772" t="n">
        <v>0</v>
      </c>
      <c r="Q772" t="n">
        <v>0</v>
      </c>
      <c r="R772" s="2" t="inlineStr"/>
    </row>
    <row r="773" ht="15" customHeight="1">
      <c r="A773" t="inlineStr">
        <is>
          <t>A 25970-2023</t>
        </is>
      </c>
      <c r="B773" s="1" t="n">
        <v>45090</v>
      </c>
      <c r="C773" s="1" t="n">
        <v>45567</v>
      </c>
      <c r="D773" t="inlineStr">
        <is>
          <t>UPPSALA LÄN</t>
        </is>
      </c>
      <c r="E773" t="inlineStr">
        <is>
          <t>ÖSTHAMMAR</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25968-2023</t>
        </is>
      </c>
      <c r="B774" s="1" t="n">
        <v>45090</v>
      </c>
      <c r="C774" s="1" t="n">
        <v>45567</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25969-2023</t>
        </is>
      </c>
      <c r="B775" s="1" t="n">
        <v>45090</v>
      </c>
      <c r="C775" s="1" t="n">
        <v>45567</v>
      </c>
      <c r="D775" t="inlineStr">
        <is>
          <t>UPPSALA LÄN</t>
        </is>
      </c>
      <c r="E775" t="inlineStr">
        <is>
          <t>ÖSTHAMMAR</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26774-2023</t>
        </is>
      </c>
      <c r="B776" s="1" t="n">
        <v>45093</v>
      </c>
      <c r="C776" s="1" t="n">
        <v>45567</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26734-2023</t>
        </is>
      </c>
      <c r="B777" s="1" t="n">
        <v>45093</v>
      </c>
      <c r="C777" s="1" t="n">
        <v>45567</v>
      </c>
      <c r="D777" t="inlineStr">
        <is>
          <t>UPPSALA LÄN</t>
        </is>
      </c>
      <c r="E777" t="inlineStr">
        <is>
          <t>ÖSTHAMMAR</t>
        </is>
      </c>
      <c r="F777" t="inlineStr">
        <is>
          <t>Bergvik skog öst AB</t>
        </is>
      </c>
      <c r="G777" t="n">
        <v>25.5</v>
      </c>
      <c r="H777" t="n">
        <v>0</v>
      </c>
      <c r="I777" t="n">
        <v>0</v>
      </c>
      <c r="J777" t="n">
        <v>0</v>
      </c>
      <c r="K777" t="n">
        <v>0</v>
      </c>
      <c r="L777" t="n">
        <v>0</v>
      </c>
      <c r="M777" t="n">
        <v>0</v>
      </c>
      <c r="N777" t="n">
        <v>0</v>
      </c>
      <c r="O777" t="n">
        <v>0</v>
      </c>
      <c r="P777" t="n">
        <v>0</v>
      </c>
      <c r="Q777" t="n">
        <v>0</v>
      </c>
      <c r="R777" s="2" t="inlineStr"/>
    </row>
    <row r="778" ht="15" customHeight="1">
      <c r="A778" t="inlineStr">
        <is>
          <t>A 28170-2023</t>
        </is>
      </c>
      <c r="B778" s="1" t="n">
        <v>45093</v>
      </c>
      <c r="C778" s="1" t="n">
        <v>45567</v>
      </c>
      <c r="D778" t="inlineStr">
        <is>
          <t>UPPSALA LÄN</t>
        </is>
      </c>
      <c r="E778" t="inlineStr">
        <is>
          <t>ÖSTHAMMAR</t>
        </is>
      </c>
      <c r="G778" t="n">
        <v>7.2</v>
      </c>
      <c r="H778" t="n">
        <v>0</v>
      </c>
      <c r="I778" t="n">
        <v>0</v>
      </c>
      <c r="J778" t="n">
        <v>0</v>
      </c>
      <c r="K778" t="n">
        <v>0</v>
      </c>
      <c r="L778" t="n">
        <v>0</v>
      </c>
      <c r="M778" t="n">
        <v>0</v>
      </c>
      <c r="N778" t="n">
        <v>0</v>
      </c>
      <c r="O778" t="n">
        <v>0</v>
      </c>
      <c r="P778" t="n">
        <v>0</v>
      </c>
      <c r="Q778" t="n">
        <v>0</v>
      </c>
      <c r="R778" s="2" t="inlineStr"/>
    </row>
    <row r="779" ht="15" customHeight="1">
      <c r="A779" t="inlineStr">
        <is>
          <t>A 27150-2023</t>
        </is>
      </c>
      <c r="B779" s="1" t="n">
        <v>45096</v>
      </c>
      <c r="C779" s="1" t="n">
        <v>45567</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27154-2023</t>
        </is>
      </c>
      <c r="B780" s="1" t="n">
        <v>45096</v>
      </c>
      <c r="C780" s="1" t="n">
        <v>45567</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27308-2023</t>
        </is>
      </c>
      <c r="B781" s="1" t="n">
        <v>45096</v>
      </c>
      <c r="C781" s="1" t="n">
        <v>45567</v>
      </c>
      <c r="D781" t="inlineStr">
        <is>
          <t>UPPSALA LÄN</t>
        </is>
      </c>
      <c r="E781" t="inlineStr">
        <is>
          <t>ÖSTHAMMAR</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45567</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27659-2023</t>
        </is>
      </c>
      <c r="B783" s="1" t="n">
        <v>45097</v>
      </c>
      <c r="C783" s="1" t="n">
        <v>45567</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27801-2023</t>
        </is>
      </c>
      <c r="B784" s="1" t="n">
        <v>45098</v>
      </c>
      <c r="C784" s="1" t="n">
        <v>45567</v>
      </c>
      <c r="D784" t="inlineStr">
        <is>
          <t>UPPSALA LÄN</t>
        </is>
      </c>
      <c r="E784" t="inlineStr">
        <is>
          <t>ÖSTHAMMAR</t>
        </is>
      </c>
      <c r="F784" t="inlineStr">
        <is>
          <t>Kyrkan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28422-2023</t>
        </is>
      </c>
      <c r="B785" s="1" t="n">
        <v>45102</v>
      </c>
      <c r="C785" s="1" t="n">
        <v>45567</v>
      </c>
      <c r="D785" t="inlineStr">
        <is>
          <t>UPPSALA LÄN</t>
        </is>
      </c>
      <c r="E785" t="inlineStr">
        <is>
          <t>ÖSTHAMMAR</t>
        </is>
      </c>
      <c r="F785" t="inlineStr">
        <is>
          <t>Bergvik skog öst AB</t>
        </is>
      </c>
      <c r="G785" t="n">
        <v>3.1</v>
      </c>
      <c r="H785" t="n">
        <v>0</v>
      </c>
      <c r="I785" t="n">
        <v>0</v>
      </c>
      <c r="J785" t="n">
        <v>0</v>
      </c>
      <c r="K785" t="n">
        <v>0</v>
      </c>
      <c r="L785" t="n">
        <v>0</v>
      </c>
      <c r="M785" t="n">
        <v>0</v>
      </c>
      <c r="N785" t="n">
        <v>0</v>
      </c>
      <c r="O785" t="n">
        <v>0</v>
      </c>
      <c r="P785" t="n">
        <v>0</v>
      </c>
      <c r="Q785" t="n">
        <v>0</v>
      </c>
      <c r="R785" s="2" t="inlineStr"/>
    </row>
    <row r="786" ht="15" customHeight="1">
      <c r="A786" t="inlineStr">
        <is>
          <t>A 28430-2023</t>
        </is>
      </c>
      <c r="B786" s="1" t="n">
        <v>45102</v>
      </c>
      <c r="C786" s="1" t="n">
        <v>45567</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28434-2023</t>
        </is>
      </c>
      <c r="B787" s="1" t="n">
        <v>45102</v>
      </c>
      <c r="C787" s="1" t="n">
        <v>45567</v>
      </c>
      <c r="D787" t="inlineStr">
        <is>
          <t>UPPSALA LÄN</t>
        </is>
      </c>
      <c r="E787" t="inlineStr">
        <is>
          <t>ÖSTHAMMAR</t>
        </is>
      </c>
      <c r="F787" t="inlineStr">
        <is>
          <t>Bergvik skog öst AB</t>
        </is>
      </c>
      <c r="G787" t="n">
        <v>8.9</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v>
      </c>
      <c r="C788" s="1" t="n">
        <v>45567</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28432-2023</t>
        </is>
      </c>
      <c r="B789" s="1" t="n">
        <v>45102</v>
      </c>
      <c r="C789" s="1" t="n">
        <v>45567</v>
      </c>
      <c r="D789" t="inlineStr">
        <is>
          <t>UPPSALA LÄN</t>
        </is>
      </c>
      <c r="E789" t="inlineStr">
        <is>
          <t>ÖSTHAMMAR</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28421-2023</t>
        </is>
      </c>
      <c r="B790" s="1" t="n">
        <v>45102</v>
      </c>
      <c r="C790" s="1" t="n">
        <v>45567</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28429-2023</t>
        </is>
      </c>
      <c r="B791" s="1" t="n">
        <v>45102</v>
      </c>
      <c r="C791" s="1" t="n">
        <v>45567</v>
      </c>
      <c r="D791" t="inlineStr">
        <is>
          <t>UPPSALA LÄN</t>
        </is>
      </c>
      <c r="E791" t="inlineStr">
        <is>
          <t>ÖSTHAMMAR</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28482-2023</t>
        </is>
      </c>
      <c r="B792" s="1" t="n">
        <v>45103</v>
      </c>
      <c r="C792" s="1" t="n">
        <v>45567</v>
      </c>
      <c r="D792" t="inlineStr">
        <is>
          <t>UPPSALA LÄN</t>
        </is>
      </c>
      <c r="E792" t="inlineStr">
        <is>
          <t>ÖSTHAMMAR</t>
        </is>
      </c>
      <c r="F792" t="inlineStr">
        <is>
          <t>Naturvårdsverket</t>
        </is>
      </c>
      <c r="G792" t="n">
        <v>8.9</v>
      </c>
      <c r="H792" t="n">
        <v>0</v>
      </c>
      <c r="I792" t="n">
        <v>0</v>
      </c>
      <c r="J792" t="n">
        <v>0</v>
      </c>
      <c r="K792" t="n">
        <v>0</v>
      </c>
      <c r="L792" t="n">
        <v>0</v>
      </c>
      <c r="M792" t="n">
        <v>0</v>
      </c>
      <c r="N792" t="n">
        <v>0</v>
      </c>
      <c r="O792" t="n">
        <v>0</v>
      </c>
      <c r="P792" t="n">
        <v>0</v>
      </c>
      <c r="Q792" t="n">
        <v>0</v>
      </c>
      <c r="R792" s="2" t="inlineStr"/>
    </row>
    <row r="793" ht="15" customHeight="1">
      <c r="A793" t="inlineStr">
        <is>
          <t>A 29556-2023</t>
        </is>
      </c>
      <c r="B793" s="1" t="n">
        <v>45106</v>
      </c>
      <c r="C793" s="1" t="n">
        <v>45567</v>
      </c>
      <c r="D793" t="inlineStr">
        <is>
          <t>UPPSALA LÄN</t>
        </is>
      </c>
      <c r="E793" t="inlineStr">
        <is>
          <t>ÖSTHAMMAR</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45567</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45567</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45567</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45567</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45567</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45567</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45567</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45567</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45567</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45567</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45567</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45567</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45567</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45567</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45567</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45567</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45567</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45567</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45567</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45567</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45567</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45567</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45567</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45567</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45567</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45567</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45567</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45567</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45567</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45567</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45567</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45567</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45567</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45567</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45567</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45567</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45567</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45567</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45567</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45567</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45567</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45567</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45567</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45567</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45567</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45567</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45567</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45567</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45567</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45567</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45567</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45567</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45567</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45567</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45567</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45567</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45567</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45567</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45567</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45567</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45567</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45567</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45567</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45567</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45567</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45567</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45567</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45567</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45567</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45567</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45567</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45567</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45567</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45567</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45567</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45567</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45567</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45567</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45567</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45567</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45567</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45567</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45567</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45567</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45567</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45567</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45567</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45567</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45567</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45567</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45567</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45567</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45567</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45567</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45567</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45567</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45567</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45567</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45567</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45567</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45567</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45567</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45567</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45567</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45567</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45567</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45567</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45567</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45567</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45567</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45567</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45567</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45567</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45567</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45567</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45567</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45567</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45567</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45567</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45567</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45567</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45567</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45567</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45567</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45567</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45567</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45567</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45567</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45567</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45567</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45567</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45567</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45567</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45567</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45567</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45567</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45567</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45567</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45567</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45567</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45567</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45567</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45567</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45567</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45567</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45567</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45567</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45567</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45567</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45567</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45567</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45567</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45567</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45567</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45567</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45567</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45567</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45567</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45567</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45567</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45567</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45567</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45567</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45567</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45567</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45567</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45567</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45567</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45567</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45567</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45567</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45567</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45567</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45567</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45567</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45567</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45567</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45567</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45567</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45567</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45567</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45567</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45567</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45567</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45567</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45567</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45567</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45567</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45567</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45567</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45567</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45567</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45567</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45567</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45567</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45567</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45567</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45567</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45567</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45567</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45567</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45567</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45567</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45567</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45567</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45567</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45567</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45567</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45567</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45567</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45567</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45567</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45567</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45567</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45567</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45567</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45567</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45567</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45567</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45567</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45567</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45567</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45567</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45567</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45567</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45567</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45567</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45567</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45567</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45567</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45567</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45567</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45567</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45567</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45567</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45567</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45567</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45567</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45567</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45567</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45567</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45567</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45567</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45567</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45567</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45567</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45567</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45567</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45567</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45567</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45567</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45567</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45567</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45567</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45567</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45567</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45567</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45567</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45567</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45567</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45567</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45567</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45567</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45567</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45567</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45567</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45567</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45567</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45567</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45567</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45567</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45567</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45567</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45567</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45567</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45567</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45567</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45567</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45567</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45567</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45567</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45567</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45567</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45567</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45567</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45567</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45567</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45567</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45567</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45567</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45567</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45567</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45567</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45567</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45567</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45567</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45567</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45567</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45567</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45567</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45567</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45567</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45567</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45567</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45567</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45567</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45567</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45567</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45567</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45567</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45567</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45567</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45567</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45567</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45567</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45567</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45567</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45567</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45567</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45567</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45567</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45567</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45567</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45567</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45567</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45567</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45567</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45567</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45567</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45567</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45567</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45567</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45567</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45567</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45567</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45567</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45567</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45567</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45567</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45567</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45567</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45567</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45567</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45567</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45567</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45567</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45567</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45567</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45567</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45567</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45567</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45567</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45567</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45567</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45567</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45567</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45567</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45567</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45567</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45567</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45567</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45567</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45567</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45567</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45567</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45567</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45567</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45567</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45567</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45567</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45567</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45567</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45567</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45567</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45567</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45567</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45567</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45567</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45567</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45567</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45567</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45567</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45567</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45567</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45567</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36863-2024</t>
        </is>
      </c>
      <c r="B1179" s="1" t="n">
        <v>45538</v>
      </c>
      <c r="C1179" s="1" t="n">
        <v>45567</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45567</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45567</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36897-2024</t>
        </is>
      </c>
      <c r="B1182" s="1" t="n">
        <v>45538</v>
      </c>
      <c r="C1182" s="1" t="n">
        <v>45567</v>
      </c>
      <c r="D1182" t="inlineStr">
        <is>
          <t>UPPSALA LÄN</t>
        </is>
      </c>
      <c r="E1182" t="inlineStr">
        <is>
          <t>ÖSTHAMMAR</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36846-2024</t>
        </is>
      </c>
      <c r="B1183" s="1" t="n">
        <v>45538</v>
      </c>
      <c r="C1183" s="1" t="n">
        <v>45567</v>
      </c>
      <c r="D1183" t="inlineStr">
        <is>
          <t>UPPSALA LÄN</t>
        </is>
      </c>
      <c r="E1183" t="inlineStr">
        <is>
          <t>ÖSTHAMMAR</t>
        </is>
      </c>
      <c r="F1183" t="inlineStr">
        <is>
          <t>Bergvik skog öst AB</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36868-2024</t>
        </is>
      </c>
      <c r="B1184" s="1" t="n">
        <v>45538</v>
      </c>
      <c r="C1184" s="1" t="n">
        <v>45567</v>
      </c>
      <c r="D1184" t="inlineStr">
        <is>
          <t>UPPSALA LÄN</t>
        </is>
      </c>
      <c r="E1184" t="inlineStr">
        <is>
          <t>ÖSTHAMMAR</t>
        </is>
      </c>
      <c r="F1184" t="inlineStr">
        <is>
          <t>Bergvik skog öst AB</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36866-2024</t>
        </is>
      </c>
      <c r="B1185" s="1" t="n">
        <v>45538</v>
      </c>
      <c r="C1185" s="1" t="n">
        <v>45567</v>
      </c>
      <c r="D1185" t="inlineStr">
        <is>
          <t>UPPSALA LÄN</t>
        </is>
      </c>
      <c r="E1185" t="inlineStr">
        <is>
          <t>ÖSTHAMMAR</t>
        </is>
      </c>
      <c r="F1185" t="inlineStr">
        <is>
          <t>Bergvik skog öst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45567</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45567</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45567</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45567</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36958-2024</t>
        </is>
      </c>
      <c r="B1190" s="1" t="n">
        <v>45538</v>
      </c>
      <c r="C1190" s="1" t="n">
        <v>45567</v>
      </c>
      <c r="D1190" t="inlineStr">
        <is>
          <t>UPPSALA LÄN</t>
        </is>
      </c>
      <c r="E1190" t="inlineStr">
        <is>
          <t>ÖSTHAMMAR</t>
        </is>
      </c>
      <c r="F1190" t="inlineStr">
        <is>
          <t>Bergvik skog öst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36937-2024</t>
        </is>
      </c>
      <c r="B1191" s="1" t="n">
        <v>45538</v>
      </c>
      <c r="C1191" s="1" t="n">
        <v>45567</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36940-2024</t>
        </is>
      </c>
      <c r="B1192" s="1" t="n">
        <v>45538</v>
      </c>
      <c r="C1192" s="1" t="n">
        <v>45567</v>
      </c>
      <c r="D1192" t="inlineStr">
        <is>
          <t>UPPSALA LÄN</t>
        </is>
      </c>
      <c r="E1192" t="inlineStr">
        <is>
          <t>ÖSTHAMMAR</t>
        </is>
      </c>
      <c r="F1192" t="inlineStr">
        <is>
          <t>Bergvik skog öst AB</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36953-2024</t>
        </is>
      </c>
      <c r="B1193" s="1" t="n">
        <v>45538</v>
      </c>
      <c r="C1193" s="1" t="n">
        <v>45567</v>
      </c>
      <c r="D1193" t="inlineStr">
        <is>
          <t>UPPSALA LÄN</t>
        </is>
      </c>
      <c r="E1193" t="inlineStr">
        <is>
          <t>ÖSTHAMMAR</t>
        </is>
      </c>
      <c r="F1193" t="inlineStr">
        <is>
          <t>Bergvik skog öst AB</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36948-2024</t>
        </is>
      </c>
      <c r="B1194" s="1" t="n">
        <v>45538</v>
      </c>
      <c r="C1194" s="1" t="n">
        <v>45567</v>
      </c>
      <c r="D1194" t="inlineStr">
        <is>
          <t>UPPSALA LÄN</t>
        </is>
      </c>
      <c r="E1194" t="inlineStr">
        <is>
          <t>ÖSTHAMMAR</t>
        </is>
      </c>
      <c r="F1194" t="inlineStr">
        <is>
          <t>Bergvik skog öst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36952-2024</t>
        </is>
      </c>
      <c r="B1195" s="1" t="n">
        <v>45538</v>
      </c>
      <c r="C1195" s="1" t="n">
        <v>45567</v>
      </c>
      <c r="D1195" t="inlineStr">
        <is>
          <t>UPPSALA LÄN</t>
        </is>
      </c>
      <c r="E1195" t="inlineStr">
        <is>
          <t>ÖSTHAMMAR</t>
        </is>
      </c>
      <c r="F1195" t="inlineStr">
        <is>
          <t>Bergvik skog öst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36956-2024</t>
        </is>
      </c>
      <c r="B1196" s="1" t="n">
        <v>45538</v>
      </c>
      <c r="C1196" s="1" t="n">
        <v>45567</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45567</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45567</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45567</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38572-2024</t>
        </is>
      </c>
      <c r="B1200" s="1" t="n">
        <v>45546</v>
      </c>
      <c r="C1200" s="1" t="n">
        <v>45567</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38575-2024</t>
        </is>
      </c>
      <c r="B1201" s="1" t="n">
        <v>45546</v>
      </c>
      <c r="C1201" s="1" t="n">
        <v>45567</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45567</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45567</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39490-2024</t>
        </is>
      </c>
      <c r="B1204" s="1" t="n">
        <v>45551</v>
      </c>
      <c r="C1204" s="1" t="n">
        <v>45567</v>
      </c>
      <c r="D1204" t="inlineStr">
        <is>
          <t>UPPSALA LÄN</t>
        </is>
      </c>
      <c r="E1204" t="inlineStr">
        <is>
          <t>ÖSTHAMMAR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45567</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39633-2024</t>
        </is>
      </c>
      <c r="B1206" s="1" t="n">
        <v>45552</v>
      </c>
      <c r="C1206" s="1" t="n">
        <v>45567</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39758-2024</t>
        </is>
      </c>
      <c r="B1207" s="1" t="n">
        <v>45552</v>
      </c>
      <c r="C1207" s="1" t="n">
        <v>45567</v>
      </c>
      <c r="D1207" t="inlineStr">
        <is>
          <t>UPPSALA LÄN</t>
        </is>
      </c>
      <c r="E1207" t="inlineStr">
        <is>
          <t>ÖSTHAMMAR</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45567</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45567</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45567</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45567</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45567</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41443-2024</t>
        </is>
      </c>
      <c r="B1213" s="1" t="n">
        <v>45560</v>
      </c>
      <c r="C1213" s="1" t="n">
        <v>45567</v>
      </c>
      <c r="D1213" t="inlineStr">
        <is>
          <t>UPPSALA LÄN</t>
        </is>
      </c>
      <c r="E1213" t="inlineStr">
        <is>
          <t>ÖSTHAMMAR</t>
        </is>
      </c>
      <c r="F1213" t="inlineStr">
        <is>
          <t>Bergvik skog väst AB</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45567</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45567</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45567</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42225-2024</t>
        </is>
      </c>
      <c r="B1217" s="1" t="n">
        <v>45562</v>
      </c>
      <c r="C1217" s="1" t="n">
        <v>45567</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42142-2024</t>
        </is>
      </c>
      <c r="B1218" s="1" t="n">
        <v>45562</v>
      </c>
      <c r="C1218" s="1" t="n">
        <v>45567</v>
      </c>
      <c r="D1218" t="inlineStr">
        <is>
          <t>UPPSALA LÄN</t>
        </is>
      </c>
      <c r="E1218" t="inlineStr">
        <is>
          <t>ÖSTHAMMAR</t>
        </is>
      </c>
      <c r="F1218" t="inlineStr">
        <is>
          <t>Bergvik skog öst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42296-2024</t>
        </is>
      </c>
      <c r="B1219" s="1" t="n">
        <v>45562</v>
      </c>
      <c r="C1219" s="1" t="n">
        <v>45567</v>
      </c>
      <c r="D1219" t="inlineStr">
        <is>
          <t>UPPSALA LÄN</t>
        </is>
      </c>
      <c r="E1219" t="inlineStr">
        <is>
          <t>ÖSTHAMMAR</t>
        </is>
      </c>
      <c r="F1219" t="inlineStr">
        <is>
          <t>Bergvik skog öst AB</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42159-2024</t>
        </is>
      </c>
      <c r="B1220" s="1" t="n">
        <v>45562</v>
      </c>
      <c r="C1220" s="1" t="n">
        <v>45567</v>
      </c>
      <c r="D1220" t="inlineStr">
        <is>
          <t>UPPSALA LÄN</t>
        </is>
      </c>
      <c r="E1220" t="inlineStr">
        <is>
          <t>ÖSTHAMMAR</t>
        </is>
      </c>
      <c r="F1220" t="inlineStr">
        <is>
          <t>Bergvik skog öst AB</t>
        </is>
      </c>
      <c r="G1220" t="n">
        <v>0.6</v>
      </c>
      <c r="H1220" t="n">
        <v>0</v>
      </c>
      <c r="I1220" t="n">
        <v>0</v>
      </c>
      <c r="J1220" t="n">
        <v>0</v>
      </c>
      <c r="K1220" t="n">
        <v>0</v>
      </c>
      <c r="L1220" t="n">
        <v>0</v>
      </c>
      <c r="M1220" t="n">
        <v>0</v>
      </c>
      <c r="N1220" t="n">
        <v>0</v>
      </c>
      <c r="O1220" t="n">
        <v>0</v>
      </c>
      <c r="P1220" t="n">
        <v>0</v>
      </c>
      <c r="Q1220" t="n">
        <v>0</v>
      </c>
      <c r="R1220" s="2" t="inlineStr"/>
    </row>
    <row r="1221">
      <c r="A1221" t="inlineStr">
        <is>
          <t>A 42262-2024</t>
        </is>
      </c>
      <c r="B1221" s="1" t="n">
        <v>45562</v>
      </c>
      <c r="C1221" s="1" t="n">
        <v>45567</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2024-10-02T12:10:31Z</dcterms:created>
  <dcterms:modified xmlns:dcterms="http://purl.org/dc/terms/" xmlns:xsi="http://www.w3.org/2001/XMLSchema-instance" xsi:type="dcterms:W3CDTF">2024-10-02T12:10:32Z</dcterms:modified>
</cp:coreProperties>
</file>