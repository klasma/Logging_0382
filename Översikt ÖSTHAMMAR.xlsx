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45474</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45474</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45474</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45474</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45474</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45474</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45474</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45474</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45474</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45474</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45474</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45474</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45474</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45474</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45474</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45474</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45474</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45474</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45474</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45474</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45474</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45474</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45474</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45474</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45474</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45474</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45474</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45474</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45474</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45474</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45474</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45474</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45474</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45474</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45474</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45474</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45474</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45474</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45474</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45474</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45474</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45474</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52659-2022</t>
        </is>
      </c>
      <c r="B46" s="1" t="n">
        <v>44874</v>
      </c>
      <c r="C46" s="1" t="n">
        <v>45474</v>
      </c>
      <c r="D46" t="inlineStr">
        <is>
          <t>UPPSALA LÄN</t>
        </is>
      </c>
      <c r="E46" t="inlineStr">
        <is>
          <t>ÖSTHAMMAR</t>
        </is>
      </c>
      <c r="F46" t="inlineStr">
        <is>
          <t>Bergvik skog öst AB</t>
        </is>
      </c>
      <c r="G46" t="n">
        <v>1.8</v>
      </c>
      <c r="H46" t="n">
        <v>4</v>
      </c>
      <c r="I46" t="n">
        <v>0</v>
      </c>
      <c r="J46" t="n">
        <v>4</v>
      </c>
      <c r="K46" t="n">
        <v>0</v>
      </c>
      <c r="L46" t="n">
        <v>0</v>
      </c>
      <c r="M46" t="n">
        <v>0</v>
      </c>
      <c r="N46" t="n">
        <v>0</v>
      </c>
      <c r="O46" t="n">
        <v>4</v>
      </c>
      <c r="P46" t="n">
        <v>0</v>
      </c>
      <c r="Q46" t="n">
        <v>4</v>
      </c>
      <c r="R46" s="2" t="inlineStr">
        <is>
          <t>Gulsparv
Kråka
Svartvit flugsnappare
Sävsparv</t>
        </is>
      </c>
      <c r="S46">
        <f>HYPERLINK("https://klasma.github.io/Logging_0382/artfynd/A 52659-2022 artfynd.xlsx", "A 52659-2022")</f>
        <v/>
      </c>
      <c r="T46">
        <f>HYPERLINK("https://klasma.github.io/Logging_0382/kartor/A 52659-2022 karta.png", "A 52659-2022")</f>
        <v/>
      </c>
      <c r="V46">
        <f>HYPERLINK("https://klasma.github.io/Logging_0382/klagomål/A 52659-2022 FSC-klagomål.docx", "A 52659-2022")</f>
        <v/>
      </c>
      <c r="W46">
        <f>HYPERLINK("https://klasma.github.io/Logging_0382/klagomålsmail/A 52659-2022 FSC-klagomål mail.docx", "A 52659-2022")</f>
        <v/>
      </c>
      <c r="X46">
        <f>HYPERLINK("https://klasma.github.io/Logging_0382/tillsyn/A 52659-2022 tillsynsbegäran.docx", "A 52659-2022")</f>
        <v/>
      </c>
      <c r="Y46">
        <f>HYPERLINK("https://klasma.github.io/Logging_0382/tillsynsmail/A 52659-2022 tillsynsbegäran mail.docx", "A 52659-2022")</f>
        <v/>
      </c>
      <c r="Z46">
        <f>HYPERLINK("https://klasma.github.io/Logging_0382/fåglar/A 52659-2022 prioriterade fågelarter.docx", "A 52659-2022")</f>
        <v/>
      </c>
    </row>
    <row r="47" ht="15" customHeight="1">
      <c r="A47" t="inlineStr">
        <is>
          <t>A 26600-2023</t>
        </is>
      </c>
      <c r="B47" s="1" t="n">
        <v>45092</v>
      </c>
      <c r="C47" s="1" t="n">
        <v>45474</v>
      </c>
      <c r="D47" t="inlineStr">
        <is>
          <t>UPPSALA LÄN</t>
        </is>
      </c>
      <c r="E47" t="inlineStr">
        <is>
          <t>ÖSTHAMMAR</t>
        </is>
      </c>
      <c r="F47" t="inlineStr">
        <is>
          <t>Sveaskog</t>
        </is>
      </c>
      <c r="G47" t="n">
        <v>3.5</v>
      </c>
      <c r="H47" t="n">
        <v>4</v>
      </c>
      <c r="I47" t="n">
        <v>0</v>
      </c>
      <c r="J47" t="n">
        <v>3</v>
      </c>
      <c r="K47" t="n">
        <v>0</v>
      </c>
      <c r="L47" t="n">
        <v>1</v>
      </c>
      <c r="M47" t="n">
        <v>0</v>
      </c>
      <c r="N47" t="n">
        <v>0</v>
      </c>
      <c r="O47" t="n">
        <v>4</v>
      </c>
      <c r="P47" t="n">
        <v>1</v>
      </c>
      <c r="Q47" t="n">
        <v>4</v>
      </c>
      <c r="R47" s="2" t="inlineStr">
        <is>
          <t>Grönfink
Fiskmås
Nordfladdermus
Rörsångare</t>
        </is>
      </c>
      <c r="S47">
        <f>HYPERLINK("https://klasma.github.io/Logging_0382/artfynd/A 26600-2023 artfynd.xlsx", "A 26600-2023")</f>
        <v/>
      </c>
      <c r="T47">
        <f>HYPERLINK("https://klasma.github.io/Logging_0382/kartor/A 26600-2023 karta.png", "A 26600-2023")</f>
        <v/>
      </c>
      <c r="V47">
        <f>HYPERLINK("https://klasma.github.io/Logging_0382/klagomål/A 26600-2023 FSC-klagomål.docx", "A 26600-2023")</f>
        <v/>
      </c>
      <c r="W47">
        <f>HYPERLINK("https://klasma.github.io/Logging_0382/klagomålsmail/A 26600-2023 FSC-klagomål mail.docx", "A 26600-2023")</f>
        <v/>
      </c>
      <c r="X47">
        <f>HYPERLINK("https://klasma.github.io/Logging_0382/tillsyn/A 26600-2023 tillsynsbegäran.docx", "A 26600-2023")</f>
        <v/>
      </c>
      <c r="Y47">
        <f>HYPERLINK("https://klasma.github.io/Logging_0382/tillsynsmail/A 26600-2023 tillsynsbegäran mail.docx", "A 26600-2023")</f>
        <v/>
      </c>
      <c r="Z47">
        <f>HYPERLINK("https://klasma.github.io/Logging_0382/fåglar/A 26600-2023 prioriterade fågelarter.docx", "A 26600-2023")</f>
        <v/>
      </c>
    </row>
    <row r="48" ht="15" customHeight="1">
      <c r="A48" t="inlineStr">
        <is>
          <t>A 11738-2024</t>
        </is>
      </c>
      <c r="B48" s="1" t="n">
        <v>45373</v>
      </c>
      <c r="C48" s="1" t="n">
        <v>45474</v>
      </c>
      <c r="D48" t="inlineStr">
        <is>
          <t>UPPSALA LÄN</t>
        </is>
      </c>
      <c r="E48" t="inlineStr">
        <is>
          <t>ÖSTHAMMAR</t>
        </is>
      </c>
      <c r="G48" t="n">
        <v>2.6</v>
      </c>
      <c r="H48" t="n">
        <v>1</v>
      </c>
      <c r="I48" t="n">
        <v>2</v>
      </c>
      <c r="J48" t="n">
        <v>1</v>
      </c>
      <c r="K48" t="n">
        <v>0</v>
      </c>
      <c r="L48" t="n">
        <v>0</v>
      </c>
      <c r="M48" t="n">
        <v>0</v>
      </c>
      <c r="N48" t="n">
        <v>0</v>
      </c>
      <c r="O48" t="n">
        <v>1</v>
      </c>
      <c r="P48" t="n">
        <v>0</v>
      </c>
      <c r="Q48" t="n">
        <v>4</v>
      </c>
      <c r="R48" s="2" t="inlineStr">
        <is>
          <t>Såpfingersvamp
Fjällig taggsvamp s.str.
Stor aspticka
Blåsippa</t>
        </is>
      </c>
      <c r="S48">
        <f>HYPERLINK("https://klasma.github.io/Logging_0382/artfynd/A 11738-2024 artfynd.xlsx", "A 11738-2024")</f>
        <v/>
      </c>
      <c r="T48">
        <f>HYPERLINK("https://klasma.github.io/Logging_0382/kartor/A 11738-2024 karta.png", "A 11738-2024")</f>
        <v/>
      </c>
      <c r="V48">
        <f>HYPERLINK("https://klasma.github.io/Logging_0382/klagomål/A 11738-2024 FSC-klagomål.docx", "A 11738-2024")</f>
        <v/>
      </c>
      <c r="W48">
        <f>HYPERLINK("https://klasma.github.io/Logging_0382/klagomålsmail/A 11738-2024 FSC-klagomål mail.docx", "A 11738-2024")</f>
        <v/>
      </c>
      <c r="X48">
        <f>HYPERLINK("https://klasma.github.io/Logging_0382/tillsyn/A 11738-2024 tillsynsbegäran.docx", "A 11738-2024")</f>
        <v/>
      </c>
      <c r="Y48">
        <f>HYPERLINK("https://klasma.github.io/Logging_0382/tillsynsmail/A 11738-2024 tillsynsbegäran mail.docx", "A 11738-2024")</f>
        <v/>
      </c>
    </row>
    <row r="49" ht="15" customHeight="1">
      <c r="A49" t="inlineStr">
        <is>
          <t>A 8385-2020</t>
        </is>
      </c>
      <c r="B49" s="1" t="n">
        <v>43875</v>
      </c>
      <c r="C49" s="1" t="n">
        <v>45474</v>
      </c>
      <c r="D49" t="inlineStr">
        <is>
          <t>UPPSALA LÄN</t>
        </is>
      </c>
      <c r="E49" t="inlineStr">
        <is>
          <t>ÖSTHAMMAR</t>
        </is>
      </c>
      <c r="F49" t="inlineStr">
        <is>
          <t>Bergvik skog öst AB</t>
        </is>
      </c>
      <c r="G49" t="n">
        <v>0.7</v>
      </c>
      <c r="H49" t="n">
        <v>2</v>
      </c>
      <c r="I49" t="n">
        <v>1</v>
      </c>
      <c r="J49" t="n">
        <v>2</v>
      </c>
      <c r="K49" t="n">
        <v>0</v>
      </c>
      <c r="L49" t="n">
        <v>0</v>
      </c>
      <c r="M49" t="n">
        <v>0</v>
      </c>
      <c r="N49" t="n">
        <v>0</v>
      </c>
      <c r="O49" t="n">
        <v>2</v>
      </c>
      <c r="P49" t="n">
        <v>0</v>
      </c>
      <c r="Q49" t="n">
        <v>3</v>
      </c>
      <c r="R49" s="2" t="inlineStr">
        <is>
          <t>Gulsparv
Svartvit flugsnappare
Svavelriska</t>
        </is>
      </c>
      <c r="S49">
        <f>HYPERLINK("https://klasma.github.io/Logging_0382/artfynd/A 8385-2020 artfynd.xlsx", "A 8385-2020")</f>
        <v/>
      </c>
      <c r="T49">
        <f>HYPERLINK("https://klasma.github.io/Logging_0382/kartor/A 8385-2020 karta.png", "A 8385-2020")</f>
        <v/>
      </c>
      <c r="V49">
        <f>HYPERLINK("https://klasma.github.io/Logging_0382/klagomål/A 8385-2020 FSC-klagomål.docx", "A 8385-2020")</f>
        <v/>
      </c>
      <c r="W49">
        <f>HYPERLINK("https://klasma.github.io/Logging_0382/klagomålsmail/A 8385-2020 FSC-klagomål mail.docx", "A 8385-2020")</f>
        <v/>
      </c>
      <c r="X49">
        <f>HYPERLINK("https://klasma.github.io/Logging_0382/tillsyn/A 8385-2020 tillsynsbegäran.docx", "A 8385-2020")</f>
        <v/>
      </c>
      <c r="Y49">
        <f>HYPERLINK("https://klasma.github.io/Logging_0382/tillsynsmail/A 8385-2020 tillsynsbegäran mail.docx", "A 8385-2020")</f>
        <v/>
      </c>
      <c r="Z49">
        <f>HYPERLINK("https://klasma.github.io/Logging_0382/fåglar/A 8385-2020 prioriterade fågelarter.docx", "A 8385-2020")</f>
        <v/>
      </c>
    </row>
    <row r="50" ht="15" customHeight="1">
      <c r="A50" t="inlineStr">
        <is>
          <t>A 33035-2021</t>
        </is>
      </c>
      <c r="B50" s="1" t="n">
        <v>44376</v>
      </c>
      <c r="C50" s="1" t="n">
        <v>45474</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55051-2021</t>
        </is>
      </c>
      <c r="B51" s="1" t="n">
        <v>44474</v>
      </c>
      <c r="C51" s="1" t="n">
        <v>45474</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69515-2021</t>
        </is>
      </c>
      <c r="B52" s="1" t="n">
        <v>44531</v>
      </c>
      <c r="C52" s="1" t="n">
        <v>45474</v>
      </c>
      <c r="D52" t="inlineStr">
        <is>
          <t>UPPSALA LÄN</t>
        </is>
      </c>
      <c r="E52" t="inlineStr">
        <is>
          <t>ÖSTHAMMAR</t>
        </is>
      </c>
      <c r="G52" t="n">
        <v>7</v>
      </c>
      <c r="H52" t="n">
        <v>1</v>
      </c>
      <c r="I52" t="n">
        <v>2</v>
      </c>
      <c r="J52" t="n">
        <v>0</v>
      </c>
      <c r="K52" t="n">
        <v>0</v>
      </c>
      <c r="L52" t="n">
        <v>0</v>
      </c>
      <c r="M52" t="n">
        <v>0</v>
      </c>
      <c r="N52" t="n">
        <v>0</v>
      </c>
      <c r="O52" t="n">
        <v>0</v>
      </c>
      <c r="P52" t="n">
        <v>0</v>
      </c>
      <c r="Q52" t="n">
        <v>3</v>
      </c>
      <c r="R52" s="2" t="inlineStr">
        <is>
          <t>Svart trolldruva
Underviol
Revlummer</t>
        </is>
      </c>
      <c r="S52">
        <f>HYPERLINK("https://klasma.github.io/Logging_0382/artfynd/A 69515-2021 artfynd.xlsx", "A 69515-2021")</f>
        <v/>
      </c>
      <c r="T52">
        <f>HYPERLINK("https://klasma.github.io/Logging_0382/kartor/A 69515-2021 karta.png", "A 69515-2021")</f>
        <v/>
      </c>
      <c r="V52">
        <f>HYPERLINK("https://klasma.github.io/Logging_0382/klagomål/A 69515-2021 FSC-klagomål.docx", "A 69515-2021")</f>
        <v/>
      </c>
      <c r="W52">
        <f>HYPERLINK("https://klasma.github.io/Logging_0382/klagomålsmail/A 69515-2021 FSC-klagomål mail.docx", "A 69515-2021")</f>
        <v/>
      </c>
      <c r="X52">
        <f>HYPERLINK("https://klasma.github.io/Logging_0382/tillsyn/A 69515-2021 tillsynsbegäran.docx", "A 69515-2021")</f>
        <v/>
      </c>
      <c r="Y52">
        <f>HYPERLINK("https://klasma.github.io/Logging_0382/tillsynsmail/A 69515-2021 tillsynsbegäran mail.docx", "A 69515-2021")</f>
        <v/>
      </c>
    </row>
    <row r="53" ht="15" customHeight="1">
      <c r="A53" t="inlineStr">
        <is>
          <t>A 26557-2022</t>
        </is>
      </c>
      <c r="B53" s="1" t="n">
        <v>44739</v>
      </c>
      <c r="C53" s="1" t="n">
        <v>45474</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52808-2022</t>
        </is>
      </c>
      <c r="B54" s="1" t="n">
        <v>44875</v>
      </c>
      <c r="C54" s="1" t="n">
        <v>45474</v>
      </c>
      <c r="D54" t="inlineStr">
        <is>
          <t>UPPSALA LÄN</t>
        </is>
      </c>
      <c r="E54" t="inlineStr">
        <is>
          <t>ÖSTHAMMAR</t>
        </is>
      </c>
      <c r="G54" t="n">
        <v>4.8</v>
      </c>
      <c r="H54" t="n">
        <v>2</v>
      </c>
      <c r="I54" t="n">
        <v>2</v>
      </c>
      <c r="J54" t="n">
        <v>0</v>
      </c>
      <c r="K54" t="n">
        <v>0</v>
      </c>
      <c r="L54" t="n">
        <v>0</v>
      </c>
      <c r="M54" t="n">
        <v>0</v>
      </c>
      <c r="N54" t="n">
        <v>0</v>
      </c>
      <c r="O54" t="n">
        <v>0</v>
      </c>
      <c r="P54" t="n">
        <v>0</v>
      </c>
      <c r="Q54" t="n">
        <v>3</v>
      </c>
      <c r="R54" s="2" t="inlineStr">
        <is>
          <t>Tibast
Tvåblad
Revlummer</t>
        </is>
      </c>
      <c r="S54">
        <f>HYPERLINK("https://klasma.github.io/Logging_0382/artfynd/A 52808-2022 artfynd.xlsx", "A 52808-2022")</f>
        <v/>
      </c>
      <c r="T54">
        <f>HYPERLINK("https://klasma.github.io/Logging_0382/kartor/A 52808-2022 karta.png", "A 52808-2022")</f>
        <v/>
      </c>
      <c r="V54">
        <f>HYPERLINK("https://klasma.github.io/Logging_0382/klagomål/A 52808-2022 FSC-klagomål.docx", "A 52808-2022")</f>
        <v/>
      </c>
      <c r="W54">
        <f>HYPERLINK("https://klasma.github.io/Logging_0382/klagomålsmail/A 52808-2022 FSC-klagomål mail.docx", "A 52808-2022")</f>
        <v/>
      </c>
      <c r="X54">
        <f>HYPERLINK("https://klasma.github.io/Logging_0382/tillsyn/A 52808-2022 tillsynsbegäran.docx", "A 52808-2022")</f>
        <v/>
      </c>
      <c r="Y54">
        <f>HYPERLINK("https://klasma.github.io/Logging_0382/tillsynsmail/A 52808-2022 tillsynsbegäran mail.docx", "A 52808-2022")</f>
        <v/>
      </c>
    </row>
    <row r="55" ht="15" customHeight="1">
      <c r="A55" t="inlineStr">
        <is>
          <t>A 9683-2023</t>
        </is>
      </c>
      <c r="B55" s="1" t="n">
        <v>44984</v>
      </c>
      <c r="C55" s="1" t="n">
        <v>45474</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12485-2023</t>
        </is>
      </c>
      <c r="B56" s="1" t="n">
        <v>44998</v>
      </c>
      <c r="C56" s="1" t="n">
        <v>45474</v>
      </c>
      <c r="D56" t="inlineStr">
        <is>
          <t>UPPSALA LÄN</t>
        </is>
      </c>
      <c r="E56" t="inlineStr">
        <is>
          <t>ÖSTHAMMAR</t>
        </is>
      </c>
      <c r="G56" t="n">
        <v>4.3</v>
      </c>
      <c r="H56" t="n">
        <v>0</v>
      </c>
      <c r="I56" t="n">
        <v>0</v>
      </c>
      <c r="J56" t="n">
        <v>3</v>
      </c>
      <c r="K56" t="n">
        <v>0</v>
      </c>
      <c r="L56" t="n">
        <v>0</v>
      </c>
      <c r="M56" t="n">
        <v>0</v>
      </c>
      <c r="N56" t="n">
        <v>0</v>
      </c>
      <c r="O56" t="n">
        <v>3</v>
      </c>
      <c r="P56" t="n">
        <v>0</v>
      </c>
      <c r="Q56" t="n">
        <v>3</v>
      </c>
      <c r="R56" s="2" t="inlineStr">
        <is>
          <t>Backklöver
Slåtterfibbla
Solvända</t>
        </is>
      </c>
      <c r="S56">
        <f>HYPERLINK("https://klasma.github.io/Logging_0382/artfynd/A 12485-2023 artfynd.xlsx", "A 12485-2023")</f>
        <v/>
      </c>
      <c r="T56">
        <f>HYPERLINK("https://klasma.github.io/Logging_0382/kartor/A 12485-2023 karta.png", "A 12485-2023")</f>
        <v/>
      </c>
      <c r="V56">
        <f>HYPERLINK("https://klasma.github.io/Logging_0382/klagomål/A 12485-2023 FSC-klagomål.docx", "A 12485-2023")</f>
        <v/>
      </c>
      <c r="W56">
        <f>HYPERLINK("https://klasma.github.io/Logging_0382/klagomålsmail/A 12485-2023 FSC-klagomål mail.docx", "A 12485-2023")</f>
        <v/>
      </c>
      <c r="X56">
        <f>HYPERLINK("https://klasma.github.io/Logging_0382/tillsyn/A 12485-2023 tillsynsbegäran.docx", "A 12485-2023")</f>
        <v/>
      </c>
      <c r="Y56">
        <f>HYPERLINK("https://klasma.github.io/Logging_0382/tillsynsmail/A 12485-2023 tillsynsbegäran mail.docx", "A 12485-2023")</f>
        <v/>
      </c>
    </row>
    <row r="57" ht="15" customHeight="1">
      <c r="A57" t="inlineStr">
        <is>
          <t>A 13120-2023</t>
        </is>
      </c>
      <c r="B57" s="1" t="n">
        <v>45002</v>
      </c>
      <c r="C57" s="1" t="n">
        <v>45474</v>
      </c>
      <c r="D57" t="inlineStr">
        <is>
          <t>UPPSALA LÄN</t>
        </is>
      </c>
      <c r="E57" t="inlineStr">
        <is>
          <t>ÖSTHAMMAR</t>
        </is>
      </c>
      <c r="G57" t="n">
        <v>5.8</v>
      </c>
      <c r="H57" t="n">
        <v>0</v>
      </c>
      <c r="I57" t="n">
        <v>3</v>
      </c>
      <c r="J57" t="n">
        <v>0</v>
      </c>
      <c r="K57" t="n">
        <v>0</v>
      </c>
      <c r="L57" t="n">
        <v>0</v>
      </c>
      <c r="M57" t="n">
        <v>0</v>
      </c>
      <c r="N57" t="n">
        <v>0</v>
      </c>
      <c r="O57" t="n">
        <v>0</v>
      </c>
      <c r="P57" t="n">
        <v>0</v>
      </c>
      <c r="Q57" t="n">
        <v>3</v>
      </c>
      <c r="R57" s="2" t="inlineStr">
        <is>
          <t>Anisspindling
Olivspindling
Rödgul trumpetsvamp</t>
        </is>
      </c>
      <c r="S57">
        <f>HYPERLINK("https://klasma.github.io/Logging_0382/artfynd/A 13120-2023 artfynd.xlsx", "A 13120-2023")</f>
        <v/>
      </c>
      <c r="T57">
        <f>HYPERLINK("https://klasma.github.io/Logging_0382/kartor/A 13120-2023 karta.png", "A 13120-2023")</f>
        <v/>
      </c>
      <c r="V57">
        <f>HYPERLINK("https://klasma.github.io/Logging_0382/klagomål/A 13120-2023 FSC-klagomål.docx", "A 13120-2023")</f>
        <v/>
      </c>
      <c r="W57">
        <f>HYPERLINK("https://klasma.github.io/Logging_0382/klagomålsmail/A 13120-2023 FSC-klagomål mail.docx", "A 13120-2023")</f>
        <v/>
      </c>
      <c r="X57">
        <f>HYPERLINK("https://klasma.github.io/Logging_0382/tillsyn/A 13120-2023 tillsynsbegäran.docx", "A 13120-2023")</f>
        <v/>
      </c>
      <c r="Y57">
        <f>HYPERLINK("https://klasma.github.io/Logging_0382/tillsynsmail/A 13120-2023 tillsynsbegäran mail.docx", "A 13120-2023")</f>
        <v/>
      </c>
    </row>
    <row r="58" ht="15" customHeight="1">
      <c r="A58" t="inlineStr">
        <is>
          <t>A 15179-2023</t>
        </is>
      </c>
      <c r="B58" s="1" t="n">
        <v>45016</v>
      </c>
      <c r="C58" s="1" t="n">
        <v>45474</v>
      </c>
      <c r="D58" t="inlineStr">
        <is>
          <t>UPPSALA LÄN</t>
        </is>
      </c>
      <c r="E58" t="inlineStr">
        <is>
          <t>ÖSTHAMMAR</t>
        </is>
      </c>
      <c r="G58" t="n">
        <v>6.1</v>
      </c>
      <c r="H58" t="n">
        <v>1</v>
      </c>
      <c r="I58" t="n">
        <v>3</v>
      </c>
      <c r="J58" t="n">
        <v>0</v>
      </c>
      <c r="K58" t="n">
        <v>0</v>
      </c>
      <c r="L58" t="n">
        <v>0</v>
      </c>
      <c r="M58" t="n">
        <v>0</v>
      </c>
      <c r="N58" t="n">
        <v>0</v>
      </c>
      <c r="O58" t="n">
        <v>0</v>
      </c>
      <c r="P58" t="n">
        <v>0</v>
      </c>
      <c r="Q58" t="n">
        <v>3</v>
      </c>
      <c r="R58" s="2" t="inlineStr">
        <is>
          <t>Skogsknipprot
Tibast
Vårärt</t>
        </is>
      </c>
      <c r="S58">
        <f>HYPERLINK("https://klasma.github.io/Logging_0382/artfynd/A 15179-2023 artfynd.xlsx", "A 15179-2023")</f>
        <v/>
      </c>
      <c r="T58">
        <f>HYPERLINK("https://klasma.github.io/Logging_0382/kartor/A 15179-2023 karta.png", "A 15179-2023")</f>
        <v/>
      </c>
      <c r="V58">
        <f>HYPERLINK("https://klasma.github.io/Logging_0382/klagomål/A 15179-2023 FSC-klagomål.docx", "A 15179-2023")</f>
        <v/>
      </c>
      <c r="W58">
        <f>HYPERLINK("https://klasma.github.io/Logging_0382/klagomålsmail/A 15179-2023 FSC-klagomål mail.docx", "A 15179-2023")</f>
        <v/>
      </c>
      <c r="X58">
        <f>HYPERLINK("https://klasma.github.io/Logging_0382/tillsyn/A 15179-2023 tillsynsbegäran.docx", "A 15179-2023")</f>
        <v/>
      </c>
      <c r="Y58">
        <f>HYPERLINK("https://klasma.github.io/Logging_0382/tillsynsmail/A 15179-2023 tillsynsbegäran mail.docx", "A 15179-2023")</f>
        <v/>
      </c>
    </row>
    <row r="59" ht="15" customHeight="1">
      <c r="A59" t="inlineStr">
        <is>
          <t>A 19884-2023</t>
        </is>
      </c>
      <c r="B59" s="1" t="n">
        <v>45054</v>
      </c>
      <c r="C59" s="1" t="n">
        <v>45474</v>
      </c>
      <c r="D59" t="inlineStr">
        <is>
          <t>UPPSALA LÄN</t>
        </is>
      </c>
      <c r="E59" t="inlineStr">
        <is>
          <t>ÖSTHAMMAR</t>
        </is>
      </c>
      <c r="G59" t="n">
        <v>2.5</v>
      </c>
      <c r="H59" t="n">
        <v>3</v>
      </c>
      <c r="I59" t="n">
        <v>0</v>
      </c>
      <c r="J59" t="n">
        <v>2</v>
      </c>
      <c r="K59" t="n">
        <v>0</v>
      </c>
      <c r="L59" t="n">
        <v>1</v>
      </c>
      <c r="M59" t="n">
        <v>0</v>
      </c>
      <c r="N59" t="n">
        <v>0</v>
      </c>
      <c r="O59" t="n">
        <v>3</v>
      </c>
      <c r="P59" t="n">
        <v>1</v>
      </c>
      <c r="Q59" t="n">
        <v>3</v>
      </c>
      <c r="R59" s="2" t="inlineStr">
        <is>
          <t>Grönfink
Grönsångare
Rödvingetrast</t>
        </is>
      </c>
      <c r="S59">
        <f>HYPERLINK("https://klasma.github.io/Logging_0382/artfynd/A 19884-2023 artfynd.xlsx", "A 19884-2023")</f>
        <v/>
      </c>
      <c r="T59">
        <f>HYPERLINK("https://klasma.github.io/Logging_0382/kartor/A 19884-2023 karta.png", "A 19884-2023")</f>
        <v/>
      </c>
      <c r="V59">
        <f>HYPERLINK("https://klasma.github.io/Logging_0382/klagomål/A 19884-2023 FSC-klagomål.docx", "A 19884-2023")</f>
        <v/>
      </c>
      <c r="W59">
        <f>HYPERLINK("https://klasma.github.io/Logging_0382/klagomålsmail/A 19884-2023 FSC-klagomål mail.docx", "A 19884-2023")</f>
        <v/>
      </c>
      <c r="X59">
        <f>HYPERLINK("https://klasma.github.io/Logging_0382/tillsyn/A 19884-2023 tillsynsbegäran.docx", "A 19884-2023")</f>
        <v/>
      </c>
      <c r="Y59">
        <f>HYPERLINK("https://klasma.github.io/Logging_0382/tillsynsmail/A 19884-2023 tillsynsbegäran mail.docx", "A 19884-2023")</f>
        <v/>
      </c>
      <c r="Z59">
        <f>HYPERLINK("https://klasma.github.io/Logging_0382/fåglar/A 19884-2023 prioriterade fågelarter.docx", "A 19884-2023")</f>
        <v/>
      </c>
    </row>
    <row r="60" ht="15" customHeight="1">
      <c r="A60" t="inlineStr">
        <is>
          <t>A 20115-2023</t>
        </is>
      </c>
      <c r="B60" s="1" t="n">
        <v>45055</v>
      </c>
      <c r="C60" s="1" t="n">
        <v>45474</v>
      </c>
      <c r="D60" t="inlineStr">
        <is>
          <t>UPPSALA LÄN</t>
        </is>
      </c>
      <c r="E60" t="inlineStr">
        <is>
          <t>ÖSTHAMMAR</t>
        </is>
      </c>
      <c r="G60" t="n">
        <v>13.4</v>
      </c>
      <c r="H60" t="n">
        <v>0</v>
      </c>
      <c r="I60" t="n">
        <v>0</v>
      </c>
      <c r="J60" t="n">
        <v>3</v>
      </c>
      <c r="K60" t="n">
        <v>0</v>
      </c>
      <c r="L60" t="n">
        <v>0</v>
      </c>
      <c r="M60" t="n">
        <v>0</v>
      </c>
      <c r="N60" t="n">
        <v>0</v>
      </c>
      <c r="O60" t="n">
        <v>3</v>
      </c>
      <c r="P60" t="n">
        <v>0</v>
      </c>
      <c r="Q60" t="n">
        <v>3</v>
      </c>
      <c r="R60" s="2" t="inlineStr">
        <is>
          <t>Grantaggsvamp
Leopardsköldbagge
Orange taggsvamp</t>
        </is>
      </c>
      <c r="S60">
        <f>HYPERLINK("https://klasma.github.io/Logging_0382/artfynd/A 20115-2023 artfynd.xlsx", "A 20115-2023")</f>
        <v/>
      </c>
      <c r="T60">
        <f>HYPERLINK("https://klasma.github.io/Logging_0382/kartor/A 20115-2023 karta.png", "A 20115-2023")</f>
        <v/>
      </c>
      <c r="U60">
        <f>HYPERLINK("https://klasma.github.io/Logging_0382/knärot/A 20115-2023 karta knärot.png", "A 20115-2023")</f>
        <v/>
      </c>
      <c r="V60">
        <f>HYPERLINK("https://klasma.github.io/Logging_0382/klagomål/A 20115-2023 FSC-klagomål.docx", "A 20115-2023")</f>
        <v/>
      </c>
      <c r="W60">
        <f>HYPERLINK("https://klasma.github.io/Logging_0382/klagomålsmail/A 20115-2023 FSC-klagomål mail.docx", "A 20115-2023")</f>
        <v/>
      </c>
      <c r="X60">
        <f>HYPERLINK("https://klasma.github.io/Logging_0382/tillsyn/A 20115-2023 tillsynsbegäran.docx", "A 20115-2023")</f>
        <v/>
      </c>
      <c r="Y60">
        <f>HYPERLINK("https://klasma.github.io/Logging_0382/tillsynsmail/A 20115-2023 tillsynsbegäran mail.docx", "A 20115-2023")</f>
        <v/>
      </c>
    </row>
    <row r="61" ht="15" customHeight="1">
      <c r="A61" t="inlineStr">
        <is>
          <t>A 46204-2023</t>
        </is>
      </c>
      <c r="B61" s="1" t="n">
        <v>45190</v>
      </c>
      <c r="C61" s="1" t="n">
        <v>45474</v>
      </c>
      <c r="D61" t="inlineStr">
        <is>
          <t>UPPSALA LÄN</t>
        </is>
      </c>
      <c r="E61" t="inlineStr">
        <is>
          <t>ÖSTHAMMAR</t>
        </is>
      </c>
      <c r="F61" t="inlineStr">
        <is>
          <t>Övriga statliga verk och myndigheter</t>
        </is>
      </c>
      <c r="G61" t="n">
        <v>3.5</v>
      </c>
      <c r="H61" t="n">
        <v>3</v>
      </c>
      <c r="I61" t="n">
        <v>0</v>
      </c>
      <c r="J61" t="n">
        <v>3</v>
      </c>
      <c r="K61" t="n">
        <v>0</v>
      </c>
      <c r="L61" t="n">
        <v>0</v>
      </c>
      <c r="M61" t="n">
        <v>0</v>
      </c>
      <c r="N61" t="n">
        <v>0</v>
      </c>
      <c r="O61" t="n">
        <v>3</v>
      </c>
      <c r="P61" t="n">
        <v>0</v>
      </c>
      <c r="Q61" t="n">
        <v>3</v>
      </c>
      <c r="R61" s="2" t="inlineStr">
        <is>
          <t>Grönsångare
Gulsparv
Ärtsångare</t>
        </is>
      </c>
      <c r="S61">
        <f>HYPERLINK("https://klasma.github.io/Logging_0382/artfynd/A 46204-2023 artfynd.xlsx", "A 46204-2023")</f>
        <v/>
      </c>
      <c r="T61">
        <f>HYPERLINK("https://klasma.github.io/Logging_0382/kartor/A 46204-2023 karta.png", "A 46204-2023")</f>
        <v/>
      </c>
      <c r="V61">
        <f>HYPERLINK("https://klasma.github.io/Logging_0382/klagomål/A 46204-2023 FSC-klagomål.docx", "A 46204-2023")</f>
        <v/>
      </c>
      <c r="W61">
        <f>HYPERLINK("https://klasma.github.io/Logging_0382/klagomålsmail/A 46204-2023 FSC-klagomål mail.docx", "A 46204-2023")</f>
        <v/>
      </c>
      <c r="X61">
        <f>HYPERLINK("https://klasma.github.io/Logging_0382/tillsyn/A 46204-2023 tillsynsbegäran.docx", "A 46204-2023")</f>
        <v/>
      </c>
      <c r="Y61">
        <f>HYPERLINK("https://klasma.github.io/Logging_0382/tillsynsmail/A 46204-2023 tillsynsbegäran mail.docx", "A 46204-2023")</f>
        <v/>
      </c>
      <c r="Z61">
        <f>HYPERLINK("https://klasma.github.io/Logging_0382/fåglar/A 46204-2023 prioriterade fågelarter.docx", "A 46204-2023")</f>
        <v/>
      </c>
    </row>
    <row r="62" ht="15" customHeight="1">
      <c r="A62" t="inlineStr">
        <is>
          <t>A 53731-2023</t>
        </is>
      </c>
      <c r="B62" s="1" t="n">
        <v>45230</v>
      </c>
      <c r="C62" s="1" t="n">
        <v>45474</v>
      </c>
      <c r="D62" t="inlineStr">
        <is>
          <t>UPPSALA LÄN</t>
        </is>
      </c>
      <c r="E62" t="inlineStr">
        <is>
          <t>ÖSTHAMMAR</t>
        </is>
      </c>
      <c r="G62" t="n">
        <v>3.2</v>
      </c>
      <c r="H62" t="n">
        <v>0</v>
      </c>
      <c r="I62" t="n">
        <v>1</v>
      </c>
      <c r="J62" t="n">
        <v>1</v>
      </c>
      <c r="K62" t="n">
        <v>1</v>
      </c>
      <c r="L62" t="n">
        <v>0</v>
      </c>
      <c r="M62" t="n">
        <v>0</v>
      </c>
      <c r="N62" t="n">
        <v>0</v>
      </c>
      <c r="O62" t="n">
        <v>2</v>
      </c>
      <c r="P62" t="n">
        <v>1</v>
      </c>
      <c r="Q62" t="n">
        <v>3</v>
      </c>
      <c r="R62" s="2" t="inlineStr">
        <is>
          <t>Taggfingersvamp
Äggspindling
Sårläka</t>
        </is>
      </c>
      <c r="S62">
        <f>HYPERLINK("https://klasma.github.io/Logging_0382/artfynd/A 53731-2023 artfynd.xlsx", "A 53731-2023")</f>
        <v/>
      </c>
      <c r="T62">
        <f>HYPERLINK("https://klasma.github.io/Logging_0382/kartor/A 53731-2023 karta.png", "A 53731-2023")</f>
        <v/>
      </c>
      <c r="V62">
        <f>HYPERLINK("https://klasma.github.io/Logging_0382/klagomål/A 53731-2023 FSC-klagomål.docx", "A 53731-2023")</f>
        <v/>
      </c>
      <c r="W62">
        <f>HYPERLINK("https://klasma.github.io/Logging_0382/klagomålsmail/A 53731-2023 FSC-klagomål mail.docx", "A 53731-2023")</f>
        <v/>
      </c>
      <c r="X62">
        <f>HYPERLINK("https://klasma.github.io/Logging_0382/tillsyn/A 53731-2023 tillsynsbegäran.docx", "A 53731-2023")</f>
        <v/>
      </c>
      <c r="Y62">
        <f>HYPERLINK("https://klasma.github.io/Logging_0382/tillsynsmail/A 53731-2023 tillsynsbegäran mail.docx", "A 53731-2023")</f>
        <v/>
      </c>
    </row>
    <row r="63" ht="15" customHeight="1">
      <c r="A63" t="inlineStr">
        <is>
          <t>A 57633-2023</t>
        </is>
      </c>
      <c r="B63" s="1" t="n">
        <v>45246</v>
      </c>
      <c r="C63" s="1" t="n">
        <v>45474</v>
      </c>
      <c r="D63" t="inlineStr">
        <is>
          <t>UPPSALA LÄN</t>
        </is>
      </c>
      <c r="E63" t="inlineStr">
        <is>
          <t>ÖSTHAMMAR</t>
        </is>
      </c>
      <c r="F63" t="inlineStr">
        <is>
          <t>Bergvik skog öst AB</t>
        </is>
      </c>
      <c r="G63" t="n">
        <v>1</v>
      </c>
      <c r="H63" t="n">
        <v>1</v>
      </c>
      <c r="I63" t="n">
        <v>3</v>
      </c>
      <c r="J63" t="n">
        <v>0</v>
      </c>
      <c r="K63" t="n">
        <v>0</v>
      </c>
      <c r="L63" t="n">
        <v>0</v>
      </c>
      <c r="M63" t="n">
        <v>0</v>
      </c>
      <c r="N63" t="n">
        <v>0</v>
      </c>
      <c r="O63" t="n">
        <v>0</v>
      </c>
      <c r="P63" t="n">
        <v>0</v>
      </c>
      <c r="Q63" t="n">
        <v>3</v>
      </c>
      <c r="R63" s="2" t="inlineStr">
        <is>
          <t>Skogsknipprot
Svart trolldruva
Svavelriska</t>
        </is>
      </c>
      <c r="S63">
        <f>HYPERLINK("https://klasma.github.io/Logging_0382/artfynd/A 57633-2023 artfynd.xlsx", "A 57633-2023")</f>
        <v/>
      </c>
      <c r="T63">
        <f>HYPERLINK("https://klasma.github.io/Logging_0382/kartor/A 57633-2023 karta.png", "A 57633-2023")</f>
        <v/>
      </c>
      <c r="V63">
        <f>HYPERLINK("https://klasma.github.io/Logging_0382/klagomål/A 57633-2023 FSC-klagomål.docx", "A 57633-2023")</f>
        <v/>
      </c>
      <c r="W63">
        <f>HYPERLINK("https://klasma.github.io/Logging_0382/klagomålsmail/A 57633-2023 FSC-klagomål mail.docx", "A 57633-2023")</f>
        <v/>
      </c>
      <c r="X63">
        <f>HYPERLINK("https://klasma.github.io/Logging_0382/tillsyn/A 57633-2023 tillsynsbegäran.docx", "A 57633-2023")</f>
        <v/>
      </c>
      <c r="Y63">
        <f>HYPERLINK("https://klasma.github.io/Logging_0382/tillsynsmail/A 57633-2023 tillsynsbegäran mail.docx", "A 57633-2023")</f>
        <v/>
      </c>
    </row>
    <row r="64" ht="15" customHeight="1">
      <c r="A64" t="inlineStr">
        <is>
          <t>A 57636-2023</t>
        </is>
      </c>
      <c r="B64" s="1" t="n">
        <v>45246</v>
      </c>
      <c r="C64" s="1" t="n">
        <v>45474</v>
      </c>
      <c r="D64" t="inlineStr">
        <is>
          <t>UPPSALA LÄN</t>
        </is>
      </c>
      <c r="E64" t="inlineStr">
        <is>
          <t>ÖSTHAMMAR</t>
        </is>
      </c>
      <c r="F64" t="inlineStr">
        <is>
          <t>Bergvik skog öst AB</t>
        </is>
      </c>
      <c r="G64" t="n">
        <v>9.800000000000001</v>
      </c>
      <c r="H64" t="n">
        <v>1</v>
      </c>
      <c r="I64" t="n">
        <v>3</v>
      </c>
      <c r="J64" t="n">
        <v>0</v>
      </c>
      <c r="K64" t="n">
        <v>0</v>
      </c>
      <c r="L64" t="n">
        <v>0</v>
      </c>
      <c r="M64" t="n">
        <v>0</v>
      </c>
      <c r="N64" t="n">
        <v>0</v>
      </c>
      <c r="O64" t="n">
        <v>0</v>
      </c>
      <c r="P64" t="n">
        <v>0</v>
      </c>
      <c r="Q64" t="n">
        <v>3</v>
      </c>
      <c r="R64" s="2" t="inlineStr">
        <is>
          <t>Skogsknipprot
Svavelriska
Tibast</t>
        </is>
      </c>
      <c r="S64">
        <f>HYPERLINK("https://klasma.github.io/Logging_0382/artfynd/A 57636-2023 artfynd.xlsx", "A 57636-2023")</f>
        <v/>
      </c>
      <c r="T64">
        <f>HYPERLINK("https://klasma.github.io/Logging_0382/kartor/A 57636-2023 karta.png", "A 57636-2023")</f>
        <v/>
      </c>
      <c r="V64">
        <f>HYPERLINK("https://klasma.github.io/Logging_0382/klagomål/A 57636-2023 FSC-klagomål.docx", "A 57636-2023")</f>
        <v/>
      </c>
      <c r="W64">
        <f>HYPERLINK("https://klasma.github.io/Logging_0382/klagomålsmail/A 57636-2023 FSC-klagomål mail.docx", "A 57636-2023")</f>
        <v/>
      </c>
      <c r="X64">
        <f>HYPERLINK("https://klasma.github.io/Logging_0382/tillsyn/A 57636-2023 tillsynsbegäran.docx", "A 57636-2023")</f>
        <v/>
      </c>
      <c r="Y64">
        <f>HYPERLINK("https://klasma.github.io/Logging_0382/tillsynsmail/A 57636-2023 tillsynsbegäran mail.docx", "A 57636-2023")</f>
        <v/>
      </c>
    </row>
    <row r="65" ht="15" customHeight="1">
      <c r="A65" t="inlineStr">
        <is>
          <t>A 17004-2024</t>
        </is>
      </c>
      <c r="B65" s="1" t="n">
        <v>45412</v>
      </c>
      <c r="C65" s="1" t="n">
        <v>45474</v>
      </c>
      <c r="D65" t="inlineStr">
        <is>
          <t>UPPSALA LÄN</t>
        </is>
      </c>
      <c r="E65" t="inlineStr">
        <is>
          <t>ÖSTHAMMAR</t>
        </is>
      </c>
      <c r="F65" t="inlineStr">
        <is>
          <t>Bergvik skog öst AB</t>
        </is>
      </c>
      <c r="G65" t="n">
        <v>24.4</v>
      </c>
      <c r="H65" t="n">
        <v>0</v>
      </c>
      <c r="I65" t="n">
        <v>2</v>
      </c>
      <c r="J65" t="n">
        <v>0</v>
      </c>
      <c r="K65" t="n">
        <v>0</v>
      </c>
      <c r="L65" t="n">
        <v>0</v>
      </c>
      <c r="M65" t="n">
        <v>1</v>
      </c>
      <c r="N65" t="n">
        <v>0</v>
      </c>
      <c r="O65" t="n">
        <v>1</v>
      </c>
      <c r="P65" t="n">
        <v>1</v>
      </c>
      <c r="Q65" t="n">
        <v>3</v>
      </c>
      <c r="R65" s="2" t="inlineStr">
        <is>
          <t>Skogsalm
Myskmadra
Underviol</t>
        </is>
      </c>
      <c r="S65">
        <f>HYPERLINK("https://klasma.github.io/Logging_0382/artfynd/A 17004-2024 artfynd.xlsx", "A 17004-2024")</f>
        <v/>
      </c>
      <c r="T65">
        <f>HYPERLINK("https://klasma.github.io/Logging_0382/kartor/A 17004-2024 karta.png", "A 17004-2024")</f>
        <v/>
      </c>
      <c r="V65">
        <f>HYPERLINK("https://klasma.github.io/Logging_0382/klagomål/A 17004-2024 FSC-klagomål.docx", "A 17004-2024")</f>
        <v/>
      </c>
      <c r="W65">
        <f>HYPERLINK("https://klasma.github.io/Logging_0382/klagomålsmail/A 17004-2024 FSC-klagomål mail.docx", "A 17004-2024")</f>
        <v/>
      </c>
      <c r="X65">
        <f>HYPERLINK("https://klasma.github.io/Logging_0382/tillsyn/A 17004-2024 tillsynsbegäran.docx", "A 17004-2024")</f>
        <v/>
      </c>
      <c r="Y65">
        <f>HYPERLINK("https://klasma.github.io/Logging_0382/tillsynsmail/A 17004-2024 tillsynsbegäran mail.docx", "A 17004-2024")</f>
        <v/>
      </c>
    </row>
    <row r="66" ht="15" customHeight="1">
      <c r="A66" t="inlineStr">
        <is>
          <t>A 2172-2020</t>
        </is>
      </c>
      <c r="B66" s="1" t="n">
        <v>43846</v>
      </c>
      <c r="C66" s="1" t="n">
        <v>45474</v>
      </c>
      <c r="D66" t="inlineStr">
        <is>
          <t>UPPSALA LÄN</t>
        </is>
      </c>
      <c r="E66" t="inlineStr">
        <is>
          <t>ÖSTHAMMAR</t>
        </is>
      </c>
      <c r="G66" t="n">
        <v>3.8</v>
      </c>
      <c r="H66" t="n">
        <v>0</v>
      </c>
      <c r="I66" t="n">
        <v>1</v>
      </c>
      <c r="J66" t="n">
        <v>1</v>
      </c>
      <c r="K66" t="n">
        <v>0</v>
      </c>
      <c r="L66" t="n">
        <v>0</v>
      </c>
      <c r="M66" t="n">
        <v>0</v>
      </c>
      <c r="N66" t="n">
        <v>0</v>
      </c>
      <c r="O66" t="n">
        <v>1</v>
      </c>
      <c r="P66" t="n">
        <v>0</v>
      </c>
      <c r="Q66" t="n">
        <v>2</v>
      </c>
      <c r="R66" s="2" t="inlineStr">
        <is>
          <t>Flattoppad klubbsvamp
Zontaggsvamp</t>
        </is>
      </c>
      <c r="S66">
        <f>HYPERLINK("https://klasma.github.io/Logging_0382/artfynd/A 2172-2020 artfynd.xlsx", "A 2172-2020")</f>
        <v/>
      </c>
      <c r="T66">
        <f>HYPERLINK("https://klasma.github.io/Logging_0382/kartor/A 2172-2020 karta.png", "A 2172-2020")</f>
        <v/>
      </c>
      <c r="V66">
        <f>HYPERLINK("https://klasma.github.io/Logging_0382/klagomål/A 2172-2020 FSC-klagomål.docx", "A 2172-2020")</f>
        <v/>
      </c>
      <c r="W66">
        <f>HYPERLINK("https://klasma.github.io/Logging_0382/klagomålsmail/A 2172-2020 FSC-klagomål mail.docx", "A 2172-2020")</f>
        <v/>
      </c>
      <c r="X66">
        <f>HYPERLINK("https://klasma.github.io/Logging_0382/tillsyn/A 2172-2020 tillsynsbegäran.docx", "A 2172-2020")</f>
        <v/>
      </c>
      <c r="Y66">
        <f>HYPERLINK("https://klasma.github.io/Logging_0382/tillsynsmail/A 2172-2020 tillsynsbegäran mail.docx", "A 2172-2020")</f>
        <v/>
      </c>
    </row>
    <row r="67" ht="15" customHeight="1">
      <c r="A67" t="inlineStr">
        <is>
          <t>A 9867-2020</t>
        </is>
      </c>
      <c r="B67" s="1" t="n">
        <v>43882</v>
      </c>
      <c r="C67" s="1" t="n">
        <v>45474</v>
      </c>
      <c r="D67" t="inlineStr">
        <is>
          <t>UPPSALA LÄN</t>
        </is>
      </c>
      <c r="E67" t="inlineStr">
        <is>
          <t>ÖSTHAMMAR</t>
        </is>
      </c>
      <c r="F67" t="inlineStr">
        <is>
          <t>Bergvik skog öst AB</t>
        </is>
      </c>
      <c r="G67" t="n">
        <v>11.1</v>
      </c>
      <c r="H67" t="n">
        <v>1</v>
      </c>
      <c r="I67" t="n">
        <v>1</v>
      </c>
      <c r="J67" t="n">
        <v>0</v>
      </c>
      <c r="K67" t="n">
        <v>0</v>
      </c>
      <c r="L67" t="n">
        <v>0</v>
      </c>
      <c r="M67" t="n">
        <v>0</v>
      </c>
      <c r="N67" t="n">
        <v>0</v>
      </c>
      <c r="O67" t="n">
        <v>0</v>
      </c>
      <c r="P67" t="n">
        <v>0</v>
      </c>
      <c r="Q67" t="n">
        <v>2</v>
      </c>
      <c r="R67" s="2" t="inlineStr">
        <is>
          <t>Gräsull
Revlummer</t>
        </is>
      </c>
      <c r="S67">
        <f>HYPERLINK("https://klasma.github.io/Logging_0382/artfynd/A 9867-2020 artfynd.xlsx", "A 9867-2020")</f>
        <v/>
      </c>
      <c r="T67">
        <f>HYPERLINK("https://klasma.github.io/Logging_0382/kartor/A 9867-2020 karta.png", "A 9867-2020")</f>
        <v/>
      </c>
      <c r="V67">
        <f>HYPERLINK("https://klasma.github.io/Logging_0382/klagomål/A 9867-2020 FSC-klagomål.docx", "A 9867-2020")</f>
        <v/>
      </c>
      <c r="W67">
        <f>HYPERLINK("https://klasma.github.io/Logging_0382/klagomålsmail/A 9867-2020 FSC-klagomål mail.docx", "A 9867-2020")</f>
        <v/>
      </c>
      <c r="X67">
        <f>HYPERLINK("https://klasma.github.io/Logging_0382/tillsyn/A 9867-2020 tillsynsbegäran.docx", "A 9867-2020")</f>
        <v/>
      </c>
      <c r="Y67">
        <f>HYPERLINK("https://klasma.github.io/Logging_0382/tillsynsmail/A 9867-2020 tillsynsbegäran mail.docx", "A 9867-2020")</f>
        <v/>
      </c>
    </row>
    <row r="68" ht="15" customHeight="1">
      <c r="A68" t="inlineStr">
        <is>
          <t>A 42520-2020</t>
        </is>
      </c>
      <c r="B68" s="1" t="n">
        <v>44077</v>
      </c>
      <c r="C68" s="1" t="n">
        <v>45474</v>
      </c>
      <c r="D68" t="inlineStr">
        <is>
          <t>UPPSALA LÄN</t>
        </is>
      </c>
      <c r="E68" t="inlineStr">
        <is>
          <t>ÖSTHAMMAR</t>
        </is>
      </c>
      <c r="G68" t="n">
        <v>2.8</v>
      </c>
      <c r="H68" t="n">
        <v>1</v>
      </c>
      <c r="I68" t="n">
        <v>2</v>
      </c>
      <c r="J68" t="n">
        <v>0</v>
      </c>
      <c r="K68" t="n">
        <v>0</v>
      </c>
      <c r="L68" t="n">
        <v>0</v>
      </c>
      <c r="M68" t="n">
        <v>0</v>
      </c>
      <c r="N68" t="n">
        <v>0</v>
      </c>
      <c r="O68" t="n">
        <v>0</v>
      </c>
      <c r="P68" t="n">
        <v>0</v>
      </c>
      <c r="Q68" t="n">
        <v>2</v>
      </c>
      <c r="R68" s="2" t="inlineStr">
        <is>
          <t>Hasselticka
Skogsknipprot</t>
        </is>
      </c>
      <c r="S68">
        <f>HYPERLINK("https://klasma.github.io/Logging_0382/artfynd/A 42520-2020 artfynd.xlsx", "A 42520-2020")</f>
        <v/>
      </c>
      <c r="T68">
        <f>HYPERLINK("https://klasma.github.io/Logging_0382/kartor/A 42520-2020 karta.png", "A 42520-2020")</f>
        <v/>
      </c>
      <c r="V68">
        <f>HYPERLINK("https://klasma.github.io/Logging_0382/klagomål/A 42520-2020 FSC-klagomål.docx", "A 42520-2020")</f>
        <v/>
      </c>
      <c r="W68">
        <f>HYPERLINK("https://klasma.github.io/Logging_0382/klagomålsmail/A 42520-2020 FSC-klagomål mail.docx", "A 42520-2020")</f>
        <v/>
      </c>
      <c r="X68">
        <f>HYPERLINK("https://klasma.github.io/Logging_0382/tillsyn/A 42520-2020 tillsynsbegäran.docx", "A 42520-2020")</f>
        <v/>
      </c>
      <c r="Y68">
        <f>HYPERLINK("https://klasma.github.io/Logging_0382/tillsynsmail/A 42520-2020 tillsynsbegäran mail.docx", "A 42520-2020")</f>
        <v/>
      </c>
    </row>
    <row r="69" ht="15" customHeight="1">
      <c r="A69" t="inlineStr">
        <is>
          <t>A 59416-2020</t>
        </is>
      </c>
      <c r="B69" s="1" t="n">
        <v>44148</v>
      </c>
      <c r="C69" s="1" t="n">
        <v>45474</v>
      </c>
      <c r="D69" t="inlineStr">
        <is>
          <t>UPPSALA LÄN</t>
        </is>
      </c>
      <c r="E69" t="inlineStr">
        <is>
          <t>ÖSTHAMMAR</t>
        </is>
      </c>
      <c r="F69" t="inlineStr">
        <is>
          <t>Sveaskog</t>
        </is>
      </c>
      <c r="G69" t="n">
        <v>1.7</v>
      </c>
      <c r="H69" t="n">
        <v>2</v>
      </c>
      <c r="I69" t="n">
        <v>0</v>
      </c>
      <c r="J69" t="n">
        <v>1</v>
      </c>
      <c r="K69" t="n">
        <v>0</v>
      </c>
      <c r="L69" t="n">
        <v>1</v>
      </c>
      <c r="M69" t="n">
        <v>0</v>
      </c>
      <c r="N69" t="n">
        <v>0</v>
      </c>
      <c r="O69" t="n">
        <v>2</v>
      </c>
      <c r="P69" t="n">
        <v>1</v>
      </c>
      <c r="Q69" t="n">
        <v>2</v>
      </c>
      <c r="R69" s="2" t="inlineStr">
        <is>
          <t>Grönfink
Svartvit flugsnappare</t>
        </is>
      </c>
      <c r="S69">
        <f>HYPERLINK("https://klasma.github.io/Logging_0382/artfynd/A 59416-2020 artfynd.xlsx", "A 59416-2020")</f>
        <v/>
      </c>
      <c r="T69">
        <f>HYPERLINK("https://klasma.github.io/Logging_0382/kartor/A 59416-2020 karta.png", "A 59416-2020")</f>
        <v/>
      </c>
      <c r="V69">
        <f>HYPERLINK("https://klasma.github.io/Logging_0382/klagomål/A 59416-2020 FSC-klagomål.docx", "A 59416-2020")</f>
        <v/>
      </c>
      <c r="W69">
        <f>HYPERLINK("https://klasma.github.io/Logging_0382/klagomålsmail/A 59416-2020 FSC-klagomål mail.docx", "A 59416-2020")</f>
        <v/>
      </c>
      <c r="X69">
        <f>HYPERLINK("https://klasma.github.io/Logging_0382/tillsyn/A 59416-2020 tillsynsbegäran.docx", "A 59416-2020")</f>
        <v/>
      </c>
      <c r="Y69">
        <f>HYPERLINK("https://klasma.github.io/Logging_0382/tillsynsmail/A 59416-2020 tillsynsbegäran mail.docx", "A 59416-2020")</f>
        <v/>
      </c>
      <c r="Z69">
        <f>HYPERLINK("https://klasma.github.io/Logging_0382/fåglar/A 59416-2020 prioriterade fågelarter.docx", "A 59416-2020")</f>
        <v/>
      </c>
    </row>
    <row r="70" ht="15" customHeight="1">
      <c r="A70" t="inlineStr">
        <is>
          <t>A 6223-2021</t>
        </is>
      </c>
      <c r="B70" s="1" t="n">
        <v>44235</v>
      </c>
      <c r="C70" s="1" t="n">
        <v>45474</v>
      </c>
      <c r="D70" t="inlineStr">
        <is>
          <t>UPPSALA LÄN</t>
        </is>
      </c>
      <c r="E70" t="inlineStr">
        <is>
          <t>ÖSTHAMMAR</t>
        </is>
      </c>
      <c r="G70" t="n">
        <v>0.5</v>
      </c>
      <c r="H70" t="n">
        <v>2</v>
      </c>
      <c r="I70" t="n">
        <v>0</v>
      </c>
      <c r="J70" t="n">
        <v>0</v>
      </c>
      <c r="K70" t="n">
        <v>0</v>
      </c>
      <c r="L70" t="n">
        <v>0</v>
      </c>
      <c r="M70" t="n">
        <v>0</v>
      </c>
      <c r="N70" t="n">
        <v>0</v>
      </c>
      <c r="O70" t="n">
        <v>0</v>
      </c>
      <c r="P70" t="n">
        <v>0</v>
      </c>
      <c r="Q70" t="n">
        <v>2</v>
      </c>
      <c r="R70" s="2" t="inlineStr">
        <is>
          <t>Blåsippa
Gullviva</t>
        </is>
      </c>
      <c r="S70">
        <f>HYPERLINK("https://klasma.github.io/Logging_0382/artfynd/A 6223-2021 artfynd.xlsx", "A 6223-2021")</f>
        <v/>
      </c>
      <c r="T70">
        <f>HYPERLINK("https://klasma.github.io/Logging_0382/kartor/A 6223-2021 karta.png", "A 6223-2021")</f>
        <v/>
      </c>
      <c r="V70">
        <f>HYPERLINK("https://klasma.github.io/Logging_0382/klagomål/A 6223-2021 FSC-klagomål.docx", "A 6223-2021")</f>
        <v/>
      </c>
      <c r="W70">
        <f>HYPERLINK("https://klasma.github.io/Logging_0382/klagomålsmail/A 6223-2021 FSC-klagomål mail.docx", "A 6223-2021")</f>
        <v/>
      </c>
      <c r="X70">
        <f>HYPERLINK("https://klasma.github.io/Logging_0382/tillsyn/A 6223-2021 tillsynsbegäran.docx", "A 6223-2021")</f>
        <v/>
      </c>
      <c r="Y70">
        <f>HYPERLINK("https://klasma.github.io/Logging_0382/tillsynsmail/A 6223-2021 tillsynsbegäran mail.docx", "A 6223-2021")</f>
        <v/>
      </c>
    </row>
    <row r="71" ht="15" customHeight="1">
      <c r="A71" t="inlineStr">
        <is>
          <t>A 60078-2021</t>
        </is>
      </c>
      <c r="B71" s="1" t="n">
        <v>44495</v>
      </c>
      <c r="C71" s="1" t="n">
        <v>45474</v>
      </c>
      <c r="D71" t="inlineStr">
        <is>
          <t>UPPSALA LÄN</t>
        </is>
      </c>
      <c r="E71" t="inlineStr">
        <is>
          <t>ÖSTHAMMAR</t>
        </is>
      </c>
      <c r="G71" t="n">
        <v>1.1</v>
      </c>
      <c r="H71" t="n">
        <v>0</v>
      </c>
      <c r="I71" t="n">
        <v>0</v>
      </c>
      <c r="J71" t="n">
        <v>1</v>
      </c>
      <c r="K71" t="n">
        <v>1</v>
      </c>
      <c r="L71" t="n">
        <v>0</v>
      </c>
      <c r="M71" t="n">
        <v>0</v>
      </c>
      <c r="N71" t="n">
        <v>0</v>
      </c>
      <c r="O71" t="n">
        <v>2</v>
      </c>
      <c r="P71" t="n">
        <v>1</v>
      </c>
      <c r="Q71" t="n">
        <v>2</v>
      </c>
      <c r="R71" s="2" t="inlineStr">
        <is>
          <t>Violgubbe
Blek fingersvamp</t>
        </is>
      </c>
      <c r="S71">
        <f>HYPERLINK("https://klasma.github.io/Logging_0382/artfynd/A 60078-2021 artfynd.xlsx", "A 60078-2021")</f>
        <v/>
      </c>
      <c r="T71">
        <f>HYPERLINK("https://klasma.github.io/Logging_0382/kartor/A 60078-2021 karta.png", "A 60078-2021")</f>
        <v/>
      </c>
      <c r="V71">
        <f>HYPERLINK("https://klasma.github.io/Logging_0382/klagomål/A 60078-2021 FSC-klagomål.docx", "A 60078-2021")</f>
        <v/>
      </c>
      <c r="W71">
        <f>HYPERLINK("https://klasma.github.io/Logging_0382/klagomålsmail/A 60078-2021 FSC-klagomål mail.docx", "A 60078-2021")</f>
        <v/>
      </c>
      <c r="X71">
        <f>HYPERLINK("https://klasma.github.io/Logging_0382/tillsyn/A 60078-2021 tillsynsbegäran.docx", "A 60078-2021")</f>
        <v/>
      </c>
      <c r="Y71">
        <f>HYPERLINK("https://klasma.github.io/Logging_0382/tillsynsmail/A 60078-2021 tillsynsbegäran mail.docx", "A 60078-2021")</f>
        <v/>
      </c>
    </row>
    <row r="72" ht="15" customHeight="1">
      <c r="A72" t="inlineStr">
        <is>
          <t>A 67855-2021</t>
        </is>
      </c>
      <c r="B72" s="1" t="n">
        <v>44525</v>
      </c>
      <c r="C72" s="1" t="n">
        <v>45474</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69241-2021</t>
        </is>
      </c>
      <c r="B73" s="1" t="n">
        <v>44529</v>
      </c>
      <c r="C73" s="1" t="n">
        <v>45474</v>
      </c>
      <c r="D73" t="inlineStr">
        <is>
          <t>UPPSALA LÄN</t>
        </is>
      </c>
      <c r="E73" t="inlineStr">
        <is>
          <t>ÖSTHAMMAR</t>
        </is>
      </c>
      <c r="G73" t="n">
        <v>0.7</v>
      </c>
      <c r="H73" t="n">
        <v>0</v>
      </c>
      <c r="I73" t="n">
        <v>1</v>
      </c>
      <c r="J73" t="n">
        <v>1</v>
      </c>
      <c r="K73" t="n">
        <v>0</v>
      </c>
      <c r="L73" t="n">
        <v>0</v>
      </c>
      <c r="M73" t="n">
        <v>0</v>
      </c>
      <c r="N73" t="n">
        <v>0</v>
      </c>
      <c r="O73" t="n">
        <v>1</v>
      </c>
      <c r="P73" t="n">
        <v>0</v>
      </c>
      <c r="Q73" t="n">
        <v>2</v>
      </c>
      <c r="R73" s="2" t="inlineStr">
        <is>
          <t>Harticka
Zontaggsvamp</t>
        </is>
      </c>
      <c r="S73">
        <f>HYPERLINK("https://klasma.github.io/Logging_0382/artfynd/A 69241-2021 artfynd.xlsx", "A 69241-2021")</f>
        <v/>
      </c>
      <c r="T73">
        <f>HYPERLINK("https://klasma.github.io/Logging_0382/kartor/A 69241-2021 karta.png", "A 69241-2021")</f>
        <v/>
      </c>
      <c r="V73">
        <f>HYPERLINK("https://klasma.github.io/Logging_0382/klagomål/A 69241-2021 FSC-klagomål.docx", "A 69241-2021")</f>
        <v/>
      </c>
      <c r="W73">
        <f>HYPERLINK("https://klasma.github.io/Logging_0382/klagomålsmail/A 69241-2021 FSC-klagomål mail.docx", "A 69241-2021")</f>
        <v/>
      </c>
      <c r="X73">
        <f>HYPERLINK("https://klasma.github.io/Logging_0382/tillsyn/A 69241-2021 tillsynsbegäran.docx", "A 69241-2021")</f>
        <v/>
      </c>
      <c r="Y73">
        <f>HYPERLINK("https://klasma.github.io/Logging_0382/tillsynsmail/A 69241-2021 tillsynsbegäran mail.docx", "A 69241-2021")</f>
        <v/>
      </c>
    </row>
    <row r="74" ht="15" customHeight="1">
      <c r="A74" t="inlineStr">
        <is>
          <t>A 73981-2021</t>
        </is>
      </c>
      <c r="B74" s="1" t="n">
        <v>44555</v>
      </c>
      <c r="C74" s="1" t="n">
        <v>45474</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8290-2022</t>
        </is>
      </c>
      <c r="B75" s="1" t="n">
        <v>44610</v>
      </c>
      <c r="C75" s="1" t="n">
        <v>45474</v>
      </c>
      <c r="D75" t="inlineStr">
        <is>
          <t>UPPSALA LÄN</t>
        </is>
      </c>
      <c r="E75" t="inlineStr">
        <is>
          <t>ÖSTHAMMAR</t>
        </is>
      </c>
      <c r="G75" t="n">
        <v>3.5</v>
      </c>
      <c r="H75" t="n">
        <v>0</v>
      </c>
      <c r="I75" t="n">
        <v>1</v>
      </c>
      <c r="J75" t="n">
        <v>0</v>
      </c>
      <c r="K75" t="n">
        <v>1</v>
      </c>
      <c r="L75" t="n">
        <v>0</v>
      </c>
      <c r="M75" t="n">
        <v>0</v>
      </c>
      <c r="N75" t="n">
        <v>0</v>
      </c>
      <c r="O75" t="n">
        <v>1</v>
      </c>
      <c r="P75" t="n">
        <v>1</v>
      </c>
      <c r="Q75" t="n">
        <v>2</v>
      </c>
      <c r="R75" s="2" t="inlineStr">
        <is>
          <t>Gul lammticka
Brandmusseron</t>
        </is>
      </c>
      <c r="S75">
        <f>HYPERLINK("https://klasma.github.io/Logging_0382/artfynd/A 8290-2022 artfynd.xlsx", "A 8290-2022")</f>
        <v/>
      </c>
      <c r="T75">
        <f>HYPERLINK("https://klasma.github.io/Logging_0382/kartor/A 8290-2022 karta.png", "A 8290-2022")</f>
        <v/>
      </c>
      <c r="V75">
        <f>HYPERLINK("https://klasma.github.io/Logging_0382/klagomål/A 8290-2022 FSC-klagomål.docx", "A 8290-2022")</f>
        <v/>
      </c>
      <c r="W75">
        <f>HYPERLINK("https://klasma.github.io/Logging_0382/klagomålsmail/A 8290-2022 FSC-klagomål mail.docx", "A 8290-2022")</f>
        <v/>
      </c>
      <c r="X75">
        <f>HYPERLINK("https://klasma.github.io/Logging_0382/tillsyn/A 8290-2022 tillsynsbegäran.docx", "A 8290-2022")</f>
        <v/>
      </c>
      <c r="Y75">
        <f>HYPERLINK("https://klasma.github.io/Logging_0382/tillsynsmail/A 8290-2022 tillsynsbegäran mail.docx", "A 8290-2022")</f>
        <v/>
      </c>
    </row>
    <row r="76" ht="15" customHeight="1">
      <c r="A76" t="inlineStr">
        <is>
          <t>A 13287-2022</t>
        </is>
      </c>
      <c r="B76" s="1" t="n">
        <v>44644</v>
      </c>
      <c r="C76" s="1" t="n">
        <v>45474</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v>
      </c>
      <c r="C77" s="1" t="n">
        <v>45474</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32064-2022</t>
        </is>
      </c>
      <c r="B78" s="1" t="n">
        <v>44778</v>
      </c>
      <c r="C78" s="1" t="n">
        <v>45474</v>
      </c>
      <c r="D78" t="inlineStr">
        <is>
          <t>UPPSALA LÄN</t>
        </is>
      </c>
      <c r="E78" t="inlineStr">
        <is>
          <t>ÖSTHAMMAR</t>
        </is>
      </c>
      <c r="G78" t="n">
        <v>2.2</v>
      </c>
      <c r="H78" t="n">
        <v>0</v>
      </c>
      <c r="I78" t="n">
        <v>1</v>
      </c>
      <c r="J78" t="n">
        <v>0</v>
      </c>
      <c r="K78" t="n">
        <v>1</v>
      </c>
      <c r="L78" t="n">
        <v>0</v>
      </c>
      <c r="M78" t="n">
        <v>0</v>
      </c>
      <c r="N78" t="n">
        <v>0</v>
      </c>
      <c r="O78" t="n">
        <v>1</v>
      </c>
      <c r="P78" t="n">
        <v>1</v>
      </c>
      <c r="Q78" t="n">
        <v>2</v>
      </c>
      <c r="R78" s="2" t="inlineStr">
        <is>
          <t>Gul lammticka
Olivspindling</t>
        </is>
      </c>
      <c r="S78">
        <f>HYPERLINK("https://klasma.github.io/Logging_0382/artfynd/A 32064-2022 artfynd.xlsx", "A 32064-2022")</f>
        <v/>
      </c>
      <c r="T78">
        <f>HYPERLINK("https://klasma.github.io/Logging_0382/kartor/A 32064-2022 karta.png", "A 32064-2022")</f>
        <v/>
      </c>
      <c r="V78">
        <f>HYPERLINK("https://klasma.github.io/Logging_0382/klagomål/A 32064-2022 FSC-klagomål.docx", "A 32064-2022")</f>
        <v/>
      </c>
      <c r="W78">
        <f>HYPERLINK("https://klasma.github.io/Logging_0382/klagomålsmail/A 32064-2022 FSC-klagomål mail.docx", "A 32064-2022")</f>
        <v/>
      </c>
      <c r="X78">
        <f>HYPERLINK("https://klasma.github.io/Logging_0382/tillsyn/A 32064-2022 tillsynsbegäran.docx", "A 32064-2022")</f>
        <v/>
      </c>
      <c r="Y78">
        <f>HYPERLINK("https://klasma.github.io/Logging_0382/tillsynsmail/A 32064-2022 tillsynsbegäran mail.docx", "A 32064-2022")</f>
        <v/>
      </c>
    </row>
    <row r="79" ht="15" customHeight="1">
      <c r="A79" t="inlineStr">
        <is>
          <t>A 49910-2022</t>
        </is>
      </c>
      <c r="B79" s="1" t="n">
        <v>44865</v>
      </c>
      <c r="C79" s="1" t="n">
        <v>45474</v>
      </c>
      <c r="D79" t="inlineStr">
        <is>
          <t>UPPSALA LÄN</t>
        </is>
      </c>
      <c r="E79" t="inlineStr">
        <is>
          <t>ÖSTHAMMAR</t>
        </is>
      </c>
      <c r="F79" t="inlineStr">
        <is>
          <t>Bergvik skog öst AB</t>
        </is>
      </c>
      <c r="G79" t="n">
        <v>5.7</v>
      </c>
      <c r="H79" t="n">
        <v>2</v>
      </c>
      <c r="I79" t="n">
        <v>0</v>
      </c>
      <c r="J79" t="n">
        <v>2</v>
      </c>
      <c r="K79" t="n">
        <v>0</v>
      </c>
      <c r="L79" t="n">
        <v>0</v>
      </c>
      <c r="M79" t="n">
        <v>0</v>
      </c>
      <c r="N79" t="n">
        <v>0</v>
      </c>
      <c r="O79" t="n">
        <v>2</v>
      </c>
      <c r="P79" t="n">
        <v>0</v>
      </c>
      <c r="Q79" t="n">
        <v>2</v>
      </c>
      <c r="R79" s="2" t="inlineStr">
        <is>
          <t>Svartvit flugsnappare
Sävsparv</t>
        </is>
      </c>
      <c r="S79">
        <f>HYPERLINK("https://klasma.github.io/Logging_0382/artfynd/A 49910-2022 artfynd.xlsx", "A 49910-2022")</f>
        <v/>
      </c>
      <c r="T79">
        <f>HYPERLINK("https://klasma.github.io/Logging_0382/kartor/A 49910-2022 karta.png", "A 49910-2022")</f>
        <v/>
      </c>
      <c r="V79">
        <f>HYPERLINK("https://klasma.github.io/Logging_0382/klagomål/A 49910-2022 FSC-klagomål.docx", "A 49910-2022")</f>
        <v/>
      </c>
      <c r="W79">
        <f>HYPERLINK("https://klasma.github.io/Logging_0382/klagomålsmail/A 49910-2022 FSC-klagomål mail.docx", "A 49910-2022")</f>
        <v/>
      </c>
      <c r="X79">
        <f>HYPERLINK("https://klasma.github.io/Logging_0382/tillsyn/A 49910-2022 tillsynsbegäran.docx", "A 49910-2022")</f>
        <v/>
      </c>
      <c r="Y79">
        <f>HYPERLINK("https://klasma.github.io/Logging_0382/tillsynsmail/A 49910-2022 tillsynsbegäran mail.docx", "A 49910-2022")</f>
        <v/>
      </c>
      <c r="Z79">
        <f>HYPERLINK("https://klasma.github.io/Logging_0382/fåglar/A 49910-2022 prioriterade fågelarter.docx", "A 49910-2022")</f>
        <v/>
      </c>
    </row>
    <row r="80" ht="15" customHeight="1">
      <c r="A80" t="inlineStr">
        <is>
          <t>A 52654-2022</t>
        </is>
      </c>
      <c r="B80" s="1" t="n">
        <v>44874</v>
      </c>
      <c r="C80" s="1" t="n">
        <v>45474</v>
      </c>
      <c r="D80" t="inlineStr">
        <is>
          <t>UPPSALA LÄN</t>
        </is>
      </c>
      <c r="E80" t="inlineStr">
        <is>
          <t>ÖSTHAMMAR</t>
        </is>
      </c>
      <c r="F80" t="inlineStr">
        <is>
          <t>Bergvik skog öst AB</t>
        </is>
      </c>
      <c r="G80" t="n">
        <v>5.2</v>
      </c>
      <c r="H80" t="n">
        <v>2</v>
      </c>
      <c r="I80" t="n">
        <v>0</v>
      </c>
      <c r="J80" t="n">
        <v>2</v>
      </c>
      <c r="K80" t="n">
        <v>0</v>
      </c>
      <c r="L80" t="n">
        <v>0</v>
      </c>
      <c r="M80" t="n">
        <v>0</v>
      </c>
      <c r="N80" t="n">
        <v>0</v>
      </c>
      <c r="O80" t="n">
        <v>2</v>
      </c>
      <c r="P80" t="n">
        <v>0</v>
      </c>
      <c r="Q80" t="n">
        <v>2</v>
      </c>
      <c r="R80" s="2" t="inlineStr">
        <is>
          <t>Fiskmås
Strandskata</t>
        </is>
      </c>
      <c r="S80">
        <f>HYPERLINK("https://klasma.github.io/Logging_0382/artfynd/A 52654-2022 artfynd.xlsx", "A 52654-2022")</f>
        <v/>
      </c>
      <c r="T80">
        <f>HYPERLINK("https://klasma.github.io/Logging_0382/kartor/A 52654-2022 karta.png", "A 52654-2022")</f>
        <v/>
      </c>
      <c r="V80">
        <f>HYPERLINK("https://klasma.github.io/Logging_0382/klagomål/A 52654-2022 FSC-klagomål.docx", "A 52654-2022")</f>
        <v/>
      </c>
      <c r="W80">
        <f>HYPERLINK("https://klasma.github.io/Logging_0382/klagomålsmail/A 52654-2022 FSC-klagomål mail.docx", "A 52654-2022")</f>
        <v/>
      </c>
      <c r="X80">
        <f>HYPERLINK("https://klasma.github.io/Logging_0382/tillsyn/A 52654-2022 tillsynsbegäran.docx", "A 52654-2022")</f>
        <v/>
      </c>
      <c r="Y80">
        <f>HYPERLINK("https://klasma.github.io/Logging_0382/tillsynsmail/A 52654-2022 tillsynsbegäran mail.docx", "A 52654-2022")</f>
        <v/>
      </c>
    </row>
    <row r="81" ht="15" customHeight="1">
      <c r="A81" t="inlineStr">
        <is>
          <t>A 52658-2022</t>
        </is>
      </c>
      <c r="B81" s="1" t="n">
        <v>44874</v>
      </c>
      <c r="C81" s="1" t="n">
        <v>45474</v>
      </c>
      <c r="D81" t="inlineStr">
        <is>
          <t>UPPSALA LÄN</t>
        </is>
      </c>
      <c r="E81" t="inlineStr">
        <is>
          <t>ÖSTHAMMAR</t>
        </is>
      </c>
      <c r="F81" t="inlineStr">
        <is>
          <t>Bergvik skog öst AB</t>
        </is>
      </c>
      <c r="G81" t="n">
        <v>1.4</v>
      </c>
      <c r="H81" t="n">
        <v>2</v>
      </c>
      <c r="I81" t="n">
        <v>0</v>
      </c>
      <c r="J81" t="n">
        <v>2</v>
      </c>
      <c r="K81" t="n">
        <v>0</v>
      </c>
      <c r="L81" t="n">
        <v>0</v>
      </c>
      <c r="M81" t="n">
        <v>0</v>
      </c>
      <c r="N81" t="n">
        <v>0</v>
      </c>
      <c r="O81" t="n">
        <v>2</v>
      </c>
      <c r="P81" t="n">
        <v>0</v>
      </c>
      <c r="Q81" t="n">
        <v>2</v>
      </c>
      <c r="R81" s="2" t="inlineStr">
        <is>
          <t>Strandskata
Svartvit flugsnappare</t>
        </is>
      </c>
      <c r="S81">
        <f>HYPERLINK("https://klasma.github.io/Logging_0382/artfynd/A 52658-2022 artfynd.xlsx", "A 52658-2022")</f>
        <v/>
      </c>
      <c r="T81">
        <f>HYPERLINK("https://klasma.github.io/Logging_0382/kartor/A 52658-2022 karta.png", "A 52658-2022")</f>
        <v/>
      </c>
      <c r="V81">
        <f>HYPERLINK("https://klasma.github.io/Logging_0382/klagomål/A 52658-2022 FSC-klagomål.docx", "A 52658-2022")</f>
        <v/>
      </c>
      <c r="W81">
        <f>HYPERLINK("https://klasma.github.io/Logging_0382/klagomålsmail/A 52658-2022 FSC-klagomål mail.docx", "A 52658-2022")</f>
        <v/>
      </c>
      <c r="X81">
        <f>HYPERLINK("https://klasma.github.io/Logging_0382/tillsyn/A 52658-2022 tillsynsbegäran.docx", "A 52658-2022")</f>
        <v/>
      </c>
      <c r="Y81">
        <f>HYPERLINK("https://klasma.github.io/Logging_0382/tillsynsmail/A 52658-2022 tillsynsbegäran mail.docx", "A 52658-2022")</f>
        <v/>
      </c>
      <c r="Z81">
        <f>HYPERLINK("https://klasma.github.io/Logging_0382/fåglar/A 52658-2022 prioriterade fågelarter.docx", "A 52658-2022")</f>
        <v/>
      </c>
    </row>
    <row r="82" ht="15" customHeight="1">
      <c r="A82" t="inlineStr">
        <is>
          <t>A 6981-2023</t>
        </is>
      </c>
      <c r="B82" s="1" t="n">
        <v>44967</v>
      </c>
      <c r="C82" s="1" t="n">
        <v>45474</v>
      </c>
      <c r="D82" t="inlineStr">
        <is>
          <t>UPPSALA LÄN</t>
        </is>
      </c>
      <c r="E82" t="inlineStr">
        <is>
          <t>ÖSTHAMMAR</t>
        </is>
      </c>
      <c r="G82" t="n">
        <v>3.2</v>
      </c>
      <c r="H82" t="n">
        <v>1</v>
      </c>
      <c r="I82" t="n">
        <v>0</v>
      </c>
      <c r="J82" t="n">
        <v>1</v>
      </c>
      <c r="K82" t="n">
        <v>0</v>
      </c>
      <c r="L82" t="n">
        <v>0</v>
      </c>
      <c r="M82" t="n">
        <v>0</v>
      </c>
      <c r="N82" t="n">
        <v>0</v>
      </c>
      <c r="O82" t="n">
        <v>1</v>
      </c>
      <c r="P82" t="n">
        <v>0</v>
      </c>
      <c r="Q82" t="n">
        <v>2</v>
      </c>
      <c r="R82" s="2" t="inlineStr">
        <is>
          <t>Tallticka
Större vattensalamander</t>
        </is>
      </c>
      <c r="S82">
        <f>HYPERLINK("https://klasma.github.io/Logging_0382/artfynd/A 6981-2023 artfynd.xlsx", "A 6981-2023")</f>
        <v/>
      </c>
      <c r="T82">
        <f>HYPERLINK("https://klasma.github.io/Logging_0382/kartor/A 6981-2023 karta.png", "A 6981-2023")</f>
        <v/>
      </c>
      <c r="V82">
        <f>HYPERLINK("https://klasma.github.io/Logging_0382/klagomål/A 6981-2023 FSC-klagomål.docx", "A 6981-2023")</f>
        <v/>
      </c>
      <c r="W82">
        <f>HYPERLINK("https://klasma.github.io/Logging_0382/klagomålsmail/A 6981-2023 FSC-klagomål mail.docx", "A 6981-2023")</f>
        <v/>
      </c>
      <c r="X82">
        <f>HYPERLINK("https://klasma.github.io/Logging_0382/tillsyn/A 6981-2023 tillsynsbegäran.docx", "A 6981-2023")</f>
        <v/>
      </c>
      <c r="Y82">
        <f>HYPERLINK("https://klasma.github.io/Logging_0382/tillsynsmail/A 6981-2023 tillsynsbegäran mail.docx", "A 6981-2023")</f>
        <v/>
      </c>
    </row>
    <row r="83" ht="15" customHeight="1">
      <c r="A83" t="inlineStr">
        <is>
          <t>A 21453-2023</t>
        </is>
      </c>
      <c r="B83" s="1" t="n">
        <v>45063</v>
      </c>
      <c r="C83" s="1" t="n">
        <v>45474</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21422-2023</t>
        </is>
      </c>
      <c r="B84" s="1" t="n">
        <v>45063</v>
      </c>
      <c r="C84" s="1" t="n">
        <v>45474</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26602-2023</t>
        </is>
      </c>
      <c r="B85" s="1" t="n">
        <v>45092</v>
      </c>
      <c r="C85" s="1" t="n">
        <v>45474</v>
      </c>
      <c r="D85" t="inlineStr">
        <is>
          <t>UPPSALA LÄN</t>
        </is>
      </c>
      <c r="E85" t="inlineStr">
        <is>
          <t>ÖSTHAMMAR</t>
        </is>
      </c>
      <c r="F85" t="inlineStr">
        <is>
          <t>Sveaskog</t>
        </is>
      </c>
      <c r="G85" t="n">
        <v>1.6</v>
      </c>
      <c r="H85" t="n">
        <v>2</v>
      </c>
      <c r="I85" t="n">
        <v>0</v>
      </c>
      <c r="J85" t="n">
        <v>2</v>
      </c>
      <c r="K85" t="n">
        <v>0</v>
      </c>
      <c r="L85" t="n">
        <v>0</v>
      </c>
      <c r="M85" t="n">
        <v>0</v>
      </c>
      <c r="N85" t="n">
        <v>0</v>
      </c>
      <c r="O85" t="n">
        <v>2</v>
      </c>
      <c r="P85" t="n">
        <v>0</v>
      </c>
      <c r="Q85" t="n">
        <v>2</v>
      </c>
      <c r="R85" s="2" t="inlineStr">
        <is>
          <t>Gulsparv
Skrattmås</t>
        </is>
      </c>
      <c r="S85">
        <f>HYPERLINK("https://klasma.github.io/Logging_0382/artfynd/A 26602-2023 artfynd.xlsx", "A 26602-2023")</f>
        <v/>
      </c>
      <c r="T85">
        <f>HYPERLINK("https://klasma.github.io/Logging_0382/kartor/A 26602-2023 karta.png", "A 26602-2023")</f>
        <v/>
      </c>
      <c r="V85">
        <f>HYPERLINK("https://klasma.github.io/Logging_0382/klagomål/A 26602-2023 FSC-klagomål.docx", "A 26602-2023")</f>
        <v/>
      </c>
      <c r="W85">
        <f>HYPERLINK("https://klasma.github.io/Logging_0382/klagomålsmail/A 26602-2023 FSC-klagomål mail.docx", "A 26602-2023")</f>
        <v/>
      </c>
      <c r="X85">
        <f>HYPERLINK("https://klasma.github.io/Logging_0382/tillsyn/A 26602-2023 tillsynsbegäran.docx", "A 26602-2023")</f>
        <v/>
      </c>
      <c r="Y85">
        <f>HYPERLINK("https://klasma.github.io/Logging_0382/tillsynsmail/A 26602-2023 tillsynsbegäran mail.docx", "A 26602-2023")</f>
        <v/>
      </c>
      <c r="Z85">
        <f>HYPERLINK("https://klasma.github.io/Logging_0382/fåglar/A 26602-2023 prioriterade fågelarter.docx", "A 26602-2023")</f>
        <v/>
      </c>
    </row>
    <row r="86" ht="15" customHeight="1">
      <c r="A86" t="inlineStr">
        <is>
          <t>A 36876-2023</t>
        </is>
      </c>
      <c r="B86" s="1" t="n">
        <v>45154</v>
      </c>
      <c r="C86" s="1" t="n">
        <v>45474</v>
      </c>
      <c r="D86" t="inlineStr">
        <is>
          <t>UPPSALA LÄN</t>
        </is>
      </c>
      <c r="E86" t="inlineStr">
        <is>
          <t>ÖSTHAMMAR</t>
        </is>
      </c>
      <c r="F86" t="inlineStr">
        <is>
          <t>Övriga Aktiebolag</t>
        </is>
      </c>
      <c r="G86" t="n">
        <v>12.6</v>
      </c>
      <c r="H86" t="n">
        <v>1</v>
      </c>
      <c r="I86" t="n">
        <v>0</v>
      </c>
      <c r="J86" t="n">
        <v>2</v>
      </c>
      <c r="K86" t="n">
        <v>0</v>
      </c>
      <c r="L86" t="n">
        <v>0</v>
      </c>
      <c r="M86" t="n">
        <v>0</v>
      </c>
      <c r="N86" t="n">
        <v>0</v>
      </c>
      <c r="O86" t="n">
        <v>2</v>
      </c>
      <c r="P86" t="n">
        <v>0</v>
      </c>
      <c r="Q86" t="n">
        <v>2</v>
      </c>
      <c r="R86" s="2" t="inlineStr">
        <is>
          <t>Slaguggla
Slåtterfibbla</t>
        </is>
      </c>
      <c r="S86">
        <f>HYPERLINK("https://klasma.github.io/Logging_0382/artfynd/A 36876-2023 artfynd.xlsx", "A 36876-2023")</f>
        <v/>
      </c>
      <c r="T86">
        <f>HYPERLINK("https://klasma.github.io/Logging_0382/kartor/A 36876-2023 karta.png", "A 36876-2023")</f>
        <v/>
      </c>
      <c r="V86">
        <f>HYPERLINK("https://klasma.github.io/Logging_0382/klagomål/A 36876-2023 FSC-klagomål.docx", "A 36876-2023")</f>
        <v/>
      </c>
      <c r="W86">
        <f>HYPERLINK("https://klasma.github.io/Logging_0382/klagomålsmail/A 36876-2023 FSC-klagomål mail.docx", "A 36876-2023")</f>
        <v/>
      </c>
      <c r="X86">
        <f>HYPERLINK("https://klasma.github.io/Logging_0382/tillsyn/A 36876-2023 tillsynsbegäran.docx", "A 36876-2023")</f>
        <v/>
      </c>
      <c r="Y86">
        <f>HYPERLINK("https://klasma.github.io/Logging_0382/tillsynsmail/A 36876-2023 tillsynsbegäran mail.docx", "A 36876-2023")</f>
        <v/>
      </c>
      <c r="Z86">
        <f>HYPERLINK("https://klasma.github.io/Logging_0382/fåglar/A 36876-2023 prioriterade fågelarter.docx", "A 36876-2023")</f>
        <v/>
      </c>
    </row>
    <row r="87" ht="15" customHeight="1">
      <c r="A87" t="inlineStr">
        <is>
          <t>A 48209-2023</t>
        </is>
      </c>
      <c r="B87" s="1" t="n">
        <v>45205</v>
      </c>
      <c r="C87" s="1" t="n">
        <v>45474</v>
      </c>
      <c r="D87" t="inlineStr">
        <is>
          <t>UPPSALA LÄN</t>
        </is>
      </c>
      <c r="E87" t="inlineStr">
        <is>
          <t>ÖSTHAMMAR</t>
        </is>
      </c>
      <c r="G87" t="n">
        <v>3.7</v>
      </c>
      <c r="H87" t="n">
        <v>1</v>
      </c>
      <c r="I87" t="n">
        <v>2</v>
      </c>
      <c r="J87" t="n">
        <v>0</v>
      </c>
      <c r="K87" t="n">
        <v>0</v>
      </c>
      <c r="L87" t="n">
        <v>0</v>
      </c>
      <c r="M87" t="n">
        <v>0</v>
      </c>
      <c r="N87" t="n">
        <v>0</v>
      </c>
      <c r="O87" t="n">
        <v>0</v>
      </c>
      <c r="P87" t="n">
        <v>0</v>
      </c>
      <c r="Q87" t="n">
        <v>2</v>
      </c>
      <c r="R87" s="2" t="inlineStr">
        <is>
          <t>Skogsknipprot
Tibast</t>
        </is>
      </c>
      <c r="S87">
        <f>HYPERLINK("https://klasma.github.io/Logging_0382/artfynd/A 48209-2023 artfynd.xlsx", "A 48209-2023")</f>
        <v/>
      </c>
      <c r="T87">
        <f>HYPERLINK("https://klasma.github.io/Logging_0382/kartor/A 48209-2023 karta.png", "A 48209-2023")</f>
        <v/>
      </c>
      <c r="V87">
        <f>HYPERLINK("https://klasma.github.io/Logging_0382/klagomål/A 48209-2023 FSC-klagomål.docx", "A 48209-2023")</f>
        <v/>
      </c>
      <c r="W87">
        <f>HYPERLINK("https://klasma.github.io/Logging_0382/klagomålsmail/A 48209-2023 FSC-klagomål mail.docx", "A 48209-2023")</f>
        <v/>
      </c>
      <c r="X87">
        <f>HYPERLINK("https://klasma.github.io/Logging_0382/tillsyn/A 48209-2023 tillsynsbegäran.docx", "A 48209-2023")</f>
        <v/>
      </c>
      <c r="Y87">
        <f>HYPERLINK("https://klasma.github.io/Logging_0382/tillsynsmail/A 48209-2023 tillsynsbegäran mail.docx", "A 48209-2023")</f>
        <v/>
      </c>
    </row>
    <row r="88" ht="15" customHeight="1">
      <c r="A88" t="inlineStr">
        <is>
          <t>A 48723-2023</t>
        </is>
      </c>
      <c r="B88" s="1" t="n">
        <v>45208</v>
      </c>
      <c r="C88" s="1" t="n">
        <v>45474</v>
      </c>
      <c r="D88" t="inlineStr">
        <is>
          <t>UPPSALA LÄN</t>
        </is>
      </c>
      <c r="E88" t="inlineStr">
        <is>
          <t>ÖSTHAMMAR</t>
        </is>
      </c>
      <c r="G88" t="n">
        <v>1</v>
      </c>
      <c r="H88" t="n">
        <v>0</v>
      </c>
      <c r="I88" t="n">
        <v>2</v>
      </c>
      <c r="J88" t="n">
        <v>0</v>
      </c>
      <c r="K88" t="n">
        <v>0</v>
      </c>
      <c r="L88" t="n">
        <v>0</v>
      </c>
      <c r="M88" t="n">
        <v>0</v>
      </c>
      <c r="N88" t="n">
        <v>0</v>
      </c>
      <c r="O88" t="n">
        <v>0</v>
      </c>
      <c r="P88" t="n">
        <v>0</v>
      </c>
      <c r="Q88" t="n">
        <v>2</v>
      </c>
      <c r="R88" s="2" t="inlineStr">
        <is>
          <t>Anisspindling
Fjällig taggsvamp s.str.</t>
        </is>
      </c>
      <c r="S88">
        <f>HYPERLINK("https://klasma.github.io/Logging_0382/artfynd/A 48723-2023 artfynd.xlsx", "A 48723-2023")</f>
        <v/>
      </c>
      <c r="T88">
        <f>HYPERLINK("https://klasma.github.io/Logging_0382/kartor/A 48723-2023 karta.png", "A 48723-2023")</f>
        <v/>
      </c>
      <c r="V88">
        <f>HYPERLINK("https://klasma.github.io/Logging_0382/klagomål/A 48723-2023 FSC-klagomål.docx", "A 48723-2023")</f>
        <v/>
      </c>
      <c r="W88">
        <f>HYPERLINK("https://klasma.github.io/Logging_0382/klagomålsmail/A 48723-2023 FSC-klagomål mail.docx", "A 48723-2023")</f>
        <v/>
      </c>
      <c r="X88">
        <f>HYPERLINK("https://klasma.github.io/Logging_0382/tillsyn/A 48723-2023 tillsynsbegäran.docx", "A 48723-2023")</f>
        <v/>
      </c>
      <c r="Y88">
        <f>HYPERLINK("https://klasma.github.io/Logging_0382/tillsynsmail/A 48723-2023 tillsynsbegäran mail.docx", "A 48723-2023")</f>
        <v/>
      </c>
    </row>
    <row r="89" ht="15" customHeight="1">
      <c r="A89" t="inlineStr">
        <is>
          <t>A 55508-2023</t>
        </is>
      </c>
      <c r="B89" s="1" t="n">
        <v>45238</v>
      </c>
      <c r="C89" s="1" t="n">
        <v>45474</v>
      </c>
      <c r="D89" t="inlineStr">
        <is>
          <t>UPPSALA LÄN</t>
        </is>
      </c>
      <c r="E89" t="inlineStr">
        <is>
          <t>ÖSTHAMMAR</t>
        </is>
      </c>
      <c r="G89" t="n">
        <v>3.4</v>
      </c>
      <c r="H89" t="n">
        <v>1</v>
      </c>
      <c r="I89" t="n">
        <v>1</v>
      </c>
      <c r="J89" t="n">
        <v>1</v>
      </c>
      <c r="K89" t="n">
        <v>0</v>
      </c>
      <c r="L89" t="n">
        <v>0</v>
      </c>
      <c r="M89" t="n">
        <v>0</v>
      </c>
      <c r="N89" t="n">
        <v>0</v>
      </c>
      <c r="O89" t="n">
        <v>1</v>
      </c>
      <c r="P89" t="n">
        <v>0</v>
      </c>
      <c r="Q89" t="n">
        <v>2</v>
      </c>
      <c r="R89" s="2" t="inlineStr">
        <is>
          <t>Svart taggsvamp
Guckusko</t>
        </is>
      </c>
      <c r="S89">
        <f>HYPERLINK("https://klasma.github.io/Logging_0382/artfynd/A 55508-2023 artfynd.xlsx", "A 55508-2023")</f>
        <v/>
      </c>
      <c r="T89">
        <f>HYPERLINK("https://klasma.github.io/Logging_0382/kartor/A 55508-2023 karta.png", "A 55508-2023")</f>
        <v/>
      </c>
      <c r="V89">
        <f>HYPERLINK("https://klasma.github.io/Logging_0382/klagomål/A 55508-2023 FSC-klagomål.docx", "A 55508-2023")</f>
        <v/>
      </c>
      <c r="W89">
        <f>HYPERLINK("https://klasma.github.io/Logging_0382/klagomålsmail/A 55508-2023 FSC-klagomål mail.docx", "A 55508-2023")</f>
        <v/>
      </c>
      <c r="X89">
        <f>HYPERLINK("https://klasma.github.io/Logging_0382/tillsyn/A 55508-2023 tillsynsbegäran.docx", "A 55508-2023")</f>
        <v/>
      </c>
      <c r="Y89">
        <f>HYPERLINK("https://klasma.github.io/Logging_0382/tillsynsmail/A 55508-2023 tillsynsbegäran mail.docx", "A 55508-2023")</f>
        <v/>
      </c>
    </row>
    <row r="90" ht="15" customHeight="1">
      <c r="A90" t="inlineStr">
        <is>
          <t>A 55385-2023</t>
        </is>
      </c>
      <c r="B90" s="1" t="n">
        <v>45238</v>
      </c>
      <c r="C90" s="1" t="n">
        <v>45474</v>
      </c>
      <c r="D90" t="inlineStr">
        <is>
          <t>UPPSALA LÄN</t>
        </is>
      </c>
      <c r="E90" t="inlineStr">
        <is>
          <t>ÖSTHAMMAR</t>
        </is>
      </c>
      <c r="G90" t="n">
        <v>3</v>
      </c>
      <c r="H90" t="n">
        <v>1</v>
      </c>
      <c r="I90" t="n">
        <v>2</v>
      </c>
      <c r="J90" t="n">
        <v>0</v>
      </c>
      <c r="K90" t="n">
        <v>0</v>
      </c>
      <c r="L90" t="n">
        <v>0</v>
      </c>
      <c r="M90" t="n">
        <v>0</v>
      </c>
      <c r="N90" t="n">
        <v>0</v>
      </c>
      <c r="O90" t="n">
        <v>0</v>
      </c>
      <c r="P90" t="n">
        <v>0</v>
      </c>
      <c r="Q90" t="n">
        <v>2</v>
      </c>
      <c r="R90" s="2" t="inlineStr">
        <is>
          <t>Guckusko
Korallblylav</t>
        </is>
      </c>
      <c r="S90">
        <f>HYPERLINK("https://klasma.github.io/Logging_0382/artfynd/A 55385-2023 artfynd.xlsx", "A 55385-2023")</f>
        <v/>
      </c>
      <c r="T90">
        <f>HYPERLINK("https://klasma.github.io/Logging_0382/kartor/A 55385-2023 karta.png", "A 55385-2023")</f>
        <v/>
      </c>
      <c r="V90">
        <f>HYPERLINK("https://klasma.github.io/Logging_0382/klagomål/A 55385-2023 FSC-klagomål.docx", "A 55385-2023")</f>
        <v/>
      </c>
      <c r="W90">
        <f>HYPERLINK("https://klasma.github.io/Logging_0382/klagomålsmail/A 55385-2023 FSC-klagomål mail.docx", "A 55385-2023")</f>
        <v/>
      </c>
      <c r="X90">
        <f>HYPERLINK("https://klasma.github.io/Logging_0382/tillsyn/A 55385-2023 tillsynsbegäran.docx", "A 55385-2023")</f>
        <v/>
      </c>
      <c r="Y90">
        <f>HYPERLINK("https://klasma.github.io/Logging_0382/tillsynsmail/A 55385-2023 tillsynsbegäran mail.docx", "A 55385-2023")</f>
        <v/>
      </c>
    </row>
    <row r="91" ht="15" customHeight="1">
      <c r="A91" t="inlineStr">
        <is>
          <t>A 59283-2023</t>
        </is>
      </c>
      <c r="B91" s="1" t="n">
        <v>45253</v>
      </c>
      <c r="C91" s="1" t="n">
        <v>45474</v>
      </c>
      <c r="D91" t="inlineStr">
        <is>
          <t>UPPSALA LÄN</t>
        </is>
      </c>
      <c r="E91" t="inlineStr">
        <is>
          <t>ÖSTHAMMAR</t>
        </is>
      </c>
      <c r="G91" t="n">
        <v>2</v>
      </c>
      <c r="H91" t="n">
        <v>0</v>
      </c>
      <c r="I91" t="n">
        <v>0</v>
      </c>
      <c r="J91" t="n">
        <v>0</v>
      </c>
      <c r="K91" t="n">
        <v>2</v>
      </c>
      <c r="L91" t="n">
        <v>0</v>
      </c>
      <c r="M91" t="n">
        <v>0</v>
      </c>
      <c r="N91" t="n">
        <v>0</v>
      </c>
      <c r="O91" t="n">
        <v>2</v>
      </c>
      <c r="P91" t="n">
        <v>2</v>
      </c>
      <c r="Q91" t="n">
        <v>2</v>
      </c>
      <c r="R91" s="2" t="inlineStr">
        <is>
          <t>Koppartaggsvamp
Spricktaggsvamp</t>
        </is>
      </c>
      <c r="S91">
        <f>HYPERLINK("https://klasma.github.io/Logging_0382/artfynd/A 59283-2023 artfynd.xlsx", "A 59283-2023")</f>
        <v/>
      </c>
      <c r="T91">
        <f>HYPERLINK("https://klasma.github.io/Logging_0382/kartor/A 59283-2023 karta.png", "A 59283-2023")</f>
        <v/>
      </c>
      <c r="V91">
        <f>HYPERLINK("https://klasma.github.io/Logging_0382/klagomål/A 59283-2023 FSC-klagomål.docx", "A 59283-2023")</f>
        <v/>
      </c>
      <c r="W91">
        <f>HYPERLINK("https://klasma.github.io/Logging_0382/klagomålsmail/A 59283-2023 FSC-klagomål mail.docx", "A 59283-2023")</f>
        <v/>
      </c>
      <c r="X91">
        <f>HYPERLINK("https://klasma.github.io/Logging_0382/tillsyn/A 59283-2023 tillsynsbegäran.docx", "A 59283-2023")</f>
        <v/>
      </c>
      <c r="Y91">
        <f>HYPERLINK("https://klasma.github.io/Logging_0382/tillsynsmail/A 59283-2023 tillsynsbegäran mail.docx", "A 59283-2023")</f>
        <v/>
      </c>
    </row>
    <row r="92" ht="15" customHeight="1">
      <c r="A92" t="inlineStr">
        <is>
          <t>A 9646-2024</t>
        </is>
      </c>
      <c r="B92" s="1" t="n">
        <v>45362</v>
      </c>
      <c r="C92" s="1" t="n">
        <v>45474</v>
      </c>
      <c r="D92" t="inlineStr">
        <is>
          <t>UPPSALA LÄN</t>
        </is>
      </c>
      <c r="E92" t="inlineStr">
        <is>
          <t>ÖSTHAMMAR</t>
        </is>
      </c>
      <c r="G92" t="n">
        <v>1.6</v>
      </c>
      <c r="H92" t="n">
        <v>0</v>
      </c>
      <c r="I92" t="n">
        <v>0</v>
      </c>
      <c r="J92" t="n">
        <v>1</v>
      </c>
      <c r="K92" t="n">
        <v>1</v>
      </c>
      <c r="L92" t="n">
        <v>0</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11695-2024</t>
        </is>
      </c>
      <c r="B93" s="1" t="n">
        <v>45373</v>
      </c>
      <c r="C93" s="1" t="n">
        <v>45474</v>
      </c>
      <c r="D93" t="inlineStr">
        <is>
          <t>UPPSALA LÄN</t>
        </is>
      </c>
      <c r="E93" t="inlineStr">
        <is>
          <t>ÖSTHAMMAR</t>
        </is>
      </c>
      <c r="G93" t="n">
        <v>2</v>
      </c>
      <c r="H93" t="n">
        <v>0</v>
      </c>
      <c r="I93" t="n">
        <v>2</v>
      </c>
      <c r="J93" t="n">
        <v>0</v>
      </c>
      <c r="K93" t="n">
        <v>0</v>
      </c>
      <c r="L93" t="n">
        <v>0</v>
      </c>
      <c r="M93" t="n">
        <v>0</v>
      </c>
      <c r="N93" t="n">
        <v>0</v>
      </c>
      <c r="O93" t="n">
        <v>0</v>
      </c>
      <c r="P93" t="n">
        <v>0</v>
      </c>
      <c r="Q93" t="n">
        <v>2</v>
      </c>
      <c r="R93" s="2" t="inlineStr">
        <is>
          <t>Blåmossa
Fjällig taggsvamp s.str.</t>
        </is>
      </c>
      <c r="S93">
        <f>HYPERLINK("https://klasma.github.io/Logging_0382/artfynd/A 11695-2024 artfynd.xlsx", "A 11695-2024")</f>
        <v/>
      </c>
      <c r="T93">
        <f>HYPERLINK("https://klasma.github.io/Logging_0382/kartor/A 11695-2024 karta.png", "A 11695-2024")</f>
        <v/>
      </c>
      <c r="V93">
        <f>HYPERLINK("https://klasma.github.io/Logging_0382/klagomål/A 11695-2024 FSC-klagomål.docx", "A 11695-2024")</f>
        <v/>
      </c>
      <c r="W93">
        <f>HYPERLINK("https://klasma.github.io/Logging_0382/klagomålsmail/A 11695-2024 FSC-klagomål mail.docx", "A 11695-2024")</f>
        <v/>
      </c>
      <c r="X93">
        <f>HYPERLINK("https://klasma.github.io/Logging_0382/tillsyn/A 11695-2024 tillsynsbegäran.docx", "A 11695-2024")</f>
        <v/>
      </c>
      <c r="Y93">
        <f>HYPERLINK("https://klasma.github.io/Logging_0382/tillsynsmail/A 11695-2024 tillsynsbegäran mail.docx", "A 11695-2024")</f>
        <v/>
      </c>
    </row>
    <row r="94" ht="15" customHeight="1">
      <c r="A94" t="inlineStr">
        <is>
          <t>A 38957-2019</t>
        </is>
      </c>
      <c r="B94" s="1" t="n">
        <v>43689</v>
      </c>
      <c r="C94" s="1" t="n">
        <v>45474</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45474</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45474</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45474</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45474</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45474</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45474</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45474</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45474</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45474</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45474</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45474</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45474</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45474</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45474</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45474</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45474</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45474</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45474</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45474</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45474</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45474</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45474</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27451-2022</t>
        </is>
      </c>
      <c r="B117" s="1" t="n">
        <v>44742</v>
      </c>
      <c r="C117" s="1" t="n">
        <v>45474</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45474</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45474</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c r="Z119">
        <f>HYPERLINK("https://klasma.github.io/Logging_0382/fåglar/A 52648-2022 prioriterade fågelarter.docx", "A 52648-2022")</f>
        <v/>
      </c>
    </row>
    <row r="120" ht="15" customHeight="1">
      <c r="A120" t="inlineStr">
        <is>
          <t>A 52651-2022</t>
        </is>
      </c>
      <c r="B120" s="1" t="n">
        <v>44874</v>
      </c>
      <c r="C120" s="1" t="n">
        <v>45474</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c r="Z120">
        <f>HYPERLINK("https://klasma.github.io/Logging_0382/fåglar/A 52651-2022 prioriterade fågelarter.docx", "A 52651-2022")</f>
        <v/>
      </c>
    </row>
    <row r="121" ht="15" customHeight="1">
      <c r="A121" t="inlineStr">
        <is>
          <t>A 52818-2022</t>
        </is>
      </c>
      <c r="B121" s="1" t="n">
        <v>44875</v>
      </c>
      <c r="C121" s="1" t="n">
        <v>45474</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45474</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45474</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45474</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45474</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45474</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45474</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45474</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45474</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45474</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45474</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45474</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45474</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45474</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45474</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45474</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45474</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45474</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45474</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45474</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45474</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45474</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45474</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10210-2024</t>
        </is>
      </c>
      <c r="B144" s="1" t="n">
        <v>45364</v>
      </c>
      <c r="C144" s="1" t="n">
        <v>45474</v>
      </c>
      <c r="D144" t="inlineStr">
        <is>
          <t>UPPSALA LÄN</t>
        </is>
      </c>
      <c r="E144" t="inlineStr">
        <is>
          <t>ÖSTHAMMAR</t>
        </is>
      </c>
      <c r="F144" t="inlineStr">
        <is>
          <t>Bergvik skog öst AB</t>
        </is>
      </c>
      <c r="G144" t="n">
        <v>18</v>
      </c>
      <c r="H144" t="n">
        <v>1</v>
      </c>
      <c r="I144" t="n">
        <v>0</v>
      </c>
      <c r="J144" t="n">
        <v>0</v>
      </c>
      <c r="K144" t="n">
        <v>0</v>
      </c>
      <c r="L144" t="n">
        <v>0</v>
      </c>
      <c r="M144" t="n">
        <v>0</v>
      </c>
      <c r="N144" t="n">
        <v>0</v>
      </c>
      <c r="O144" t="n">
        <v>0</v>
      </c>
      <c r="P144" t="n">
        <v>0</v>
      </c>
      <c r="Q144" t="n">
        <v>1</v>
      </c>
      <c r="R144" s="2" t="inlineStr">
        <is>
          <t>Tjäder</t>
        </is>
      </c>
      <c r="S144">
        <f>HYPERLINK("https://klasma.github.io/Logging_0382/artfynd/A 10210-2024 artfynd.xlsx", "A 10210-2024")</f>
        <v/>
      </c>
      <c r="T144">
        <f>HYPERLINK("https://klasma.github.io/Logging_0382/kartor/A 10210-2024 karta.png", "A 10210-2024")</f>
        <v/>
      </c>
      <c r="V144">
        <f>HYPERLINK("https://klasma.github.io/Logging_0382/klagomål/A 10210-2024 FSC-klagomål.docx", "A 10210-2024")</f>
        <v/>
      </c>
      <c r="W144">
        <f>HYPERLINK("https://klasma.github.io/Logging_0382/klagomålsmail/A 10210-2024 FSC-klagomål mail.docx", "A 10210-2024")</f>
        <v/>
      </c>
      <c r="X144">
        <f>HYPERLINK("https://klasma.github.io/Logging_0382/tillsyn/A 10210-2024 tillsynsbegäran.docx", "A 10210-2024")</f>
        <v/>
      </c>
      <c r="Y144">
        <f>HYPERLINK("https://klasma.github.io/Logging_0382/tillsynsmail/A 10210-2024 tillsynsbegäran mail.docx", "A 10210-2024")</f>
        <v/>
      </c>
      <c r="Z144">
        <f>HYPERLINK("https://klasma.github.io/Logging_0382/fåglar/A 10210-2024 prioriterade fågelarter.docx", "A 10210-2024")</f>
        <v/>
      </c>
    </row>
    <row r="145" ht="15" customHeight="1">
      <c r="A145" t="inlineStr">
        <is>
          <t>A 12753-2024</t>
        </is>
      </c>
      <c r="B145" s="1" t="n">
        <v>45384</v>
      </c>
      <c r="C145" s="1" t="n">
        <v>45474</v>
      </c>
      <c r="D145" t="inlineStr">
        <is>
          <t>UPPSALA LÄN</t>
        </is>
      </c>
      <c r="E145" t="inlineStr">
        <is>
          <t>ÖSTHAMMAR</t>
        </is>
      </c>
      <c r="G145" t="n">
        <v>1.7</v>
      </c>
      <c r="H145" t="n">
        <v>0</v>
      </c>
      <c r="I145" t="n">
        <v>0</v>
      </c>
      <c r="J145" t="n">
        <v>1</v>
      </c>
      <c r="K145" t="n">
        <v>0</v>
      </c>
      <c r="L145" t="n">
        <v>0</v>
      </c>
      <c r="M145" t="n">
        <v>0</v>
      </c>
      <c r="N145" t="n">
        <v>0</v>
      </c>
      <c r="O145" t="n">
        <v>1</v>
      </c>
      <c r="P145" t="n">
        <v>0</v>
      </c>
      <c r="Q145" t="n">
        <v>1</v>
      </c>
      <c r="R145" s="2" t="inlineStr">
        <is>
          <t>Flattoppad klubbsvamp</t>
        </is>
      </c>
      <c r="S145">
        <f>HYPERLINK("https://klasma.github.io/Logging_0382/artfynd/A 12753-2024 artfynd.xlsx", "A 12753-2024")</f>
        <v/>
      </c>
      <c r="T145">
        <f>HYPERLINK("https://klasma.github.io/Logging_0382/kartor/A 12753-2024 karta.png", "A 12753-2024")</f>
        <v/>
      </c>
      <c r="V145">
        <f>HYPERLINK("https://klasma.github.io/Logging_0382/klagomål/A 12753-2024 FSC-klagomål.docx", "A 12753-2024")</f>
        <v/>
      </c>
      <c r="W145">
        <f>HYPERLINK("https://klasma.github.io/Logging_0382/klagomålsmail/A 12753-2024 FSC-klagomål mail.docx", "A 12753-2024")</f>
        <v/>
      </c>
      <c r="X145">
        <f>HYPERLINK("https://klasma.github.io/Logging_0382/tillsyn/A 12753-2024 tillsynsbegäran.docx", "A 12753-2024")</f>
        <v/>
      </c>
      <c r="Y145">
        <f>HYPERLINK("https://klasma.github.io/Logging_0382/tillsynsmail/A 12753-2024 tillsynsbegäran mail.docx", "A 12753-2024")</f>
        <v/>
      </c>
    </row>
    <row r="146" ht="15" customHeight="1">
      <c r="A146" t="inlineStr">
        <is>
          <t>A 14203-2024</t>
        </is>
      </c>
      <c r="B146" s="1" t="n">
        <v>45393</v>
      </c>
      <c r="C146" s="1" t="n">
        <v>45474</v>
      </c>
      <c r="D146" t="inlineStr">
        <is>
          <t>UPPSALA LÄN</t>
        </is>
      </c>
      <c r="E146" t="inlineStr">
        <is>
          <t>ÖSTHAMMAR</t>
        </is>
      </c>
      <c r="G146" t="n">
        <v>1.4</v>
      </c>
      <c r="H146" t="n">
        <v>0</v>
      </c>
      <c r="I146" t="n">
        <v>0</v>
      </c>
      <c r="J146" t="n">
        <v>1</v>
      </c>
      <c r="K146" t="n">
        <v>0</v>
      </c>
      <c r="L146" t="n">
        <v>0</v>
      </c>
      <c r="M146" t="n">
        <v>0</v>
      </c>
      <c r="N146" t="n">
        <v>0</v>
      </c>
      <c r="O146" t="n">
        <v>1</v>
      </c>
      <c r="P146" t="n">
        <v>0</v>
      </c>
      <c r="Q146" t="n">
        <v>1</v>
      </c>
      <c r="R146" s="2" t="inlineStr">
        <is>
          <t>Scharlakansvaxskivling</t>
        </is>
      </c>
      <c r="S146">
        <f>HYPERLINK("https://klasma.github.io/Logging_0382/artfynd/A 14203-2024 artfynd.xlsx", "A 14203-2024")</f>
        <v/>
      </c>
      <c r="T146">
        <f>HYPERLINK("https://klasma.github.io/Logging_0382/kartor/A 14203-2024 karta.png", "A 14203-2024")</f>
        <v/>
      </c>
      <c r="V146">
        <f>HYPERLINK("https://klasma.github.io/Logging_0382/klagomål/A 14203-2024 FSC-klagomål.docx", "A 14203-2024")</f>
        <v/>
      </c>
      <c r="W146">
        <f>HYPERLINK("https://klasma.github.io/Logging_0382/klagomålsmail/A 14203-2024 FSC-klagomål mail.docx", "A 14203-2024")</f>
        <v/>
      </c>
      <c r="X146">
        <f>HYPERLINK("https://klasma.github.io/Logging_0382/tillsyn/A 14203-2024 tillsynsbegäran.docx", "A 14203-2024")</f>
        <v/>
      </c>
      <c r="Y146">
        <f>HYPERLINK("https://klasma.github.io/Logging_0382/tillsynsmail/A 14203-2024 tillsynsbegäran mail.docx", "A 14203-2024")</f>
        <v/>
      </c>
    </row>
    <row r="147" ht="15" customHeight="1">
      <c r="A147" t="inlineStr">
        <is>
          <t>A 22375-2024</t>
        </is>
      </c>
      <c r="B147" s="1" t="n">
        <v>45446</v>
      </c>
      <c r="C147" s="1" t="n">
        <v>45474</v>
      </c>
      <c r="D147" t="inlineStr">
        <is>
          <t>UPPSALA LÄN</t>
        </is>
      </c>
      <c r="E147" t="inlineStr">
        <is>
          <t>ÖSTHAMMAR</t>
        </is>
      </c>
      <c r="F147" t="inlineStr">
        <is>
          <t>Bergvik skog öst AB</t>
        </is>
      </c>
      <c r="G147" t="n">
        <v>2.2</v>
      </c>
      <c r="H147" t="n">
        <v>0</v>
      </c>
      <c r="I147" t="n">
        <v>0</v>
      </c>
      <c r="J147" t="n">
        <v>1</v>
      </c>
      <c r="K147" t="n">
        <v>0</v>
      </c>
      <c r="L147" t="n">
        <v>0</v>
      </c>
      <c r="M147" t="n">
        <v>0</v>
      </c>
      <c r="N147" t="n">
        <v>0</v>
      </c>
      <c r="O147" t="n">
        <v>1</v>
      </c>
      <c r="P147" t="n">
        <v>0</v>
      </c>
      <c r="Q147" t="n">
        <v>1</v>
      </c>
      <c r="R147" s="2" t="inlineStr">
        <is>
          <t>Slåtterfibbla</t>
        </is>
      </c>
      <c r="S147">
        <f>HYPERLINK("https://klasma.github.io/Logging_0382/artfynd/A 22375-2024 artfynd.xlsx", "A 22375-2024")</f>
        <v/>
      </c>
      <c r="T147">
        <f>HYPERLINK("https://klasma.github.io/Logging_0382/kartor/A 22375-2024 karta.png", "A 22375-2024")</f>
        <v/>
      </c>
      <c r="V147">
        <f>HYPERLINK("https://klasma.github.io/Logging_0382/klagomål/A 22375-2024 FSC-klagomål.docx", "A 22375-2024")</f>
        <v/>
      </c>
      <c r="W147">
        <f>HYPERLINK("https://klasma.github.io/Logging_0382/klagomålsmail/A 22375-2024 FSC-klagomål mail.docx", "A 22375-2024")</f>
        <v/>
      </c>
      <c r="X147">
        <f>HYPERLINK("https://klasma.github.io/Logging_0382/tillsyn/A 22375-2024 tillsynsbegäran.docx", "A 22375-2024")</f>
        <v/>
      </c>
      <c r="Y147">
        <f>HYPERLINK("https://klasma.github.io/Logging_0382/tillsynsmail/A 22375-2024 tillsynsbegäran mail.docx", "A 22375-2024")</f>
        <v/>
      </c>
    </row>
    <row r="148" ht="15" customHeight="1">
      <c r="A148" t="inlineStr">
        <is>
          <t>A 18596-2019</t>
        </is>
      </c>
      <c r="B148" s="1" t="n">
        <v>43560</v>
      </c>
      <c r="C148" s="1" t="n">
        <v>45474</v>
      </c>
      <c r="D148" t="inlineStr">
        <is>
          <t>UPPSALA LÄN</t>
        </is>
      </c>
      <c r="E148" t="inlineStr">
        <is>
          <t>ÖSTHAMMAR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18781-2019</t>
        </is>
      </c>
      <c r="B149" s="1" t="n">
        <v>43561</v>
      </c>
      <c r="C149" s="1" t="n">
        <v>45474</v>
      </c>
      <c r="D149" t="inlineStr">
        <is>
          <t>UPPSALA LÄN</t>
        </is>
      </c>
      <c r="E149" t="inlineStr">
        <is>
          <t>ÖSTHAMMAR</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18792-2019</t>
        </is>
      </c>
      <c r="B150" s="1" t="n">
        <v>43562</v>
      </c>
      <c r="C150" s="1" t="n">
        <v>45474</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18800-2019</t>
        </is>
      </c>
      <c r="B151" s="1" t="n">
        <v>43562</v>
      </c>
      <c r="C151" s="1" t="n">
        <v>45474</v>
      </c>
      <c r="D151" t="inlineStr">
        <is>
          <t>UPPSALA LÄN</t>
        </is>
      </c>
      <c r="E151" t="inlineStr">
        <is>
          <t>ÖSTHAMMAR</t>
        </is>
      </c>
      <c r="F151" t="inlineStr">
        <is>
          <t>Bergvik skog öst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20683-2019</t>
        </is>
      </c>
      <c r="B152" s="1" t="n">
        <v>43573</v>
      </c>
      <c r="C152" s="1" t="n">
        <v>45474</v>
      </c>
      <c r="D152" t="inlineStr">
        <is>
          <t>UPPSALA LÄN</t>
        </is>
      </c>
      <c r="E152" t="inlineStr">
        <is>
          <t>ÖSTHAMMAR</t>
        </is>
      </c>
      <c r="G152" t="n">
        <v>2.6</v>
      </c>
      <c r="H152" t="n">
        <v>0</v>
      </c>
      <c r="I152" t="n">
        <v>0</v>
      </c>
      <c r="J152" t="n">
        <v>0</v>
      </c>
      <c r="K152" t="n">
        <v>0</v>
      </c>
      <c r="L152" t="n">
        <v>0</v>
      </c>
      <c r="M152" t="n">
        <v>0</v>
      </c>
      <c r="N152" t="n">
        <v>0</v>
      </c>
      <c r="O152" t="n">
        <v>0</v>
      </c>
      <c r="P152" t="n">
        <v>0</v>
      </c>
      <c r="Q152" t="n">
        <v>0</v>
      </c>
      <c r="R152" s="2" t="inlineStr"/>
    </row>
    <row r="153" ht="15" customHeight="1">
      <c r="A153" t="inlineStr">
        <is>
          <t>A 21471-2019</t>
        </is>
      </c>
      <c r="B153" s="1" t="n">
        <v>43580</v>
      </c>
      <c r="C153" s="1" t="n">
        <v>45474</v>
      </c>
      <c r="D153" t="inlineStr">
        <is>
          <t>UPPSALA LÄN</t>
        </is>
      </c>
      <c r="E153" t="inlineStr">
        <is>
          <t>ÖSTHAMMAR</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22800-2019</t>
        </is>
      </c>
      <c r="B154" s="1" t="n">
        <v>43590</v>
      </c>
      <c r="C154" s="1" t="n">
        <v>45474</v>
      </c>
      <c r="D154" t="inlineStr">
        <is>
          <t>UPPSALA LÄN</t>
        </is>
      </c>
      <c r="E154" t="inlineStr">
        <is>
          <t>ÖSTHAMMAR</t>
        </is>
      </c>
      <c r="G154" t="n">
        <v>1.5</v>
      </c>
      <c r="H154" t="n">
        <v>0</v>
      </c>
      <c r="I154" t="n">
        <v>0</v>
      </c>
      <c r="J154" t="n">
        <v>0</v>
      </c>
      <c r="K154" t="n">
        <v>0</v>
      </c>
      <c r="L154" t="n">
        <v>0</v>
      </c>
      <c r="M154" t="n">
        <v>0</v>
      </c>
      <c r="N154" t="n">
        <v>0</v>
      </c>
      <c r="O154" t="n">
        <v>0</v>
      </c>
      <c r="P154" t="n">
        <v>0</v>
      </c>
      <c r="Q154" t="n">
        <v>0</v>
      </c>
      <c r="R154" s="2" t="inlineStr"/>
      <c r="U154">
        <f>HYPERLINK("https://klasma.github.io/Logging_0382/knärot/A 22800-2019 karta knärot.png", "A 22800-2019")</f>
        <v/>
      </c>
      <c r="V154">
        <f>HYPERLINK("https://klasma.github.io/Logging_0382/klagomål/A 22800-2019 FSC-klagomål.docx", "A 22800-2019")</f>
        <v/>
      </c>
      <c r="W154">
        <f>HYPERLINK("https://klasma.github.io/Logging_0382/klagomålsmail/A 22800-2019 FSC-klagomål mail.docx", "A 22800-2019")</f>
        <v/>
      </c>
      <c r="X154">
        <f>HYPERLINK("https://klasma.github.io/Logging_0382/tillsyn/A 22800-2019 tillsynsbegäran.docx", "A 22800-2019")</f>
        <v/>
      </c>
      <c r="Y154">
        <f>HYPERLINK("https://klasma.github.io/Logging_0382/tillsynsmail/A 22800-2019 tillsynsbegäran mail.docx", "A 22800-2019")</f>
        <v/>
      </c>
    </row>
    <row r="155" ht="15" customHeight="1">
      <c r="A155" t="inlineStr">
        <is>
          <t>A 22801-2019</t>
        </is>
      </c>
      <c r="B155" s="1" t="n">
        <v>43590</v>
      </c>
      <c r="C155" s="1" t="n">
        <v>45474</v>
      </c>
      <c r="D155" t="inlineStr">
        <is>
          <t>UPPSALA LÄN</t>
        </is>
      </c>
      <c r="E155" t="inlineStr">
        <is>
          <t>ÖSTHAMMAR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23008-2019</t>
        </is>
      </c>
      <c r="B156" s="1" t="n">
        <v>43591</v>
      </c>
      <c r="C156" s="1" t="n">
        <v>45474</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25874-2019</t>
        </is>
      </c>
      <c r="B157" s="1" t="n">
        <v>43605</v>
      </c>
      <c r="C157" s="1" t="n">
        <v>45474</v>
      </c>
      <c r="D157" t="inlineStr">
        <is>
          <t>UPPSALA LÄN</t>
        </is>
      </c>
      <c r="E157" t="inlineStr">
        <is>
          <t>ÖSTHAMMAR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25703-2019</t>
        </is>
      </c>
      <c r="B158" s="1" t="n">
        <v>43607</v>
      </c>
      <c r="C158" s="1" t="n">
        <v>45474</v>
      </c>
      <c r="D158" t="inlineStr">
        <is>
          <t>UPPSALA LÄN</t>
        </is>
      </c>
      <c r="E158" t="inlineStr">
        <is>
          <t>ÖSTHAMMAR</t>
        </is>
      </c>
      <c r="F158" t="inlineStr">
        <is>
          <t>Bergvik skog öst AB</t>
        </is>
      </c>
      <c r="G158" t="n">
        <v>2.2</v>
      </c>
      <c r="H158" t="n">
        <v>0</v>
      </c>
      <c r="I158" t="n">
        <v>0</v>
      </c>
      <c r="J158" t="n">
        <v>0</v>
      </c>
      <c r="K158" t="n">
        <v>0</v>
      </c>
      <c r="L158" t="n">
        <v>0</v>
      </c>
      <c r="M158" t="n">
        <v>0</v>
      </c>
      <c r="N158" t="n">
        <v>0</v>
      </c>
      <c r="O158" t="n">
        <v>0</v>
      </c>
      <c r="P158" t="n">
        <v>0</v>
      </c>
      <c r="Q158" t="n">
        <v>0</v>
      </c>
      <c r="R158" s="2" t="inlineStr"/>
    </row>
    <row r="159" ht="15" customHeight="1">
      <c r="A159" t="inlineStr">
        <is>
          <t>A 25708-2019</t>
        </is>
      </c>
      <c r="B159" s="1" t="n">
        <v>43607</v>
      </c>
      <c r="C159" s="1" t="n">
        <v>45474</v>
      </c>
      <c r="D159" t="inlineStr">
        <is>
          <t>UPPSALA LÄN</t>
        </is>
      </c>
      <c r="E159" t="inlineStr">
        <is>
          <t>ÖSTHAMMAR</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25706-2019</t>
        </is>
      </c>
      <c r="B160" s="1" t="n">
        <v>43607</v>
      </c>
      <c r="C160" s="1" t="n">
        <v>45474</v>
      </c>
      <c r="D160" t="inlineStr">
        <is>
          <t>UPPSALA LÄN</t>
        </is>
      </c>
      <c r="E160" t="inlineStr">
        <is>
          <t>ÖSTHAMMAR</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26562-2019</t>
        </is>
      </c>
      <c r="B161" s="1" t="n">
        <v>43612</v>
      </c>
      <c r="C161" s="1" t="n">
        <v>45474</v>
      </c>
      <c r="D161" t="inlineStr">
        <is>
          <t>UPPSALA LÄN</t>
        </is>
      </c>
      <c r="E161" t="inlineStr">
        <is>
          <t>ÖSTHAMMAR</t>
        </is>
      </c>
      <c r="G161" t="n">
        <v>3.2</v>
      </c>
      <c r="H161" t="n">
        <v>0</v>
      </c>
      <c r="I161" t="n">
        <v>0</v>
      </c>
      <c r="J161" t="n">
        <v>0</v>
      </c>
      <c r="K161" t="n">
        <v>0</v>
      </c>
      <c r="L161" t="n">
        <v>0</v>
      </c>
      <c r="M161" t="n">
        <v>0</v>
      </c>
      <c r="N161" t="n">
        <v>0</v>
      </c>
      <c r="O161" t="n">
        <v>0</v>
      </c>
      <c r="P161" t="n">
        <v>0</v>
      </c>
      <c r="Q161" t="n">
        <v>0</v>
      </c>
      <c r="R161" s="2" t="inlineStr"/>
    </row>
    <row r="162" ht="15" customHeight="1">
      <c r="A162" t="inlineStr">
        <is>
          <t>A 26724-2019</t>
        </is>
      </c>
      <c r="B162" s="1" t="n">
        <v>43613</v>
      </c>
      <c r="C162" s="1" t="n">
        <v>45474</v>
      </c>
      <c r="D162" t="inlineStr">
        <is>
          <t>UPPSALA LÄN</t>
        </is>
      </c>
      <c r="E162" t="inlineStr">
        <is>
          <t>ÖSTHAMMAR</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26796-2019</t>
        </is>
      </c>
      <c r="B163" s="1" t="n">
        <v>43613</v>
      </c>
      <c r="C163" s="1" t="n">
        <v>45474</v>
      </c>
      <c r="D163" t="inlineStr">
        <is>
          <t>UPPSALA LÄN</t>
        </is>
      </c>
      <c r="E163" t="inlineStr">
        <is>
          <t>ÖSTHAMMAR</t>
        </is>
      </c>
      <c r="F163" t="inlineStr">
        <is>
          <t>Bergvik skog öst AB</t>
        </is>
      </c>
      <c r="G163" t="n">
        <v>4.4</v>
      </c>
      <c r="H163" t="n">
        <v>0</v>
      </c>
      <c r="I163" t="n">
        <v>0</v>
      </c>
      <c r="J163" t="n">
        <v>0</v>
      </c>
      <c r="K163" t="n">
        <v>0</v>
      </c>
      <c r="L163" t="n">
        <v>0</v>
      </c>
      <c r="M163" t="n">
        <v>0</v>
      </c>
      <c r="N163" t="n">
        <v>0</v>
      </c>
      <c r="O163" t="n">
        <v>0</v>
      </c>
      <c r="P163" t="n">
        <v>0</v>
      </c>
      <c r="Q163" t="n">
        <v>0</v>
      </c>
      <c r="R163" s="2" t="inlineStr"/>
    </row>
    <row r="164" ht="15" customHeight="1">
      <c r="A164" t="inlineStr">
        <is>
          <t>A 27458-2019</t>
        </is>
      </c>
      <c r="B164" s="1" t="n">
        <v>43618</v>
      </c>
      <c r="C164" s="1" t="n">
        <v>45474</v>
      </c>
      <c r="D164" t="inlineStr">
        <is>
          <t>UPPSALA LÄN</t>
        </is>
      </c>
      <c r="E164" t="inlineStr">
        <is>
          <t>ÖSTHAMMAR</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29204-2019</t>
        </is>
      </c>
      <c r="B165" s="1" t="n">
        <v>43623</v>
      </c>
      <c r="C165" s="1" t="n">
        <v>45474</v>
      </c>
      <c r="D165" t="inlineStr">
        <is>
          <t>UPPSALA LÄN</t>
        </is>
      </c>
      <c r="E165" t="inlineStr">
        <is>
          <t>ÖSTHAMMAR</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31106-2019</t>
        </is>
      </c>
      <c r="B166" s="1" t="n">
        <v>43635</v>
      </c>
      <c r="C166" s="1" t="n">
        <v>45474</v>
      </c>
      <c r="D166" t="inlineStr">
        <is>
          <t>UPPSALA LÄN</t>
        </is>
      </c>
      <c r="E166" t="inlineStr">
        <is>
          <t>ÖSTHAMMAR</t>
        </is>
      </c>
      <c r="F166" t="inlineStr">
        <is>
          <t>Övriga statliga verk och myndigheter</t>
        </is>
      </c>
      <c r="G166" t="n">
        <v>1.5</v>
      </c>
      <c r="H166" t="n">
        <v>0</v>
      </c>
      <c r="I166" t="n">
        <v>0</v>
      </c>
      <c r="J166" t="n">
        <v>0</v>
      </c>
      <c r="K166" t="n">
        <v>0</v>
      </c>
      <c r="L166" t="n">
        <v>0</v>
      </c>
      <c r="M166" t="n">
        <v>0</v>
      </c>
      <c r="N166" t="n">
        <v>0</v>
      </c>
      <c r="O166" t="n">
        <v>0</v>
      </c>
      <c r="P166" t="n">
        <v>0</v>
      </c>
      <c r="Q166" t="n">
        <v>0</v>
      </c>
      <c r="R166" s="2" t="inlineStr"/>
    </row>
    <row r="167" ht="15" customHeight="1">
      <c r="A167" t="inlineStr">
        <is>
          <t>A 31716-2019</t>
        </is>
      </c>
      <c r="B167" s="1" t="n">
        <v>43642</v>
      </c>
      <c r="C167" s="1" t="n">
        <v>45474</v>
      </c>
      <c r="D167" t="inlineStr">
        <is>
          <t>UPPSALA LÄN</t>
        </is>
      </c>
      <c r="E167" t="inlineStr">
        <is>
          <t>ÖSTHAMMAR</t>
        </is>
      </c>
      <c r="G167" t="n">
        <v>1.5</v>
      </c>
      <c r="H167" t="n">
        <v>0</v>
      </c>
      <c r="I167" t="n">
        <v>0</v>
      </c>
      <c r="J167" t="n">
        <v>0</v>
      </c>
      <c r="K167" t="n">
        <v>0</v>
      </c>
      <c r="L167" t="n">
        <v>0</v>
      </c>
      <c r="M167" t="n">
        <v>0</v>
      </c>
      <c r="N167" t="n">
        <v>0</v>
      </c>
      <c r="O167" t="n">
        <v>0</v>
      </c>
      <c r="P167" t="n">
        <v>0</v>
      </c>
      <c r="Q167" t="n">
        <v>0</v>
      </c>
      <c r="R167" s="2" t="inlineStr"/>
    </row>
    <row r="168" ht="15" customHeight="1">
      <c r="A168" t="inlineStr">
        <is>
          <t>A 31882-2019</t>
        </is>
      </c>
      <c r="B168" s="1" t="n">
        <v>43642</v>
      </c>
      <c r="C168" s="1" t="n">
        <v>45474</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32718-2019</t>
        </is>
      </c>
      <c r="B169" s="1" t="n">
        <v>43647</v>
      </c>
      <c r="C169" s="1" t="n">
        <v>45474</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33532-2019</t>
        </is>
      </c>
      <c r="B170" s="1" t="n">
        <v>43651</v>
      </c>
      <c r="C170" s="1" t="n">
        <v>45474</v>
      </c>
      <c r="D170" t="inlineStr">
        <is>
          <t>UPPSALA LÄN</t>
        </is>
      </c>
      <c r="E170" t="inlineStr">
        <is>
          <t>ÖSTHAMMAR</t>
        </is>
      </c>
      <c r="G170" t="n">
        <v>1.6</v>
      </c>
      <c r="H170" t="n">
        <v>0</v>
      </c>
      <c r="I170" t="n">
        <v>0</v>
      </c>
      <c r="J170" t="n">
        <v>0</v>
      </c>
      <c r="K170" t="n">
        <v>0</v>
      </c>
      <c r="L170" t="n">
        <v>0</v>
      </c>
      <c r="M170" t="n">
        <v>0</v>
      </c>
      <c r="N170" t="n">
        <v>0</v>
      </c>
      <c r="O170" t="n">
        <v>0</v>
      </c>
      <c r="P170" t="n">
        <v>0</v>
      </c>
      <c r="Q170" t="n">
        <v>0</v>
      </c>
      <c r="R170" s="2" t="inlineStr"/>
    </row>
    <row r="171" ht="15" customHeight="1">
      <c r="A171" t="inlineStr">
        <is>
          <t>A 33544-2019</t>
        </is>
      </c>
      <c r="B171" s="1" t="n">
        <v>43651</v>
      </c>
      <c r="C171" s="1" t="n">
        <v>45474</v>
      </c>
      <c r="D171" t="inlineStr">
        <is>
          <t>UPPSALA LÄN</t>
        </is>
      </c>
      <c r="E171" t="inlineStr">
        <is>
          <t>ÖSTHAMMAR</t>
        </is>
      </c>
      <c r="G171" t="n">
        <v>4.3</v>
      </c>
      <c r="H171" t="n">
        <v>0</v>
      </c>
      <c r="I171" t="n">
        <v>0</v>
      </c>
      <c r="J171" t="n">
        <v>0</v>
      </c>
      <c r="K171" t="n">
        <v>0</v>
      </c>
      <c r="L171" t="n">
        <v>0</v>
      </c>
      <c r="M171" t="n">
        <v>0</v>
      </c>
      <c r="N171" t="n">
        <v>0</v>
      </c>
      <c r="O171" t="n">
        <v>0</v>
      </c>
      <c r="P171" t="n">
        <v>0</v>
      </c>
      <c r="Q171" t="n">
        <v>0</v>
      </c>
      <c r="R171" s="2" t="inlineStr"/>
    </row>
    <row r="172" ht="15" customHeight="1">
      <c r="A172" t="inlineStr">
        <is>
          <t>A 33539-2019</t>
        </is>
      </c>
      <c r="B172" s="1" t="n">
        <v>43651</v>
      </c>
      <c r="C172" s="1" t="n">
        <v>45474</v>
      </c>
      <c r="D172" t="inlineStr">
        <is>
          <t>UPPSALA LÄN</t>
        </is>
      </c>
      <c r="E172" t="inlineStr">
        <is>
          <t>ÖSTHAMMAR</t>
        </is>
      </c>
      <c r="G172" t="n">
        <v>4.6</v>
      </c>
      <c r="H172" t="n">
        <v>0</v>
      </c>
      <c r="I172" t="n">
        <v>0</v>
      </c>
      <c r="J172" t="n">
        <v>0</v>
      </c>
      <c r="K172" t="n">
        <v>0</v>
      </c>
      <c r="L172" t="n">
        <v>0</v>
      </c>
      <c r="M172" t="n">
        <v>0</v>
      </c>
      <c r="N172" t="n">
        <v>0</v>
      </c>
      <c r="O172" t="n">
        <v>0</v>
      </c>
      <c r="P172" t="n">
        <v>0</v>
      </c>
      <c r="Q172" t="n">
        <v>0</v>
      </c>
      <c r="R172" s="2" t="inlineStr"/>
    </row>
    <row r="173" ht="15" customHeight="1">
      <c r="A173" t="inlineStr">
        <is>
          <t>A 33551-2019</t>
        </is>
      </c>
      <c r="B173" s="1" t="n">
        <v>43651</v>
      </c>
      <c r="C173" s="1" t="n">
        <v>45474</v>
      </c>
      <c r="D173" t="inlineStr">
        <is>
          <t>UPPSALA LÄN</t>
        </is>
      </c>
      <c r="E173" t="inlineStr">
        <is>
          <t>ÖSTHAMMAR</t>
        </is>
      </c>
      <c r="G173" t="n">
        <v>1.5</v>
      </c>
      <c r="H173" t="n">
        <v>0</v>
      </c>
      <c r="I173" t="n">
        <v>0</v>
      </c>
      <c r="J173" t="n">
        <v>0</v>
      </c>
      <c r="K173" t="n">
        <v>0</v>
      </c>
      <c r="L173" t="n">
        <v>0</v>
      </c>
      <c r="M173" t="n">
        <v>0</v>
      </c>
      <c r="N173" t="n">
        <v>0</v>
      </c>
      <c r="O173" t="n">
        <v>0</v>
      </c>
      <c r="P173" t="n">
        <v>0</v>
      </c>
      <c r="Q173" t="n">
        <v>0</v>
      </c>
      <c r="R173" s="2" t="inlineStr"/>
    </row>
    <row r="174" ht="15" customHeight="1">
      <c r="A174" t="inlineStr">
        <is>
          <t>A 33784-2019</t>
        </is>
      </c>
      <c r="B174" s="1" t="n">
        <v>43651</v>
      </c>
      <c r="C174" s="1" t="n">
        <v>45474</v>
      </c>
      <c r="D174" t="inlineStr">
        <is>
          <t>UPPSALA LÄN</t>
        </is>
      </c>
      <c r="E174" t="inlineStr">
        <is>
          <t>ÖSTHAMMAR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39582-2019</t>
        </is>
      </c>
      <c r="B175" s="1" t="n">
        <v>43686</v>
      </c>
      <c r="C175" s="1" t="n">
        <v>45474</v>
      </c>
      <c r="D175" t="inlineStr">
        <is>
          <t>UPPSALA LÄN</t>
        </is>
      </c>
      <c r="E175" t="inlineStr">
        <is>
          <t>ÖSTHAMMAR</t>
        </is>
      </c>
      <c r="G175" t="n">
        <v>12.2</v>
      </c>
      <c r="H175" t="n">
        <v>0</v>
      </c>
      <c r="I175" t="n">
        <v>0</v>
      </c>
      <c r="J175" t="n">
        <v>0</v>
      </c>
      <c r="K175" t="n">
        <v>0</v>
      </c>
      <c r="L175" t="n">
        <v>0</v>
      </c>
      <c r="M175" t="n">
        <v>0</v>
      </c>
      <c r="N175" t="n">
        <v>0</v>
      </c>
      <c r="O175" t="n">
        <v>0</v>
      </c>
      <c r="P175" t="n">
        <v>0</v>
      </c>
      <c r="Q175" t="n">
        <v>0</v>
      </c>
      <c r="R175" s="2" t="inlineStr"/>
    </row>
    <row r="176" ht="15" customHeight="1">
      <c r="A176" t="inlineStr">
        <is>
          <t>A 39910-2019</t>
        </is>
      </c>
      <c r="B176" s="1" t="n">
        <v>43692</v>
      </c>
      <c r="C176" s="1" t="n">
        <v>45474</v>
      </c>
      <c r="D176" t="inlineStr">
        <is>
          <t>UPPSALA LÄN</t>
        </is>
      </c>
      <c r="E176" t="inlineStr">
        <is>
          <t>ÖSTHAMMAR</t>
        </is>
      </c>
      <c r="G176" t="n">
        <v>3.9</v>
      </c>
      <c r="H176" t="n">
        <v>0</v>
      </c>
      <c r="I176" t="n">
        <v>0</v>
      </c>
      <c r="J176" t="n">
        <v>0</v>
      </c>
      <c r="K176" t="n">
        <v>0</v>
      </c>
      <c r="L176" t="n">
        <v>0</v>
      </c>
      <c r="M176" t="n">
        <v>0</v>
      </c>
      <c r="N176" t="n">
        <v>0</v>
      </c>
      <c r="O176" t="n">
        <v>0</v>
      </c>
      <c r="P176" t="n">
        <v>0</v>
      </c>
      <c r="Q176" t="n">
        <v>0</v>
      </c>
      <c r="R176" s="2" t="inlineStr"/>
    </row>
    <row r="177" ht="15" customHeight="1">
      <c r="A177" t="inlineStr">
        <is>
          <t>A 41697-2019</t>
        </is>
      </c>
      <c r="B177" s="1" t="n">
        <v>43699</v>
      </c>
      <c r="C177" s="1" t="n">
        <v>45474</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41539-2019</t>
        </is>
      </c>
      <c r="B178" s="1" t="n">
        <v>43699</v>
      </c>
      <c r="C178" s="1" t="n">
        <v>45474</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43426-2019</t>
        </is>
      </c>
      <c r="B179" s="1" t="n">
        <v>43706</v>
      </c>
      <c r="C179" s="1" t="n">
        <v>45474</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45140-2019</t>
        </is>
      </c>
      <c r="B180" s="1" t="n">
        <v>43713</v>
      </c>
      <c r="C180" s="1" t="n">
        <v>45474</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45681-2019</t>
        </is>
      </c>
      <c r="B181" s="1" t="n">
        <v>43717</v>
      </c>
      <c r="C181" s="1" t="n">
        <v>45474</v>
      </c>
      <c r="D181" t="inlineStr">
        <is>
          <t>UPPSALA LÄN</t>
        </is>
      </c>
      <c r="E181" t="inlineStr">
        <is>
          <t>ÖSTHAMMAR</t>
        </is>
      </c>
      <c r="F181" t="inlineStr">
        <is>
          <t>Bergvik skog öst AB</t>
        </is>
      </c>
      <c r="G181" t="n">
        <v>3</v>
      </c>
      <c r="H181" t="n">
        <v>0</v>
      </c>
      <c r="I181" t="n">
        <v>0</v>
      </c>
      <c r="J181" t="n">
        <v>0</v>
      </c>
      <c r="K181" t="n">
        <v>0</v>
      </c>
      <c r="L181" t="n">
        <v>0</v>
      </c>
      <c r="M181" t="n">
        <v>0</v>
      </c>
      <c r="N181" t="n">
        <v>0</v>
      </c>
      <c r="O181" t="n">
        <v>0</v>
      </c>
      <c r="P181" t="n">
        <v>0</v>
      </c>
      <c r="Q181" t="n">
        <v>0</v>
      </c>
      <c r="R181" s="2" t="inlineStr"/>
    </row>
    <row r="182" ht="15" customHeight="1">
      <c r="A182" t="inlineStr">
        <is>
          <t>A 47440-2019</t>
        </is>
      </c>
      <c r="B182" s="1" t="n">
        <v>43723</v>
      </c>
      <c r="C182" s="1" t="n">
        <v>45474</v>
      </c>
      <c r="D182" t="inlineStr">
        <is>
          <t>UPPSALA LÄN</t>
        </is>
      </c>
      <c r="E182" t="inlineStr">
        <is>
          <t>ÖSTHAMMAR</t>
        </is>
      </c>
      <c r="G182" t="n">
        <v>0.1</v>
      </c>
      <c r="H182" t="n">
        <v>0</v>
      </c>
      <c r="I182" t="n">
        <v>0</v>
      </c>
      <c r="J182" t="n">
        <v>0</v>
      </c>
      <c r="K182" t="n">
        <v>0</v>
      </c>
      <c r="L182" t="n">
        <v>0</v>
      </c>
      <c r="M182" t="n">
        <v>0</v>
      </c>
      <c r="N182" t="n">
        <v>0</v>
      </c>
      <c r="O182" t="n">
        <v>0</v>
      </c>
      <c r="P182" t="n">
        <v>0</v>
      </c>
      <c r="Q182" t="n">
        <v>0</v>
      </c>
      <c r="R182" s="2" t="inlineStr"/>
    </row>
    <row r="183" ht="15" customHeight="1">
      <c r="A183" t="inlineStr">
        <is>
          <t>A 47436-2019</t>
        </is>
      </c>
      <c r="B183" s="1" t="n">
        <v>43723</v>
      </c>
      <c r="C183" s="1" t="n">
        <v>45474</v>
      </c>
      <c r="D183" t="inlineStr">
        <is>
          <t>UPPSALA LÄN</t>
        </is>
      </c>
      <c r="E183" t="inlineStr">
        <is>
          <t>ÖSTHAMMAR</t>
        </is>
      </c>
      <c r="G183" t="n">
        <v>0.7</v>
      </c>
      <c r="H183" t="n">
        <v>0</v>
      </c>
      <c r="I183" t="n">
        <v>0</v>
      </c>
      <c r="J183" t="n">
        <v>0</v>
      </c>
      <c r="K183" t="n">
        <v>0</v>
      </c>
      <c r="L183" t="n">
        <v>0</v>
      </c>
      <c r="M183" t="n">
        <v>0</v>
      </c>
      <c r="N183" t="n">
        <v>0</v>
      </c>
      <c r="O183" t="n">
        <v>0</v>
      </c>
      <c r="P183" t="n">
        <v>0</v>
      </c>
      <c r="Q183" t="n">
        <v>0</v>
      </c>
      <c r="R183" s="2" t="inlineStr"/>
    </row>
    <row r="184" ht="15" customHeight="1">
      <c r="A184" t="inlineStr">
        <is>
          <t>A 51025-2019</t>
        </is>
      </c>
      <c r="B184" s="1" t="n">
        <v>43739</v>
      </c>
      <c r="C184" s="1" t="n">
        <v>45474</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53442-2019</t>
        </is>
      </c>
      <c r="B185" s="1" t="n">
        <v>43748</v>
      </c>
      <c r="C185" s="1" t="n">
        <v>45474</v>
      </c>
      <c r="D185" t="inlineStr">
        <is>
          <t>UPPSALA LÄN</t>
        </is>
      </c>
      <c r="E185" t="inlineStr">
        <is>
          <t>ÖSTHAMMAR</t>
        </is>
      </c>
      <c r="F185" t="inlineStr">
        <is>
          <t>Bergvik skog öst AB</t>
        </is>
      </c>
      <c r="G185" t="n">
        <v>1.9</v>
      </c>
      <c r="H185" t="n">
        <v>0</v>
      </c>
      <c r="I185" t="n">
        <v>0</v>
      </c>
      <c r="J185" t="n">
        <v>0</v>
      </c>
      <c r="K185" t="n">
        <v>0</v>
      </c>
      <c r="L185" t="n">
        <v>0</v>
      </c>
      <c r="M185" t="n">
        <v>0</v>
      </c>
      <c r="N185" t="n">
        <v>0</v>
      </c>
      <c r="O185" t="n">
        <v>0</v>
      </c>
      <c r="P185" t="n">
        <v>0</v>
      </c>
      <c r="Q185" t="n">
        <v>0</v>
      </c>
      <c r="R185" s="2" t="inlineStr"/>
    </row>
    <row r="186" ht="15" customHeight="1">
      <c r="A186" t="inlineStr">
        <is>
          <t>A 55382-2019</t>
        </is>
      </c>
      <c r="B186" s="1" t="n">
        <v>43755</v>
      </c>
      <c r="C186" s="1" t="n">
        <v>45474</v>
      </c>
      <c r="D186" t="inlineStr">
        <is>
          <t>UPPSALA LÄN</t>
        </is>
      </c>
      <c r="E186" t="inlineStr">
        <is>
          <t>ÖSTHAMMAR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57686-2019</t>
        </is>
      </c>
      <c r="B187" s="1" t="n">
        <v>43761</v>
      </c>
      <c r="C187" s="1" t="n">
        <v>45474</v>
      </c>
      <c r="D187" t="inlineStr">
        <is>
          <t>UPPSALA LÄN</t>
        </is>
      </c>
      <c r="E187" t="inlineStr">
        <is>
          <t>ÖSTHAMMAR</t>
        </is>
      </c>
      <c r="G187" t="n">
        <v>5.7</v>
      </c>
      <c r="H187" t="n">
        <v>0</v>
      </c>
      <c r="I187" t="n">
        <v>0</v>
      </c>
      <c r="J187" t="n">
        <v>0</v>
      </c>
      <c r="K187" t="n">
        <v>0</v>
      </c>
      <c r="L187" t="n">
        <v>0</v>
      </c>
      <c r="M187" t="n">
        <v>0</v>
      </c>
      <c r="N187" t="n">
        <v>0</v>
      </c>
      <c r="O187" t="n">
        <v>0</v>
      </c>
      <c r="P187" t="n">
        <v>0</v>
      </c>
      <c r="Q187" t="n">
        <v>0</v>
      </c>
      <c r="R187" s="2" t="inlineStr"/>
    </row>
    <row r="188" ht="15" customHeight="1">
      <c r="A188" t="inlineStr">
        <is>
          <t>A 57304-2019</t>
        </is>
      </c>
      <c r="B188" s="1" t="n">
        <v>43767</v>
      </c>
      <c r="C188" s="1" t="n">
        <v>45474</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58665-2019</t>
        </is>
      </c>
      <c r="B189" s="1" t="n">
        <v>43773</v>
      </c>
      <c r="C189" s="1" t="n">
        <v>45474</v>
      </c>
      <c r="D189" t="inlineStr">
        <is>
          <t>UPPSALA LÄN</t>
        </is>
      </c>
      <c r="E189" t="inlineStr">
        <is>
          <t>ÖSTHAMMAR</t>
        </is>
      </c>
      <c r="G189" t="n">
        <v>2</v>
      </c>
      <c r="H189" t="n">
        <v>0</v>
      </c>
      <c r="I189" t="n">
        <v>0</v>
      </c>
      <c r="J189" t="n">
        <v>0</v>
      </c>
      <c r="K189" t="n">
        <v>0</v>
      </c>
      <c r="L189" t="n">
        <v>0</v>
      </c>
      <c r="M189" t="n">
        <v>0</v>
      </c>
      <c r="N189" t="n">
        <v>0</v>
      </c>
      <c r="O189" t="n">
        <v>0</v>
      </c>
      <c r="P189" t="n">
        <v>0</v>
      </c>
      <c r="Q189" t="n">
        <v>0</v>
      </c>
      <c r="R189" s="2" t="inlineStr"/>
    </row>
    <row r="190" ht="15" customHeight="1">
      <c r="A190" t="inlineStr">
        <is>
          <t>A 60977-2019</t>
        </is>
      </c>
      <c r="B190" s="1" t="n">
        <v>43782</v>
      </c>
      <c r="C190" s="1" t="n">
        <v>45474</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61866-2019</t>
        </is>
      </c>
      <c r="B191" s="1" t="n">
        <v>43787</v>
      </c>
      <c r="C191" s="1" t="n">
        <v>45474</v>
      </c>
      <c r="D191" t="inlineStr">
        <is>
          <t>UPPSALA LÄN</t>
        </is>
      </c>
      <c r="E191" t="inlineStr">
        <is>
          <t>ÖSTHAMMAR</t>
        </is>
      </c>
      <c r="F191" t="inlineStr">
        <is>
          <t>Bergvik skog öst AB</t>
        </is>
      </c>
      <c r="G191" t="n">
        <v>6.6</v>
      </c>
      <c r="H191" t="n">
        <v>0</v>
      </c>
      <c r="I191" t="n">
        <v>0</v>
      </c>
      <c r="J191" t="n">
        <v>0</v>
      </c>
      <c r="K191" t="n">
        <v>0</v>
      </c>
      <c r="L191" t="n">
        <v>0</v>
      </c>
      <c r="M191" t="n">
        <v>0</v>
      </c>
      <c r="N191" t="n">
        <v>0</v>
      </c>
      <c r="O191" t="n">
        <v>0</v>
      </c>
      <c r="P191" t="n">
        <v>0</v>
      </c>
      <c r="Q191" t="n">
        <v>0</v>
      </c>
      <c r="R191" s="2" t="inlineStr"/>
    </row>
    <row r="192" ht="15" customHeight="1">
      <c r="A192" t="inlineStr">
        <is>
          <t>A 62808-2019</t>
        </is>
      </c>
      <c r="B192" s="1" t="n">
        <v>43790</v>
      </c>
      <c r="C192" s="1" t="n">
        <v>45474</v>
      </c>
      <c r="D192" t="inlineStr">
        <is>
          <t>UPPSALA LÄN</t>
        </is>
      </c>
      <c r="E192" t="inlineStr">
        <is>
          <t>ÖSTHAMMAR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63564-2019</t>
        </is>
      </c>
      <c r="B193" s="1" t="n">
        <v>43795</v>
      </c>
      <c r="C193" s="1" t="n">
        <v>45474</v>
      </c>
      <c r="D193" t="inlineStr">
        <is>
          <t>UPPSALA LÄN</t>
        </is>
      </c>
      <c r="E193" t="inlineStr">
        <is>
          <t>ÖSTHAMMAR</t>
        </is>
      </c>
      <c r="F193" t="inlineStr">
        <is>
          <t>Övriga Aktiebolag</t>
        </is>
      </c>
      <c r="G193" t="n">
        <v>4.7</v>
      </c>
      <c r="H193" t="n">
        <v>0</v>
      </c>
      <c r="I193" t="n">
        <v>0</v>
      </c>
      <c r="J193" t="n">
        <v>0</v>
      </c>
      <c r="K193" t="n">
        <v>0</v>
      </c>
      <c r="L193" t="n">
        <v>0</v>
      </c>
      <c r="M193" t="n">
        <v>0</v>
      </c>
      <c r="N193" t="n">
        <v>0</v>
      </c>
      <c r="O193" t="n">
        <v>0</v>
      </c>
      <c r="P193" t="n">
        <v>0</v>
      </c>
      <c r="Q193" t="n">
        <v>0</v>
      </c>
      <c r="R193" s="2" t="inlineStr"/>
    </row>
    <row r="194" ht="15" customHeight="1">
      <c r="A194" t="inlineStr">
        <is>
          <t>A 64344-2019</t>
        </is>
      </c>
      <c r="B194" s="1" t="n">
        <v>43797</v>
      </c>
      <c r="C194" s="1" t="n">
        <v>45474</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65107-2019</t>
        </is>
      </c>
      <c r="B195" s="1" t="n">
        <v>43802</v>
      </c>
      <c r="C195" s="1" t="n">
        <v>45474</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row>
    <row r="196" ht="15" customHeight="1">
      <c r="A196" t="inlineStr">
        <is>
          <t>A 67647-2019</t>
        </is>
      </c>
      <c r="B196" s="1" t="n">
        <v>43808</v>
      </c>
      <c r="C196" s="1" t="n">
        <v>45474</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66802-2019</t>
        </is>
      </c>
      <c r="B197" s="1" t="n">
        <v>43810</v>
      </c>
      <c r="C197" s="1" t="n">
        <v>45474</v>
      </c>
      <c r="D197" t="inlineStr">
        <is>
          <t>UPPSALA LÄN</t>
        </is>
      </c>
      <c r="E197" t="inlineStr">
        <is>
          <t>ÖSTHAMMAR</t>
        </is>
      </c>
      <c r="F197" t="inlineStr">
        <is>
          <t>Bergvik skog öst AB</t>
        </is>
      </c>
      <c r="G197" t="n">
        <v>34.8</v>
      </c>
      <c r="H197" t="n">
        <v>0</v>
      </c>
      <c r="I197" t="n">
        <v>0</v>
      </c>
      <c r="J197" t="n">
        <v>0</v>
      </c>
      <c r="K197" t="n">
        <v>0</v>
      </c>
      <c r="L197" t="n">
        <v>0</v>
      </c>
      <c r="M197" t="n">
        <v>0</v>
      </c>
      <c r="N197" t="n">
        <v>0</v>
      </c>
      <c r="O197" t="n">
        <v>0</v>
      </c>
      <c r="P197" t="n">
        <v>0</v>
      </c>
      <c r="Q197" t="n">
        <v>0</v>
      </c>
      <c r="R197" s="2" t="inlineStr"/>
    </row>
    <row r="198" ht="15" customHeight="1">
      <c r="A198" t="inlineStr">
        <is>
          <t>A 67254-2019</t>
        </is>
      </c>
      <c r="B198" s="1" t="n">
        <v>43812</v>
      </c>
      <c r="C198" s="1" t="n">
        <v>45474</v>
      </c>
      <c r="D198" t="inlineStr">
        <is>
          <t>UPPSALA LÄN</t>
        </is>
      </c>
      <c r="E198" t="inlineStr">
        <is>
          <t>ÖSTHAMMAR</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618-2020</t>
        </is>
      </c>
      <c r="B199" s="1" t="n">
        <v>43817</v>
      </c>
      <c r="C199" s="1" t="n">
        <v>45474</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68870-2019</t>
        </is>
      </c>
      <c r="B200" s="1" t="n">
        <v>43821</v>
      </c>
      <c r="C200" s="1" t="n">
        <v>45474</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68871-2019</t>
        </is>
      </c>
      <c r="B201" s="1" t="n">
        <v>43821</v>
      </c>
      <c r="C201" s="1" t="n">
        <v>45474</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68868-2019</t>
        </is>
      </c>
      <c r="B202" s="1" t="n">
        <v>43821</v>
      </c>
      <c r="C202" s="1" t="n">
        <v>45474</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685-2020</t>
        </is>
      </c>
      <c r="B203" s="1" t="n">
        <v>43838</v>
      </c>
      <c r="C203" s="1" t="n">
        <v>45474</v>
      </c>
      <c r="D203" t="inlineStr">
        <is>
          <t>UPPSALA LÄN</t>
        </is>
      </c>
      <c r="E203" t="inlineStr">
        <is>
          <t>ÖSTHAMMAR</t>
        </is>
      </c>
      <c r="F203" t="inlineStr">
        <is>
          <t>Bergvik skog öst AB</t>
        </is>
      </c>
      <c r="G203" t="n">
        <v>0.9</v>
      </c>
      <c r="H203" t="n">
        <v>0</v>
      </c>
      <c r="I203" t="n">
        <v>0</v>
      </c>
      <c r="J203" t="n">
        <v>0</v>
      </c>
      <c r="K203" t="n">
        <v>0</v>
      </c>
      <c r="L203" t="n">
        <v>0</v>
      </c>
      <c r="M203" t="n">
        <v>0</v>
      </c>
      <c r="N203" t="n">
        <v>0</v>
      </c>
      <c r="O203" t="n">
        <v>0</v>
      </c>
      <c r="P203" t="n">
        <v>0</v>
      </c>
      <c r="Q203" t="n">
        <v>0</v>
      </c>
      <c r="R203" s="2" t="inlineStr"/>
    </row>
    <row r="204" ht="15" customHeight="1">
      <c r="A204" t="inlineStr">
        <is>
          <t>A 1685-2020</t>
        </is>
      </c>
      <c r="B204" s="1" t="n">
        <v>43844</v>
      </c>
      <c r="C204" s="1" t="n">
        <v>45474</v>
      </c>
      <c r="D204" t="inlineStr">
        <is>
          <t>UPPSALA LÄN</t>
        </is>
      </c>
      <c r="E204" t="inlineStr">
        <is>
          <t>ÖSTHAMMAR</t>
        </is>
      </c>
      <c r="F204" t="inlineStr">
        <is>
          <t>Övriga Aktiebolag</t>
        </is>
      </c>
      <c r="G204" t="n">
        <v>4.3</v>
      </c>
      <c r="H204" t="n">
        <v>0</v>
      </c>
      <c r="I204" t="n">
        <v>0</v>
      </c>
      <c r="J204" t="n">
        <v>0</v>
      </c>
      <c r="K204" t="n">
        <v>0</v>
      </c>
      <c r="L204" t="n">
        <v>0</v>
      </c>
      <c r="M204" t="n">
        <v>0</v>
      </c>
      <c r="N204" t="n">
        <v>0</v>
      </c>
      <c r="O204" t="n">
        <v>0</v>
      </c>
      <c r="P204" t="n">
        <v>0</v>
      </c>
      <c r="Q204" t="n">
        <v>0</v>
      </c>
      <c r="R204" s="2" t="inlineStr"/>
    </row>
    <row r="205" ht="15" customHeight="1">
      <c r="A205" t="inlineStr">
        <is>
          <t>A 1681-2020</t>
        </is>
      </c>
      <c r="B205" s="1" t="n">
        <v>43844</v>
      </c>
      <c r="C205" s="1" t="n">
        <v>45474</v>
      </c>
      <c r="D205" t="inlineStr">
        <is>
          <t>UPPSALA LÄN</t>
        </is>
      </c>
      <c r="E205" t="inlineStr">
        <is>
          <t>ÖSTHAMMAR</t>
        </is>
      </c>
      <c r="F205" t="inlineStr">
        <is>
          <t>Övriga Aktiebolag</t>
        </is>
      </c>
      <c r="G205" t="n">
        <v>1.6</v>
      </c>
      <c r="H205" t="n">
        <v>0</v>
      </c>
      <c r="I205" t="n">
        <v>0</v>
      </c>
      <c r="J205" t="n">
        <v>0</v>
      </c>
      <c r="K205" t="n">
        <v>0</v>
      </c>
      <c r="L205" t="n">
        <v>0</v>
      </c>
      <c r="M205" t="n">
        <v>0</v>
      </c>
      <c r="N205" t="n">
        <v>0</v>
      </c>
      <c r="O205" t="n">
        <v>0</v>
      </c>
      <c r="P205" t="n">
        <v>0</v>
      </c>
      <c r="Q205" t="n">
        <v>0</v>
      </c>
      <c r="R205" s="2" t="inlineStr"/>
    </row>
    <row r="206" ht="15" customHeight="1">
      <c r="A206" t="inlineStr">
        <is>
          <t>A 4473-2020</t>
        </is>
      </c>
      <c r="B206" s="1" t="n">
        <v>43850</v>
      </c>
      <c r="C206" s="1" t="n">
        <v>45474</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3334-2020</t>
        </is>
      </c>
      <c r="B207" s="1" t="n">
        <v>43852</v>
      </c>
      <c r="C207" s="1" t="n">
        <v>45474</v>
      </c>
      <c r="D207" t="inlineStr">
        <is>
          <t>UPPSALA LÄN</t>
        </is>
      </c>
      <c r="E207" t="inlineStr">
        <is>
          <t>ÖSTHAMMAR</t>
        </is>
      </c>
      <c r="G207" t="n">
        <v>2.5</v>
      </c>
      <c r="H207" t="n">
        <v>0</v>
      </c>
      <c r="I207" t="n">
        <v>0</v>
      </c>
      <c r="J207" t="n">
        <v>0</v>
      </c>
      <c r="K207" t="n">
        <v>0</v>
      </c>
      <c r="L207" t="n">
        <v>0</v>
      </c>
      <c r="M207" t="n">
        <v>0</v>
      </c>
      <c r="N207" t="n">
        <v>0</v>
      </c>
      <c r="O207" t="n">
        <v>0</v>
      </c>
      <c r="P207" t="n">
        <v>0</v>
      </c>
      <c r="Q207" t="n">
        <v>0</v>
      </c>
      <c r="R207" s="2" t="inlineStr"/>
    </row>
    <row r="208" ht="15" customHeight="1">
      <c r="A208" t="inlineStr">
        <is>
          <t>A 3984-2020</t>
        </is>
      </c>
      <c r="B208" s="1" t="n">
        <v>43855</v>
      </c>
      <c r="C208" s="1" t="n">
        <v>45474</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6052-2020</t>
        </is>
      </c>
      <c r="B209" s="1" t="n">
        <v>43864</v>
      </c>
      <c r="C209" s="1" t="n">
        <v>45474</v>
      </c>
      <c r="D209" t="inlineStr">
        <is>
          <t>UPPSALA LÄN</t>
        </is>
      </c>
      <c r="E209" t="inlineStr">
        <is>
          <t>ÖSTHAMMAR</t>
        </is>
      </c>
      <c r="G209" t="n">
        <v>0.4</v>
      </c>
      <c r="H209" t="n">
        <v>0</v>
      </c>
      <c r="I209" t="n">
        <v>0</v>
      </c>
      <c r="J209" t="n">
        <v>0</v>
      </c>
      <c r="K209" t="n">
        <v>0</v>
      </c>
      <c r="L209" t="n">
        <v>0</v>
      </c>
      <c r="M209" t="n">
        <v>0</v>
      </c>
      <c r="N209" t="n">
        <v>0</v>
      </c>
      <c r="O209" t="n">
        <v>0</v>
      </c>
      <c r="P209" t="n">
        <v>0</v>
      </c>
      <c r="Q209" t="n">
        <v>0</v>
      </c>
      <c r="R209" s="2" t="inlineStr"/>
    </row>
    <row r="210" ht="15" customHeight="1">
      <c r="A210" t="inlineStr">
        <is>
          <t>A 6026-2020</t>
        </is>
      </c>
      <c r="B210" s="1" t="n">
        <v>43865</v>
      </c>
      <c r="C210" s="1" t="n">
        <v>45474</v>
      </c>
      <c r="D210" t="inlineStr">
        <is>
          <t>UPPSALA LÄN</t>
        </is>
      </c>
      <c r="E210" t="inlineStr">
        <is>
          <t>ÖSTHAMMAR</t>
        </is>
      </c>
      <c r="F210" t="inlineStr">
        <is>
          <t>Övriga Aktiebolag</t>
        </is>
      </c>
      <c r="G210" t="n">
        <v>0.3</v>
      </c>
      <c r="H210" t="n">
        <v>0</v>
      </c>
      <c r="I210" t="n">
        <v>0</v>
      </c>
      <c r="J210" t="n">
        <v>0</v>
      </c>
      <c r="K210" t="n">
        <v>0</v>
      </c>
      <c r="L210" t="n">
        <v>0</v>
      </c>
      <c r="M210" t="n">
        <v>0</v>
      </c>
      <c r="N210" t="n">
        <v>0</v>
      </c>
      <c r="O210" t="n">
        <v>0</v>
      </c>
      <c r="P210" t="n">
        <v>0</v>
      </c>
      <c r="Q210" t="n">
        <v>0</v>
      </c>
      <c r="R210" s="2" t="inlineStr"/>
    </row>
    <row r="211" ht="15" customHeight="1">
      <c r="A211" t="inlineStr">
        <is>
          <t>A 6791-2020</t>
        </is>
      </c>
      <c r="B211" s="1" t="n">
        <v>43867</v>
      </c>
      <c r="C211" s="1" t="n">
        <v>45474</v>
      </c>
      <c r="D211" t="inlineStr">
        <is>
          <t>UPPSALA LÄN</t>
        </is>
      </c>
      <c r="E211" t="inlineStr">
        <is>
          <t>ÖSTHAMMAR</t>
        </is>
      </c>
      <c r="G211" t="n">
        <v>3</v>
      </c>
      <c r="H211" t="n">
        <v>0</v>
      </c>
      <c r="I211" t="n">
        <v>0</v>
      </c>
      <c r="J211" t="n">
        <v>0</v>
      </c>
      <c r="K211" t="n">
        <v>0</v>
      </c>
      <c r="L211" t="n">
        <v>0</v>
      </c>
      <c r="M211" t="n">
        <v>0</v>
      </c>
      <c r="N211" t="n">
        <v>0</v>
      </c>
      <c r="O211" t="n">
        <v>0</v>
      </c>
      <c r="P211" t="n">
        <v>0</v>
      </c>
      <c r="Q211" t="n">
        <v>0</v>
      </c>
      <c r="R211" s="2" t="inlineStr"/>
    </row>
    <row r="212" ht="15" customHeight="1">
      <c r="A212" t="inlineStr">
        <is>
          <t>A 7847-2020</t>
        </is>
      </c>
      <c r="B212" s="1" t="n">
        <v>43873</v>
      </c>
      <c r="C212" s="1" t="n">
        <v>45474</v>
      </c>
      <c r="D212" t="inlineStr">
        <is>
          <t>UPPSALA LÄN</t>
        </is>
      </c>
      <c r="E212" t="inlineStr">
        <is>
          <t>ÖSTHAMMAR</t>
        </is>
      </c>
      <c r="F212" t="inlineStr">
        <is>
          <t>Övriga Aktiebolag</t>
        </is>
      </c>
      <c r="G212" t="n">
        <v>15.3</v>
      </c>
      <c r="H212" t="n">
        <v>0</v>
      </c>
      <c r="I212" t="n">
        <v>0</v>
      </c>
      <c r="J212" t="n">
        <v>0</v>
      </c>
      <c r="K212" t="n">
        <v>0</v>
      </c>
      <c r="L212" t="n">
        <v>0</v>
      </c>
      <c r="M212" t="n">
        <v>0</v>
      </c>
      <c r="N212" t="n">
        <v>0</v>
      </c>
      <c r="O212" t="n">
        <v>0</v>
      </c>
      <c r="P212" t="n">
        <v>0</v>
      </c>
      <c r="Q212" t="n">
        <v>0</v>
      </c>
      <c r="R212" s="2" t="inlineStr"/>
    </row>
    <row r="213" ht="15" customHeight="1">
      <c r="A213" t="inlineStr">
        <is>
          <t>A 10008-2020</t>
        </is>
      </c>
      <c r="B213" s="1" t="n">
        <v>43882</v>
      </c>
      <c r="C213" s="1" t="n">
        <v>45474</v>
      </c>
      <c r="D213" t="inlineStr">
        <is>
          <t>UPPSALA LÄN</t>
        </is>
      </c>
      <c r="E213" t="inlineStr">
        <is>
          <t>ÖSTHAMMAR</t>
        </is>
      </c>
      <c r="G213" t="n">
        <v>1</v>
      </c>
      <c r="H213" t="n">
        <v>0</v>
      </c>
      <c r="I213" t="n">
        <v>0</v>
      </c>
      <c r="J213" t="n">
        <v>0</v>
      </c>
      <c r="K213" t="n">
        <v>0</v>
      </c>
      <c r="L213" t="n">
        <v>0</v>
      </c>
      <c r="M213" t="n">
        <v>0</v>
      </c>
      <c r="N213" t="n">
        <v>0</v>
      </c>
      <c r="O213" t="n">
        <v>0</v>
      </c>
      <c r="P213" t="n">
        <v>0</v>
      </c>
      <c r="Q213" t="n">
        <v>0</v>
      </c>
      <c r="R213" s="2" t="inlineStr"/>
    </row>
    <row r="214" ht="15" customHeight="1">
      <c r="A214" t="inlineStr">
        <is>
          <t>A 10345-2020</t>
        </is>
      </c>
      <c r="B214" s="1" t="n">
        <v>43885</v>
      </c>
      <c r="C214" s="1" t="n">
        <v>45474</v>
      </c>
      <c r="D214" t="inlineStr">
        <is>
          <t>UPPSALA LÄN</t>
        </is>
      </c>
      <c r="E214" t="inlineStr">
        <is>
          <t>ÖSTHAMMAR</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10347-2020</t>
        </is>
      </c>
      <c r="B215" s="1" t="n">
        <v>43885</v>
      </c>
      <c r="C215" s="1" t="n">
        <v>45474</v>
      </c>
      <c r="D215" t="inlineStr">
        <is>
          <t>UPPSALA LÄN</t>
        </is>
      </c>
      <c r="E215" t="inlineStr">
        <is>
          <t>ÖSTHAMMAR</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12080-2020</t>
        </is>
      </c>
      <c r="B216" s="1" t="n">
        <v>43895</v>
      </c>
      <c r="C216" s="1" t="n">
        <v>45474</v>
      </c>
      <c r="D216" t="inlineStr">
        <is>
          <t>UPPSALA LÄN</t>
        </is>
      </c>
      <c r="E216" t="inlineStr">
        <is>
          <t>ÖSTHAMMAR</t>
        </is>
      </c>
      <c r="F216" t="inlineStr">
        <is>
          <t>Övriga Aktiebolag</t>
        </is>
      </c>
      <c r="G216" t="n">
        <v>13.9</v>
      </c>
      <c r="H216" t="n">
        <v>0</v>
      </c>
      <c r="I216" t="n">
        <v>0</v>
      </c>
      <c r="J216" t="n">
        <v>0</v>
      </c>
      <c r="K216" t="n">
        <v>0</v>
      </c>
      <c r="L216" t="n">
        <v>0</v>
      </c>
      <c r="M216" t="n">
        <v>0</v>
      </c>
      <c r="N216" t="n">
        <v>0</v>
      </c>
      <c r="O216" t="n">
        <v>0</v>
      </c>
      <c r="P216" t="n">
        <v>0</v>
      </c>
      <c r="Q216" t="n">
        <v>0</v>
      </c>
      <c r="R216" s="2" t="inlineStr"/>
    </row>
    <row r="217" ht="15" customHeight="1">
      <c r="A217" t="inlineStr">
        <is>
          <t>A 13112-2020</t>
        </is>
      </c>
      <c r="B217" s="1" t="n">
        <v>43901</v>
      </c>
      <c r="C217" s="1" t="n">
        <v>45474</v>
      </c>
      <c r="D217" t="inlineStr">
        <is>
          <t>UPPSALA LÄN</t>
        </is>
      </c>
      <c r="E217" t="inlineStr">
        <is>
          <t>ÖSTHAMMAR</t>
        </is>
      </c>
      <c r="F217" t="inlineStr">
        <is>
          <t>Övriga Aktiebolag</t>
        </is>
      </c>
      <c r="G217" t="n">
        <v>6.5</v>
      </c>
      <c r="H217" t="n">
        <v>0</v>
      </c>
      <c r="I217" t="n">
        <v>0</v>
      </c>
      <c r="J217" t="n">
        <v>0</v>
      </c>
      <c r="K217" t="n">
        <v>0</v>
      </c>
      <c r="L217" t="n">
        <v>0</v>
      </c>
      <c r="M217" t="n">
        <v>0</v>
      </c>
      <c r="N217" t="n">
        <v>0</v>
      </c>
      <c r="O217" t="n">
        <v>0</v>
      </c>
      <c r="P217" t="n">
        <v>0</v>
      </c>
      <c r="Q217" t="n">
        <v>0</v>
      </c>
      <c r="R217" s="2" t="inlineStr"/>
    </row>
    <row r="218" ht="15" customHeight="1">
      <c r="A218" t="inlineStr">
        <is>
          <t>A 13310-2020</t>
        </is>
      </c>
      <c r="B218" s="1" t="n">
        <v>43902</v>
      </c>
      <c r="C218" s="1" t="n">
        <v>45474</v>
      </c>
      <c r="D218" t="inlineStr">
        <is>
          <t>UPPSALA LÄN</t>
        </is>
      </c>
      <c r="E218" t="inlineStr">
        <is>
          <t>ÖSTHAMMAR</t>
        </is>
      </c>
      <c r="F218" t="inlineStr">
        <is>
          <t>Bergvik skog öst AB</t>
        </is>
      </c>
      <c r="G218" t="n">
        <v>14.4</v>
      </c>
      <c r="H218" t="n">
        <v>0</v>
      </c>
      <c r="I218" t="n">
        <v>0</v>
      </c>
      <c r="J218" t="n">
        <v>0</v>
      </c>
      <c r="K218" t="n">
        <v>0</v>
      </c>
      <c r="L218" t="n">
        <v>0</v>
      </c>
      <c r="M218" t="n">
        <v>0</v>
      </c>
      <c r="N218" t="n">
        <v>0</v>
      </c>
      <c r="O218" t="n">
        <v>0</v>
      </c>
      <c r="P218" t="n">
        <v>0</v>
      </c>
      <c r="Q218" t="n">
        <v>0</v>
      </c>
      <c r="R218" s="2" t="inlineStr"/>
    </row>
    <row r="219" ht="15" customHeight="1">
      <c r="A219" t="inlineStr">
        <is>
          <t>A 13595-2020</t>
        </is>
      </c>
      <c r="B219" s="1" t="n">
        <v>43903</v>
      </c>
      <c r="C219" s="1" t="n">
        <v>45474</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13945-2020</t>
        </is>
      </c>
      <c r="B220" s="1" t="n">
        <v>43906</v>
      </c>
      <c r="C220" s="1" t="n">
        <v>45474</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14802-2020</t>
        </is>
      </c>
      <c r="B221" s="1" t="n">
        <v>43909</v>
      </c>
      <c r="C221" s="1" t="n">
        <v>45474</v>
      </c>
      <c r="D221" t="inlineStr">
        <is>
          <t>UPPSALA LÄN</t>
        </is>
      </c>
      <c r="E221" t="inlineStr">
        <is>
          <t>ÖSTHAMMAR</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14817-2020</t>
        </is>
      </c>
      <c r="B222" s="1" t="n">
        <v>43909</v>
      </c>
      <c r="C222" s="1" t="n">
        <v>45474</v>
      </c>
      <c r="D222" t="inlineStr">
        <is>
          <t>UPPSALA LÄN</t>
        </is>
      </c>
      <c r="E222" t="inlineStr">
        <is>
          <t>ÖSTHAMMAR</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15067-2020</t>
        </is>
      </c>
      <c r="B223" s="1" t="n">
        <v>43910</v>
      </c>
      <c r="C223" s="1" t="n">
        <v>45474</v>
      </c>
      <c r="D223" t="inlineStr">
        <is>
          <t>UPPSALA LÄN</t>
        </is>
      </c>
      <c r="E223" t="inlineStr">
        <is>
          <t>ÖSTHAMMAR</t>
        </is>
      </c>
      <c r="F223" t="inlineStr">
        <is>
          <t>Bergvik skog öst AB</t>
        </is>
      </c>
      <c r="G223" t="n">
        <v>20.5</v>
      </c>
      <c r="H223" t="n">
        <v>0</v>
      </c>
      <c r="I223" t="n">
        <v>0</v>
      </c>
      <c r="J223" t="n">
        <v>0</v>
      </c>
      <c r="K223" t="n">
        <v>0</v>
      </c>
      <c r="L223" t="n">
        <v>0</v>
      </c>
      <c r="M223" t="n">
        <v>0</v>
      </c>
      <c r="N223" t="n">
        <v>0</v>
      </c>
      <c r="O223" t="n">
        <v>0</v>
      </c>
      <c r="P223" t="n">
        <v>0</v>
      </c>
      <c r="Q223" t="n">
        <v>0</v>
      </c>
      <c r="R223" s="2" t="inlineStr"/>
    </row>
    <row r="224" ht="15" customHeight="1">
      <c r="A224" t="inlineStr">
        <is>
          <t>A 17549-2020</t>
        </is>
      </c>
      <c r="B224" s="1" t="n">
        <v>43920</v>
      </c>
      <c r="C224" s="1" t="n">
        <v>45474</v>
      </c>
      <c r="D224" t="inlineStr">
        <is>
          <t>UPPSALA LÄN</t>
        </is>
      </c>
      <c r="E224" t="inlineStr">
        <is>
          <t>ÖSTHAMMAR</t>
        </is>
      </c>
      <c r="G224" t="n">
        <v>1.5</v>
      </c>
      <c r="H224" t="n">
        <v>0</v>
      </c>
      <c r="I224" t="n">
        <v>0</v>
      </c>
      <c r="J224" t="n">
        <v>0</v>
      </c>
      <c r="K224" t="n">
        <v>0</v>
      </c>
      <c r="L224" t="n">
        <v>0</v>
      </c>
      <c r="M224" t="n">
        <v>0</v>
      </c>
      <c r="N224" t="n">
        <v>0</v>
      </c>
      <c r="O224" t="n">
        <v>0</v>
      </c>
      <c r="P224" t="n">
        <v>0</v>
      </c>
      <c r="Q224" t="n">
        <v>0</v>
      </c>
      <c r="R224" s="2" t="inlineStr"/>
    </row>
    <row r="225" ht="15" customHeight="1">
      <c r="A225" t="inlineStr">
        <is>
          <t>A 19556-2020</t>
        </is>
      </c>
      <c r="B225" s="1" t="n">
        <v>43936</v>
      </c>
      <c r="C225" s="1" t="n">
        <v>45474</v>
      </c>
      <c r="D225" t="inlineStr">
        <is>
          <t>UPPSALA LÄN</t>
        </is>
      </c>
      <c r="E225" t="inlineStr">
        <is>
          <t>ÖSTHAMMAR</t>
        </is>
      </c>
      <c r="G225" t="n">
        <v>6.3</v>
      </c>
      <c r="H225" t="n">
        <v>0</v>
      </c>
      <c r="I225" t="n">
        <v>0</v>
      </c>
      <c r="J225" t="n">
        <v>0</v>
      </c>
      <c r="K225" t="n">
        <v>0</v>
      </c>
      <c r="L225" t="n">
        <v>0</v>
      </c>
      <c r="M225" t="n">
        <v>0</v>
      </c>
      <c r="N225" t="n">
        <v>0</v>
      </c>
      <c r="O225" t="n">
        <v>0</v>
      </c>
      <c r="P225" t="n">
        <v>0</v>
      </c>
      <c r="Q225" t="n">
        <v>0</v>
      </c>
      <c r="R225" s="2" t="inlineStr"/>
    </row>
    <row r="226" ht="15" customHeight="1">
      <c r="A226" t="inlineStr">
        <is>
          <t>A 23621-2020</t>
        </is>
      </c>
      <c r="B226" s="1" t="n">
        <v>43969</v>
      </c>
      <c r="C226" s="1" t="n">
        <v>45474</v>
      </c>
      <c r="D226" t="inlineStr">
        <is>
          <t>UPPSALA LÄN</t>
        </is>
      </c>
      <c r="E226" t="inlineStr">
        <is>
          <t>ÖSTHAMMAR</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26198-2020</t>
        </is>
      </c>
      <c r="B227" s="1" t="n">
        <v>43986</v>
      </c>
      <c r="C227" s="1" t="n">
        <v>45474</v>
      </c>
      <c r="D227" t="inlineStr">
        <is>
          <t>UPPSALA LÄN</t>
        </is>
      </c>
      <c r="E227" t="inlineStr">
        <is>
          <t>ÖSTHAMMAR</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30338-2020</t>
        </is>
      </c>
      <c r="B228" s="1" t="n">
        <v>44007</v>
      </c>
      <c r="C228" s="1" t="n">
        <v>45474</v>
      </c>
      <c r="D228" t="inlineStr">
        <is>
          <t>UPPSALA LÄN</t>
        </is>
      </c>
      <c r="E228" t="inlineStr">
        <is>
          <t>ÖSTHAMMAR</t>
        </is>
      </c>
      <c r="G228" t="n">
        <v>2.1</v>
      </c>
      <c r="H228" t="n">
        <v>0</v>
      </c>
      <c r="I228" t="n">
        <v>0</v>
      </c>
      <c r="J228" t="n">
        <v>0</v>
      </c>
      <c r="K228" t="n">
        <v>0</v>
      </c>
      <c r="L228" t="n">
        <v>0</v>
      </c>
      <c r="M228" t="n">
        <v>0</v>
      </c>
      <c r="N228" t="n">
        <v>0</v>
      </c>
      <c r="O228" t="n">
        <v>0</v>
      </c>
      <c r="P228" t="n">
        <v>0</v>
      </c>
      <c r="Q228" t="n">
        <v>0</v>
      </c>
      <c r="R228" s="2" t="inlineStr"/>
    </row>
    <row r="229" ht="15" customHeight="1">
      <c r="A229" t="inlineStr">
        <is>
          <t>A 30419-2020</t>
        </is>
      </c>
      <c r="B229" s="1" t="n">
        <v>44007</v>
      </c>
      <c r="C229" s="1" t="n">
        <v>45474</v>
      </c>
      <c r="D229" t="inlineStr">
        <is>
          <t>UPPSALA LÄN</t>
        </is>
      </c>
      <c r="E229" t="inlineStr">
        <is>
          <t>ÖSTHAMMAR</t>
        </is>
      </c>
      <c r="G229" t="n">
        <v>5.6</v>
      </c>
      <c r="H229" t="n">
        <v>0</v>
      </c>
      <c r="I229" t="n">
        <v>0</v>
      </c>
      <c r="J229" t="n">
        <v>0</v>
      </c>
      <c r="K229" t="n">
        <v>0</v>
      </c>
      <c r="L229" t="n">
        <v>0</v>
      </c>
      <c r="M229" t="n">
        <v>0</v>
      </c>
      <c r="N229" t="n">
        <v>0</v>
      </c>
      <c r="O229" t="n">
        <v>0</v>
      </c>
      <c r="P229" t="n">
        <v>0</v>
      </c>
      <c r="Q229" t="n">
        <v>0</v>
      </c>
      <c r="R229" s="2" t="inlineStr"/>
    </row>
    <row r="230" ht="15" customHeight="1">
      <c r="A230" t="inlineStr">
        <is>
          <t>A 32192-2020</t>
        </is>
      </c>
      <c r="B230" s="1" t="n">
        <v>44015</v>
      </c>
      <c r="C230" s="1" t="n">
        <v>45474</v>
      </c>
      <c r="D230" t="inlineStr">
        <is>
          <t>UPPSALA LÄN</t>
        </is>
      </c>
      <c r="E230" t="inlineStr">
        <is>
          <t>ÖSTHAMMAR</t>
        </is>
      </c>
      <c r="G230" t="n">
        <v>1.6</v>
      </c>
      <c r="H230" t="n">
        <v>0</v>
      </c>
      <c r="I230" t="n">
        <v>0</v>
      </c>
      <c r="J230" t="n">
        <v>0</v>
      </c>
      <c r="K230" t="n">
        <v>0</v>
      </c>
      <c r="L230" t="n">
        <v>0</v>
      </c>
      <c r="M230" t="n">
        <v>0</v>
      </c>
      <c r="N230" t="n">
        <v>0</v>
      </c>
      <c r="O230" t="n">
        <v>0</v>
      </c>
      <c r="P230" t="n">
        <v>0</v>
      </c>
      <c r="Q230" t="n">
        <v>0</v>
      </c>
      <c r="R230" s="2" t="inlineStr"/>
    </row>
    <row r="231" ht="15" customHeight="1">
      <c r="A231" t="inlineStr">
        <is>
          <t>A 33098-2020</t>
        </is>
      </c>
      <c r="B231" s="1" t="n">
        <v>44021</v>
      </c>
      <c r="C231" s="1" t="n">
        <v>45474</v>
      </c>
      <c r="D231" t="inlineStr">
        <is>
          <t>UPPSALA LÄN</t>
        </is>
      </c>
      <c r="E231" t="inlineStr">
        <is>
          <t>ÖSTHAMMAR</t>
        </is>
      </c>
      <c r="G231" t="n">
        <v>3.8</v>
      </c>
      <c r="H231" t="n">
        <v>0</v>
      </c>
      <c r="I231" t="n">
        <v>0</v>
      </c>
      <c r="J231" t="n">
        <v>0</v>
      </c>
      <c r="K231" t="n">
        <v>0</v>
      </c>
      <c r="L231" t="n">
        <v>0</v>
      </c>
      <c r="M231" t="n">
        <v>0</v>
      </c>
      <c r="N231" t="n">
        <v>0</v>
      </c>
      <c r="O231" t="n">
        <v>0</v>
      </c>
      <c r="P231" t="n">
        <v>0</v>
      </c>
      <c r="Q231" t="n">
        <v>0</v>
      </c>
      <c r="R231" s="2" t="inlineStr"/>
    </row>
    <row r="232" ht="15" customHeight="1">
      <c r="A232" t="inlineStr">
        <is>
          <t>A 34943-2020</t>
        </is>
      </c>
      <c r="B232" s="1" t="n">
        <v>44038</v>
      </c>
      <c r="C232" s="1" t="n">
        <v>45474</v>
      </c>
      <c r="D232" t="inlineStr">
        <is>
          <t>UPPSALA LÄN</t>
        </is>
      </c>
      <c r="E232" t="inlineStr">
        <is>
          <t>ÖSTHAMMAR</t>
        </is>
      </c>
      <c r="F232" t="inlineStr">
        <is>
          <t>Bergvik skog öst AB</t>
        </is>
      </c>
      <c r="G232" t="n">
        <v>4.2</v>
      </c>
      <c r="H232" t="n">
        <v>0</v>
      </c>
      <c r="I232" t="n">
        <v>0</v>
      </c>
      <c r="J232" t="n">
        <v>0</v>
      </c>
      <c r="K232" t="n">
        <v>0</v>
      </c>
      <c r="L232" t="n">
        <v>0</v>
      </c>
      <c r="M232" t="n">
        <v>0</v>
      </c>
      <c r="N232" t="n">
        <v>0</v>
      </c>
      <c r="O232" t="n">
        <v>0</v>
      </c>
      <c r="P232" t="n">
        <v>0</v>
      </c>
      <c r="Q232" t="n">
        <v>0</v>
      </c>
      <c r="R232" s="2" t="inlineStr"/>
    </row>
    <row r="233" ht="15" customHeight="1">
      <c r="A233" t="inlineStr">
        <is>
          <t>A 34941-2020</t>
        </is>
      </c>
      <c r="B233" s="1" t="n">
        <v>44038</v>
      </c>
      <c r="C233" s="1" t="n">
        <v>45474</v>
      </c>
      <c r="D233" t="inlineStr">
        <is>
          <t>UPPSALA LÄN</t>
        </is>
      </c>
      <c r="E233" t="inlineStr">
        <is>
          <t>ÖSTHAMMAR</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34940-2020</t>
        </is>
      </c>
      <c r="B234" s="1" t="n">
        <v>44038</v>
      </c>
      <c r="C234" s="1" t="n">
        <v>45474</v>
      </c>
      <c r="D234" t="inlineStr">
        <is>
          <t>UPPSALA LÄN</t>
        </is>
      </c>
      <c r="E234" t="inlineStr">
        <is>
          <t>ÖSTHAMMAR</t>
        </is>
      </c>
      <c r="F234" t="inlineStr">
        <is>
          <t>Bergvik skog öst AB</t>
        </is>
      </c>
      <c r="G234" t="n">
        <v>3.5</v>
      </c>
      <c r="H234" t="n">
        <v>0</v>
      </c>
      <c r="I234" t="n">
        <v>0</v>
      </c>
      <c r="J234" t="n">
        <v>0</v>
      </c>
      <c r="K234" t="n">
        <v>0</v>
      </c>
      <c r="L234" t="n">
        <v>0</v>
      </c>
      <c r="M234" t="n">
        <v>0</v>
      </c>
      <c r="N234" t="n">
        <v>0</v>
      </c>
      <c r="O234" t="n">
        <v>0</v>
      </c>
      <c r="P234" t="n">
        <v>0</v>
      </c>
      <c r="Q234" t="n">
        <v>0</v>
      </c>
      <c r="R234" s="2" t="inlineStr"/>
    </row>
    <row r="235" ht="15" customHeight="1">
      <c r="A235" t="inlineStr">
        <is>
          <t>A 35094-2020</t>
        </is>
      </c>
      <c r="B235" s="1" t="n">
        <v>44040</v>
      </c>
      <c r="C235" s="1" t="n">
        <v>45474</v>
      </c>
      <c r="D235" t="inlineStr">
        <is>
          <t>UPPSALA LÄN</t>
        </is>
      </c>
      <c r="E235" t="inlineStr">
        <is>
          <t>ÖSTHAMMAR</t>
        </is>
      </c>
      <c r="F235" t="inlineStr">
        <is>
          <t>Bergvik skog öst AB</t>
        </is>
      </c>
      <c r="G235" t="n">
        <v>14.5</v>
      </c>
      <c r="H235" t="n">
        <v>0</v>
      </c>
      <c r="I235" t="n">
        <v>0</v>
      </c>
      <c r="J235" t="n">
        <v>0</v>
      </c>
      <c r="K235" t="n">
        <v>0</v>
      </c>
      <c r="L235" t="n">
        <v>0</v>
      </c>
      <c r="M235" t="n">
        <v>0</v>
      </c>
      <c r="N235" t="n">
        <v>0</v>
      </c>
      <c r="O235" t="n">
        <v>0</v>
      </c>
      <c r="P235" t="n">
        <v>0</v>
      </c>
      <c r="Q235" t="n">
        <v>0</v>
      </c>
      <c r="R235" s="2" t="inlineStr"/>
    </row>
    <row r="236" ht="15" customHeight="1">
      <c r="A236" t="inlineStr">
        <is>
          <t>A 35096-2020</t>
        </is>
      </c>
      <c r="B236" s="1" t="n">
        <v>44040</v>
      </c>
      <c r="C236" s="1" t="n">
        <v>45474</v>
      </c>
      <c r="D236" t="inlineStr">
        <is>
          <t>UPPSALA LÄN</t>
        </is>
      </c>
      <c r="E236" t="inlineStr">
        <is>
          <t>ÖSTHAMMAR</t>
        </is>
      </c>
      <c r="F236" t="inlineStr">
        <is>
          <t>Bergvik skog öst AB</t>
        </is>
      </c>
      <c r="G236" t="n">
        <v>7.6</v>
      </c>
      <c r="H236" t="n">
        <v>0</v>
      </c>
      <c r="I236" t="n">
        <v>0</v>
      </c>
      <c r="J236" t="n">
        <v>0</v>
      </c>
      <c r="K236" t="n">
        <v>0</v>
      </c>
      <c r="L236" t="n">
        <v>0</v>
      </c>
      <c r="M236" t="n">
        <v>0</v>
      </c>
      <c r="N236" t="n">
        <v>0</v>
      </c>
      <c r="O236" t="n">
        <v>0</v>
      </c>
      <c r="P236" t="n">
        <v>0</v>
      </c>
      <c r="Q236" t="n">
        <v>0</v>
      </c>
      <c r="R236" s="2" t="inlineStr"/>
    </row>
    <row r="237" ht="15" customHeight="1">
      <c r="A237" t="inlineStr">
        <is>
          <t>A 38285-2020</t>
        </is>
      </c>
      <c r="B237" s="1" t="n">
        <v>44060</v>
      </c>
      <c r="C237" s="1" t="n">
        <v>45474</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38630-2020</t>
        </is>
      </c>
      <c r="B238" s="1" t="n">
        <v>44061</v>
      </c>
      <c r="C238" s="1" t="n">
        <v>45474</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39640-2020</t>
        </is>
      </c>
      <c r="B239" s="1" t="n">
        <v>44064</v>
      </c>
      <c r="C239" s="1" t="n">
        <v>45474</v>
      </c>
      <c r="D239" t="inlineStr">
        <is>
          <t>UPPSALA LÄN</t>
        </is>
      </c>
      <c r="E239" t="inlineStr">
        <is>
          <t>ÖSTHAMMAR</t>
        </is>
      </c>
      <c r="F239" t="inlineStr">
        <is>
          <t>Bergvik skog öst AB</t>
        </is>
      </c>
      <c r="G239" t="n">
        <v>1.2</v>
      </c>
      <c r="H239" t="n">
        <v>0</v>
      </c>
      <c r="I239" t="n">
        <v>0</v>
      </c>
      <c r="J239" t="n">
        <v>0</v>
      </c>
      <c r="K239" t="n">
        <v>0</v>
      </c>
      <c r="L239" t="n">
        <v>0</v>
      </c>
      <c r="M239" t="n">
        <v>0</v>
      </c>
      <c r="N239" t="n">
        <v>0</v>
      </c>
      <c r="O239" t="n">
        <v>0</v>
      </c>
      <c r="P239" t="n">
        <v>0</v>
      </c>
      <c r="Q239" t="n">
        <v>0</v>
      </c>
      <c r="R239" s="2" t="inlineStr"/>
    </row>
    <row r="240" ht="15" customHeight="1">
      <c r="A240" t="inlineStr">
        <is>
          <t>A 41849-2020</t>
        </is>
      </c>
      <c r="B240" s="1" t="n">
        <v>44074</v>
      </c>
      <c r="C240" s="1" t="n">
        <v>45474</v>
      </c>
      <c r="D240" t="inlineStr">
        <is>
          <t>UPPSALA LÄN</t>
        </is>
      </c>
      <c r="E240" t="inlineStr">
        <is>
          <t>ÖSTHAMMAR</t>
        </is>
      </c>
      <c r="F240" t="inlineStr">
        <is>
          <t>Bergvik skog öst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42549-2020</t>
        </is>
      </c>
      <c r="B241" s="1" t="n">
        <v>44077</v>
      </c>
      <c r="C241" s="1" t="n">
        <v>45474</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46311-2020</t>
        </is>
      </c>
      <c r="B242" s="1" t="n">
        <v>44092</v>
      </c>
      <c r="C242" s="1" t="n">
        <v>45474</v>
      </c>
      <c r="D242" t="inlineStr">
        <is>
          <t>UPPSALA LÄN</t>
        </is>
      </c>
      <c r="E242" t="inlineStr">
        <is>
          <t>ÖSTHAMMAR</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46423-2020</t>
        </is>
      </c>
      <c r="B243" s="1" t="n">
        <v>44095</v>
      </c>
      <c r="C243" s="1" t="n">
        <v>45474</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47481-2020</t>
        </is>
      </c>
      <c r="B244" s="1" t="n">
        <v>44098</v>
      </c>
      <c r="C244" s="1" t="n">
        <v>45474</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49206-2020</t>
        </is>
      </c>
      <c r="B245" s="1" t="n">
        <v>44105</v>
      </c>
      <c r="C245" s="1" t="n">
        <v>45474</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49336-2020</t>
        </is>
      </c>
      <c r="B246" s="1" t="n">
        <v>44105</v>
      </c>
      <c r="C246" s="1" t="n">
        <v>45474</v>
      </c>
      <c r="D246" t="inlineStr">
        <is>
          <t>UPPSALA LÄN</t>
        </is>
      </c>
      <c r="E246" t="inlineStr">
        <is>
          <t>ÖSTHAMMAR</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52432-2020</t>
        </is>
      </c>
      <c r="B247" s="1" t="n">
        <v>44118</v>
      </c>
      <c r="C247" s="1" t="n">
        <v>45474</v>
      </c>
      <c r="D247" t="inlineStr">
        <is>
          <t>UPPSALA LÄN</t>
        </is>
      </c>
      <c r="E247" t="inlineStr">
        <is>
          <t>ÖSTHAMMAR</t>
        </is>
      </c>
      <c r="G247" t="n">
        <v>2.7</v>
      </c>
      <c r="H247" t="n">
        <v>0</v>
      </c>
      <c r="I247" t="n">
        <v>0</v>
      </c>
      <c r="J247" t="n">
        <v>0</v>
      </c>
      <c r="K247" t="n">
        <v>0</v>
      </c>
      <c r="L247" t="n">
        <v>0</v>
      </c>
      <c r="M247" t="n">
        <v>0</v>
      </c>
      <c r="N247" t="n">
        <v>0</v>
      </c>
      <c r="O247" t="n">
        <v>0</v>
      </c>
      <c r="P247" t="n">
        <v>0</v>
      </c>
      <c r="Q247" t="n">
        <v>0</v>
      </c>
      <c r="R247" s="2" t="inlineStr"/>
    </row>
    <row r="248" ht="15" customHeight="1">
      <c r="A248" t="inlineStr">
        <is>
          <t>A 52434-2020</t>
        </is>
      </c>
      <c r="B248" s="1" t="n">
        <v>44118</v>
      </c>
      <c r="C248" s="1" t="n">
        <v>45474</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53137-2020</t>
        </is>
      </c>
      <c r="B249" s="1" t="n">
        <v>44120</v>
      </c>
      <c r="C249" s="1" t="n">
        <v>45474</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55389-2020</t>
        </is>
      </c>
      <c r="B250" s="1" t="n">
        <v>44131</v>
      </c>
      <c r="C250" s="1" t="n">
        <v>45474</v>
      </c>
      <c r="D250" t="inlineStr">
        <is>
          <t>UPPSALA LÄN</t>
        </is>
      </c>
      <c r="E250" t="inlineStr">
        <is>
          <t>ÖSTHAMMAR</t>
        </is>
      </c>
      <c r="G250" t="n">
        <v>1.3</v>
      </c>
      <c r="H250" t="n">
        <v>0</v>
      </c>
      <c r="I250" t="n">
        <v>0</v>
      </c>
      <c r="J250" t="n">
        <v>0</v>
      </c>
      <c r="K250" t="n">
        <v>0</v>
      </c>
      <c r="L250" t="n">
        <v>0</v>
      </c>
      <c r="M250" t="n">
        <v>0</v>
      </c>
      <c r="N250" t="n">
        <v>0</v>
      </c>
      <c r="O250" t="n">
        <v>0</v>
      </c>
      <c r="P250" t="n">
        <v>0</v>
      </c>
      <c r="Q250" t="n">
        <v>0</v>
      </c>
      <c r="R250" s="2" t="inlineStr"/>
    </row>
    <row r="251" ht="15" customHeight="1">
      <c r="A251" t="inlineStr">
        <is>
          <t>A 56041-2020</t>
        </is>
      </c>
      <c r="B251" s="1" t="n">
        <v>44133</v>
      </c>
      <c r="C251" s="1" t="n">
        <v>45474</v>
      </c>
      <c r="D251" t="inlineStr">
        <is>
          <t>UPPSALA LÄN</t>
        </is>
      </c>
      <c r="E251" t="inlineStr">
        <is>
          <t>ÖSTHAMMAR</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56079-2020</t>
        </is>
      </c>
      <c r="B252" s="1" t="n">
        <v>44133</v>
      </c>
      <c r="C252" s="1" t="n">
        <v>45474</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56089-2020</t>
        </is>
      </c>
      <c r="B253" s="1" t="n">
        <v>44133</v>
      </c>
      <c r="C253" s="1" t="n">
        <v>45474</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57408-2020</t>
        </is>
      </c>
      <c r="B254" s="1" t="n">
        <v>44140</v>
      </c>
      <c r="C254" s="1" t="n">
        <v>45474</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59432-2020</t>
        </is>
      </c>
      <c r="B255" s="1" t="n">
        <v>44148</v>
      </c>
      <c r="C255" s="1" t="n">
        <v>45474</v>
      </c>
      <c r="D255" t="inlineStr">
        <is>
          <t>UPPSALA LÄN</t>
        </is>
      </c>
      <c r="E255" t="inlineStr">
        <is>
          <t>ÖSTHAMMAR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59414-2020</t>
        </is>
      </c>
      <c r="B256" s="1" t="n">
        <v>44148</v>
      </c>
      <c r="C256" s="1" t="n">
        <v>45474</v>
      </c>
      <c r="D256" t="inlineStr">
        <is>
          <t>UPPSALA LÄN</t>
        </is>
      </c>
      <c r="E256" t="inlineStr">
        <is>
          <t>ÖSTHAMMAR</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59417-2020</t>
        </is>
      </c>
      <c r="B257" s="1" t="n">
        <v>44148</v>
      </c>
      <c r="C257" s="1" t="n">
        <v>45474</v>
      </c>
      <c r="D257" t="inlineStr">
        <is>
          <t>UPPSALA LÄN</t>
        </is>
      </c>
      <c r="E257" t="inlineStr">
        <is>
          <t>ÖSTHAMMAR</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59714-2020</t>
        </is>
      </c>
      <c r="B258" s="1" t="n">
        <v>44151</v>
      </c>
      <c r="C258" s="1" t="n">
        <v>45474</v>
      </c>
      <c r="D258" t="inlineStr">
        <is>
          <t>UPPSALA LÄN</t>
        </is>
      </c>
      <c r="E258" t="inlineStr">
        <is>
          <t>ÖSTHAMMAR</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59807-2020</t>
        </is>
      </c>
      <c r="B259" s="1" t="n">
        <v>44151</v>
      </c>
      <c r="C259" s="1" t="n">
        <v>45474</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45474</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62484-2020</t>
        </is>
      </c>
      <c r="B261" s="1" t="n">
        <v>44160</v>
      </c>
      <c r="C261" s="1" t="n">
        <v>45474</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63637-2020</t>
        </is>
      </c>
      <c r="B262" s="1" t="n">
        <v>44162</v>
      </c>
      <c r="C262" s="1" t="n">
        <v>45474</v>
      </c>
      <c r="D262" t="inlineStr">
        <is>
          <t>UPPSALA LÄN</t>
        </is>
      </c>
      <c r="E262" t="inlineStr">
        <is>
          <t>ÖSTHAMMAR</t>
        </is>
      </c>
      <c r="G262" t="n">
        <v>4</v>
      </c>
      <c r="H262" t="n">
        <v>0</v>
      </c>
      <c r="I262" t="n">
        <v>0</v>
      </c>
      <c r="J262" t="n">
        <v>0</v>
      </c>
      <c r="K262" t="n">
        <v>0</v>
      </c>
      <c r="L262" t="n">
        <v>0</v>
      </c>
      <c r="M262" t="n">
        <v>0</v>
      </c>
      <c r="N262" t="n">
        <v>0</v>
      </c>
      <c r="O262" t="n">
        <v>0</v>
      </c>
      <c r="P262" t="n">
        <v>0</v>
      </c>
      <c r="Q262" t="n">
        <v>0</v>
      </c>
      <c r="R262" s="2" t="inlineStr"/>
    </row>
    <row r="263" ht="15" customHeight="1">
      <c r="A263" t="inlineStr">
        <is>
          <t>A 63577-2020</t>
        </is>
      </c>
      <c r="B263" s="1" t="n">
        <v>44165</v>
      </c>
      <c r="C263" s="1" t="n">
        <v>45474</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63987-2020</t>
        </is>
      </c>
      <c r="B264" s="1" t="n">
        <v>44167</v>
      </c>
      <c r="C264" s="1" t="n">
        <v>45474</v>
      </c>
      <c r="D264" t="inlineStr">
        <is>
          <t>UPPSALA LÄN</t>
        </is>
      </c>
      <c r="E264" t="inlineStr">
        <is>
          <t>ÖSTHAMMAR</t>
        </is>
      </c>
      <c r="G264" t="n">
        <v>5.9</v>
      </c>
      <c r="H264" t="n">
        <v>0</v>
      </c>
      <c r="I264" t="n">
        <v>0</v>
      </c>
      <c r="J264" t="n">
        <v>0</v>
      </c>
      <c r="K264" t="n">
        <v>0</v>
      </c>
      <c r="L264" t="n">
        <v>0</v>
      </c>
      <c r="M264" t="n">
        <v>0</v>
      </c>
      <c r="N264" t="n">
        <v>0</v>
      </c>
      <c r="O264" t="n">
        <v>0</v>
      </c>
      <c r="P264" t="n">
        <v>0</v>
      </c>
      <c r="Q264" t="n">
        <v>0</v>
      </c>
      <c r="R264" s="2" t="inlineStr"/>
    </row>
    <row r="265" ht="15" customHeight="1">
      <c r="A265" t="inlineStr">
        <is>
          <t>A 65361-2020</t>
        </is>
      </c>
      <c r="B265" s="1" t="n">
        <v>44173</v>
      </c>
      <c r="C265" s="1" t="n">
        <v>45474</v>
      </c>
      <c r="D265" t="inlineStr">
        <is>
          <t>UPPSALA LÄN</t>
        </is>
      </c>
      <c r="E265" t="inlineStr">
        <is>
          <t>ÖSTHAMMAR</t>
        </is>
      </c>
      <c r="G265" t="n">
        <v>3.6</v>
      </c>
      <c r="H265" t="n">
        <v>0</v>
      </c>
      <c r="I265" t="n">
        <v>0</v>
      </c>
      <c r="J265" t="n">
        <v>0</v>
      </c>
      <c r="K265" t="n">
        <v>0</v>
      </c>
      <c r="L265" t="n">
        <v>0</v>
      </c>
      <c r="M265" t="n">
        <v>0</v>
      </c>
      <c r="N265" t="n">
        <v>0</v>
      </c>
      <c r="O265" t="n">
        <v>0</v>
      </c>
      <c r="P265" t="n">
        <v>0</v>
      </c>
      <c r="Q265" t="n">
        <v>0</v>
      </c>
      <c r="R265" s="2" t="inlineStr"/>
    </row>
    <row r="266" ht="15" customHeight="1">
      <c r="A266" t="inlineStr">
        <is>
          <t>A 68243-2020</t>
        </is>
      </c>
      <c r="B266" s="1" t="n">
        <v>44183</v>
      </c>
      <c r="C266" s="1" t="n">
        <v>45474</v>
      </c>
      <c r="D266" t="inlineStr">
        <is>
          <t>UPPSALA LÄN</t>
        </is>
      </c>
      <c r="E266" t="inlineStr">
        <is>
          <t>ÖSTHAMMAR</t>
        </is>
      </c>
      <c r="G266" t="n">
        <v>8.5</v>
      </c>
      <c r="H266" t="n">
        <v>0</v>
      </c>
      <c r="I266" t="n">
        <v>0</v>
      </c>
      <c r="J266" t="n">
        <v>0</v>
      </c>
      <c r="K266" t="n">
        <v>0</v>
      </c>
      <c r="L266" t="n">
        <v>0</v>
      </c>
      <c r="M266" t="n">
        <v>0</v>
      </c>
      <c r="N266" t="n">
        <v>0</v>
      </c>
      <c r="O266" t="n">
        <v>0</v>
      </c>
      <c r="P266" t="n">
        <v>0</v>
      </c>
      <c r="Q266" t="n">
        <v>0</v>
      </c>
      <c r="R266" s="2" t="inlineStr"/>
    </row>
    <row r="267" ht="15" customHeight="1">
      <c r="A267" t="inlineStr">
        <is>
          <t>A 68828-2020</t>
        </is>
      </c>
      <c r="B267" s="1" t="n">
        <v>44186</v>
      </c>
      <c r="C267" s="1" t="n">
        <v>45474</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69681-2020</t>
        </is>
      </c>
      <c r="B268" s="1" t="n">
        <v>44196</v>
      </c>
      <c r="C268" s="1" t="n">
        <v>45474</v>
      </c>
      <c r="D268" t="inlineStr">
        <is>
          <t>UPPSALA LÄN</t>
        </is>
      </c>
      <c r="E268" t="inlineStr">
        <is>
          <t>ÖSTHAMMAR</t>
        </is>
      </c>
      <c r="F268" t="inlineStr">
        <is>
          <t>Bergvik skog öst AB</t>
        </is>
      </c>
      <c r="G268" t="n">
        <v>21.9</v>
      </c>
      <c r="H268" t="n">
        <v>0</v>
      </c>
      <c r="I268" t="n">
        <v>0</v>
      </c>
      <c r="J268" t="n">
        <v>0</v>
      </c>
      <c r="K268" t="n">
        <v>0</v>
      </c>
      <c r="L268" t="n">
        <v>0</v>
      </c>
      <c r="M268" t="n">
        <v>0</v>
      </c>
      <c r="N268" t="n">
        <v>0</v>
      </c>
      <c r="O268" t="n">
        <v>0</v>
      </c>
      <c r="P268" t="n">
        <v>0</v>
      </c>
      <c r="Q268" t="n">
        <v>0</v>
      </c>
      <c r="R268" s="2" t="inlineStr"/>
    </row>
    <row r="269" ht="15" customHeight="1">
      <c r="A269" t="inlineStr">
        <is>
          <t>A 3693-2021</t>
        </is>
      </c>
      <c r="B269" s="1" t="n">
        <v>44221</v>
      </c>
      <c r="C269" s="1" t="n">
        <v>45474</v>
      </c>
      <c r="D269" t="inlineStr">
        <is>
          <t>UPPSALA LÄN</t>
        </is>
      </c>
      <c r="E269" t="inlineStr">
        <is>
          <t>ÖSTHAMMAR</t>
        </is>
      </c>
      <c r="G269" t="n">
        <v>0.3</v>
      </c>
      <c r="H269" t="n">
        <v>0</v>
      </c>
      <c r="I269" t="n">
        <v>0</v>
      </c>
      <c r="J269" t="n">
        <v>0</v>
      </c>
      <c r="K269" t="n">
        <v>0</v>
      </c>
      <c r="L269" t="n">
        <v>0</v>
      </c>
      <c r="M269" t="n">
        <v>0</v>
      </c>
      <c r="N269" t="n">
        <v>0</v>
      </c>
      <c r="O269" t="n">
        <v>0</v>
      </c>
      <c r="P269" t="n">
        <v>0</v>
      </c>
      <c r="Q269" t="n">
        <v>0</v>
      </c>
      <c r="R269" s="2" t="inlineStr"/>
    </row>
    <row r="270" ht="15" customHeight="1">
      <c r="A270" t="inlineStr">
        <is>
          <t>A 4151-2021</t>
        </is>
      </c>
      <c r="B270" s="1" t="n">
        <v>44221</v>
      </c>
      <c r="C270" s="1" t="n">
        <v>45474</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4590-2021</t>
        </is>
      </c>
      <c r="B271" s="1" t="n">
        <v>44224</v>
      </c>
      <c r="C271" s="1" t="n">
        <v>45474</v>
      </c>
      <c r="D271" t="inlineStr">
        <is>
          <t>UPPSALA LÄN</t>
        </is>
      </c>
      <c r="E271" t="inlineStr">
        <is>
          <t>ÖSTHAMMAR</t>
        </is>
      </c>
      <c r="F271" t="inlineStr">
        <is>
          <t>Bergvik skog öst AB</t>
        </is>
      </c>
      <c r="G271" t="n">
        <v>2.4</v>
      </c>
      <c r="H271" t="n">
        <v>0</v>
      </c>
      <c r="I271" t="n">
        <v>0</v>
      </c>
      <c r="J271" t="n">
        <v>0</v>
      </c>
      <c r="K271" t="n">
        <v>0</v>
      </c>
      <c r="L271" t="n">
        <v>0</v>
      </c>
      <c r="M271" t="n">
        <v>0</v>
      </c>
      <c r="N271" t="n">
        <v>0</v>
      </c>
      <c r="O271" t="n">
        <v>0</v>
      </c>
      <c r="P271" t="n">
        <v>0</v>
      </c>
      <c r="Q271" t="n">
        <v>0</v>
      </c>
      <c r="R271" s="2" t="inlineStr"/>
    </row>
    <row r="272" ht="15" customHeight="1">
      <c r="A272" t="inlineStr">
        <is>
          <t>A 6221-2021</t>
        </is>
      </c>
      <c r="B272" s="1" t="n">
        <v>44235</v>
      </c>
      <c r="C272" s="1" t="n">
        <v>45474</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7113-2021</t>
        </is>
      </c>
      <c r="B273" s="1" t="n">
        <v>44238</v>
      </c>
      <c r="C273" s="1" t="n">
        <v>45474</v>
      </c>
      <c r="D273" t="inlineStr">
        <is>
          <t>UPPSALA LÄN</t>
        </is>
      </c>
      <c r="E273" t="inlineStr">
        <is>
          <t>ÖSTHAMMAR</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8009-2021</t>
        </is>
      </c>
      <c r="B274" s="1" t="n">
        <v>44243</v>
      </c>
      <c r="C274" s="1" t="n">
        <v>45474</v>
      </c>
      <c r="D274" t="inlineStr">
        <is>
          <t>UPPSALA LÄN</t>
        </is>
      </c>
      <c r="E274" t="inlineStr">
        <is>
          <t>ÖSTHAMMAR</t>
        </is>
      </c>
      <c r="G274" t="n">
        <v>9.9</v>
      </c>
      <c r="H274" t="n">
        <v>0</v>
      </c>
      <c r="I274" t="n">
        <v>0</v>
      </c>
      <c r="J274" t="n">
        <v>0</v>
      </c>
      <c r="K274" t="n">
        <v>0</v>
      </c>
      <c r="L274" t="n">
        <v>0</v>
      </c>
      <c r="M274" t="n">
        <v>0</v>
      </c>
      <c r="N274" t="n">
        <v>0</v>
      </c>
      <c r="O274" t="n">
        <v>0</v>
      </c>
      <c r="P274" t="n">
        <v>0</v>
      </c>
      <c r="Q274" t="n">
        <v>0</v>
      </c>
      <c r="R274" s="2" t="inlineStr"/>
    </row>
    <row r="275" ht="15" customHeight="1">
      <c r="A275" t="inlineStr">
        <is>
          <t>A 10316-2021</t>
        </is>
      </c>
      <c r="B275" s="1" t="n">
        <v>44257</v>
      </c>
      <c r="C275" s="1" t="n">
        <v>45474</v>
      </c>
      <c r="D275" t="inlineStr">
        <is>
          <t>UPPSALA LÄN</t>
        </is>
      </c>
      <c r="E275" t="inlineStr">
        <is>
          <t>ÖSTHAMMAR</t>
        </is>
      </c>
      <c r="F275" t="inlineStr">
        <is>
          <t>Övriga Aktiebolag</t>
        </is>
      </c>
      <c r="G275" t="n">
        <v>3.3</v>
      </c>
      <c r="H275" t="n">
        <v>0</v>
      </c>
      <c r="I275" t="n">
        <v>0</v>
      </c>
      <c r="J275" t="n">
        <v>0</v>
      </c>
      <c r="K275" t="n">
        <v>0</v>
      </c>
      <c r="L275" t="n">
        <v>0</v>
      </c>
      <c r="M275" t="n">
        <v>0</v>
      </c>
      <c r="N275" t="n">
        <v>0</v>
      </c>
      <c r="O275" t="n">
        <v>0</v>
      </c>
      <c r="P275" t="n">
        <v>0</v>
      </c>
      <c r="Q275" t="n">
        <v>0</v>
      </c>
      <c r="R275" s="2" t="inlineStr"/>
    </row>
    <row r="276" ht="15" customHeight="1">
      <c r="A276" t="inlineStr">
        <is>
          <t>A 10498-2021</t>
        </is>
      </c>
      <c r="B276" s="1" t="n">
        <v>44258</v>
      </c>
      <c r="C276" s="1" t="n">
        <v>45474</v>
      </c>
      <c r="D276" t="inlineStr">
        <is>
          <t>UPPSALA LÄN</t>
        </is>
      </c>
      <c r="E276" t="inlineStr">
        <is>
          <t>ÖSTHAMMAR</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14248-2021</t>
        </is>
      </c>
      <c r="B277" s="1" t="n">
        <v>44278</v>
      </c>
      <c r="C277" s="1" t="n">
        <v>45474</v>
      </c>
      <c r="D277" t="inlineStr">
        <is>
          <t>UPPSALA LÄN</t>
        </is>
      </c>
      <c r="E277" t="inlineStr">
        <is>
          <t>ÖSTHAMMAR</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14525-2021</t>
        </is>
      </c>
      <c r="B278" s="1" t="n">
        <v>44279</v>
      </c>
      <c r="C278" s="1" t="n">
        <v>45474</v>
      </c>
      <c r="D278" t="inlineStr">
        <is>
          <t>UPPSALA LÄN</t>
        </is>
      </c>
      <c r="E278" t="inlineStr">
        <is>
          <t>ÖSTHAMMAR</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16212-2021</t>
        </is>
      </c>
      <c r="B279" s="1" t="n">
        <v>44287</v>
      </c>
      <c r="C279" s="1" t="n">
        <v>45474</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16209-2021</t>
        </is>
      </c>
      <c r="B280" s="1" t="n">
        <v>44287</v>
      </c>
      <c r="C280" s="1" t="n">
        <v>45474</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17009-2021</t>
        </is>
      </c>
      <c r="B281" s="1" t="n">
        <v>44295</v>
      </c>
      <c r="C281" s="1" t="n">
        <v>45474</v>
      </c>
      <c r="D281" t="inlineStr">
        <is>
          <t>UPPSALA LÄN</t>
        </is>
      </c>
      <c r="E281" t="inlineStr">
        <is>
          <t>ÖSTHAMMAR</t>
        </is>
      </c>
      <c r="F281" t="inlineStr">
        <is>
          <t>Bergvik skog öst AB</t>
        </is>
      </c>
      <c r="G281" t="n">
        <v>3.2</v>
      </c>
      <c r="H281" t="n">
        <v>0</v>
      </c>
      <c r="I281" t="n">
        <v>0</v>
      </c>
      <c r="J281" t="n">
        <v>0</v>
      </c>
      <c r="K281" t="n">
        <v>0</v>
      </c>
      <c r="L281" t="n">
        <v>0</v>
      </c>
      <c r="M281" t="n">
        <v>0</v>
      </c>
      <c r="N281" t="n">
        <v>0</v>
      </c>
      <c r="O281" t="n">
        <v>0</v>
      </c>
      <c r="P281" t="n">
        <v>0</v>
      </c>
      <c r="Q281" t="n">
        <v>0</v>
      </c>
      <c r="R281" s="2" t="inlineStr"/>
    </row>
    <row r="282" ht="15" customHeight="1">
      <c r="A282" t="inlineStr">
        <is>
          <t>A 17022-2021</t>
        </is>
      </c>
      <c r="B282" s="1" t="n">
        <v>44295</v>
      </c>
      <c r="C282" s="1" t="n">
        <v>45474</v>
      </c>
      <c r="D282" t="inlineStr">
        <is>
          <t>UPPSALA LÄN</t>
        </is>
      </c>
      <c r="E282" t="inlineStr">
        <is>
          <t>ÖSTHAMMAR</t>
        </is>
      </c>
      <c r="F282" t="inlineStr">
        <is>
          <t>Bergvik skog öst AB</t>
        </is>
      </c>
      <c r="G282" t="n">
        <v>0.3</v>
      </c>
      <c r="H282" t="n">
        <v>0</v>
      </c>
      <c r="I282" t="n">
        <v>0</v>
      </c>
      <c r="J282" t="n">
        <v>0</v>
      </c>
      <c r="K282" t="n">
        <v>0</v>
      </c>
      <c r="L282" t="n">
        <v>0</v>
      </c>
      <c r="M282" t="n">
        <v>0</v>
      </c>
      <c r="N282" t="n">
        <v>0</v>
      </c>
      <c r="O282" t="n">
        <v>0</v>
      </c>
      <c r="P282" t="n">
        <v>0</v>
      </c>
      <c r="Q282" t="n">
        <v>0</v>
      </c>
      <c r="R282" s="2" t="inlineStr"/>
    </row>
    <row r="283" ht="15" customHeight="1">
      <c r="A283" t="inlineStr">
        <is>
          <t>A 17033-2021</t>
        </is>
      </c>
      <c r="B283" s="1" t="n">
        <v>44295</v>
      </c>
      <c r="C283" s="1" t="n">
        <v>45474</v>
      </c>
      <c r="D283" t="inlineStr">
        <is>
          <t>UPPSALA LÄN</t>
        </is>
      </c>
      <c r="E283" t="inlineStr">
        <is>
          <t>ÖSTHAMMAR</t>
        </is>
      </c>
      <c r="F283" t="inlineStr">
        <is>
          <t>Bergvik skog öst AB</t>
        </is>
      </c>
      <c r="G283" t="n">
        <v>4.7</v>
      </c>
      <c r="H283" t="n">
        <v>0</v>
      </c>
      <c r="I283" t="n">
        <v>0</v>
      </c>
      <c r="J283" t="n">
        <v>0</v>
      </c>
      <c r="K283" t="n">
        <v>0</v>
      </c>
      <c r="L283" t="n">
        <v>0</v>
      </c>
      <c r="M283" t="n">
        <v>0</v>
      </c>
      <c r="N283" t="n">
        <v>0</v>
      </c>
      <c r="O283" t="n">
        <v>0</v>
      </c>
      <c r="P283" t="n">
        <v>0</v>
      </c>
      <c r="Q283" t="n">
        <v>0</v>
      </c>
      <c r="R283" s="2" t="inlineStr"/>
    </row>
    <row r="284" ht="15" customHeight="1">
      <c r="A284" t="inlineStr">
        <is>
          <t>A 17349-2021</t>
        </is>
      </c>
      <c r="B284" s="1" t="n">
        <v>44298</v>
      </c>
      <c r="C284" s="1" t="n">
        <v>45474</v>
      </c>
      <c r="D284" t="inlineStr">
        <is>
          <t>UPPSALA LÄN</t>
        </is>
      </c>
      <c r="E284" t="inlineStr">
        <is>
          <t>ÖSTHAMMAR</t>
        </is>
      </c>
      <c r="F284" t="inlineStr">
        <is>
          <t>Bergvik skog öst AB</t>
        </is>
      </c>
      <c r="G284" t="n">
        <v>4.2</v>
      </c>
      <c r="H284" t="n">
        <v>0</v>
      </c>
      <c r="I284" t="n">
        <v>0</v>
      </c>
      <c r="J284" t="n">
        <v>0</v>
      </c>
      <c r="K284" t="n">
        <v>0</v>
      </c>
      <c r="L284" t="n">
        <v>0</v>
      </c>
      <c r="M284" t="n">
        <v>0</v>
      </c>
      <c r="N284" t="n">
        <v>0</v>
      </c>
      <c r="O284" t="n">
        <v>0</v>
      </c>
      <c r="P284" t="n">
        <v>0</v>
      </c>
      <c r="Q284" t="n">
        <v>0</v>
      </c>
      <c r="R284" s="2" t="inlineStr"/>
    </row>
    <row r="285" ht="15" customHeight="1">
      <c r="A285" t="inlineStr">
        <is>
          <t>A 18944-2021</t>
        </is>
      </c>
      <c r="B285" s="1" t="n">
        <v>44308</v>
      </c>
      <c r="C285" s="1" t="n">
        <v>45474</v>
      </c>
      <c r="D285" t="inlineStr">
        <is>
          <t>UPPSALA LÄN</t>
        </is>
      </c>
      <c r="E285" t="inlineStr">
        <is>
          <t>ÖSTHAMMAR</t>
        </is>
      </c>
      <c r="F285" t="inlineStr">
        <is>
          <t>Bergvik skog öst AB</t>
        </is>
      </c>
      <c r="G285" t="n">
        <v>12.5</v>
      </c>
      <c r="H285" t="n">
        <v>0</v>
      </c>
      <c r="I285" t="n">
        <v>0</v>
      </c>
      <c r="J285" t="n">
        <v>0</v>
      </c>
      <c r="K285" t="n">
        <v>0</v>
      </c>
      <c r="L285" t="n">
        <v>0</v>
      </c>
      <c r="M285" t="n">
        <v>0</v>
      </c>
      <c r="N285" t="n">
        <v>0</v>
      </c>
      <c r="O285" t="n">
        <v>0</v>
      </c>
      <c r="P285" t="n">
        <v>0</v>
      </c>
      <c r="Q285" t="n">
        <v>0</v>
      </c>
      <c r="R285" s="2" t="inlineStr"/>
    </row>
    <row r="286" ht="15" customHeight="1">
      <c r="A286" t="inlineStr">
        <is>
          <t>A 20326-2021</t>
        </is>
      </c>
      <c r="B286" s="1" t="n">
        <v>44308</v>
      </c>
      <c r="C286" s="1" t="n">
        <v>45474</v>
      </c>
      <c r="D286" t="inlineStr">
        <is>
          <t>UPPSALA LÄN</t>
        </is>
      </c>
      <c r="E286" t="inlineStr">
        <is>
          <t>ÖSTHAMMAR</t>
        </is>
      </c>
      <c r="G286" t="n">
        <v>7.8</v>
      </c>
      <c r="H286" t="n">
        <v>0</v>
      </c>
      <c r="I286" t="n">
        <v>0</v>
      </c>
      <c r="J286" t="n">
        <v>0</v>
      </c>
      <c r="K286" t="n">
        <v>0</v>
      </c>
      <c r="L286" t="n">
        <v>0</v>
      </c>
      <c r="M286" t="n">
        <v>0</v>
      </c>
      <c r="N286" t="n">
        <v>0</v>
      </c>
      <c r="O286" t="n">
        <v>0</v>
      </c>
      <c r="P286" t="n">
        <v>0</v>
      </c>
      <c r="Q286" t="n">
        <v>0</v>
      </c>
      <c r="R286" s="2" t="inlineStr"/>
    </row>
    <row r="287" ht="15" customHeight="1">
      <c r="A287" t="inlineStr">
        <is>
          <t>A 20325-2021</t>
        </is>
      </c>
      <c r="B287" s="1" t="n">
        <v>44308</v>
      </c>
      <c r="C287" s="1" t="n">
        <v>45474</v>
      </c>
      <c r="D287" t="inlineStr">
        <is>
          <t>UPPSALA LÄN</t>
        </is>
      </c>
      <c r="E287" t="inlineStr">
        <is>
          <t>ÖSTHAMMAR</t>
        </is>
      </c>
      <c r="G287" t="n">
        <v>5</v>
      </c>
      <c r="H287" t="n">
        <v>0</v>
      </c>
      <c r="I287" t="n">
        <v>0</v>
      </c>
      <c r="J287" t="n">
        <v>0</v>
      </c>
      <c r="K287" t="n">
        <v>0</v>
      </c>
      <c r="L287" t="n">
        <v>0</v>
      </c>
      <c r="M287" t="n">
        <v>0</v>
      </c>
      <c r="N287" t="n">
        <v>0</v>
      </c>
      <c r="O287" t="n">
        <v>0</v>
      </c>
      <c r="P287" t="n">
        <v>0</v>
      </c>
      <c r="Q287" t="n">
        <v>0</v>
      </c>
      <c r="R287" s="2" t="inlineStr"/>
    </row>
    <row r="288" ht="15" customHeight="1">
      <c r="A288" t="inlineStr">
        <is>
          <t>A 20324-2021</t>
        </is>
      </c>
      <c r="B288" s="1" t="n">
        <v>44308</v>
      </c>
      <c r="C288" s="1" t="n">
        <v>45474</v>
      </c>
      <c r="D288" t="inlineStr">
        <is>
          <t>UPPSALA LÄN</t>
        </is>
      </c>
      <c r="E288" t="inlineStr">
        <is>
          <t>ÖSTHAMMAR</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19214-2021</t>
        </is>
      </c>
      <c r="B289" s="1" t="n">
        <v>44309</v>
      </c>
      <c r="C289" s="1" t="n">
        <v>45474</v>
      </c>
      <c r="D289" t="inlineStr">
        <is>
          <t>UPPSALA LÄN</t>
        </is>
      </c>
      <c r="E289" t="inlineStr">
        <is>
          <t>ÖSTHAMMAR</t>
        </is>
      </c>
      <c r="F289" t="inlineStr">
        <is>
          <t>Bergvik skog öst AB</t>
        </is>
      </c>
      <c r="G289" t="n">
        <v>6</v>
      </c>
      <c r="H289" t="n">
        <v>0</v>
      </c>
      <c r="I289" t="n">
        <v>0</v>
      </c>
      <c r="J289" t="n">
        <v>0</v>
      </c>
      <c r="K289" t="n">
        <v>0</v>
      </c>
      <c r="L289" t="n">
        <v>0</v>
      </c>
      <c r="M289" t="n">
        <v>0</v>
      </c>
      <c r="N289" t="n">
        <v>0</v>
      </c>
      <c r="O289" t="n">
        <v>0</v>
      </c>
      <c r="P289" t="n">
        <v>0</v>
      </c>
      <c r="Q289" t="n">
        <v>0</v>
      </c>
      <c r="R289" s="2" t="inlineStr"/>
    </row>
    <row r="290" ht="15" customHeight="1">
      <c r="A290" t="inlineStr">
        <is>
          <t>A 19552-2021</t>
        </is>
      </c>
      <c r="B290" s="1" t="n">
        <v>44312</v>
      </c>
      <c r="C290" s="1" t="n">
        <v>45474</v>
      </c>
      <c r="D290" t="inlineStr">
        <is>
          <t>UPPSALA LÄN</t>
        </is>
      </c>
      <c r="E290" t="inlineStr">
        <is>
          <t>ÖSTHAMMAR</t>
        </is>
      </c>
      <c r="G290" t="n">
        <v>4.5</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v>
      </c>
      <c r="C291" s="1" t="n">
        <v>45474</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23120-2021</t>
        </is>
      </c>
      <c r="B292" s="1" t="n">
        <v>44330</v>
      </c>
      <c r="C292" s="1" t="n">
        <v>45474</v>
      </c>
      <c r="D292" t="inlineStr">
        <is>
          <t>UPPSALA LÄN</t>
        </is>
      </c>
      <c r="E292" t="inlineStr">
        <is>
          <t>ÖSTHAMMAR</t>
        </is>
      </c>
      <c r="G292" t="n">
        <v>0.5</v>
      </c>
      <c r="H292" t="n">
        <v>0</v>
      </c>
      <c r="I292" t="n">
        <v>0</v>
      </c>
      <c r="J292" t="n">
        <v>0</v>
      </c>
      <c r="K292" t="n">
        <v>0</v>
      </c>
      <c r="L292" t="n">
        <v>0</v>
      </c>
      <c r="M292" t="n">
        <v>0</v>
      </c>
      <c r="N292" t="n">
        <v>0</v>
      </c>
      <c r="O292" t="n">
        <v>0</v>
      </c>
      <c r="P292" t="n">
        <v>0</v>
      </c>
      <c r="Q292" t="n">
        <v>0</v>
      </c>
      <c r="R292" s="2" t="inlineStr"/>
    </row>
    <row r="293" ht="15" customHeight="1">
      <c r="A293" t="inlineStr">
        <is>
          <t>A 24062-2021</t>
        </is>
      </c>
      <c r="B293" s="1" t="n">
        <v>44336</v>
      </c>
      <c r="C293" s="1" t="n">
        <v>45474</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24316-2021</t>
        </is>
      </c>
      <c r="B294" s="1" t="n">
        <v>44337</v>
      </c>
      <c r="C294" s="1" t="n">
        <v>45474</v>
      </c>
      <c r="D294" t="inlineStr">
        <is>
          <t>UPPSALA LÄN</t>
        </is>
      </c>
      <c r="E294" t="inlineStr">
        <is>
          <t>ÖSTHAMMAR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25033-2021</t>
        </is>
      </c>
      <c r="B295" s="1" t="n">
        <v>44341</v>
      </c>
      <c r="C295" s="1" t="n">
        <v>45474</v>
      </c>
      <c r="D295" t="inlineStr">
        <is>
          <t>UPPSALA LÄN</t>
        </is>
      </c>
      <c r="E295" t="inlineStr">
        <is>
          <t>ÖSTHAMMAR</t>
        </is>
      </c>
      <c r="F295" t="inlineStr">
        <is>
          <t>Bergvik skog öst AB</t>
        </is>
      </c>
      <c r="G295" t="n">
        <v>1</v>
      </c>
      <c r="H295" t="n">
        <v>0</v>
      </c>
      <c r="I295" t="n">
        <v>0</v>
      </c>
      <c r="J295" t="n">
        <v>0</v>
      </c>
      <c r="K295" t="n">
        <v>0</v>
      </c>
      <c r="L295" t="n">
        <v>0</v>
      </c>
      <c r="M295" t="n">
        <v>0</v>
      </c>
      <c r="N295" t="n">
        <v>0</v>
      </c>
      <c r="O295" t="n">
        <v>0</v>
      </c>
      <c r="P295" t="n">
        <v>0</v>
      </c>
      <c r="Q295" t="n">
        <v>0</v>
      </c>
      <c r="R295" s="2" t="inlineStr"/>
    </row>
    <row r="296" ht="15" customHeight="1">
      <c r="A296" t="inlineStr">
        <is>
          <t>A 25378-2021</t>
        </is>
      </c>
      <c r="B296" s="1" t="n">
        <v>44342</v>
      </c>
      <c r="C296" s="1" t="n">
        <v>45474</v>
      </c>
      <c r="D296" t="inlineStr">
        <is>
          <t>UPPSALA LÄN</t>
        </is>
      </c>
      <c r="E296" t="inlineStr">
        <is>
          <t>ÖSTHAMMAR</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25395-2021</t>
        </is>
      </c>
      <c r="B297" s="1" t="n">
        <v>44342</v>
      </c>
      <c r="C297" s="1" t="n">
        <v>45474</v>
      </c>
      <c r="D297" t="inlineStr">
        <is>
          <t>UPPSALA LÄN</t>
        </is>
      </c>
      <c r="E297" t="inlineStr">
        <is>
          <t>ÖSTHAMMAR</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26257-2021</t>
        </is>
      </c>
      <c r="B298" s="1" t="n">
        <v>44347</v>
      </c>
      <c r="C298" s="1" t="n">
        <v>45474</v>
      </c>
      <c r="D298" t="inlineStr">
        <is>
          <t>UPPSALA LÄN</t>
        </is>
      </c>
      <c r="E298" t="inlineStr">
        <is>
          <t>ÖSTHAMMAR</t>
        </is>
      </c>
      <c r="G298" t="n">
        <v>3.2</v>
      </c>
      <c r="H298" t="n">
        <v>0</v>
      </c>
      <c r="I298" t="n">
        <v>0</v>
      </c>
      <c r="J298" t="n">
        <v>0</v>
      </c>
      <c r="K298" t="n">
        <v>0</v>
      </c>
      <c r="L298" t="n">
        <v>0</v>
      </c>
      <c r="M298" t="n">
        <v>0</v>
      </c>
      <c r="N298" t="n">
        <v>0</v>
      </c>
      <c r="O298" t="n">
        <v>0</v>
      </c>
      <c r="P298" t="n">
        <v>0</v>
      </c>
      <c r="Q298" t="n">
        <v>0</v>
      </c>
      <c r="R298" s="2" t="inlineStr"/>
    </row>
    <row r="299" ht="15" customHeight="1">
      <c r="A299" t="inlineStr">
        <is>
          <t>A 27939-2021</t>
        </is>
      </c>
      <c r="B299" s="1" t="n">
        <v>44354</v>
      </c>
      <c r="C299" s="1" t="n">
        <v>45474</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27940-2021</t>
        </is>
      </c>
      <c r="B300" s="1" t="n">
        <v>44354</v>
      </c>
      <c r="C300" s="1" t="n">
        <v>45474</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29282-2021</t>
        </is>
      </c>
      <c r="B301" s="1" t="n">
        <v>44361</v>
      </c>
      <c r="C301" s="1" t="n">
        <v>45474</v>
      </c>
      <c r="D301" t="inlineStr">
        <is>
          <t>UPPSALA LÄN</t>
        </is>
      </c>
      <c r="E301" t="inlineStr">
        <is>
          <t>ÖSTHAMMAR</t>
        </is>
      </c>
      <c r="G301" t="n">
        <v>2.4</v>
      </c>
      <c r="H301" t="n">
        <v>0</v>
      </c>
      <c r="I301" t="n">
        <v>0</v>
      </c>
      <c r="J301" t="n">
        <v>0</v>
      </c>
      <c r="K301" t="n">
        <v>0</v>
      </c>
      <c r="L301" t="n">
        <v>0</v>
      </c>
      <c r="M301" t="n">
        <v>0</v>
      </c>
      <c r="N301" t="n">
        <v>0</v>
      </c>
      <c r="O301" t="n">
        <v>0</v>
      </c>
      <c r="P301" t="n">
        <v>0</v>
      </c>
      <c r="Q301" t="n">
        <v>0</v>
      </c>
      <c r="R301" s="2" t="inlineStr"/>
    </row>
    <row r="302" ht="15" customHeight="1">
      <c r="A302" t="inlineStr">
        <is>
          <t>A 30927-2021</t>
        </is>
      </c>
      <c r="B302" s="1" t="n">
        <v>44365</v>
      </c>
      <c r="C302" s="1" t="n">
        <v>45474</v>
      </c>
      <c r="D302" t="inlineStr">
        <is>
          <t>UPPSALA LÄN</t>
        </is>
      </c>
      <c r="E302" t="inlineStr">
        <is>
          <t>ÖSTHAMMAR</t>
        </is>
      </c>
      <c r="F302" t="inlineStr">
        <is>
          <t>Bergvik skog öst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30931-2021</t>
        </is>
      </c>
      <c r="B303" s="1" t="n">
        <v>44365</v>
      </c>
      <c r="C303" s="1" t="n">
        <v>45474</v>
      </c>
      <c r="D303" t="inlineStr">
        <is>
          <t>UPPSALA LÄN</t>
        </is>
      </c>
      <c r="E303" t="inlineStr">
        <is>
          <t>ÖSTHAMMAR</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31263-2021</t>
        </is>
      </c>
      <c r="B304" s="1" t="n">
        <v>44368</v>
      </c>
      <c r="C304" s="1" t="n">
        <v>45474</v>
      </c>
      <c r="D304" t="inlineStr">
        <is>
          <t>UPPSALA LÄN</t>
        </is>
      </c>
      <c r="E304" t="inlineStr">
        <is>
          <t>ÖSTHAMMAR</t>
        </is>
      </c>
      <c r="G304" t="n">
        <v>1.9</v>
      </c>
      <c r="H304" t="n">
        <v>0</v>
      </c>
      <c r="I304" t="n">
        <v>0</v>
      </c>
      <c r="J304" t="n">
        <v>0</v>
      </c>
      <c r="K304" t="n">
        <v>0</v>
      </c>
      <c r="L304" t="n">
        <v>0</v>
      </c>
      <c r="M304" t="n">
        <v>0</v>
      </c>
      <c r="N304" t="n">
        <v>0</v>
      </c>
      <c r="O304" t="n">
        <v>0</v>
      </c>
      <c r="P304" t="n">
        <v>0</v>
      </c>
      <c r="Q304" t="n">
        <v>0</v>
      </c>
      <c r="R304" s="2" t="inlineStr"/>
    </row>
    <row r="305" ht="15" customHeight="1">
      <c r="A305" t="inlineStr">
        <is>
          <t>A 32244-2021</t>
        </is>
      </c>
      <c r="B305" s="1" t="n">
        <v>44371</v>
      </c>
      <c r="C305" s="1" t="n">
        <v>45474</v>
      </c>
      <c r="D305" t="inlineStr">
        <is>
          <t>UPPSALA LÄN</t>
        </is>
      </c>
      <c r="E305" t="inlineStr">
        <is>
          <t>ÖSTHAMMAR</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32939-2021</t>
        </is>
      </c>
      <c r="B306" s="1" t="n">
        <v>44376</v>
      </c>
      <c r="C306" s="1" t="n">
        <v>45474</v>
      </c>
      <c r="D306" t="inlineStr">
        <is>
          <t>UPPSALA LÄN</t>
        </is>
      </c>
      <c r="E306" t="inlineStr">
        <is>
          <t>ÖSTHAMMAR</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32948-2021</t>
        </is>
      </c>
      <c r="B307" s="1" t="n">
        <v>44376</v>
      </c>
      <c r="C307" s="1" t="n">
        <v>45474</v>
      </c>
      <c r="D307" t="inlineStr">
        <is>
          <t>UPPSALA LÄN</t>
        </is>
      </c>
      <c r="E307" t="inlineStr">
        <is>
          <t>ÖSTHAMMAR</t>
        </is>
      </c>
      <c r="F307" t="inlineStr">
        <is>
          <t>Bergvik skog öst AB</t>
        </is>
      </c>
      <c r="G307" t="n">
        <v>13.5</v>
      </c>
      <c r="H307" t="n">
        <v>0</v>
      </c>
      <c r="I307" t="n">
        <v>0</v>
      </c>
      <c r="J307" t="n">
        <v>0</v>
      </c>
      <c r="K307" t="n">
        <v>0</v>
      </c>
      <c r="L307" t="n">
        <v>0</v>
      </c>
      <c r="M307" t="n">
        <v>0</v>
      </c>
      <c r="N307" t="n">
        <v>0</v>
      </c>
      <c r="O307" t="n">
        <v>0</v>
      </c>
      <c r="P307" t="n">
        <v>0</v>
      </c>
      <c r="Q307" t="n">
        <v>0</v>
      </c>
      <c r="R307" s="2" t="inlineStr"/>
    </row>
    <row r="308" ht="15" customHeight="1">
      <c r="A308" t="inlineStr">
        <is>
          <t>A 33062-2021</t>
        </is>
      </c>
      <c r="B308" s="1" t="n">
        <v>44376</v>
      </c>
      <c r="C308" s="1" t="n">
        <v>45474</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33056-2021</t>
        </is>
      </c>
      <c r="B309" s="1" t="n">
        <v>44376</v>
      </c>
      <c r="C309" s="1" t="n">
        <v>45474</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33271-2021</t>
        </is>
      </c>
      <c r="B310" s="1" t="n">
        <v>44377</v>
      </c>
      <c r="C310" s="1" t="n">
        <v>45474</v>
      </c>
      <c r="D310" t="inlineStr">
        <is>
          <t>UPPSALA LÄN</t>
        </is>
      </c>
      <c r="E310" t="inlineStr">
        <is>
          <t>ÖSTHAMMAR</t>
        </is>
      </c>
      <c r="F310" t="inlineStr">
        <is>
          <t>Bergvik skog öst AB</t>
        </is>
      </c>
      <c r="G310" t="n">
        <v>3.9</v>
      </c>
      <c r="H310" t="n">
        <v>0</v>
      </c>
      <c r="I310" t="n">
        <v>0</v>
      </c>
      <c r="J310" t="n">
        <v>0</v>
      </c>
      <c r="K310" t="n">
        <v>0</v>
      </c>
      <c r="L310" t="n">
        <v>0</v>
      </c>
      <c r="M310" t="n">
        <v>0</v>
      </c>
      <c r="N310" t="n">
        <v>0</v>
      </c>
      <c r="O310" t="n">
        <v>0</v>
      </c>
      <c r="P310" t="n">
        <v>0</v>
      </c>
      <c r="Q310" t="n">
        <v>0</v>
      </c>
      <c r="R310" s="2" t="inlineStr"/>
    </row>
    <row r="311" ht="15" customHeight="1">
      <c r="A311" t="inlineStr">
        <is>
          <t>A 38411-2021</t>
        </is>
      </c>
      <c r="B311" s="1" t="n">
        <v>44406</v>
      </c>
      <c r="C311" s="1" t="n">
        <v>45474</v>
      </c>
      <c r="D311" t="inlineStr">
        <is>
          <t>UPPSALA LÄN</t>
        </is>
      </c>
      <c r="E311" t="inlineStr">
        <is>
          <t>ÖSTHAMMAR</t>
        </is>
      </c>
      <c r="F311" t="inlineStr">
        <is>
          <t>Bergvik skog öst AB</t>
        </is>
      </c>
      <c r="G311" t="n">
        <v>20.6</v>
      </c>
      <c r="H311" t="n">
        <v>0</v>
      </c>
      <c r="I311" t="n">
        <v>0</v>
      </c>
      <c r="J311" t="n">
        <v>0</v>
      </c>
      <c r="K311" t="n">
        <v>0</v>
      </c>
      <c r="L311" t="n">
        <v>0</v>
      </c>
      <c r="M311" t="n">
        <v>0</v>
      </c>
      <c r="N311" t="n">
        <v>0</v>
      </c>
      <c r="O311" t="n">
        <v>0</v>
      </c>
      <c r="P311" t="n">
        <v>0</v>
      </c>
      <c r="Q311" t="n">
        <v>0</v>
      </c>
      <c r="R311" s="2" t="inlineStr"/>
    </row>
    <row r="312" ht="15" customHeight="1">
      <c r="A312" t="inlineStr">
        <is>
          <t>A 40606-2021</t>
        </is>
      </c>
      <c r="B312" s="1" t="n">
        <v>44420</v>
      </c>
      <c r="C312" s="1" t="n">
        <v>45474</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41531-2021</t>
        </is>
      </c>
      <c r="B313" s="1" t="n">
        <v>44425</v>
      </c>
      <c r="C313" s="1" t="n">
        <v>45474</v>
      </c>
      <c r="D313" t="inlineStr">
        <is>
          <t>UPPSALA LÄN</t>
        </is>
      </c>
      <c r="E313" t="inlineStr">
        <is>
          <t>ÖSTHAMMAR</t>
        </is>
      </c>
      <c r="F313" t="inlineStr">
        <is>
          <t>Bergvik skog öst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41558-2021</t>
        </is>
      </c>
      <c r="B314" s="1" t="n">
        <v>44425</v>
      </c>
      <c r="C314" s="1" t="n">
        <v>45474</v>
      </c>
      <c r="D314" t="inlineStr">
        <is>
          <t>UPPSALA LÄN</t>
        </is>
      </c>
      <c r="E314" t="inlineStr">
        <is>
          <t>ÖSTHAMMAR</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41538-2021</t>
        </is>
      </c>
      <c r="B315" s="1" t="n">
        <v>44425</v>
      </c>
      <c r="C315" s="1" t="n">
        <v>45474</v>
      </c>
      <c r="D315" t="inlineStr">
        <is>
          <t>UPPSALA LÄN</t>
        </is>
      </c>
      <c r="E315" t="inlineStr">
        <is>
          <t>ÖSTHAMMAR</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41744-2021</t>
        </is>
      </c>
      <c r="B316" s="1" t="n">
        <v>44425</v>
      </c>
      <c r="C316" s="1" t="n">
        <v>45474</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43469-2021</t>
        </is>
      </c>
      <c r="B317" s="1" t="n">
        <v>44432</v>
      </c>
      <c r="C317" s="1" t="n">
        <v>45474</v>
      </c>
      <c r="D317" t="inlineStr">
        <is>
          <t>UPPSALA LÄN</t>
        </is>
      </c>
      <c r="E317" t="inlineStr">
        <is>
          <t>ÖSTHAMMAR</t>
        </is>
      </c>
      <c r="G317" t="n">
        <v>3.9</v>
      </c>
      <c r="H317" t="n">
        <v>0</v>
      </c>
      <c r="I317" t="n">
        <v>0</v>
      </c>
      <c r="J317" t="n">
        <v>0</v>
      </c>
      <c r="K317" t="n">
        <v>0</v>
      </c>
      <c r="L317" t="n">
        <v>0</v>
      </c>
      <c r="M317" t="n">
        <v>0</v>
      </c>
      <c r="N317" t="n">
        <v>0</v>
      </c>
      <c r="O317" t="n">
        <v>0</v>
      </c>
      <c r="P317" t="n">
        <v>0</v>
      </c>
      <c r="Q317" t="n">
        <v>0</v>
      </c>
      <c r="R317" s="2" t="inlineStr"/>
    </row>
    <row r="318" ht="15" customHeight="1">
      <c r="A318" t="inlineStr">
        <is>
          <t>A 48308-2021</t>
        </is>
      </c>
      <c r="B318" s="1" t="n">
        <v>44450</v>
      </c>
      <c r="C318" s="1" t="n">
        <v>45474</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51010-2021</t>
        </is>
      </c>
      <c r="B319" s="1" t="n">
        <v>44460</v>
      </c>
      <c r="C319" s="1" t="n">
        <v>45474</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51412-2021</t>
        </is>
      </c>
      <c r="B320" s="1" t="n">
        <v>44461</v>
      </c>
      <c r="C320" s="1" t="n">
        <v>45474</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51364-2021</t>
        </is>
      </c>
      <c r="B321" s="1" t="n">
        <v>44461</v>
      </c>
      <c r="C321" s="1" t="n">
        <v>45474</v>
      </c>
      <c r="D321" t="inlineStr">
        <is>
          <t>UPPSALA LÄN</t>
        </is>
      </c>
      <c r="E321" t="inlineStr">
        <is>
          <t>ÖSTHAMMAR</t>
        </is>
      </c>
      <c r="G321" t="n">
        <v>2.4</v>
      </c>
      <c r="H321" t="n">
        <v>0</v>
      </c>
      <c r="I321" t="n">
        <v>0</v>
      </c>
      <c r="J321" t="n">
        <v>0</v>
      </c>
      <c r="K321" t="n">
        <v>0</v>
      </c>
      <c r="L321" t="n">
        <v>0</v>
      </c>
      <c r="M321" t="n">
        <v>0</v>
      </c>
      <c r="N321" t="n">
        <v>0</v>
      </c>
      <c r="O321" t="n">
        <v>0</v>
      </c>
      <c r="P321" t="n">
        <v>0</v>
      </c>
      <c r="Q321" t="n">
        <v>0</v>
      </c>
      <c r="R321" s="2" t="inlineStr"/>
    </row>
    <row r="322" ht="15" customHeight="1">
      <c r="A322" t="inlineStr">
        <is>
          <t>A 51612-2021</t>
        </is>
      </c>
      <c r="B322" s="1" t="n">
        <v>44462</v>
      </c>
      <c r="C322" s="1" t="n">
        <v>45474</v>
      </c>
      <c r="D322" t="inlineStr">
        <is>
          <t>UPPSALA LÄN</t>
        </is>
      </c>
      <c r="E322" t="inlineStr">
        <is>
          <t>ÖSTHAMMAR</t>
        </is>
      </c>
      <c r="G322" t="n">
        <v>2.7</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45474</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52544-2021</t>
        </is>
      </c>
      <c r="B324" s="1" t="n">
        <v>44466</v>
      </c>
      <c r="C324" s="1" t="n">
        <v>45474</v>
      </c>
      <c r="D324" t="inlineStr">
        <is>
          <t>UPPSALA LÄN</t>
        </is>
      </c>
      <c r="E324" t="inlineStr">
        <is>
          <t>ÖSTHAMMAR</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52898-2021</t>
        </is>
      </c>
      <c r="B325" s="1" t="n">
        <v>44467</v>
      </c>
      <c r="C325" s="1" t="n">
        <v>45474</v>
      </c>
      <c r="D325" t="inlineStr">
        <is>
          <t>UPPSALA LÄN</t>
        </is>
      </c>
      <c r="E325" t="inlineStr">
        <is>
          <t>ÖSTHAMMAR</t>
        </is>
      </c>
      <c r="G325" t="n">
        <v>2.3</v>
      </c>
      <c r="H325" t="n">
        <v>0</v>
      </c>
      <c r="I325" t="n">
        <v>0</v>
      </c>
      <c r="J325" t="n">
        <v>0</v>
      </c>
      <c r="K325" t="n">
        <v>0</v>
      </c>
      <c r="L325" t="n">
        <v>0</v>
      </c>
      <c r="M325" t="n">
        <v>0</v>
      </c>
      <c r="N325" t="n">
        <v>0</v>
      </c>
      <c r="O325" t="n">
        <v>0</v>
      </c>
      <c r="P325" t="n">
        <v>0</v>
      </c>
      <c r="Q325" t="n">
        <v>0</v>
      </c>
      <c r="R325" s="2" t="inlineStr"/>
    </row>
    <row r="326" ht="15" customHeight="1">
      <c r="A326" t="inlineStr">
        <is>
          <t>A 55646-2021</t>
        </is>
      </c>
      <c r="B326" s="1" t="n">
        <v>44476</v>
      </c>
      <c r="C326" s="1" t="n">
        <v>45474</v>
      </c>
      <c r="D326" t="inlineStr">
        <is>
          <t>UPPSALA LÄN</t>
        </is>
      </c>
      <c r="E326" t="inlineStr">
        <is>
          <t>ÖSTHAMMAR</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55872-2021</t>
        </is>
      </c>
      <c r="B327" s="1" t="n">
        <v>44476</v>
      </c>
      <c r="C327" s="1" t="n">
        <v>45474</v>
      </c>
      <c r="D327" t="inlineStr">
        <is>
          <t>UPPSALA LÄN</t>
        </is>
      </c>
      <c r="E327" t="inlineStr">
        <is>
          <t>ÖSTHAMMAR</t>
        </is>
      </c>
      <c r="F327" t="inlineStr">
        <is>
          <t>Bergvik skog öst AB</t>
        </is>
      </c>
      <c r="G327" t="n">
        <v>13.7</v>
      </c>
      <c r="H327" t="n">
        <v>0</v>
      </c>
      <c r="I327" t="n">
        <v>0</v>
      </c>
      <c r="J327" t="n">
        <v>0</v>
      </c>
      <c r="K327" t="n">
        <v>0</v>
      </c>
      <c r="L327" t="n">
        <v>0</v>
      </c>
      <c r="M327" t="n">
        <v>0</v>
      </c>
      <c r="N327" t="n">
        <v>0</v>
      </c>
      <c r="O327" t="n">
        <v>0</v>
      </c>
      <c r="P327" t="n">
        <v>0</v>
      </c>
      <c r="Q327" t="n">
        <v>0</v>
      </c>
      <c r="R327" s="2" t="inlineStr"/>
    </row>
    <row r="328" ht="15" customHeight="1">
      <c r="A328" t="inlineStr">
        <is>
          <t>A 57003-2021</t>
        </is>
      </c>
      <c r="B328" s="1" t="n">
        <v>44482</v>
      </c>
      <c r="C328" s="1" t="n">
        <v>45474</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57080-2021</t>
        </is>
      </c>
      <c r="B329" s="1" t="n">
        <v>44482</v>
      </c>
      <c r="C329" s="1" t="n">
        <v>45474</v>
      </c>
      <c r="D329" t="inlineStr">
        <is>
          <t>UPPSALA LÄN</t>
        </is>
      </c>
      <c r="E329" t="inlineStr">
        <is>
          <t>ÖSTHAMMAR</t>
        </is>
      </c>
      <c r="F329" t="inlineStr">
        <is>
          <t>Bergvik skog öst AB</t>
        </is>
      </c>
      <c r="G329" t="n">
        <v>13.4</v>
      </c>
      <c r="H329" t="n">
        <v>0</v>
      </c>
      <c r="I329" t="n">
        <v>0</v>
      </c>
      <c r="J329" t="n">
        <v>0</v>
      </c>
      <c r="K329" t="n">
        <v>0</v>
      </c>
      <c r="L329" t="n">
        <v>0</v>
      </c>
      <c r="M329" t="n">
        <v>0</v>
      </c>
      <c r="N329" t="n">
        <v>0</v>
      </c>
      <c r="O329" t="n">
        <v>0</v>
      </c>
      <c r="P329" t="n">
        <v>0</v>
      </c>
      <c r="Q329" t="n">
        <v>0</v>
      </c>
      <c r="R329" s="2" t="inlineStr"/>
    </row>
    <row r="330" ht="15" customHeight="1">
      <c r="A330" t="inlineStr">
        <is>
          <t>A 58334-2021</t>
        </is>
      </c>
      <c r="B330" s="1" t="n">
        <v>44488</v>
      </c>
      <c r="C330" s="1" t="n">
        <v>45474</v>
      </c>
      <c r="D330" t="inlineStr">
        <is>
          <t>UPPSALA LÄN</t>
        </is>
      </c>
      <c r="E330" t="inlineStr">
        <is>
          <t>ÖSTHAMMAR</t>
        </is>
      </c>
      <c r="G330" t="n">
        <v>5.7</v>
      </c>
      <c r="H330" t="n">
        <v>0</v>
      </c>
      <c r="I330" t="n">
        <v>0</v>
      </c>
      <c r="J330" t="n">
        <v>0</v>
      </c>
      <c r="K330" t="n">
        <v>0</v>
      </c>
      <c r="L330" t="n">
        <v>0</v>
      </c>
      <c r="M330" t="n">
        <v>0</v>
      </c>
      <c r="N330" t="n">
        <v>0</v>
      </c>
      <c r="O330" t="n">
        <v>0</v>
      </c>
      <c r="P330" t="n">
        <v>0</v>
      </c>
      <c r="Q330" t="n">
        <v>0</v>
      </c>
      <c r="R330" s="2" t="inlineStr"/>
    </row>
    <row r="331" ht="15" customHeight="1">
      <c r="A331" t="inlineStr">
        <is>
          <t>A 59360-2021</t>
        </is>
      </c>
      <c r="B331" s="1" t="n">
        <v>44491</v>
      </c>
      <c r="C331" s="1" t="n">
        <v>45474</v>
      </c>
      <c r="D331" t="inlineStr">
        <is>
          <t>UPPSALA LÄN</t>
        </is>
      </c>
      <c r="E331" t="inlineStr">
        <is>
          <t>ÖSTHAMMAR</t>
        </is>
      </c>
      <c r="F331" t="inlineStr">
        <is>
          <t>Bergvik skog öst AB</t>
        </is>
      </c>
      <c r="G331" t="n">
        <v>8</v>
      </c>
      <c r="H331" t="n">
        <v>0</v>
      </c>
      <c r="I331" t="n">
        <v>0</v>
      </c>
      <c r="J331" t="n">
        <v>0</v>
      </c>
      <c r="K331" t="n">
        <v>0</v>
      </c>
      <c r="L331" t="n">
        <v>0</v>
      </c>
      <c r="M331" t="n">
        <v>0</v>
      </c>
      <c r="N331" t="n">
        <v>0</v>
      </c>
      <c r="O331" t="n">
        <v>0</v>
      </c>
      <c r="P331" t="n">
        <v>0</v>
      </c>
      <c r="Q331" t="n">
        <v>0</v>
      </c>
      <c r="R331" s="2" t="inlineStr"/>
    </row>
    <row r="332" ht="15" customHeight="1">
      <c r="A332" t="inlineStr">
        <is>
          <t>A 59498-2021</t>
        </is>
      </c>
      <c r="B332" s="1" t="n">
        <v>44491</v>
      </c>
      <c r="C332" s="1" t="n">
        <v>45474</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60047-2021</t>
        </is>
      </c>
      <c r="B333" s="1" t="n">
        <v>44495</v>
      </c>
      <c r="C333" s="1" t="n">
        <v>45474</v>
      </c>
      <c r="D333" t="inlineStr">
        <is>
          <t>UPPSALA LÄN</t>
        </is>
      </c>
      <c r="E333" t="inlineStr">
        <is>
          <t>ÖSTHAMMAR</t>
        </is>
      </c>
      <c r="F333" t="inlineStr">
        <is>
          <t>Övriga Aktiebolag</t>
        </is>
      </c>
      <c r="G333" t="n">
        <v>1.8</v>
      </c>
      <c r="H333" t="n">
        <v>0</v>
      </c>
      <c r="I333" t="n">
        <v>0</v>
      </c>
      <c r="J333" t="n">
        <v>0</v>
      </c>
      <c r="K333" t="n">
        <v>0</v>
      </c>
      <c r="L333" t="n">
        <v>0</v>
      </c>
      <c r="M333" t="n">
        <v>0</v>
      </c>
      <c r="N333" t="n">
        <v>0</v>
      </c>
      <c r="O333" t="n">
        <v>0</v>
      </c>
      <c r="P333" t="n">
        <v>0</v>
      </c>
      <c r="Q333" t="n">
        <v>0</v>
      </c>
      <c r="R333" s="2" t="inlineStr"/>
    </row>
    <row r="334" ht="15" customHeight="1">
      <c r="A334" t="inlineStr">
        <is>
          <t>A 60577-2021</t>
        </is>
      </c>
      <c r="B334" s="1" t="n">
        <v>44496</v>
      </c>
      <c r="C334" s="1" t="n">
        <v>45474</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60584-2021</t>
        </is>
      </c>
      <c r="B335" s="1" t="n">
        <v>44496</v>
      </c>
      <c r="C335" s="1" t="n">
        <v>45474</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61746-2021</t>
        </is>
      </c>
      <c r="B336" s="1" t="n">
        <v>44498</v>
      </c>
      <c r="C336" s="1" t="n">
        <v>45474</v>
      </c>
      <c r="D336" t="inlineStr">
        <is>
          <t>UPPSALA LÄN</t>
        </is>
      </c>
      <c r="E336" t="inlineStr">
        <is>
          <t>ÖSTHAMMAR</t>
        </is>
      </c>
      <c r="G336" t="n">
        <v>5.6</v>
      </c>
      <c r="H336" t="n">
        <v>0</v>
      </c>
      <c r="I336" t="n">
        <v>0</v>
      </c>
      <c r="J336" t="n">
        <v>0</v>
      </c>
      <c r="K336" t="n">
        <v>0</v>
      </c>
      <c r="L336" t="n">
        <v>0</v>
      </c>
      <c r="M336" t="n">
        <v>0</v>
      </c>
      <c r="N336" t="n">
        <v>0</v>
      </c>
      <c r="O336" t="n">
        <v>0</v>
      </c>
      <c r="P336" t="n">
        <v>0</v>
      </c>
      <c r="Q336" t="n">
        <v>0</v>
      </c>
      <c r="R336" s="2" t="inlineStr"/>
    </row>
    <row r="337" ht="15" customHeight="1">
      <c r="A337" t="inlineStr">
        <is>
          <t>A 61555-2021</t>
        </is>
      </c>
      <c r="B337" s="1" t="n">
        <v>44501</v>
      </c>
      <c r="C337" s="1" t="n">
        <v>45474</v>
      </c>
      <c r="D337" t="inlineStr">
        <is>
          <t>UPPSALA LÄN</t>
        </is>
      </c>
      <c r="E337" t="inlineStr">
        <is>
          <t>ÖSTHAMMAR</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61560-2021</t>
        </is>
      </c>
      <c r="B338" s="1" t="n">
        <v>44501</v>
      </c>
      <c r="C338" s="1" t="n">
        <v>45474</v>
      </c>
      <c r="D338" t="inlineStr">
        <is>
          <t>UPPSALA LÄN</t>
        </is>
      </c>
      <c r="E338" t="inlineStr">
        <is>
          <t>ÖSTHAMMAR</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61817-2021</t>
        </is>
      </c>
      <c r="B339" s="1" t="n">
        <v>44501</v>
      </c>
      <c r="C339" s="1" t="n">
        <v>45474</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62854-2021</t>
        </is>
      </c>
      <c r="B340" s="1" t="n">
        <v>44504</v>
      </c>
      <c r="C340" s="1" t="n">
        <v>45474</v>
      </c>
      <c r="D340" t="inlineStr">
        <is>
          <t>UPPSALA LÄN</t>
        </is>
      </c>
      <c r="E340" t="inlineStr">
        <is>
          <t>ÖSTHAMMAR</t>
        </is>
      </c>
      <c r="F340" t="inlineStr">
        <is>
          <t>Bergvik skog öst AB</t>
        </is>
      </c>
      <c r="G340" t="n">
        <v>10.3</v>
      </c>
      <c r="H340" t="n">
        <v>0</v>
      </c>
      <c r="I340" t="n">
        <v>0</v>
      </c>
      <c r="J340" t="n">
        <v>0</v>
      </c>
      <c r="K340" t="n">
        <v>0</v>
      </c>
      <c r="L340" t="n">
        <v>0</v>
      </c>
      <c r="M340" t="n">
        <v>0</v>
      </c>
      <c r="N340" t="n">
        <v>0</v>
      </c>
      <c r="O340" t="n">
        <v>0</v>
      </c>
      <c r="P340" t="n">
        <v>0</v>
      </c>
      <c r="Q340" t="n">
        <v>0</v>
      </c>
      <c r="R340" s="2" t="inlineStr"/>
    </row>
    <row r="341" ht="15" customHeight="1">
      <c r="A341" t="inlineStr">
        <is>
          <t>A 62782-2021</t>
        </is>
      </c>
      <c r="B341" s="1" t="n">
        <v>44504</v>
      </c>
      <c r="C341" s="1" t="n">
        <v>45474</v>
      </c>
      <c r="D341" t="inlineStr">
        <is>
          <t>UPPSALA LÄN</t>
        </is>
      </c>
      <c r="E341" t="inlineStr">
        <is>
          <t>ÖSTHAMMAR</t>
        </is>
      </c>
      <c r="G341" t="n">
        <v>2.6</v>
      </c>
      <c r="H341" t="n">
        <v>0</v>
      </c>
      <c r="I341" t="n">
        <v>0</v>
      </c>
      <c r="J341" t="n">
        <v>0</v>
      </c>
      <c r="K341" t="n">
        <v>0</v>
      </c>
      <c r="L341" t="n">
        <v>0</v>
      </c>
      <c r="M341" t="n">
        <v>0</v>
      </c>
      <c r="N341" t="n">
        <v>0</v>
      </c>
      <c r="O341" t="n">
        <v>0</v>
      </c>
      <c r="P341" t="n">
        <v>0</v>
      </c>
      <c r="Q341" t="n">
        <v>0</v>
      </c>
      <c r="R341" s="2" t="inlineStr"/>
    </row>
    <row r="342" ht="15" customHeight="1">
      <c r="A342" t="inlineStr">
        <is>
          <t>A 64586-2021</t>
        </is>
      </c>
      <c r="B342" s="1" t="n">
        <v>44511</v>
      </c>
      <c r="C342" s="1" t="n">
        <v>45474</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64811-2021</t>
        </is>
      </c>
      <c r="B343" s="1" t="n">
        <v>44512</v>
      </c>
      <c r="C343" s="1" t="n">
        <v>45474</v>
      </c>
      <c r="D343" t="inlineStr">
        <is>
          <t>UPPSALA LÄN</t>
        </is>
      </c>
      <c r="E343" t="inlineStr">
        <is>
          <t>ÖSTHAMMAR</t>
        </is>
      </c>
      <c r="G343" t="n">
        <v>4.2</v>
      </c>
      <c r="H343" t="n">
        <v>0</v>
      </c>
      <c r="I343" t="n">
        <v>0</v>
      </c>
      <c r="J343" t="n">
        <v>0</v>
      </c>
      <c r="K343" t="n">
        <v>0</v>
      </c>
      <c r="L343" t="n">
        <v>0</v>
      </c>
      <c r="M343" t="n">
        <v>0</v>
      </c>
      <c r="N343" t="n">
        <v>0</v>
      </c>
      <c r="O343" t="n">
        <v>0</v>
      </c>
      <c r="P343" t="n">
        <v>0</v>
      </c>
      <c r="Q343" t="n">
        <v>0</v>
      </c>
      <c r="R343" s="2" t="inlineStr"/>
    </row>
    <row r="344" ht="15" customHeight="1">
      <c r="A344" t="inlineStr">
        <is>
          <t>A 64872-2021</t>
        </is>
      </c>
      <c r="B344" s="1" t="n">
        <v>44512</v>
      </c>
      <c r="C344" s="1" t="n">
        <v>45474</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64885-2021</t>
        </is>
      </c>
      <c r="B345" s="1" t="n">
        <v>44512</v>
      </c>
      <c r="C345" s="1" t="n">
        <v>45474</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65020-2021</t>
        </is>
      </c>
      <c r="B346" s="1" t="n">
        <v>44515</v>
      </c>
      <c r="C346" s="1" t="n">
        <v>45474</v>
      </c>
      <c r="D346" t="inlineStr">
        <is>
          <t>UPPSALA LÄN</t>
        </is>
      </c>
      <c r="E346" t="inlineStr">
        <is>
          <t>ÖSTHAMMAR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65165-2021</t>
        </is>
      </c>
      <c r="B347" s="1" t="n">
        <v>44515</v>
      </c>
      <c r="C347" s="1" t="n">
        <v>45474</v>
      </c>
      <c r="D347" t="inlineStr">
        <is>
          <t>UPPSALA LÄN</t>
        </is>
      </c>
      <c r="E347" t="inlineStr">
        <is>
          <t>ÖSTHAMMAR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65104-2021</t>
        </is>
      </c>
      <c r="B348" s="1" t="n">
        <v>44515</v>
      </c>
      <c r="C348" s="1" t="n">
        <v>45474</v>
      </c>
      <c r="D348" t="inlineStr">
        <is>
          <t>UPPSALA LÄN</t>
        </is>
      </c>
      <c r="E348" t="inlineStr">
        <is>
          <t>ÖSTHAMMAR</t>
        </is>
      </c>
      <c r="F348" t="inlineStr">
        <is>
          <t>Sveaskog</t>
        </is>
      </c>
      <c r="G348" t="n">
        <v>4.2</v>
      </c>
      <c r="H348" t="n">
        <v>0</v>
      </c>
      <c r="I348" t="n">
        <v>0</v>
      </c>
      <c r="J348" t="n">
        <v>0</v>
      </c>
      <c r="K348" t="n">
        <v>0</v>
      </c>
      <c r="L348" t="n">
        <v>0</v>
      </c>
      <c r="M348" t="n">
        <v>0</v>
      </c>
      <c r="N348" t="n">
        <v>0</v>
      </c>
      <c r="O348" t="n">
        <v>0</v>
      </c>
      <c r="P348" t="n">
        <v>0</v>
      </c>
      <c r="Q348" t="n">
        <v>0</v>
      </c>
      <c r="R348" s="2" t="inlineStr"/>
    </row>
    <row r="349" ht="15" customHeight="1">
      <c r="A349" t="inlineStr">
        <is>
          <t>A 65028-2021</t>
        </is>
      </c>
      <c r="B349" s="1" t="n">
        <v>44515</v>
      </c>
      <c r="C349" s="1" t="n">
        <v>45474</v>
      </c>
      <c r="D349" t="inlineStr">
        <is>
          <t>UPPSALA LÄN</t>
        </is>
      </c>
      <c r="E349" t="inlineStr">
        <is>
          <t>ÖSTHAMMAR</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66549-2021</t>
        </is>
      </c>
      <c r="B350" s="1" t="n">
        <v>44519</v>
      </c>
      <c r="C350" s="1" t="n">
        <v>45474</v>
      </c>
      <c r="D350" t="inlineStr">
        <is>
          <t>UPPSALA LÄN</t>
        </is>
      </c>
      <c r="E350" t="inlineStr">
        <is>
          <t>ÖSTHAMMAR</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66779-2021</t>
        </is>
      </c>
      <c r="B351" s="1" t="n">
        <v>44522</v>
      </c>
      <c r="C351" s="1" t="n">
        <v>45474</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67033-2021</t>
        </is>
      </c>
      <c r="B352" s="1" t="n">
        <v>44522</v>
      </c>
      <c r="C352" s="1" t="n">
        <v>45474</v>
      </c>
      <c r="D352" t="inlineStr">
        <is>
          <t>UPPSALA LÄN</t>
        </is>
      </c>
      <c r="E352" t="inlineStr">
        <is>
          <t>ÖSTHAMMAR</t>
        </is>
      </c>
      <c r="G352" t="n">
        <v>1.5</v>
      </c>
      <c r="H352" t="n">
        <v>0</v>
      </c>
      <c r="I352" t="n">
        <v>0</v>
      </c>
      <c r="J352" t="n">
        <v>0</v>
      </c>
      <c r="K352" t="n">
        <v>0</v>
      </c>
      <c r="L352" t="n">
        <v>0</v>
      </c>
      <c r="M352" t="n">
        <v>0</v>
      </c>
      <c r="N352" t="n">
        <v>0</v>
      </c>
      <c r="O352" t="n">
        <v>0</v>
      </c>
      <c r="P352" t="n">
        <v>0</v>
      </c>
      <c r="Q352" t="n">
        <v>0</v>
      </c>
      <c r="R352" s="2" t="inlineStr"/>
    </row>
    <row r="353" ht="15" customHeight="1">
      <c r="A353" t="inlineStr">
        <is>
          <t>A 67030-2021</t>
        </is>
      </c>
      <c r="B353" s="1" t="n">
        <v>44522</v>
      </c>
      <c r="C353" s="1" t="n">
        <v>45474</v>
      </c>
      <c r="D353" t="inlineStr">
        <is>
          <t>UPPSALA LÄN</t>
        </is>
      </c>
      <c r="E353" t="inlineStr">
        <is>
          <t>ÖSTHAMMAR</t>
        </is>
      </c>
      <c r="G353" t="n">
        <v>8.6</v>
      </c>
      <c r="H353" t="n">
        <v>0</v>
      </c>
      <c r="I353" t="n">
        <v>0</v>
      </c>
      <c r="J353" t="n">
        <v>0</v>
      </c>
      <c r="K353" t="n">
        <v>0</v>
      </c>
      <c r="L353" t="n">
        <v>0</v>
      </c>
      <c r="M353" t="n">
        <v>0</v>
      </c>
      <c r="N353" t="n">
        <v>0</v>
      </c>
      <c r="O353" t="n">
        <v>0</v>
      </c>
      <c r="P353" t="n">
        <v>0</v>
      </c>
      <c r="Q353" t="n">
        <v>0</v>
      </c>
      <c r="R353" s="2" t="inlineStr"/>
    </row>
    <row r="354" ht="15" customHeight="1">
      <c r="A354" t="inlineStr">
        <is>
          <t>A 67151-2021</t>
        </is>
      </c>
      <c r="B354" s="1" t="n">
        <v>44523</v>
      </c>
      <c r="C354" s="1" t="n">
        <v>45474</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67199-2021</t>
        </is>
      </c>
      <c r="B355" s="1" t="n">
        <v>44523</v>
      </c>
      <c r="C355" s="1" t="n">
        <v>45474</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67217-2021</t>
        </is>
      </c>
      <c r="B356" s="1" t="n">
        <v>44523</v>
      </c>
      <c r="C356" s="1" t="n">
        <v>45474</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67859-2021</t>
        </is>
      </c>
      <c r="B357" s="1" t="n">
        <v>44525</v>
      </c>
      <c r="C357" s="1" t="n">
        <v>45474</v>
      </c>
      <c r="D357" t="inlineStr">
        <is>
          <t>UPPSALA LÄN</t>
        </is>
      </c>
      <c r="E357" t="inlineStr">
        <is>
          <t>ÖSTHAMMAR</t>
        </is>
      </c>
      <c r="G357" t="n">
        <v>1.9</v>
      </c>
      <c r="H357" t="n">
        <v>0</v>
      </c>
      <c r="I357" t="n">
        <v>0</v>
      </c>
      <c r="J357" t="n">
        <v>0</v>
      </c>
      <c r="K357" t="n">
        <v>0</v>
      </c>
      <c r="L357" t="n">
        <v>0</v>
      </c>
      <c r="M357" t="n">
        <v>0</v>
      </c>
      <c r="N357" t="n">
        <v>0</v>
      </c>
      <c r="O357" t="n">
        <v>0</v>
      </c>
      <c r="P357" t="n">
        <v>0</v>
      </c>
      <c r="Q357" t="n">
        <v>0</v>
      </c>
      <c r="R357" s="2" t="inlineStr"/>
    </row>
    <row r="358" ht="15" customHeight="1">
      <c r="A358" t="inlineStr">
        <is>
          <t>A 67848-2021</t>
        </is>
      </c>
      <c r="B358" s="1" t="n">
        <v>44525</v>
      </c>
      <c r="C358" s="1" t="n">
        <v>45474</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69505-2021</t>
        </is>
      </c>
      <c r="B359" s="1" t="n">
        <v>44531</v>
      </c>
      <c r="C359" s="1" t="n">
        <v>45474</v>
      </c>
      <c r="D359" t="inlineStr">
        <is>
          <t>UPPSALA LÄN</t>
        </is>
      </c>
      <c r="E359" t="inlineStr">
        <is>
          <t>ÖSTHAMMAR</t>
        </is>
      </c>
      <c r="F359" t="inlineStr">
        <is>
          <t>Bergvik skog öst AB</t>
        </is>
      </c>
      <c r="G359" t="n">
        <v>5.4</v>
      </c>
      <c r="H359" t="n">
        <v>0</v>
      </c>
      <c r="I359" t="n">
        <v>0</v>
      </c>
      <c r="J359" t="n">
        <v>0</v>
      </c>
      <c r="K359" t="n">
        <v>0</v>
      </c>
      <c r="L359" t="n">
        <v>0</v>
      </c>
      <c r="M359" t="n">
        <v>0</v>
      </c>
      <c r="N359" t="n">
        <v>0</v>
      </c>
      <c r="O359" t="n">
        <v>0</v>
      </c>
      <c r="P359" t="n">
        <v>0</v>
      </c>
      <c r="Q359" t="n">
        <v>0</v>
      </c>
      <c r="R359" s="2" t="inlineStr"/>
    </row>
    <row r="360" ht="15" customHeight="1">
      <c r="A360" t="inlineStr">
        <is>
          <t>A 69411-2021</t>
        </is>
      </c>
      <c r="B360" s="1" t="n">
        <v>44531</v>
      </c>
      <c r="C360" s="1" t="n">
        <v>45474</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69518-2021</t>
        </is>
      </c>
      <c r="B361" s="1" t="n">
        <v>44531</v>
      </c>
      <c r="C361" s="1" t="n">
        <v>45474</v>
      </c>
      <c r="D361" t="inlineStr">
        <is>
          <t>UPPSALA LÄN</t>
        </is>
      </c>
      <c r="E361" t="inlineStr">
        <is>
          <t>ÖSTHAMMAR</t>
        </is>
      </c>
      <c r="G361" t="n">
        <v>4.5</v>
      </c>
      <c r="H361" t="n">
        <v>0</v>
      </c>
      <c r="I361" t="n">
        <v>0</v>
      </c>
      <c r="J361" t="n">
        <v>0</v>
      </c>
      <c r="K361" t="n">
        <v>0</v>
      </c>
      <c r="L361" t="n">
        <v>0</v>
      </c>
      <c r="M361" t="n">
        <v>0</v>
      </c>
      <c r="N361" t="n">
        <v>0</v>
      </c>
      <c r="O361" t="n">
        <v>0</v>
      </c>
      <c r="P361" t="n">
        <v>0</v>
      </c>
      <c r="Q361" t="n">
        <v>0</v>
      </c>
      <c r="R361" s="2" t="inlineStr"/>
    </row>
    <row r="362" ht="15" customHeight="1">
      <c r="A362" t="inlineStr">
        <is>
          <t>A 70008-2021</t>
        </is>
      </c>
      <c r="B362" s="1" t="n">
        <v>44533</v>
      </c>
      <c r="C362" s="1" t="n">
        <v>45474</v>
      </c>
      <c r="D362" t="inlineStr">
        <is>
          <t>UPPSALA LÄN</t>
        </is>
      </c>
      <c r="E362" t="inlineStr">
        <is>
          <t>ÖSTHAMMAR</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70408-2021</t>
        </is>
      </c>
      <c r="B363" s="1" t="n">
        <v>44536</v>
      </c>
      <c r="C363" s="1" t="n">
        <v>45474</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72627-2021</t>
        </is>
      </c>
      <c r="B364" s="1" t="n">
        <v>44546</v>
      </c>
      <c r="C364" s="1" t="n">
        <v>45474</v>
      </c>
      <c r="D364" t="inlineStr">
        <is>
          <t>UPPSALA LÄN</t>
        </is>
      </c>
      <c r="E364" t="inlineStr">
        <is>
          <t>ÖSTHAMMAR</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72637-2021</t>
        </is>
      </c>
      <c r="B365" s="1" t="n">
        <v>44546</v>
      </c>
      <c r="C365" s="1" t="n">
        <v>45474</v>
      </c>
      <c r="D365" t="inlineStr">
        <is>
          <t>UPPSALA LÄN</t>
        </is>
      </c>
      <c r="E365" t="inlineStr">
        <is>
          <t>ÖSTHAMMAR</t>
        </is>
      </c>
      <c r="G365" t="n">
        <v>2.5</v>
      </c>
      <c r="H365" t="n">
        <v>0</v>
      </c>
      <c r="I365" t="n">
        <v>0</v>
      </c>
      <c r="J365" t="n">
        <v>0</v>
      </c>
      <c r="K365" t="n">
        <v>0</v>
      </c>
      <c r="L365" t="n">
        <v>0</v>
      </c>
      <c r="M365" t="n">
        <v>0</v>
      </c>
      <c r="N365" t="n">
        <v>0</v>
      </c>
      <c r="O365" t="n">
        <v>0</v>
      </c>
      <c r="P365" t="n">
        <v>0</v>
      </c>
      <c r="Q365" t="n">
        <v>0</v>
      </c>
      <c r="R365" s="2" t="inlineStr"/>
    </row>
    <row r="366" ht="15" customHeight="1">
      <c r="A366" t="inlineStr">
        <is>
          <t>A 72969-2021</t>
        </is>
      </c>
      <c r="B366" s="1" t="n">
        <v>44548</v>
      </c>
      <c r="C366" s="1" t="n">
        <v>45474</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73483-2021</t>
        </is>
      </c>
      <c r="B367" s="1" t="n">
        <v>44550</v>
      </c>
      <c r="C367" s="1" t="n">
        <v>45474</v>
      </c>
      <c r="D367" t="inlineStr">
        <is>
          <t>UPPSALA LÄN</t>
        </is>
      </c>
      <c r="E367" t="inlineStr">
        <is>
          <t>ÖSTHAMMAR</t>
        </is>
      </c>
      <c r="G367" t="n">
        <v>2.8</v>
      </c>
      <c r="H367" t="n">
        <v>0</v>
      </c>
      <c r="I367" t="n">
        <v>0</v>
      </c>
      <c r="J367" t="n">
        <v>0</v>
      </c>
      <c r="K367" t="n">
        <v>0</v>
      </c>
      <c r="L367" t="n">
        <v>0</v>
      </c>
      <c r="M367" t="n">
        <v>0</v>
      </c>
      <c r="N367" t="n">
        <v>0</v>
      </c>
      <c r="O367" t="n">
        <v>0</v>
      </c>
      <c r="P367" t="n">
        <v>0</v>
      </c>
      <c r="Q367" t="n">
        <v>0</v>
      </c>
      <c r="R367" s="2" t="inlineStr"/>
    </row>
    <row r="368" ht="15" customHeight="1">
      <c r="A368" t="inlineStr">
        <is>
          <t>A 73592-2021</t>
        </is>
      </c>
      <c r="B368" s="1" t="n">
        <v>44552</v>
      </c>
      <c r="C368" s="1" t="n">
        <v>45474</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73965-2021</t>
        </is>
      </c>
      <c r="B369" s="1" t="n">
        <v>44553</v>
      </c>
      <c r="C369" s="1" t="n">
        <v>45474</v>
      </c>
      <c r="D369" t="inlineStr">
        <is>
          <t>UPPSALA LÄN</t>
        </is>
      </c>
      <c r="E369" t="inlineStr">
        <is>
          <t>ÖSTHAMMAR</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73982-2021</t>
        </is>
      </c>
      <c r="B370" s="1" t="n">
        <v>44555</v>
      </c>
      <c r="C370" s="1" t="n">
        <v>45474</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73983-2021</t>
        </is>
      </c>
      <c r="B371" s="1" t="n">
        <v>44555</v>
      </c>
      <c r="C371" s="1" t="n">
        <v>45474</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74429-2021</t>
        </is>
      </c>
      <c r="B372" s="1" t="n">
        <v>44560</v>
      </c>
      <c r="C372" s="1" t="n">
        <v>45474</v>
      </c>
      <c r="D372" t="inlineStr">
        <is>
          <t>UPPSALA LÄN</t>
        </is>
      </c>
      <c r="E372" t="inlineStr">
        <is>
          <t>ÖSTHAMMAR</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74467-2021</t>
        </is>
      </c>
      <c r="B373" s="1" t="n">
        <v>44560</v>
      </c>
      <c r="C373" s="1" t="n">
        <v>45474</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74428-2021</t>
        </is>
      </c>
      <c r="B374" s="1" t="n">
        <v>44560</v>
      </c>
      <c r="C374" s="1" t="n">
        <v>45474</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74436-2021</t>
        </is>
      </c>
      <c r="B375" s="1" t="n">
        <v>44560</v>
      </c>
      <c r="C375" s="1" t="n">
        <v>45474</v>
      </c>
      <c r="D375" t="inlineStr">
        <is>
          <t>UPPSALA LÄN</t>
        </is>
      </c>
      <c r="E375" t="inlineStr">
        <is>
          <t>ÖSTHAMMAR</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1238-2022</t>
        </is>
      </c>
      <c r="B376" s="1" t="n">
        <v>44572</v>
      </c>
      <c r="C376" s="1" t="n">
        <v>45474</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1609-2022</t>
        </is>
      </c>
      <c r="B377" s="1" t="n">
        <v>44573</v>
      </c>
      <c r="C377" s="1" t="n">
        <v>45474</v>
      </c>
      <c r="D377" t="inlineStr">
        <is>
          <t>UPPSALA LÄN</t>
        </is>
      </c>
      <c r="E377" t="inlineStr">
        <is>
          <t>ÖSTHAMMAR</t>
        </is>
      </c>
      <c r="G377" t="n">
        <v>5.3</v>
      </c>
      <c r="H377" t="n">
        <v>0</v>
      </c>
      <c r="I377" t="n">
        <v>0</v>
      </c>
      <c r="J377" t="n">
        <v>0</v>
      </c>
      <c r="K377" t="n">
        <v>0</v>
      </c>
      <c r="L377" t="n">
        <v>0</v>
      </c>
      <c r="M377" t="n">
        <v>0</v>
      </c>
      <c r="N377" t="n">
        <v>0</v>
      </c>
      <c r="O377" t="n">
        <v>0</v>
      </c>
      <c r="P377" t="n">
        <v>0</v>
      </c>
      <c r="Q377" t="n">
        <v>0</v>
      </c>
      <c r="R377" s="2" t="inlineStr"/>
    </row>
    <row r="378" ht="15" customHeight="1">
      <c r="A378" t="inlineStr">
        <is>
          <t>A 2085-2022</t>
        </is>
      </c>
      <c r="B378" s="1" t="n">
        <v>44576</v>
      </c>
      <c r="C378" s="1" t="n">
        <v>45474</v>
      </c>
      <c r="D378" t="inlineStr">
        <is>
          <t>UPPSALA LÄN</t>
        </is>
      </c>
      <c r="E378" t="inlineStr">
        <is>
          <t>ÖSTHAMMAR</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2108-2022</t>
        </is>
      </c>
      <c r="B379" s="1" t="n">
        <v>44577</v>
      </c>
      <c r="C379" s="1" t="n">
        <v>45474</v>
      </c>
      <c r="D379" t="inlineStr">
        <is>
          <t>UPPSALA LÄN</t>
        </is>
      </c>
      <c r="E379" t="inlineStr">
        <is>
          <t>ÖSTHAMMAR</t>
        </is>
      </c>
      <c r="F379" t="inlineStr">
        <is>
          <t>Bergvik skog öst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2168-2022</t>
        </is>
      </c>
      <c r="B380" s="1" t="n">
        <v>44578</v>
      </c>
      <c r="C380" s="1" t="n">
        <v>45474</v>
      </c>
      <c r="D380" t="inlineStr">
        <is>
          <t>UPPSALA LÄN</t>
        </is>
      </c>
      <c r="E380" t="inlineStr">
        <is>
          <t>ÖSTHAMMAR</t>
        </is>
      </c>
      <c r="G380" t="n">
        <v>2.9</v>
      </c>
      <c r="H380" t="n">
        <v>0</v>
      </c>
      <c r="I380" t="n">
        <v>0</v>
      </c>
      <c r="J380" t="n">
        <v>0</v>
      </c>
      <c r="K380" t="n">
        <v>0</v>
      </c>
      <c r="L380" t="n">
        <v>0</v>
      </c>
      <c r="M380" t="n">
        <v>0</v>
      </c>
      <c r="N380" t="n">
        <v>0</v>
      </c>
      <c r="O380" t="n">
        <v>0</v>
      </c>
      <c r="P380" t="n">
        <v>0</v>
      </c>
      <c r="Q380" t="n">
        <v>0</v>
      </c>
      <c r="R380" s="2" t="inlineStr"/>
    </row>
    <row r="381" ht="15" customHeight="1">
      <c r="A381" t="inlineStr">
        <is>
          <t>A 3638-2022</t>
        </is>
      </c>
      <c r="B381" s="1" t="n">
        <v>44578</v>
      </c>
      <c r="C381" s="1" t="n">
        <v>45474</v>
      </c>
      <c r="D381" t="inlineStr">
        <is>
          <t>UPPSALA LÄN</t>
        </is>
      </c>
      <c r="E381" t="inlineStr">
        <is>
          <t>ÖSTHAMMAR</t>
        </is>
      </c>
      <c r="G381" t="n">
        <v>1.7</v>
      </c>
      <c r="H381" t="n">
        <v>0</v>
      </c>
      <c r="I381" t="n">
        <v>0</v>
      </c>
      <c r="J381" t="n">
        <v>0</v>
      </c>
      <c r="K381" t="n">
        <v>0</v>
      </c>
      <c r="L381" t="n">
        <v>0</v>
      </c>
      <c r="M381" t="n">
        <v>0</v>
      </c>
      <c r="N381" t="n">
        <v>0</v>
      </c>
      <c r="O381" t="n">
        <v>0</v>
      </c>
      <c r="P381" t="n">
        <v>0</v>
      </c>
      <c r="Q381" t="n">
        <v>0</v>
      </c>
      <c r="R381" s="2" t="inlineStr"/>
    </row>
    <row r="382" ht="15" customHeight="1">
      <c r="A382" t="inlineStr">
        <is>
          <t>A 3725-2022</t>
        </is>
      </c>
      <c r="B382" s="1" t="n">
        <v>44586</v>
      </c>
      <c r="C382" s="1" t="n">
        <v>45474</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3732-2022</t>
        </is>
      </c>
      <c r="B383" s="1" t="n">
        <v>44586</v>
      </c>
      <c r="C383" s="1" t="n">
        <v>45474</v>
      </c>
      <c r="D383" t="inlineStr">
        <is>
          <t>UPPSALA LÄN</t>
        </is>
      </c>
      <c r="E383" t="inlineStr">
        <is>
          <t>ÖSTHAMMAR</t>
        </is>
      </c>
      <c r="F383" t="inlineStr">
        <is>
          <t>Bergvik skog öst AB</t>
        </is>
      </c>
      <c r="G383" t="n">
        <v>3.6</v>
      </c>
      <c r="H383" t="n">
        <v>0</v>
      </c>
      <c r="I383" t="n">
        <v>0</v>
      </c>
      <c r="J383" t="n">
        <v>0</v>
      </c>
      <c r="K383" t="n">
        <v>0</v>
      </c>
      <c r="L383" t="n">
        <v>0</v>
      </c>
      <c r="M383" t="n">
        <v>0</v>
      </c>
      <c r="N383" t="n">
        <v>0</v>
      </c>
      <c r="O383" t="n">
        <v>0</v>
      </c>
      <c r="P383" t="n">
        <v>0</v>
      </c>
      <c r="Q383" t="n">
        <v>0</v>
      </c>
      <c r="R383" s="2" t="inlineStr"/>
    </row>
    <row r="384" ht="15" customHeight="1">
      <c r="A384" t="inlineStr">
        <is>
          <t>A 3740-2022</t>
        </is>
      </c>
      <c r="B384" s="1" t="n">
        <v>44586</v>
      </c>
      <c r="C384" s="1" t="n">
        <v>45474</v>
      </c>
      <c r="D384" t="inlineStr">
        <is>
          <t>UPPSALA LÄN</t>
        </is>
      </c>
      <c r="E384" t="inlineStr">
        <is>
          <t>ÖSTHAMMAR</t>
        </is>
      </c>
      <c r="F384" t="inlineStr">
        <is>
          <t>Bergvik skog öst AB</t>
        </is>
      </c>
      <c r="G384" t="n">
        <v>7.7</v>
      </c>
      <c r="H384" t="n">
        <v>0</v>
      </c>
      <c r="I384" t="n">
        <v>0</v>
      </c>
      <c r="J384" t="n">
        <v>0</v>
      </c>
      <c r="K384" t="n">
        <v>0</v>
      </c>
      <c r="L384" t="n">
        <v>0</v>
      </c>
      <c r="M384" t="n">
        <v>0</v>
      </c>
      <c r="N384" t="n">
        <v>0</v>
      </c>
      <c r="O384" t="n">
        <v>0</v>
      </c>
      <c r="P384" t="n">
        <v>0</v>
      </c>
      <c r="Q384" t="n">
        <v>0</v>
      </c>
      <c r="R384" s="2" t="inlineStr"/>
    </row>
    <row r="385" ht="15" customHeight="1">
      <c r="A385" t="inlineStr">
        <is>
          <t>A 3991-2022</t>
        </is>
      </c>
      <c r="B385" s="1" t="n">
        <v>44587</v>
      </c>
      <c r="C385" s="1" t="n">
        <v>45474</v>
      </c>
      <c r="D385" t="inlineStr">
        <is>
          <t>UPPSALA LÄN</t>
        </is>
      </c>
      <c r="E385" t="inlineStr">
        <is>
          <t>ÖSTHAMMAR</t>
        </is>
      </c>
      <c r="F385" t="inlineStr">
        <is>
          <t>Bergvik skog öst AB</t>
        </is>
      </c>
      <c r="G385" t="n">
        <v>3.7</v>
      </c>
      <c r="H385" t="n">
        <v>0</v>
      </c>
      <c r="I385" t="n">
        <v>0</v>
      </c>
      <c r="J385" t="n">
        <v>0</v>
      </c>
      <c r="K385" t="n">
        <v>0</v>
      </c>
      <c r="L385" t="n">
        <v>0</v>
      </c>
      <c r="M385" t="n">
        <v>0</v>
      </c>
      <c r="N385" t="n">
        <v>0</v>
      </c>
      <c r="O385" t="n">
        <v>0</v>
      </c>
      <c r="P385" t="n">
        <v>0</v>
      </c>
      <c r="Q385" t="n">
        <v>0</v>
      </c>
      <c r="R385" s="2" t="inlineStr"/>
    </row>
    <row r="386" ht="15" customHeight="1">
      <c r="A386" t="inlineStr">
        <is>
          <t>A 4101-2022</t>
        </is>
      </c>
      <c r="B386" s="1" t="n">
        <v>44588</v>
      </c>
      <c r="C386" s="1" t="n">
        <v>45474</v>
      </c>
      <c r="D386" t="inlineStr">
        <is>
          <t>UPPSALA LÄN</t>
        </is>
      </c>
      <c r="E386" t="inlineStr">
        <is>
          <t>ÖSTHAMMAR</t>
        </is>
      </c>
      <c r="G386" t="n">
        <v>4.4</v>
      </c>
      <c r="H386" t="n">
        <v>0</v>
      </c>
      <c r="I386" t="n">
        <v>0</v>
      </c>
      <c r="J386" t="n">
        <v>0</v>
      </c>
      <c r="K386" t="n">
        <v>0</v>
      </c>
      <c r="L386" t="n">
        <v>0</v>
      </c>
      <c r="M386" t="n">
        <v>0</v>
      </c>
      <c r="N386" t="n">
        <v>0</v>
      </c>
      <c r="O386" t="n">
        <v>0</v>
      </c>
      <c r="P386" t="n">
        <v>0</v>
      </c>
      <c r="Q386" t="n">
        <v>0</v>
      </c>
      <c r="R386" s="2" t="inlineStr"/>
    </row>
    <row r="387" ht="15" customHeight="1">
      <c r="A387" t="inlineStr">
        <is>
          <t>A 4318-2022</t>
        </is>
      </c>
      <c r="B387" s="1" t="n">
        <v>44588</v>
      </c>
      <c r="C387" s="1" t="n">
        <v>45474</v>
      </c>
      <c r="D387" t="inlineStr">
        <is>
          <t>UPPSALA LÄN</t>
        </is>
      </c>
      <c r="E387" t="inlineStr">
        <is>
          <t>ÖSTHAMMAR</t>
        </is>
      </c>
      <c r="F387" t="inlineStr">
        <is>
          <t>Bergvik skog öst AB</t>
        </is>
      </c>
      <c r="G387" t="n">
        <v>9.6</v>
      </c>
      <c r="H387" t="n">
        <v>0</v>
      </c>
      <c r="I387" t="n">
        <v>0</v>
      </c>
      <c r="J387" t="n">
        <v>0</v>
      </c>
      <c r="K387" t="n">
        <v>0</v>
      </c>
      <c r="L387" t="n">
        <v>0</v>
      </c>
      <c r="M387" t="n">
        <v>0</v>
      </c>
      <c r="N387" t="n">
        <v>0</v>
      </c>
      <c r="O387" t="n">
        <v>0</v>
      </c>
      <c r="P387" t="n">
        <v>0</v>
      </c>
      <c r="Q387" t="n">
        <v>0</v>
      </c>
      <c r="R387" s="2" t="inlineStr"/>
    </row>
    <row r="388" ht="15" customHeight="1">
      <c r="A388" t="inlineStr">
        <is>
          <t>A 4315-2022</t>
        </is>
      </c>
      <c r="B388" s="1" t="n">
        <v>44588</v>
      </c>
      <c r="C388" s="1" t="n">
        <v>45474</v>
      </c>
      <c r="D388" t="inlineStr">
        <is>
          <t>UPPSALA LÄN</t>
        </is>
      </c>
      <c r="E388" t="inlineStr">
        <is>
          <t>ÖSTHAMMAR</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4491-2022</t>
        </is>
      </c>
      <c r="B389" s="1" t="n">
        <v>44589</v>
      </c>
      <c r="C389" s="1" t="n">
        <v>45474</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4357-2022</t>
        </is>
      </c>
      <c r="B390" s="1" t="n">
        <v>44589</v>
      </c>
      <c r="C390" s="1" t="n">
        <v>45474</v>
      </c>
      <c r="D390" t="inlineStr">
        <is>
          <t>UPPSALA LÄN</t>
        </is>
      </c>
      <c r="E390" t="inlineStr">
        <is>
          <t>ÖSTHAMMAR</t>
        </is>
      </c>
      <c r="G390" t="n">
        <v>0.7</v>
      </c>
      <c r="H390" t="n">
        <v>0</v>
      </c>
      <c r="I390" t="n">
        <v>0</v>
      </c>
      <c r="J390" t="n">
        <v>0</v>
      </c>
      <c r="K390" t="n">
        <v>0</v>
      </c>
      <c r="L390" t="n">
        <v>0</v>
      </c>
      <c r="M390" t="n">
        <v>0</v>
      </c>
      <c r="N390" t="n">
        <v>0</v>
      </c>
      <c r="O390" t="n">
        <v>0</v>
      </c>
      <c r="P390" t="n">
        <v>0</v>
      </c>
      <c r="Q390" t="n">
        <v>0</v>
      </c>
      <c r="R390" s="2" t="inlineStr"/>
    </row>
    <row r="391" ht="15" customHeight="1">
      <c r="A391" t="inlineStr">
        <is>
          <t>A 4563-2022</t>
        </is>
      </c>
      <c r="B391" s="1" t="n">
        <v>44591</v>
      </c>
      <c r="C391" s="1" t="n">
        <v>45474</v>
      </c>
      <c r="D391" t="inlineStr">
        <is>
          <t>UPPSALA LÄN</t>
        </is>
      </c>
      <c r="E391" t="inlineStr">
        <is>
          <t>ÖSTHAMMAR</t>
        </is>
      </c>
      <c r="F391" t="inlineStr">
        <is>
          <t>Bergvik skog öst AB</t>
        </is>
      </c>
      <c r="G391" t="n">
        <v>1.9</v>
      </c>
      <c r="H391" t="n">
        <v>0</v>
      </c>
      <c r="I391" t="n">
        <v>0</v>
      </c>
      <c r="J391" t="n">
        <v>0</v>
      </c>
      <c r="K391" t="n">
        <v>0</v>
      </c>
      <c r="L391" t="n">
        <v>0</v>
      </c>
      <c r="M391" t="n">
        <v>0</v>
      </c>
      <c r="N391" t="n">
        <v>0</v>
      </c>
      <c r="O391" t="n">
        <v>0</v>
      </c>
      <c r="P391" t="n">
        <v>0</v>
      </c>
      <c r="Q391" t="n">
        <v>0</v>
      </c>
      <c r="R391" s="2" t="inlineStr"/>
    </row>
    <row r="392" ht="15" customHeight="1">
      <c r="A392" t="inlineStr">
        <is>
          <t>A 4562-2022</t>
        </is>
      </c>
      <c r="B392" s="1" t="n">
        <v>44591</v>
      </c>
      <c r="C392" s="1" t="n">
        <v>45474</v>
      </c>
      <c r="D392" t="inlineStr">
        <is>
          <t>UPPSALA LÄN</t>
        </is>
      </c>
      <c r="E392" t="inlineStr">
        <is>
          <t>ÖSTHAMMAR</t>
        </is>
      </c>
      <c r="G392" t="n">
        <v>3.4</v>
      </c>
      <c r="H392" t="n">
        <v>0</v>
      </c>
      <c r="I392" t="n">
        <v>0</v>
      </c>
      <c r="J392" t="n">
        <v>0</v>
      </c>
      <c r="K392" t="n">
        <v>0</v>
      </c>
      <c r="L392" t="n">
        <v>0</v>
      </c>
      <c r="M392" t="n">
        <v>0</v>
      </c>
      <c r="N392" t="n">
        <v>0</v>
      </c>
      <c r="O392" t="n">
        <v>0</v>
      </c>
      <c r="P392" t="n">
        <v>0</v>
      </c>
      <c r="Q392" t="n">
        <v>0</v>
      </c>
      <c r="R392" s="2" t="inlineStr"/>
    </row>
    <row r="393" ht="15" customHeight="1">
      <c r="A393" t="inlineStr">
        <is>
          <t>A 4561-2022</t>
        </is>
      </c>
      <c r="B393" s="1" t="n">
        <v>44591</v>
      </c>
      <c r="C393" s="1" t="n">
        <v>45474</v>
      </c>
      <c r="D393" t="inlineStr">
        <is>
          <t>UPPSALA LÄN</t>
        </is>
      </c>
      <c r="E393" t="inlineStr">
        <is>
          <t>ÖSTHAMMAR</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v>
      </c>
      <c r="C394" s="1" t="n">
        <v>45474</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4565-2022</t>
        </is>
      </c>
      <c r="B395" s="1" t="n">
        <v>44591</v>
      </c>
      <c r="C395" s="1" t="n">
        <v>45474</v>
      </c>
      <c r="D395" t="inlineStr">
        <is>
          <t>UPPSALA LÄN</t>
        </is>
      </c>
      <c r="E395" t="inlineStr">
        <is>
          <t>ÖSTHAMMAR</t>
        </is>
      </c>
      <c r="F395" t="inlineStr">
        <is>
          <t>Bergvik skog öst AB</t>
        </is>
      </c>
      <c r="G395" t="n">
        <v>5.3</v>
      </c>
      <c r="H395" t="n">
        <v>0</v>
      </c>
      <c r="I395" t="n">
        <v>0</v>
      </c>
      <c r="J395" t="n">
        <v>0</v>
      </c>
      <c r="K395" t="n">
        <v>0</v>
      </c>
      <c r="L395" t="n">
        <v>0</v>
      </c>
      <c r="M395" t="n">
        <v>0</v>
      </c>
      <c r="N395" t="n">
        <v>0</v>
      </c>
      <c r="O395" t="n">
        <v>0</v>
      </c>
      <c r="P395" t="n">
        <v>0</v>
      </c>
      <c r="Q395" t="n">
        <v>0</v>
      </c>
      <c r="R395" s="2" t="inlineStr"/>
    </row>
    <row r="396" ht="15" customHeight="1">
      <c r="A396" t="inlineStr">
        <is>
          <t>A 5855-2022</t>
        </is>
      </c>
      <c r="B396" s="1" t="n">
        <v>44596</v>
      </c>
      <c r="C396" s="1" t="n">
        <v>45474</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5974-2022</t>
        </is>
      </c>
      <c r="B397" s="1" t="n">
        <v>44597</v>
      </c>
      <c r="C397" s="1" t="n">
        <v>45474</v>
      </c>
      <c r="D397" t="inlineStr">
        <is>
          <t>UPPSALA LÄN</t>
        </is>
      </c>
      <c r="E397" t="inlineStr">
        <is>
          <t>ÖSTHAMMAR</t>
        </is>
      </c>
      <c r="G397" t="n">
        <v>1.8</v>
      </c>
      <c r="H397" t="n">
        <v>0</v>
      </c>
      <c r="I397" t="n">
        <v>0</v>
      </c>
      <c r="J397" t="n">
        <v>0</v>
      </c>
      <c r="K397" t="n">
        <v>0</v>
      </c>
      <c r="L397" t="n">
        <v>0</v>
      </c>
      <c r="M397" t="n">
        <v>0</v>
      </c>
      <c r="N397" t="n">
        <v>0</v>
      </c>
      <c r="O397" t="n">
        <v>0</v>
      </c>
      <c r="P397" t="n">
        <v>0</v>
      </c>
      <c r="Q397" t="n">
        <v>0</v>
      </c>
      <c r="R397" s="2" t="inlineStr"/>
    </row>
    <row r="398" ht="15" customHeight="1">
      <c r="A398" t="inlineStr">
        <is>
          <t>A 5933-2022</t>
        </is>
      </c>
      <c r="B398" s="1" t="n">
        <v>44598</v>
      </c>
      <c r="C398" s="1" t="n">
        <v>45474</v>
      </c>
      <c r="D398" t="inlineStr">
        <is>
          <t>UPPSALA LÄN</t>
        </is>
      </c>
      <c r="E398" t="inlineStr">
        <is>
          <t>ÖSTHAMMAR</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5934-2022</t>
        </is>
      </c>
      <c r="B399" s="1" t="n">
        <v>44598</v>
      </c>
      <c r="C399" s="1" t="n">
        <v>45474</v>
      </c>
      <c r="D399" t="inlineStr">
        <is>
          <t>UPPSALA LÄN</t>
        </is>
      </c>
      <c r="E399" t="inlineStr">
        <is>
          <t>ÖSTHAMMAR</t>
        </is>
      </c>
      <c r="F399" t="inlineStr">
        <is>
          <t>Bergvik skog öst AB</t>
        </is>
      </c>
      <c r="G399" t="n">
        <v>2.4</v>
      </c>
      <c r="H399" t="n">
        <v>0</v>
      </c>
      <c r="I399" t="n">
        <v>0</v>
      </c>
      <c r="J399" t="n">
        <v>0</v>
      </c>
      <c r="K399" t="n">
        <v>0</v>
      </c>
      <c r="L399" t="n">
        <v>0</v>
      </c>
      <c r="M399" t="n">
        <v>0</v>
      </c>
      <c r="N399" t="n">
        <v>0</v>
      </c>
      <c r="O399" t="n">
        <v>0</v>
      </c>
      <c r="P399" t="n">
        <v>0</v>
      </c>
      <c r="Q399" t="n">
        <v>0</v>
      </c>
      <c r="R399" s="2" t="inlineStr"/>
    </row>
    <row r="400" ht="15" customHeight="1">
      <c r="A400" t="inlineStr">
        <is>
          <t>A 5932-2022</t>
        </is>
      </c>
      <c r="B400" s="1" t="n">
        <v>44598</v>
      </c>
      <c r="C400" s="1" t="n">
        <v>45474</v>
      </c>
      <c r="D400" t="inlineStr">
        <is>
          <t>UPPSALA LÄN</t>
        </is>
      </c>
      <c r="E400" t="inlineStr">
        <is>
          <t>ÖSTHAMMAR</t>
        </is>
      </c>
      <c r="F400" t="inlineStr">
        <is>
          <t>Bergvik skog öst AB</t>
        </is>
      </c>
      <c r="G400" t="n">
        <v>0.3</v>
      </c>
      <c r="H400" t="n">
        <v>0</v>
      </c>
      <c r="I400" t="n">
        <v>0</v>
      </c>
      <c r="J400" t="n">
        <v>0</v>
      </c>
      <c r="K400" t="n">
        <v>0</v>
      </c>
      <c r="L400" t="n">
        <v>0</v>
      </c>
      <c r="M400" t="n">
        <v>0</v>
      </c>
      <c r="N400" t="n">
        <v>0</v>
      </c>
      <c r="O400" t="n">
        <v>0</v>
      </c>
      <c r="P400" t="n">
        <v>0</v>
      </c>
      <c r="Q400" t="n">
        <v>0</v>
      </c>
      <c r="R400" s="2" t="inlineStr"/>
    </row>
    <row r="401" ht="15" customHeight="1">
      <c r="A401" t="inlineStr">
        <is>
          <t>A 5931-2022</t>
        </is>
      </c>
      <c r="B401" s="1" t="n">
        <v>44598</v>
      </c>
      <c r="C401" s="1" t="n">
        <v>45474</v>
      </c>
      <c r="D401" t="inlineStr">
        <is>
          <t>UPPSALA LÄN</t>
        </is>
      </c>
      <c r="E401" t="inlineStr">
        <is>
          <t>ÖSTHAMMAR</t>
        </is>
      </c>
      <c r="F401" t="inlineStr">
        <is>
          <t>Bergvik skog öst AB</t>
        </is>
      </c>
      <c r="G401" t="n">
        <v>0.7</v>
      </c>
      <c r="H401" t="n">
        <v>0</v>
      </c>
      <c r="I401" t="n">
        <v>0</v>
      </c>
      <c r="J401" t="n">
        <v>0</v>
      </c>
      <c r="K401" t="n">
        <v>0</v>
      </c>
      <c r="L401" t="n">
        <v>0</v>
      </c>
      <c r="M401" t="n">
        <v>0</v>
      </c>
      <c r="N401" t="n">
        <v>0</v>
      </c>
      <c r="O401" t="n">
        <v>0</v>
      </c>
      <c r="P401" t="n">
        <v>0</v>
      </c>
      <c r="Q401" t="n">
        <v>0</v>
      </c>
      <c r="R401" s="2" t="inlineStr"/>
    </row>
    <row r="402" ht="15" customHeight="1">
      <c r="A402" t="inlineStr">
        <is>
          <t>A 6143-2022</t>
        </is>
      </c>
      <c r="B402" s="1" t="n">
        <v>44599</v>
      </c>
      <c r="C402" s="1" t="n">
        <v>45474</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6153-2022</t>
        </is>
      </c>
      <c r="B403" s="1" t="n">
        <v>44599</v>
      </c>
      <c r="C403" s="1" t="n">
        <v>45474</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6206-2022</t>
        </is>
      </c>
      <c r="B404" s="1" t="n">
        <v>44600</v>
      </c>
      <c r="C404" s="1" t="n">
        <v>45474</v>
      </c>
      <c r="D404" t="inlineStr">
        <is>
          <t>UPPSALA LÄN</t>
        </is>
      </c>
      <c r="E404" t="inlineStr">
        <is>
          <t>ÖSTHAMMAR</t>
        </is>
      </c>
      <c r="G404" t="n">
        <v>7.4</v>
      </c>
      <c r="H404" t="n">
        <v>0</v>
      </c>
      <c r="I404" t="n">
        <v>0</v>
      </c>
      <c r="J404" t="n">
        <v>0</v>
      </c>
      <c r="K404" t="n">
        <v>0</v>
      </c>
      <c r="L404" t="n">
        <v>0</v>
      </c>
      <c r="M404" t="n">
        <v>0</v>
      </c>
      <c r="N404" t="n">
        <v>0</v>
      </c>
      <c r="O404" t="n">
        <v>0</v>
      </c>
      <c r="P404" t="n">
        <v>0</v>
      </c>
      <c r="Q404" t="n">
        <v>0</v>
      </c>
      <c r="R404" s="2" t="inlineStr"/>
    </row>
    <row r="405" ht="15" customHeight="1">
      <c r="A405" t="inlineStr">
        <is>
          <t>A 6313-2022</t>
        </is>
      </c>
      <c r="B405" s="1" t="n">
        <v>44600</v>
      </c>
      <c r="C405" s="1" t="n">
        <v>45474</v>
      </c>
      <c r="D405" t="inlineStr">
        <is>
          <t>UPPSALA LÄN</t>
        </is>
      </c>
      <c r="E405" t="inlineStr">
        <is>
          <t>ÖSTHAMMAR</t>
        </is>
      </c>
      <c r="G405" t="n">
        <v>4</v>
      </c>
      <c r="H405" t="n">
        <v>0</v>
      </c>
      <c r="I405" t="n">
        <v>0</v>
      </c>
      <c r="J405" t="n">
        <v>0</v>
      </c>
      <c r="K405" t="n">
        <v>0</v>
      </c>
      <c r="L405" t="n">
        <v>0</v>
      </c>
      <c r="M405" t="n">
        <v>0</v>
      </c>
      <c r="N405" t="n">
        <v>0</v>
      </c>
      <c r="O405" t="n">
        <v>0</v>
      </c>
      <c r="P405" t="n">
        <v>0</v>
      </c>
      <c r="Q405" t="n">
        <v>0</v>
      </c>
      <c r="R405" s="2" t="inlineStr"/>
    </row>
    <row r="406" ht="15" customHeight="1">
      <c r="A406" t="inlineStr">
        <is>
          <t>A 6892-2022</t>
        </is>
      </c>
      <c r="B406" s="1" t="n">
        <v>44602</v>
      </c>
      <c r="C406" s="1" t="n">
        <v>45474</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7181-2022</t>
        </is>
      </c>
      <c r="B407" s="1" t="n">
        <v>44605</v>
      </c>
      <c r="C407" s="1" t="n">
        <v>45474</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7302-2022</t>
        </is>
      </c>
      <c r="B408" s="1" t="n">
        <v>44606</v>
      </c>
      <c r="C408" s="1" t="n">
        <v>45474</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7475-2022</t>
        </is>
      </c>
      <c r="B409" s="1" t="n">
        <v>44607</v>
      </c>
      <c r="C409" s="1" t="n">
        <v>45474</v>
      </c>
      <c r="D409" t="inlineStr">
        <is>
          <t>UPPSALA LÄN</t>
        </is>
      </c>
      <c r="E409" t="inlineStr">
        <is>
          <t>ÖSTHAMMAR</t>
        </is>
      </c>
      <c r="G409" t="n">
        <v>2.2</v>
      </c>
      <c r="H409" t="n">
        <v>0</v>
      </c>
      <c r="I409" t="n">
        <v>0</v>
      </c>
      <c r="J409" t="n">
        <v>0</v>
      </c>
      <c r="K409" t="n">
        <v>0</v>
      </c>
      <c r="L409" t="n">
        <v>0</v>
      </c>
      <c r="M409" t="n">
        <v>0</v>
      </c>
      <c r="N409" t="n">
        <v>0</v>
      </c>
      <c r="O409" t="n">
        <v>0</v>
      </c>
      <c r="P409" t="n">
        <v>0</v>
      </c>
      <c r="Q409" t="n">
        <v>0</v>
      </c>
      <c r="R409" s="2" t="inlineStr"/>
    </row>
    <row r="410" ht="15" customHeight="1">
      <c r="A410" t="inlineStr">
        <is>
          <t>A 7488-2022</t>
        </is>
      </c>
      <c r="B410" s="1" t="n">
        <v>44607</v>
      </c>
      <c r="C410" s="1" t="n">
        <v>45474</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7858-2022</t>
        </is>
      </c>
      <c r="B411" s="1" t="n">
        <v>44608</v>
      </c>
      <c r="C411" s="1" t="n">
        <v>45474</v>
      </c>
      <c r="D411" t="inlineStr">
        <is>
          <t>UPPSALA LÄN</t>
        </is>
      </c>
      <c r="E411" t="inlineStr">
        <is>
          <t>ÖSTHAMMAR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7871-2022</t>
        </is>
      </c>
      <c r="B412" s="1" t="n">
        <v>44608</v>
      </c>
      <c r="C412" s="1" t="n">
        <v>45474</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7997-2022</t>
        </is>
      </c>
      <c r="B413" s="1" t="n">
        <v>44609</v>
      </c>
      <c r="C413" s="1" t="n">
        <v>45474</v>
      </c>
      <c r="D413" t="inlineStr">
        <is>
          <t>UPPSALA LÄN</t>
        </is>
      </c>
      <c r="E413" t="inlineStr">
        <is>
          <t>ÖSTHAMMAR</t>
        </is>
      </c>
      <c r="G413" t="n">
        <v>1.8</v>
      </c>
      <c r="H413" t="n">
        <v>0</v>
      </c>
      <c r="I413" t="n">
        <v>0</v>
      </c>
      <c r="J413" t="n">
        <v>0</v>
      </c>
      <c r="K413" t="n">
        <v>0</v>
      </c>
      <c r="L413" t="n">
        <v>0</v>
      </c>
      <c r="M413" t="n">
        <v>0</v>
      </c>
      <c r="N413" t="n">
        <v>0</v>
      </c>
      <c r="O413" t="n">
        <v>0</v>
      </c>
      <c r="P413" t="n">
        <v>0</v>
      </c>
      <c r="Q413" t="n">
        <v>0</v>
      </c>
      <c r="R413" s="2" t="inlineStr"/>
    </row>
    <row r="414" ht="15" customHeight="1">
      <c r="A414" t="inlineStr">
        <is>
          <t>A 8283-2022</t>
        </is>
      </c>
      <c r="B414" s="1" t="n">
        <v>44610</v>
      </c>
      <c r="C414" s="1" t="n">
        <v>45474</v>
      </c>
      <c r="D414" t="inlineStr">
        <is>
          <t>UPPSALA LÄN</t>
        </is>
      </c>
      <c r="E414" t="inlineStr">
        <is>
          <t>ÖSTHAMMAR</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8592-2022</t>
        </is>
      </c>
      <c r="B415" s="1" t="n">
        <v>44613</v>
      </c>
      <c r="C415" s="1" t="n">
        <v>45474</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8708-2022</t>
        </is>
      </c>
      <c r="B416" s="1" t="n">
        <v>44613</v>
      </c>
      <c r="C416" s="1" t="n">
        <v>45474</v>
      </c>
      <c r="D416" t="inlineStr">
        <is>
          <t>UPPSALA LÄN</t>
        </is>
      </c>
      <c r="E416" t="inlineStr">
        <is>
          <t>ÖSTHAMMAR</t>
        </is>
      </c>
      <c r="G416" t="n">
        <v>4.3</v>
      </c>
      <c r="H416" t="n">
        <v>0</v>
      </c>
      <c r="I416" t="n">
        <v>0</v>
      </c>
      <c r="J416" t="n">
        <v>0</v>
      </c>
      <c r="K416" t="n">
        <v>0</v>
      </c>
      <c r="L416" t="n">
        <v>0</v>
      </c>
      <c r="M416" t="n">
        <v>0</v>
      </c>
      <c r="N416" t="n">
        <v>0</v>
      </c>
      <c r="O416" t="n">
        <v>0</v>
      </c>
      <c r="P416" t="n">
        <v>0</v>
      </c>
      <c r="Q416" t="n">
        <v>0</v>
      </c>
      <c r="R416" s="2" t="inlineStr"/>
    </row>
    <row r="417" ht="15" customHeight="1">
      <c r="A417" t="inlineStr">
        <is>
          <t>A 8710-2022</t>
        </is>
      </c>
      <c r="B417" s="1" t="n">
        <v>44613</v>
      </c>
      <c r="C417" s="1" t="n">
        <v>45474</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8537-2022</t>
        </is>
      </c>
      <c r="B418" s="1" t="n">
        <v>44613</v>
      </c>
      <c r="C418" s="1" t="n">
        <v>45474</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8554-2022</t>
        </is>
      </c>
      <c r="B419" s="1" t="n">
        <v>44613</v>
      </c>
      <c r="C419" s="1" t="n">
        <v>45474</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8556-2022</t>
        </is>
      </c>
      <c r="B420" s="1" t="n">
        <v>44613</v>
      </c>
      <c r="C420" s="1" t="n">
        <v>45474</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8775-2022</t>
        </is>
      </c>
      <c r="B421" s="1" t="n">
        <v>44614</v>
      </c>
      <c r="C421" s="1" t="n">
        <v>45474</v>
      </c>
      <c r="D421" t="inlineStr">
        <is>
          <t>UPPSALA LÄN</t>
        </is>
      </c>
      <c r="E421" t="inlineStr">
        <is>
          <t>ÖSTHAMMAR</t>
        </is>
      </c>
      <c r="G421" t="n">
        <v>0.3</v>
      </c>
      <c r="H421" t="n">
        <v>0</v>
      </c>
      <c r="I421" t="n">
        <v>0</v>
      </c>
      <c r="J421" t="n">
        <v>0</v>
      </c>
      <c r="K421" t="n">
        <v>0</v>
      </c>
      <c r="L421" t="n">
        <v>0</v>
      </c>
      <c r="M421" t="n">
        <v>0</v>
      </c>
      <c r="N421" t="n">
        <v>0</v>
      </c>
      <c r="O421" t="n">
        <v>0</v>
      </c>
      <c r="P421" t="n">
        <v>0</v>
      </c>
      <c r="Q421" t="n">
        <v>0</v>
      </c>
      <c r="R421" s="2" t="inlineStr"/>
    </row>
    <row r="422" ht="15" customHeight="1">
      <c r="A422" t="inlineStr">
        <is>
          <t>A 8750-2022</t>
        </is>
      </c>
      <c r="B422" s="1" t="n">
        <v>44614</v>
      </c>
      <c r="C422" s="1" t="n">
        <v>45474</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9755-2022</t>
        </is>
      </c>
      <c r="B423" s="1" t="n">
        <v>44618</v>
      </c>
      <c r="C423" s="1" t="n">
        <v>45474</v>
      </c>
      <c r="D423" t="inlineStr">
        <is>
          <t>UPPSALA LÄN</t>
        </is>
      </c>
      <c r="E423" t="inlineStr">
        <is>
          <t>ÖSTHAMMAR</t>
        </is>
      </c>
      <c r="F423" t="inlineStr">
        <is>
          <t>Bergvik skog öst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9789-2022</t>
        </is>
      </c>
      <c r="B424" s="1" t="n">
        <v>44620</v>
      </c>
      <c r="C424" s="1" t="n">
        <v>45474</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9795-2022</t>
        </is>
      </c>
      <c r="B425" s="1" t="n">
        <v>44620</v>
      </c>
      <c r="C425" s="1" t="n">
        <v>45474</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10287-2022</t>
        </is>
      </c>
      <c r="B426" s="1" t="n">
        <v>44622</v>
      </c>
      <c r="C426" s="1" t="n">
        <v>45474</v>
      </c>
      <c r="D426" t="inlineStr">
        <is>
          <t>UPPSALA LÄN</t>
        </is>
      </c>
      <c r="E426" t="inlineStr">
        <is>
          <t>ÖSTHAMMAR</t>
        </is>
      </c>
      <c r="F426" t="inlineStr">
        <is>
          <t>Bergvik skog öst AB</t>
        </is>
      </c>
      <c r="G426" t="n">
        <v>0.2</v>
      </c>
      <c r="H426" t="n">
        <v>0</v>
      </c>
      <c r="I426" t="n">
        <v>0</v>
      </c>
      <c r="J426" t="n">
        <v>0</v>
      </c>
      <c r="K426" t="n">
        <v>0</v>
      </c>
      <c r="L426" t="n">
        <v>0</v>
      </c>
      <c r="M426" t="n">
        <v>0</v>
      </c>
      <c r="N426" t="n">
        <v>0</v>
      </c>
      <c r="O426" t="n">
        <v>0</v>
      </c>
      <c r="P426" t="n">
        <v>0</v>
      </c>
      <c r="Q426" t="n">
        <v>0</v>
      </c>
      <c r="R426" s="2" t="inlineStr"/>
    </row>
    <row r="427" ht="15" customHeight="1">
      <c r="A427" t="inlineStr">
        <is>
          <t>A 10294-2022</t>
        </is>
      </c>
      <c r="B427" s="1" t="n">
        <v>44622</v>
      </c>
      <c r="C427" s="1" t="n">
        <v>45474</v>
      </c>
      <c r="D427" t="inlineStr">
        <is>
          <t>UPPSALA LÄN</t>
        </is>
      </c>
      <c r="E427" t="inlineStr">
        <is>
          <t>ÖSTHAMMAR</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10288-2022</t>
        </is>
      </c>
      <c r="B428" s="1" t="n">
        <v>44622</v>
      </c>
      <c r="C428" s="1" t="n">
        <v>45474</v>
      </c>
      <c r="D428" t="inlineStr">
        <is>
          <t>UPPSALA LÄN</t>
        </is>
      </c>
      <c r="E428" t="inlineStr">
        <is>
          <t>ÖSTHAMMAR</t>
        </is>
      </c>
      <c r="F428" t="inlineStr">
        <is>
          <t>Bergvik skog öst AB</t>
        </is>
      </c>
      <c r="G428" t="n">
        <v>0.3</v>
      </c>
      <c r="H428" t="n">
        <v>0</v>
      </c>
      <c r="I428" t="n">
        <v>0</v>
      </c>
      <c r="J428" t="n">
        <v>0</v>
      </c>
      <c r="K428" t="n">
        <v>0</v>
      </c>
      <c r="L428" t="n">
        <v>0</v>
      </c>
      <c r="M428" t="n">
        <v>0</v>
      </c>
      <c r="N428" t="n">
        <v>0</v>
      </c>
      <c r="O428" t="n">
        <v>0</v>
      </c>
      <c r="P428" t="n">
        <v>0</v>
      </c>
      <c r="Q428" t="n">
        <v>0</v>
      </c>
      <c r="R428" s="2" t="inlineStr"/>
    </row>
    <row r="429" ht="15" customHeight="1">
      <c r="A429" t="inlineStr">
        <is>
          <t>A 10298-2022</t>
        </is>
      </c>
      <c r="B429" s="1" t="n">
        <v>44622</v>
      </c>
      <c r="C429" s="1" t="n">
        <v>45474</v>
      </c>
      <c r="D429" t="inlineStr">
        <is>
          <t>UPPSALA LÄN</t>
        </is>
      </c>
      <c r="E429" t="inlineStr">
        <is>
          <t>ÖSTHAMMAR</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10980-2022</t>
        </is>
      </c>
      <c r="B430" s="1" t="n">
        <v>44628</v>
      </c>
      <c r="C430" s="1" t="n">
        <v>45474</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11547-2022</t>
        </is>
      </c>
      <c r="B431" s="1" t="n">
        <v>44631</v>
      </c>
      <c r="C431" s="1" t="n">
        <v>45474</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11643-2022</t>
        </is>
      </c>
      <c r="B432" s="1" t="n">
        <v>44631</v>
      </c>
      <c r="C432" s="1" t="n">
        <v>45474</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11884-2022</t>
        </is>
      </c>
      <c r="B433" s="1" t="n">
        <v>44635</v>
      </c>
      <c r="C433" s="1" t="n">
        <v>45474</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11987-2022</t>
        </is>
      </c>
      <c r="B434" s="1" t="n">
        <v>44635</v>
      </c>
      <c r="C434" s="1" t="n">
        <v>45474</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11986-2022</t>
        </is>
      </c>
      <c r="B435" s="1" t="n">
        <v>44635</v>
      </c>
      <c r="C435" s="1" t="n">
        <v>45474</v>
      </c>
      <c r="D435" t="inlineStr">
        <is>
          <t>UPPSALA LÄN</t>
        </is>
      </c>
      <c r="E435" t="inlineStr">
        <is>
          <t>ÖSTHAMMAR</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12176-2022</t>
        </is>
      </c>
      <c r="B436" s="1" t="n">
        <v>44636</v>
      </c>
      <c r="C436" s="1" t="n">
        <v>45474</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12999-2022</t>
        </is>
      </c>
      <c r="B437" s="1" t="n">
        <v>44643</v>
      </c>
      <c r="C437" s="1" t="n">
        <v>45474</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13044-2022</t>
        </is>
      </c>
      <c r="B438" s="1" t="n">
        <v>44643</v>
      </c>
      <c r="C438" s="1" t="n">
        <v>45474</v>
      </c>
      <c r="D438" t="inlineStr">
        <is>
          <t>UPPSALA LÄN</t>
        </is>
      </c>
      <c r="E438" t="inlineStr">
        <is>
          <t>ÖSTHAMMAR</t>
        </is>
      </c>
      <c r="G438" t="n">
        <v>2.5</v>
      </c>
      <c r="H438" t="n">
        <v>0</v>
      </c>
      <c r="I438" t="n">
        <v>0</v>
      </c>
      <c r="J438" t="n">
        <v>0</v>
      </c>
      <c r="K438" t="n">
        <v>0</v>
      </c>
      <c r="L438" t="n">
        <v>0</v>
      </c>
      <c r="M438" t="n">
        <v>0</v>
      </c>
      <c r="N438" t="n">
        <v>0</v>
      </c>
      <c r="O438" t="n">
        <v>0</v>
      </c>
      <c r="P438" t="n">
        <v>0</v>
      </c>
      <c r="Q438" t="n">
        <v>0</v>
      </c>
      <c r="R438" s="2" t="inlineStr"/>
    </row>
    <row r="439" ht="15" customHeight="1">
      <c r="A439" t="inlineStr">
        <is>
          <t>A 13093-2022</t>
        </is>
      </c>
      <c r="B439" s="1" t="n">
        <v>44643</v>
      </c>
      <c r="C439" s="1" t="n">
        <v>45474</v>
      </c>
      <c r="D439" t="inlineStr">
        <is>
          <t>UPPSALA LÄN</t>
        </is>
      </c>
      <c r="E439" t="inlineStr">
        <is>
          <t>ÖSTHAMMAR</t>
        </is>
      </c>
      <c r="F439" t="inlineStr">
        <is>
          <t>Bergvik skog öst AB</t>
        </is>
      </c>
      <c r="G439" t="n">
        <v>3.2</v>
      </c>
      <c r="H439" t="n">
        <v>0</v>
      </c>
      <c r="I439" t="n">
        <v>0</v>
      </c>
      <c r="J439" t="n">
        <v>0</v>
      </c>
      <c r="K439" t="n">
        <v>0</v>
      </c>
      <c r="L439" t="n">
        <v>0</v>
      </c>
      <c r="M439" t="n">
        <v>0</v>
      </c>
      <c r="N439" t="n">
        <v>0</v>
      </c>
      <c r="O439" t="n">
        <v>0</v>
      </c>
      <c r="P439" t="n">
        <v>0</v>
      </c>
      <c r="Q439" t="n">
        <v>0</v>
      </c>
      <c r="R439" s="2" t="inlineStr"/>
    </row>
    <row r="440" ht="15" customHeight="1">
      <c r="A440" t="inlineStr">
        <is>
          <t>A 13238-2022</t>
        </is>
      </c>
      <c r="B440" s="1" t="n">
        <v>44644</v>
      </c>
      <c r="C440" s="1" t="n">
        <v>45474</v>
      </c>
      <c r="D440" t="inlineStr">
        <is>
          <t>UPPSALA LÄN</t>
        </is>
      </c>
      <c r="E440" t="inlineStr">
        <is>
          <t>ÖSTHAMMAR</t>
        </is>
      </c>
      <c r="G440" t="n">
        <v>6.5</v>
      </c>
      <c r="H440" t="n">
        <v>0</v>
      </c>
      <c r="I440" t="n">
        <v>0</v>
      </c>
      <c r="J440" t="n">
        <v>0</v>
      </c>
      <c r="K440" t="n">
        <v>0</v>
      </c>
      <c r="L440" t="n">
        <v>0</v>
      </c>
      <c r="M440" t="n">
        <v>0</v>
      </c>
      <c r="N440" t="n">
        <v>0</v>
      </c>
      <c r="O440" t="n">
        <v>0</v>
      </c>
      <c r="P440" t="n">
        <v>0</v>
      </c>
      <c r="Q440" t="n">
        <v>0</v>
      </c>
      <c r="R440" s="2" t="inlineStr"/>
    </row>
    <row r="441" ht="15" customHeight="1">
      <c r="A441" t="inlineStr">
        <is>
          <t>A 13279-2022</t>
        </is>
      </c>
      <c r="B441" s="1" t="n">
        <v>44644</v>
      </c>
      <c r="C441" s="1" t="n">
        <v>45474</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13867-2022</t>
        </is>
      </c>
      <c r="B442" s="1" t="n">
        <v>44649</v>
      </c>
      <c r="C442" s="1" t="n">
        <v>45474</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14272-2022</t>
        </is>
      </c>
      <c r="B443" s="1" t="n">
        <v>44651</v>
      </c>
      <c r="C443" s="1" t="n">
        <v>45474</v>
      </c>
      <c r="D443" t="inlineStr">
        <is>
          <t>UPPSALA LÄN</t>
        </is>
      </c>
      <c r="E443" t="inlineStr">
        <is>
          <t>ÖSTHAMMAR</t>
        </is>
      </c>
      <c r="F443" t="inlineStr">
        <is>
          <t>Bergvik skog öst AB</t>
        </is>
      </c>
      <c r="G443" t="n">
        <v>3.1</v>
      </c>
      <c r="H443" t="n">
        <v>0</v>
      </c>
      <c r="I443" t="n">
        <v>0</v>
      </c>
      <c r="J443" t="n">
        <v>0</v>
      </c>
      <c r="K443" t="n">
        <v>0</v>
      </c>
      <c r="L443" t="n">
        <v>0</v>
      </c>
      <c r="M443" t="n">
        <v>0</v>
      </c>
      <c r="N443" t="n">
        <v>0</v>
      </c>
      <c r="O443" t="n">
        <v>0</v>
      </c>
      <c r="P443" t="n">
        <v>0</v>
      </c>
      <c r="Q443" t="n">
        <v>0</v>
      </c>
      <c r="R443" s="2" t="inlineStr"/>
    </row>
    <row r="444" ht="15" customHeight="1">
      <c r="A444" t="inlineStr">
        <is>
          <t>A 14124-2022</t>
        </is>
      </c>
      <c r="B444" s="1" t="n">
        <v>44651</v>
      </c>
      <c r="C444" s="1" t="n">
        <v>45474</v>
      </c>
      <c r="D444" t="inlineStr">
        <is>
          <t>UPPSALA LÄN</t>
        </is>
      </c>
      <c r="E444" t="inlineStr">
        <is>
          <t>ÖSTHAMMAR</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14187-2022</t>
        </is>
      </c>
      <c r="B445" s="1" t="n">
        <v>44651</v>
      </c>
      <c r="C445" s="1" t="n">
        <v>45474</v>
      </c>
      <c r="D445" t="inlineStr">
        <is>
          <t>UPPSALA LÄN</t>
        </is>
      </c>
      <c r="E445" t="inlineStr">
        <is>
          <t>ÖSTHAMMAR</t>
        </is>
      </c>
      <c r="F445" t="inlineStr">
        <is>
          <t>Övriga Aktiebolag</t>
        </is>
      </c>
      <c r="G445" t="n">
        <v>14.1</v>
      </c>
      <c r="H445" t="n">
        <v>0</v>
      </c>
      <c r="I445" t="n">
        <v>0</v>
      </c>
      <c r="J445" t="n">
        <v>0</v>
      </c>
      <c r="K445" t="n">
        <v>0</v>
      </c>
      <c r="L445" t="n">
        <v>0</v>
      </c>
      <c r="M445" t="n">
        <v>0</v>
      </c>
      <c r="N445" t="n">
        <v>0</v>
      </c>
      <c r="O445" t="n">
        <v>0</v>
      </c>
      <c r="P445" t="n">
        <v>0</v>
      </c>
      <c r="Q445" t="n">
        <v>0</v>
      </c>
      <c r="R445" s="2" t="inlineStr"/>
    </row>
    <row r="446" ht="15" customHeight="1">
      <c r="A446" t="inlineStr">
        <is>
          <t>A 14271-2022</t>
        </is>
      </c>
      <c r="B446" s="1" t="n">
        <v>44651</v>
      </c>
      <c r="C446" s="1" t="n">
        <v>45474</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14671-2022</t>
        </is>
      </c>
      <c r="B447" s="1" t="n">
        <v>44655</v>
      </c>
      <c r="C447" s="1" t="n">
        <v>45474</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15064-2022</t>
        </is>
      </c>
      <c r="B448" s="1" t="n">
        <v>44657</v>
      </c>
      <c r="C448" s="1" t="n">
        <v>45474</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15311-2022</t>
        </is>
      </c>
      <c r="B449" s="1" t="n">
        <v>44659</v>
      </c>
      <c r="C449" s="1" t="n">
        <v>45474</v>
      </c>
      <c r="D449" t="inlineStr">
        <is>
          <t>UPPSALA LÄN</t>
        </is>
      </c>
      <c r="E449" t="inlineStr">
        <is>
          <t>ÖSTHAMMAR</t>
        </is>
      </c>
      <c r="G449" t="n">
        <v>5.5</v>
      </c>
      <c r="H449" t="n">
        <v>0</v>
      </c>
      <c r="I449" t="n">
        <v>0</v>
      </c>
      <c r="J449" t="n">
        <v>0</v>
      </c>
      <c r="K449" t="n">
        <v>0</v>
      </c>
      <c r="L449" t="n">
        <v>0</v>
      </c>
      <c r="M449" t="n">
        <v>0</v>
      </c>
      <c r="N449" t="n">
        <v>0</v>
      </c>
      <c r="O449" t="n">
        <v>0</v>
      </c>
      <c r="P449" t="n">
        <v>0</v>
      </c>
      <c r="Q449" t="n">
        <v>0</v>
      </c>
      <c r="R449" s="2" t="inlineStr"/>
    </row>
    <row r="450" ht="15" customHeight="1">
      <c r="A450" t="inlineStr">
        <is>
          <t>A 15334-2022</t>
        </is>
      </c>
      <c r="B450" s="1" t="n">
        <v>44659</v>
      </c>
      <c r="C450" s="1" t="n">
        <v>45474</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15447-2022</t>
        </is>
      </c>
      <c r="B451" s="1" t="n">
        <v>44660</v>
      </c>
      <c r="C451" s="1" t="n">
        <v>45474</v>
      </c>
      <c r="D451" t="inlineStr">
        <is>
          <t>UPPSALA LÄN</t>
        </is>
      </c>
      <c r="E451" t="inlineStr">
        <is>
          <t>ÖSTHAMMAR</t>
        </is>
      </c>
      <c r="F451" t="inlineStr">
        <is>
          <t>Bergvik skog öst AB</t>
        </is>
      </c>
      <c r="G451" t="n">
        <v>2.2</v>
      </c>
      <c r="H451" t="n">
        <v>0</v>
      </c>
      <c r="I451" t="n">
        <v>0</v>
      </c>
      <c r="J451" t="n">
        <v>0</v>
      </c>
      <c r="K451" t="n">
        <v>0</v>
      </c>
      <c r="L451" t="n">
        <v>0</v>
      </c>
      <c r="M451" t="n">
        <v>0</v>
      </c>
      <c r="N451" t="n">
        <v>0</v>
      </c>
      <c r="O451" t="n">
        <v>0</v>
      </c>
      <c r="P451" t="n">
        <v>0</v>
      </c>
      <c r="Q451" t="n">
        <v>0</v>
      </c>
      <c r="R451" s="2" t="inlineStr"/>
    </row>
    <row r="452" ht="15" customHeight="1">
      <c r="A452" t="inlineStr">
        <is>
          <t>A 15445-2022</t>
        </is>
      </c>
      <c r="B452" s="1" t="n">
        <v>44660</v>
      </c>
      <c r="C452" s="1" t="n">
        <v>45474</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15449-2022</t>
        </is>
      </c>
      <c r="B453" s="1" t="n">
        <v>44660</v>
      </c>
      <c r="C453" s="1" t="n">
        <v>45474</v>
      </c>
      <c r="D453" t="inlineStr">
        <is>
          <t>UPPSALA LÄN</t>
        </is>
      </c>
      <c r="E453" t="inlineStr">
        <is>
          <t>ÖSTHAMMAR</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15456-2022</t>
        </is>
      </c>
      <c r="B454" s="1" t="n">
        <v>44661</v>
      </c>
      <c r="C454" s="1" t="n">
        <v>45474</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15457-2022</t>
        </is>
      </c>
      <c r="B455" s="1" t="n">
        <v>44661</v>
      </c>
      <c r="C455" s="1" t="n">
        <v>45474</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15847-2022</t>
        </is>
      </c>
      <c r="B456" s="1" t="n">
        <v>44664</v>
      </c>
      <c r="C456" s="1" t="n">
        <v>45474</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15845-2022</t>
        </is>
      </c>
      <c r="B457" s="1" t="n">
        <v>44664</v>
      </c>
      <c r="C457" s="1" t="n">
        <v>45474</v>
      </c>
      <c r="D457" t="inlineStr">
        <is>
          <t>UPPSALA LÄN</t>
        </is>
      </c>
      <c r="E457" t="inlineStr">
        <is>
          <t>ÖSTHAMMAR</t>
        </is>
      </c>
      <c r="G457" t="n">
        <v>4.5</v>
      </c>
      <c r="H457" t="n">
        <v>0</v>
      </c>
      <c r="I457" t="n">
        <v>0</v>
      </c>
      <c r="J457" t="n">
        <v>0</v>
      </c>
      <c r="K457" t="n">
        <v>0</v>
      </c>
      <c r="L457" t="n">
        <v>0</v>
      </c>
      <c r="M457" t="n">
        <v>0</v>
      </c>
      <c r="N457" t="n">
        <v>0</v>
      </c>
      <c r="O457" t="n">
        <v>0</v>
      </c>
      <c r="P457" t="n">
        <v>0</v>
      </c>
      <c r="Q457" t="n">
        <v>0</v>
      </c>
      <c r="R457" s="2" t="inlineStr"/>
    </row>
    <row r="458" ht="15" customHeight="1">
      <c r="A458" t="inlineStr">
        <is>
          <t>A 15928-2022</t>
        </is>
      </c>
      <c r="B458" s="1" t="n">
        <v>44664</v>
      </c>
      <c r="C458" s="1" t="n">
        <v>45474</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16141-2022</t>
        </is>
      </c>
      <c r="B459" s="1" t="n">
        <v>44665</v>
      </c>
      <c r="C459" s="1" t="n">
        <v>45474</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16142-2022</t>
        </is>
      </c>
      <c r="B460" s="1" t="n">
        <v>44665</v>
      </c>
      <c r="C460" s="1" t="n">
        <v>45474</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16167-2022</t>
        </is>
      </c>
      <c r="B461" s="1" t="n">
        <v>44667</v>
      </c>
      <c r="C461" s="1" t="n">
        <v>45474</v>
      </c>
      <c r="D461" t="inlineStr">
        <is>
          <t>UPPSALA LÄN</t>
        </is>
      </c>
      <c r="E461" t="inlineStr">
        <is>
          <t>ÖSTHAMMAR</t>
        </is>
      </c>
      <c r="F461" t="inlineStr">
        <is>
          <t>Bergvik skog öst AB</t>
        </is>
      </c>
      <c r="G461" t="n">
        <v>18.7</v>
      </c>
      <c r="H461" t="n">
        <v>0</v>
      </c>
      <c r="I461" t="n">
        <v>0</v>
      </c>
      <c r="J461" t="n">
        <v>0</v>
      </c>
      <c r="K461" t="n">
        <v>0</v>
      </c>
      <c r="L461" t="n">
        <v>0</v>
      </c>
      <c r="M461" t="n">
        <v>0</v>
      </c>
      <c r="N461" t="n">
        <v>0</v>
      </c>
      <c r="O461" t="n">
        <v>0</v>
      </c>
      <c r="P461" t="n">
        <v>0</v>
      </c>
      <c r="Q461" t="n">
        <v>0</v>
      </c>
      <c r="R461" s="2" t="inlineStr"/>
    </row>
    <row r="462" ht="15" customHeight="1">
      <c r="A462" t="inlineStr">
        <is>
          <t>A 16185-2022</t>
        </is>
      </c>
      <c r="B462" s="1" t="n">
        <v>44669</v>
      </c>
      <c r="C462" s="1" t="n">
        <v>45474</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16184-2022</t>
        </is>
      </c>
      <c r="B463" s="1" t="n">
        <v>44669</v>
      </c>
      <c r="C463" s="1" t="n">
        <v>45474</v>
      </c>
      <c r="D463" t="inlineStr">
        <is>
          <t>UPPSALA LÄN</t>
        </is>
      </c>
      <c r="E463" t="inlineStr">
        <is>
          <t>ÖSTHAMMAR</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16254-2022</t>
        </is>
      </c>
      <c r="B464" s="1" t="n">
        <v>44670</v>
      </c>
      <c r="C464" s="1" t="n">
        <v>45474</v>
      </c>
      <c r="D464" t="inlineStr">
        <is>
          <t>UPPSALA LÄN</t>
        </is>
      </c>
      <c r="E464" t="inlineStr">
        <is>
          <t>ÖSTHAMMAR</t>
        </is>
      </c>
      <c r="G464" t="n">
        <v>0.7</v>
      </c>
      <c r="H464" t="n">
        <v>0</v>
      </c>
      <c r="I464" t="n">
        <v>0</v>
      </c>
      <c r="J464" t="n">
        <v>0</v>
      </c>
      <c r="K464" t="n">
        <v>0</v>
      </c>
      <c r="L464" t="n">
        <v>0</v>
      </c>
      <c r="M464" t="n">
        <v>0</v>
      </c>
      <c r="N464" t="n">
        <v>0</v>
      </c>
      <c r="O464" t="n">
        <v>0</v>
      </c>
      <c r="P464" t="n">
        <v>0</v>
      </c>
      <c r="Q464" t="n">
        <v>0</v>
      </c>
      <c r="R464" s="2" t="inlineStr"/>
    </row>
    <row r="465" ht="15" customHeight="1">
      <c r="A465" t="inlineStr">
        <is>
          <t>A 16933-2022</t>
        </is>
      </c>
      <c r="B465" s="1" t="n">
        <v>44676</v>
      </c>
      <c r="C465" s="1" t="n">
        <v>45474</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17013-2022</t>
        </is>
      </c>
      <c r="B466" s="1" t="n">
        <v>44676</v>
      </c>
      <c r="C466" s="1" t="n">
        <v>45474</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17947-2022</t>
        </is>
      </c>
      <c r="B467" s="1" t="n">
        <v>44683</v>
      </c>
      <c r="C467" s="1" t="n">
        <v>45474</v>
      </c>
      <c r="D467" t="inlineStr">
        <is>
          <t>UPPSALA LÄN</t>
        </is>
      </c>
      <c r="E467" t="inlineStr">
        <is>
          <t>ÖSTHAMMAR</t>
        </is>
      </c>
      <c r="G467" t="n">
        <v>5.5</v>
      </c>
      <c r="H467" t="n">
        <v>0</v>
      </c>
      <c r="I467" t="n">
        <v>0</v>
      </c>
      <c r="J467" t="n">
        <v>0</v>
      </c>
      <c r="K467" t="n">
        <v>0</v>
      </c>
      <c r="L467" t="n">
        <v>0</v>
      </c>
      <c r="M467" t="n">
        <v>0</v>
      </c>
      <c r="N467" t="n">
        <v>0</v>
      </c>
      <c r="O467" t="n">
        <v>0</v>
      </c>
      <c r="P467" t="n">
        <v>0</v>
      </c>
      <c r="Q467" t="n">
        <v>0</v>
      </c>
      <c r="R467" s="2" t="inlineStr"/>
    </row>
    <row r="468" ht="15" customHeight="1">
      <c r="A468" t="inlineStr">
        <is>
          <t>A 18183-2022</t>
        </is>
      </c>
      <c r="B468" s="1" t="n">
        <v>44684</v>
      </c>
      <c r="C468" s="1" t="n">
        <v>45474</v>
      </c>
      <c r="D468" t="inlineStr">
        <is>
          <t>UPPSALA LÄN</t>
        </is>
      </c>
      <c r="E468" t="inlineStr">
        <is>
          <t>ÖSTHAMMAR</t>
        </is>
      </c>
      <c r="G468" t="n">
        <v>0.2</v>
      </c>
      <c r="H468" t="n">
        <v>0</v>
      </c>
      <c r="I468" t="n">
        <v>0</v>
      </c>
      <c r="J468" t="n">
        <v>0</v>
      </c>
      <c r="K468" t="n">
        <v>0</v>
      </c>
      <c r="L468" t="n">
        <v>0</v>
      </c>
      <c r="M468" t="n">
        <v>0</v>
      </c>
      <c r="N468" t="n">
        <v>0</v>
      </c>
      <c r="O468" t="n">
        <v>0</v>
      </c>
      <c r="P468" t="n">
        <v>0</v>
      </c>
      <c r="Q468" t="n">
        <v>0</v>
      </c>
      <c r="R468" s="2" t="inlineStr"/>
    </row>
    <row r="469" ht="15" customHeight="1">
      <c r="A469" t="inlineStr">
        <is>
          <t>A 18732-2022</t>
        </is>
      </c>
      <c r="B469" s="1" t="n">
        <v>44687</v>
      </c>
      <c r="C469" s="1" t="n">
        <v>45474</v>
      </c>
      <c r="D469" t="inlineStr">
        <is>
          <t>UPPSALA LÄN</t>
        </is>
      </c>
      <c r="E469" t="inlineStr">
        <is>
          <t>ÖSTHAMMAR</t>
        </is>
      </c>
      <c r="G469" t="n">
        <v>10.5</v>
      </c>
      <c r="H469" t="n">
        <v>0</v>
      </c>
      <c r="I469" t="n">
        <v>0</v>
      </c>
      <c r="J469" t="n">
        <v>0</v>
      </c>
      <c r="K469" t="n">
        <v>0</v>
      </c>
      <c r="L469" t="n">
        <v>0</v>
      </c>
      <c r="M469" t="n">
        <v>0</v>
      </c>
      <c r="N469" t="n">
        <v>0</v>
      </c>
      <c r="O469" t="n">
        <v>0</v>
      </c>
      <c r="P469" t="n">
        <v>0</v>
      </c>
      <c r="Q469" t="n">
        <v>0</v>
      </c>
      <c r="R469" s="2" t="inlineStr"/>
    </row>
    <row r="470" ht="15" customHeight="1">
      <c r="A470" t="inlineStr">
        <is>
          <t>A 18727-2022</t>
        </is>
      </c>
      <c r="B470" s="1" t="n">
        <v>44687</v>
      </c>
      <c r="C470" s="1" t="n">
        <v>45474</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18728-2022</t>
        </is>
      </c>
      <c r="B471" s="1" t="n">
        <v>44687</v>
      </c>
      <c r="C471" s="1" t="n">
        <v>45474</v>
      </c>
      <c r="D471" t="inlineStr">
        <is>
          <t>UPPSALA LÄN</t>
        </is>
      </c>
      <c r="E471" t="inlineStr">
        <is>
          <t>ÖSTHAMMAR</t>
        </is>
      </c>
      <c r="G471" t="n">
        <v>8.1</v>
      </c>
      <c r="H471" t="n">
        <v>0</v>
      </c>
      <c r="I471" t="n">
        <v>0</v>
      </c>
      <c r="J471" t="n">
        <v>0</v>
      </c>
      <c r="K471" t="n">
        <v>0</v>
      </c>
      <c r="L471" t="n">
        <v>0</v>
      </c>
      <c r="M471" t="n">
        <v>0</v>
      </c>
      <c r="N471" t="n">
        <v>0</v>
      </c>
      <c r="O471" t="n">
        <v>0</v>
      </c>
      <c r="P471" t="n">
        <v>0</v>
      </c>
      <c r="Q471" t="n">
        <v>0</v>
      </c>
      <c r="R471" s="2" t="inlineStr"/>
    </row>
    <row r="472" ht="15" customHeight="1">
      <c r="A472" t="inlineStr">
        <is>
          <t>A 18734-2022</t>
        </is>
      </c>
      <c r="B472" s="1" t="n">
        <v>44687</v>
      </c>
      <c r="C472" s="1" t="n">
        <v>45474</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18731-2022</t>
        </is>
      </c>
      <c r="B473" s="1" t="n">
        <v>44687</v>
      </c>
      <c r="C473" s="1" t="n">
        <v>45474</v>
      </c>
      <c r="D473" t="inlineStr">
        <is>
          <t>UPPSALA LÄN</t>
        </is>
      </c>
      <c r="E473" t="inlineStr">
        <is>
          <t>ÖSTHAMMAR</t>
        </is>
      </c>
      <c r="G473" t="n">
        <v>4.9</v>
      </c>
      <c r="H473" t="n">
        <v>0</v>
      </c>
      <c r="I473" t="n">
        <v>0</v>
      </c>
      <c r="J473" t="n">
        <v>0</v>
      </c>
      <c r="K473" t="n">
        <v>0</v>
      </c>
      <c r="L473" t="n">
        <v>0</v>
      </c>
      <c r="M473" t="n">
        <v>0</v>
      </c>
      <c r="N473" t="n">
        <v>0</v>
      </c>
      <c r="O473" t="n">
        <v>0</v>
      </c>
      <c r="P473" t="n">
        <v>0</v>
      </c>
      <c r="Q473" t="n">
        <v>0</v>
      </c>
      <c r="R473" s="2" t="inlineStr"/>
    </row>
    <row r="474" ht="15" customHeight="1">
      <c r="A474" t="inlineStr">
        <is>
          <t>A 18736-2022</t>
        </is>
      </c>
      <c r="B474" s="1" t="n">
        <v>44687</v>
      </c>
      <c r="C474" s="1" t="n">
        <v>45474</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19174-2022</t>
        </is>
      </c>
      <c r="B475" s="1" t="n">
        <v>44691</v>
      </c>
      <c r="C475" s="1" t="n">
        <v>45474</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19181-2022</t>
        </is>
      </c>
      <c r="B476" s="1" t="n">
        <v>44691</v>
      </c>
      <c r="C476" s="1" t="n">
        <v>45474</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19287-2022</t>
        </is>
      </c>
      <c r="B477" s="1" t="n">
        <v>44692</v>
      </c>
      <c r="C477" s="1" t="n">
        <v>45474</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19707-2022</t>
        </is>
      </c>
      <c r="B478" s="1" t="n">
        <v>44694</v>
      </c>
      <c r="C478" s="1" t="n">
        <v>45474</v>
      </c>
      <c r="D478" t="inlineStr">
        <is>
          <t>UPPSALA LÄN</t>
        </is>
      </c>
      <c r="E478" t="inlineStr">
        <is>
          <t>ÖSTHAMMAR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20468-2022</t>
        </is>
      </c>
      <c r="B479" s="1" t="n">
        <v>44699</v>
      </c>
      <c r="C479" s="1" t="n">
        <v>45474</v>
      </c>
      <c r="D479" t="inlineStr">
        <is>
          <t>UPPSALA LÄN</t>
        </is>
      </c>
      <c r="E479" t="inlineStr">
        <is>
          <t>ÖSTHAMMAR</t>
        </is>
      </c>
      <c r="G479" t="n">
        <v>3.7</v>
      </c>
      <c r="H479" t="n">
        <v>0</v>
      </c>
      <c r="I479" t="n">
        <v>0</v>
      </c>
      <c r="J479" t="n">
        <v>0</v>
      </c>
      <c r="K479" t="n">
        <v>0</v>
      </c>
      <c r="L479" t="n">
        <v>0</v>
      </c>
      <c r="M479" t="n">
        <v>0</v>
      </c>
      <c r="N479" t="n">
        <v>0</v>
      </c>
      <c r="O479" t="n">
        <v>0</v>
      </c>
      <c r="P479" t="n">
        <v>0</v>
      </c>
      <c r="Q479" t="n">
        <v>0</v>
      </c>
      <c r="R479" s="2" t="inlineStr"/>
    </row>
    <row r="480" ht="15" customHeight="1">
      <c r="A480" t="inlineStr">
        <is>
          <t>A 21522-2022</t>
        </is>
      </c>
      <c r="B480" s="1" t="n">
        <v>44706</v>
      </c>
      <c r="C480" s="1" t="n">
        <v>45474</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21830-2022</t>
        </is>
      </c>
      <c r="B481" s="1" t="n">
        <v>44710</v>
      </c>
      <c r="C481" s="1" t="n">
        <v>45474</v>
      </c>
      <c r="D481" t="inlineStr">
        <is>
          <t>UPPSALA LÄN</t>
        </is>
      </c>
      <c r="E481" t="inlineStr">
        <is>
          <t>ÖSTHAMMAR</t>
        </is>
      </c>
      <c r="F481" t="inlineStr">
        <is>
          <t>Bergvik skog öst AB</t>
        </is>
      </c>
      <c r="G481" t="n">
        <v>3.6</v>
      </c>
      <c r="H481" t="n">
        <v>0</v>
      </c>
      <c r="I481" t="n">
        <v>0</v>
      </c>
      <c r="J481" t="n">
        <v>0</v>
      </c>
      <c r="K481" t="n">
        <v>0</v>
      </c>
      <c r="L481" t="n">
        <v>0</v>
      </c>
      <c r="M481" t="n">
        <v>0</v>
      </c>
      <c r="N481" t="n">
        <v>0</v>
      </c>
      <c r="O481" t="n">
        <v>0</v>
      </c>
      <c r="P481" t="n">
        <v>0</v>
      </c>
      <c r="Q481" t="n">
        <v>0</v>
      </c>
      <c r="R481" s="2" t="inlineStr"/>
    </row>
    <row r="482" ht="15" customHeight="1">
      <c r="A482" t="inlineStr">
        <is>
          <t>A 21829-2022</t>
        </is>
      </c>
      <c r="B482" s="1" t="n">
        <v>44710</v>
      </c>
      <c r="C482" s="1" t="n">
        <v>45474</v>
      </c>
      <c r="D482" t="inlineStr">
        <is>
          <t>UPPSALA LÄN</t>
        </is>
      </c>
      <c r="E482" t="inlineStr">
        <is>
          <t>ÖSTHAMMAR</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22207-2022</t>
        </is>
      </c>
      <c r="B483" s="1" t="n">
        <v>44712</v>
      </c>
      <c r="C483" s="1" t="n">
        <v>45474</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22619-2022</t>
        </is>
      </c>
      <c r="B484" s="1" t="n">
        <v>44714</v>
      </c>
      <c r="C484" s="1" t="n">
        <v>45474</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22804-2022</t>
        </is>
      </c>
      <c r="B485" s="1" t="n">
        <v>44715</v>
      </c>
      <c r="C485" s="1" t="n">
        <v>45474</v>
      </c>
      <c r="D485" t="inlineStr">
        <is>
          <t>UPPSALA LÄN</t>
        </is>
      </c>
      <c r="E485" t="inlineStr">
        <is>
          <t>ÖSTHAMMAR</t>
        </is>
      </c>
      <c r="G485" t="n">
        <v>2.7</v>
      </c>
      <c r="H485" t="n">
        <v>0</v>
      </c>
      <c r="I485" t="n">
        <v>0</v>
      </c>
      <c r="J485" t="n">
        <v>0</v>
      </c>
      <c r="K485" t="n">
        <v>0</v>
      </c>
      <c r="L485" t="n">
        <v>0</v>
      </c>
      <c r="M485" t="n">
        <v>0</v>
      </c>
      <c r="N485" t="n">
        <v>0</v>
      </c>
      <c r="O485" t="n">
        <v>0</v>
      </c>
      <c r="P485" t="n">
        <v>0</v>
      </c>
      <c r="Q485" t="n">
        <v>0</v>
      </c>
      <c r="R485" s="2" t="inlineStr"/>
    </row>
    <row r="486" ht="15" customHeight="1">
      <c r="A486" t="inlineStr">
        <is>
          <t>A 22887-2022</t>
        </is>
      </c>
      <c r="B486" s="1" t="n">
        <v>44715</v>
      </c>
      <c r="C486" s="1" t="n">
        <v>45474</v>
      </c>
      <c r="D486" t="inlineStr">
        <is>
          <t>UPPSALA LÄN</t>
        </is>
      </c>
      <c r="E486" t="inlineStr">
        <is>
          <t>ÖSTHAMMAR</t>
        </is>
      </c>
      <c r="G486" t="n">
        <v>0.2</v>
      </c>
      <c r="H486" t="n">
        <v>0</v>
      </c>
      <c r="I486" t="n">
        <v>0</v>
      </c>
      <c r="J486" t="n">
        <v>0</v>
      </c>
      <c r="K486" t="n">
        <v>0</v>
      </c>
      <c r="L486" t="n">
        <v>0</v>
      </c>
      <c r="M486" t="n">
        <v>0</v>
      </c>
      <c r="N486" t="n">
        <v>0</v>
      </c>
      <c r="O486" t="n">
        <v>0</v>
      </c>
      <c r="P486" t="n">
        <v>0</v>
      </c>
      <c r="Q486" t="n">
        <v>0</v>
      </c>
      <c r="R486" s="2" t="inlineStr"/>
    </row>
    <row r="487" ht="15" customHeight="1">
      <c r="A487" t="inlineStr">
        <is>
          <t>A 22945-2022</t>
        </is>
      </c>
      <c r="B487" s="1" t="n">
        <v>44715</v>
      </c>
      <c r="C487" s="1" t="n">
        <v>45474</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22993-2022</t>
        </is>
      </c>
      <c r="B488" s="1" t="n">
        <v>44718</v>
      </c>
      <c r="C488" s="1" t="n">
        <v>45474</v>
      </c>
      <c r="D488" t="inlineStr">
        <is>
          <t>UPPSALA LÄN</t>
        </is>
      </c>
      <c r="E488" t="inlineStr">
        <is>
          <t>ÖSTHAMMAR</t>
        </is>
      </c>
      <c r="F488" t="inlineStr">
        <is>
          <t>Bergvik skog öst AB</t>
        </is>
      </c>
      <c r="G488" t="n">
        <v>4.8</v>
      </c>
      <c r="H488" t="n">
        <v>0</v>
      </c>
      <c r="I488" t="n">
        <v>0</v>
      </c>
      <c r="J488" t="n">
        <v>0</v>
      </c>
      <c r="K488" t="n">
        <v>0</v>
      </c>
      <c r="L488" t="n">
        <v>0</v>
      </c>
      <c r="M488" t="n">
        <v>0</v>
      </c>
      <c r="N488" t="n">
        <v>0</v>
      </c>
      <c r="O488" t="n">
        <v>0</v>
      </c>
      <c r="P488" t="n">
        <v>0</v>
      </c>
      <c r="Q488" t="n">
        <v>0</v>
      </c>
      <c r="R488" s="2" t="inlineStr"/>
    </row>
    <row r="489" ht="15" customHeight="1">
      <c r="A489" t="inlineStr">
        <is>
          <t>A 22994-2022</t>
        </is>
      </c>
      <c r="B489" s="1" t="n">
        <v>44718</v>
      </c>
      <c r="C489" s="1" t="n">
        <v>45474</v>
      </c>
      <c r="D489" t="inlineStr">
        <is>
          <t>UPPSALA LÄN</t>
        </is>
      </c>
      <c r="E489" t="inlineStr">
        <is>
          <t>ÖSTHAMMAR</t>
        </is>
      </c>
      <c r="F489" t="inlineStr">
        <is>
          <t>Bergvik skog öst AB</t>
        </is>
      </c>
      <c r="G489" t="n">
        <v>29.9</v>
      </c>
      <c r="H489" t="n">
        <v>0</v>
      </c>
      <c r="I489" t="n">
        <v>0</v>
      </c>
      <c r="J489" t="n">
        <v>0</v>
      </c>
      <c r="K489" t="n">
        <v>0</v>
      </c>
      <c r="L489" t="n">
        <v>0</v>
      </c>
      <c r="M489" t="n">
        <v>0</v>
      </c>
      <c r="N489" t="n">
        <v>0</v>
      </c>
      <c r="O489" t="n">
        <v>0</v>
      </c>
      <c r="P489" t="n">
        <v>0</v>
      </c>
      <c r="Q489" t="n">
        <v>0</v>
      </c>
      <c r="R489" s="2" t="inlineStr"/>
    </row>
    <row r="490" ht="15" customHeight="1">
      <c r="A490" t="inlineStr">
        <is>
          <t>A 23603-2022</t>
        </is>
      </c>
      <c r="B490" s="1" t="n">
        <v>44721</v>
      </c>
      <c r="C490" s="1" t="n">
        <v>45474</v>
      </c>
      <c r="D490" t="inlineStr">
        <is>
          <t>UPPSALA LÄN</t>
        </is>
      </c>
      <c r="E490" t="inlineStr">
        <is>
          <t>ÖSTHAMMAR</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24138-2022</t>
        </is>
      </c>
      <c r="B491" s="1" t="n">
        <v>44725</v>
      </c>
      <c r="C491" s="1" t="n">
        <v>45474</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24149-2022</t>
        </is>
      </c>
      <c r="B492" s="1" t="n">
        <v>44725</v>
      </c>
      <c r="C492" s="1" t="n">
        <v>45474</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24181-2022</t>
        </is>
      </c>
      <c r="B493" s="1" t="n">
        <v>44725</v>
      </c>
      <c r="C493" s="1" t="n">
        <v>45474</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24259-2022</t>
        </is>
      </c>
      <c r="B494" s="1" t="n">
        <v>44725</v>
      </c>
      <c r="C494" s="1" t="n">
        <v>45474</v>
      </c>
      <c r="D494" t="inlineStr">
        <is>
          <t>UPPSALA LÄN</t>
        </is>
      </c>
      <c r="E494" t="inlineStr">
        <is>
          <t>ÖSTHAMMAR</t>
        </is>
      </c>
      <c r="G494" t="n">
        <v>2.4</v>
      </c>
      <c r="H494" t="n">
        <v>0</v>
      </c>
      <c r="I494" t="n">
        <v>0</v>
      </c>
      <c r="J494" t="n">
        <v>0</v>
      </c>
      <c r="K494" t="n">
        <v>0</v>
      </c>
      <c r="L494" t="n">
        <v>0</v>
      </c>
      <c r="M494" t="n">
        <v>0</v>
      </c>
      <c r="N494" t="n">
        <v>0</v>
      </c>
      <c r="O494" t="n">
        <v>0</v>
      </c>
      <c r="P494" t="n">
        <v>0</v>
      </c>
      <c r="Q494" t="n">
        <v>0</v>
      </c>
      <c r="R494" s="2" t="inlineStr"/>
    </row>
    <row r="495" ht="15" customHeight="1">
      <c r="A495" t="inlineStr">
        <is>
          <t>A 24447-2022</t>
        </is>
      </c>
      <c r="B495" s="1" t="n">
        <v>44726</v>
      </c>
      <c r="C495" s="1" t="n">
        <v>45474</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24367-2022</t>
        </is>
      </c>
      <c r="B496" s="1" t="n">
        <v>44726</v>
      </c>
      <c r="C496" s="1" t="n">
        <v>45474</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24817-2022</t>
        </is>
      </c>
      <c r="B497" s="1" t="n">
        <v>44728</v>
      </c>
      <c r="C497" s="1" t="n">
        <v>45474</v>
      </c>
      <c r="D497" t="inlineStr">
        <is>
          <t>UPPSALA LÄN</t>
        </is>
      </c>
      <c r="E497" t="inlineStr">
        <is>
          <t>ÖSTHAMMAR</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25076-2022</t>
        </is>
      </c>
      <c r="B498" s="1" t="n">
        <v>44729</v>
      </c>
      <c r="C498" s="1" t="n">
        <v>45474</v>
      </c>
      <c r="D498" t="inlineStr">
        <is>
          <t>UPPSALA LÄN</t>
        </is>
      </c>
      <c r="E498" t="inlineStr">
        <is>
          <t>ÖSTHAMMAR</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25418-2022</t>
        </is>
      </c>
      <c r="B499" s="1" t="n">
        <v>44732</v>
      </c>
      <c r="C499" s="1" t="n">
        <v>45474</v>
      </c>
      <c r="D499" t="inlineStr">
        <is>
          <t>UPPSALA LÄN</t>
        </is>
      </c>
      <c r="E499" t="inlineStr">
        <is>
          <t>ÖSTHAMMAR</t>
        </is>
      </c>
      <c r="G499" t="n">
        <v>2.8</v>
      </c>
      <c r="H499" t="n">
        <v>0</v>
      </c>
      <c r="I499" t="n">
        <v>0</v>
      </c>
      <c r="J499" t="n">
        <v>0</v>
      </c>
      <c r="K499" t="n">
        <v>0</v>
      </c>
      <c r="L499" t="n">
        <v>0</v>
      </c>
      <c r="M499" t="n">
        <v>0</v>
      </c>
      <c r="N499" t="n">
        <v>0</v>
      </c>
      <c r="O499" t="n">
        <v>0</v>
      </c>
      <c r="P499" t="n">
        <v>0</v>
      </c>
      <c r="Q499" t="n">
        <v>0</v>
      </c>
      <c r="R499" s="2" t="inlineStr"/>
    </row>
    <row r="500" ht="15" customHeight="1">
      <c r="A500" t="inlineStr">
        <is>
          <t>A 25434-2022</t>
        </is>
      </c>
      <c r="B500" s="1" t="n">
        <v>44732</v>
      </c>
      <c r="C500" s="1" t="n">
        <v>45474</v>
      </c>
      <c r="D500" t="inlineStr">
        <is>
          <t>UPPSALA LÄN</t>
        </is>
      </c>
      <c r="E500" t="inlineStr">
        <is>
          <t>ÖSTHAMMAR</t>
        </is>
      </c>
      <c r="G500" t="n">
        <v>0.8</v>
      </c>
      <c r="H500" t="n">
        <v>0</v>
      </c>
      <c r="I500" t="n">
        <v>0</v>
      </c>
      <c r="J500" t="n">
        <v>0</v>
      </c>
      <c r="K500" t="n">
        <v>0</v>
      </c>
      <c r="L500" t="n">
        <v>0</v>
      </c>
      <c r="M500" t="n">
        <v>0</v>
      </c>
      <c r="N500" t="n">
        <v>0</v>
      </c>
      <c r="O500" t="n">
        <v>0</v>
      </c>
      <c r="P500" t="n">
        <v>0</v>
      </c>
      <c r="Q500" t="n">
        <v>0</v>
      </c>
      <c r="R500" s="2" t="inlineStr"/>
    </row>
    <row r="501" ht="15" customHeight="1">
      <c r="A501" t="inlineStr">
        <is>
          <t>A 26008-2022</t>
        </is>
      </c>
      <c r="B501" s="1" t="n">
        <v>44734</v>
      </c>
      <c r="C501" s="1" t="n">
        <v>45474</v>
      </c>
      <c r="D501" t="inlineStr">
        <is>
          <t>UPPSALA LÄN</t>
        </is>
      </c>
      <c r="E501" t="inlineStr">
        <is>
          <t>ÖSTHAMMAR</t>
        </is>
      </c>
      <c r="F501" t="inlineStr">
        <is>
          <t>Bergvik skog öst AB</t>
        </is>
      </c>
      <c r="G501" t="n">
        <v>8.4</v>
      </c>
      <c r="H501" t="n">
        <v>0</v>
      </c>
      <c r="I501" t="n">
        <v>0</v>
      </c>
      <c r="J501" t="n">
        <v>0</v>
      </c>
      <c r="K501" t="n">
        <v>0</v>
      </c>
      <c r="L501" t="n">
        <v>0</v>
      </c>
      <c r="M501" t="n">
        <v>0</v>
      </c>
      <c r="N501" t="n">
        <v>0</v>
      </c>
      <c r="O501" t="n">
        <v>0</v>
      </c>
      <c r="P501" t="n">
        <v>0</v>
      </c>
      <c r="Q501" t="n">
        <v>0</v>
      </c>
      <c r="R501" s="2" t="inlineStr"/>
    </row>
    <row r="502" ht="15" customHeight="1">
      <c r="A502" t="inlineStr">
        <is>
          <t>A 25987-2022</t>
        </is>
      </c>
      <c r="B502" s="1" t="n">
        <v>44734</v>
      </c>
      <c r="C502" s="1" t="n">
        <v>45474</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25983-2022</t>
        </is>
      </c>
      <c r="B503" s="1" t="n">
        <v>44734</v>
      </c>
      <c r="C503" s="1" t="n">
        <v>45474</v>
      </c>
      <c r="D503" t="inlineStr">
        <is>
          <t>UPPSALA LÄN</t>
        </is>
      </c>
      <c r="E503" t="inlineStr">
        <is>
          <t>ÖSTHAMMAR</t>
        </is>
      </c>
      <c r="G503" t="n">
        <v>4.7</v>
      </c>
      <c r="H503" t="n">
        <v>0</v>
      </c>
      <c r="I503" t="n">
        <v>0</v>
      </c>
      <c r="J503" t="n">
        <v>0</v>
      </c>
      <c r="K503" t="n">
        <v>0</v>
      </c>
      <c r="L503" t="n">
        <v>0</v>
      </c>
      <c r="M503" t="n">
        <v>0</v>
      </c>
      <c r="N503" t="n">
        <v>0</v>
      </c>
      <c r="O503" t="n">
        <v>0</v>
      </c>
      <c r="P503" t="n">
        <v>0</v>
      </c>
      <c r="Q503" t="n">
        <v>0</v>
      </c>
      <c r="R503" s="2" t="inlineStr"/>
    </row>
    <row r="504" ht="15" customHeight="1">
      <c r="A504" t="inlineStr">
        <is>
          <t>A 26004-2022</t>
        </is>
      </c>
      <c r="B504" s="1" t="n">
        <v>44734</v>
      </c>
      <c r="C504" s="1" t="n">
        <v>45474</v>
      </c>
      <c r="D504" t="inlineStr">
        <is>
          <t>UPPSALA LÄN</t>
        </is>
      </c>
      <c r="E504" t="inlineStr">
        <is>
          <t>ÖSTHAMMAR</t>
        </is>
      </c>
      <c r="F504" t="inlineStr">
        <is>
          <t>Bergvik skog öst AB</t>
        </is>
      </c>
      <c r="G504" t="n">
        <v>2.3</v>
      </c>
      <c r="H504" t="n">
        <v>0</v>
      </c>
      <c r="I504" t="n">
        <v>0</v>
      </c>
      <c r="J504" t="n">
        <v>0</v>
      </c>
      <c r="K504" t="n">
        <v>0</v>
      </c>
      <c r="L504" t="n">
        <v>0</v>
      </c>
      <c r="M504" t="n">
        <v>0</v>
      </c>
      <c r="N504" t="n">
        <v>0</v>
      </c>
      <c r="O504" t="n">
        <v>0</v>
      </c>
      <c r="P504" t="n">
        <v>0</v>
      </c>
      <c r="Q504" t="n">
        <v>0</v>
      </c>
      <c r="R504" s="2" t="inlineStr"/>
    </row>
    <row r="505" ht="15" customHeight="1">
      <c r="A505" t="inlineStr">
        <is>
          <t>A 26534-2022</t>
        </is>
      </c>
      <c r="B505" s="1" t="n">
        <v>44739</v>
      </c>
      <c r="C505" s="1" t="n">
        <v>45474</v>
      </c>
      <c r="D505" t="inlineStr">
        <is>
          <t>UPPSALA LÄN</t>
        </is>
      </c>
      <c r="E505" t="inlineStr">
        <is>
          <t>ÖSTHAMMAR</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26552-2022</t>
        </is>
      </c>
      <c r="B506" s="1" t="n">
        <v>44739</v>
      </c>
      <c r="C506" s="1" t="n">
        <v>45474</v>
      </c>
      <c r="D506" t="inlineStr">
        <is>
          <t>UPPSALA LÄN</t>
        </is>
      </c>
      <c r="E506" t="inlineStr">
        <is>
          <t>ÖSTHAMMAR</t>
        </is>
      </c>
      <c r="G506" t="n">
        <v>2.2</v>
      </c>
      <c r="H506" t="n">
        <v>0</v>
      </c>
      <c r="I506" t="n">
        <v>0</v>
      </c>
      <c r="J506" t="n">
        <v>0</v>
      </c>
      <c r="K506" t="n">
        <v>0</v>
      </c>
      <c r="L506" t="n">
        <v>0</v>
      </c>
      <c r="M506" t="n">
        <v>0</v>
      </c>
      <c r="N506" t="n">
        <v>0</v>
      </c>
      <c r="O506" t="n">
        <v>0</v>
      </c>
      <c r="P506" t="n">
        <v>0</v>
      </c>
      <c r="Q506" t="n">
        <v>0</v>
      </c>
      <c r="R506" s="2" t="inlineStr"/>
    </row>
    <row r="507" ht="15" customHeight="1">
      <c r="A507" t="inlineStr">
        <is>
          <t>A 26561-2022</t>
        </is>
      </c>
      <c r="B507" s="1" t="n">
        <v>44739</v>
      </c>
      <c r="C507" s="1" t="n">
        <v>45474</v>
      </c>
      <c r="D507" t="inlineStr">
        <is>
          <t>UPPSALA LÄN</t>
        </is>
      </c>
      <c r="E507" t="inlineStr">
        <is>
          <t>ÖSTHAMMAR</t>
        </is>
      </c>
      <c r="G507" t="n">
        <v>3.7</v>
      </c>
      <c r="H507" t="n">
        <v>0</v>
      </c>
      <c r="I507" t="n">
        <v>0</v>
      </c>
      <c r="J507" t="n">
        <v>0</v>
      </c>
      <c r="K507" t="n">
        <v>0</v>
      </c>
      <c r="L507" t="n">
        <v>0</v>
      </c>
      <c r="M507" t="n">
        <v>0</v>
      </c>
      <c r="N507" t="n">
        <v>0</v>
      </c>
      <c r="O507" t="n">
        <v>0</v>
      </c>
      <c r="P507" t="n">
        <v>0</v>
      </c>
      <c r="Q507" t="n">
        <v>0</v>
      </c>
      <c r="R507" s="2" t="inlineStr"/>
    </row>
    <row r="508" ht="15" customHeight="1">
      <c r="A508" t="inlineStr">
        <is>
          <t>A 28228-2022</t>
        </is>
      </c>
      <c r="B508" s="1" t="n">
        <v>44746</v>
      </c>
      <c r="C508" s="1" t="n">
        <v>45474</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29753-2022</t>
        </is>
      </c>
      <c r="B509" s="1" t="n">
        <v>44755</v>
      </c>
      <c r="C509" s="1" t="n">
        <v>45474</v>
      </c>
      <c r="D509" t="inlineStr">
        <is>
          <t>UPPSALA LÄN</t>
        </is>
      </c>
      <c r="E509" t="inlineStr">
        <is>
          <t>ÖSTHAMMAR</t>
        </is>
      </c>
      <c r="G509" t="n">
        <v>9.4</v>
      </c>
      <c r="H509" t="n">
        <v>0</v>
      </c>
      <c r="I509" t="n">
        <v>0</v>
      </c>
      <c r="J509" t="n">
        <v>0</v>
      </c>
      <c r="K509" t="n">
        <v>0</v>
      </c>
      <c r="L509" t="n">
        <v>0</v>
      </c>
      <c r="M509" t="n">
        <v>0</v>
      </c>
      <c r="N509" t="n">
        <v>0</v>
      </c>
      <c r="O509" t="n">
        <v>0</v>
      </c>
      <c r="P509" t="n">
        <v>0</v>
      </c>
      <c r="Q509" t="n">
        <v>0</v>
      </c>
      <c r="R509" s="2" t="inlineStr"/>
    </row>
    <row r="510" ht="15" customHeight="1">
      <c r="A510" t="inlineStr">
        <is>
          <t>A 30212-2022</t>
        </is>
      </c>
      <c r="B510" s="1" t="n">
        <v>44757</v>
      </c>
      <c r="C510" s="1" t="n">
        <v>45474</v>
      </c>
      <c r="D510" t="inlineStr">
        <is>
          <t>UPPSALA LÄN</t>
        </is>
      </c>
      <c r="E510" t="inlineStr">
        <is>
          <t>ÖSTHAMMAR</t>
        </is>
      </c>
      <c r="F510" t="inlineStr">
        <is>
          <t>Bergvik skog öst AB</t>
        </is>
      </c>
      <c r="G510" t="n">
        <v>13.6</v>
      </c>
      <c r="H510" t="n">
        <v>0</v>
      </c>
      <c r="I510" t="n">
        <v>0</v>
      </c>
      <c r="J510" t="n">
        <v>0</v>
      </c>
      <c r="K510" t="n">
        <v>0</v>
      </c>
      <c r="L510" t="n">
        <v>0</v>
      </c>
      <c r="M510" t="n">
        <v>0</v>
      </c>
      <c r="N510" t="n">
        <v>0</v>
      </c>
      <c r="O510" t="n">
        <v>0</v>
      </c>
      <c r="P510" t="n">
        <v>0</v>
      </c>
      <c r="Q510" t="n">
        <v>0</v>
      </c>
      <c r="R510" s="2" t="inlineStr"/>
    </row>
    <row r="511" ht="15" customHeight="1">
      <c r="A511" t="inlineStr">
        <is>
          <t>A 30209-2022</t>
        </is>
      </c>
      <c r="B511" s="1" t="n">
        <v>44757</v>
      </c>
      <c r="C511" s="1" t="n">
        <v>45474</v>
      </c>
      <c r="D511" t="inlineStr">
        <is>
          <t>UPPSALA LÄN</t>
        </is>
      </c>
      <c r="E511" t="inlineStr">
        <is>
          <t>ÖSTHAMMAR</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30549-2022</t>
        </is>
      </c>
      <c r="B512" s="1" t="n">
        <v>44762</v>
      </c>
      <c r="C512" s="1" t="n">
        <v>45474</v>
      </c>
      <c r="D512" t="inlineStr">
        <is>
          <t>UPPSALA LÄN</t>
        </is>
      </c>
      <c r="E512" t="inlineStr">
        <is>
          <t>ÖSTHAMMAR</t>
        </is>
      </c>
      <c r="F512" t="inlineStr">
        <is>
          <t>Bergvik skog öst AB</t>
        </is>
      </c>
      <c r="G512" t="n">
        <v>6.2</v>
      </c>
      <c r="H512" t="n">
        <v>0</v>
      </c>
      <c r="I512" t="n">
        <v>0</v>
      </c>
      <c r="J512" t="n">
        <v>0</v>
      </c>
      <c r="K512" t="n">
        <v>0</v>
      </c>
      <c r="L512" t="n">
        <v>0</v>
      </c>
      <c r="M512" t="n">
        <v>0</v>
      </c>
      <c r="N512" t="n">
        <v>0</v>
      </c>
      <c r="O512" t="n">
        <v>0</v>
      </c>
      <c r="P512" t="n">
        <v>0</v>
      </c>
      <c r="Q512" t="n">
        <v>0</v>
      </c>
      <c r="R512" s="2" t="inlineStr"/>
    </row>
    <row r="513" ht="15" customHeight="1">
      <c r="A513" t="inlineStr">
        <is>
          <t>A 31027-2022</t>
        </is>
      </c>
      <c r="B513" s="1" t="n">
        <v>44768</v>
      </c>
      <c r="C513" s="1" t="n">
        <v>45474</v>
      </c>
      <c r="D513" t="inlineStr">
        <is>
          <t>UPPSALA LÄN</t>
        </is>
      </c>
      <c r="E513" t="inlineStr">
        <is>
          <t>ÖSTHAMMAR</t>
        </is>
      </c>
      <c r="F513" t="inlineStr">
        <is>
          <t>Bergvik skog öst AB</t>
        </is>
      </c>
      <c r="G513" t="n">
        <v>2.4</v>
      </c>
      <c r="H513" t="n">
        <v>0</v>
      </c>
      <c r="I513" t="n">
        <v>0</v>
      </c>
      <c r="J513" t="n">
        <v>0</v>
      </c>
      <c r="K513" t="n">
        <v>0</v>
      </c>
      <c r="L513" t="n">
        <v>0</v>
      </c>
      <c r="M513" t="n">
        <v>0</v>
      </c>
      <c r="N513" t="n">
        <v>0</v>
      </c>
      <c r="O513" t="n">
        <v>0</v>
      </c>
      <c r="P513" t="n">
        <v>0</v>
      </c>
      <c r="Q513" t="n">
        <v>0</v>
      </c>
      <c r="R513" s="2" t="inlineStr"/>
    </row>
    <row r="514" ht="15" customHeight="1">
      <c r="A514" t="inlineStr">
        <is>
          <t>A 31035-2022</t>
        </is>
      </c>
      <c r="B514" s="1" t="n">
        <v>44768</v>
      </c>
      <c r="C514" s="1" t="n">
        <v>45474</v>
      </c>
      <c r="D514" t="inlineStr">
        <is>
          <t>UPPSALA LÄN</t>
        </is>
      </c>
      <c r="E514" t="inlineStr">
        <is>
          <t>ÖSTHAMMAR</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31026-2022</t>
        </is>
      </c>
      <c r="B515" s="1" t="n">
        <v>44768</v>
      </c>
      <c r="C515" s="1" t="n">
        <v>45474</v>
      </c>
      <c r="D515" t="inlineStr">
        <is>
          <t>UPPSALA LÄN</t>
        </is>
      </c>
      <c r="E515" t="inlineStr">
        <is>
          <t>ÖSTHAMMAR</t>
        </is>
      </c>
      <c r="F515" t="inlineStr">
        <is>
          <t>Bergvik skog öst AB</t>
        </is>
      </c>
      <c r="G515" t="n">
        <v>1.8</v>
      </c>
      <c r="H515" t="n">
        <v>0</v>
      </c>
      <c r="I515" t="n">
        <v>0</v>
      </c>
      <c r="J515" t="n">
        <v>0</v>
      </c>
      <c r="K515" t="n">
        <v>0</v>
      </c>
      <c r="L515" t="n">
        <v>0</v>
      </c>
      <c r="M515" t="n">
        <v>0</v>
      </c>
      <c r="N515" t="n">
        <v>0</v>
      </c>
      <c r="O515" t="n">
        <v>0</v>
      </c>
      <c r="P515" t="n">
        <v>0</v>
      </c>
      <c r="Q515" t="n">
        <v>0</v>
      </c>
      <c r="R515" s="2" t="inlineStr"/>
    </row>
    <row r="516" ht="15" customHeight="1">
      <c r="A516" t="inlineStr">
        <is>
          <t>A 31182-2022</t>
        </is>
      </c>
      <c r="B516" s="1" t="n">
        <v>44770</v>
      </c>
      <c r="C516" s="1" t="n">
        <v>45474</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31140-2022</t>
        </is>
      </c>
      <c r="B517" s="1" t="n">
        <v>44770</v>
      </c>
      <c r="C517" s="1" t="n">
        <v>45474</v>
      </c>
      <c r="D517" t="inlineStr">
        <is>
          <t>UPPSALA LÄN</t>
        </is>
      </c>
      <c r="E517" t="inlineStr">
        <is>
          <t>ÖSTHAMMAR</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31137-2022</t>
        </is>
      </c>
      <c r="B518" s="1" t="n">
        <v>44770</v>
      </c>
      <c r="C518" s="1" t="n">
        <v>45474</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31282-2022</t>
        </is>
      </c>
      <c r="B519" s="1" t="n">
        <v>44771</v>
      </c>
      <c r="C519" s="1" t="n">
        <v>45474</v>
      </c>
      <c r="D519" t="inlineStr">
        <is>
          <t>UPPSALA LÄN</t>
        </is>
      </c>
      <c r="E519" t="inlineStr">
        <is>
          <t>ÖSTHAMMAR</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31574-2022</t>
        </is>
      </c>
      <c r="B520" s="1" t="n">
        <v>44775</v>
      </c>
      <c r="C520" s="1" t="n">
        <v>45474</v>
      </c>
      <c r="D520" t="inlineStr">
        <is>
          <t>UPPSALA LÄN</t>
        </is>
      </c>
      <c r="E520" t="inlineStr">
        <is>
          <t>ÖSTHAMMAR</t>
        </is>
      </c>
      <c r="G520" t="n">
        <v>29.7</v>
      </c>
      <c r="H520" t="n">
        <v>0</v>
      </c>
      <c r="I520" t="n">
        <v>0</v>
      </c>
      <c r="J520" t="n">
        <v>0</v>
      </c>
      <c r="K520" t="n">
        <v>0</v>
      </c>
      <c r="L520" t="n">
        <v>0</v>
      </c>
      <c r="M520" t="n">
        <v>0</v>
      </c>
      <c r="N520" t="n">
        <v>0</v>
      </c>
      <c r="O520" t="n">
        <v>0</v>
      </c>
      <c r="P520" t="n">
        <v>0</v>
      </c>
      <c r="Q520" t="n">
        <v>0</v>
      </c>
      <c r="R520" s="2" t="inlineStr"/>
    </row>
    <row r="521" ht="15" customHeight="1">
      <c r="A521" t="inlineStr">
        <is>
          <t>A 31549-2022</t>
        </is>
      </c>
      <c r="B521" s="1" t="n">
        <v>44775</v>
      </c>
      <c r="C521" s="1" t="n">
        <v>45474</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31669-2022</t>
        </is>
      </c>
      <c r="B522" s="1" t="n">
        <v>44775</v>
      </c>
      <c r="C522" s="1" t="n">
        <v>45474</v>
      </c>
      <c r="D522" t="inlineStr">
        <is>
          <t>UPPSALA LÄN</t>
        </is>
      </c>
      <c r="E522" t="inlineStr">
        <is>
          <t>ÖSTHAMMAR</t>
        </is>
      </c>
      <c r="G522" t="n">
        <v>6</v>
      </c>
      <c r="H522" t="n">
        <v>0</v>
      </c>
      <c r="I522" t="n">
        <v>0</v>
      </c>
      <c r="J522" t="n">
        <v>0</v>
      </c>
      <c r="K522" t="n">
        <v>0</v>
      </c>
      <c r="L522" t="n">
        <v>0</v>
      </c>
      <c r="M522" t="n">
        <v>0</v>
      </c>
      <c r="N522" t="n">
        <v>0</v>
      </c>
      <c r="O522" t="n">
        <v>0</v>
      </c>
      <c r="P522" t="n">
        <v>0</v>
      </c>
      <c r="Q522" t="n">
        <v>0</v>
      </c>
      <c r="R522" s="2" t="inlineStr"/>
    </row>
    <row r="523" ht="15" customHeight="1">
      <c r="A523" t="inlineStr">
        <is>
          <t>A 32678-2022</t>
        </is>
      </c>
      <c r="B523" s="1" t="n">
        <v>44783</v>
      </c>
      <c r="C523" s="1" t="n">
        <v>45474</v>
      </c>
      <c r="D523" t="inlineStr">
        <is>
          <t>UPPSALA LÄN</t>
        </is>
      </c>
      <c r="E523" t="inlineStr">
        <is>
          <t>ÖSTHAMMAR</t>
        </is>
      </c>
      <c r="G523" t="n">
        <v>1.3</v>
      </c>
      <c r="H523" t="n">
        <v>0</v>
      </c>
      <c r="I523" t="n">
        <v>0</v>
      </c>
      <c r="J523" t="n">
        <v>0</v>
      </c>
      <c r="K523" t="n">
        <v>0</v>
      </c>
      <c r="L523" t="n">
        <v>0</v>
      </c>
      <c r="M523" t="n">
        <v>0</v>
      </c>
      <c r="N523" t="n">
        <v>0</v>
      </c>
      <c r="O523" t="n">
        <v>0</v>
      </c>
      <c r="P523" t="n">
        <v>0</v>
      </c>
      <c r="Q523" t="n">
        <v>0</v>
      </c>
      <c r="R523" s="2" t="inlineStr"/>
    </row>
    <row r="524" ht="15" customHeight="1">
      <c r="A524" t="inlineStr">
        <is>
          <t>A 32742-2022</t>
        </is>
      </c>
      <c r="B524" s="1" t="n">
        <v>44783</v>
      </c>
      <c r="C524" s="1" t="n">
        <v>45474</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32744-2022</t>
        </is>
      </c>
      <c r="B525" s="1" t="n">
        <v>44783</v>
      </c>
      <c r="C525" s="1" t="n">
        <v>45474</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34418-2022</t>
        </is>
      </c>
      <c r="B526" s="1" t="n">
        <v>44792</v>
      </c>
      <c r="C526" s="1" t="n">
        <v>45474</v>
      </c>
      <c r="D526" t="inlineStr">
        <is>
          <t>UPPSALA LÄN</t>
        </is>
      </c>
      <c r="E526" t="inlineStr">
        <is>
          <t>ÖSTHAMMAR</t>
        </is>
      </c>
      <c r="G526" t="n">
        <v>0.3</v>
      </c>
      <c r="H526" t="n">
        <v>0</v>
      </c>
      <c r="I526" t="n">
        <v>0</v>
      </c>
      <c r="J526" t="n">
        <v>0</v>
      </c>
      <c r="K526" t="n">
        <v>0</v>
      </c>
      <c r="L526" t="n">
        <v>0</v>
      </c>
      <c r="M526" t="n">
        <v>0</v>
      </c>
      <c r="N526" t="n">
        <v>0</v>
      </c>
      <c r="O526" t="n">
        <v>0</v>
      </c>
      <c r="P526" t="n">
        <v>0</v>
      </c>
      <c r="Q526" t="n">
        <v>0</v>
      </c>
      <c r="R526" s="2" t="inlineStr"/>
    </row>
    <row r="527" ht="15" customHeight="1">
      <c r="A527" t="inlineStr">
        <is>
          <t>A 34742-2022</t>
        </is>
      </c>
      <c r="B527" s="1" t="n">
        <v>44795</v>
      </c>
      <c r="C527" s="1" t="n">
        <v>45474</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34971-2022</t>
        </is>
      </c>
      <c r="B528" s="1" t="n">
        <v>44796</v>
      </c>
      <c r="C528" s="1" t="n">
        <v>45474</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34994-2022</t>
        </is>
      </c>
      <c r="B529" s="1" t="n">
        <v>44796</v>
      </c>
      <c r="C529" s="1" t="n">
        <v>45474</v>
      </c>
      <c r="D529" t="inlineStr">
        <is>
          <t>UPPSALA LÄN</t>
        </is>
      </c>
      <c r="E529" t="inlineStr">
        <is>
          <t>ÖSTHAMMAR</t>
        </is>
      </c>
      <c r="F529" t="inlineStr">
        <is>
          <t>Bergvik skog öst AB</t>
        </is>
      </c>
      <c r="G529" t="n">
        <v>3.7</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v>
      </c>
      <c r="C530" s="1" t="n">
        <v>45474</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36873-2022</t>
        </is>
      </c>
      <c r="B531" s="1" t="n">
        <v>44805</v>
      </c>
      <c r="C531" s="1" t="n">
        <v>45474</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37545-2022</t>
        </is>
      </c>
      <c r="B532" s="1" t="n">
        <v>44809</v>
      </c>
      <c r="C532" s="1" t="n">
        <v>45474</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37570-2022</t>
        </is>
      </c>
      <c r="B533" s="1" t="n">
        <v>44809</v>
      </c>
      <c r="C533" s="1" t="n">
        <v>45474</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37813-2022</t>
        </is>
      </c>
      <c r="B534" s="1" t="n">
        <v>44810</v>
      </c>
      <c r="C534" s="1" t="n">
        <v>45474</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37812-2022</t>
        </is>
      </c>
      <c r="B535" s="1" t="n">
        <v>44810</v>
      </c>
      <c r="C535" s="1" t="n">
        <v>45474</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38442-2022</t>
        </is>
      </c>
      <c r="B536" s="1" t="n">
        <v>44813</v>
      </c>
      <c r="C536" s="1" t="n">
        <v>45474</v>
      </c>
      <c r="D536" t="inlineStr">
        <is>
          <t>UPPSALA LÄN</t>
        </is>
      </c>
      <c r="E536" t="inlineStr">
        <is>
          <t>ÖSTHAMMAR</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38501-2022</t>
        </is>
      </c>
      <c r="B537" s="1" t="n">
        <v>44813</v>
      </c>
      <c r="C537" s="1" t="n">
        <v>45474</v>
      </c>
      <c r="D537" t="inlineStr">
        <is>
          <t>UPPSALA LÄN</t>
        </is>
      </c>
      <c r="E537" t="inlineStr">
        <is>
          <t>ÖSTHAMMAR</t>
        </is>
      </c>
      <c r="F537" t="inlineStr">
        <is>
          <t>Bergvik skog öst AB</t>
        </is>
      </c>
      <c r="G537" t="n">
        <v>2.2</v>
      </c>
      <c r="H537" t="n">
        <v>0</v>
      </c>
      <c r="I537" t="n">
        <v>0</v>
      </c>
      <c r="J537" t="n">
        <v>0</v>
      </c>
      <c r="K537" t="n">
        <v>0</v>
      </c>
      <c r="L537" t="n">
        <v>0</v>
      </c>
      <c r="M537" t="n">
        <v>0</v>
      </c>
      <c r="N537" t="n">
        <v>0</v>
      </c>
      <c r="O537" t="n">
        <v>0</v>
      </c>
      <c r="P537" t="n">
        <v>0</v>
      </c>
      <c r="Q537" t="n">
        <v>0</v>
      </c>
      <c r="R537" s="2" t="inlineStr"/>
    </row>
    <row r="538" ht="15" customHeight="1">
      <c r="A538" t="inlineStr">
        <is>
          <t>A 38702-2022</t>
        </is>
      </c>
      <c r="B538" s="1" t="n">
        <v>44814</v>
      </c>
      <c r="C538" s="1" t="n">
        <v>45474</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39480-2022</t>
        </is>
      </c>
      <c r="B539" s="1" t="n">
        <v>44818</v>
      </c>
      <c r="C539" s="1" t="n">
        <v>45474</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40336-2022</t>
        </is>
      </c>
      <c r="B540" s="1" t="n">
        <v>44823</v>
      </c>
      <c r="C540" s="1" t="n">
        <v>45474</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40637-2022</t>
        </is>
      </c>
      <c r="B541" s="1" t="n">
        <v>44824</v>
      </c>
      <c r="C541" s="1" t="n">
        <v>45474</v>
      </c>
      <c r="D541" t="inlineStr">
        <is>
          <t>UPPSALA LÄN</t>
        </is>
      </c>
      <c r="E541" t="inlineStr">
        <is>
          <t>ÖSTHAMMAR</t>
        </is>
      </c>
      <c r="F541" t="inlineStr">
        <is>
          <t>Övriga Aktiebolag</t>
        </is>
      </c>
      <c r="G541" t="n">
        <v>3.7</v>
      </c>
      <c r="H541" t="n">
        <v>0</v>
      </c>
      <c r="I541" t="n">
        <v>0</v>
      </c>
      <c r="J541" t="n">
        <v>0</v>
      </c>
      <c r="K541" t="n">
        <v>0</v>
      </c>
      <c r="L541" t="n">
        <v>0</v>
      </c>
      <c r="M541" t="n">
        <v>0</v>
      </c>
      <c r="N541" t="n">
        <v>0</v>
      </c>
      <c r="O541" t="n">
        <v>0</v>
      </c>
      <c r="P541" t="n">
        <v>0</v>
      </c>
      <c r="Q541" t="n">
        <v>0</v>
      </c>
      <c r="R541" s="2" t="inlineStr"/>
    </row>
    <row r="542" ht="15" customHeight="1">
      <c r="A542" t="inlineStr">
        <is>
          <t>A 40681-2022</t>
        </is>
      </c>
      <c r="B542" s="1" t="n">
        <v>44824</v>
      </c>
      <c r="C542" s="1" t="n">
        <v>45474</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41033-2022</t>
        </is>
      </c>
      <c r="B543" s="1" t="n">
        <v>44825</v>
      </c>
      <c r="C543" s="1" t="n">
        <v>45474</v>
      </c>
      <c r="D543" t="inlineStr">
        <is>
          <t>UPPSALA LÄN</t>
        </is>
      </c>
      <c r="E543" t="inlineStr">
        <is>
          <t>ÖSTHAMMAR</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41423-2022</t>
        </is>
      </c>
      <c r="B544" s="1" t="n">
        <v>44826</v>
      </c>
      <c r="C544" s="1" t="n">
        <v>45474</v>
      </c>
      <c r="D544" t="inlineStr">
        <is>
          <t>UPPSALA LÄN</t>
        </is>
      </c>
      <c r="E544" t="inlineStr">
        <is>
          <t>ÖSTHAMMAR</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44020-2022</t>
        </is>
      </c>
      <c r="B545" s="1" t="n">
        <v>44838</v>
      </c>
      <c r="C545" s="1" t="n">
        <v>45474</v>
      </c>
      <c r="D545" t="inlineStr">
        <is>
          <t>UPPSALA LÄN</t>
        </is>
      </c>
      <c r="E545" t="inlineStr">
        <is>
          <t>ÖSTHAMMAR</t>
        </is>
      </c>
      <c r="F545" t="inlineStr">
        <is>
          <t>Bergvik skog öst AB</t>
        </is>
      </c>
      <c r="G545" t="n">
        <v>12.1</v>
      </c>
      <c r="H545" t="n">
        <v>0</v>
      </c>
      <c r="I545" t="n">
        <v>0</v>
      </c>
      <c r="J545" t="n">
        <v>0</v>
      </c>
      <c r="K545" t="n">
        <v>0</v>
      </c>
      <c r="L545" t="n">
        <v>0</v>
      </c>
      <c r="M545" t="n">
        <v>0</v>
      </c>
      <c r="N545" t="n">
        <v>0</v>
      </c>
      <c r="O545" t="n">
        <v>0</v>
      </c>
      <c r="P545" t="n">
        <v>0</v>
      </c>
      <c r="Q545" t="n">
        <v>0</v>
      </c>
      <c r="R545" s="2" t="inlineStr"/>
    </row>
    <row r="546" ht="15" customHeight="1">
      <c r="A546" t="inlineStr">
        <is>
          <t>A 44019-2022</t>
        </is>
      </c>
      <c r="B546" s="1" t="n">
        <v>44838</v>
      </c>
      <c r="C546" s="1" t="n">
        <v>45474</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44354-2022</t>
        </is>
      </c>
      <c r="B547" s="1" t="n">
        <v>44839</v>
      </c>
      <c r="C547" s="1" t="n">
        <v>45474</v>
      </c>
      <c r="D547" t="inlineStr">
        <is>
          <t>UPPSALA LÄN</t>
        </is>
      </c>
      <c r="E547" t="inlineStr">
        <is>
          <t>ÖSTHAMMAR</t>
        </is>
      </c>
      <c r="G547" t="n">
        <v>5.4</v>
      </c>
      <c r="H547" t="n">
        <v>0</v>
      </c>
      <c r="I547" t="n">
        <v>0</v>
      </c>
      <c r="J547" t="n">
        <v>0</v>
      </c>
      <c r="K547" t="n">
        <v>0</v>
      </c>
      <c r="L547" t="n">
        <v>0</v>
      </c>
      <c r="M547" t="n">
        <v>0</v>
      </c>
      <c r="N547" t="n">
        <v>0</v>
      </c>
      <c r="O547" t="n">
        <v>0</v>
      </c>
      <c r="P547" t="n">
        <v>0</v>
      </c>
      <c r="Q547" t="n">
        <v>0</v>
      </c>
      <c r="R547" s="2" t="inlineStr"/>
    </row>
    <row r="548" ht="15" customHeight="1">
      <c r="A548" t="inlineStr">
        <is>
          <t>A 44366-2022</t>
        </is>
      </c>
      <c r="B548" s="1" t="n">
        <v>44839</v>
      </c>
      <c r="C548" s="1" t="n">
        <v>45474</v>
      </c>
      <c r="D548" t="inlineStr">
        <is>
          <t>UPPSALA LÄN</t>
        </is>
      </c>
      <c r="E548" t="inlineStr">
        <is>
          <t>ÖSTHAMMAR</t>
        </is>
      </c>
      <c r="G548" t="n">
        <v>8.1</v>
      </c>
      <c r="H548" t="n">
        <v>0</v>
      </c>
      <c r="I548" t="n">
        <v>0</v>
      </c>
      <c r="J548" t="n">
        <v>0</v>
      </c>
      <c r="K548" t="n">
        <v>0</v>
      </c>
      <c r="L548" t="n">
        <v>0</v>
      </c>
      <c r="M548" t="n">
        <v>0</v>
      </c>
      <c r="N548" t="n">
        <v>0</v>
      </c>
      <c r="O548" t="n">
        <v>0</v>
      </c>
      <c r="P548" t="n">
        <v>0</v>
      </c>
      <c r="Q548" t="n">
        <v>0</v>
      </c>
      <c r="R548" s="2" t="inlineStr"/>
    </row>
    <row r="549" ht="15" customHeight="1">
      <c r="A549" t="inlineStr">
        <is>
          <t>A 44184-2022</t>
        </is>
      </c>
      <c r="B549" s="1" t="n">
        <v>44839</v>
      </c>
      <c r="C549" s="1" t="n">
        <v>45474</v>
      </c>
      <c r="D549" t="inlineStr">
        <is>
          <t>UPPSALA LÄN</t>
        </is>
      </c>
      <c r="E549" t="inlineStr">
        <is>
          <t>ÖSTHAMMAR</t>
        </is>
      </c>
      <c r="G549" t="n">
        <v>4.2</v>
      </c>
      <c r="H549" t="n">
        <v>0</v>
      </c>
      <c r="I549" t="n">
        <v>0</v>
      </c>
      <c r="J549" t="n">
        <v>0</v>
      </c>
      <c r="K549" t="n">
        <v>0</v>
      </c>
      <c r="L549" t="n">
        <v>0</v>
      </c>
      <c r="M549" t="n">
        <v>0</v>
      </c>
      <c r="N549" t="n">
        <v>0</v>
      </c>
      <c r="O549" t="n">
        <v>0</v>
      </c>
      <c r="P549" t="n">
        <v>0</v>
      </c>
      <c r="Q549" t="n">
        <v>0</v>
      </c>
      <c r="R549" s="2" t="inlineStr"/>
    </row>
    <row r="550" ht="15" customHeight="1">
      <c r="A550" t="inlineStr">
        <is>
          <t>A 44617-2022</t>
        </is>
      </c>
      <c r="B550" s="1" t="n">
        <v>44840</v>
      </c>
      <c r="C550" s="1" t="n">
        <v>45474</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44945-2022</t>
        </is>
      </c>
      <c r="B551" s="1" t="n">
        <v>44841</v>
      </c>
      <c r="C551" s="1" t="n">
        <v>45474</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44815-2022</t>
        </is>
      </c>
      <c r="B552" s="1" t="n">
        <v>44841</v>
      </c>
      <c r="C552" s="1" t="n">
        <v>45474</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45788-2022</t>
        </is>
      </c>
      <c r="B553" s="1" t="n">
        <v>44846</v>
      </c>
      <c r="C553" s="1" t="n">
        <v>45474</v>
      </c>
      <c r="D553" t="inlineStr">
        <is>
          <t>UPPSALA LÄN</t>
        </is>
      </c>
      <c r="E553" t="inlineStr">
        <is>
          <t>ÖSTHAMMAR</t>
        </is>
      </c>
      <c r="F553" t="inlineStr">
        <is>
          <t>Övriga Aktiebolag</t>
        </is>
      </c>
      <c r="G553" t="n">
        <v>3.3</v>
      </c>
      <c r="H553" t="n">
        <v>0</v>
      </c>
      <c r="I553" t="n">
        <v>0</v>
      </c>
      <c r="J553" t="n">
        <v>0</v>
      </c>
      <c r="K553" t="n">
        <v>0</v>
      </c>
      <c r="L553" t="n">
        <v>0</v>
      </c>
      <c r="M553" t="n">
        <v>0</v>
      </c>
      <c r="N553" t="n">
        <v>0</v>
      </c>
      <c r="O553" t="n">
        <v>0</v>
      </c>
      <c r="P553" t="n">
        <v>0</v>
      </c>
      <c r="Q553" t="n">
        <v>0</v>
      </c>
      <c r="R553" s="2" t="inlineStr"/>
    </row>
    <row r="554" ht="15" customHeight="1">
      <c r="A554" t="inlineStr">
        <is>
          <t>A 46448-2022</t>
        </is>
      </c>
      <c r="B554" s="1" t="n">
        <v>44848</v>
      </c>
      <c r="C554" s="1" t="n">
        <v>45474</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46915-2022</t>
        </is>
      </c>
      <c r="B555" s="1" t="n">
        <v>44851</v>
      </c>
      <c r="C555" s="1" t="n">
        <v>45474</v>
      </c>
      <c r="D555" t="inlineStr">
        <is>
          <t>UPPSALA LÄN</t>
        </is>
      </c>
      <c r="E555" t="inlineStr">
        <is>
          <t>ÖSTHAMMAR</t>
        </is>
      </c>
      <c r="F555" t="inlineStr">
        <is>
          <t>Bergvik skog öst AB</t>
        </is>
      </c>
      <c r="G555" t="n">
        <v>7.9</v>
      </c>
      <c r="H555" t="n">
        <v>0</v>
      </c>
      <c r="I555" t="n">
        <v>0</v>
      </c>
      <c r="J555" t="n">
        <v>0</v>
      </c>
      <c r="K555" t="n">
        <v>0</v>
      </c>
      <c r="L555" t="n">
        <v>0</v>
      </c>
      <c r="M555" t="n">
        <v>0</v>
      </c>
      <c r="N555" t="n">
        <v>0</v>
      </c>
      <c r="O555" t="n">
        <v>0</v>
      </c>
      <c r="P555" t="n">
        <v>0</v>
      </c>
      <c r="Q555" t="n">
        <v>0</v>
      </c>
      <c r="R555" s="2" t="inlineStr"/>
    </row>
    <row r="556" ht="15" customHeight="1">
      <c r="A556" t="inlineStr">
        <is>
          <t>A 47163-2022</t>
        </is>
      </c>
      <c r="B556" s="1" t="n">
        <v>44852</v>
      </c>
      <c r="C556" s="1" t="n">
        <v>45474</v>
      </c>
      <c r="D556" t="inlineStr">
        <is>
          <t>UPPSALA LÄN</t>
        </is>
      </c>
      <c r="E556" t="inlineStr">
        <is>
          <t>ÖSTHAMMAR</t>
        </is>
      </c>
      <c r="G556" t="n">
        <v>5.5</v>
      </c>
      <c r="H556" t="n">
        <v>0</v>
      </c>
      <c r="I556" t="n">
        <v>0</v>
      </c>
      <c r="J556" t="n">
        <v>0</v>
      </c>
      <c r="K556" t="n">
        <v>0</v>
      </c>
      <c r="L556" t="n">
        <v>0</v>
      </c>
      <c r="M556" t="n">
        <v>0</v>
      </c>
      <c r="N556" t="n">
        <v>0</v>
      </c>
      <c r="O556" t="n">
        <v>0</v>
      </c>
      <c r="P556" t="n">
        <v>0</v>
      </c>
      <c r="Q556" t="n">
        <v>0</v>
      </c>
      <c r="R556" s="2" t="inlineStr"/>
    </row>
    <row r="557" ht="15" customHeight="1">
      <c r="A557" t="inlineStr">
        <is>
          <t>A 48191-2022</t>
        </is>
      </c>
      <c r="B557" s="1" t="n">
        <v>44858</v>
      </c>
      <c r="C557" s="1" t="n">
        <v>45474</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48231-2022</t>
        </is>
      </c>
      <c r="B558" s="1" t="n">
        <v>44858</v>
      </c>
      <c r="C558" s="1" t="n">
        <v>45474</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49097-2022</t>
        </is>
      </c>
      <c r="B559" s="1" t="n">
        <v>44860</v>
      </c>
      <c r="C559" s="1" t="n">
        <v>45474</v>
      </c>
      <c r="D559" t="inlineStr">
        <is>
          <t>UPPSALA LÄN</t>
        </is>
      </c>
      <c r="E559" t="inlineStr">
        <is>
          <t>ÖSTHAMMAR</t>
        </is>
      </c>
      <c r="G559" t="n">
        <v>6.9</v>
      </c>
      <c r="H559" t="n">
        <v>0</v>
      </c>
      <c r="I559" t="n">
        <v>0</v>
      </c>
      <c r="J559" t="n">
        <v>0</v>
      </c>
      <c r="K559" t="n">
        <v>0</v>
      </c>
      <c r="L559" t="n">
        <v>0</v>
      </c>
      <c r="M559" t="n">
        <v>0</v>
      </c>
      <c r="N559" t="n">
        <v>0</v>
      </c>
      <c r="O559" t="n">
        <v>0</v>
      </c>
      <c r="P559" t="n">
        <v>0</v>
      </c>
      <c r="Q559" t="n">
        <v>0</v>
      </c>
      <c r="R559" s="2" t="inlineStr"/>
    </row>
    <row r="560" ht="15" customHeight="1">
      <c r="A560" t="inlineStr">
        <is>
          <t>A 49334-2022</t>
        </is>
      </c>
      <c r="B560" s="1" t="n">
        <v>44861</v>
      </c>
      <c r="C560" s="1" t="n">
        <v>45474</v>
      </c>
      <c r="D560" t="inlineStr">
        <is>
          <t>UPPSALA LÄN</t>
        </is>
      </c>
      <c r="E560" t="inlineStr">
        <is>
          <t>ÖSTHAMMAR</t>
        </is>
      </c>
      <c r="G560" t="n">
        <v>3.5</v>
      </c>
      <c r="H560" t="n">
        <v>0</v>
      </c>
      <c r="I560" t="n">
        <v>0</v>
      </c>
      <c r="J560" t="n">
        <v>0</v>
      </c>
      <c r="K560" t="n">
        <v>0</v>
      </c>
      <c r="L560" t="n">
        <v>0</v>
      </c>
      <c r="M560" t="n">
        <v>0</v>
      </c>
      <c r="N560" t="n">
        <v>0</v>
      </c>
      <c r="O560" t="n">
        <v>0</v>
      </c>
      <c r="P560" t="n">
        <v>0</v>
      </c>
      <c r="Q560" t="n">
        <v>0</v>
      </c>
      <c r="R560" s="2" t="inlineStr"/>
    </row>
    <row r="561" ht="15" customHeight="1">
      <c r="A561" t="inlineStr">
        <is>
          <t>A 49914-2022</t>
        </is>
      </c>
      <c r="B561" s="1" t="n">
        <v>44865</v>
      </c>
      <c r="C561" s="1" t="n">
        <v>45474</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50576-2022</t>
        </is>
      </c>
      <c r="B562" s="1" t="n">
        <v>44866</v>
      </c>
      <c r="C562" s="1" t="n">
        <v>45474</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51055-2022</t>
        </is>
      </c>
      <c r="B563" s="1" t="n">
        <v>44868</v>
      </c>
      <c r="C563" s="1" t="n">
        <v>45474</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51696-2022</t>
        </is>
      </c>
      <c r="B564" s="1" t="n">
        <v>44872</v>
      </c>
      <c r="C564" s="1" t="n">
        <v>45474</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51906-2022</t>
        </is>
      </c>
      <c r="B565" s="1" t="n">
        <v>44872</v>
      </c>
      <c r="C565" s="1" t="n">
        <v>45474</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52265-2022</t>
        </is>
      </c>
      <c r="B566" s="1" t="n">
        <v>44873</v>
      </c>
      <c r="C566" s="1" t="n">
        <v>45474</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52255-2022</t>
        </is>
      </c>
      <c r="B567" s="1" t="n">
        <v>44873</v>
      </c>
      <c r="C567" s="1" t="n">
        <v>45474</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52295-2022</t>
        </is>
      </c>
      <c r="B568" s="1" t="n">
        <v>44873</v>
      </c>
      <c r="C568" s="1" t="n">
        <v>45474</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52652-2022</t>
        </is>
      </c>
      <c r="B569" s="1" t="n">
        <v>44874</v>
      </c>
      <c r="C569" s="1" t="n">
        <v>45474</v>
      </c>
      <c r="D569" t="inlineStr">
        <is>
          <t>UPPSALA LÄN</t>
        </is>
      </c>
      <c r="E569" t="inlineStr">
        <is>
          <t>ÖSTHAMMAR</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52389-2022</t>
        </is>
      </c>
      <c r="B570" s="1" t="n">
        <v>44874</v>
      </c>
      <c r="C570" s="1" t="n">
        <v>45474</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52663-2022</t>
        </is>
      </c>
      <c r="B571" s="1" t="n">
        <v>44874</v>
      </c>
      <c r="C571" s="1" t="n">
        <v>45474</v>
      </c>
      <c r="D571" t="inlineStr">
        <is>
          <t>UPPSALA LÄN</t>
        </is>
      </c>
      <c r="E571" t="inlineStr">
        <is>
          <t>ÖSTHAMMAR</t>
        </is>
      </c>
      <c r="F571" t="inlineStr">
        <is>
          <t>Bergvik skog öst AB</t>
        </is>
      </c>
      <c r="G571" t="n">
        <v>2.6</v>
      </c>
      <c r="H571" t="n">
        <v>0</v>
      </c>
      <c r="I571" t="n">
        <v>0</v>
      </c>
      <c r="J571" t="n">
        <v>0</v>
      </c>
      <c r="K571" t="n">
        <v>0</v>
      </c>
      <c r="L571" t="n">
        <v>0</v>
      </c>
      <c r="M571" t="n">
        <v>0</v>
      </c>
      <c r="N571" t="n">
        <v>0</v>
      </c>
      <c r="O571" t="n">
        <v>0</v>
      </c>
      <c r="P571" t="n">
        <v>0</v>
      </c>
      <c r="Q571" t="n">
        <v>0</v>
      </c>
      <c r="R571" s="2" t="inlineStr"/>
    </row>
    <row r="572" ht="15" customHeight="1">
      <c r="A572" t="inlineStr">
        <is>
          <t>A 52650-2022</t>
        </is>
      </c>
      <c r="B572" s="1" t="n">
        <v>44874</v>
      </c>
      <c r="C572" s="1" t="n">
        <v>45474</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52661-2022</t>
        </is>
      </c>
      <c r="B573" s="1" t="n">
        <v>44874</v>
      </c>
      <c r="C573" s="1" t="n">
        <v>45474</v>
      </c>
      <c r="D573" t="inlineStr">
        <is>
          <t>UPPSALA LÄN</t>
        </is>
      </c>
      <c r="E573" t="inlineStr">
        <is>
          <t>ÖSTHAMMAR</t>
        </is>
      </c>
      <c r="F573" t="inlineStr">
        <is>
          <t>Bergvik skog öst AB</t>
        </is>
      </c>
      <c r="G573" t="n">
        <v>0.2</v>
      </c>
      <c r="H573" t="n">
        <v>0</v>
      </c>
      <c r="I573" t="n">
        <v>0</v>
      </c>
      <c r="J573" t="n">
        <v>0</v>
      </c>
      <c r="K573" t="n">
        <v>0</v>
      </c>
      <c r="L573" t="n">
        <v>0</v>
      </c>
      <c r="M573" t="n">
        <v>0</v>
      </c>
      <c r="N573" t="n">
        <v>0</v>
      </c>
      <c r="O573" t="n">
        <v>0</v>
      </c>
      <c r="P573" t="n">
        <v>0</v>
      </c>
      <c r="Q573" t="n">
        <v>0</v>
      </c>
      <c r="R573" s="2" t="inlineStr"/>
    </row>
    <row r="574" ht="15" customHeight="1">
      <c r="A574" t="inlineStr">
        <is>
          <t>A 53180-2022</t>
        </is>
      </c>
      <c r="B574" s="1" t="n">
        <v>44876</v>
      </c>
      <c r="C574" s="1" t="n">
        <v>45474</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54666-2022</t>
        </is>
      </c>
      <c r="B575" s="1" t="n">
        <v>44883</v>
      </c>
      <c r="C575" s="1" t="n">
        <v>45474</v>
      </c>
      <c r="D575" t="inlineStr">
        <is>
          <t>UPPSALA LÄN</t>
        </is>
      </c>
      <c r="E575" t="inlineStr">
        <is>
          <t>ÖSTHAMMAR</t>
        </is>
      </c>
      <c r="G575" t="n">
        <v>14.3</v>
      </c>
      <c r="H575" t="n">
        <v>0</v>
      </c>
      <c r="I575" t="n">
        <v>0</v>
      </c>
      <c r="J575" t="n">
        <v>0</v>
      </c>
      <c r="K575" t="n">
        <v>0</v>
      </c>
      <c r="L575" t="n">
        <v>0</v>
      </c>
      <c r="M575" t="n">
        <v>0</v>
      </c>
      <c r="N575" t="n">
        <v>0</v>
      </c>
      <c r="O575" t="n">
        <v>0</v>
      </c>
      <c r="P575" t="n">
        <v>0</v>
      </c>
      <c r="Q575" t="n">
        <v>0</v>
      </c>
      <c r="R575" s="2" t="inlineStr"/>
    </row>
    <row r="576" ht="15" customHeight="1">
      <c r="A576" t="inlineStr">
        <is>
          <t>A 56260-2022</t>
        </is>
      </c>
      <c r="B576" s="1" t="n">
        <v>44890</v>
      </c>
      <c r="C576" s="1" t="n">
        <v>45474</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56969-2022</t>
        </is>
      </c>
      <c r="B577" s="1" t="n">
        <v>44894</v>
      </c>
      <c r="C577" s="1" t="n">
        <v>45474</v>
      </c>
      <c r="D577" t="inlineStr">
        <is>
          <t>UPPSALA LÄN</t>
        </is>
      </c>
      <c r="E577" t="inlineStr">
        <is>
          <t>ÖSTHAMMAR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57462-2022</t>
        </is>
      </c>
      <c r="B578" s="1" t="n">
        <v>44896</v>
      </c>
      <c r="C578" s="1" t="n">
        <v>45474</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57453-2022</t>
        </is>
      </c>
      <c r="B579" s="1" t="n">
        <v>44896</v>
      </c>
      <c r="C579" s="1" t="n">
        <v>45474</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58127-2022</t>
        </is>
      </c>
      <c r="B580" s="1" t="n">
        <v>44900</v>
      </c>
      <c r="C580" s="1" t="n">
        <v>45474</v>
      </c>
      <c r="D580" t="inlineStr">
        <is>
          <t>UPPSALA LÄN</t>
        </is>
      </c>
      <c r="E580" t="inlineStr">
        <is>
          <t>ÖSTHAMMAR</t>
        </is>
      </c>
      <c r="F580" t="inlineStr">
        <is>
          <t>Bergvik skog öst AB</t>
        </is>
      </c>
      <c r="G580" t="n">
        <v>6.4</v>
      </c>
      <c r="H580" t="n">
        <v>0</v>
      </c>
      <c r="I580" t="n">
        <v>0</v>
      </c>
      <c r="J580" t="n">
        <v>0</v>
      </c>
      <c r="K580" t="n">
        <v>0</v>
      </c>
      <c r="L580" t="n">
        <v>0</v>
      </c>
      <c r="M580" t="n">
        <v>0</v>
      </c>
      <c r="N580" t="n">
        <v>0</v>
      </c>
      <c r="O580" t="n">
        <v>0</v>
      </c>
      <c r="P580" t="n">
        <v>0</v>
      </c>
      <c r="Q580" t="n">
        <v>0</v>
      </c>
      <c r="R580" s="2" t="inlineStr"/>
    </row>
    <row r="581" ht="15" customHeight="1">
      <c r="A581" t="inlineStr">
        <is>
          <t>A 58367-2022</t>
        </is>
      </c>
      <c r="B581" s="1" t="n">
        <v>44901</v>
      </c>
      <c r="C581" s="1" t="n">
        <v>45474</v>
      </c>
      <c r="D581" t="inlineStr">
        <is>
          <t>UPPSALA LÄN</t>
        </is>
      </c>
      <c r="E581" t="inlineStr">
        <is>
          <t>ÖSTHAMMAR</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58878-2022</t>
        </is>
      </c>
      <c r="B582" s="1" t="n">
        <v>44903</v>
      </c>
      <c r="C582" s="1" t="n">
        <v>45474</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60258-2022</t>
        </is>
      </c>
      <c r="B583" s="1" t="n">
        <v>44903</v>
      </c>
      <c r="C583" s="1" t="n">
        <v>45474</v>
      </c>
      <c r="D583" t="inlineStr">
        <is>
          <t>UPPSALA LÄN</t>
        </is>
      </c>
      <c r="E583" t="inlineStr">
        <is>
          <t>ÖSTHAMMAR</t>
        </is>
      </c>
      <c r="G583" t="n">
        <v>2.5</v>
      </c>
      <c r="H583" t="n">
        <v>0</v>
      </c>
      <c r="I583" t="n">
        <v>0</v>
      </c>
      <c r="J583" t="n">
        <v>0</v>
      </c>
      <c r="K583" t="n">
        <v>0</v>
      </c>
      <c r="L583" t="n">
        <v>0</v>
      </c>
      <c r="M583" t="n">
        <v>0</v>
      </c>
      <c r="N583" t="n">
        <v>0</v>
      </c>
      <c r="O583" t="n">
        <v>0</v>
      </c>
      <c r="P583" t="n">
        <v>0</v>
      </c>
      <c r="Q583" t="n">
        <v>0</v>
      </c>
      <c r="R583" s="2" t="inlineStr"/>
    </row>
    <row r="584" ht="15" customHeight="1">
      <c r="A584" t="inlineStr">
        <is>
          <t>A 59382-2022</t>
        </is>
      </c>
      <c r="B584" s="1" t="n">
        <v>44905</v>
      </c>
      <c r="C584" s="1" t="n">
        <v>45474</v>
      </c>
      <c r="D584" t="inlineStr">
        <is>
          <t>UPPSALA LÄN</t>
        </is>
      </c>
      <c r="E584" t="inlineStr">
        <is>
          <t>ÖSTHAMMAR</t>
        </is>
      </c>
      <c r="G584" t="n">
        <v>2.9</v>
      </c>
      <c r="H584" t="n">
        <v>0</v>
      </c>
      <c r="I584" t="n">
        <v>0</v>
      </c>
      <c r="J584" t="n">
        <v>0</v>
      </c>
      <c r="K584" t="n">
        <v>0</v>
      </c>
      <c r="L584" t="n">
        <v>0</v>
      </c>
      <c r="M584" t="n">
        <v>0</v>
      </c>
      <c r="N584" t="n">
        <v>0</v>
      </c>
      <c r="O584" t="n">
        <v>0</v>
      </c>
      <c r="P584" t="n">
        <v>0</v>
      </c>
      <c r="Q584" t="n">
        <v>0</v>
      </c>
      <c r="R584" s="2" t="inlineStr"/>
    </row>
    <row r="585" ht="15" customHeight="1">
      <c r="A585" t="inlineStr">
        <is>
          <t>A 59563-2022</t>
        </is>
      </c>
      <c r="B585" s="1" t="n">
        <v>44907</v>
      </c>
      <c r="C585" s="1" t="n">
        <v>45474</v>
      </c>
      <c r="D585" t="inlineStr">
        <is>
          <t>UPPSALA LÄN</t>
        </is>
      </c>
      <c r="E585" t="inlineStr">
        <is>
          <t>ÖSTHAMMAR</t>
        </is>
      </c>
      <c r="G585" t="n">
        <v>2.8</v>
      </c>
      <c r="H585" t="n">
        <v>0</v>
      </c>
      <c r="I585" t="n">
        <v>0</v>
      </c>
      <c r="J585" t="n">
        <v>0</v>
      </c>
      <c r="K585" t="n">
        <v>0</v>
      </c>
      <c r="L585" t="n">
        <v>0</v>
      </c>
      <c r="M585" t="n">
        <v>0</v>
      </c>
      <c r="N585" t="n">
        <v>0</v>
      </c>
      <c r="O585" t="n">
        <v>0</v>
      </c>
      <c r="P585" t="n">
        <v>0</v>
      </c>
      <c r="Q585" t="n">
        <v>0</v>
      </c>
      <c r="R585" s="2" t="inlineStr"/>
    </row>
    <row r="586" ht="15" customHeight="1">
      <c r="A586" t="inlineStr">
        <is>
          <t>A 59880-2022</t>
        </is>
      </c>
      <c r="B586" s="1" t="n">
        <v>44908</v>
      </c>
      <c r="C586" s="1" t="n">
        <v>45474</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60079-2022</t>
        </is>
      </c>
      <c r="B587" s="1" t="n">
        <v>44909</v>
      </c>
      <c r="C587" s="1" t="n">
        <v>45474</v>
      </c>
      <c r="D587" t="inlineStr">
        <is>
          <t>UPPSALA LÄN</t>
        </is>
      </c>
      <c r="E587" t="inlineStr">
        <is>
          <t>ÖSTHAMMAR</t>
        </is>
      </c>
      <c r="G587" t="n">
        <v>9.6</v>
      </c>
      <c r="H587" t="n">
        <v>0</v>
      </c>
      <c r="I587" t="n">
        <v>0</v>
      </c>
      <c r="J587" t="n">
        <v>0</v>
      </c>
      <c r="K587" t="n">
        <v>0</v>
      </c>
      <c r="L587" t="n">
        <v>0</v>
      </c>
      <c r="M587" t="n">
        <v>0</v>
      </c>
      <c r="N587" t="n">
        <v>0</v>
      </c>
      <c r="O587" t="n">
        <v>0</v>
      </c>
      <c r="P587" t="n">
        <v>0</v>
      </c>
      <c r="Q587" t="n">
        <v>0</v>
      </c>
      <c r="R587" s="2" t="inlineStr"/>
    </row>
    <row r="588" ht="15" customHeight="1">
      <c r="A588" t="inlineStr">
        <is>
          <t>A 60597-2022</t>
        </is>
      </c>
      <c r="B588" s="1" t="n">
        <v>44911</v>
      </c>
      <c r="C588" s="1" t="n">
        <v>45474</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61261-2022</t>
        </is>
      </c>
      <c r="B589" s="1" t="n">
        <v>44915</v>
      </c>
      <c r="C589" s="1" t="n">
        <v>45474</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61216-2022</t>
        </is>
      </c>
      <c r="B590" s="1" t="n">
        <v>44915</v>
      </c>
      <c r="C590" s="1" t="n">
        <v>45474</v>
      </c>
      <c r="D590" t="inlineStr">
        <is>
          <t>UPPSALA LÄN</t>
        </is>
      </c>
      <c r="E590" t="inlineStr">
        <is>
          <t>ÖSTHAMMAR</t>
        </is>
      </c>
      <c r="G590" t="n">
        <v>2.9</v>
      </c>
      <c r="H590" t="n">
        <v>0</v>
      </c>
      <c r="I590" t="n">
        <v>0</v>
      </c>
      <c r="J590" t="n">
        <v>0</v>
      </c>
      <c r="K590" t="n">
        <v>0</v>
      </c>
      <c r="L590" t="n">
        <v>0</v>
      </c>
      <c r="M590" t="n">
        <v>0</v>
      </c>
      <c r="N590" t="n">
        <v>0</v>
      </c>
      <c r="O590" t="n">
        <v>0</v>
      </c>
      <c r="P590" t="n">
        <v>0</v>
      </c>
      <c r="Q590" t="n">
        <v>0</v>
      </c>
      <c r="R590" s="2" t="inlineStr"/>
    </row>
    <row r="591" ht="15" customHeight="1">
      <c r="A591" t="inlineStr">
        <is>
          <t>A 61257-2022</t>
        </is>
      </c>
      <c r="B591" s="1" t="n">
        <v>44915</v>
      </c>
      <c r="C591" s="1" t="n">
        <v>45474</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62295-2022</t>
        </is>
      </c>
      <c r="B592" s="1" t="n">
        <v>44916</v>
      </c>
      <c r="C592" s="1" t="n">
        <v>45474</v>
      </c>
      <c r="D592" t="inlineStr">
        <is>
          <t>UPPSALA LÄN</t>
        </is>
      </c>
      <c r="E592" t="inlineStr">
        <is>
          <t>ÖSTHAMMAR</t>
        </is>
      </c>
      <c r="G592" t="n">
        <v>3.3</v>
      </c>
      <c r="H592" t="n">
        <v>0</v>
      </c>
      <c r="I592" t="n">
        <v>0</v>
      </c>
      <c r="J592" t="n">
        <v>0</v>
      </c>
      <c r="K592" t="n">
        <v>0</v>
      </c>
      <c r="L592" t="n">
        <v>0</v>
      </c>
      <c r="M592" t="n">
        <v>0</v>
      </c>
      <c r="N592" t="n">
        <v>0</v>
      </c>
      <c r="O592" t="n">
        <v>0</v>
      </c>
      <c r="P592" t="n">
        <v>0</v>
      </c>
      <c r="Q592" t="n">
        <v>0</v>
      </c>
      <c r="R592" s="2" t="inlineStr"/>
    </row>
    <row r="593" ht="15" customHeight="1">
      <c r="A593" t="inlineStr">
        <is>
          <t>A 62394-2022</t>
        </is>
      </c>
      <c r="B593" s="1" t="n">
        <v>44923</v>
      </c>
      <c r="C593" s="1" t="n">
        <v>45474</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62393-2022</t>
        </is>
      </c>
      <c r="B594" s="1" t="n">
        <v>44923</v>
      </c>
      <c r="C594" s="1" t="n">
        <v>45474</v>
      </c>
      <c r="D594" t="inlineStr">
        <is>
          <t>UPPSALA LÄN</t>
        </is>
      </c>
      <c r="E594" t="inlineStr">
        <is>
          <t>ÖSTHAMMAR</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62392-2022</t>
        </is>
      </c>
      <c r="B595" s="1" t="n">
        <v>44923</v>
      </c>
      <c r="C595" s="1" t="n">
        <v>45474</v>
      </c>
      <c r="D595" t="inlineStr">
        <is>
          <t>UPPSALA LÄN</t>
        </is>
      </c>
      <c r="E595" t="inlineStr">
        <is>
          <t>ÖSTHAMMAR</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62391-2022</t>
        </is>
      </c>
      <c r="B596" s="1" t="n">
        <v>44923</v>
      </c>
      <c r="C596" s="1" t="n">
        <v>45474</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57-2023</t>
        </is>
      </c>
      <c r="B597" s="1" t="n">
        <v>44928</v>
      </c>
      <c r="C597" s="1" t="n">
        <v>45474</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59-2023</t>
        </is>
      </c>
      <c r="B598" s="1" t="n">
        <v>44928</v>
      </c>
      <c r="C598" s="1" t="n">
        <v>45474</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390-2023</t>
        </is>
      </c>
      <c r="B599" s="1" t="n">
        <v>44929</v>
      </c>
      <c r="C599" s="1" t="n">
        <v>45474</v>
      </c>
      <c r="D599" t="inlineStr">
        <is>
          <t>UPPSALA LÄN</t>
        </is>
      </c>
      <c r="E599" t="inlineStr">
        <is>
          <t>ÖSTHAMMAR</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1390-2023</t>
        </is>
      </c>
      <c r="B600" s="1" t="n">
        <v>44936</v>
      </c>
      <c r="C600" s="1" t="n">
        <v>45474</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1791-2023</t>
        </is>
      </c>
      <c r="B601" s="1" t="n">
        <v>44938</v>
      </c>
      <c r="C601" s="1" t="n">
        <v>45474</v>
      </c>
      <c r="D601" t="inlineStr">
        <is>
          <t>UPPSALA LÄN</t>
        </is>
      </c>
      <c r="E601" t="inlineStr">
        <is>
          <t>ÖSTHAMMAR</t>
        </is>
      </c>
      <c r="G601" t="n">
        <v>2</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45474</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1796-2023</t>
        </is>
      </c>
      <c r="B603" s="1" t="n">
        <v>44938</v>
      </c>
      <c r="C603" s="1" t="n">
        <v>45474</v>
      </c>
      <c r="D603" t="inlineStr">
        <is>
          <t>UPPSALA LÄN</t>
        </is>
      </c>
      <c r="E603" t="inlineStr">
        <is>
          <t>ÖSTHAMMAR</t>
        </is>
      </c>
      <c r="G603" t="n">
        <v>1.2</v>
      </c>
      <c r="H603" t="n">
        <v>0</v>
      </c>
      <c r="I603" t="n">
        <v>0</v>
      </c>
      <c r="J603" t="n">
        <v>0</v>
      </c>
      <c r="K603" t="n">
        <v>0</v>
      </c>
      <c r="L603" t="n">
        <v>0</v>
      </c>
      <c r="M603" t="n">
        <v>0</v>
      </c>
      <c r="N603" t="n">
        <v>0</v>
      </c>
      <c r="O603" t="n">
        <v>0</v>
      </c>
      <c r="P603" t="n">
        <v>0</v>
      </c>
      <c r="Q603" t="n">
        <v>0</v>
      </c>
      <c r="R603" s="2" t="inlineStr"/>
    </row>
    <row r="604" ht="15" customHeight="1">
      <c r="A604" t="inlineStr">
        <is>
          <t>A 2733-2023</t>
        </is>
      </c>
      <c r="B604" s="1" t="n">
        <v>44943</v>
      </c>
      <c r="C604" s="1" t="n">
        <v>45474</v>
      </c>
      <c r="D604" t="inlineStr">
        <is>
          <t>UPPSALA LÄN</t>
        </is>
      </c>
      <c r="E604" t="inlineStr">
        <is>
          <t>ÖSTHAMMAR</t>
        </is>
      </c>
      <c r="G604" t="n">
        <v>2.6</v>
      </c>
      <c r="H604" t="n">
        <v>0</v>
      </c>
      <c r="I604" t="n">
        <v>0</v>
      </c>
      <c r="J604" t="n">
        <v>0</v>
      </c>
      <c r="K604" t="n">
        <v>0</v>
      </c>
      <c r="L604" t="n">
        <v>0</v>
      </c>
      <c r="M604" t="n">
        <v>0</v>
      </c>
      <c r="N604" t="n">
        <v>0</v>
      </c>
      <c r="O604" t="n">
        <v>0</v>
      </c>
      <c r="P604" t="n">
        <v>0</v>
      </c>
      <c r="Q604" t="n">
        <v>0</v>
      </c>
      <c r="R604" s="2" t="inlineStr"/>
    </row>
    <row r="605" ht="15" customHeight="1">
      <c r="A605" t="inlineStr">
        <is>
          <t>A 2967-2023</t>
        </is>
      </c>
      <c r="B605" s="1" t="n">
        <v>44945</v>
      </c>
      <c r="C605" s="1" t="n">
        <v>45474</v>
      </c>
      <c r="D605" t="inlineStr">
        <is>
          <t>UPPSALA LÄN</t>
        </is>
      </c>
      <c r="E605" t="inlineStr">
        <is>
          <t>ÖSTHAMMAR</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3005-2023</t>
        </is>
      </c>
      <c r="B606" s="1" t="n">
        <v>44945</v>
      </c>
      <c r="C606" s="1" t="n">
        <v>45474</v>
      </c>
      <c r="D606" t="inlineStr">
        <is>
          <t>UPPSALA LÄN</t>
        </is>
      </c>
      <c r="E606" t="inlineStr">
        <is>
          <t>ÖSTHAMMAR</t>
        </is>
      </c>
      <c r="F606" t="inlineStr">
        <is>
          <t>Bergvik skog öst AB</t>
        </is>
      </c>
      <c r="G606" t="n">
        <v>6.5</v>
      </c>
      <c r="H606" t="n">
        <v>0</v>
      </c>
      <c r="I606" t="n">
        <v>0</v>
      </c>
      <c r="J606" t="n">
        <v>0</v>
      </c>
      <c r="K606" t="n">
        <v>0</v>
      </c>
      <c r="L606" t="n">
        <v>0</v>
      </c>
      <c r="M606" t="n">
        <v>0</v>
      </c>
      <c r="N606" t="n">
        <v>0</v>
      </c>
      <c r="O606" t="n">
        <v>0</v>
      </c>
      <c r="P606" t="n">
        <v>0</v>
      </c>
      <c r="Q606" t="n">
        <v>0</v>
      </c>
      <c r="R606" s="2" t="inlineStr"/>
    </row>
    <row r="607" ht="15" customHeight="1">
      <c r="A607" t="inlineStr">
        <is>
          <t>A 3743-2023</t>
        </is>
      </c>
      <c r="B607" s="1" t="n">
        <v>44948</v>
      </c>
      <c r="C607" s="1" t="n">
        <v>45474</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3327-2023</t>
        </is>
      </c>
      <c r="B608" s="1" t="n">
        <v>44949</v>
      </c>
      <c r="C608" s="1" t="n">
        <v>45474</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3514-2023</t>
        </is>
      </c>
      <c r="B609" s="1" t="n">
        <v>44950</v>
      </c>
      <c r="C609" s="1" t="n">
        <v>45474</v>
      </c>
      <c r="D609" t="inlineStr">
        <is>
          <t>UPPSALA LÄN</t>
        </is>
      </c>
      <c r="E609" t="inlineStr">
        <is>
          <t>ÖSTHAMMAR</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4004-2023</t>
        </is>
      </c>
      <c r="B610" s="1" t="n">
        <v>44952</v>
      </c>
      <c r="C610" s="1" t="n">
        <v>45474</v>
      </c>
      <c r="D610" t="inlineStr">
        <is>
          <t>UPPSALA LÄN</t>
        </is>
      </c>
      <c r="E610" t="inlineStr">
        <is>
          <t>ÖSTHAMMAR</t>
        </is>
      </c>
      <c r="G610" t="n">
        <v>4.1</v>
      </c>
      <c r="H610" t="n">
        <v>0</v>
      </c>
      <c r="I610" t="n">
        <v>0</v>
      </c>
      <c r="J610" t="n">
        <v>0</v>
      </c>
      <c r="K610" t="n">
        <v>0</v>
      </c>
      <c r="L610" t="n">
        <v>0</v>
      </c>
      <c r="M610" t="n">
        <v>0</v>
      </c>
      <c r="N610" t="n">
        <v>0</v>
      </c>
      <c r="O610" t="n">
        <v>0</v>
      </c>
      <c r="P610" t="n">
        <v>0</v>
      </c>
      <c r="Q610" t="n">
        <v>0</v>
      </c>
      <c r="R610" s="2" t="inlineStr"/>
    </row>
    <row r="611" ht="15" customHeight="1">
      <c r="A611" t="inlineStr">
        <is>
          <t>A 4054-2023</t>
        </is>
      </c>
      <c r="B611" s="1" t="n">
        <v>44952</v>
      </c>
      <c r="C611" s="1" t="n">
        <v>45474</v>
      </c>
      <c r="D611" t="inlineStr">
        <is>
          <t>UPPSALA LÄN</t>
        </is>
      </c>
      <c r="E611" t="inlineStr">
        <is>
          <t>ÖSTHAMMAR</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4233-2023</t>
        </is>
      </c>
      <c r="B612" s="1" t="n">
        <v>44953</v>
      </c>
      <c r="C612" s="1" t="n">
        <v>45474</v>
      </c>
      <c r="D612" t="inlineStr">
        <is>
          <t>UPPSALA LÄN</t>
        </is>
      </c>
      <c r="E612" t="inlineStr">
        <is>
          <t>ÖSTHAMMAR</t>
        </is>
      </c>
      <c r="G612" t="n">
        <v>0.9</v>
      </c>
      <c r="H612" t="n">
        <v>0</v>
      </c>
      <c r="I612" t="n">
        <v>0</v>
      </c>
      <c r="J612" t="n">
        <v>0</v>
      </c>
      <c r="K612" t="n">
        <v>0</v>
      </c>
      <c r="L612" t="n">
        <v>0</v>
      </c>
      <c r="M612" t="n">
        <v>0</v>
      </c>
      <c r="N612" t="n">
        <v>0</v>
      </c>
      <c r="O612" t="n">
        <v>0</v>
      </c>
      <c r="P612" t="n">
        <v>0</v>
      </c>
      <c r="Q612" t="n">
        <v>0</v>
      </c>
      <c r="R612" s="2" t="inlineStr"/>
    </row>
    <row r="613" ht="15" customHeight="1">
      <c r="A613" t="inlineStr">
        <is>
          <t>A 4228-2023</t>
        </is>
      </c>
      <c r="B613" s="1" t="n">
        <v>44953</v>
      </c>
      <c r="C613" s="1" t="n">
        <v>45474</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4361-2023</t>
        </is>
      </c>
      <c r="B614" s="1" t="n">
        <v>44954</v>
      </c>
      <c r="C614" s="1" t="n">
        <v>45474</v>
      </c>
      <c r="D614" t="inlineStr">
        <is>
          <t>UPPSALA LÄN</t>
        </is>
      </c>
      <c r="E614" t="inlineStr">
        <is>
          <t>ÖSTHAMMAR</t>
        </is>
      </c>
      <c r="F614" t="inlineStr">
        <is>
          <t>Bergvik skog öst AB</t>
        </is>
      </c>
      <c r="G614" t="n">
        <v>18.3</v>
      </c>
      <c r="H614" t="n">
        <v>0</v>
      </c>
      <c r="I614" t="n">
        <v>0</v>
      </c>
      <c r="J614" t="n">
        <v>0</v>
      </c>
      <c r="K614" t="n">
        <v>0</v>
      </c>
      <c r="L614" t="n">
        <v>0</v>
      </c>
      <c r="M614" t="n">
        <v>0</v>
      </c>
      <c r="N614" t="n">
        <v>0</v>
      </c>
      <c r="O614" t="n">
        <v>0</v>
      </c>
      <c r="P614" t="n">
        <v>0</v>
      </c>
      <c r="Q614" t="n">
        <v>0</v>
      </c>
      <c r="R614" s="2" t="inlineStr"/>
    </row>
    <row r="615" ht="15" customHeight="1">
      <c r="A615" t="inlineStr">
        <is>
          <t>A 5404-2023</t>
        </is>
      </c>
      <c r="B615" s="1" t="n">
        <v>44957</v>
      </c>
      <c r="C615" s="1" t="n">
        <v>45474</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5429-2023</t>
        </is>
      </c>
      <c r="B616" s="1" t="n">
        <v>44959</v>
      </c>
      <c r="C616" s="1" t="n">
        <v>45474</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5430-2023</t>
        </is>
      </c>
      <c r="B617" s="1" t="n">
        <v>44959</v>
      </c>
      <c r="C617" s="1" t="n">
        <v>45474</v>
      </c>
      <c r="D617" t="inlineStr">
        <is>
          <t>UPPSALA LÄN</t>
        </is>
      </c>
      <c r="E617" t="inlineStr">
        <is>
          <t>ÖSTHAMMAR</t>
        </is>
      </c>
      <c r="F617" t="inlineStr">
        <is>
          <t>Bergvik skog öst AB</t>
        </is>
      </c>
      <c r="G617" t="n">
        <v>18.4</v>
      </c>
      <c r="H617" t="n">
        <v>0</v>
      </c>
      <c r="I617" t="n">
        <v>0</v>
      </c>
      <c r="J617" t="n">
        <v>0</v>
      </c>
      <c r="K617" t="n">
        <v>0</v>
      </c>
      <c r="L617" t="n">
        <v>0</v>
      </c>
      <c r="M617" t="n">
        <v>0</v>
      </c>
      <c r="N617" t="n">
        <v>0</v>
      </c>
      <c r="O617" t="n">
        <v>0</v>
      </c>
      <c r="P617" t="n">
        <v>0</v>
      </c>
      <c r="Q617" t="n">
        <v>0</v>
      </c>
      <c r="R617" s="2" t="inlineStr"/>
    </row>
    <row r="618" ht="15" customHeight="1">
      <c r="A618" t="inlineStr">
        <is>
          <t>A 5643-2023</t>
        </is>
      </c>
      <c r="B618" s="1" t="n">
        <v>44960</v>
      </c>
      <c r="C618" s="1" t="n">
        <v>45474</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6629-2023</t>
        </is>
      </c>
      <c r="B619" s="1" t="n">
        <v>44960</v>
      </c>
      <c r="C619" s="1" t="n">
        <v>45474</v>
      </c>
      <c r="D619" t="inlineStr">
        <is>
          <t>UPPSALA LÄN</t>
        </is>
      </c>
      <c r="E619" t="inlineStr">
        <is>
          <t>ÖSTHAMMAR</t>
        </is>
      </c>
      <c r="G619" t="n">
        <v>4.6</v>
      </c>
      <c r="H619" t="n">
        <v>0</v>
      </c>
      <c r="I619" t="n">
        <v>0</v>
      </c>
      <c r="J619" t="n">
        <v>0</v>
      </c>
      <c r="K619" t="n">
        <v>0</v>
      </c>
      <c r="L619" t="n">
        <v>0</v>
      </c>
      <c r="M619" t="n">
        <v>0</v>
      </c>
      <c r="N619" t="n">
        <v>0</v>
      </c>
      <c r="O619" t="n">
        <v>0</v>
      </c>
      <c r="P619" t="n">
        <v>0</v>
      </c>
      <c r="Q619" t="n">
        <v>0</v>
      </c>
      <c r="R619" s="2" t="inlineStr"/>
    </row>
    <row r="620" ht="15" customHeight="1">
      <c r="A620" t="inlineStr">
        <is>
          <t>A 6635-2023</t>
        </is>
      </c>
      <c r="B620" s="1" t="n">
        <v>44960</v>
      </c>
      <c r="C620" s="1" t="n">
        <v>45474</v>
      </c>
      <c r="D620" t="inlineStr">
        <is>
          <t>UPPSALA LÄN</t>
        </is>
      </c>
      <c r="E620" t="inlineStr">
        <is>
          <t>ÖSTHAMMAR</t>
        </is>
      </c>
      <c r="G620" t="n">
        <v>4.6</v>
      </c>
      <c r="H620" t="n">
        <v>0</v>
      </c>
      <c r="I620" t="n">
        <v>0</v>
      </c>
      <c r="J620" t="n">
        <v>0</v>
      </c>
      <c r="K620" t="n">
        <v>0</v>
      </c>
      <c r="L620" t="n">
        <v>0</v>
      </c>
      <c r="M620" t="n">
        <v>0</v>
      </c>
      <c r="N620" t="n">
        <v>0</v>
      </c>
      <c r="O620" t="n">
        <v>0</v>
      </c>
      <c r="P620" t="n">
        <v>0</v>
      </c>
      <c r="Q620" t="n">
        <v>0</v>
      </c>
      <c r="R620" s="2" t="inlineStr"/>
    </row>
    <row r="621" ht="15" customHeight="1">
      <c r="A621" t="inlineStr">
        <is>
          <t>A 5832-2023</t>
        </is>
      </c>
      <c r="B621" s="1" t="n">
        <v>44963</v>
      </c>
      <c r="C621" s="1" t="n">
        <v>45474</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5836-2023</t>
        </is>
      </c>
      <c r="B622" s="1" t="n">
        <v>44963</v>
      </c>
      <c r="C622" s="1" t="n">
        <v>45474</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5831-2023</t>
        </is>
      </c>
      <c r="B623" s="1" t="n">
        <v>44963</v>
      </c>
      <c r="C623" s="1" t="n">
        <v>45474</v>
      </c>
      <c r="D623" t="inlineStr">
        <is>
          <t>UPPSALA LÄN</t>
        </is>
      </c>
      <c r="E623" t="inlineStr">
        <is>
          <t>ÖSTHAMMAR</t>
        </is>
      </c>
      <c r="G623" t="n">
        <v>8.1</v>
      </c>
      <c r="H623" t="n">
        <v>0</v>
      </c>
      <c r="I623" t="n">
        <v>0</v>
      </c>
      <c r="J623" t="n">
        <v>0</v>
      </c>
      <c r="K623" t="n">
        <v>0</v>
      </c>
      <c r="L623" t="n">
        <v>0</v>
      </c>
      <c r="M623" t="n">
        <v>0</v>
      </c>
      <c r="N623" t="n">
        <v>0</v>
      </c>
      <c r="O623" t="n">
        <v>0</v>
      </c>
      <c r="P623" t="n">
        <v>0</v>
      </c>
      <c r="Q623" t="n">
        <v>0</v>
      </c>
      <c r="R623" s="2" t="inlineStr"/>
    </row>
    <row r="624" ht="15" customHeight="1">
      <c r="A624" t="inlineStr">
        <is>
          <t>A 5857-2023</t>
        </is>
      </c>
      <c r="B624" s="1" t="n">
        <v>44963</v>
      </c>
      <c r="C624" s="1" t="n">
        <v>45474</v>
      </c>
      <c r="D624" t="inlineStr">
        <is>
          <t>UPPSALA LÄN</t>
        </is>
      </c>
      <c r="E624" t="inlineStr">
        <is>
          <t>ÖSTHAMMAR</t>
        </is>
      </c>
      <c r="G624" t="n">
        <v>1.6</v>
      </c>
      <c r="H624" t="n">
        <v>0</v>
      </c>
      <c r="I624" t="n">
        <v>0</v>
      </c>
      <c r="J624" t="n">
        <v>0</v>
      </c>
      <c r="K624" t="n">
        <v>0</v>
      </c>
      <c r="L624" t="n">
        <v>0</v>
      </c>
      <c r="M624" t="n">
        <v>0</v>
      </c>
      <c r="N624" t="n">
        <v>0</v>
      </c>
      <c r="O624" t="n">
        <v>0</v>
      </c>
      <c r="P624" t="n">
        <v>0</v>
      </c>
      <c r="Q624" t="n">
        <v>0</v>
      </c>
      <c r="R624" s="2" t="inlineStr"/>
    </row>
    <row r="625" ht="15" customHeight="1">
      <c r="A625" t="inlineStr">
        <is>
          <t>A 5884-2023</t>
        </is>
      </c>
      <c r="B625" s="1" t="n">
        <v>44963</v>
      </c>
      <c r="C625" s="1" t="n">
        <v>45474</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5877-2023</t>
        </is>
      </c>
      <c r="B626" s="1" t="n">
        <v>44963</v>
      </c>
      <c r="C626" s="1" t="n">
        <v>45474</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7195-2023</t>
        </is>
      </c>
      <c r="B627" s="1" t="n">
        <v>44970</v>
      </c>
      <c r="C627" s="1" t="n">
        <v>45474</v>
      </c>
      <c r="D627" t="inlineStr">
        <is>
          <t>UPPSALA LÄN</t>
        </is>
      </c>
      <c r="E627" t="inlineStr">
        <is>
          <t>ÖSTHAMMAR</t>
        </is>
      </c>
      <c r="G627" t="n">
        <v>1.3</v>
      </c>
      <c r="H627" t="n">
        <v>0</v>
      </c>
      <c r="I627" t="n">
        <v>0</v>
      </c>
      <c r="J627" t="n">
        <v>0</v>
      </c>
      <c r="K627" t="n">
        <v>0</v>
      </c>
      <c r="L627" t="n">
        <v>0</v>
      </c>
      <c r="M627" t="n">
        <v>0</v>
      </c>
      <c r="N627" t="n">
        <v>0</v>
      </c>
      <c r="O627" t="n">
        <v>0</v>
      </c>
      <c r="P627" t="n">
        <v>0</v>
      </c>
      <c r="Q627" t="n">
        <v>0</v>
      </c>
      <c r="R627" s="2" t="inlineStr"/>
    </row>
    <row r="628" ht="15" customHeight="1">
      <c r="A628" t="inlineStr">
        <is>
          <t>A 7206-2023</t>
        </is>
      </c>
      <c r="B628" s="1" t="n">
        <v>44970</v>
      </c>
      <c r="C628" s="1" t="n">
        <v>45474</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7118-2023</t>
        </is>
      </c>
      <c r="B629" s="1" t="n">
        <v>44970</v>
      </c>
      <c r="C629" s="1" t="n">
        <v>45474</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7546-2023</t>
        </is>
      </c>
      <c r="B630" s="1" t="n">
        <v>44972</v>
      </c>
      <c r="C630" s="1" t="n">
        <v>45474</v>
      </c>
      <c r="D630" t="inlineStr">
        <is>
          <t>UPPSALA LÄN</t>
        </is>
      </c>
      <c r="E630" t="inlineStr">
        <is>
          <t>ÖSTHAMMAR</t>
        </is>
      </c>
      <c r="F630" t="inlineStr">
        <is>
          <t>Bergvik skog öst AB</t>
        </is>
      </c>
      <c r="G630" t="n">
        <v>3.2</v>
      </c>
      <c r="H630" t="n">
        <v>0</v>
      </c>
      <c r="I630" t="n">
        <v>0</v>
      </c>
      <c r="J630" t="n">
        <v>0</v>
      </c>
      <c r="K630" t="n">
        <v>0</v>
      </c>
      <c r="L630" t="n">
        <v>0</v>
      </c>
      <c r="M630" t="n">
        <v>0</v>
      </c>
      <c r="N630" t="n">
        <v>0</v>
      </c>
      <c r="O630" t="n">
        <v>0</v>
      </c>
      <c r="P630" t="n">
        <v>0</v>
      </c>
      <c r="Q630" t="n">
        <v>0</v>
      </c>
      <c r="R630" s="2" t="inlineStr"/>
    </row>
    <row r="631" ht="15" customHeight="1">
      <c r="A631" t="inlineStr">
        <is>
          <t>A 7543-2023</t>
        </is>
      </c>
      <c r="B631" s="1" t="n">
        <v>44972</v>
      </c>
      <c r="C631" s="1" t="n">
        <v>45474</v>
      </c>
      <c r="D631" t="inlineStr">
        <is>
          <t>UPPSALA LÄN</t>
        </is>
      </c>
      <c r="E631" t="inlineStr">
        <is>
          <t>ÖSTHAMMAR</t>
        </is>
      </c>
      <c r="F631" t="inlineStr">
        <is>
          <t>Bergvik skog öst AB</t>
        </is>
      </c>
      <c r="G631" t="n">
        <v>13.3</v>
      </c>
      <c r="H631" t="n">
        <v>0</v>
      </c>
      <c r="I631" t="n">
        <v>0</v>
      </c>
      <c r="J631" t="n">
        <v>0</v>
      </c>
      <c r="K631" t="n">
        <v>0</v>
      </c>
      <c r="L631" t="n">
        <v>0</v>
      </c>
      <c r="M631" t="n">
        <v>0</v>
      </c>
      <c r="N631" t="n">
        <v>0</v>
      </c>
      <c r="O631" t="n">
        <v>0</v>
      </c>
      <c r="P631" t="n">
        <v>0</v>
      </c>
      <c r="Q631" t="n">
        <v>0</v>
      </c>
      <c r="R631" s="2" t="inlineStr"/>
    </row>
    <row r="632" ht="15" customHeight="1">
      <c r="A632" t="inlineStr">
        <is>
          <t>A 7560-2023</t>
        </is>
      </c>
      <c r="B632" s="1" t="n">
        <v>44972</v>
      </c>
      <c r="C632" s="1" t="n">
        <v>45474</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7876-2023</t>
        </is>
      </c>
      <c r="B633" s="1" t="n">
        <v>44973</v>
      </c>
      <c r="C633" s="1" t="n">
        <v>45474</v>
      </c>
      <c r="D633" t="inlineStr">
        <is>
          <t>UPPSALA LÄN</t>
        </is>
      </c>
      <c r="E633" t="inlineStr">
        <is>
          <t>ÖSTHAMMAR</t>
        </is>
      </c>
      <c r="G633" t="n">
        <v>0.9</v>
      </c>
      <c r="H633" t="n">
        <v>0</v>
      </c>
      <c r="I633" t="n">
        <v>0</v>
      </c>
      <c r="J633" t="n">
        <v>0</v>
      </c>
      <c r="K633" t="n">
        <v>0</v>
      </c>
      <c r="L633" t="n">
        <v>0</v>
      </c>
      <c r="M633" t="n">
        <v>0</v>
      </c>
      <c r="N633" t="n">
        <v>0</v>
      </c>
      <c r="O633" t="n">
        <v>0</v>
      </c>
      <c r="P633" t="n">
        <v>0</v>
      </c>
      <c r="Q633" t="n">
        <v>0</v>
      </c>
      <c r="R633" s="2" t="inlineStr"/>
    </row>
    <row r="634" ht="15" customHeight="1">
      <c r="A634" t="inlineStr">
        <is>
          <t>A 7944-2023</t>
        </is>
      </c>
      <c r="B634" s="1" t="n">
        <v>44973</v>
      </c>
      <c r="C634" s="1" t="n">
        <v>45474</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7975-2023</t>
        </is>
      </c>
      <c r="B635" s="1" t="n">
        <v>44973</v>
      </c>
      <c r="C635" s="1" t="n">
        <v>45474</v>
      </c>
      <c r="D635" t="inlineStr">
        <is>
          <t>UPPSALA LÄN</t>
        </is>
      </c>
      <c r="E635" t="inlineStr">
        <is>
          <t>ÖSTHAMMAR</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8006-2023</t>
        </is>
      </c>
      <c r="B636" s="1" t="n">
        <v>44973</v>
      </c>
      <c r="C636" s="1" t="n">
        <v>45474</v>
      </c>
      <c r="D636" t="inlineStr">
        <is>
          <t>UPPSALA LÄN</t>
        </is>
      </c>
      <c r="E636" t="inlineStr">
        <is>
          <t>ÖSTHAMMAR</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45474</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8826-2023</t>
        </is>
      </c>
      <c r="B638" s="1" t="n">
        <v>44978</v>
      </c>
      <c r="C638" s="1" t="n">
        <v>45474</v>
      </c>
      <c r="D638" t="inlineStr">
        <is>
          <t>UPPSALA LÄN</t>
        </is>
      </c>
      <c r="E638" t="inlineStr">
        <is>
          <t>ÖSTHAMMAR</t>
        </is>
      </c>
      <c r="F638" t="inlineStr">
        <is>
          <t>Bergvik skog öst AB</t>
        </is>
      </c>
      <c r="G638" t="n">
        <v>4.3</v>
      </c>
      <c r="H638" t="n">
        <v>0</v>
      </c>
      <c r="I638" t="n">
        <v>0</v>
      </c>
      <c r="J638" t="n">
        <v>0</v>
      </c>
      <c r="K638" t="n">
        <v>0</v>
      </c>
      <c r="L638" t="n">
        <v>0</v>
      </c>
      <c r="M638" t="n">
        <v>0</v>
      </c>
      <c r="N638" t="n">
        <v>0</v>
      </c>
      <c r="O638" t="n">
        <v>0</v>
      </c>
      <c r="P638" t="n">
        <v>0</v>
      </c>
      <c r="Q638" t="n">
        <v>0</v>
      </c>
      <c r="R638" s="2" t="inlineStr"/>
    </row>
    <row r="639" ht="15" customHeight="1">
      <c r="A639" t="inlineStr">
        <is>
          <t>A 8830-2023</t>
        </is>
      </c>
      <c r="B639" s="1" t="n">
        <v>44978</v>
      </c>
      <c r="C639" s="1" t="n">
        <v>45474</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9052-2023</t>
        </is>
      </c>
      <c r="B640" s="1" t="n">
        <v>44979</v>
      </c>
      <c r="C640" s="1" t="n">
        <v>45474</v>
      </c>
      <c r="D640" t="inlineStr">
        <is>
          <t>UPPSALA LÄN</t>
        </is>
      </c>
      <c r="E640" t="inlineStr">
        <is>
          <t>ÖSTHAMMAR</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9264-2023</t>
        </is>
      </c>
      <c r="B641" s="1" t="n">
        <v>44980</v>
      </c>
      <c r="C641" s="1" t="n">
        <v>45474</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9543-2023</t>
        </is>
      </c>
      <c r="B642" s="1" t="n">
        <v>44981</v>
      </c>
      <c r="C642" s="1" t="n">
        <v>45474</v>
      </c>
      <c r="D642" t="inlineStr">
        <is>
          <t>UPPSALA LÄN</t>
        </is>
      </c>
      <c r="E642" t="inlineStr">
        <is>
          <t>ÖSTHAMMAR</t>
        </is>
      </c>
      <c r="F642" t="inlineStr">
        <is>
          <t>Bergvik skog öst AB</t>
        </is>
      </c>
      <c r="G642" t="n">
        <v>5.9</v>
      </c>
      <c r="H642" t="n">
        <v>0</v>
      </c>
      <c r="I642" t="n">
        <v>0</v>
      </c>
      <c r="J642" t="n">
        <v>0</v>
      </c>
      <c r="K642" t="n">
        <v>0</v>
      </c>
      <c r="L642" t="n">
        <v>0</v>
      </c>
      <c r="M642" t="n">
        <v>0</v>
      </c>
      <c r="N642" t="n">
        <v>0</v>
      </c>
      <c r="O642" t="n">
        <v>0</v>
      </c>
      <c r="P642" t="n">
        <v>0</v>
      </c>
      <c r="Q642" t="n">
        <v>0</v>
      </c>
      <c r="R642" s="2" t="inlineStr"/>
    </row>
    <row r="643" ht="15" customHeight="1">
      <c r="A643" t="inlineStr">
        <is>
          <t>A 9542-2023</t>
        </is>
      </c>
      <c r="B643" s="1" t="n">
        <v>44981</v>
      </c>
      <c r="C643" s="1" t="n">
        <v>45474</v>
      </c>
      <c r="D643" t="inlineStr">
        <is>
          <t>UPPSALA LÄN</t>
        </is>
      </c>
      <c r="E643" t="inlineStr">
        <is>
          <t>ÖSTHAMMAR</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10034-2023</t>
        </is>
      </c>
      <c r="B644" s="1" t="n">
        <v>44985</v>
      </c>
      <c r="C644" s="1" t="n">
        <v>45474</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10449-2023</t>
        </is>
      </c>
      <c r="B645" s="1" t="n">
        <v>44987</v>
      </c>
      <c r="C645" s="1" t="n">
        <v>45474</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11017-2023</t>
        </is>
      </c>
      <c r="B646" s="1" t="n">
        <v>44991</v>
      </c>
      <c r="C646" s="1" t="n">
        <v>45474</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10982-2023</t>
        </is>
      </c>
      <c r="B647" s="1" t="n">
        <v>44991</v>
      </c>
      <c r="C647" s="1" t="n">
        <v>45474</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11008-2023</t>
        </is>
      </c>
      <c r="B648" s="1" t="n">
        <v>44991</v>
      </c>
      <c r="C648" s="1" t="n">
        <v>45474</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11015-2023</t>
        </is>
      </c>
      <c r="B649" s="1" t="n">
        <v>44991</v>
      </c>
      <c r="C649" s="1" t="n">
        <v>45474</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11036-2023</t>
        </is>
      </c>
      <c r="B650" s="1" t="n">
        <v>44991</v>
      </c>
      <c r="C650" s="1" t="n">
        <v>45474</v>
      </c>
      <c r="D650" t="inlineStr">
        <is>
          <t>UPPSALA LÄN</t>
        </is>
      </c>
      <c r="E650" t="inlineStr">
        <is>
          <t>ÖSTHAMMAR</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11009-2023</t>
        </is>
      </c>
      <c r="B651" s="1" t="n">
        <v>44991</v>
      </c>
      <c r="C651" s="1" t="n">
        <v>45474</v>
      </c>
      <c r="D651" t="inlineStr">
        <is>
          <t>UPPSALA LÄN</t>
        </is>
      </c>
      <c r="E651" t="inlineStr">
        <is>
          <t>ÖSTHAMMAR</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11033-2023</t>
        </is>
      </c>
      <c r="B652" s="1" t="n">
        <v>44991</v>
      </c>
      <c r="C652" s="1" t="n">
        <v>45474</v>
      </c>
      <c r="D652" t="inlineStr">
        <is>
          <t>UPPSALA LÄN</t>
        </is>
      </c>
      <c r="E652" t="inlineStr">
        <is>
          <t>ÖSTHAMMAR</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11282-2023</t>
        </is>
      </c>
      <c r="B653" s="1" t="n">
        <v>44992</v>
      </c>
      <c r="C653" s="1" t="n">
        <v>45474</v>
      </c>
      <c r="D653" t="inlineStr">
        <is>
          <t>UPPSALA LÄN</t>
        </is>
      </c>
      <c r="E653" t="inlineStr">
        <is>
          <t>ÖSTHAMMAR</t>
        </is>
      </c>
      <c r="F653" t="inlineStr">
        <is>
          <t>Bergvik skog öst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11281-2023</t>
        </is>
      </c>
      <c r="B654" s="1" t="n">
        <v>44992</v>
      </c>
      <c r="C654" s="1" t="n">
        <v>45474</v>
      </c>
      <c r="D654" t="inlineStr">
        <is>
          <t>UPPSALA LÄN</t>
        </is>
      </c>
      <c r="E654" t="inlineStr">
        <is>
          <t>ÖSTHAMMAR</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11469-2023</t>
        </is>
      </c>
      <c r="B655" s="1" t="n">
        <v>44993</v>
      </c>
      <c r="C655" s="1" t="n">
        <v>45474</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12190-2023</t>
        </is>
      </c>
      <c r="B656" s="1" t="n">
        <v>44995</v>
      </c>
      <c r="C656" s="1" t="n">
        <v>45474</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12186-2023</t>
        </is>
      </c>
      <c r="B657" s="1" t="n">
        <v>44995</v>
      </c>
      <c r="C657" s="1" t="n">
        <v>45474</v>
      </c>
      <c r="D657" t="inlineStr">
        <is>
          <t>UPPSALA LÄN</t>
        </is>
      </c>
      <c r="E657" t="inlineStr">
        <is>
          <t>ÖSTHAMMAR</t>
        </is>
      </c>
      <c r="G657" t="n">
        <v>5.7</v>
      </c>
      <c r="H657" t="n">
        <v>0</v>
      </c>
      <c r="I657" t="n">
        <v>0</v>
      </c>
      <c r="J657" t="n">
        <v>0</v>
      </c>
      <c r="K657" t="n">
        <v>0</v>
      </c>
      <c r="L657" t="n">
        <v>0</v>
      </c>
      <c r="M657" t="n">
        <v>0</v>
      </c>
      <c r="N657" t="n">
        <v>0</v>
      </c>
      <c r="O657" t="n">
        <v>0</v>
      </c>
      <c r="P657" t="n">
        <v>0</v>
      </c>
      <c r="Q657" t="n">
        <v>0</v>
      </c>
      <c r="R657" s="2" t="inlineStr"/>
    </row>
    <row r="658" ht="15" customHeight="1">
      <c r="A658" t="inlineStr">
        <is>
          <t>A 12262-2023</t>
        </is>
      </c>
      <c r="B658" s="1" t="n">
        <v>44998</v>
      </c>
      <c r="C658" s="1" t="n">
        <v>45474</v>
      </c>
      <c r="D658" t="inlineStr">
        <is>
          <t>UPPSALA LÄN</t>
        </is>
      </c>
      <c r="E658" t="inlineStr">
        <is>
          <t>ÖSTHAMMAR</t>
        </is>
      </c>
      <c r="G658" t="n">
        <v>4.1</v>
      </c>
      <c r="H658" t="n">
        <v>0</v>
      </c>
      <c r="I658" t="n">
        <v>0</v>
      </c>
      <c r="J658" t="n">
        <v>0</v>
      </c>
      <c r="K658" t="n">
        <v>0</v>
      </c>
      <c r="L658" t="n">
        <v>0</v>
      </c>
      <c r="M658" t="n">
        <v>0</v>
      </c>
      <c r="N658" t="n">
        <v>0</v>
      </c>
      <c r="O658" t="n">
        <v>0</v>
      </c>
      <c r="P658" t="n">
        <v>0</v>
      </c>
      <c r="Q658" t="n">
        <v>0</v>
      </c>
      <c r="R658" s="2" t="inlineStr"/>
    </row>
    <row r="659" ht="15" customHeight="1">
      <c r="A659" t="inlineStr">
        <is>
          <t>A 12215-2023</t>
        </is>
      </c>
      <c r="B659" s="1" t="n">
        <v>44998</v>
      </c>
      <c r="C659" s="1" t="n">
        <v>45474</v>
      </c>
      <c r="D659" t="inlineStr">
        <is>
          <t>UPPSALA LÄN</t>
        </is>
      </c>
      <c r="E659" t="inlineStr">
        <is>
          <t>ÖSTHAMMAR</t>
        </is>
      </c>
      <c r="G659" t="n">
        <v>5.1</v>
      </c>
      <c r="H659" t="n">
        <v>0</v>
      </c>
      <c r="I659" t="n">
        <v>0</v>
      </c>
      <c r="J659" t="n">
        <v>0</v>
      </c>
      <c r="K659" t="n">
        <v>0</v>
      </c>
      <c r="L659" t="n">
        <v>0</v>
      </c>
      <c r="M659" t="n">
        <v>0</v>
      </c>
      <c r="N659" t="n">
        <v>0</v>
      </c>
      <c r="O659" t="n">
        <v>0</v>
      </c>
      <c r="P659" t="n">
        <v>0</v>
      </c>
      <c r="Q659" t="n">
        <v>0</v>
      </c>
      <c r="R659" s="2" t="inlineStr"/>
    </row>
    <row r="660" ht="15" customHeight="1">
      <c r="A660" t="inlineStr">
        <is>
          <t>A 12497-2023</t>
        </is>
      </c>
      <c r="B660" s="1" t="n">
        <v>44999</v>
      </c>
      <c r="C660" s="1" t="n">
        <v>45474</v>
      </c>
      <c r="D660" t="inlineStr">
        <is>
          <t>UPPSALA LÄN</t>
        </is>
      </c>
      <c r="E660" t="inlineStr">
        <is>
          <t>ÖSTHAMMAR</t>
        </is>
      </c>
      <c r="F660" t="inlineStr">
        <is>
          <t>Bergvik skog öst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13336-2023</t>
        </is>
      </c>
      <c r="B661" s="1" t="n">
        <v>45005</v>
      </c>
      <c r="C661" s="1" t="n">
        <v>45474</v>
      </c>
      <c r="D661" t="inlineStr">
        <is>
          <t>UPPSALA LÄN</t>
        </is>
      </c>
      <c r="E661" t="inlineStr">
        <is>
          <t>ÖSTHAMMAR</t>
        </is>
      </c>
      <c r="G661" t="n">
        <v>2.4</v>
      </c>
      <c r="H661" t="n">
        <v>0</v>
      </c>
      <c r="I661" t="n">
        <v>0</v>
      </c>
      <c r="J661" t="n">
        <v>0</v>
      </c>
      <c r="K661" t="n">
        <v>0</v>
      </c>
      <c r="L661" t="n">
        <v>0</v>
      </c>
      <c r="M661" t="n">
        <v>0</v>
      </c>
      <c r="N661" t="n">
        <v>0</v>
      </c>
      <c r="O661" t="n">
        <v>0</v>
      </c>
      <c r="P661" t="n">
        <v>0</v>
      </c>
      <c r="Q661" t="n">
        <v>0</v>
      </c>
      <c r="R661" s="2" t="inlineStr"/>
    </row>
    <row r="662" ht="15" customHeight="1">
      <c r="A662" t="inlineStr">
        <is>
          <t>A 13352-2023</t>
        </is>
      </c>
      <c r="B662" s="1" t="n">
        <v>45005</v>
      </c>
      <c r="C662" s="1" t="n">
        <v>45474</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13643-2023</t>
        </is>
      </c>
      <c r="B663" s="1" t="n">
        <v>45006</v>
      </c>
      <c r="C663" s="1" t="n">
        <v>45474</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13580-2023</t>
        </is>
      </c>
      <c r="B664" s="1" t="n">
        <v>45006</v>
      </c>
      <c r="C664" s="1" t="n">
        <v>45474</v>
      </c>
      <c r="D664" t="inlineStr">
        <is>
          <t>UPPSALA LÄN</t>
        </is>
      </c>
      <c r="E664" t="inlineStr">
        <is>
          <t>ÖSTHAMMAR</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13584-2023</t>
        </is>
      </c>
      <c r="B665" s="1" t="n">
        <v>45006</v>
      </c>
      <c r="C665" s="1" t="n">
        <v>45474</v>
      </c>
      <c r="D665" t="inlineStr">
        <is>
          <t>UPPSALA LÄN</t>
        </is>
      </c>
      <c r="E665" t="inlineStr">
        <is>
          <t>ÖSTHAMMAR</t>
        </is>
      </c>
      <c r="F665" t="inlineStr">
        <is>
          <t>Övriga Aktiebolag</t>
        </is>
      </c>
      <c r="G665" t="n">
        <v>2.7</v>
      </c>
      <c r="H665" t="n">
        <v>0</v>
      </c>
      <c r="I665" t="n">
        <v>0</v>
      </c>
      <c r="J665" t="n">
        <v>0</v>
      </c>
      <c r="K665" t="n">
        <v>0</v>
      </c>
      <c r="L665" t="n">
        <v>0</v>
      </c>
      <c r="M665" t="n">
        <v>0</v>
      </c>
      <c r="N665" t="n">
        <v>0</v>
      </c>
      <c r="O665" t="n">
        <v>0</v>
      </c>
      <c r="P665" t="n">
        <v>0</v>
      </c>
      <c r="Q665" t="n">
        <v>0</v>
      </c>
      <c r="R665" s="2" t="inlineStr"/>
    </row>
    <row r="666" ht="15" customHeight="1">
      <c r="A666" t="inlineStr">
        <is>
          <t>A 13738-2023</t>
        </is>
      </c>
      <c r="B666" s="1" t="n">
        <v>45007</v>
      </c>
      <c r="C666" s="1" t="n">
        <v>45474</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13767-2023</t>
        </is>
      </c>
      <c r="B667" s="1" t="n">
        <v>45007</v>
      </c>
      <c r="C667" s="1" t="n">
        <v>45474</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13755-2023</t>
        </is>
      </c>
      <c r="B668" s="1" t="n">
        <v>45007</v>
      </c>
      <c r="C668" s="1" t="n">
        <v>45474</v>
      </c>
      <c r="D668" t="inlineStr">
        <is>
          <t>UPPSALA LÄN</t>
        </is>
      </c>
      <c r="E668" t="inlineStr">
        <is>
          <t>ÖSTHAMMAR</t>
        </is>
      </c>
      <c r="G668" t="n">
        <v>2.4</v>
      </c>
      <c r="H668" t="n">
        <v>0</v>
      </c>
      <c r="I668" t="n">
        <v>0</v>
      </c>
      <c r="J668" t="n">
        <v>0</v>
      </c>
      <c r="K668" t="n">
        <v>0</v>
      </c>
      <c r="L668" t="n">
        <v>0</v>
      </c>
      <c r="M668" t="n">
        <v>0</v>
      </c>
      <c r="N668" t="n">
        <v>0</v>
      </c>
      <c r="O668" t="n">
        <v>0</v>
      </c>
      <c r="P668" t="n">
        <v>0</v>
      </c>
      <c r="Q668" t="n">
        <v>0</v>
      </c>
      <c r="R668" s="2" t="inlineStr"/>
    </row>
    <row r="669" ht="15" customHeight="1">
      <c r="A669" t="inlineStr">
        <is>
          <t>A 13771-2023</t>
        </is>
      </c>
      <c r="B669" s="1" t="n">
        <v>45007</v>
      </c>
      <c r="C669" s="1" t="n">
        <v>45474</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13736-2023</t>
        </is>
      </c>
      <c r="B670" s="1" t="n">
        <v>45007</v>
      </c>
      <c r="C670" s="1" t="n">
        <v>45474</v>
      </c>
      <c r="D670" t="inlineStr">
        <is>
          <t>UPPSALA LÄN</t>
        </is>
      </c>
      <c r="E670" t="inlineStr">
        <is>
          <t>ÖSTHAMMAR</t>
        </is>
      </c>
      <c r="G670" t="n">
        <v>3.7</v>
      </c>
      <c r="H670" t="n">
        <v>0</v>
      </c>
      <c r="I670" t="n">
        <v>0</v>
      </c>
      <c r="J670" t="n">
        <v>0</v>
      </c>
      <c r="K670" t="n">
        <v>0</v>
      </c>
      <c r="L670" t="n">
        <v>0</v>
      </c>
      <c r="M670" t="n">
        <v>0</v>
      </c>
      <c r="N670" t="n">
        <v>0</v>
      </c>
      <c r="O670" t="n">
        <v>0</v>
      </c>
      <c r="P670" t="n">
        <v>0</v>
      </c>
      <c r="Q670" t="n">
        <v>0</v>
      </c>
      <c r="R670" s="2" t="inlineStr"/>
    </row>
    <row r="671" ht="15" customHeight="1">
      <c r="A671" t="inlineStr">
        <is>
          <t>A 14505-2023</t>
        </is>
      </c>
      <c r="B671" s="1" t="n">
        <v>45012</v>
      </c>
      <c r="C671" s="1" t="n">
        <v>45474</v>
      </c>
      <c r="D671" t="inlineStr">
        <is>
          <t>UPPSALA LÄN</t>
        </is>
      </c>
      <c r="E671" t="inlineStr">
        <is>
          <t>ÖSTHAMMAR</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14510-2023</t>
        </is>
      </c>
      <c r="B672" s="1" t="n">
        <v>45012</v>
      </c>
      <c r="C672" s="1" t="n">
        <v>45474</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14595-2023</t>
        </is>
      </c>
      <c r="B673" s="1" t="n">
        <v>45013</v>
      </c>
      <c r="C673" s="1" t="n">
        <v>45474</v>
      </c>
      <c r="D673" t="inlineStr">
        <is>
          <t>UPPSALA LÄN</t>
        </is>
      </c>
      <c r="E673" t="inlineStr">
        <is>
          <t>ÖSTHAMMAR</t>
        </is>
      </c>
      <c r="G673" t="n">
        <v>5</v>
      </c>
      <c r="H673" t="n">
        <v>0</v>
      </c>
      <c r="I673" t="n">
        <v>0</v>
      </c>
      <c r="J673" t="n">
        <v>0</v>
      </c>
      <c r="K673" t="n">
        <v>0</v>
      </c>
      <c r="L673" t="n">
        <v>0</v>
      </c>
      <c r="M673" t="n">
        <v>0</v>
      </c>
      <c r="N673" t="n">
        <v>0</v>
      </c>
      <c r="O673" t="n">
        <v>0</v>
      </c>
      <c r="P673" t="n">
        <v>0</v>
      </c>
      <c r="Q673" t="n">
        <v>0</v>
      </c>
      <c r="R673" s="2" t="inlineStr"/>
    </row>
    <row r="674" ht="15" customHeight="1">
      <c r="A674" t="inlineStr">
        <is>
          <t>A 14822-2023</t>
        </is>
      </c>
      <c r="B674" s="1" t="n">
        <v>45014</v>
      </c>
      <c r="C674" s="1" t="n">
        <v>45474</v>
      </c>
      <c r="D674" t="inlineStr">
        <is>
          <t>UPPSALA LÄN</t>
        </is>
      </c>
      <c r="E674" t="inlineStr">
        <is>
          <t>ÖSTHAMMAR</t>
        </is>
      </c>
      <c r="G674" t="n">
        <v>6.2</v>
      </c>
      <c r="H674" t="n">
        <v>0</v>
      </c>
      <c r="I674" t="n">
        <v>0</v>
      </c>
      <c r="J674" t="n">
        <v>0</v>
      </c>
      <c r="K674" t="n">
        <v>0</v>
      </c>
      <c r="L674" t="n">
        <v>0</v>
      </c>
      <c r="M674" t="n">
        <v>0</v>
      </c>
      <c r="N674" t="n">
        <v>0</v>
      </c>
      <c r="O674" t="n">
        <v>0</v>
      </c>
      <c r="P674" t="n">
        <v>0</v>
      </c>
      <c r="Q674" t="n">
        <v>0</v>
      </c>
      <c r="R674" s="2" t="inlineStr"/>
    </row>
    <row r="675" ht="15" customHeight="1">
      <c r="A675" t="inlineStr">
        <is>
          <t>A 14835-2023</t>
        </is>
      </c>
      <c r="B675" s="1" t="n">
        <v>45014</v>
      </c>
      <c r="C675" s="1" t="n">
        <v>45474</v>
      </c>
      <c r="D675" t="inlineStr">
        <is>
          <t>UPPSALA LÄN</t>
        </is>
      </c>
      <c r="E675" t="inlineStr">
        <is>
          <t>ÖSTHAMMAR</t>
        </is>
      </c>
      <c r="G675" t="n">
        <v>9.5</v>
      </c>
      <c r="H675" t="n">
        <v>0</v>
      </c>
      <c r="I675" t="n">
        <v>0</v>
      </c>
      <c r="J675" t="n">
        <v>0</v>
      </c>
      <c r="K675" t="n">
        <v>0</v>
      </c>
      <c r="L675" t="n">
        <v>0</v>
      </c>
      <c r="M675" t="n">
        <v>0</v>
      </c>
      <c r="N675" t="n">
        <v>0</v>
      </c>
      <c r="O675" t="n">
        <v>0</v>
      </c>
      <c r="P675" t="n">
        <v>0</v>
      </c>
      <c r="Q675" t="n">
        <v>0</v>
      </c>
      <c r="R675" s="2" t="inlineStr"/>
    </row>
    <row r="676" ht="15" customHeight="1">
      <c r="A676" t="inlineStr">
        <is>
          <t>A 14889-2023</t>
        </is>
      </c>
      <c r="B676" s="1" t="n">
        <v>45015</v>
      </c>
      <c r="C676" s="1" t="n">
        <v>45474</v>
      </c>
      <c r="D676" t="inlineStr">
        <is>
          <t>UPPSALA LÄN</t>
        </is>
      </c>
      <c r="E676" t="inlineStr">
        <is>
          <t>ÖSTHAMMAR</t>
        </is>
      </c>
      <c r="F676" t="inlineStr">
        <is>
          <t>Bergvik skog öst AB</t>
        </is>
      </c>
      <c r="G676" t="n">
        <v>7.6</v>
      </c>
      <c r="H676" t="n">
        <v>0</v>
      </c>
      <c r="I676" t="n">
        <v>0</v>
      </c>
      <c r="J676" t="n">
        <v>0</v>
      </c>
      <c r="K676" t="n">
        <v>0</v>
      </c>
      <c r="L676" t="n">
        <v>0</v>
      </c>
      <c r="M676" t="n">
        <v>0</v>
      </c>
      <c r="N676" t="n">
        <v>0</v>
      </c>
      <c r="O676" t="n">
        <v>0</v>
      </c>
      <c r="P676" t="n">
        <v>0</v>
      </c>
      <c r="Q676" t="n">
        <v>0</v>
      </c>
      <c r="R676" s="2" t="inlineStr"/>
    </row>
    <row r="677" ht="15" customHeight="1">
      <c r="A677" t="inlineStr">
        <is>
          <t>A 14888-2023</t>
        </is>
      </c>
      <c r="B677" s="1" t="n">
        <v>45015</v>
      </c>
      <c r="C677" s="1" t="n">
        <v>45474</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14976-2023</t>
        </is>
      </c>
      <c r="B678" s="1" t="n">
        <v>45015</v>
      </c>
      <c r="C678" s="1" t="n">
        <v>45474</v>
      </c>
      <c r="D678" t="inlineStr">
        <is>
          <t>UPPSALA LÄN</t>
        </is>
      </c>
      <c r="E678" t="inlineStr">
        <is>
          <t>ÖSTHAMMAR</t>
        </is>
      </c>
      <c r="G678" t="n">
        <v>3.2</v>
      </c>
      <c r="H678" t="n">
        <v>0</v>
      </c>
      <c r="I678" t="n">
        <v>0</v>
      </c>
      <c r="J678" t="n">
        <v>0</v>
      </c>
      <c r="K678" t="n">
        <v>0</v>
      </c>
      <c r="L678" t="n">
        <v>0</v>
      </c>
      <c r="M678" t="n">
        <v>0</v>
      </c>
      <c r="N678" t="n">
        <v>0</v>
      </c>
      <c r="O678" t="n">
        <v>0</v>
      </c>
      <c r="P678" t="n">
        <v>0</v>
      </c>
      <c r="Q678" t="n">
        <v>0</v>
      </c>
      <c r="R678" s="2" t="inlineStr"/>
    </row>
    <row r="679" ht="15" customHeight="1">
      <c r="A679" t="inlineStr">
        <is>
          <t>A 15554-2023</t>
        </is>
      </c>
      <c r="B679" s="1" t="n">
        <v>45019</v>
      </c>
      <c r="C679" s="1" t="n">
        <v>45474</v>
      </c>
      <c r="D679" t="inlineStr">
        <is>
          <t>UPPSALA LÄN</t>
        </is>
      </c>
      <c r="E679" t="inlineStr">
        <is>
          <t>ÖSTHAMMAR</t>
        </is>
      </c>
      <c r="G679" t="n">
        <v>5.3</v>
      </c>
      <c r="H679" t="n">
        <v>0</v>
      </c>
      <c r="I679" t="n">
        <v>0</v>
      </c>
      <c r="J679" t="n">
        <v>0</v>
      </c>
      <c r="K679" t="n">
        <v>0</v>
      </c>
      <c r="L679" t="n">
        <v>0</v>
      </c>
      <c r="M679" t="n">
        <v>0</v>
      </c>
      <c r="N679" t="n">
        <v>0</v>
      </c>
      <c r="O679" t="n">
        <v>0</v>
      </c>
      <c r="P679" t="n">
        <v>0</v>
      </c>
      <c r="Q679" t="n">
        <v>0</v>
      </c>
      <c r="R679" s="2" t="inlineStr"/>
    </row>
    <row r="680" ht="15" customHeight="1">
      <c r="A680" t="inlineStr">
        <is>
          <t>A 16112-2023</t>
        </is>
      </c>
      <c r="B680" s="1" t="n">
        <v>45027</v>
      </c>
      <c r="C680" s="1" t="n">
        <v>45474</v>
      </c>
      <c r="D680" t="inlineStr">
        <is>
          <t>UPPSALA LÄN</t>
        </is>
      </c>
      <c r="E680" t="inlineStr">
        <is>
          <t>ÖSTHAMMAR</t>
        </is>
      </c>
      <c r="G680" t="n">
        <v>2</v>
      </c>
      <c r="H680" t="n">
        <v>0</v>
      </c>
      <c r="I680" t="n">
        <v>0</v>
      </c>
      <c r="J680" t="n">
        <v>0</v>
      </c>
      <c r="K680" t="n">
        <v>0</v>
      </c>
      <c r="L680" t="n">
        <v>0</v>
      </c>
      <c r="M680" t="n">
        <v>0</v>
      </c>
      <c r="N680" t="n">
        <v>0</v>
      </c>
      <c r="O680" t="n">
        <v>0</v>
      </c>
      <c r="P680" t="n">
        <v>0</v>
      </c>
      <c r="Q680" t="n">
        <v>0</v>
      </c>
      <c r="R680" s="2" t="inlineStr"/>
    </row>
    <row r="681" ht="15" customHeight="1">
      <c r="A681" t="inlineStr">
        <is>
          <t>A 16345-2023</t>
        </is>
      </c>
      <c r="B681" s="1" t="n">
        <v>45028</v>
      </c>
      <c r="C681" s="1" t="n">
        <v>45474</v>
      </c>
      <c r="D681" t="inlineStr">
        <is>
          <t>UPPSALA LÄN</t>
        </is>
      </c>
      <c r="E681" t="inlineStr">
        <is>
          <t>ÖSTHAMMAR</t>
        </is>
      </c>
      <c r="F681" t="inlineStr">
        <is>
          <t>Övriga Aktiebolag</t>
        </is>
      </c>
      <c r="G681" t="n">
        <v>10.1</v>
      </c>
      <c r="H681" t="n">
        <v>0</v>
      </c>
      <c r="I681" t="n">
        <v>0</v>
      </c>
      <c r="J681" t="n">
        <v>0</v>
      </c>
      <c r="K681" t="n">
        <v>0</v>
      </c>
      <c r="L681" t="n">
        <v>0</v>
      </c>
      <c r="M681" t="n">
        <v>0</v>
      </c>
      <c r="N681" t="n">
        <v>0</v>
      </c>
      <c r="O681" t="n">
        <v>0</v>
      </c>
      <c r="P681" t="n">
        <v>0</v>
      </c>
      <c r="Q681" t="n">
        <v>0</v>
      </c>
      <c r="R681" s="2" t="inlineStr"/>
    </row>
    <row r="682" ht="15" customHeight="1">
      <c r="A682" t="inlineStr">
        <is>
          <t>A 16701-2023</t>
        </is>
      </c>
      <c r="B682" s="1" t="n">
        <v>45030</v>
      </c>
      <c r="C682" s="1" t="n">
        <v>45474</v>
      </c>
      <c r="D682" t="inlineStr">
        <is>
          <t>UPPSALA LÄN</t>
        </is>
      </c>
      <c r="E682" t="inlineStr">
        <is>
          <t>ÖSTHAMMAR</t>
        </is>
      </c>
      <c r="G682" t="n">
        <v>2.5</v>
      </c>
      <c r="H682" t="n">
        <v>0</v>
      </c>
      <c r="I682" t="n">
        <v>0</v>
      </c>
      <c r="J682" t="n">
        <v>0</v>
      </c>
      <c r="K682" t="n">
        <v>0</v>
      </c>
      <c r="L682" t="n">
        <v>0</v>
      </c>
      <c r="M682" t="n">
        <v>0</v>
      </c>
      <c r="N682" t="n">
        <v>0</v>
      </c>
      <c r="O682" t="n">
        <v>0</v>
      </c>
      <c r="P682" t="n">
        <v>0</v>
      </c>
      <c r="Q682" t="n">
        <v>0</v>
      </c>
      <c r="R682" s="2" t="inlineStr"/>
    </row>
    <row r="683" ht="15" customHeight="1">
      <c r="A683" t="inlineStr">
        <is>
          <t>A 16954-2023</t>
        </is>
      </c>
      <c r="B683" s="1" t="n">
        <v>45033</v>
      </c>
      <c r="C683" s="1" t="n">
        <v>45474</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16948-2023</t>
        </is>
      </c>
      <c r="B684" s="1" t="n">
        <v>45033</v>
      </c>
      <c r="C684" s="1" t="n">
        <v>45474</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16966-2023</t>
        </is>
      </c>
      <c r="B685" s="1" t="n">
        <v>45033</v>
      </c>
      <c r="C685" s="1" t="n">
        <v>45474</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17028-2023</t>
        </is>
      </c>
      <c r="B686" s="1" t="n">
        <v>45034</v>
      </c>
      <c r="C686" s="1" t="n">
        <v>45474</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17631-2023</t>
        </is>
      </c>
      <c r="B687" s="1" t="n">
        <v>45036</v>
      </c>
      <c r="C687" s="1" t="n">
        <v>45474</v>
      </c>
      <c r="D687" t="inlineStr">
        <is>
          <t>UPPSALA LÄN</t>
        </is>
      </c>
      <c r="E687" t="inlineStr">
        <is>
          <t>ÖSTHAMMAR</t>
        </is>
      </c>
      <c r="G687" t="n">
        <v>5.1</v>
      </c>
      <c r="H687" t="n">
        <v>0</v>
      </c>
      <c r="I687" t="n">
        <v>0</v>
      </c>
      <c r="J687" t="n">
        <v>0</v>
      </c>
      <c r="K687" t="n">
        <v>0</v>
      </c>
      <c r="L687" t="n">
        <v>0</v>
      </c>
      <c r="M687" t="n">
        <v>0</v>
      </c>
      <c r="N687" t="n">
        <v>0</v>
      </c>
      <c r="O687" t="n">
        <v>0</v>
      </c>
      <c r="P687" t="n">
        <v>0</v>
      </c>
      <c r="Q687" t="n">
        <v>0</v>
      </c>
      <c r="R687" s="2" t="inlineStr"/>
    </row>
    <row r="688" ht="15" customHeight="1">
      <c r="A688" t="inlineStr">
        <is>
          <t>A 17850-2023</t>
        </is>
      </c>
      <c r="B688" s="1" t="n">
        <v>45037</v>
      </c>
      <c r="C688" s="1" t="n">
        <v>45474</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17851-2023</t>
        </is>
      </c>
      <c r="B689" s="1" t="n">
        <v>45037</v>
      </c>
      <c r="C689" s="1" t="n">
        <v>45474</v>
      </c>
      <c r="D689" t="inlineStr">
        <is>
          <t>UPPSALA LÄN</t>
        </is>
      </c>
      <c r="E689" t="inlineStr">
        <is>
          <t>ÖSTHAMMAR</t>
        </is>
      </c>
      <c r="G689" t="n">
        <v>2.5</v>
      </c>
      <c r="H689" t="n">
        <v>0</v>
      </c>
      <c r="I689" t="n">
        <v>0</v>
      </c>
      <c r="J689" t="n">
        <v>0</v>
      </c>
      <c r="K689" t="n">
        <v>0</v>
      </c>
      <c r="L689" t="n">
        <v>0</v>
      </c>
      <c r="M689" t="n">
        <v>0</v>
      </c>
      <c r="N689" t="n">
        <v>0</v>
      </c>
      <c r="O689" t="n">
        <v>0</v>
      </c>
      <c r="P689" t="n">
        <v>0</v>
      </c>
      <c r="Q689" t="n">
        <v>0</v>
      </c>
      <c r="R689" s="2" t="inlineStr"/>
    </row>
    <row r="690" ht="15" customHeight="1">
      <c r="A690" t="inlineStr">
        <is>
          <t>A 17854-2023</t>
        </is>
      </c>
      <c r="B690" s="1" t="n">
        <v>45037</v>
      </c>
      <c r="C690" s="1" t="n">
        <v>45474</v>
      </c>
      <c r="D690" t="inlineStr">
        <is>
          <t>UPPSALA LÄN</t>
        </is>
      </c>
      <c r="E690" t="inlineStr">
        <is>
          <t>ÖSTHAMMAR</t>
        </is>
      </c>
      <c r="G690" t="n">
        <v>5.6</v>
      </c>
      <c r="H690" t="n">
        <v>0</v>
      </c>
      <c r="I690" t="n">
        <v>0</v>
      </c>
      <c r="J690" t="n">
        <v>0</v>
      </c>
      <c r="K690" t="n">
        <v>0</v>
      </c>
      <c r="L690" t="n">
        <v>0</v>
      </c>
      <c r="M690" t="n">
        <v>0</v>
      </c>
      <c r="N690" t="n">
        <v>0</v>
      </c>
      <c r="O690" t="n">
        <v>0</v>
      </c>
      <c r="P690" t="n">
        <v>0</v>
      </c>
      <c r="Q690" t="n">
        <v>0</v>
      </c>
      <c r="R690" s="2" t="inlineStr"/>
    </row>
    <row r="691" ht="15" customHeight="1">
      <c r="A691" t="inlineStr">
        <is>
          <t>A 18091-2023</t>
        </is>
      </c>
      <c r="B691" s="1" t="n">
        <v>45040</v>
      </c>
      <c r="C691" s="1" t="n">
        <v>45474</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17970-2023</t>
        </is>
      </c>
      <c r="B692" s="1" t="n">
        <v>45040</v>
      </c>
      <c r="C692" s="1" t="n">
        <v>45474</v>
      </c>
      <c r="D692" t="inlineStr">
        <is>
          <t>UPPSALA LÄN</t>
        </is>
      </c>
      <c r="E692" t="inlineStr">
        <is>
          <t>ÖSTHAMMAR</t>
        </is>
      </c>
      <c r="G692" t="n">
        <v>3.3</v>
      </c>
      <c r="H692" t="n">
        <v>0</v>
      </c>
      <c r="I692" t="n">
        <v>0</v>
      </c>
      <c r="J692" t="n">
        <v>0</v>
      </c>
      <c r="K692" t="n">
        <v>0</v>
      </c>
      <c r="L692" t="n">
        <v>0</v>
      </c>
      <c r="M692" t="n">
        <v>0</v>
      </c>
      <c r="N692" t="n">
        <v>0</v>
      </c>
      <c r="O692" t="n">
        <v>0</v>
      </c>
      <c r="P692" t="n">
        <v>0</v>
      </c>
      <c r="Q692" t="n">
        <v>0</v>
      </c>
      <c r="R692" s="2" t="inlineStr"/>
    </row>
    <row r="693" ht="15" customHeight="1">
      <c r="A693" t="inlineStr">
        <is>
          <t>A 18074-2023</t>
        </is>
      </c>
      <c r="B693" s="1" t="n">
        <v>45040</v>
      </c>
      <c r="C693" s="1" t="n">
        <v>45474</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18113-2023</t>
        </is>
      </c>
      <c r="B694" s="1" t="n">
        <v>45040</v>
      </c>
      <c r="C694" s="1" t="n">
        <v>45474</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17969-2023</t>
        </is>
      </c>
      <c r="B695" s="1" t="n">
        <v>45040</v>
      </c>
      <c r="C695" s="1" t="n">
        <v>45474</v>
      </c>
      <c r="D695" t="inlineStr">
        <is>
          <t>UPPSALA LÄN</t>
        </is>
      </c>
      <c r="E695" t="inlineStr">
        <is>
          <t>ÖSTHAMMAR</t>
        </is>
      </c>
      <c r="G695" t="n">
        <v>5.4</v>
      </c>
      <c r="H695" t="n">
        <v>0</v>
      </c>
      <c r="I695" t="n">
        <v>0</v>
      </c>
      <c r="J695" t="n">
        <v>0</v>
      </c>
      <c r="K695" t="n">
        <v>0</v>
      </c>
      <c r="L695" t="n">
        <v>0</v>
      </c>
      <c r="M695" t="n">
        <v>0</v>
      </c>
      <c r="N695" t="n">
        <v>0</v>
      </c>
      <c r="O695" t="n">
        <v>0</v>
      </c>
      <c r="P695" t="n">
        <v>0</v>
      </c>
      <c r="Q695" t="n">
        <v>0</v>
      </c>
      <c r="R695" s="2" t="inlineStr"/>
    </row>
    <row r="696" ht="15" customHeight="1">
      <c r="A696" t="inlineStr">
        <is>
          <t>A 18219-2023</t>
        </is>
      </c>
      <c r="B696" s="1" t="n">
        <v>45041</v>
      </c>
      <c r="C696" s="1" t="n">
        <v>45474</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18536-2023</t>
        </is>
      </c>
      <c r="B697" s="1" t="n">
        <v>45042</v>
      </c>
      <c r="C697" s="1" t="n">
        <v>45474</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18386-2023</t>
        </is>
      </c>
      <c r="B698" s="1" t="n">
        <v>45042</v>
      </c>
      <c r="C698" s="1" t="n">
        <v>45474</v>
      </c>
      <c r="D698" t="inlineStr">
        <is>
          <t>UPPSALA LÄN</t>
        </is>
      </c>
      <c r="E698" t="inlineStr">
        <is>
          <t>ÖSTHAMMAR</t>
        </is>
      </c>
      <c r="F698" t="inlineStr">
        <is>
          <t>Bergvik skog öst AB</t>
        </is>
      </c>
      <c r="G698" t="n">
        <v>2.9</v>
      </c>
      <c r="H698" t="n">
        <v>0</v>
      </c>
      <c r="I698" t="n">
        <v>0</v>
      </c>
      <c r="J698" t="n">
        <v>0</v>
      </c>
      <c r="K698" t="n">
        <v>0</v>
      </c>
      <c r="L698" t="n">
        <v>0</v>
      </c>
      <c r="M698" t="n">
        <v>0</v>
      </c>
      <c r="N698" t="n">
        <v>0</v>
      </c>
      <c r="O698" t="n">
        <v>0</v>
      </c>
      <c r="P698" t="n">
        <v>0</v>
      </c>
      <c r="Q698" t="n">
        <v>0</v>
      </c>
      <c r="R698" s="2" t="inlineStr"/>
    </row>
    <row r="699" ht="15" customHeight="1">
      <c r="A699" t="inlineStr">
        <is>
          <t>A 18535-2023</t>
        </is>
      </c>
      <c r="B699" s="1" t="n">
        <v>45042</v>
      </c>
      <c r="C699" s="1" t="n">
        <v>45474</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18534-2023</t>
        </is>
      </c>
      <c r="B700" s="1" t="n">
        <v>45042</v>
      </c>
      <c r="C700" s="1" t="n">
        <v>45474</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18538-2023</t>
        </is>
      </c>
      <c r="B701" s="1" t="n">
        <v>45042</v>
      </c>
      <c r="C701" s="1" t="n">
        <v>45474</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18838-2023</t>
        </is>
      </c>
      <c r="B702" s="1" t="n">
        <v>45044</v>
      </c>
      <c r="C702" s="1" t="n">
        <v>45474</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18839-2023</t>
        </is>
      </c>
      <c r="B703" s="1" t="n">
        <v>45044</v>
      </c>
      <c r="C703" s="1" t="n">
        <v>45474</v>
      </c>
      <c r="D703" t="inlineStr">
        <is>
          <t>UPPSALA LÄN</t>
        </is>
      </c>
      <c r="E703" t="inlineStr">
        <is>
          <t>ÖSTHAMMAR</t>
        </is>
      </c>
      <c r="G703" t="n">
        <v>2.5</v>
      </c>
      <c r="H703" t="n">
        <v>0</v>
      </c>
      <c r="I703" t="n">
        <v>0</v>
      </c>
      <c r="J703" t="n">
        <v>0</v>
      </c>
      <c r="K703" t="n">
        <v>0</v>
      </c>
      <c r="L703" t="n">
        <v>0</v>
      </c>
      <c r="M703" t="n">
        <v>0</v>
      </c>
      <c r="N703" t="n">
        <v>0</v>
      </c>
      <c r="O703" t="n">
        <v>0</v>
      </c>
      <c r="P703" t="n">
        <v>0</v>
      </c>
      <c r="Q703" t="n">
        <v>0</v>
      </c>
      <c r="R703" s="2" t="inlineStr"/>
    </row>
    <row r="704" ht="15" customHeight="1">
      <c r="A704" t="inlineStr">
        <is>
          <t>A 18841-2023</t>
        </is>
      </c>
      <c r="B704" s="1" t="n">
        <v>45044</v>
      </c>
      <c r="C704" s="1" t="n">
        <v>45474</v>
      </c>
      <c r="D704" t="inlineStr">
        <is>
          <t>UPPSALA LÄN</t>
        </is>
      </c>
      <c r="E704" t="inlineStr">
        <is>
          <t>ÖSTHAMMAR</t>
        </is>
      </c>
      <c r="G704" t="n">
        <v>3.9</v>
      </c>
      <c r="H704" t="n">
        <v>0</v>
      </c>
      <c r="I704" t="n">
        <v>0</v>
      </c>
      <c r="J704" t="n">
        <v>0</v>
      </c>
      <c r="K704" t="n">
        <v>0</v>
      </c>
      <c r="L704" t="n">
        <v>0</v>
      </c>
      <c r="M704" t="n">
        <v>0</v>
      </c>
      <c r="N704" t="n">
        <v>0</v>
      </c>
      <c r="O704" t="n">
        <v>0</v>
      </c>
      <c r="P704" t="n">
        <v>0</v>
      </c>
      <c r="Q704" t="n">
        <v>0</v>
      </c>
      <c r="R704" s="2" t="inlineStr"/>
    </row>
    <row r="705" ht="15" customHeight="1">
      <c r="A705" t="inlineStr">
        <is>
          <t>A 18945-2023</t>
        </is>
      </c>
      <c r="B705" s="1" t="n">
        <v>45044</v>
      </c>
      <c r="C705" s="1" t="n">
        <v>45474</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18946-2023</t>
        </is>
      </c>
      <c r="B706" s="1" t="n">
        <v>45044</v>
      </c>
      <c r="C706" s="1" t="n">
        <v>45474</v>
      </c>
      <c r="D706" t="inlineStr">
        <is>
          <t>UPPSALA LÄN</t>
        </is>
      </c>
      <c r="E706" t="inlineStr">
        <is>
          <t>ÖSTHAMMAR</t>
        </is>
      </c>
      <c r="G706" t="n">
        <v>4.9</v>
      </c>
      <c r="H706" t="n">
        <v>0</v>
      </c>
      <c r="I706" t="n">
        <v>0</v>
      </c>
      <c r="J706" t="n">
        <v>0</v>
      </c>
      <c r="K706" t="n">
        <v>0</v>
      </c>
      <c r="L706" t="n">
        <v>0</v>
      </c>
      <c r="M706" t="n">
        <v>0</v>
      </c>
      <c r="N706" t="n">
        <v>0</v>
      </c>
      <c r="O706" t="n">
        <v>0</v>
      </c>
      <c r="P706" t="n">
        <v>0</v>
      </c>
      <c r="Q706" t="n">
        <v>0</v>
      </c>
      <c r="R706" s="2" t="inlineStr"/>
    </row>
    <row r="707" ht="15" customHeight="1">
      <c r="A707" t="inlineStr">
        <is>
          <t>A 19012-2023</t>
        </is>
      </c>
      <c r="B707" s="1" t="n">
        <v>45045</v>
      </c>
      <c r="C707" s="1" t="n">
        <v>45474</v>
      </c>
      <c r="D707" t="inlineStr">
        <is>
          <t>UPPSALA LÄN</t>
        </is>
      </c>
      <c r="E707" t="inlineStr">
        <is>
          <t>ÖSTHAMMAR</t>
        </is>
      </c>
      <c r="F707" t="inlineStr">
        <is>
          <t>Bergvik skog öst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19015-2023</t>
        </is>
      </c>
      <c r="B708" s="1" t="n">
        <v>45045</v>
      </c>
      <c r="C708" s="1" t="n">
        <v>45474</v>
      </c>
      <c r="D708" t="inlineStr">
        <is>
          <t>UPPSALA LÄN</t>
        </is>
      </c>
      <c r="E708" t="inlineStr">
        <is>
          <t>ÖSTHAMMAR</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19010-2023</t>
        </is>
      </c>
      <c r="B709" s="1" t="n">
        <v>45045</v>
      </c>
      <c r="C709" s="1" t="n">
        <v>45474</v>
      </c>
      <c r="D709" t="inlineStr">
        <is>
          <t>UPPSALA LÄN</t>
        </is>
      </c>
      <c r="E709" t="inlineStr">
        <is>
          <t>ÖSTHAMMAR</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19014-2023</t>
        </is>
      </c>
      <c r="B710" s="1" t="n">
        <v>45045</v>
      </c>
      <c r="C710" s="1" t="n">
        <v>45474</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19009-2023</t>
        </is>
      </c>
      <c r="B711" s="1" t="n">
        <v>45045</v>
      </c>
      <c r="C711" s="1" t="n">
        <v>45474</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19041-2023</t>
        </is>
      </c>
      <c r="B712" s="1" t="n">
        <v>45047</v>
      </c>
      <c r="C712" s="1" t="n">
        <v>45474</v>
      </c>
      <c r="D712" t="inlineStr">
        <is>
          <t>UPPSALA LÄN</t>
        </is>
      </c>
      <c r="E712" t="inlineStr">
        <is>
          <t>ÖSTHAMMAR</t>
        </is>
      </c>
      <c r="F712" t="inlineStr">
        <is>
          <t>Bergvik skog öst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19040-2023</t>
        </is>
      </c>
      <c r="B713" s="1" t="n">
        <v>45047</v>
      </c>
      <c r="C713" s="1" t="n">
        <v>45474</v>
      </c>
      <c r="D713" t="inlineStr">
        <is>
          <t>UPPSALA LÄN</t>
        </is>
      </c>
      <c r="E713" t="inlineStr">
        <is>
          <t>ÖSTHAMMAR</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19102-2023</t>
        </is>
      </c>
      <c r="B714" s="1" t="n">
        <v>45048</v>
      </c>
      <c r="C714" s="1" t="n">
        <v>45474</v>
      </c>
      <c r="D714" t="inlineStr">
        <is>
          <t>UPPSALA LÄN</t>
        </is>
      </c>
      <c r="E714" t="inlineStr">
        <is>
          <t>ÖSTHAMMAR</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19099-2023</t>
        </is>
      </c>
      <c r="B715" s="1" t="n">
        <v>45048</v>
      </c>
      <c r="C715" s="1" t="n">
        <v>45474</v>
      </c>
      <c r="D715" t="inlineStr">
        <is>
          <t>UPPSALA LÄN</t>
        </is>
      </c>
      <c r="E715" t="inlineStr">
        <is>
          <t>ÖSTHAMMAR</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19097-2023</t>
        </is>
      </c>
      <c r="B716" s="1" t="n">
        <v>45048</v>
      </c>
      <c r="C716" s="1" t="n">
        <v>45474</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19215-2023</t>
        </is>
      </c>
      <c r="B717" s="1" t="n">
        <v>45048</v>
      </c>
      <c r="C717" s="1" t="n">
        <v>45474</v>
      </c>
      <c r="D717" t="inlineStr">
        <is>
          <t>UPPSALA LÄN</t>
        </is>
      </c>
      <c r="E717" t="inlineStr">
        <is>
          <t>ÖSTHAMMAR</t>
        </is>
      </c>
      <c r="G717" t="n">
        <v>2.3</v>
      </c>
      <c r="H717" t="n">
        <v>0</v>
      </c>
      <c r="I717" t="n">
        <v>0</v>
      </c>
      <c r="J717" t="n">
        <v>0</v>
      </c>
      <c r="K717" t="n">
        <v>0</v>
      </c>
      <c r="L717" t="n">
        <v>0</v>
      </c>
      <c r="M717" t="n">
        <v>0</v>
      </c>
      <c r="N717" t="n">
        <v>0</v>
      </c>
      <c r="O717" t="n">
        <v>0</v>
      </c>
      <c r="P717" t="n">
        <v>0</v>
      </c>
      <c r="Q717" t="n">
        <v>0</v>
      </c>
      <c r="R717" s="2" t="inlineStr"/>
    </row>
    <row r="718" ht="15" customHeight="1">
      <c r="A718" t="inlineStr">
        <is>
          <t>A 19216-2023</t>
        </is>
      </c>
      <c r="B718" s="1" t="n">
        <v>45048</v>
      </c>
      <c r="C718" s="1" t="n">
        <v>45474</v>
      </c>
      <c r="D718" t="inlineStr">
        <is>
          <t>UPPSALA LÄN</t>
        </is>
      </c>
      <c r="E718" t="inlineStr">
        <is>
          <t>ÖSTHAMMAR</t>
        </is>
      </c>
      <c r="G718" t="n">
        <v>11.3</v>
      </c>
      <c r="H718" t="n">
        <v>0</v>
      </c>
      <c r="I718" t="n">
        <v>0</v>
      </c>
      <c r="J718" t="n">
        <v>0</v>
      </c>
      <c r="K718" t="n">
        <v>0</v>
      </c>
      <c r="L718" t="n">
        <v>0</v>
      </c>
      <c r="M718" t="n">
        <v>0</v>
      </c>
      <c r="N718" t="n">
        <v>0</v>
      </c>
      <c r="O718" t="n">
        <v>0</v>
      </c>
      <c r="P718" t="n">
        <v>0</v>
      </c>
      <c r="Q718" t="n">
        <v>0</v>
      </c>
      <c r="R718" s="2" t="inlineStr"/>
    </row>
    <row r="719" ht="15" customHeight="1">
      <c r="A719" t="inlineStr">
        <is>
          <t>A 19784-2023</t>
        </is>
      </c>
      <c r="B719" s="1" t="n">
        <v>45051</v>
      </c>
      <c r="C719" s="1" t="n">
        <v>45474</v>
      </c>
      <c r="D719" t="inlineStr">
        <is>
          <t>UPPSALA LÄN</t>
        </is>
      </c>
      <c r="E719" t="inlineStr">
        <is>
          <t>ÖSTHAMMAR</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19801-2023</t>
        </is>
      </c>
      <c r="B720" s="1" t="n">
        <v>45051</v>
      </c>
      <c r="C720" s="1" t="n">
        <v>45474</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19968-2023</t>
        </is>
      </c>
      <c r="B721" s="1" t="n">
        <v>45054</v>
      </c>
      <c r="C721" s="1" t="n">
        <v>45474</v>
      </c>
      <c r="D721" t="inlineStr">
        <is>
          <t>UPPSALA LÄN</t>
        </is>
      </c>
      <c r="E721" t="inlineStr">
        <is>
          <t>ÖSTHAMMAR</t>
        </is>
      </c>
      <c r="G721" t="n">
        <v>5.8</v>
      </c>
      <c r="H721" t="n">
        <v>0</v>
      </c>
      <c r="I721" t="n">
        <v>0</v>
      </c>
      <c r="J721" t="n">
        <v>0</v>
      </c>
      <c r="K721" t="n">
        <v>0</v>
      </c>
      <c r="L721" t="n">
        <v>0</v>
      </c>
      <c r="M721" t="n">
        <v>0</v>
      </c>
      <c r="N721" t="n">
        <v>0</v>
      </c>
      <c r="O721" t="n">
        <v>0</v>
      </c>
      <c r="P721" t="n">
        <v>0</v>
      </c>
      <c r="Q721" t="n">
        <v>0</v>
      </c>
      <c r="R721" s="2" t="inlineStr"/>
    </row>
    <row r="722" ht="15" customHeight="1">
      <c r="A722" t="inlineStr">
        <is>
          <t>A 20038-2023</t>
        </is>
      </c>
      <c r="B722" s="1" t="n">
        <v>45054</v>
      </c>
      <c r="C722" s="1" t="n">
        <v>45474</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20046-2023</t>
        </is>
      </c>
      <c r="B723" s="1" t="n">
        <v>45054</v>
      </c>
      <c r="C723" s="1" t="n">
        <v>45474</v>
      </c>
      <c r="D723" t="inlineStr">
        <is>
          <t>UPPSALA LÄN</t>
        </is>
      </c>
      <c r="E723" t="inlineStr">
        <is>
          <t>ÖSTHAMMAR</t>
        </is>
      </c>
      <c r="G723" t="n">
        <v>0.4</v>
      </c>
      <c r="H723" t="n">
        <v>0</v>
      </c>
      <c r="I723" t="n">
        <v>0</v>
      </c>
      <c r="J723" t="n">
        <v>0</v>
      </c>
      <c r="K723" t="n">
        <v>0</v>
      </c>
      <c r="L723" t="n">
        <v>0</v>
      </c>
      <c r="M723" t="n">
        <v>0</v>
      </c>
      <c r="N723" t="n">
        <v>0</v>
      </c>
      <c r="O723" t="n">
        <v>0</v>
      </c>
      <c r="P723" t="n">
        <v>0</v>
      </c>
      <c r="Q723" t="n">
        <v>0</v>
      </c>
      <c r="R723" s="2" t="inlineStr"/>
    </row>
    <row r="724" ht="15" customHeight="1">
      <c r="A724" t="inlineStr">
        <is>
          <t>A 20029-2023</t>
        </is>
      </c>
      <c r="B724" s="1" t="n">
        <v>45054</v>
      </c>
      <c r="C724" s="1" t="n">
        <v>45474</v>
      </c>
      <c r="D724" t="inlineStr">
        <is>
          <t>UPPSALA LÄN</t>
        </is>
      </c>
      <c r="E724" t="inlineStr">
        <is>
          <t>ÖSTHAMMAR</t>
        </is>
      </c>
      <c r="G724" t="n">
        <v>4.8</v>
      </c>
      <c r="H724" t="n">
        <v>0</v>
      </c>
      <c r="I724" t="n">
        <v>0</v>
      </c>
      <c r="J724" t="n">
        <v>0</v>
      </c>
      <c r="K724" t="n">
        <v>0</v>
      </c>
      <c r="L724" t="n">
        <v>0</v>
      </c>
      <c r="M724" t="n">
        <v>0</v>
      </c>
      <c r="N724" t="n">
        <v>0</v>
      </c>
      <c r="O724" t="n">
        <v>0</v>
      </c>
      <c r="P724" t="n">
        <v>0</v>
      </c>
      <c r="Q724" t="n">
        <v>0</v>
      </c>
      <c r="R724" s="2" t="inlineStr"/>
    </row>
    <row r="725" ht="15" customHeight="1">
      <c r="A725" t="inlineStr">
        <is>
          <t>A 20366-2023</t>
        </is>
      </c>
      <c r="B725" s="1" t="n">
        <v>45056</v>
      </c>
      <c r="C725" s="1" t="n">
        <v>45474</v>
      </c>
      <c r="D725" t="inlineStr">
        <is>
          <t>UPPSALA LÄN</t>
        </is>
      </c>
      <c r="E725" t="inlineStr">
        <is>
          <t>ÖSTHAMMAR</t>
        </is>
      </c>
      <c r="G725" t="n">
        <v>1.6</v>
      </c>
      <c r="H725" t="n">
        <v>0</v>
      </c>
      <c r="I725" t="n">
        <v>0</v>
      </c>
      <c r="J725" t="n">
        <v>0</v>
      </c>
      <c r="K725" t="n">
        <v>0</v>
      </c>
      <c r="L725" t="n">
        <v>0</v>
      </c>
      <c r="M725" t="n">
        <v>0</v>
      </c>
      <c r="N725" t="n">
        <v>0</v>
      </c>
      <c r="O725" t="n">
        <v>0</v>
      </c>
      <c r="P725" t="n">
        <v>0</v>
      </c>
      <c r="Q725" t="n">
        <v>0</v>
      </c>
      <c r="R725" s="2" t="inlineStr"/>
    </row>
    <row r="726" ht="15" customHeight="1">
      <c r="A726" t="inlineStr">
        <is>
          <t>A 20572-2023</t>
        </is>
      </c>
      <c r="B726" s="1" t="n">
        <v>45057</v>
      </c>
      <c r="C726" s="1" t="n">
        <v>45474</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20657-2023</t>
        </is>
      </c>
      <c r="B727" s="1" t="n">
        <v>45058</v>
      </c>
      <c r="C727" s="1" t="n">
        <v>45474</v>
      </c>
      <c r="D727" t="inlineStr">
        <is>
          <t>UPPSALA LÄN</t>
        </is>
      </c>
      <c r="E727" t="inlineStr">
        <is>
          <t>ÖSTHAMMAR</t>
        </is>
      </c>
      <c r="G727" t="n">
        <v>0.7</v>
      </c>
      <c r="H727" t="n">
        <v>0</v>
      </c>
      <c r="I727" t="n">
        <v>0</v>
      </c>
      <c r="J727" t="n">
        <v>0</v>
      </c>
      <c r="K727" t="n">
        <v>0</v>
      </c>
      <c r="L727" t="n">
        <v>0</v>
      </c>
      <c r="M727" t="n">
        <v>0</v>
      </c>
      <c r="N727" t="n">
        <v>0</v>
      </c>
      <c r="O727" t="n">
        <v>0</v>
      </c>
      <c r="P727" t="n">
        <v>0</v>
      </c>
      <c r="Q727" t="n">
        <v>0</v>
      </c>
      <c r="R727" s="2" t="inlineStr"/>
    </row>
    <row r="728" ht="15" customHeight="1">
      <c r="A728" t="inlineStr">
        <is>
          <t>A 20664-2023</t>
        </is>
      </c>
      <c r="B728" s="1" t="n">
        <v>45058</v>
      </c>
      <c r="C728" s="1" t="n">
        <v>45474</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20680-2023</t>
        </is>
      </c>
      <c r="B729" s="1" t="n">
        <v>45058</v>
      </c>
      <c r="C729" s="1" t="n">
        <v>45474</v>
      </c>
      <c r="D729" t="inlineStr">
        <is>
          <t>UPPSALA LÄN</t>
        </is>
      </c>
      <c r="E729" t="inlineStr">
        <is>
          <t>ÖSTHAMMAR</t>
        </is>
      </c>
      <c r="F729" t="inlineStr">
        <is>
          <t>Bergvik skog öst AB</t>
        </is>
      </c>
      <c r="G729" t="n">
        <v>10.5</v>
      </c>
      <c r="H729" t="n">
        <v>0</v>
      </c>
      <c r="I729" t="n">
        <v>0</v>
      </c>
      <c r="J729" t="n">
        <v>0</v>
      </c>
      <c r="K729" t="n">
        <v>0</v>
      </c>
      <c r="L729" t="n">
        <v>0</v>
      </c>
      <c r="M729" t="n">
        <v>0</v>
      </c>
      <c r="N729" t="n">
        <v>0</v>
      </c>
      <c r="O729" t="n">
        <v>0</v>
      </c>
      <c r="P729" t="n">
        <v>0</v>
      </c>
      <c r="Q729" t="n">
        <v>0</v>
      </c>
      <c r="R729" s="2" t="inlineStr"/>
    </row>
    <row r="730" ht="15" customHeight="1">
      <c r="A730" t="inlineStr">
        <is>
          <t>A 20677-2023</t>
        </is>
      </c>
      <c r="B730" s="1" t="n">
        <v>45058</v>
      </c>
      <c r="C730" s="1" t="n">
        <v>45474</v>
      </c>
      <c r="D730" t="inlineStr">
        <is>
          <t>UPPSALA LÄN</t>
        </is>
      </c>
      <c r="E730" t="inlineStr">
        <is>
          <t>ÖSTHAMMAR</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21478-2023</t>
        </is>
      </c>
      <c r="B731" s="1" t="n">
        <v>45063</v>
      </c>
      <c r="C731" s="1" t="n">
        <v>45474</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21615-2023</t>
        </is>
      </c>
      <c r="B732" s="1" t="n">
        <v>45063</v>
      </c>
      <c r="C732" s="1" t="n">
        <v>45474</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21624-2023</t>
        </is>
      </c>
      <c r="B733" s="1" t="n">
        <v>45063</v>
      </c>
      <c r="C733" s="1" t="n">
        <v>45474</v>
      </c>
      <c r="D733" t="inlineStr">
        <is>
          <t>UPPSALA LÄN</t>
        </is>
      </c>
      <c r="E733" t="inlineStr">
        <is>
          <t>ÖSTHAMMAR</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21862-2023</t>
        </is>
      </c>
      <c r="B734" s="1" t="n">
        <v>45068</v>
      </c>
      <c r="C734" s="1" t="n">
        <v>45474</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22405-2023</t>
        </is>
      </c>
      <c r="B735" s="1" t="n">
        <v>45070</v>
      </c>
      <c r="C735" s="1" t="n">
        <v>45474</v>
      </c>
      <c r="D735" t="inlineStr">
        <is>
          <t>UPPSALA LÄN</t>
        </is>
      </c>
      <c r="E735" t="inlineStr">
        <is>
          <t>ÖSTHAMMAR</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22413-2023</t>
        </is>
      </c>
      <c r="B736" s="1" t="n">
        <v>45070</v>
      </c>
      <c r="C736" s="1" t="n">
        <v>45474</v>
      </c>
      <c r="D736" t="inlineStr">
        <is>
          <t>UPPSALA LÄN</t>
        </is>
      </c>
      <c r="E736" t="inlineStr">
        <is>
          <t>ÖSTHAMMAR</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22322-2023</t>
        </is>
      </c>
      <c r="B737" s="1" t="n">
        <v>45070</v>
      </c>
      <c r="C737" s="1" t="n">
        <v>45474</v>
      </c>
      <c r="D737" t="inlineStr">
        <is>
          <t>UPPSALA LÄN</t>
        </is>
      </c>
      <c r="E737" t="inlineStr">
        <is>
          <t>ÖSTHAMMAR</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22701-2023</t>
        </is>
      </c>
      <c r="B738" s="1" t="n">
        <v>45071</v>
      </c>
      <c r="C738" s="1" t="n">
        <v>45474</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22794-2023</t>
        </is>
      </c>
      <c r="B739" s="1" t="n">
        <v>45072</v>
      </c>
      <c r="C739" s="1" t="n">
        <v>45474</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22798-2023</t>
        </is>
      </c>
      <c r="B740" s="1" t="n">
        <v>45072</v>
      </c>
      <c r="C740" s="1" t="n">
        <v>45474</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22796-2023</t>
        </is>
      </c>
      <c r="B741" s="1" t="n">
        <v>45072</v>
      </c>
      <c r="C741" s="1" t="n">
        <v>45474</v>
      </c>
      <c r="D741" t="inlineStr">
        <is>
          <t>UPPSALA LÄN</t>
        </is>
      </c>
      <c r="E741" t="inlineStr">
        <is>
          <t>ÖSTHAMMAR</t>
        </is>
      </c>
      <c r="G741" t="n">
        <v>0.8</v>
      </c>
      <c r="H741" t="n">
        <v>0</v>
      </c>
      <c r="I741" t="n">
        <v>0</v>
      </c>
      <c r="J741" t="n">
        <v>0</v>
      </c>
      <c r="K741" t="n">
        <v>0</v>
      </c>
      <c r="L741" t="n">
        <v>0</v>
      </c>
      <c r="M741" t="n">
        <v>0</v>
      </c>
      <c r="N741" t="n">
        <v>0</v>
      </c>
      <c r="O741" t="n">
        <v>0</v>
      </c>
      <c r="P741" t="n">
        <v>0</v>
      </c>
      <c r="Q741" t="n">
        <v>0</v>
      </c>
      <c r="R741" s="2" t="inlineStr"/>
    </row>
    <row r="742" ht="15" customHeight="1">
      <c r="A742" t="inlineStr">
        <is>
          <t>A 23083-2023</t>
        </is>
      </c>
      <c r="B742" s="1" t="n">
        <v>45075</v>
      </c>
      <c r="C742" s="1" t="n">
        <v>45474</v>
      </c>
      <c r="D742" t="inlineStr">
        <is>
          <t>UPPSALA LÄN</t>
        </is>
      </c>
      <c r="E742" t="inlineStr">
        <is>
          <t>ÖSTHAMMAR</t>
        </is>
      </c>
      <c r="F742" t="inlineStr">
        <is>
          <t>Sveaskog</t>
        </is>
      </c>
      <c r="G742" t="n">
        <v>3.8</v>
      </c>
      <c r="H742" t="n">
        <v>0</v>
      </c>
      <c r="I742" t="n">
        <v>0</v>
      </c>
      <c r="J742" t="n">
        <v>0</v>
      </c>
      <c r="K742" t="n">
        <v>0</v>
      </c>
      <c r="L742" t="n">
        <v>0</v>
      </c>
      <c r="M742" t="n">
        <v>0</v>
      </c>
      <c r="N742" t="n">
        <v>0</v>
      </c>
      <c r="O742" t="n">
        <v>0</v>
      </c>
      <c r="P742" t="n">
        <v>0</v>
      </c>
      <c r="Q742" t="n">
        <v>0</v>
      </c>
      <c r="R742" s="2" t="inlineStr"/>
    </row>
    <row r="743" ht="15" customHeight="1">
      <c r="A743" t="inlineStr">
        <is>
          <t>A 23064-2023</t>
        </is>
      </c>
      <c r="B743" s="1" t="n">
        <v>45075</v>
      </c>
      <c r="C743" s="1" t="n">
        <v>45474</v>
      </c>
      <c r="D743" t="inlineStr">
        <is>
          <t>UPPSALA LÄN</t>
        </is>
      </c>
      <c r="E743" t="inlineStr">
        <is>
          <t>ÖSTHAMMAR</t>
        </is>
      </c>
      <c r="F743" t="inlineStr">
        <is>
          <t>Kyrkan</t>
        </is>
      </c>
      <c r="G743" t="n">
        <v>16.6</v>
      </c>
      <c r="H743" t="n">
        <v>0</v>
      </c>
      <c r="I743" t="n">
        <v>0</v>
      </c>
      <c r="J743" t="n">
        <v>0</v>
      </c>
      <c r="K743" t="n">
        <v>0</v>
      </c>
      <c r="L743" t="n">
        <v>0</v>
      </c>
      <c r="M743" t="n">
        <v>0</v>
      </c>
      <c r="N743" t="n">
        <v>0</v>
      </c>
      <c r="O743" t="n">
        <v>0</v>
      </c>
      <c r="P743" t="n">
        <v>0</v>
      </c>
      <c r="Q743" t="n">
        <v>0</v>
      </c>
      <c r="R743" s="2" t="inlineStr"/>
    </row>
    <row r="744" ht="15" customHeight="1">
      <c r="A744" t="inlineStr">
        <is>
          <t>A 23197-2023</t>
        </is>
      </c>
      <c r="B744" s="1" t="n">
        <v>45075</v>
      </c>
      <c r="C744" s="1" t="n">
        <v>45474</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23142-2023</t>
        </is>
      </c>
      <c r="B745" s="1" t="n">
        <v>45075</v>
      </c>
      <c r="C745" s="1" t="n">
        <v>45474</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23059-2023</t>
        </is>
      </c>
      <c r="B746" s="1" t="n">
        <v>45075</v>
      </c>
      <c r="C746" s="1" t="n">
        <v>45474</v>
      </c>
      <c r="D746" t="inlineStr">
        <is>
          <t>UPPSALA LÄN</t>
        </is>
      </c>
      <c r="E746" t="inlineStr">
        <is>
          <t>ÖSTHAMMAR</t>
        </is>
      </c>
      <c r="G746" t="n">
        <v>1</v>
      </c>
      <c r="H746" t="n">
        <v>0</v>
      </c>
      <c r="I746" t="n">
        <v>0</v>
      </c>
      <c r="J746" t="n">
        <v>0</v>
      </c>
      <c r="K746" t="n">
        <v>0</v>
      </c>
      <c r="L746" t="n">
        <v>0</v>
      </c>
      <c r="M746" t="n">
        <v>0</v>
      </c>
      <c r="N746" t="n">
        <v>0</v>
      </c>
      <c r="O746" t="n">
        <v>0</v>
      </c>
      <c r="P746" t="n">
        <v>0</v>
      </c>
      <c r="Q746" t="n">
        <v>0</v>
      </c>
      <c r="R746" s="2" t="inlineStr"/>
    </row>
    <row r="747" ht="15" customHeight="1">
      <c r="A747" t="inlineStr">
        <is>
          <t>A 23363-2023</t>
        </is>
      </c>
      <c r="B747" s="1" t="n">
        <v>45076</v>
      </c>
      <c r="C747" s="1" t="n">
        <v>45474</v>
      </c>
      <c r="D747" t="inlineStr">
        <is>
          <t>UPPSALA LÄN</t>
        </is>
      </c>
      <c r="E747" t="inlineStr">
        <is>
          <t>ÖSTHAMMAR</t>
        </is>
      </c>
      <c r="G747" t="n">
        <v>3</v>
      </c>
      <c r="H747" t="n">
        <v>0</v>
      </c>
      <c r="I747" t="n">
        <v>0</v>
      </c>
      <c r="J747" t="n">
        <v>0</v>
      </c>
      <c r="K747" t="n">
        <v>0</v>
      </c>
      <c r="L747" t="n">
        <v>0</v>
      </c>
      <c r="M747" t="n">
        <v>0</v>
      </c>
      <c r="N747" t="n">
        <v>0</v>
      </c>
      <c r="O747" t="n">
        <v>0</v>
      </c>
      <c r="P747" t="n">
        <v>0</v>
      </c>
      <c r="Q747" t="n">
        <v>0</v>
      </c>
      <c r="R747" s="2" t="inlineStr"/>
    </row>
    <row r="748" ht="15" customHeight="1">
      <c r="A748" t="inlineStr">
        <is>
          <t>A 23495-2023</t>
        </is>
      </c>
      <c r="B748" s="1" t="n">
        <v>45076</v>
      </c>
      <c r="C748" s="1" t="n">
        <v>45474</v>
      </c>
      <c r="D748" t="inlineStr">
        <is>
          <t>UPPSALA LÄN</t>
        </is>
      </c>
      <c r="E748" t="inlineStr">
        <is>
          <t>ÖSTHAMMAR</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24033-2023</t>
        </is>
      </c>
      <c r="B749" s="1" t="n">
        <v>45078</v>
      </c>
      <c r="C749" s="1" t="n">
        <v>45474</v>
      </c>
      <c r="D749" t="inlineStr">
        <is>
          <t>UPPSALA LÄN</t>
        </is>
      </c>
      <c r="E749" t="inlineStr">
        <is>
          <t>ÖSTHAMMAR</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24128-2023</t>
        </is>
      </c>
      <c r="B750" s="1" t="n">
        <v>45079</v>
      </c>
      <c r="C750" s="1" t="n">
        <v>45474</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24325-2023</t>
        </is>
      </c>
      <c r="B751" s="1" t="n">
        <v>45080</v>
      </c>
      <c r="C751" s="1" t="n">
        <v>45474</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24324-2023</t>
        </is>
      </c>
      <c r="B752" s="1" t="n">
        <v>45080</v>
      </c>
      <c r="C752" s="1" t="n">
        <v>45474</v>
      </c>
      <c r="D752" t="inlineStr">
        <is>
          <t>UPPSALA LÄN</t>
        </is>
      </c>
      <c r="E752" t="inlineStr">
        <is>
          <t>ÖSTHAMMAR</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24428-2023</t>
        </is>
      </c>
      <c r="B753" s="1" t="n">
        <v>45082</v>
      </c>
      <c r="C753" s="1" t="n">
        <v>45474</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24493-2023</t>
        </is>
      </c>
      <c r="B754" s="1" t="n">
        <v>45082</v>
      </c>
      <c r="C754" s="1" t="n">
        <v>45474</v>
      </c>
      <c r="D754" t="inlineStr">
        <is>
          <t>UPPSALA LÄN</t>
        </is>
      </c>
      <c r="E754" t="inlineStr">
        <is>
          <t>ÖSTHAMMAR</t>
        </is>
      </c>
      <c r="G754" t="n">
        <v>1.9</v>
      </c>
      <c r="H754" t="n">
        <v>0</v>
      </c>
      <c r="I754" t="n">
        <v>0</v>
      </c>
      <c r="J754" t="n">
        <v>0</v>
      </c>
      <c r="K754" t="n">
        <v>0</v>
      </c>
      <c r="L754" t="n">
        <v>0</v>
      </c>
      <c r="M754" t="n">
        <v>0</v>
      </c>
      <c r="N754" t="n">
        <v>0</v>
      </c>
      <c r="O754" t="n">
        <v>0</v>
      </c>
      <c r="P754" t="n">
        <v>0</v>
      </c>
      <c r="Q754" t="n">
        <v>0</v>
      </c>
      <c r="R754" s="2" t="inlineStr"/>
    </row>
    <row r="755" ht="15" customHeight="1">
      <c r="A755" t="inlineStr">
        <is>
          <t>A 24491-2023</t>
        </is>
      </c>
      <c r="B755" s="1" t="n">
        <v>45082</v>
      </c>
      <c r="C755" s="1" t="n">
        <v>45474</v>
      </c>
      <c r="D755" t="inlineStr">
        <is>
          <t>UPPSALA LÄN</t>
        </is>
      </c>
      <c r="E755" t="inlineStr">
        <is>
          <t>ÖSTHAMMAR</t>
        </is>
      </c>
      <c r="G755" t="n">
        <v>5.3</v>
      </c>
      <c r="H755" t="n">
        <v>0</v>
      </c>
      <c r="I755" t="n">
        <v>0</v>
      </c>
      <c r="J755" t="n">
        <v>0</v>
      </c>
      <c r="K755" t="n">
        <v>0</v>
      </c>
      <c r="L755" t="n">
        <v>0</v>
      </c>
      <c r="M755" t="n">
        <v>0</v>
      </c>
      <c r="N755" t="n">
        <v>0</v>
      </c>
      <c r="O755" t="n">
        <v>0</v>
      </c>
      <c r="P755" t="n">
        <v>0</v>
      </c>
      <c r="Q755" t="n">
        <v>0</v>
      </c>
      <c r="R755" s="2" t="inlineStr"/>
    </row>
    <row r="756" ht="15" customHeight="1">
      <c r="A756" t="inlineStr">
        <is>
          <t>A 24587-2023</t>
        </is>
      </c>
      <c r="B756" s="1" t="n">
        <v>45083</v>
      </c>
      <c r="C756" s="1" t="n">
        <v>45474</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24642-2023</t>
        </is>
      </c>
      <c r="B757" s="1" t="n">
        <v>45084</v>
      </c>
      <c r="C757" s="1" t="n">
        <v>45474</v>
      </c>
      <c r="D757" t="inlineStr">
        <is>
          <t>UPPSALA LÄN</t>
        </is>
      </c>
      <c r="E757" t="inlineStr">
        <is>
          <t>ÖSTHAMMAR</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24648-2023</t>
        </is>
      </c>
      <c r="B758" s="1" t="n">
        <v>45084</v>
      </c>
      <c r="C758" s="1" t="n">
        <v>45474</v>
      </c>
      <c r="D758" t="inlineStr">
        <is>
          <t>UPPSALA LÄN</t>
        </is>
      </c>
      <c r="E758" t="inlineStr">
        <is>
          <t>ÖSTHAMMAR</t>
        </is>
      </c>
      <c r="F758" t="inlineStr">
        <is>
          <t>Bergvik skog öst AB</t>
        </is>
      </c>
      <c r="G758" t="n">
        <v>12.5</v>
      </c>
      <c r="H758" t="n">
        <v>0</v>
      </c>
      <c r="I758" t="n">
        <v>0</v>
      </c>
      <c r="J758" t="n">
        <v>0</v>
      </c>
      <c r="K758" t="n">
        <v>0</v>
      </c>
      <c r="L758" t="n">
        <v>0</v>
      </c>
      <c r="M758" t="n">
        <v>0</v>
      </c>
      <c r="N758" t="n">
        <v>0</v>
      </c>
      <c r="O758" t="n">
        <v>0</v>
      </c>
      <c r="P758" t="n">
        <v>0</v>
      </c>
      <c r="Q758" t="n">
        <v>0</v>
      </c>
      <c r="R758" s="2" t="inlineStr"/>
    </row>
    <row r="759" ht="15" customHeight="1">
      <c r="A759" t="inlineStr">
        <is>
          <t>A 24751-2023</t>
        </is>
      </c>
      <c r="B759" s="1" t="n">
        <v>45084</v>
      </c>
      <c r="C759" s="1" t="n">
        <v>45474</v>
      </c>
      <c r="D759" t="inlineStr">
        <is>
          <t>UPPSALA LÄN</t>
        </is>
      </c>
      <c r="E759" t="inlineStr">
        <is>
          <t>ÖSTHAMMAR</t>
        </is>
      </c>
      <c r="F759" t="inlineStr">
        <is>
          <t>Bergvik skog öst AB</t>
        </is>
      </c>
      <c r="G759" t="n">
        <v>6.2</v>
      </c>
      <c r="H759" t="n">
        <v>0</v>
      </c>
      <c r="I759" t="n">
        <v>0</v>
      </c>
      <c r="J759" t="n">
        <v>0</v>
      </c>
      <c r="K759" t="n">
        <v>0</v>
      </c>
      <c r="L759" t="n">
        <v>0</v>
      </c>
      <c r="M759" t="n">
        <v>0</v>
      </c>
      <c r="N759" t="n">
        <v>0</v>
      </c>
      <c r="O759" t="n">
        <v>0</v>
      </c>
      <c r="P759" t="n">
        <v>0</v>
      </c>
      <c r="Q759" t="n">
        <v>0</v>
      </c>
      <c r="R759" s="2" t="inlineStr"/>
    </row>
    <row r="760" ht="15" customHeight="1">
      <c r="A760" t="inlineStr">
        <is>
          <t>A 25194-2023</t>
        </is>
      </c>
      <c r="B760" s="1" t="n">
        <v>45086</v>
      </c>
      <c r="C760" s="1" t="n">
        <v>45474</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26612-2023</t>
        </is>
      </c>
      <c r="B761" s="1" t="n">
        <v>45089</v>
      </c>
      <c r="C761" s="1" t="n">
        <v>45474</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26610-2023</t>
        </is>
      </c>
      <c r="B762" s="1" t="n">
        <v>45089</v>
      </c>
      <c r="C762" s="1" t="n">
        <v>45474</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25897-2023</t>
        </is>
      </c>
      <c r="B763" s="1" t="n">
        <v>45090</v>
      </c>
      <c r="C763" s="1" t="n">
        <v>45474</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25903-2023</t>
        </is>
      </c>
      <c r="B764" s="1" t="n">
        <v>45090</v>
      </c>
      <c r="C764" s="1" t="n">
        <v>45474</v>
      </c>
      <c r="D764" t="inlineStr">
        <is>
          <t>UPPSALA LÄN</t>
        </is>
      </c>
      <c r="E764" t="inlineStr">
        <is>
          <t>ÖSTHAMMAR</t>
        </is>
      </c>
      <c r="F764" t="inlineStr">
        <is>
          <t>Bergvik skog öst AB</t>
        </is>
      </c>
      <c r="G764" t="n">
        <v>29.2</v>
      </c>
      <c r="H764" t="n">
        <v>0</v>
      </c>
      <c r="I764" t="n">
        <v>0</v>
      </c>
      <c r="J764" t="n">
        <v>0</v>
      </c>
      <c r="K764" t="n">
        <v>0</v>
      </c>
      <c r="L764" t="n">
        <v>0</v>
      </c>
      <c r="M764" t="n">
        <v>0</v>
      </c>
      <c r="N764" t="n">
        <v>0</v>
      </c>
      <c r="O764" t="n">
        <v>0</v>
      </c>
      <c r="P764" t="n">
        <v>0</v>
      </c>
      <c r="Q764" t="n">
        <v>0</v>
      </c>
      <c r="R764" s="2" t="inlineStr"/>
    </row>
    <row r="765" ht="15" customHeight="1">
      <c r="A765" t="inlineStr">
        <is>
          <t>A 25970-2023</t>
        </is>
      </c>
      <c r="B765" s="1" t="n">
        <v>45090</v>
      </c>
      <c r="C765" s="1" t="n">
        <v>45474</v>
      </c>
      <c r="D765" t="inlineStr">
        <is>
          <t>UPPSALA LÄN</t>
        </is>
      </c>
      <c r="E765" t="inlineStr">
        <is>
          <t>ÖSTHAMMAR</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25968-2023</t>
        </is>
      </c>
      <c r="B766" s="1" t="n">
        <v>45090</v>
      </c>
      <c r="C766" s="1" t="n">
        <v>45474</v>
      </c>
      <c r="D766" t="inlineStr">
        <is>
          <t>UPPSALA LÄN</t>
        </is>
      </c>
      <c r="E766" t="inlineStr">
        <is>
          <t>ÖSTHAMMAR</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25969-2023</t>
        </is>
      </c>
      <c r="B767" s="1" t="n">
        <v>45090</v>
      </c>
      <c r="C767" s="1" t="n">
        <v>45474</v>
      </c>
      <c r="D767" t="inlineStr">
        <is>
          <t>UPPSALA LÄN</t>
        </is>
      </c>
      <c r="E767" t="inlineStr">
        <is>
          <t>ÖSTHAMMAR</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26774-2023</t>
        </is>
      </c>
      <c r="B768" s="1" t="n">
        <v>45093</v>
      </c>
      <c r="C768" s="1" t="n">
        <v>45474</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26734-2023</t>
        </is>
      </c>
      <c r="B769" s="1" t="n">
        <v>45093</v>
      </c>
      <c r="C769" s="1" t="n">
        <v>45474</v>
      </c>
      <c r="D769" t="inlineStr">
        <is>
          <t>UPPSALA LÄN</t>
        </is>
      </c>
      <c r="E769" t="inlineStr">
        <is>
          <t>ÖSTHAMMAR</t>
        </is>
      </c>
      <c r="F769" t="inlineStr">
        <is>
          <t>Bergvik skog öst AB</t>
        </is>
      </c>
      <c r="G769" t="n">
        <v>25.5</v>
      </c>
      <c r="H769" t="n">
        <v>0</v>
      </c>
      <c r="I769" t="n">
        <v>0</v>
      </c>
      <c r="J769" t="n">
        <v>0</v>
      </c>
      <c r="K769" t="n">
        <v>0</v>
      </c>
      <c r="L769" t="n">
        <v>0</v>
      </c>
      <c r="M769" t="n">
        <v>0</v>
      </c>
      <c r="N769" t="n">
        <v>0</v>
      </c>
      <c r="O769" t="n">
        <v>0</v>
      </c>
      <c r="P769" t="n">
        <v>0</v>
      </c>
      <c r="Q769" t="n">
        <v>0</v>
      </c>
      <c r="R769" s="2" t="inlineStr"/>
    </row>
    <row r="770" ht="15" customHeight="1">
      <c r="A770" t="inlineStr">
        <is>
          <t>A 28170-2023</t>
        </is>
      </c>
      <c r="B770" s="1" t="n">
        <v>45093</v>
      </c>
      <c r="C770" s="1" t="n">
        <v>45474</v>
      </c>
      <c r="D770" t="inlineStr">
        <is>
          <t>UPPSALA LÄN</t>
        </is>
      </c>
      <c r="E770" t="inlineStr">
        <is>
          <t>ÖSTHAMMAR</t>
        </is>
      </c>
      <c r="G770" t="n">
        <v>7.2</v>
      </c>
      <c r="H770" t="n">
        <v>0</v>
      </c>
      <c r="I770" t="n">
        <v>0</v>
      </c>
      <c r="J770" t="n">
        <v>0</v>
      </c>
      <c r="K770" t="n">
        <v>0</v>
      </c>
      <c r="L770" t="n">
        <v>0</v>
      </c>
      <c r="M770" t="n">
        <v>0</v>
      </c>
      <c r="N770" t="n">
        <v>0</v>
      </c>
      <c r="O770" t="n">
        <v>0</v>
      </c>
      <c r="P770" t="n">
        <v>0</v>
      </c>
      <c r="Q770" t="n">
        <v>0</v>
      </c>
      <c r="R770" s="2" t="inlineStr"/>
    </row>
    <row r="771" ht="15" customHeight="1">
      <c r="A771" t="inlineStr">
        <is>
          <t>A 27150-2023</t>
        </is>
      </c>
      <c r="B771" s="1" t="n">
        <v>45096</v>
      </c>
      <c r="C771" s="1" t="n">
        <v>45474</v>
      </c>
      <c r="D771" t="inlineStr">
        <is>
          <t>UPPSALA LÄN</t>
        </is>
      </c>
      <c r="E771" t="inlineStr">
        <is>
          <t>ÖSTHAMMAR</t>
        </is>
      </c>
      <c r="F771" t="inlineStr">
        <is>
          <t>Bergvik skog öst AB</t>
        </is>
      </c>
      <c r="G771" t="n">
        <v>5</v>
      </c>
      <c r="H771" t="n">
        <v>0</v>
      </c>
      <c r="I771" t="n">
        <v>0</v>
      </c>
      <c r="J771" t="n">
        <v>0</v>
      </c>
      <c r="K771" t="n">
        <v>0</v>
      </c>
      <c r="L771" t="n">
        <v>0</v>
      </c>
      <c r="M771" t="n">
        <v>0</v>
      </c>
      <c r="N771" t="n">
        <v>0</v>
      </c>
      <c r="O771" t="n">
        <v>0</v>
      </c>
      <c r="P771" t="n">
        <v>0</v>
      </c>
      <c r="Q771" t="n">
        <v>0</v>
      </c>
      <c r="R771" s="2" t="inlineStr"/>
    </row>
    <row r="772" ht="15" customHeight="1">
      <c r="A772" t="inlineStr">
        <is>
          <t>A 27154-2023</t>
        </is>
      </c>
      <c r="B772" s="1" t="n">
        <v>45096</v>
      </c>
      <c r="C772" s="1" t="n">
        <v>45474</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27308-2023</t>
        </is>
      </c>
      <c r="B773" s="1" t="n">
        <v>45096</v>
      </c>
      <c r="C773" s="1" t="n">
        <v>45474</v>
      </c>
      <c r="D773" t="inlineStr">
        <is>
          <t>UPPSALA LÄN</t>
        </is>
      </c>
      <c r="E773" t="inlineStr">
        <is>
          <t>ÖSTHAMMAR</t>
        </is>
      </c>
      <c r="F773" t="inlineStr">
        <is>
          <t>Bergvik skog öst AB</t>
        </is>
      </c>
      <c r="G773" t="n">
        <v>2.4</v>
      </c>
      <c r="H773" t="n">
        <v>0</v>
      </c>
      <c r="I773" t="n">
        <v>0</v>
      </c>
      <c r="J773" t="n">
        <v>0</v>
      </c>
      <c r="K773" t="n">
        <v>0</v>
      </c>
      <c r="L773" t="n">
        <v>0</v>
      </c>
      <c r="M773" t="n">
        <v>0</v>
      </c>
      <c r="N773" t="n">
        <v>0</v>
      </c>
      <c r="O773" t="n">
        <v>0</v>
      </c>
      <c r="P773" t="n">
        <v>0</v>
      </c>
      <c r="Q773" t="n">
        <v>0</v>
      </c>
      <c r="R773" s="2" t="inlineStr"/>
    </row>
    <row r="774" ht="15" customHeight="1">
      <c r="A774" t="inlineStr">
        <is>
          <t>A 27660-2023</t>
        </is>
      </c>
      <c r="B774" s="1" t="n">
        <v>45097</v>
      </c>
      <c r="C774" s="1" t="n">
        <v>45474</v>
      </c>
      <c r="D774" t="inlineStr">
        <is>
          <t>UPPSALA LÄN</t>
        </is>
      </c>
      <c r="E774" t="inlineStr">
        <is>
          <t>ÖSTHAMMAR</t>
        </is>
      </c>
      <c r="G774" t="n">
        <v>2.8</v>
      </c>
      <c r="H774" t="n">
        <v>0</v>
      </c>
      <c r="I774" t="n">
        <v>0</v>
      </c>
      <c r="J774" t="n">
        <v>0</v>
      </c>
      <c r="K774" t="n">
        <v>0</v>
      </c>
      <c r="L774" t="n">
        <v>0</v>
      </c>
      <c r="M774" t="n">
        <v>0</v>
      </c>
      <c r="N774" t="n">
        <v>0</v>
      </c>
      <c r="O774" t="n">
        <v>0</v>
      </c>
      <c r="P774" t="n">
        <v>0</v>
      </c>
      <c r="Q774" t="n">
        <v>0</v>
      </c>
      <c r="R774" s="2" t="inlineStr"/>
    </row>
    <row r="775" ht="15" customHeight="1">
      <c r="A775" t="inlineStr">
        <is>
          <t>A 27659-2023</t>
        </is>
      </c>
      <c r="B775" s="1" t="n">
        <v>45097</v>
      </c>
      <c r="C775" s="1" t="n">
        <v>45474</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27801-2023</t>
        </is>
      </c>
      <c r="B776" s="1" t="n">
        <v>45098</v>
      </c>
      <c r="C776" s="1" t="n">
        <v>45474</v>
      </c>
      <c r="D776" t="inlineStr">
        <is>
          <t>UPPSALA LÄN</t>
        </is>
      </c>
      <c r="E776" t="inlineStr">
        <is>
          <t>ÖSTHAMMAR</t>
        </is>
      </c>
      <c r="F776" t="inlineStr">
        <is>
          <t>Kyrkan</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28422-2023</t>
        </is>
      </c>
      <c r="B777" s="1" t="n">
        <v>45102</v>
      </c>
      <c r="C777" s="1" t="n">
        <v>45474</v>
      </c>
      <c r="D777" t="inlineStr">
        <is>
          <t>UPPSALA LÄN</t>
        </is>
      </c>
      <c r="E777" t="inlineStr">
        <is>
          <t>ÖSTHAMMAR</t>
        </is>
      </c>
      <c r="F777" t="inlineStr">
        <is>
          <t>Bergvik skog öst AB</t>
        </is>
      </c>
      <c r="G777" t="n">
        <v>3.1</v>
      </c>
      <c r="H777" t="n">
        <v>0</v>
      </c>
      <c r="I777" t="n">
        <v>0</v>
      </c>
      <c r="J777" t="n">
        <v>0</v>
      </c>
      <c r="K777" t="n">
        <v>0</v>
      </c>
      <c r="L777" t="n">
        <v>0</v>
      </c>
      <c r="M777" t="n">
        <v>0</v>
      </c>
      <c r="N777" t="n">
        <v>0</v>
      </c>
      <c r="O777" t="n">
        <v>0</v>
      </c>
      <c r="P777" t="n">
        <v>0</v>
      </c>
      <c r="Q777" t="n">
        <v>0</v>
      </c>
      <c r="R777" s="2" t="inlineStr"/>
    </row>
    <row r="778" ht="15" customHeight="1">
      <c r="A778" t="inlineStr">
        <is>
          <t>A 28430-2023</t>
        </is>
      </c>
      <c r="B778" s="1" t="n">
        <v>45102</v>
      </c>
      <c r="C778" s="1" t="n">
        <v>45474</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28434-2023</t>
        </is>
      </c>
      <c r="B779" s="1" t="n">
        <v>45102</v>
      </c>
      <c r="C779" s="1" t="n">
        <v>45474</v>
      </c>
      <c r="D779" t="inlineStr">
        <is>
          <t>UPPSALA LÄN</t>
        </is>
      </c>
      <c r="E779" t="inlineStr">
        <is>
          <t>ÖSTHAMMAR</t>
        </is>
      </c>
      <c r="F779" t="inlineStr">
        <is>
          <t>Bergvik skog öst AB</t>
        </is>
      </c>
      <c r="G779" t="n">
        <v>8.9</v>
      </c>
      <c r="H779" t="n">
        <v>0</v>
      </c>
      <c r="I779" t="n">
        <v>0</v>
      </c>
      <c r="J779" t="n">
        <v>0</v>
      </c>
      <c r="K779" t="n">
        <v>0</v>
      </c>
      <c r="L779" t="n">
        <v>0</v>
      </c>
      <c r="M779" t="n">
        <v>0</v>
      </c>
      <c r="N779" t="n">
        <v>0</v>
      </c>
      <c r="O779" t="n">
        <v>0</v>
      </c>
      <c r="P779" t="n">
        <v>0</v>
      </c>
      <c r="Q779" t="n">
        <v>0</v>
      </c>
      <c r="R779" s="2" t="inlineStr"/>
    </row>
    <row r="780" ht="15" customHeight="1">
      <c r="A780" t="inlineStr">
        <is>
          <t>A 28420-2023</t>
        </is>
      </c>
      <c r="B780" s="1" t="n">
        <v>45102</v>
      </c>
      <c r="C780" s="1" t="n">
        <v>45474</v>
      </c>
      <c r="D780" t="inlineStr">
        <is>
          <t>UPPSALA LÄN</t>
        </is>
      </c>
      <c r="E780" t="inlineStr">
        <is>
          <t>ÖSTHAMMAR</t>
        </is>
      </c>
      <c r="F780" t="inlineStr">
        <is>
          <t>Bergvik skog öst AB</t>
        </is>
      </c>
      <c r="G780" t="n">
        <v>3.2</v>
      </c>
      <c r="H780" t="n">
        <v>0</v>
      </c>
      <c r="I780" t="n">
        <v>0</v>
      </c>
      <c r="J780" t="n">
        <v>0</v>
      </c>
      <c r="K780" t="n">
        <v>0</v>
      </c>
      <c r="L780" t="n">
        <v>0</v>
      </c>
      <c r="M780" t="n">
        <v>0</v>
      </c>
      <c r="N780" t="n">
        <v>0</v>
      </c>
      <c r="O780" t="n">
        <v>0</v>
      </c>
      <c r="P780" t="n">
        <v>0</v>
      </c>
      <c r="Q780" t="n">
        <v>0</v>
      </c>
      <c r="R780" s="2" t="inlineStr"/>
    </row>
    <row r="781" ht="15" customHeight="1">
      <c r="A781" t="inlineStr">
        <is>
          <t>A 28432-2023</t>
        </is>
      </c>
      <c r="B781" s="1" t="n">
        <v>45102</v>
      </c>
      <c r="C781" s="1" t="n">
        <v>45474</v>
      </c>
      <c r="D781" t="inlineStr">
        <is>
          <t>UPPSALA LÄN</t>
        </is>
      </c>
      <c r="E781" t="inlineStr">
        <is>
          <t>ÖSTHAMMAR</t>
        </is>
      </c>
      <c r="F781" t="inlineStr">
        <is>
          <t>Bergvik skog öst AB</t>
        </is>
      </c>
      <c r="G781" t="n">
        <v>3.9</v>
      </c>
      <c r="H781" t="n">
        <v>0</v>
      </c>
      <c r="I781" t="n">
        <v>0</v>
      </c>
      <c r="J781" t="n">
        <v>0</v>
      </c>
      <c r="K781" t="n">
        <v>0</v>
      </c>
      <c r="L781" t="n">
        <v>0</v>
      </c>
      <c r="M781" t="n">
        <v>0</v>
      </c>
      <c r="N781" t="n">
        <v>0</v>
      </c>
      <c r="O781" t="n">
        <v>0</v>
      </c>
      <c r="P781" t="n">
        <v>0</v>
      </c>
      <c r="Q781" t="n">
        <v>0</v>
      </c>
      <c r="R781" s="2" t="inlineStr"/>
    </row>
    <row r="782" ht="15" customHeight="1">
      <c r="A782" t="inlineStr">
        <is>
          <t>A 28421-2023</t>
        </is>
      </c>
      <c r="B782" s="1" t="n">
        <v>45102</v>
      </c>
      <c r="C782" s="1" t="n">
        <v>45474</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28429-2023</t>
        </is>
      </c>
      <c r="B783" s="1" t="n">
        <v>45102</v>
      </c>
      <c r="C783" s="1" t="n">
        <v>45474</v>
      </c>
      <c r="D783" t="inlineStr">
        <is>
          <t>UPPSALA LÄN</t>
        </is>
      </c>
      <c r="E783" t="inlineStr">
        <is>
          <t>ÖSTHAMMAR</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28482-2023</t>
        </is>
      </c>
      <c r="B784" s="1" t="n">
        <v>45103</v>
      </c>
      <c r="C784" s="1" t="n">
        <v>45474</v>
      </c>
      <c r="D784" t="inlineStr">
        <is>
          <t>UPPSALA LÄN</t>
        </is>
      </c>
      <c r="E784" t="inlineStr">
        <is>
          <t>ÖSTHAMMAR</t>
        </is>
      </c>
      <c r="F784" t="inlineStr">
        <is>
          <t>Naturvårdsverket</t>
        </is>
      </c>
      <c r="G784" t="n">
        <v>8.9</v>
      </c>
      <c r="H784" t="n">
        <v>0</v>
      </c>
      <c r="I784" t="n">
        <v>0</v>
      </c>
      <c r="J784" t="n">
        <v>0</v>
      </c>
      <c r="K784" t="n">
        <v>0</v>
      </c>
      <c r="L784" t="n">
        <v>0</v>
      </c>
      <c r="M784" t="n">
        <v>0</v>
      </c>
      <c r="N784" t="n">
        <v>0</v>
      </c>
      <c r="O784" t="n">
        <v>0</v>
      </c>
      <c r="P784" t="n">
        <v>0</v>
      </c>
      <c r="Q784" t="n">
        <v>0</v>
      </c>
      <c r="R784" s="2" t="inlineStr"/>
    </row>
    <row r="785" ht="15" customHeight="1">
      <c r="A785" t="inlineStr">
        <is>
          <t>A 29556-2023</t>
        </is>
      </c>
      <c r="B785" s="1" t="n">
        <v>45106</v>
      </c>
      <c r="C785" s="1" t="n">
        <v>45474</v>
      </c>
      <c r="D785" t="inlineStr">
        <is>
          <t>UPPSALA LÄN</t>
        </is>
      </c>
      <c r="E785" t="inlineStr">
        <is>
          <t>ÖSTHAMMAR</t>
        </is>
      </c>
      <c r="F785" t="inlineStr">
        <is>
          <t>Naturvårdsverket</t>
        </is>
      </c>
      <c r="G785" t="n">
        <v>13.3</v>
      </c>
      <c r="H785" t="n">
        <v>0</v>
      </c>
      <c r="I785" t="n">
        <v>0</v>
      </c>
      <c r="J785" t="n">
        <v>0</v>
      </c>
      <c r="K785" t="n">
        <v>0</v>
      </c>
      <c r="L785" t="n">
        <v>0</v>
      </c>
      <c r="M785" t="n">
        <v>0</v>
      </c>
      <c r="N785" t="n">
        <v>0</v>
      </c>
      <c r="O785" t="n">
        <v>0</v>
      </c>
      <c r="P785" t="n">
        <v>0</v>
      </c>
      <c r="Q785" t="n">
        <v>0</v>
      </c>
      <c r="R785" s="2" t="inlineStr"/>
    </row>
    <row r="786" ht="15" customHeight="1">
      <c r="A786" t="inlineStr">
        <is>
          <t>A 29564-2023</t>
        </is>
      </c>
      <c r="B786" s="1" t="n">
        <v>45106</v>
      </c>
      <c r="C786" s="1" t="n">
        <v>45474</v>
      </c>
      <c r="D786" t="inlineStr">
        <is>
          <t>UPPSALA LÄN</t>
        </is>
      </c>
      <c r="E786" t="inlineStr">
        <is>
          <t>ÖSTHAMMAR</t>
        </is>
      </c>
      <c r="F786" t="inlineStr">
        <is>
          <t>Naturvårdsverket</t>
        </is>
      </c>
      <c r="G786" t="n">
        <v>1.2</v>
      </c>
      <c r="H786" t="n">
        <v>0</v>
      </c>
      <c r="I786" t="n">
        <v>0</v>
      </c>
      <c r="J786" t="n">
        <v>0</v>
      </c>
      <c r="K786" t="n">
        <v>0</v>
      </c>
      <c r="L786" t="n">
        <v>0</v>
      </c>
      <c r="M786" t="n">
        <v>0</v>
      </c>
      <c r="N786" t="n">
        <v>0</v>
      </c>
      <c r="O786" t="n">
        <v>0</v>
      </c>
      <c r="P786" t="n">
        <v>0</v>
      </c>
      <c r="Q786" t="n">
        <v>0</v>
      </c>
      <c r="R786" s="2" t="inlineStr"/>
    </row>
    <row r="787" ht="15" customHeight="1">
      <c r="A787" t="inlineStr">
        <is>
          <t>A 29873-2023</t>
        </is>
      </c>
      <c r="B787" s="1" t="n">
        <v>45107</v>
      </c>
      <c r="C787" s="1" t="n">
        <v>45474</v>
      </c>
      <c r="D787" t="inlineStr">
        <is>
          <t>UPPSALA LÄN</t>
        </is>
      </c>
      <c r="E787" t="inlineStr">
        <is>
          <t>ÖSTHAMMAR</t>
        </is>
      </c>
      <c r="F787" t="inlineStr">
        <is>
          <t>Naturvårdsverket</t>
        </is>
      </c>
      <c r="G787" t="n">
        <v>7.8</v>
      </c>
      <c r="H787" t="n">
        <v>0</v>
      </c>
      <c r="I787" t="n">
        <v>0</v>
      </c>
      <c r="J787" t="n">
        <v>0</v>
      </c>
      <c r="K787" t="n">
        <v>0</v>
      </c>
      <c r="L787" t="n">
        <v>0</v>
      </c>
      <c r="M787" t="n">
        <v>0</v>
      </c>
      <c r="N787" t="n">
        <v>0</v>
      </c>
      <c r="O787" t="n">
        <v>0</v>
      </c>
      <c r="P787" t="n">
        <v>0</v>
      </c>
      <c r="Q787" t="n">
        <v>0</v>
      </c>
      <c r="R787" s="2" t="inlineStr"/>
    </row>
    <row r="788" ht="15" customHeight="1">
      <c r="A788" t="inlineStr">
        <is>
          <t>A 29824-2023</t>
        </is>
      </c>
      <c r="B788" s="1" t="n">
        <v>45107</v>
      </c>
      <c r="C788" s="1" t="n">
        <v>45474</v>
      </c>
      <c r="D788" t="inlineStr">
        <is>
          <t>UPPSALA LÄN</t>
        </is>
      </c>
      <c r="E788" t="inlineStr">
        <is>
          <t>ÖSTHAMMAR</t>
        </is>
      </c>
      <c r="F788" t="inlineStr">
        <is>
          <t>Naturvårdsverket</t>
        </is>
      </c>
      <c r="G788" t="n">
        <v>1.6</v>
      </c>
      <c r="H788" t="n">
        <v>0</v>
      </c>
      <c r="I788" t="n">
        <v>0</v>
      </c>
      <c r="J788" t="n">
        <v>0</v>
      </c>
      <c r="K788" t="n">
        <v>0</v>
      </c>
      <c r="L788" t="n">
        <v>0</v>
      </c>
      <c r="M788" t="n">
        <v>0</v>
      </c>
      <c r="N788" t="n">
        <v>0</v>
      </c>
      <c r="O788" t="n">
        <v>0</v>
      </c>
      <c r="P788" t="n">
        <v>0</v>
      </c>
      <c r="Q788" t="n">
        <v>0</v>
      </c>
      <c r="R788" s="2" t="inlineStr"/>
    </row>
    <row r="789" ht="15" customHeight="1">
      <c r="A789" t="inlineStr">
        <is>
          <t>A 30086-2023</t>
        </is>
      </c>
      <c r="B789" s="1" t="n">
        <v>45110</v>
      </c>
      <c r="C789" s="1" t="n">
        <v>45474</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30470-2023</t>
        </is>
      </c>
      <c r="B790" s="1" t="n">
        <v>45111</v>
      </c>
      <c r="C790" s="1" t="n">
        <v>45474</v>
      </c>
      <c r="D790" t="inlineStr">
        <is>
          <t>UPPSALA LÄN</t>
        </is>
      </c>
      <c r="E790" t="inlineStr">
        <is>
          <t>ÖSTHAMMAR</t>
        </is>
      </c>
      <c r="G790" t="n">
        <v>0.8</v>
      </c>
      <c r="H790" t="n">
        <v>0</v>
      </c>
      <c r="I790" t="n">
        <v>0</v>
      </c>
      <c r="J790" t="n">
        <v>0</v>
      </c>
      <c r="K790" t="n">
        <v>0</v>
      </c>
      <c r="L790" t="n">
        <v>0</v>
      </c>
      <c r="M790" t="n">
        <v>0</v>
      </c>
      <c r="N790" t="n">
        <v>0</v>
      </c>
      <c r="O790" t="n">
        <v>0</v>
      </c>
      <c r="P790" t="n">
        <v>0</v>
      </c>
      <c r="Q790" t="n">
        <v>0</v>
      </c>
      <c r="R790" s="2" t="inlineStr"/>
    </row>
    <row r="791" ht="15" customHeight="1">
      <c r="A791" t="inlineStr">
        <is>
          <t>A 30498-2023</t>
        </is>
      </c>
      <c r="B791" s="1" t="n">
        <v>45111</v>
      </c>
      <c r="C791" s="1" t="n">
        <v>45474</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30809-2023</t>
        </is>
      </c>
      <c r="B792" s="1" t="n">
        <v>45112</v>
      </c>
      <c r="C792" s="1" t="n">
        <v>45474</v>
      </c>
      <c r="D792" t="inlineStr">
        <is>
          <t>UPPSALA LÄN</t>
        </is>
      </c>
      <c r="E792" t="inlineStr">
        <is>
          <t>ÖSTHAMMAR</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30808-2023</t>
        </is>
      </c>
      <c r="B793" s="1" t="n">
        <v>45112</v>
      </c>
      <c r="C793" s="1" t="n">
        <v>45474</v>
      </c>
      <c r="D793" t="inlineStr">
        <is>
          <t>UPPSALA LÄN</t>
        </is>
      </c>
      <c r="E793" t="inlineStr">
        <is>
          <t>ÖSTHAMMAR</t>
        </is>
      </c>
      <c r="F793" t="inlineStr">
        <is>
          <t>Bergvik skog öst AB</t>
        </is>
      </c>
      <c r="G793" t="n">
        <v>3.3</v>
      </c>
      <c r="H793" t="n">
        <v>0</v>
      </c>
      <c r="I793" t="n">
        <v>0</v>
      </c>
      <c r="J793" t="n">
        <v>0</v>
      </c>
      <c r="K793" t="n">
        <v>0</v>
      </c>
      <c r="L793" t="n">
        <v>0</v>
      </c>
      <c r="M793" t="n">
        <v>0</v>
      </c>
      <c r="N793" t="n">
        <v>0</v>
      </c>
      <c r="O793" t="n">
        <v>0</v>
      </c>
      <c r="P793" t="n">
        <v>0</v>
      </c>
      <c r="Q793" t="n">
        <v>0</v>
      </c>
      <c r="R793" s="2" t="inlineStr"/>
    </row>
    <row r="794" ht="15" customHeight="1">
      <c r="A794" t="inlineStr">
        <is>
          <t>A 30812-2023</t>
        </is>
      </c>
      <c r="B794" s="1" t="n">
        <v>45112</v>
      </c>
      <c r="C794" s="1" t="n">
        <v>45474</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30810-2023</t>
        </is>
      </c>
      <c r="B795" s="1" t="n">
        <v>45112</v>
      </c>
      <c r="C795" s="1" t="n">
        <v>45474</v>
      </c>
      <c r="D795" t="inlineStr">
        <is>
          <t>UPPSALA LÄN</t>
        </is>
      </c>
      <c r="E795" t="inlineStr">
        <is>
          <t>ÖSTHAMMAR</t>
        </is>
      </c>
      <c r="F795" t="inlineStr">
        <is>
          <t>Bergvik skog öst AB</t>
        </is>
      </c>
      <c r="G795" t="n">
        <v>2</v>
      </c>
      <c r="H795" t="n">
        <v>0</v>
      </c>
      <c r="I795" t="n">
        <v>0</v>
      </c>
      <c r="J795" t="n">
        <v>0</v>
      </c>
      <c r="K795" t="n">
        <v>0</v>
      </c>
      <c r="L795" t="n">
        <v>0</v>
      </c>
      <c r="M795" t="n">
        <v>0</v>
      </c>
      <c r="N795" t="n">
        <v>0</v>
      </c>
      <c r="O795" t="n">
        <v>0</v>
      </c>
      <c r="P795" t="n">
        <v>0</v>
      </c>
      <c r="Q795" t="n">
        <v>0</v>
      </c>
      <c r="R795" s="2" t="inlineStr"/>
    </row>
    <row r="796" ht="15" customHeight="1">
      <c r="A796" t="inlineStr">
        <is>
          <t>A 30811-2023</t>
        </is>
      </c>
      <c r="B796" s="1" t="n">
        <v>45112</v>
      </c>
      <c r="C796" s="1" t="n">
        <v>45474</v>
      </c>
      <c r="D796" t="inlineStr">
        <is>
          <t>UPPSALA LÄN</t>
        </is>
      </c>
      <c r="E796" t="inlineStr">
        <is>
          <t>ÖSTHAMMAR</t>
        </is>
      </c>
      <c r="F796" t="inlineStr">
        <is>
          <t>Bergvik skog öst AB</t>
        </is>
      </c>
      <c r="G796" t="n">
        <v>0.7</v>
      </c>
      <c r="H796" t="n">
        <v>0</v>
      </c>
      <c r="I796" t="n">
        <v>0</v>
      </c>
      <c r="J796" t="n">
        <v>0</v>
      </c>
      <c r="K796" t="n">
        <v>0</v>
      </c>
      <c r="L796" t="n">
        <v>0</v>
      </c>
      <c r="M796" t="n">
        <v>0</v>
      </c>
      <c r="N796" t="n">
        <v>0</v>
      </c>
      <c r="O796" t="n">
        <v>0</v>
      </c>
      <c r="P796" t="n">
        <v>0</v>
      </c>
      <c r="Q796" t="n">
        <v>0</v>
      </c>
      <c r="R796" s="2" t="inlineStr"/>
    </row>
    <row r="797" ht="15" customHeight="1">
      <c r="A797" t="inlineStr">
        <is>
          <t>A 31480-2023</t>
        </is>
      </c>
      <c r="B797" s="1" t="n">
        <v>45114</v>
      </c>
      <c r="C797" s="1" t="n">
        <v>45474</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31484-2023</t>
        </is>
      </c>
      <c r="B798" s="1" t="n">
        <v>45114</v>
      </c>
      <c r="C798" s="1" t="n">
        <v>45474</v>
      </c>
      <c r="D798" t="inlineStr">
        <is>
          <t>UPPSALA LÄN</t>
        </is>
      </c>
      <c r="E798" t="inlineStr">
        <is>
          <t>ÖSTHAMMAR</t>
        </is>
      </c>
      <c r="F798" t="inlineStr">
        <is>
          <t>Bergvik skog öst AB</t>
        </is>
      </c>
      <c r="G798" t="n">
        <v>2.6</v>
      </c>
      <c r="H798" t="n">
        <v>0</v>
      </c>
      <c r="I798" t="n">
        <v>0</v>
      </c>
      <c r="J798" t="n">
        <v>0</v>
      </c>
      <c r="K798" t="n">
        <v>0</v>
      </c>
      <c r="L798" t="n">
        <v>0</v>
      </c>
      <c r="M798" t="n">
        <v>0</v>
      </c>
      <c r="N798" t="n">
        <v>0</v>
      </c>
      <c r="O798" t="n">
        <v>0</v>
      </c>
      <c r="P798" t="n">
        <v>0</v>
      </c>
      <c r="Q798" t="n">
        <v>0</v>
      </c>
      <c r="R798" s="2" t="inlineStr"/>
    </row>
    <row r="799" ht="15" customHeight="1">
      <c r="A799" t="inlineStr">
        <is>
          <t>A 31479-2023</t>
        </is>
      </c>
      <c r="B799" s="1" t="n">
        <v>45114</v>
      </c>
      <c r="C799" s="1" t="n">
        <v>45474</v>
      </c>
      <c r="D799" t="inlineStr">
        <is>
          <t>UPPSALA LÄN</t>
        </is>
      </c>
      <c r="E799" t="inlineStr">
        <is>
          <t>ÖSTHAMMAR</t>
        </is>
      </c>
      <c r="F799" t="inlineStr">
        <is>
          <t>Bergvik skog öst AB</t>
        </is>
      </c>
      <c r="G799" t="n">
        <v>1.9</v>
      </c>
      <c r="H799" t="n">
        <v>0</v>
      </c>
      <c r="I799" t="n">
        <v>0</v>
      </c>
      <c r="J799" t="n">
        <v>0</v>
      </c>
      <c r="K799" t="n">
        <v>0</v>
      </c>
      <c r="L799" t="n">
        <v>0</v>
      </c>
      <c r="M799" t="n">
        <v>0</v>
      </c>
      <c r="N799" t="n">
        <v>0</v>
      </c>
      <c r="O799" t="n">
        <v>0</v>
      </c>
      <c r="P799" t="n">
        <v>0</v>
      </c>
      <c r="Q799" t="n">
        <v>0</v>
      </c>
      <c r="R799" s="2" t="inlineStr"/>
    </row>
    <row r="800" ht="15" customHeight="1">
      <c r="A800" t="inlineStr">
        <is>
          <t>A 31483-2023</t>
        </is>
      </c>
      <c r="B800" s="1" t="n">
        <v>45114</v>
      </c>
      <c r="C800" s="1" t="n">
        <v>45474</v>
      </c>
      <c r="D800" t="inlineStr">
        <is>
          <t>UPPSALA LÄN</t>
        </is>
      </c>
      <c r="E800" t="inlineStr">
        <is>
          <t>ÖSTHAMMAR</t>
        </is>
      </c>
      <c r="F800" t="inlineStr">
        <is>
          <t>Bergvik skog öst AB</t>
        </is>
      </c>
      <c r="G800" t="n">
        <v>4.5</v>
      </c>
      <c r="H800" t="n">
        <v>0</v>
      </c>
      <c r="I800" t="n">
        <v>0</v>
      </c>
      <c r="J800" t="n">
        <v>0</v>
      </c>
      <c r="K800" t="n">
        <v>0</v>
      </c>
      <c r="L800" t="n">
        <v>0</v>
      </c>
      <c r="M800" t="n">
        <v>0</v>
      </c>
      <c r="N800" t="n">
        <v>0</v>
      </c>
      <c r="O800" t="n">
        <v>0</v>
      </c>
      <c r="P800" t="n">
        <v>0</v>
      </c>
      <c r="Q800" t="n">
        <v>0</v>
      </c>
      <c r="R800" s="2" t="inlineStr"/>
    </row>
    <row r="801" ht="15" customHeight="1">
      <c r="A801" t="inlineStr">
        <is>
          <t>A 31482-2023</t>
        </is>
      </c>
      <c r="B801" s="1" t="n">
        <v>45114</v>
      </c>
      <c r="C801" s="1" t="n">
        <v>45474</v>
      </c>
      <c r="D801" t="inlineStr">
        <is>
          <t>UPPSALA LÄN</t>
        </is>
      </c>
      <c r="E801" t="inlineStr">
        <is>
          <t>ÖSTHAMMAR</t>
        </is>
      </c>
      <c r="F801" t="inlineStr">
        <is>
          <t>Bergvik skog öst AB</t>
        </is>
      </c>
      <c r="G801" t="n">
        <v>4.2</v>
      </c>
      <c r="H801" t="n">
        <v>0</v>
      </c>
      <c r="I801" t="n">
        <v>0</v>
      </c>
      <c r="J801" t="n">
        <v>0</v>
      </c>
      <c r="K801" t="n">
        <v>0</v>
      </c>
      <c r="L801" t="n">
        <v>0</v>
      </c>
      <c r="M801" t="n">
        <v>0</v>
      </c>
      <c r="N801" t="n">
        <v>0</v>
      </c>
      <c r="O801" t="n">
        <v>0</v>
      </c>
      <c r="P801" t="n">
        <v>0</v>
      </c>
      <c r="Q801" t="n">
        <v>0</v>
      </c>
      <c r="R801" s="2" t="inlineStr"/>
    </row>
    <row r="802" ht="15" customHeight="1">
      <c r="A802" t="inlineStr">
        <is>
          <t>A 31486-2023</t>
        </is>
      </c>
      <c r="B802" s="1" t="n">
        <v>45114</v>
      </c>
      <c r="C802" s="1" t="n">
        <v>45474</v>
      </c>
      <c r="D802" t="inlineStr">
        <is>
          <t>UPPSALA LÄN</t>
        </is>
      </c>
      <c r="E802" t="inlineStr">
        <is>
          <t>ÖSTHAMMAR</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31481-2023</t>
        </is>
      </c>
      <c r="B803" s="1" t="n">
        <v>45114</v>
      </c>
      <c r="C803" s="1" t="n">
        <v>45474</v>
      </c>
      <c r="D803" t="inlineStr">
        <is>
          <t>UPPSALA LÄN</t>
        </is>
      </c>
      <c r="E803" t="inlineStr">
        <is>
          <t>ÖSTHAMMAR</t>
        </is>
      </c>
      <c r="F803" t="inlineStr">
        <is>
          <t>Bergvik skog öst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31485-2023</t>
        </is>
      </c>
      <c r="B804" s="1" t="n">
        <v>45114</v>
      </c>
      <c r="C804" s="1" t="n">
        <v>45474</v>
      </c>
      <c r="D804" t="inlineStr">
        <is>
          <t>UPPSALA LÄN</t>
        </is>
      </c>
      <c r="E804" t="inlineStr">
        <is>
          <t>ÖSTHAMMAR</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31688-2023</t>
        </is>
      </c>
      <c r="B805" s="1" t="n">
        <v>45117</v>
      </c>
      <c r="C805" s="1" t="n">
        <v>45474</v>
      </c>
      <c r="D805" t="inlineStr">
        <is>
          <t>UPPSALA LÄN</t>
        </is>
      </c>
      <c r="E805" t="inlineStr">
        <is>
          <t>ÖSTHAMMAR</t>
        </is>
      </c>
      <c r="F805" t="inlineStr">
        <is>
          <t>Bergvik skog öst AB</t>
        </is>
      </c>
      <c r="G805" t="n">
        <v>4.9</v>
      </c>
      <c r="H805" t="n">
        <v>0</v>
      </c>
      <c r="I805" t="n">
        <v>0</v>
      </c>
      <c r="J805" t="n">
        <v>0</v>
      </c>
      <c r="K805" t="n">
        <v>0</v>
      </c>
      <c r="L805" t="n">
        <v>0</v>
      </c>
      <c r="M805" t="n">
        <v>0</v>
      </c>
      <c r="N805" t="n">
        <v>0</v>
      </c>
      <c r="O805" t="n">
        <v>0</v>
      </c>
      <c r="P805" t="n">
        <v>0</v>
      </c>
      <c r="Q805" t="n">
        <v>0</v>
      </c>
      <c r="R805" s="2" t="inlineStr"/>
    </row>
    <row r="806" ht="15" customHeight="1">
      <c r="A806" t="inlineStr">
        <is>
          <t>A 32194-2023</t>
        </is>
      </c>
      <c r="B806" s="1" t="n">
        <v>45119</v>
      </c>
      <c r="C806" s="1" t="n">
        <v>45474</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32195-2023</t>
        </is>
      </c>
      <c r="B807" s="1" t="n">
        <v>45119</v>
      </c>
      <c r="C807" s="1" t="n">
        <v>45474</v>
      </c>
      <c r="D807" t="inlineStr">
        <is>
          <t>UPPSALA LÄN</t>
        </is>
      </c>
      <c r="E807" t="inlineStr">
        <is>
          <t>ÖSTHAMMAR</t>
        </is>
      </c>
      <c r="F807" t="inlineStr">
        <is>
          <t>Bergvik skog öst AB</t>
        </is>
      </c>
      <c r="G807" t="n">
        <v>1.2</v>
      </c>
      <c r="H807" t="n">
        <v>0</v>
      </c>
      <c r="I807" t="n">
        <v>0</v>
      </c>
      <c r="J807" t="n">
        <v>0</v>
      </c>
      <c r="K807" t="n">
        <v>0</v>
      </c>
      <c r="L807" t="n">
        <v>0</v>
      </c>
      <c r="M807" t="n">
        <v>0</v>
      </c>
      <c r="N807" t="n">
        <v>0</v>
      </c>
      <c r="O807" t="n">
        <v>0</v>
      </c>
      <c r="P807" t="n">
        <v>0</v>
      </c>
      <c r="Q807" t="n">
        <v>0</v>
      </c>
      <c r="R807" s="2" t="inlineStr"/>
    </row>
    <row r="808" ht="15" customHeight="1">
      <c r="A808" t="inlineStr">
        <is>
          <t>A 32197-2023</t>
        </is>
      </c>
      <c r="B808" s="1" t="n">
        <v>45119</v>
      </c>
      <c r="C808" s="1" t="n">
        <v>45474</v>
      </c>
      <c r="D808" t="inlineStr">
        <is>
          <t>UPPSALA LÄN</t>
        </is>
      </c>
      <c r="E808" t="inlineStr">
        <is>
          <t>ÖSTHAMMAR</t>
        </is>
      </c>
      <c r="F808" t="inlineStr">
        <is>
          <t>Bergvik skog öst AB</t>
        </is>
      </c>
      <c r="G808" t="n">
        <v>1.1</v>
      </c>
      <c r="H808" t="n">
        <v>0</v>
      </c>
      <c r="I808" t="n">
        <v>0</v>
      </c>
      <c r="J808" t="n">
        <v>0</v>
      </c>
      <c r="K808" t="n">
        <v>0</v>
      </c>
      <c r="L808" t="n">
        <v>0</v>
      </c>
      <c r="M808" t="n">
        <v>0</v>
      </c>
      <c r="N808" t="n">
        <v>0</v>
      </c>
      <c r="O808" t="n">
        <v>0</v>
      </c>
      <c r="P808" t="n">
        <v>0</v>
      </c>
      <c r="Q808" t="n">
        <v>0</v>
      </c>
      <c r="R808" s="2" t="inlineStr"/>
    </row>
    <row r="809" ht="15" customHeight="1">
      <c r="A809" t="inlineStr">
        <is>
          <t>A 32196-2023</t>
        </is>
      </c>
      <c r="B809" s="1" t="n">
        <v>45119</v>
      </c>
      <c r="C809" s="1" t="n">
        <v>45474</v>
      </c>
      <c r="D809" t="inlineStr">
        <is>
          <t>UPPSALA LÄN</t>
        </is>
      </c>
      <c r="E809" t="inlineStr">
        <is>
          <t>ÖSTHAMMAR</t>
        </is>
      </c>
      <c r="F809" t="inlineStr">
        <is>
          <t>Bergvik skog öst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32390-2023</t>
        </is>
      </c>
      <c r="B810" s="1" t="n">
        <v>45120</v>
      </c>
      <c r="C810" s="1" t="n">
        <v>45474</v>
      </c>
      <c r="D810" t="inlineStr">
        <is>
          <t>UPPSALA LÄN</t>
        </is>
      </c>
      <c r="E810" t="inlineStr">
        <is>
          <t>ÖSTHAMMAR</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32693-2023</t>
        </is>
      </c>
      <c r="B811" s="1" t="n">
        <v>45121</v>
      </c>
      <c r="C811" s="1" t="n">
        <v>45474</v>
      </c>
      <c r="D811" t="inlineStr">
        <is>
          <t>UPPSALA LÄN</t>
        </is>
      </c>
      <c r="E811" t="inlineStr">
        <is>
          <t>ÖSTHAMMAR</t>
        </is>
      </c>
      <c r="F811" t="inlineStr">
        <is>
          <t>Bergvik skog öst AB</t>
        </is>
      </c>
      <c r="G811" t="n">
        <v>2.8</v>
      </c>
      <c r="H811" t="n">
        <v>0</v>
      </c>
      <c r="I811" t="n">
        <v>0</v>
      </c>
      <c r="J811" t="n">
        <v>0</v>
      </c>
      <c r="K811" t="n">
        <v>0</v>
      </c>
      <c r="L811" t="n">
        <v>0</v>
      </c>
      <c r="M811" t="n">
        <v>0</v>
      </c>
      <c r="N811" t="n">
        <v>0</v>
      </c>
      <c r="O811" t="n">
        <v>0</v>
      </c>
      <c r="P811" t="n">
        <v>0</v>
      </c>
      <c r="Q811" t="n">
        <v>0</v>
      </c>
      <c r="R811" s="2" t="inlineStr"/>
    </row>
    <row r="812" ht="15" customHeight="1">
      <c r="A812" t="inlineStr">
        <is>
          <t>A 32691-2023</t>
        </is>
      </c>
      <c r="B812" s="1" t="n">
        <v>45121</v>
      </c>
      <c r="C812" s="1" t="n">
        <v>45474</v>
      </c>
      <c r="D812" t="inlineStr">
        <is>
          <t>UPPSALA LÄN</t>
        </is>
      </c>
      <c r="E812" t="inlineStr">
        <is>
          <t>ÖSTHAMMAR</t>
        </is>
      </c>
      <c r="F812" t="inlineStr">
        <is>
          <t>Bergvik skog öst AB</t>
        </is>
      </c>
      <c r="G812" t="n">
        <v>20.2</v>
      </c>
      <c r="H812" t="n">
        <v>0</v>
      </c>
      <c r="I812" t="n">
        <v>0</v>
      </c>
      <c r="J812" t="n">
        <v>0</v>
      </c>
      <c r="K812" t="n">
        <v>0</v>
      </c>
      <c r="L812" t="n">
        <v>0</v>
      </c>
      <c r="M812" t="n">
        <v>0</v>
      </c>
      <c r="N812" t="n">
        <v>0</v>
      </c>
      <c r="O812" t="n">
        <v>0</v>
      </c>
      <c r="P812" t="n">
        <v>0</v>
      </c>
      <c r="Q812" t="n">
        <v>0</v>
      </c>
      <c r="R812" s="2" t="inlineStr"/>
    </row>
    <row r="813" ht="15" customHeight="1">
      <c r="A813" t="inlineStr">
        <is>
          <t>A 32752-2023</t>
        </is>
      </c>
      <c r="B813" s="1" t="n">
        <v>45122</v>
      </c>
      <c r="C813" s="1" t="n">
        <v>45474</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32779-2023</t>
        </is>
      </c>
      <c r="B814" s="1" t="n">
        <v>45123</v>
      </c>
      <c r="C814" s="1" t="n">
        <v>45474</v>
      </c>
      <c r="D814" t="inlineStr">
        <is>
          <t>UPPSALA LÄN</t>
        </is>
      </c>
      <c r="E814" t="inlineStr">
        <is>
          <t>ÖSTHAMMAR</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32778-2023</t>
        </is>
      </c>
      <c r="B815" s="1" t="n">
        <v>45123</v>
      </c>
      <c r="C815" s="1" t="n">
        <v>45474</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32895-2023</t>
        </is>
      </c>
      <c r="B816" s="1" t="n">
        <v>45124</v>
      </c>
      <c r="C816" s="1" t="n">
        <v>45474</v>
      </c>
      <c r="D816" t="inlineStr">
        <is>
          <t>UPPSALA LÄN</t>
        </is>
      </c>
      <c r="E816" t="inlineStr">
        <is>
          <t>ÖSTHAMMAR</t>
        </is>
      </c>
      <c r="F816" t="inlineStr">
        <is>
          <t>Bergvik skog öst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34108-2023</t>
        </is>
      </c>
      <c r="B817" s="1" t="n">
        <v>45135</v>
      </c>
      <c r="C817" s="1" t="n">
        <v>45474</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34607-2023</t>
        </is>
      </c>
      <c r="B818" s="1" t="n">
        <v>45138</v>
      </c>
      <c r="C818" s="1" t="n">
        <v>45474</v>
      </c>
      <c r="D818" t="inlineStr">
        <is>
          <t>UPPSALA LÄN</t>
        </is>
      </c>
      <c r="E818" t="inlineStr">
        <is>
          <t>ÖSTHAMMAR</t>
        </is>
      </c>
      <c r="G818" t="n">
        <v>4.7</v>
      </c>
      <c r="H818" t="n">
        <v>0</v>
      </c>
      <c r="I818" t="n">
        <v>0</v>
      </c>
      <c r="J818" t="n">
        <v>0</v>
      </c>
      <c r="K818" t="n">
        <v>0</v>
      </c>
      <c r="L818" t="n">
        <v>0</v>
      </c>
      <c r="M818" t="n">
        <v>0</v>
      </c>
      <c r="N818" t="n">
        <v>0</v>
      </c>
      <c r="O818" t="n">
        <v>0</v>
      </c>
      <c r="P818" t="n">
        <v>0</v>
      </c>
      <c r="Q818" t="n">
        <v>0</v>
      </c>
      <c r="R818" s="2" t="inlineStr"/>
    </row>
    <row r="819" ht="15" customHeight="1">
      <c r="A819" t="inlineStr">
        <is>
          <t>A 34412-2023</t>
        </is>
      </c>
      <c r="B819" s="1" t="n">
        <v>45139</v>
      </c>
      <c r="C819" s="1" t="n">
        <v>45474</v>
      </c>
      <c r="D819" t="inlineStr">
        <is>
          <t>UPPSALA LÄN</t>
        </is>
      </c>
      <c r="E819" t="inlineStr">
        <is>
          <t>ÖSTHAMMAR</t>
        </is>
      </c>
      <c r="F819" t="inlineStr">
        <is>
          <t>Bergvik skog öst AB</t>
        </is>
      </c>
      <c r="G819" t="n">
        <v>4</v>
      </c>
      <c r="H819" t="n">
        <v>0</v>
      </c>
      <c r="I819" t="n">
        <v>0</v>
      </c>
      <c r="J819" t="n">
        <v>0</v>
      </c>
      <c r="K819" t="n">
        <v>0</v>
      </c>
      <c r="L819" t="n">
        <v>0</v>
      </c>
      <c r="M819" t="n">
        <v>0</v>
      </c>
      <c r="N819" t="n">
        <v>0</v>
      </c>
      <c r="O819" t="n">
        <v>0</v>
      </c>
      <c r="P819" t="n">
        <v>0</v>
      </c>
      <c r="Q819" t="n">
        <v>0</v>
      </c>
      <c r="R819" s="2" t="inlineStr"/>
    </row>
    <row r="820" ht="15" customHeight="1">
      <c r="A820" t="inlineStr">
        <is>
          <t>A 34471-2023</t>
        </is>
      </c>
      <c r="B820" s="1" t="n">
        <v>45139</v>
      </c>
      <c r="C820" s="1" t="n">
        <v>45474</v>
      </c>
      <c r="D820" t="inlineStr">
        <is>
          <t>UPPSALA LÄN</t>
        </is>
      </c>
      <c r="E820" t="inlineStr">
        <is>
          <t>ÖSTHAMMAR</t>
        </is>
      </c>
      <c r="F820" t="inlineStr">
        <is>
          <t>Bergvik skog öst AB</t>
        </is>
      </c>
      <c r="G820" t="n">
        <v>4.5</v>
      </c>
      <c r="H820" t="n">
        <v>0</v>
      </c>
      <c r="I820" t="n">
        <v>0</v>
      </c>
      <c r="J820" t="n">
        <v>0</v>
      </c>
      <c r="K820" t="n">
        <v>0</v>
      </c>
      <c r="L820" t="n">
        <v>0</v>
      </c>
      <c r="M820" t="n">
        <v>0</v>
      </c>
      <c r="N820" t="n">
        <v>0</v>
      </c>
      <c r="O820" t="n">
        <v>0</v>
      </c>
      <c r="P820" t="n">
        <v>0</v>
      </c>
      <c r="Q820" t="n">
        <v>0</v>
      </c>
      <c r="R820" s="2" t="inlineStr"/>
    </row>
    <row r="821" ht="15" customHeight="1">
      <c r="A821" t="inlineStr">
        <is>
          <t>A 34920-2023</t>
        </is>
      </c>
      <c r="B821" s="1" t="n">
        <v>45142</v>
      </c>
      <c r="C821" s="1" t="n">
        <v>45474</v>
      </c>
      <c r="D821" t="inlineStr">
        <is>
          <t>UPPSALA LÄN</t>
        </is>
      </c>
      <c r="E821" t="inlineStr">
        <is>
          <t>ÖSTHAMMAR</t>
        </is>
      </c>
      <c r="F821" t="inlineStr">
        <is>
          <t>Bergvik skog öst AB</t>
        </is>
      </c>
      <c r="G821" t="n">
        <v>1.6</v>
      </c>
      <c r="H821" t="n">
        <v>0</v>
      </c>
      <c r="I821" t="n">
        <v>0</v>
      </c>
      <c r="J821" t="n">
        <v>0</v>
      </c>
      <c r="K821" t="n">
        <v>0</v>
      </c>
      <c r="L821" t="n">
        <v>0</v>
      </c>
      <c r="M821" t="n">
        <v>0</v>
      </c>
      <c r="N821" t="n">
        <v>0</v>
      </c>
      <c r="O821" t="n">
        <v>0</v>
      </c>
      <c r="P821" t="n">
        <v>0</v>
      </c>
      <c r="Q821" t="n">
        <v>0</v>
      </c>
      <c r="R821" s="2" t="inlineStr"/>
    </row>
    <row r="822" ht="15" customHeight="1">
      <c r="A822" t="inlineStr">
        <is>
          <t>A 34923-2023</t>
        </is>
      </c>
      <c r="B822" s="1" t="n">
        <v>45142</v>
      </c>
      <c r="C822" s="1" t="n">
        <v>45474</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34951-2023</t>
        </is>
      </c>
      <c r="B823" s="1" t="n">
        <v>45142</v>
      </c>
      <c r="C823" s="1" t="n">
        <v>45474</v>
      </c>
      <c r="D823" t="inlineStr">
        <is>
          <t>UPPSALA LÄN</t>
        </is>
      </c>
      <c r="E823" t="inlineStr">
        <is>
          <t>ÖSTHAMMAR</t>
        </is>
      </c>
      <c r="F823" t="inlineStr">
        <is>
          <t>Naturvårdsverket</t>
        </is>
      </c>
      <c r="G823" t="n">
        <v>4.8</v>
      </c>
      <c r="H823" t="n">
        <v>0</v>
      </c>
      <c r="I823" t="n">
        <v>0</v>
      </c>
      <c r="J823" t="n">
        <v>0</v>
      </c>
      <c r="K823" t="n">
        <v>0</v>
      </c>
      <c r="L823" t="n">
        <v>0</v>
      </c>
      <c r="M823" t="n">
        <v>0</v>
      </c>
      <c r="N823" t="n">
        <v>0</v>
      </c>
      <c r="O823" t="n">
        <v>0</v>
      </c>
      <c r="P823" t="n">
        <v>0</v>
      </c>
      <c r="Q823" t="n">
        <v>0</v>
      </c>
      <c r="R823" s="2" t="inlineStr"/>
    </row>
    <row r="824" ht="15" customHeight="1">
      <c r="A824" t="inlineStr">
        <is>
          <t>A 34922-2023</t>
        </is>
      </c>
      <c r="B824" s="1" t="n">
        <v>45142</v>
      </c>
      <c r="C824" s="1" t="n">
        <v>45474</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35403-2023</t>
        </is>
      </c>
      <c r="B825" s="1" t="n">
        <v>45146</v>
      </c>
      <c r="C825" s="1" t="n">
        <v>45474</v>
      </c>
      <c r="D825" t="inlineStr">
        <is>
          <t>UPPSALA LÄN</t>
        </is>
      </c>
      <c r="E825" t="inlineStr">
        <is>
          <t>ÖSTHAMMAR</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35309-2023</t>
        </is>
      </c>
      <c r="B826" s="1" t="n">
        <v>45146</v>
      </c>
      <c r="C826" s="1" t="n">
        <v>45474</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35413-2023</t>
        </is>
      </c>
      <c r="B827" s="1" t="n">
        <v>45146</v>
      </c>
      <c r="C827" s="1" t="n">
        <v>45474</v>
      </c>
      <c r="D827" t="inlineStr">
        <is>
          <t>UPPSALA LÄN</t>
        </is>
      </c>
      <c r="E827" t="inlineStr">
        <is>
          <t>ÖSTHAMMAR</t>
        </is>
      </c>
      <c r="F827" t="inlineStr">
        <is>
          <t>Bergvik skog öst AB</t>
        </is>
      </c>
      <c r="G827" t="n">
        <v>26.1</v>
      </c>
      <c r="H827" t="n">
        <v>0</v>
      </c>
      <c r="I827" t="n">
        <v>0</v>
      </c>
      <c r="J827" t="n">
        <v>0</v>
      </c>
      <c r="K827" t="n">
        <v>0</v>
      </c>
      <c r="L827" t="n">
        <v>0</v>
      </c>
      <c r="M827" t="n">
        <v>0</v>
      </c>
      <c r="N827" t="n">
        <v>0</v>
      </c>
      <c r="O827" t="n">
        <v>0</v>
      </c>
      <c r="P827" t="n">
        <v>0</v>
      </c>
      <c r="Q827" t="n">
        <v>0</v>
      </c>
      <c r="R827" s="2" t="inlineStr"/>
    </row>
    <row r="828" ht="15" customHeight="1">
      <c r="A828" t="inlineStr">
        <is>
          <t>A 35406-2023</t>
        </is>
      </c>
      <c r="B828" s="1" t="n">
        <v>45146</v>
      </c>
      <c r="C828" s="1" t="n">
        <v>45474</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35410-2023</t>
        </is>
      </c>
      <c r="B829" s="1" t="n">
        <v>45146</v>
      </c>
      <c r="C829" s="1" t="n">
        <v>45474</v>
      </c>
      <c r="D829" t="inlineStr">
        <is>
          <t>UPPSALA LÄN</t>
        </is>
      </c>
      <c r="E829" t="inlineStr">
        <is>
          <t>ÖSTHAMMAR</t>
        </is>
      </c>
      <c r="F829" t="inlineStr">
        <is>
          <t>Bergvik skog öst AB</t>
        </is>
      </c>
      <c r="G829" t="n">
        <v>2.4</v>
      </c>
      <c r="H829" t="n">
        <v>0</v>
      </c>
      <c r="I829" t="n">
        <v>0</v>
      </c>
      <c r="J829" t="n">
        <v>0</v>
      </c>
      <c r="K829" t="n">
        <v>0</v>
      </c>
      <c r="L829" t="n">
        <v>0</v>
      </c>
      <c r="M829" t="n">
        <v>0</v>
      </c>
      <c r="N829" t="n">
        <v>0</v>
      </c>
      <c r="O829" t="n">
        <v>0</v>
      </c>
      <c r="P829" t="n">
        <v>0</v>
      </c>
      <c r="Q829" t="n">
        <v>0</v>
      </c>
      <c r="R829" s="2" t="inlineStr"/>
    </row>
    <row r="830" ht="15" customHeight="1">
      <c r="A830" t="inlineStr">
        <is>
          <t>A 35474-2023</t>
        </is>
      </c>
      <c r="B830" s="1" t="n">
        <v>45146</v>
      </c>
      <c r="C830" s="1" t="n">
        <v>45474</v>
      </c>
      <c r="D830" t="inlineStr">
        <is>
          <t>UPPSALA LÄN</t>
        </is>
      </c>
      <c r="E830" t="inlineStr">
        <is>
          <t>ÖSTHAMMAR</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35476-2023</t>
        </is>
      </c>
      <c r="B831" s="1" t="n">
        <v>45146</v>
      </c>
      <c r="C831" s="1" t="n">
        <v>45474</v>
      </c>
      <c r="D831" t="inlineStr">
        <is>
          <t>UPPSALA LÄN</t>
        </is>
      </c>
      <c r="E831" t="inlineStr">
        <is>
          <t>ÖSTHAMMAR</t>
        </is>
      </c>
      <c r="G831" t="n">
        <v>2.4</v>
      </c>
      <c r="H831" t="n">
        <v>0</v>
      </c>
      <c r="I831" t="n">
        <v>0</v>
      </c>
      <c r="J831" t="n">
        <v>0</v>
      </c>
      <c r="K831" t="n">
        <v>0</v>
      </c>
      <c r="L831" t="n">
        <v>0</v>
      </c>
      <c r="M831" t="n">
        <v>0</v>
      </c>
      <c r="N831" t="n">
        <v>0</v>
      </c>
      <c r="O831" t="n">
        <v>0</v>
      </c>
      <c r="P831" t="n">
        <v>0</v>
      </c>
      <c r="Q831" t="n">
        <v>0</v>
      </c>
      <c r="R831" s="2" t="inlineStr"/>
    </row>
    <row r="832" ht="15" customHeight="1">
      <c r="A832" t="inlineStr">
        <is>
          <t>A 35539-2023</t>
        </is>
      </c>
      <c r="B832" s="1" t="n">
        <v>45147</v>
      </c>
      <c r="C832" s="1" t="n">
        <v>45474</v>
      </c>
      <c r="D832" t="inlineStr">
        <is>
          <t>UPPSALA LÄN</t>
        </is>
      </c>
      <c r="E832" t="inlineStr">
        <is>
          <t>ÖSTHAMMAR</t>
        </is>
      </c>
      <c r="G832" t="n">
        <v>1.4</v>
      </c>
      <c r="H832" t="n">
        <v>0</v>
      </c>
      <c r="I832" t="n">
        <v>0</v>
      </c>
      <c r="J832" t="n">
        <v>0</v>
      </c>
      <c r="K832" t="n">
        <v>0</v>
      </c>
      <c r="L832" t="n">
        <v>0</v>
      </c>
      <c r="M832" t="n">
        <v>0</v>
      </c>
      <c r="N832" t="n">
        <v>0</v>
      </c>
      <c r="O832" t="n">
        <v>0</v>
      </c>
      <c r="P832" t="n">
        <v>0</v>
      </c>
      <c r="Q832" t="n">
        <v>0</v>
      </c>
      <c r="R832" s="2" t="inlineStr"/>
    </row>
    <row r="833" ht="15" customHeight="1">
      <c r="A833" t="inlineStr">
        <is>
          <t>A 35918-2023</t>
        </is>
      </c>
      <c r="B833" s="1" t="n">
        <v>45148</v>
      </c>
      <c r="C833" s="1" t="n">
        <v>45474</v>
      </c>
      <c r="D833" t="inlineStr">
        <is>
          <t>UPPSALA LÄN</t>
        </is>
      </c>
      <c r="E833" t="inlineStr">
        <is>
          <t>ÖSTHAMMAR</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36020-2023</t>
        </is>
      </c>
      <c r="B834" s="1" t="n">
        <v>45149</v>
      </c>
      <c r="C834" s="1" t="n">
        <v>45474</v>
      </c>
      <c r="D834" t="inlineStr">
        <is>
          <t>UPPSALA LÄN</t>
        </is>
      </c>
      <c r="E834" t="inlineStr">
        <is>
          <t>ÖSTHAMMAR</t>
        </is>
      </c>
      <c r="F834" t="inlineStr">
        <is>
          <t>Bergvik skog öst AB</t>
        </is>
      </c>
      <c r="G834" t="n">
        <v>6.8</v>
      </c>
      <c r="H834" t="n">
        <v>0</v>
      </c>
      <c r="I834" t="n">
        <v>0</v>
      </c>
      <c r="J834" t="n">
        <v>0</v>
      </c>
      <c r="K834" t="n">
        <v>0</v>
      </c>
      <c r="L834" t="n">
        <v>0</v>
      </c>
      <c r="M834" t="n">
        <v>0</v>
      </c>
      <c r="N834" t="n">
        <v>0</v>
      </c>
      <c r="O834" t="n">
        <v>0</v>
      </c>
      <c r="P834" t="n">
        <v>0</v>
      </c>
      <c r="Q834" t="n">
        <v>0</v>
      </c>
      <c r="R834" s="2" t="inlineStr"/>
    </row>
    <row r="835" ht="15" customHeight="1">
      <c r="A835" t="inlineStr">
        <is>
          <t>A 36301-2023</t>
        </is>
      </c>
      <c r="B835" s="1" t="n">
        <v>45152</v>
      </c>
      <c r="C835" s="1" t="n">
        <v>45474</v>
      </c>
      <c r="D835" t="inlineStr">
        <is>
          <t>UPPSALA LÄN</t>
        </is>
      </c>
      <c r="E835" t="inlineStr">
        <is>
          <t>ÖSTHAMMAR</t>
        </is>
      </c>
      <c r="G835" t="n">
        <v>0.9</v>
      </c>
      <c r="H835" t="n">
        <v>0</v>
      </c>
      <c r="I835" t="n">
        <v>0</v>
      </c>
      <c r="J835" t="n">
        <v>0</v>
      </c>
      <c r="K835" t="n">
        <v>0</v>
      </c>
      <c r="L835" t="n">
        <v>0</v>
      </c>
      <c r="M835" t="n">
        <v>0</v>
      </c>
      <c r="N835" t="n">
        <v>0</v>
      </c>
      <c r="O835" t="n">
        <v>0</v>
      </c>
      <c r="P835" t="n">
        <v>0</v>
      </c>
      <c r="Q835" t="n">
        <v>0</v>
      </c>
      <c r="R835" s="2" t="inlineStr"/>
    </row>
    <row r="836" ht="15" customHeight="1">
      <c r="A836" t="inlineStr">
        <is>
          <t>A 36447-2023</t>
        </is>
      </c>
      <c r="B836" s="1" t="n">
        <v>45152</v>
      </c>
      <c r="C836" s="1" t="n">
        <v>45474</v>
      </c>
      <c r="D836" t="inlineStr">
        <is>
          <t>UPPSALA LÄN</t>
        </is>
      </c>
      <c r="E836" t="inlineStr">
        <is>
          <t>ÖSTHAMMAR</t>
        </is>
      </c>
      <c r="F836" t="inlineStr">
        <is>
          <t>Bergvik skog öst AB</t>
        </is>
      </c>
      <c r="G836" t="n">
        <v>6.5</v>
      </c>
      <c r="H836" t="n">
        <v>0</v>
      </c>
      <c r="I836" t="n">
        <v>0</v>
      </c>
      <c r="J836" t="n">
        <v>0</v>
      </c>
      <c r="K836" t="n">
        <v>0</v>
      </c>
      <c r="L836" t="n">
        <v>0</v>
      </c>
      <c r="M836" t="n">
        <v>0</v>
      </c>
      <c r="N836" t="n">
        <v>0</v>
      </c>
      <c r="O836" t="n">
        <v>0</v>
      </c>
      <c r="P836" t="n">
        <v>0</v>
      </c>
      <c r="Q836" t="n">
        <v>0</v>
      </c>
      <c r="R836" s="2" t="inlineStr"/>
    </row>
    <row r="837" ht="15" customHeight="1">
      <c r="A837" t="inlineStr">
        <is>
          <t>A 36864-2023</t>
        </is>
      </c>
      <c r="B837" s="1" t="n">
        <v>45154</v>
      </c>
      <c r="C837" s="1" t="n">
        <v>45474</v>
      </c>
      <c r="D837" t="inlineStr">
        <is>
          <t>UPPSALA LÄN</t>
        </is>
      </c>
      <c r="E837" t="inlineStr">
        <is>
          <t>ÖSTHAMMAR</t>
        </is>
      </c>
      <c r="G837" t="n">
        <v>3.1</v>
      </c>
      <c r="H837" t="n">
        <v>0</v>
      </c>
      <c r="I837" t="n">
        <v>0</v>
      </c>
      <c r="J837" t="n">
        <v>0</v>
      </c>
      <c r="K837" t="n">
        <v>0</v>
      </c>
      <c r="L837" t="n">
        <v>0</v>
      </c>
      <c r="M837" t="n">
        <v>0</v>
      </c>
      <c r="N837" t="n">
        <v>0</v>
      </c>
      <c r="O837" t="n">
        <v>0</v>
      </c>
      <c r="P837" t="n">
        <v>0</v>
      </c>
      <c r="Q837" t="n">
        <v>0</v>
      </c>
      <c r="R837" s="2" t="inlineStr"/>
    </row>
    <row r="838" ht="15" customHeight="1">
      <c r="A838" t="inlineStr">
        <is>
          <t>A 36861-2023</t>
        </is>
      </c>
      <c r="B838" s="1" t="n">
        <v>45154</v>
      </c>
      <c r="C838" s="1" t="n">
        <v>45474</v>
      </c>
      <c r="D838" t="inlineStr">
        <is>
          <t>UPPSALA LÄN</t>
        </is>
      </c>
      <c r="E838" t="inlineStr">
        <is>
          <t>ÖSTHAMMAR</t>
        </is>
      </c>
      <c r="G838" t="n">
        <v>1.2</v>
      </c>
      <c r="H838" t="n">
        <v>0</v>
      </c>
      <c r="I838" t="n">
        <v>0</v>
      </c>
      <c r="J838" t="n">
        <v>0</v>
      </c>
      <c r="K838" t="n">
        <v>0</v>
      </c>
      <c r="L838" t="n">
        <v>0</v>
      </c>
      <c r="M838" t="n">
        <v>0</v>
      </c>
      <c r="N838" t="n">
        <v>0</v>
      </c>
      <c r="O838" t="n">
        <v>0</v>
      </c>
      <c r="P838" t="n">
        <v>0</v>
      </c>
      <c r="Q838" t="n">
        <v>0</v>
      </c>
      <c r="R838" s="2" t="inlineStr"/>
    </row>
    <row r="839" ht="15" customHeight="1">
      <c r="A839" t="inlineStr">
        <is>
          <t>A 36857-2023</t>
        </is>
      </c>
      <c r="B839" s="1" t="n">
        <v>45154</v>
      </c>
      <c r="C839" s="1" t="n">
        <v>45474</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36904-2023</t>
        </is>
      </c>
      <c r="B840" s="1" t="n">
        <v>45154</v>
      </c>
      <c r="C840" s="1" t="n">
        <v>45474</v>
      </c>
      <c r="D840" t="inlineStr">
        <is>
          <t>UPPSALA LÄN</t>
        </is>
      </c>
      <c r="E840" t="inlineStr">
        <is>
          <t>ÖSTHAMMAR</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37021-2023</t>
        </is>
      </c>
      <c r="B841" s="1" t="n">
        <v>45155</v>
      </c>
      <c r="C841" s="1" t="n">
        <v>45474</v>
      </c>
      <c r="D841" t="inlineStr">
        <is>
          <t>UPPSALA LÄN</t>
        </is>
      </c>
      <c r="E841" t="inlineStr">
        <is>
          <t>ÖSTHAMMAR</t>
        </is>
      </c>
      <c r="F841" t="inlineStr">
        <is>
          <t>Övriga Aktiebolag</t>
        </is>
      </c>
      <c r="G841" t="n">
        <v>3.8</v>
      </c>
      <c r="H841" t="n">
        <v>0</v>
      </c>
      <c r="I841" t="n">
        <v>0</v>
      </c>
      <c r="J841" t="n">
        <v>0</v>
      </c>
      <c r="K841" t="n">
        <v>0</v>
      </c>
      <c r="L841" t="n">
        <v>0</v>
      </c>
      <c r="M841" t="n">
        <v>0</v>
      </c>
      <c r="N841" t="n">
        <v>0</v>
      </c>
      <c r="O841" t="n">
        <v>0</v>
      </c>
      <c r="P841" t="n">
        <v>0</v>
      </c>
      <c r="Q841" t="n">
        <v>0</v>
      </c>
      <c r="R841" s="2" t="inlineStr"/>
    </row>
    <row r="842" ht="15" customHeight="1">
      <c r="A842" t="inlineStr">
        <is>
          <t>A 37296-2023</t>
        </is>
      </c>
      <c r="B842" s="1" t="n">
        <v>45156</v>
      </c>
      <c r="C842" s="1" t="n">
        <v>45474</v>
      </c>
      <c r="D842" t="inlineStr">
        <is>
          <t>UPPSALA LÄN</t>
        </is>
      </c>
      <c r="E842" t="inlineStr">
        <is>
          <t>ÖSTHAMMAR</t>
        </is>
      </c>
      <c r="G842" t="n">
        <v>4.7</v>
      </c>
      <c r="H842" t="n">
        <v>0</v>
      </c>
      <c r="I842" t="n">
        <v>0</v>
      </c>
      <c r="J842" t="n">
        <v>0</v>
      </c>
      <c r="K842" t="n">
        <v>0</v>
      </c>
      <c r="L842" t="n">
        <v>0</v>
      </c>
      <c r="M842" t="n">
        <v>0</v>
      </c>
      <c r="N842" t="n">
        <v>0</v>
      </c>
      <c r="O842" t="n">
        <v>0</v>
      </c>
      <c r="P842" t="n">
        <v>0</v>
      </c>
      <c r="Q842" t="n">
        <v>0</v>
      </c>
      <c r="R842" s="2" t="inlineStr"/>
    </row>
    <row r="843" ht="15" customHeight="1">
      <c r="A843" t="inlineStr">
        <is>
          <t>A 37478-2023</t>
        </is>
      </c>
      <c r="B843" s="1" t="n">
        <v>45157</v>
      </c>
      <c r="C843" s="1" t="n">
        <v>45474</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37493-2023</t>
        </is>
      </c>
      <c r="B844" s="1" t="n">
        <v>45157</v>
      </c>
      <c r="C844" s="1" t="n">
        <v>45474</v>
      </c>
      <c r="D844" t="inlineStr">
        <is>
          <t>UPPSALA LÄN</t>
        </is>
      </c>
      <c r="E844" t="inlineStr">
        <is>
          <t>ÖSTHAMMAR</t>
        </is>
      </c>
      <c r="F844" t="inlineStr">
        <is>
          <t>Bergvik skog öst AB</t>
        </is>
      </c>
      <c r="G844" t="n">
        <v>3.3</v>
      </c>
      <c r="H844" t="n">
        <v>0</v>
      </c>
      <c r="I844" t="n">
        <v>0</v>
      </c>
      <c r="J844" t="n">
        <v>0</v>
      </c>
      <c r="K844" t="n">
        <v>0</v>
      </c>
      <c r="L844" t="n">
        <v>0</v>
      </c>
      <c r="M844" t="n">
        <v>0</v>
      </c>
      <c r="N844" t="n">
        <v>0</v>
      </c>
      <c r="O844" t="n">
        <v>0</v>
      </c>
      <c r="P844" t="n">
        <v>0</v>
      </c>
      <c r="Q844" t="n">
        <v>0</v>
      </c>
      <c r="R844" s="2" t="inlineStr"/>
    </row>
    <row r="845" ht="15" customHeight="1">
      <c r="A845" t="inlineStr">
        <is>
          <t>A 37494-2023</t>
        </is>
      </c>
      <c r="B845" s="1" t="n">
        <v>45157</v>
      </c>
      <c r="C845" s="1" t="n">
        <v>45474</v>
      </c>
      <c r="D845" t="inlineStr">
        <is>
          <t>UPPSALA LÄN</t>
        </is>
      </c>
      <c r="E845" t="inlineStr">
        <is>
          <t>ÖSTHAMMAR</t>
        </is>
      </c>
      <c r="F845" t="inlineStr">
        <is>
          <t>Bergvik skog öst AB</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37863-2023</t>
        </is>
      </c>
      <c r="B846" s="1" t="n">
        <v>45160</v>
      </c>
      <c r="C846" s="1" t="n">
        <v>45474</v>
      </c>
      <c r="D846" t="inlineStr">
        <is>
          <t>UPPSALA LÄN</t>
        </is>
      </c>
      <c r="E846" t="inlineStr">
        <is>
          <t>ÖSTHAMMAR</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37865-2023</t>
        </is>
      </c>
      <c r="B847" s="1" t="n">
        <v>45160</v>
      </c>
      <c r="C847" s="1" t="n">
        <v>45474</v>
      </c>
      <c r="D847" t="inlineStr">
        <is>
          <t>UPPSALA LÄN</t>
        </is>
      </c>
      <c r="E847" t="inlineStr">
        <is>
          <t>ÖSTHAMMAR</t>
        </is>
      </c>
      <c r="G847" t="n">
        <v>1.4</v>
      </c>
      <c r="H847" t="n">
        <v>0</v>
      </c>
      <c r="I847" t="n">
        <v>0</v>
      </c>
      <c r="J847" t="n">
        <v>0</v>
      </c>
      <c r="K847" t="n">
        <v>0</v>
      </c>
      <c r="L847" t="n">
        <v>0</v>
      </c>
      <c r="M847" t="n">
        <v>0</v>
      </c>
      <c r="N847" t="n">
        <v>0</v>
      </c>
      <c r="O847" t="n">
        <v>0</v>
      </c>
      <c r="P847" t="n">
        <v>0</v>
      </c>
      <c r="Q847" t="n">
        <v>0</v>
      </c>
      <c r="R847" s="2" t="inlineStr"/>
    </row>
    <row r="848" ht="15" customHeight="1">
      <c r="A848" t="inlineStr">
        <is>
          <t>A 38039-2023</t>
        </is>
      </c>
      <c r="B848" s="1" t="n">
        <v>45160</v>
      </c>
      <c r="C848" s="1" t="n">
        <v>45474</v>
      </c>
      <c r="D848" t="inlineStr">
        <is>
          <t>UPPSALA LÄN</t>
        </is>
      </c>
      <c r="E848" t="inlineStr">
        <is>
          <t>ÖSTHAMMAR</t>
        </is>
      </c>
      <c r="F848" t="inlineStr">
        <is>
          <t>Bergvik skog öst AB</t>
        </is>
      </c>
      <c r="G848" t="n">
        <v>6.2</v>
      </c>
      <c r="H848" t="n">
        <v>0</v>
      </c>
      <c r="I848" t="n">
        <v>0</v>
      </c>
      <c r="J848" t="n">
        <v>0</v>
      </c>
      <c r="K848" t="n">
        <v>0</v>
      </c>
      <c r="L848" t="n">
        <v>0</v>
      </c>
      <c r="M848" t="n">
        <v>0</v>
      </c>
      <c r="N848" t="n">
        <v>0</v>
      </c>
      <c r="O848" t="n">
        <v>0</v>
      </c>
      <c r="P848" t="n">
        <v>0</v>
      </c>
      <c r="Q848" t="n">
        <v>0</v>
      </c>
      <c r="R848" s="2" t="inlineStr"/>
    </row>
    <row r="849" ht="15" customHeight="1">
      <c r="A849" t="inlineStr">
        <is>
          <t>A 38228-2023</t>
        </is>
      </c>
      <c r="B849" s="1" t="n">
        <v>45160</v>
      </c>
      <c r="C849" s="1" t="n">
        <v>45474</v>
      </c>
      <c r="D849" t="inlineStr">
        <is>
          <t>UPPSALA LÄN</t>
        </is>
      </c>
      <c r="E849" t="inlineStr">
        <is>
          <t>ÖSTHAMMAR</t>
        </is>
      </c>
      <c r="G849" t="n">
        <v>19.2</v>
      </c>
      <c r="H849" t="n">
        <v>0</v>
      </c>
      <c r="I849" t="n">
        <v>0</v>
      </c>
      <c r="J849" t="n">
        <v>0</v>
      </c>
      <c r="K849" t="n">
        <v>0</v>
      </c>
      <c r="L849" t="n">
        <v>0</v>
      </c>
      <c r="M849" t="n">
        <v>0</v>
      </c>
      <c r="N849" t="n">
        <v>0</v>
      </c>
      <c r="O849" t="n">
        <v>0</v>
      </c>
      <c r="P849" t="n">
        <v>0</v>
      </c>
      <c r="Q849" t="n">
        <v>0</v>
      </c>
      <c r="R849" s="2" t="inlineStr"/>
    </row>
    <row r="850" ht="15" customHeight="1">
      <c r="A850" t="inlineStr">
        <is>
          <t>A 38127-2023</t>
        </is>
      </c>
      <c r="B850" s="1" t="n">
        <v>45161</v>
      </c>
      <c r="C850" s="1" t="n">
        <v>45474</v>
      </c>
      <c r="D850" t="inlineStr">
        <is>
          <t>UPPSALA LÄN</t>
        </is>
      </c>
      <c r="E850" t="inlineStr">
        <is>
          <t>ÖSTHAMMAR</t>
        </is>
      </c>
      <c r="G850" t="n">
        <v>1.5</v>
      </c>
      <c r="H850" t="n">
        <v>0</v>
      </c>
      <c r="I850" t="n">
        <v>0</v>
      </c>
      <c r="J850" t="n">
        <v>0</v>
      </c>
      <c r="K850" t="n">
        <v>0</v>
      </c>
      <c r="L850" t="n">
        <v>0</v>
      </c>
      <c r="M850" t="n">
        <v>0</v>
      </c>
      <c r="N850" t="n">
        <v>0</v>
      </c>
      <c r="O850" t="n">
        <v>0</v>
      </c>
      <c r="P850" t="n">
        <v>0</v>
      </c>
      <c r="Q850" t="n">
        <v>0</v>
      </c>
      <c r="R850" s="2" t="inlineStr"/>
    </row>
    <row r="851" ht="15" customHeight="1">
      <c r="A851" t="inlineStr">
        <is>
          <t>A 38162-2023</t>
        </is>
      </c>
      <c r="B851" s="1" t="n">
        <v>45161</v>
      </c>
      <c r="C851" s="1" t="n">
        <v>45474</v>
      </c>
      <c r="D851" t="inlineStr">
        <is>
          <t>UPPSALA LÄN</t>
        </is>
      </c>
      <c r="E851" t="inlineStr">
        <is>
          <t>ÖSTHAMMAR</t>
        </is>
      </c>
      <c r="F851" t="inlineStr">
        <is>
          <t>Övriga Aktiebolag</t>
        </is>
      </c>
      <c r="G851" t="n">
        <v>3.5</v>
      </c>
      <c r="H851" t="n">
        <v>0</v>
      </c>
      <c r="I851" t="n">
        <v>0</v>
      </c>
      <c r="J851" t="n">
        <v>0</v>
      </c>
      <c r="K851" t="n">
        <v>0</v>
      </c>
      <c r="L851" t="n">
        <v>0</v>
      </c>
      <c r="M851" t="n">
        <v>0</v>
      </c>
      <c r="N851" t="n">
        <v>0</v>
      </c>
      <c r="O851" t="n">
        <v>0</v>
      </c>
      <c r="P851" t="n">
        <v>0</v>
      </c>
      <c r="Q851" t="n">
        <v>0</v>
      </c>
      <c r="R851" s="2" t="inlineStr"/>
    </row>
    <row r="852" ht="15" customHeight="1">
      <c r="A852" t="inlineStr">
        <is>
          <t>A 38128-2023</t>
        </is>
      </c>
      <c r="B852" s="1" t="n">
        <v>45161</v>
      </c>
      <c r="C852" s="1" t="n">
        <v>45474</v>
      </c>
      <c r="D852" t="inlineStr">
        <is>
          <t>UPPSALA LÄN</t>
        </is>
      </c>
      <c r="E852" t="inlineStr">
        <is>
          <t>ÖSTHAMMAR</t>
        </is>
      </c>
      <c r="F852" t="inlineStr">
        <is>
          <t>Övriga Aktiebolag</t>
        </is>
      </c>
      <c r="G852" t="n">
        <v>5</v>
      </c>
      <c r="H852" t="n">
        <v>0</v>
      </c>
      <c r="I852" t="n">
        <v>0</v>
      </c>
      <c r="J852" t="n">
        <v>0</v>
      </c>
      <c r="K852" t="n">
        <v>0</v>
      </c>
      <c r="L852" t="n">
        <v>0</v>
      </c>
      <c r="M852" t="n">
        <v>0</v>
      </c>
      <c r="N852" t="n">
        <v>0</v>
      </c>
      <c r="O852" t="n">
        <v>0</v>
      </c>
      <c r="P852" t="n">
        <v>0</v>
      </c>
      <c r="Q852" t="n">
        <v>0</v>
      </c>
      <c r="R852" s="2" t="inlineStr"/>
    </row>
    <row r="853" ht="15" customHeight="1">
      <c r="A853" t="inlineStr">
        <is>
          <t>A 38600-2023</t>
        </is>
      </c>
      <c r="B853" s="1" t="n">
        <v>45162</v>
      </c>
      <c r="C853" s="1" t="n">
        <v>45474</v>
      </c>
      <c r="D853" t="inlineStr">
        <is>
          <t>UPPSALA LÄN</t>
        </is>
      </c>
      <c r="E853" t="inlineStr">
        <is>
          <t>ÖSTHAMMAR</t>
        </is>
      </c>
      <c r="F853" t="inlineStr">
        <is>
          <t>Bergvik skog väst AB</t>
        </is>
      </c>
      <c r="G853" t="n">
        <v>0.1</v>
      </c>
      <c r="H853" t="n">
        <v>0</v>
      </c>
      <c r="I853" t="n">
        <v>0</v>
      </c>
      <c r="J853" t="n">
        <v>0</v>
      </c>
      <c r="K853" t="n">
        <v>0</v>
      </c>
      <c r="L853" t="n">
        <v>0</v>
      </c>
      <c r="M853" t="n">
        <v>0</v>
      </c>
      <c r="N853" t="n">
        <v>0</v>
      </c>
      <c r="O853" t="n">
        <v>0</v>
      </c>
      <c r="P853" t="n">
        <v>0</v>
      </c>
      <c r="Q853" t="n">
        <v>0</v>
      </c>
      <c r="R853" s="2" t="inlineStr"/>
    </row>
    <row r="854" ht="15" customHeight="1">
      <c r="A854" t="inlineStr">
        <is>
          <t>A 38610-2023</t>
        </is>
      </c>
      <c r="B854" s="1" t="n">
        <v>45162</v>
      </c>
      <c r="C854" s="1" t="n">
        <v>45474</v>
      </c>
      <c r="D854" t="inlineStr">
        <is>
          <t>UPPSALA LÄN</t>
        </is>
      </c>
      <c r="E854" t="inlineStr">
        <is>
          <t>ÖSTHAMMAR</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38571-2023</t>
        </is>
      </c>
      <c r="B855" s="1" t="n">
        <v>45162</v>
      </c>
      <c r="C855" s="1" t="n">
        <v>45474</v>
      </c>
      <c r="D855" t="inlineStr">
        <is>
          <t>UPPSALA LÄN</t>
        </is>
      </c>
      <c r="E855" t="inlineStr">
        <is>
          <t>ÖSTHAMMAR</t>
        </is>
      </c>
      <c r="F855" t="inlineStr">
        <is>
          <t>Bergvik skog öst AB</t>
        </is>
      </c>
      <c r="G855" t="n">
        <v>1.1</v>
      </c>
      <c r="H855" t="n">
        <v>0</v>
      </c>
      <c r="I855" t="n">
        <v>0</v>
      </c>
      <c r="J855" t="n">
        <v>0</v>
      </c>
      <c r="K855" t="n">
        <v>0</v>
      </c>
      <c r="L855" t="n">
        <v>0</v>
      </c>
      <c r="M855" t="n">
        <v>0</v>
      </c>
      <c r="N855" t="n">
        <v>0</v>
      </c>
      <c r="O855" t="n">
        <v>0</v>
      </c>
      <c r="P855" t="n">
        <v>0</v>
      </c>
      <c r="Q855" t="n">
        <v>0</v>
      </c>
      <c r="R855" s="2" t="inlineStr"/>
    </row>
    <row r="856" ht="15" customHeight="1">
      <c r="A856" t="inlineStr">
        <is>
          <t>A 38711-2023</t>
        </is>
      </c>
      <c r="B856" s="1" t="n">
        <v>45163</v>
      </c>
      <c r="C856" s="1" t="n">
        <v>45474</v>
      </c>
      <c r="D856" t="inlineStr">
        <is>
          <t>UPPSALA LÄN</t>
        </is>
      </c>
      <c r="E856" t="inlineStr">
        <is>
          <t>ÖSTHAMMAR</t>
        </is>
      </c>
      <c r="G856" t="n">
        <v>5.4</v>
      </c>
      <c r="H856" t="n">
        <v>0</v>
      </c>
      <c r="I856" t="n">
        <v>0</v>
      </c>
      <c r="J856" t="n">
        <v>0</v>
      </c>
      <c r="K856" t="n">
        <v>0</v>
      </c>
      <c r="L856" t="n">
        <v>0</v>
      </c>
      <c r="M856" t="n">
        <v>0</v>
      </c>
      <c r="N856" t="n">
        <v>0</v>
      </c>
      <c r="O856" t="n">
        <v>0</v>
      </c>
      <c r="P856" t="n">
        <v>0</v>
      </c>
      <c r="Q856" t="n">
        <v>0</v>
      </c>
      <c r="R856" s="2" t="inlineStr"/>
    </row>
    <row r="857" ht="15" customHeight="1">
      <c r="A857" t="inlineStr">
        <is>
          <t>A 40176-2023</t>
        </is>
      </c>
      <c r="B857" s="1" t="n">
        <v>45169</v>
      </c>
      <c r="C857" s="1" t="n">
        <v>45474</v>
      </c>
      <c r="D857" t="inlineStr">
        <is>
          <t>UPPSALA LÄN</t>
        </is>
      </c>
      <c r="E857" t="inlineStr">
        <is>
          <t>ÖSTHAMMAR</t>
        </is>
      </c>
      <c r="F857" t="inlineStr">
        <is>
          <t>Bergvik skog öst AB</t>
        </is>
      </c>
      <c r="G857" t="n">
        <v>29.9</v>
      </c>
      <c r="H857" t="n">
        <v>0</v>
      </c>
      <c r="I857" t="n">
        <v>0</v>
      </c>
      <c r="J857" t="n">
        <v>0</v>
      </c>
      <c r="K857" t="n">
        <v>0</v>
      </c>
      <c r="L857" t="n">
        <v>0</v>
      </c>
      <c r="M857" t="n">
        <v>0</v>
      </c>
      <c r="N857" t="n">
        <v>0</v>
      </c>
      <c r="O857" t="n">
        <v>0</v>
      </c>
      <c r="P857" t="n">
        <v>0</v>
      </c>
      <c r="Q857" t="n">
        <v>0</v>
      </c>
      <c r="R857" s="2" t="inlineStr"/>
    </row>
    <row r="858" ht="15" customHeight="1">
      <c r="A858" t="inlineStr">
        <is>
          <t>A 40547-2023</t>
        </is>
      </c>
      <c r="B858" s="1" t="n">
        <v>45170</v>
      </c>
      <c r="C858" s="1" t="n">
        <v>45474</v>
      </c>
      <c r="D858" t="inlineStr">
        <is>
          <t>UPPSALA LÄN</t>
        </is>
      </c>
      <c r="E858" t="inlineStr">
        <is>
          <t>ÖSTHAMMAR</t>
        </is>
      </c>
      <c r="G858" t="n">
        <v>2.1</v>
      </c>
      <c r="H858" t="n">
        <v>0</v>
      </c>
      <c r="I858" t="n">
        <v>0</v>
      </c>
      <c r="J858" t="n">
        <v>0</v>
      </c>
      <c r="K858" t="n">
        <v>0</v>
      </c>
      <c r="L858" t="n">
        <v>0</v>
      </c>
      <c r="M858" t="n">
        <v>0</v>
      </c>
      <c r="N858" t="n">
        <v>0</v>
      </c>
      <c r="O858" t="n">
        <v>0</v>
      </c>
      <c r="P858" t="n">
        <v>0</v>
      </c>
      <c r="Q858" t="n">
        <v>0</v>
      </c>
      <c r="R858" s="2" t="inlineStr"/>
    </row>
    <row r="859" ht="15" customHeight="1">
      <c r="A859" t="inlineStr">
        <is>
          <t>A 40837-2023</t>
        </is>
      </c>
      <c r="B859" s="1" t="n">
        <v>45172</v>
      </c>
      <c r="C859" s="1" t="n">
        <v>45474</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40938-2023</t>
        </is>
      </c>
      <c r="B860" s="1" t="n">
        <v>45173</v>
      </c>
      <c r="C860" s="1" t="n">
        <v>45474</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40946-2023</t>
        </is>
      </c>
      <c r="B861" s="1" t="n">
        <v>45173</v>
      </c>
      <c r="C861" s="1" t="n">
        <v>45474</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40952-2023</t>
        </is>
      </c>
      <c r="B862" s="1" t="n">
        <v>45173</v>
      </c>
      <c r="C862" s="1" t="n">
        <v>45474</v>
      </c>
      <c r="D862" t="inlineStr">
        <is>
          <t>UPPSALA LÄN</t>
        </is>
      </c>
      <c r="E862" t="inlineStr">
        <is>
          <t>ÖSTHAMMAR</t>
        </is>
      </c>
      <c r="F862" t="inlineStr">
        <is>
          <t>Bergvik skog öst AB</t>
        </is>
      </c>
      <c r="G862" t="n">
        <v>4.4</v>
      </c>
      <c r="H862" t="n">
        <v>0</v>
      </c>
      <c r="I862" t="n">
        <v>0</v>
      </c>
      <c r="J862" t="n">
        <v>0</v>
      </c>
      <c r="K862" t="n">
        <v>0</v>
      </c>
      <c r="L862" t="n">
        <v>0</v>
      </c>
      <c r="M862" t="n">
        <v>0</v>
      </c>
      <c r="N862" t="n">
        <v>0</v>
      </c>
      <c r="O862" t="n">
        <v>0</v>
      </c>
      <c r="P862" t="n">
        <v>0</v>
      </c>
      <c r="Q862" t="n">
        <v>0</v>
      </c>
      <c r="R862" s="2" t="inlineStr"/>
    </row>
    <row r="863" ht="15" customHeight="1">
      <c r="A863" t="inlineStr">
        <is>
          <t>A 41308-2023</t>
        </is>
      </c>
      <c r="B863" s="1" t="n">
        <v>45174</v>
      </c>
      <c r="C863" s="1" t="n">
        <v>45474</v>
      </c>
      <c r="D863" t="inlineStr">
        <is>
          <t>UPPSALA LÄN</t>
        </is>
      </c>
      <c r="E863" t="inlineStr">
        <is>
          <t>ÖSTHAMMAR</t>
        </is>
      </c>
      <c r="F863" t="inlineStr">
        <is>
          <t>Övriga Aktiebolag</t>
        </is>
      </c>
      <c r="G863" t="n">
        <v>2.8</v>
      </c>
      <c r="H863" t="n">
        <v>0</v>
      </c>
      <c r="I863" t="n">
        <v>0</v>
      </c>
      <c r="J863" t="n">
        <v>0</v>
      </c>
      <c r="K863" t="n">
        <v>0</v>
      </c>
      <c r="L863" t="n">
        <v>0</v>
      </c>
      <c r="M863" t="n">
        <v>0</v>
      </c>
      <c r="N863" t="n">
        <v>0</v>
      </c>
      <c r="O863" t="n">
        <v>0</v>
      </c>
      <c r="P863" t="n">
        <v>0</v>
      </c>
      <c r="Q863" t="n">
        <v>0</v>
      </c>
      <c r="R863" s="2" t="inlineStr"/>
    </row>
    <row r="864" ht="15" customHeight="1">
      <c r="A864" t="inlineStr">
        <is>
          <t>A 41489-2023</t>
        </is>
      </c>
      <c r="B864" s="1" t="n">
        <v>45175</v>
      </c>
      <c r="C864" s="1" t="n">
        <v>45474</v>
      </c>
      <c r="D864" t="inlineStr">
        <is>
          <t>UPPSALA LÄN</t>
        </is>
      </c>
      <c r="E864" t="inlineStr">
        <is>
          <t>ÖSTHAMMAR</t>
        </is>
      </c>
      <c r="F864" t="inlineStr">
        <is>
          <t>Bergvik skog öst AB</t>
        </is>
      </c>
      <c r="G864" t="n">
        <v>4.2</v>
      </c>
      <c r="H864" t="n">
        <v>0</v>
      </c>
      <c r="I864" t="n">
        <v>0</v>
      </c>
      <c r="J864" t="n">
        <v>0</v>
      </c>
      <c r="K864" t="n">
        <v>0</v>
      </c>
      <c r="L864" t="n">
        <v>0</v>
      </c>
      <c r="M864" t="n">
        <v>0</v>
      </c>
      <c r="N864" t="n">
        <v>0</v>
      </c>
      <c r="O864" t="n">
        <v>0</v>
      </c>
      <c r="P864" t="n">
        <v>0</v>
      </c>
      <c r="Q864" t="n">
        <v>0</v>
      </c>
      <c r="R864" s="2" t="inlineStr"/>
    </row>
    <row r="865" ht="15" customHeight="1">
      <c r="A865" t="inlineStr">
        <is>
          <t>A 41821-2023</t>
        </is>
      </c>
      <c r="B865" s="1" t="n">
        <v>45176</v>
      </c>
      <c r="C865" s="1" t="n">
        <v>45474</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41829-2023</t>
        </is>
      </c>
      <c r="B866" s="1" t="n">
        <v>45176</v>
      </c>
      <c r="C866" s="1" t="n">
        <v>45474</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43732-2023</t>
        </is>
      </c>
      <c r="B867" s="1" t="n">
        <v>45187</v>
      </c>
      <c r="C867" s="1" t="n">
        <v>45474</v>
      </c>
      <c r="D867" t="inlineStr">
        <is>
          <t>UPPSALA LÄN</t>
        </is>
      </c>
      <c r="E867" t="inlineStr">
        <is>
          <t>ÖSTHAMMAR</t>
        </is>
      </c>
      <c r="F867" t="inlineStr">
        <is>
          <t>Övriga Aktiebolag</t>
        </is>
      </c>
      <c r="G867" t="n">
        <v>4.1</v>
      </c>
      <c r="H867" t="n">
        <v>0</v>
      </c>
      <c r="I867" t="n">
        <v>0</v>
      </c>
      <c r="J867" t="n">
        <v>0</v>
      </c>
      <c r="K867" t="n">
        <v>0</v>
      </c>
      <c r="L867" t="n">
        <v>0</v>
      </c>
      <c r="M867" t="n">
        <v>0</v>
      </c>
      <c r="N867" t="n">
        <v>0</v>
      </c>
      <c r="O867" t="n">
        <v>0</v>
      </c>
      <c r="P867" t="n">
        <v>0</v>
      </c>
      <c r="Q867" t="n">
        <v>0</v>
      </c>
      <c r="R867" s="2" t="inlineStr"/>
    </row>
    <row r="868" ht="15" customHeight="1">
      <c r="A868" t="inlineStr">
        <is>
          <t>A 43925-2023</t>
        </is>
      </c>
      <c r="B868" s="1" t="n">
        <v>45187</v>
      </c>
      <c r="C868" s="1" t="n">
        <v>45474</v>
      </c>
      <c r="D868" t="inlineStr">
        <is>
          <t>UPPSALA LÄN</t>
        </is>
      </c>
      <c r="E868" t="inlineStr">
        <is>
          <t>ÖSTHAMMAR</t>
        </is>
      </c>
      <c r="F868" t="inlineStr">
        <is>
          <t>Allmännings- och besparingsskogar</t>
        </is>
      </c>
      <c r="G868" t="n">
        <v>20.8</v>
      </c>
      <c r="H868" t="n">
        <v>0</v>
      </c>
      <c r="I868" t="n">
        <v>0</v>
      </c>
      <c r="J868" t="n">
        <v>0</v>
      </c>
      <c r="K868" t="n">
        <v>0</v>
      </c>
      <c r="L868" t="n">
        <v>0</v>
      </c>
      <c r="M868" t="n">
        <v>0</v>
      </c>
      <c r="N868" t="n">
        <v>0</v>
      </c>
      <c r="O868" t="n">
        <v>0</v>
      </c>
      <c r="P868" t="n">
        <v>0</v>
      </c>
      <c r="Q868" t="n">
        <v>0</v>
      </c>
      <c r="R868" s="2" t="inlineStr"/>
    </row>
    <row r="869" ht="15" customHeight="1">
      <c r="A869" t="inlineStr">
        <is>
          <t>A 43915-2023</t>
        </is>
      </c>
      <c r="B869" s="1" t="n">
        <v>45187</v>
      </c>
      <c r="C869" s="1" t="n">
        <v>45474</v>
      </c>
      <c r="D869" t="inlineStr">
        <is>
          <t>UPPSALA LÄN</t>
        </is>
      </c>
      <c r="E869" t="inlineStr">
        <is>
          <t>ÖSTHAMMAR</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43838-2023</t>
        </is>
      </c>
      <c r="B870" s="1" t="n">
        <v>45187</v>
      </c>
      <c r="C870" s="1" t="n">
        <v>45474</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44636-2023</t>
        </is>
      </c>
      <c r="B871" s="1" t="n">
        <v>45189</v>
      </c>
      <c r="C871" s="1" t="n">
        <v>45474</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44614-2023</t>
        </is>
      </c>
      <c r="B872" s="1" t="n">
        <v>45189</v>
      </c>
      <c r="C872" s="1" t="n">
        <v>45474</v>
      </c>
      <c r="D872" t="inlineStr">
        <is>
          <t>UPPSALA LÄN</t>
        </is>
      </c>
      <c r="E872" t="inlineStr">
        <is>
          <t>ÖSTHAMMAR</t>
        </is>
      </c>
      <c r="F872" t="inlineStr">
        <is>
          <t>Övriga Aktiebolag</t>
        </is>
      </c>
      <c r="G872" t="n">
        <v>17.8</v>
      </c>
      <c r="H872" t="n">
        <v>0</v>
      </c>
      <c r="I872" t="n">
        <v>0</v>
      </c>
      <c r="J872" t="n">
        <v>0</v>
      </c>
      <c r="K872" t="n">
        <v>0</v>
      </c>
      <c r="L872" t="n">
        <v>0</v>
      </c>
      <c r="M872" t="n">
        <v>0</v>
      </c>
      <c r="N872" t="n">
        <v>0</v>
      </c>
      <c r="O872" t="n">
        <v>0</v>
      </c>
      <c r="P872" t="n">
        <v>0</v>
      </c>
      <c r="Q872" t="n">
        <v>0</v>
      </c>
      <c r="R872" s="2" t="inlineStr"/>
    </row>
    <row r="873" ht="15" customHeight="1">
      <c r="A873" t="inlineStr">
        <is>
          <t>A 45307-2023</t>
        </is>
      </c>
      <c r="B873" s="1" t="n">
        <v>45191</v>
      </c>
      <c r="C873" s="1" t="n">
        <v>45474</v>
      </c>
      <c r="D873" t="inlineStr">
        <is>
          <t>UPPSALA LÄN</t>
        </is>
      </c>
      <c r="E873" t="inlineStr">
        <is>
          <t>ÖSTHAMMAR</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45550-2023</t>
        </is>
      </c>
      <c r="B874" s="1" t="n">
        <v>45194</v>
      </c>
      <c r="C874" s="1" t="n">
        <v>45474</v>
      </c>
      <c r="D874" t="inlineStr">
        <is>
          <t>UPPSALA LÄN</t>
        </is>
      </c>
      <c r="E874" t="inlineStr">
        <is>
          <t>ÖSTHAMMAR</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45580-2023</t>
        </is>
      </c>
      <c r="B875" s="1" t="n">
        <v>45194</v>
      </c>
      <c r="C875" s="1" t="n">
        <v>45474</v>
      </c>
      <c r="D875" t="inlineStr">
        <is>
          <t>UPPSALA LÄN</t>
        </is>
      </c>
      <c r="E875" t="inlineStr">
        <is>
          <t>ÖSTHAMMAR</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45655-2023</t>
        </is>
      </c>
      <c r="B876" s="1" t="n">
        <v>45194</v>
      </c>
      <c r="C876" s="1" t="n">
        <v>45474</v>
      </c>
      <c r="D876" t="inlineStr">
        <is>
          <t>UPPSALA LÄN</t>
        </is>
      </c>
      <c r="E876" t="inlineStr">
        <is>
          <t>ÖSTHAMMAR</t>
        </is>
      </c>
      <c r="F876" t="inlineStr">
        <is>
          <t>Bergvik skog öst AB</t>
        </is>
      </c>
      <c r="G876" t="n">
        <v>6.4</v>
      </c>
      <c r="H876" t="n">
        <v>0</v>
      </c>
      <c r="I876" t="n">
        <v>0</v>
      </c>
      <c r="J876" t="n">
        <v>0</v>
      </c>
      <c r="K876" t="n">
        <v>0</v>
      </c>
      <c r="L876" t="n">
        <v>0</v>
      </c>
      <c r="M876" t="n">
        <v>0</v>
      </c>
      <c r="N876" t="n">
        <v>0</v>
      </c>
      <c r="O876" t="n">
        <v>0</v>
      </c>
      <c r="P876" t="n">
        <v>0</v>
      </c>
      <c r="Q876" t="n">
        <v>0</v>
      </c>
      <c r="R876" s="2" t="inlineStr"/>
    </row>
    <row r="877" ht="15" customHeight="1">
      <c r="A877" t="inlineStr">
        <is>
          <t>A 45561-2023</t>
        </is>
      </c>
      <c r="B877" s="1" t="n">
        <v>45194</v>
      </c>
      <c r="C877" s="1" t="n">
        <v>45474</v>
      </c>
      <c r="D877" t="inlineStr">
        <is>
          <t>UPPSALA LÄN</t>
        </is>
      </c>
      <c r="E877" t="inlineStr">
        <is>
          <t>ÖSTHAMMAR</t>
        </is>
      </c>
      <c r="F877" t="inlineStr">
        <is>
          <t>Bergvik skog öst AB</t>
        </is>
      </c>
      <c r="G877" t="n">
        <v>0.7</v>
      </c>
      <c r="H877" t="n">
        <v>0</v>
      </c>
      <c r="I877" t="n">
        <v>0</v>
      </c>
      <c r="J877" t="n">
        <v>0</v>
      </c>
      <c r="K877" t="n">
        <v>0</v>
      </c>
      <c r="L877" t="n">
        <v>0</v>
      </c>
      <c r="M877" t="n">
        <v>0</v>
      </c>
      <c r="N877" t="n">
        <v>0</v>
      </c>
      <c r="O877" t="n">
        <v>0</v>
      </c>
      <c r="P877" t="n">
        <v>0</v>
      </c>
      <c r="Q877" t="n">
        <v>0</v>
      </c>
      <c r="R877" s="2" t="inlineStr"/>
    </row>
    <row r="878" ht="15" customHeight="1">
      <c r="A878" t="inlineStr">
        <is>
          <t>A 45618-2023</t>
        </is>
      </c>
      <c r="B878" s="1" t="n">
        <v>45194</v>
      </c>
      <c r="C878" s="1" t="n">
        <v>45474</v>
      </c>
      <c r="D878" t="inlineStr">
        <is>
          <t>UPPSALA LÄN</t>
        </is>
      </c>
      <c r="E878" t="inlineStr">
        <is>
          <t>ÖSTHAMMAR</t>
        </is>
      </c>
      <c r="F878" t="inlineStr">
        <is>
          <t>Bergvik skog öst AB</t>
        </is>
      </c>
      <c r="G878" t="n">
        <v>1.8</v>
      </c>
      <c r="H878" t="n">
        <v>0</v>
      </c>
      <c r="I878" t="n">
        <v>0</v>
      </c>
      <c r="J878" t="n">
        <v>0</v>
      </c>
      <c r="K878" t="n">
        <v>0</v>
      </c>
      <c r="L878" t="n">
        <v>0</v>
      </c>
      <c r="M878" t="n">
        <v>0</v>
      </c>
      <c r="N878" t="n">
        <v>0</v>
      </c>
      <c r="O878" t="n">
        <v>0</v>
      </c>
      <c r="P878" t="n">
        <v>0</v>
      </c>
      <c r="Q878" t="n">
        <v>0</v>
      </c>
      <c r="R878" s="2" t="inlineStr"/>
    </row>
    <row r="879" ht="15" customHeight="1">
      <c r="A879" t="inlineStr">
        <is>
          <t>A 45635-2023</t>
        </is>
      </c>
      <c r="B879" s="1" t="n">
        <v>45194</v>
      </c>
      <c r="C879" s="1" t="n">
        <v>45474</v>
      </c>
      <c r="D879" t="inlineStr">
        <is>
          <t>UPPSALA LÄN</t>
        </is>
      </c>
      <c r="E879" t="inlineStr">
        <is>
          <t>ÖSTHAMMAR</t>
        </is>
      </c>
      <c r="F879" t="inlineStr">
        <is>
          <t>Bergvik skog öst AB</t>
        </is>
      </c>
      <c r="G879" t="n">
        <v>2.3</v>
      </c>
      <c r="H879" t="n">
        <v>0</v>
      </c>
      <c r="I879" t="n">
        <v>0</v>
      </c>
      <c r="J879" t="n">
        <v>0</v>
      </c>
      <c r="K879" t="n">
        <v>0</v>
      </c>
      <c r="L879" t="n">
        <v>0</v>
      </c>
      <c r="M879" t="n">
        <v>0</v>
      </c>
      <c r="N879" t="n">
        <v>0</v>
      </c>
      <c r="O879" t="n">
        <v>0</v>
      </c>
      <c r="P879" t="n">
        <v>0</v>
      </c>
      <c r="Q879" t="n">
        <v>0</v>
      </c>
      <c r="R879" s="2" t="inlineStr"/>
    </row>
    <row r="880" ht="15" customHeight="1">
      <c r="A880" t="inlineStr">
        <is>
          <t>A 45646-2023</t>
        </is>
      </c>
      <c r="B880" s="1" t="n">
        <v>45194</v>
      </c>
      <c r="C880" s="1" t="n">
        <v>45474</v>
      </c>
      <c r="D880" t="inlineStr">
        <is>
          <t>UPPSALA LÄN</t>
        </is>
      </c>
      <c r="E880" t="inlineStr">
        <is>
          <t>ÖSTHAMMAR</t>
        </is>
      </c>
      <c r="F880" t="inlineStr">
        <is>
          <t>Bergvik skog öst AB</t>
        </is>
      </c>
      <c r="G880" t="n">
        <v>3.5</v>
      </c>
      <c r="H880" t="n">
        <v>0</v>
      </c>
      <c r="I880" t="n">
        <v>0</v>
      </c>
      <c r="J880" t="n">
        <v>0</v>
      </c>
      <c r="K880" t="n">
        <v>0</v>
      </c>
      <c r="L880" t="n">
        <v>0</v>
      </c>
      <c r="M880" t="n">
        <v>0</v>
      </c>
      <c r="N880" t="n">
        <v>0</v>
      </c>
      <c r="O880" t="n">
        <v>0</v>
      </c>
      <c r="P880" t="n">
        <v>0</v>
      </c>
      <c r="Q880" t="n">
        <v>0</v>
      </c>
      <c r="R880" s="2" t="inlineStr"/>
    </row>
    <row r="881" ht="15" customHeight="1">
      <c r="A881" t="inlineStr">
        <is>
          <t>A 46485-2023</t>
        </is>
      </c>
      <c r="B881" s="1" t="n">
        <v>45194</v>
      </c>
      <c r="C881" s="1" t="n">
        <v>45474</v>
      </c>
      <c r="D881" t="inlineStr">
        <is>
          <t>UPPSALA LÄN</t>
        </is>
      </c>
      <c r="E881" t="inlineStr">
        <is>
          <t>ÖSTHAMMAR</t>
        </is>
      </c>
      <c r="G881" t="n">
        <v>1</v>
      </c>
      <c r="H881" t="n">
        <v>0</v>
      </c>
      <c r="I881" t="n">
        <v>0</v>
      </c>
      <c r="J881" t="n">
        <v>0</v>
      </c>
      <c r="K881" t="n">
        <v>0</v>
      </c>
      <c r="L881" t="n">
        <v>0</v>
      </c>
      <c r="M881" t="n">
        <v>0</v>
      </c>
      <c r="N881" t="n">
        <v>0</v>
      </c>
      <c r="O881" t="n">
        <v>0</v>
      </c>
      <c r="P881" t="n">
        <v>0</v>
      </c>
      <c r="Q881" t="n">
        <v>0</v>
      </c>
      <c r="R881" s="2" t="inlineStr"/>
    </row>
    <row r="882" ht="15" customHeight="1">
      <c r="A882" t="inlineStr">
        <is>
          <t>A 45795-2023</t>
        </is>
      </c>
      <c r="B882" s="1" t="n">
        <v>45195</v>
      </c>
      <c r="C882" s="1" t="n">
        <v>45474</v>
      </c>
      <c r="D882" t="inlineStr">
        <is>
          <t>UPPSALA LÄN</t>
        </is>
      </c>
      <c r="E882" t="inlineStr">
        <is>
          <t>ÖSTHAMMAR</t>
        </is>
      </c>
      <c r="G882" t="n">
        <v>4</v>
      </c>
      <c r="H882" t="n">
        <v>0</v>
      </c>
      <c r="I882" t="n">
        <v>0</v>
      </c>
      <c r="J882" t="n">
        <v>0</v>
      </c>
      <c r="K882" t="n">
        <v>0</v>
      </c>
      <c r="L882" t="n">
        <v>0</v>
      </c>
      <c r="M882" t="n">
        <v>0</v>
      </c>
      <c r="N882" t="n">
        <v>0</v>
      </c>
      <c r="O882" t="n">
        <v>0</v>
      </c>
      <c r="P882" t="n">
        <v>0</v>
      </c>
      <c r="Q882" t="n">
        <v>0</v>
      </c>
      <c r="R882" s="2" t="inlineStr"/>
    </row>
    <row r="883" ht="15" customHeight="1">
      <c r="A883" t="inlineStr">
        <is>
          <t>A 46005-2023</t>
        </is>
      </c>
      <c r="B883" s="1" t="n">
        <v>45196</v>
      </c>
      <c r="C883" s="1" t="n">
        <v>45474</v>
      </c>
      <c r="D883" t="inlineStr">
        <is>
          <t>UPPSALA LÄN</t>
        </is>
      </c>
      <c r="E883" t="inlineStr">
        <is>
          <t>ÖSTHAMMAR</t>
        </is>
      </c>
      <c r="G883" t="n">
        <v>1.7</v>
      </c>
      <c r="H883" t="n">
        <v>0</v>
      </c>
      <c r="I883" t="n">
        <v>0</v>
      </c>
      <c r="J883" t="n">
        <v>0</v>
      </c>
      <c r="K883" t="n">
        <v>0</v>
      </c>
      <c r="L883" t="n">
        <v>0</v>
      </c>
      <c r="M883" t="n">
        <v>0</v>
      </c>
      <c r="N883" t="n">
        <v>0</v>
      </c>
      <c r="O883" t="n">
        <v>0</v>
      </c>
      <c r="P883" t="n">
        <v>0</v>
      </c>
      <c r="Q883" t="n">
        <v>0</v>
      </c>
      <c r="R883" s="2" t="inlineStr"/>
    </row>
    <row r="884" ht="15" customHeight="1">
      <c r="A884" t="inlineStr">
        <is>
          <t>A 46157-2023</t>
        </is>
      </c>
      <c r="B884" s="1" t="n">
        <v>45196</v>
      </c>
      <c r="C884" s="1" t="n">
        <v>45474</v>
      </c>
      <c r="D884" t="inlineStr">
        <is>
          <t>UPPSALA LÄN</t>
        </is>
      </c>
      <c r="E884" t="inlineStr">
        <is>
          <t>ÖSTHAMMAR</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46399-2023</t>
        </is>
      </c>
      <c r="B885" s="1" t="n">
        <v>45197</v>
      </c>
      <c r="C885" s="1" t="n">
        <v>45474</v>
      </c>
      <c r="D885" t="inlineStr">
        <is>
          <t>UPPSALA LÄN</t>
        </is>
      </c>
      <c r="E885" t="inlineStr">
        <is>
          <t>ÖSTHAMMAR</t>
        </is>
      </c>
      <c r="G885" t="n">
        <v>5.8</v>
      </c>
      <c r="H885" t="n">
        <v>0</v>
      </c>
      <c r="I885" t="n">
        <v>0</v>
      </c>
      <c r="J885" t="n">
        <v>0</v>
      </c>
      <c r="K885" t="n">
        <v>0</v>
      </c>
      <c r="L885" t="n">
        <v>0</v>
      </c>
      <c r="M885" t="n">
        <v>0</v>
      </c>
      <c r="N885" t="n">
        <v>0</v>
      </c>
      <c r="O885" t="n">
        <v>0</v>
      </c>
      <c r="P885" t="n">
        <v>0</v>
      </c>
      <c r="Q885" t="n">
        <v>0</v>
      </c>
      <c r="R885" s="2" t="inlineStr"/>
    </row>
    <row r="886" ht="15" customHeight="1">
      <c r="A886" t="inlineStr">
        <is>
          <t>A 46785-2023</t>
        </is>
      </c>
      <c r="B886" s="1" t="n">
        <v>45198</v>
      </c>
      <c r="C886" s="1" t="n">
        <v>45474</v>
      </c>
      <c r="D886" t="inlineStr">
        <is>
          <t>UPPSALA LÄN</t>
        </is>
      </c>
      <c r="E886" t="inlineStr">
        <is>
          <t>ÖSTHAMMAR</t>
        </is>
      </c>
      <c r="G886" t="n">
        <v>1.6</v>
      </c>
      <c r="H886" t="n">
        <v>0</v>
      </c>
      <c r="I886" t="n">
        <v>0</v>
      </c>
      <c r="J886" t="n">
        <v>0</v>
      </c>
      <c r="K886" t="n">
        <v>0</v>
      </c>
      <c r="L886" t="n">
        <v>0</v>
      </c>
      <c r="M886" t="n">
        <v>0</v>
      </c>
      <c r="N886" t="n">
        <v>0</v>
      </c>
      <c r="O886" t="n">
        <v>0</v>
      </c>
      <c r="P886" t="n">
        <v>0</v>
      </c>
      <c r="Q886" t="n">
        <v>0</v>
      </c>
      <c r="R886" s="2" t="inlineStr"/>
    </row>
    <row r="887" ht="15" customHeight="1">
      <c r="A887" t="inlineStr">
        <is>
          <t>A 47114-2023</t>
        </is>
      </c>
      <c r="B887" s="1" t="n">
        <v>45201</v>
      </c>
      <c r="C887" s="1" t="n">
        <v>45474</v>
      </c>
      <c r="D887" t="inlineStr">
        <is>
          <t>UPPSALA LÄN</t>
        </is>
      </c>
      <c r="E887" t="inlineStr">
        <is>
          <t>ÖSTHAMMAR</t>
        </is>
      </c>
      <c r="F887" t="inlineStr">
        <is>
          <t>Bergvik skog öst AB</t>
        </is>
      </c>
      <c r="G887" t="n">
        <v>7</v>
      </c>
      <c r="H887" t="n">
        <v>0</v>
      </c>
      <c r="I887" t="n">
        <v>0</v>
      </c>
      <c r="J887" t="n">
        <v>0</v>
      </c>
      <c r="K887" t="n">
        <v>0</v>
      </c>
      <c r="L887" t="n">
        <v>0</v>
      </c>
      <c r="M887" t="n">
        <v>0</v>
      </c>
      <c r="N887" t="n">
        <v>0</v>
      </c>
      <c r="O887" t="n">
        <v>0</v>
      </c>
      <c r="P887" t="n">
        <v>0</v>
      </c>
      <c r="Q887" t="n">
        <v>0</v>
      </c>
      <c r="R887" s="2" t="inlineStr"/>
    </row>
    <row r="888" ht="15" customHeight="1">
      <c r="A888" t="inlineStr">
        <is>
          <t>A 48515-2023</t>
        </is>
      </c>
      <c r="B888" s="1" t="n">
        <v>45201</v>
      </c>
      <c r="C888" s="1" t="n">
        <v>45474</v>
      </c>
      <c r="D888" t="inlineStr">
        <is>
          <t>UPPSALA LÄN</t>
        </is>
      </c>
      <c r="E888" t="inlineStr">
        <is>
          <t>ÖSTHAMMAR</t>
        </is>
      </c>
      <c r="G888" t="n">
        <v>3.7</v>
      </c>
      <c r="H888" t="n">
        <v>0</v>
      </c>
      <c r="I888" t="n">
        <v>0</v>
      </c>
      <c r="J888" t="n">
        <v>0</v>
      </c>
      <c r="K888" t="n">
        <v>0</v>
      </c>
      <c r="L888" t="n">
        <v>0</v>
      </c>
      <c r="M888" t="n">
        <v>0</v>
      </c>
      <c r="N888" t="n">
        <v>0</v>
      </c>
      <c r="O888" t="n">
        <v>0</v>
      </c>
      <c r="P888" t="n">
        <v>0</v>
      </c>
      <c r="Q888" t="n">
        <v>0</v>
      </c>
      <c r="R888" s="2" t="inlineStr"/>
    </row>
    <row r="889" ht="15" customHeight="1">
      <c r="A889" t="inlineStr">
        <is>
          <t>A 47390-2023</t>
        </is>
      </c>
      <c r="B889" s="1" t="n">
        <v>45202</v>
      </c>
      <c r="C889" s="1" t="n">
        <v>45474</v>
      </c>
      <c r="D889" t="inlineStr">
        <is>
          <t>UPPSALA LÄN</t>
        </is>
      </c>
      <c r="E889" t="inlineStr">
        <is>
          <t>ÖSTHAMMAR</t>
        </is>
      </c>
      <c r="G889" t="n">
        <v>3.7</v>
      </c>
      <c r="H889" t="n">
        <v>0</v>
      </c>
      <c r="I889" t="n">
        <v>0</v>
      </c>
      <c r="J889" t="n">
        <v>0</v>
      </c>
      <c r="K889" t="n">
        <v>0</v>
      </c>
      <c r="L889" t="n">
        <v>0</v>
      </c>
      <c r="M889" t="n">
        <v>0</v>
      </c>
      <c r="N889" t="n">
        <v>0</v>
      </c>
      <c r="O889" t="n">
        <v>0</v>
      </c>
      <c r="P889" t="n">
        <v>0</v>
      </c>
      <c r="Q889" t="n">
        <v>0</v>
      </c>
      <c r="R889" s="2" t="inlineStr"/>
    </row>
    <row r="890" ht="15" customHeight="1">
      <c r="A890" t="inlineStr">
        <is>
          <t>A 47374-2023</t>
        </is>
      </c>
      <c r="B890" s="1" t="n">
        <v>45202</v>
      </c>
      <c r="C890" s="1" t="n">
        <v>45474</v>
      </c>
      <c r="D890" t="inlineStr">
        <is>
          <t>UPPSALA LÄN</t>
        </is>
      </c>
      <c r="E890" t="inlineStr">
        <is>
          <t>ÖSTHAMMAR</t>
        </is>
      </c>
      <c r="F890" t="inlineStr">
        <is>
          <t>Bergvik skog öst AB</t>
        </is>
      </c>
      <c r="G890" t="n">
        <v>2</v>
      </c>
      <c r="H890" t="n">
        <v>0</v>
      </c>
      <c r="I890" t="n">
        <v>0</v>
      </c>
      <c r="J890" t="n">
        <v>0</v>
      </c>
      <c r="K890" t="n">
        <v>0</v>
      </c>
      <c r="L890" t="n">
        <v>0</v>
      </c>
      <c r="M890" t="n">
        <v>0</v>
      </c>
      <c r="N890" t="n">
        <v>0</v>
      </c>
      <c r="O890" t="n">
        <v>0</v>
      </c>
      <c r="P890" t="n">
        <v>0</v>
      </c>
      <c r="Q890" t="n">
        <v>0</v>
      </c>
      <c r="R890" s="2" t="inlineStr"/>
    </row>
    <row r="891" ht="15" customHeight="1">
      <c r="A891" t="inlineStr">
        <is>
          <t>A 47341-2023</t>
        </is>
      </c>
      <c r="B891" s="1" t="n">
        <v>45202</v>
      </c>
      <c r="C891" s="1" t="n">
        <v>45474</v>
      </c>
      <c r="D891" t="inlineStr">
        <is>
          <t>UPPSALA LÄN</t>
        </is>
      </c>
      <c r="E891" t="inlineStr">
        <is>
          <t>ÖSTHAMMAR</t>
        </is>
      </c>
      <c r="G891" t="n">
        <v>4.9</v>
      </c>
      <c r="H891" t="n">
        <v>0</v>
      </c>
      <c r="I891" t="n">
        <v>0</v>
      </c>
      <c r="J891" t="n">
        <v>0</v>
      </c>
      <c r="K891" t="n">
        <v>0</v>
      </c>
      <c r="L891" t="n">
        <v>0</v>
      </c>
      <c r="M891" t="n">
        <v>0</v>
      </c>
      <c r="N891" t="n">
        <v>0</v>
      </c>
      <c r="O891" t="n">
        <v>0</v>
      </c>
      <c r="P891" t="n">
        <v>0</v>
      </c>
      <c r="Q891" t="n">
        <v>0</v>
      </c>
      <c r="R891" s="2" t="inlineStr"/>
    </row>
    <row r="892" ht="15" customHeight="1">
      <c r="A892" t="inlineStr">
        <is>
          <t>A 47522-2023</t>
        </is>
      </c>
      <c r="B892" s="1" t="n">
        <v>45203</v>
      </c>
      <c r="C892" s="1" t="n">
        <v>45474</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48032-2023</t>
        </is>
      </c>
      <c r="B893" s="1" t="n">
        <v>45204</v>
      </c>
      <c r="C893" s="1" t="n">
        <v>45474</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48171-2023</t>
        </is>
      </c>
      <c r="B894" s="1" t="n">
        <v>45205</v>
      </c>
      <c r="C894" s="1" t="n">
        <v>45474</v>
      </c>
      <c r="D894" t="inlineStr">
        <is>
          <t>UPPSALA LÄN</t>
        </is>
      </c>
      <c r="E894" t="inlineStr">
        <is>
          <t>ÖSTHAMMAR</t>
        </is>
      </c>
      <c r="F894" t="inlineStr">
        <is>
          <t>Bergvik skog öst AB</t>
        </is>
      </c>
      <c r="G894" t="n">
        <v>5.3</v>
      </c>
      <c r="H894" t="n">
        <v>0</v>
      </c>
      <c r="I894" t="n">
        <v>0</v>
      </c>
      <c r="J894" t="n">
        <v>0</v>
      </c>
      <c r="K894" t="n">
        <v>0</v>
      </c>
      <c r="L894" t="n">
        <v>0</v>
      </c>
      <c r="M894" t="n">
        <v>0</v>
      </c>
      <c r="N894" t="n">
        <v>0</v>
      </c>
      <c r="O894" t="n">
        <v>0</v>
      </c>
      <c r="P894" t="n">
        <v>0</v>
      </c>
      <c r="Q894" t="n">
        <v>0</v>
      </c>
      <c r="R894" s="2" t="inlineStr"/>
    </row>
    <row r="895" ht="15" customHeight="1">
      <c r="A895" t="inlineStr">
        <is>
          <t>A 48719-2023</t>
        </is>
      </c>
      <c r="B895" s="1" t="n">
        <v>45208</v>
      </c>
      <c r="C895" s="1" t="n">
        <v>45474</v>
      </c>
      <c r="D895" t="inlineStr">
        <is>
          <t>UPPSALA LÄN</t>
        </is>
      </c>
      <c r="E895" t="inlineStr">
        <is>
          <t>ÖSTHAMMAR</t>
        </is>
      </c>
      <c r="G895" t="n">
        <v>0.6</v>
      </c>
      <c r="H895" t="n">
        <v>0</v>
      </c>
      <c r="I895" t="n">
        <v>0</v>
      </c>
      <c r="J895" t="n">
        <v>0</v>
      </c>
      <c r="K895" t="n">
        <v>0</v>
      </c>
      <c r="L895" t="n">
        <v>0</v>
      </c>
      <c r="M895" t="n">
        <v>0</v>
      </c>
      <c r="N895" t="n">
        <v>0</v>
      </c>
      <c r="O895" t="n">
        <v>0</v>
      </c>
      <c r="P895" t="n">
        <v>0</v>
      </c>
      <c r="Q895" t="n">
        <v>0</v>
      </c>
      <c r="R895" s="2" t="inlineStr"/>
    </row>
    <row r="896" ht="15" customHeight="1">
      <c r="A896" t="inlineStr">
        <is>
          <t>A 48989-2023</t>
        </is>
      </c>
      <c r="B896" s="1" t="n">
        <v>45209</v>
      </c>
      <c r="C896" s="1" t="n">
        <v>45474</v>
      </c>
      <c r="D896" t="inlineStr">
        <is>
          <t>UPPSALA LÄN</t>
        </is>
      </c>
      <c r="E896" t="inlineStr">
        <is>
          <t>ÖSTHAMMAR</t>
        </is>
      </c>
      <c r="F896" t="inlineStr">
        <is>
          <t>Övriga Aktiebolag</t>
        </is>
      </c>
      <c r="G896" t="n">
        <v>3.2</v>
      </c>
      <c r="H896" t="n">
        <v>0</v>
      </c>
      <c r="I896" t="n">
        <v>0</v>
      </c>
      <c r="J896" t="n">
        <v>0</v>
      </c>
      <c r="K896" t="n">
        <v>0</v>
      </c>
      <c r="L896" t="n">
        <v>0</v>
      </c>
      <c r="M896" t="n">
        <v>0</v>
      </c>
      <c r="N896" t="n">
        <v>0</v>
      </c>
      <c r="O896" t="n">
        <v>0</v>
      </c>
      <c r="P896" t="n">
        <v>0</v>
      </c>
      <c r="Q896" t="n">
        <v>0</v>
      </c>
      <c r="R896" s="2" t="inlineStr"/>
    </row>
    <row r="897" ht="15" customHeight="1">
      <c r="A897" t="inlineStr">
        <is>
          <t>A 49248-2023</t>
        </is>
      </c>
      <c r="B897" s="1" t="n">
        <v>45210</v>
      </c>
      <c r="C897" s="1" t="n">
        <v>45474</v>
      </c>
      <c r="D897" t="inlineStr">
        <is>
          <t>UPPSALA LÄN</t>
        </is>
      </c>
      <c r="E897" t="inlineStr">
        <is>
          <t>ÖSTHAMMAR</t>
        </is>
      </c>
      <c r="G897" t="n">
        <v>2.5</v>
      </c>
      <c r="H897" t="n">
        <v>0</v>
      </c>
      <c r="I897" t="n">
        <v>0</v>
      </c>
      <c r="J897" t="n">
        <v>0</v>
      </c>
      <c r="K897" t="n">
        <v>0</v>
      </c>
      <c r="L897" t="n">
        <v>0</v>
      </c>
      <c r="M897" t="n">
        <v>0</v>
      </c>
      <c r="N897" t="n">
        <v>0</v>
      </c>
      <c r="O897" t="n">
        <v>0</v>
      </c>
      <c r="P897" t="n">
        <v>0</v>
      </c>
      <c r="Q897" t="n">
        <v>0</v>
      </c>
      <c r="R897" s="2" t="inlineStr"/>
    </row>
    <row r="898" ht="15" customHeight="1">
      <c r="A898" t="inlineStr">
        <is>
          <t>A 49066-2023</t>
        </is>
      </c>
      <c r="B898" s="1" t="n">
        <v>45210</v>
      </c>
      <c r="C898" s="1" t="n">
        <v>45474</v>
      </c>
      <c r="D898" t="inlineStr">
        <is>
          <t>UPPSALA LÄN</t>
        </is>
      </c>
      <c r="E898" t="inlineStr">
        <is>
          <t>ÖSTHAMMAR</t>
        </is>
      </c>
      <c r="F898" t="inlineStr">
        <is>
          <t>Bergvik skog öst AB</t>
        </is>
      </c>
      <c r="G898" t="n">
        <v>13.1</v>
      </c>
      <c r="H898" t="n">
        <v>0</v>
      </c>
      <c r="I898" t="n">
        <v>0</v>
      </c>
      <c r="J898" t="n">
        <v>0</v>
      </c>
      <c r="K898" t="n">
        <v>0</v>
      </c>
      <c r="L898" t="n">
        <v>0</v>
      </c>
      <c r="M898" t="n">
        <v>0</v>
      </c>
      <c r="N898" t="n">
        <v>0</v>
      </c>
      <c r="O898" t="n">
        <v>0</v>
      </c>
      <c r="P898" t="n">
        <v>0</v>
      </c>
      <c r="Q898" t="n">
        <v>0</v>
      </c>
      <c r="R898" s="2" t="inlineStr"/>
    </row>
    <row r="899" ht="15" customHeight="1">
      <c r="A899" t="inlineStr">
        <is>
          <t>A 49172-2023</t>
        </is>
      </c>
      <c r="B899" s="1" t="n">
        <v>45210</v>
      </c>
      <c r="C899" s="1" t="n">
        <v>45474</v>
      </c>
      <c r="D899" t="inlineStr">
        <is>
          <t>UPPSALA LÄN</t>
        </is>
      </c>
      <c r="E899" t="inlineStr">
        <is>
          <t>ÖSTHAMMAR</t>
        </is>
      </c>
      <c r="F899" t="inlineStr">
        <is>
          <t>Övriga Aktiebolag</t>
        </is>
      </c>
      <c r="G899" t="n">
        <v>13.1</v>
      </c>
      <c r="H899" t="n">
        <v>0</v>
      </c>
      <c r="I899" t="n">
        <v>0</v>
      </c>
      <c r="J899" t="n">
        <v>0</v>
      </c>
      <c r="K899" t="n">
        <v>0</v>
      </c>
      <c r="L899" t="n">
        <v>0</v>
      </c>
      <c r="M899" t="n">
        <v>0</v>
      </c>
      <c r="N899" t="n">
        <v>0</v>
      </c>
      <c r="O899" t="n">
        <v>0</v>
      </c>
      <c r="P899" t="n">
        <v>0</v>
      </c>
      <c r="Q899" t="n">
        <v>0</v>
      </c>
      <c r="R899" s="2" t="inlineStr"/>
    </row>
    <row r="900" ht="15" customHeight="1">
      <c r="A900" t="inlineStr">
        <is>
          <t>A 49266-2023</t>
        </is>
      </c>
      <c r="B900" s="1" t="n">
        <v>45210</v>
      </c>
      <c r="C900" s="1" t="n">
        <v>45474</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49829-2023</t>
        </is>
      </c>
      <c r="B901" s="1" t="n">
        <v>45212</v>
      </c>
      <c r="C901" s="1" t="n">
        <v>45474</v>
      </c>
      <c r="D901" t="inlineStr">
        <is>
          <t>UPPSALA LÄN</t>
        </is>
      </c>
      <c r="E901" t="inlineStr">
        <is>
          <t>ÖSTHAMMAR</t>
        </is>
      </c>
      <c r="F901" t="inlineStr">
        <is>
          <t>Bergvik skog öst AB</t>
        </is>
      </c>
      <c r="G901" t="n">
        <v>13.8</v>
      </c>
      <c r="H901" t="n">
        <v>0</v>
      </c>
      <c r="I901" t="n">
        <v>0</v>
      </c>
      <c r="J901" t="n">
        <v>0</v>
      </c>
      <c r="K901" t="n">
        <v>0</v>
      </c>
      <c r="L901" t="n">
        <v>0</v>
      </c>
      <c r="M901" t="n">
        <v>0</v>
      </c>
      <c r="N901" t="n">
        <v>0</v>
      </c>
      <c r="O901" t="n">
        <v>0</v>
      </c>
      <c r="P901" t="n">
        <v>0</v>
      </c>
      <c r="Q901" t="n">
        <v>0</v>
      </c>
      <c r="R901" s="2" t="inlineStr"/>
    </row>
    <row r="902" ht="15" customHeight="1">
      <c r="A902" t="inlineStr">
        <is>
          <t>A 49833-2023</t>
        </is>
      </c>
      <c r="B902" s="1" t="n">
        <v>45212</v>
      </c>
      <c r="C902" s="1" t="n">
        <v>45474</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49831-2023</t>
        </is>
      </c>
      <c r="B903" s="1" t="n">
        <v>45212</v>
      </c>
      <c r="C903" s="1" t="n">
        <v>45474</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49897-2023</t>
        </is>
      </c>
      <c r="B904" s="1" t="n">
        <v>45213</v>
      </c>
      <c r="C904" s="1" t="n">
        <v>45474</v>
      </c>
      <c r="D904" t="inlineStr">
        <is>
          <t>UPPSALA LÄN</t>
        </is>
      </c>
      <c r="E904" t="inlineStr">
        <is>
          <t>ÖSTHAMMAR</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49899-2023</t>
        </is>
      </c>
      <c r="B905" s="1" t="n">
        <v>45213</v>
      </c>
      <c r="C905" s="1" t="n">
        <v>45474</v>
      </c>
      <c r="D905" t="inlineStr">
        <is>
          <t>UPPSALA LÄN</t>
        </is>
      </c>
      <c r="E905" t="inlineStr">
        <is>
          <t>ÖSTHAMMAR</t>
        </is>
      </c>
      <c r="G905" t="n">
        <v>6.2</v>
      </c>
      <c r="H905" t="n">
        <v>0</v>
      </c>
      <c r="I905" t="n">
        <v>0</v>
      </c>
      <c r="J905" t="n">
        <v>0</v>
      </c>
      <c r="K905" t="n">
        <v>0</v>
      </c>
      <c r="L905" t="n">
        <v>0</v>
      </c>
      <c r="M905" t="n">
        <v>0</v>
      </c>
      <c r="N905" t="n">
        <v>0</v>
      </c>
      <c r="O905" t="n">
        <v>0</v>
      </c>
      <c r="P905" t="n">
        <v>0</v>
      </c>
      <c r="Q905" t="n">
        <v>0</v>
      </c>
      <c r="R905" s="2" t="inlineStr"/>
    </row>
    <row r="906" ht="15" customHeight="1">
      <c r="A906" t="inlineStr">
        <is>
          <t>A 49892-2023</t>
        </is>
      </c>
      <c r="B906" s="1" t="n">
        <v>45213</v>
      </c>
      <c r="C906" s="1" t="n">
        <v>45474</v>
      </c>
      <c r="D906" t="inlineStr">
        <is>
          <t>UPPSALA LÄN</t>
        </is>
      </c>
      <c r="E906" t="inlineStr">
        <is>
          <t>ÖSTHAMMAR</t>
        </is>
      </c>
      <c r="F906" t="inlineStr">
        <is>
          <t>Bergvik skog öst AB</t>
        </is>
      </c>
      <c r="G906" t="n">
        <v>3.8</v>
      </c>
      <c r="H906" t="n">
        <v>0</v>
      </c>
      <c r="I906" t="n">
        <v>0</v>
      </c>
      <c r="J906" t="n">
        <v>0</v>
      </c>
      <c r="K906" t="n">
        <v>0</v>
      </c>
      <c r="L906" t="n">
        <v>0</v>
      </c>
      <c r="M906" t="n">
        <v>0</v>
      </c>
      <c r="N906" t="n">
        <v>0</v>
      </c>
      <c r="O906" t="n">
        <v>0</v>
      </c>
      <c r="P906" t="n">
        <v>0</v>
      </c>
      <c r="Q906" t="n">
        <v>0</v>
      </c>
      <c r="R906" s="2" t="inlineStr"/>
    </row>
    <row r="907" ht="15" customHeight="1">
      <c r="A907" t="inlineStr">
        <is>
          <t>A 50128-2023</t>
        </is>
      </c>
      <c r="B907" s="1" t="n">
        <v>45215</v>
      </c>
      <c r="C907" s="1" t="n">
        <v>45474</v>
      </c>
      <c r="D907" t="inlineStr">
        <is>
          <t>UPPSALA LÄN</t>
        </is>
      </c>
      <c r="E907" t="inlineStr">
        <is>
          <t>ÖSTHAMMAR</t>
        </is>
      </c>
      <c r="G907" t="n">
        <v>7.8</v>
      </c>
      <c r="H907" t="n">
        <v>0</v>
      </c>
      <c r="I907" t="n">
        <v>0</v>
      </c>
      <c r="J907" t="n">
        <v>0</v>
      </c>
      <c r="K907" t="n">
        <v>0</v>
      </c>
      <c r="L907" t="n">
        <v>0</v>
      </c>
      <c r="M907" t="n">
        <v>0</v>
      </c>
      <c r="N907" t="n">
        <v>0</v>
      </c>
      <c r="O907" t="n">
        <v>0</v>
      </c>
      <c r="P907" t="n">
        <v>0</v>
      </c>
      <c r="Q907" t="n">
        <v>0</v>
      </c>
      <c r="R907" s="2" t="inlineStr"/>
    </row>
    <row r="908" ht="15" customHeight="1">
      <c r="A908" t="inlineStr">
        <is>
          <t>A 50189-2023</t>
        </is>
      </c>
      <c r="B908" s="1" t="n">
        <v>45215</v>
      </c>
      <c r="C908" s="1" t="n">
        <v>45474</v>
      </c>
      <c r="D908" t="inlineStr">
        <is>
          <t>UPPSALA LÄN</t>
        </is>
      </c>
      <c r="E908" t="inlineStr">
        <is>
          <t>ÖSTHAMMAR</t>
        </is>
      </c>
      <c r="F908" t="inlineStr">
        <is>
          <t>Bergvik skog öst AB</t>
        </is>
      </c>
      <c r="G908" t="n">
        <v>1.7</v>
      </c>
      <c r="H908" t="n">
        <v>0</v>
      </c>
      <c r="I908" t="n">
        <v>0</v>
      </c>
      <c r="J908" t="n">
        <v>0</v>
      </c>
      <c r="K908" t="n">
        <v>0</v>
      </c>
      <c r="L908" t="n">
        <v>0</v>
      </c>
      <c r="M908" t="n">
        <v>0</v>
      </c>
      <c r="N908" t="n">
        <v>0</v>
      </c>
      <c r="O908" t="n">
        <v>0</v>
      </c>
      <c r="P908" t="n">
        <v>0</v>
      </c>
      <c r="Q908" t="n">
        <v>0</v>
      </c>
      <c r="R908" s="2" t="inlineStr"/>
    </row>
    <row r="909" ht="15" customHeight="1">
      <c r="A909" t="inlineStr">
        <is>
          <t>A 50120-2023</t>
        </is>
      </c>
      <c r="B909" s="1" t="n">
        <v>45215</v>
      </c>
      <c r="C909" s="1" t="n">
        <v>45474</v>
      </c>
      <c r="D909" t="inlineStr">
        <is>
          <t>UPPSALA LÄN</t>
        </is>
      </c>
      <c r="E909" t="inlineStr">
        <is>
          <t>ÖSTHAMMAR</t>
        </is>
      </c>
      <c r="F909" t="inlineStr">
        <is>
          <t>Övriga Aktiebolag</t>
        </is>
      </c>
      <c r="G909" t="n">
        <v>14.2</v>
      </c>
      <c r="H909" t="n">
        <v>0</v>
      </c>
      <c r="I909" t="n">
        <v>0</v>
      </c>
      <c r="J909" t="n">
        <v>0</v>
      </c>
      <c r="K909" t="n">
        <v>0</v>
      </c>
      <c r="L909" t="n">
        <v>0</v>
      </c>
      <c r="M909" t="n">
        <v>0</v>
      </c>
      <c r="N909" t="n">
        <v>0</v>
      </c>
      <c r="O909" t="n">
        <v>0</v>
      </c>
      <c r="P909" t="n">
        <v>0</v>
      </c>
      <c r="Q909" t="n">
        <v>0</v>
      </c>
      <c r="R909" s="2" t="inlineStr"/>
    </row>
    <row r="910" ht="15" customHeight="1">
      <c r="A910" t="inlineStr">
        <is>
          <t>A 50188-2023</t>
        </is>
      </c>
      <c r="B910" s="1" t="n">
        <v>45215</v>
      </c>
      <c r="C910" s="1" t="n">
        <v>45474</v>
      </c>
      <c r="D910" t="inlineStr">
        <is>
          <t>UPPSALA LÄN</t>
        </is>
      </c>
      <c r="E910" t="inlineStr">
        <is>
          <t>ÖSTHAMMAR</t>
        </is>
      </c>
      <c r="F910" t="inlineStr">
        <is>
          <t>Bergvik skog öst AB</t>
        </is>
      </c>
      <c r="G910" t="n">
        <v>8.4</v>
      </c>
      <c r="H910" t="n">
        <v>0</v>
      </c>
      <c r="I910" t="n">
        <v>0</v>
      </c>
      <c r="J910" t="n">
        <v>0</v>
      </c>
      <c r="K910" t="n">
        <v>0</v>
      </c>
      <c r="L910" t="n">
        <v>0</v>
      </c>
      <c r="M910" t="n">
        <v>0</v>
      </c>
      <c r="N910" t="n">
        <v>0</v>
      </c>
      <c r="O910" t="n">
        <v>0</v>
      </c>
      <c r="P910" t="n">
        <v>0</v>
      </c>
      <c r="Q910" t="n">
        <v>0</v>
      </c>
      <c r="R910" s="2" t="inlineStr"/>
    </row>
    <row r="911" ht="15" customHeight="1">
      <c r="A911" t="inlineStr">
        <is>
          <t>A 50998-2023</t>
        </is>
      </c>
      <c r="B911" s="1" t="n">
        <v>45218</v>
      </c>
      <c r="C911" s="1" t="n">
        <v>45474</v>
      </c>
      <c r="D911" t="inlineStr">
        <is>
          <t>UPPSALA LÄN</t>
        </is>
      </c>
      <c r="E911" t="inlineStr">
        <is>
          <t>ÖSTHAMMAR</t>
        </is>
      </c>
      <c r="G911" t="n">
        <v>3.6</v>
      </c>
      <c r="H911" t="n">
        <v>0</v>
      </c>
      <c r="I911" t="n">
        <v>0</v>
      </c>
      <c r="J911" t="n">
        <v>0</v>
      </c>
      <c r="K911" t="n">
        <v>0</v>
      </c>
      <c r="L911" t="n">
        <v>0</v>
      </c>
      <c r="M911" t="n">
        <v>0</v>
      </c>
      <c r="N911" t="n">
        <v>0</v>
      </c>
      <c r="O911" t="n">
        <v>0</v>
      </c>
      <c r="P911" t="n">
        <v>0</v>
      </c>
      <c r="Q911" t="n">
        <v>0</v>
      </c>
      <c r="R911" s="2" t="inlineStr"/>
    </row>
    <row r="912" ht="15" customHeight="1">
      <c r="A912" t="inlineStr">
        <is>
          <t>A 52695-2023</t>
        </is>
      </c>
      <c r="B912" s="1" t="n">
        <v>45225</v>
      </c>
      <c r="C912" s="1" t="n">
        <v>45474</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52629-2023</t>
        </is>
      </c>
      <c r="B913" s="1" t="n">
        <v>45225</v>
      </c>
      <c r="C913" s="1" t="n">
        <v>45474</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52698-2023</t>
        </is>
      </c>
      <c r="B914" s="1" t="n">
        <v>45225</v>
      </c>
      <c r="C914" s="1" t="n">
        <v>45474</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52694-2023</t>
        </is>
      </c>
      <c r="B915" s="1" t="n">
        <v>45225</v>
      </c>
      <c r="C915" s="1" t="n">
        <v>45474</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52699-2023</t>
        </is>
      </c>
      <c r="B916" s="1" t="n">
        <v>45225</v>
      </c>
      <c r="C916" s="1" t="n">
        <v>45474</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54314-2023</t>
        </is>
      </c>
      <c r="B917" s="1" t="n">
        <v>45225</v>
      </c>
      <c r="C917" s="1" t="n">
        <v>45474</v>
      </c>
      <c r="D917" t="inlineStr">
        <is>
          <t>UPPSALA LÄN</t>
        </is>
      </c>
      <c r="E917" t="inlineStr">
        <is>
          <t>ÖSTHAMMAR</t>
        </is>
      </c>
      <c r="G917" t="n">
        <v>5.1</v>
      </c>
      <c r="H917" t="n">
        <v>0</v>
      </c>
      <c r="I917" t="n">
        <v>0</v>
      </c>
      <c r="J917" t="n">
        <v>0</v>
      </c>
      <c r="K917" t="n">
        <v>0</v>
      </c>
      <c r="L917" t="n">
        <v>0</v>
      </c>
      <c r="M917" t="n">
        <v>0</v>
      </c>
      <c r="N917" t="n">
        <v>0</v>
      </c>
      <c r="O917" t="n">
        <v>0</v>
      </c>
      <c r="P917" t="n">
        <v>0</v>
      </c>
      <c r="Q917" t="n">
        <v>0</v>
      </c>
      <c r="R917" s="2" t="inlineStr"/>
    </row>
    <row r="918" ht="15" customHeight="1">
      <c r="A918" t="inlineStr">
        <is>
          <t>A 53467-2023</t>
        </is>
      </c>
      <c r="B918" s="1" t="n">
        <v>45229</v>
      </c>
      <c r="C918" s="1" t="n">
        <v>45474</v>
      </c>
      <c r="D918" t="inlineStr">
        <is>
          <t>UPPSALA LÄN</t>
        </is>
      </c>
      <c r="E918" t="inlineStr">
        <is>
          <t>ÖSTHAMMAR</t>
        </is>
      </c>
      <c r="G918" t="n">
        <v>26.1</v>
      </c>
      <c r="H918" t="n">
        <v>0</v>
      </c>
      <c r="I918" t="n">
        <v>0</v>
      </c>
      <c r="J918" t="n">
        <v>0</v>
      </c>
      <c r="K918" t="n">
        <v>0</v>
      </c>
      <c r="L918" t="n">
        <v>0</v>
      </c>
      <c r="M918" t="n">
        <v>0</v>
      </c>
      <c r="N918" t="n">
        <v>0</v>
      </c>
      <c r="O918" t="n">
        <v>0</v>
      </c>
      <c r="P918" t="n">
        <v>0</v>
      </c>
      <c r="Q918" t="n">
        <v>0</v>
      </c>
      <c r="R918" s="2" t="inlineStr"/>
    </row>
    <row r="919" ht="15" customHeight="1">
      <c r="A919" t="inlineStr">
        <is>
          <t>A 53360-2023</t>
        </is>
      </c>
      <c r="B919" s="1" t="n">
        <v>45229</v>
      </c>
      <c r="C919" s="1" t="n">
        <v>45474</v>
      </c>
      <c r="D919" t="inlineStr">
        <is>
          <t>UPPSALA LÄN</t>
        </is>
      </c>
      <c r="E919" t="inlineStr">
        <is>
          <t>ÖSTHAMMAR</t>
        </is>
      </c>
      <c r="G919" t="n">
        <v>4.8</v>
      </c>
      <c r="H919" t="n">
        <v>0</v>
      </c>
      <c r="I919" t="n">
        <v>0</v>
      </c>
      <c r="J919" t="n">
        <v>0</v>
      </c>
      <c r="K919" t="n">
        <v>0</v>
      </c>
      <c r="L919" t="n">
        <v>0</v>
      </c>
      <c r="M919" t="n">
        <v>0</v>
      </c>
      <c r="N919" t="n">
        <v>0</v>
      </c>
      <c r="O919" t="n">
        <v>0</v>
      </c>
      <c r="P919" t="n">
        <v>0</v>
      </c>
      <c r="Q919" t="n">
        <v>0</v>
      </c>
      <c r="R919" s="2" t="inlineStr"/>
    </row>
    <row r="920" ht="15" customHeight="1">
      <c r="A920" t="inlineStr">
        <is>
          <t>A 53735-2023</t>
        </is>
      </c>
      <c r="B920" s="1" t="n">
        <v>45230</v>
      </c>
      <c r="C920" s="1" t="n">
        <v>45474</v>
      </c>
      <c r="D920" t="inlineStr">
        <is>
          <t>UPPSALA LÄN</t>
        </is>
      </c>
      <c r="E920" t="inlineStr">
        <is>
          <t>ÖSTHAMMAR</t>
        </is>
      </c>
      <c r="G920" t="n">
        <v>1.1</v>
      </c>
      <c r="H920" t="n">
        <v>0</v>
      </c>
      <c r="I920" t="n">
        <v>0</v>
      </c>
      <c r="J920" t="n">
        <v>0</v>
      </c>
      <c r="K920" t="n">
        <v>0</v>
      </c>
      <c r="L920" t="n">
        <v>0</v>
      </c>
      <c r="M920" t="n">
        <v>0</v>
      </c>
      <c r="N920" t="n">
        <v>0</v>
      </c>
      <c r="O920" t="n">
        <v>0</v>
      </c>
      <c r="P920" t="n">
        <v>0</v>
      </c>
      <c r="Q920" t="n">
        <v>0</v>
      </c>
      <c r="R920" s="2" t="inlineStr"/>
    </row>
    <row r="921" ht="15" customHeight="1">
      <c r="A921" t="inlineStr">
        <is>
          <t>A 53732-2023</t>
        </is>
      </c>
      <c r="B921" s="1" t="n">
        <v>45230</v>
      </c>
      <c r="C921" s="1" t="n">
        <v>45474</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53670-2023</t>
        </is>
      </c>
      <c r="B922" s="1" t="n">
        <v>45230</v>
      </c>
      <c r="C922" s="1" t="n">
        <v>45474</v>
      </c>
      <c r="D922" t="inlineStr">
        <is>
          <t>UPPSALA LÄN</t>
        </is>
      </c>
      <c r="E922" t="inlineStr">
        <is>
          <t>ÖSTHAMMAR</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53733-2023</t>
        </is>
      </c>
      <c r="B923" s="1" t="n">
        <v>45230</v>
      </c>
      <c r="C923" s="1" t="n">
        <v>45474</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53737-2023</t>
        </is>
      </c>
      <c r="B924" s="1" t="n">
        <v>45230</v>
      </c>
      <c r="C924" s="1" t="n">
        <v>45474</v>
      </c>
      <c r="D924" t="inlineStr">
        <is>
          <t>UPPSALA LÄN</t>
        </is>
      </c>
      <c r="E924" t="inlineStr">
        <is>
          <t>ÖSTHAMMAR</t>
        </is>
      </c>
      <c r="G924" t="n">
        <v>1.4</v>
      </c>
      <c r="H924" t="n">
        <v>0</v>
      </c>
      <c r="I924" t="n">
        <v>0</v>
      </c>
      <c r="J924" t="n">
        <v>0</v>
      </c>
      <c r="K924" t="n">
        <v>0</v>
      </c>
      <c r="L924" t="n">
        <v>0</v>
      </c>
      <c r="M924" t="n">
        <v>0</v>
      </c>
      <c r="N924" t="n">
        <v>0</v>
      </c>
      <c r="O924" t="n">
        <v>0</v>
      </c>
      <c r="P924" t="n">
        <v>0</v>
      </c>
      <c r="Q924" t="n">
        <v>0</v>
      </c>
      <c r="R924" s="2" t="inlineStr"/>
    </row>
    <row r="925" ht="15" customHeight="1">
      <c r="A925" t="inlineStr">
        <is>
          <t>A 53702-2023</t>
        </is>
      </c>
      <c r="B925" s="1" t="n">
        <v>45230</v>
      </c>
      <c r="C925" s="1" t="n">
        <v>45474</v>
      </c>
      <c r="D925" t="inlineStr">
        <is>
          <t>UPPSALA LÄN</t>
        </is>
      </c>
      <c r="E925" t="inlineStr">
        <is>
          <t>ÖSTHAMMAR</t>
        </is>
      </c>
      <c r="F925" t="inlineStr">
        <is>
          <t>Övriga Aktiebolag</t>
        </is>
      </c>
      <c r="G925" t="n">
        <v>6.6</v>
      </c>
      <c r="H925" t="n">
        <v>0</v>
      </c>
      <c r="I925" t="n">
        <v>0</v>
      </c>
      <c r="J925" t="n">
        <v>0</v>
      </c>
      <c r="K925" t="n">
        <v>0</v>
      </c>
      <c r="L925" t="n">
        <v>0</v>
      </c>
      <c r="M925" t="n">
        <v>0</v>
      </c>
      <c r="N925" t="n">
        <v>0</v>
      </c>
      <c r="O925" t="n">
        <v>0</v>
      </c>
      <c r="P925" t="n">
        <v>0</v>
      </c>
      <c r="Q925" t="n">
        <v>0</v>
      </c>
      <c r="R925" s="2" t="inlineStr"/>
    </row>
    <row r="926" ht="15" customHeight="1">
      <c r="A926" t="inlineStr">
        <is>
          <t>A 53676-2023</t>
        </is>
      </c>
      <c r="B926" s="1" t="n">
        <v>45230</v>
      </c>
      <c r="C926" s="1" t="n">
        <v>45474</v>
      </c>
      <c r="D926" t="inlineStr">
        <is>
          <t>UPPSALA LÄN</t>
        </is>
      </c>
      <c r="E926" t="inlineStr">
        <is>
          <t>ÖSTHAMMAR</t>
        </is>
      </c>
      <c r="F926" t="inlineStr">
        <is>
          <t>Bergvik skog öst AB</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54228-2023</t>
        </is>
      </c>
      <c r="B927" s="1" t="n">
        <v>45232</v>
      </c>
      <c r="C927" s="1" t="n">
        <v>45474</v>
      </c>
      <c r="D927" t="inlineStr">
        <is>
          <t>UPPSALA LÄN</t>
        </is>
      </c>
      <c r="E927" t="inlineStr">
        <is>
          <t>ÖSTHAMMAR</t>
        </is>
      </c>
      <c r="G927" t="n">
        <v>4</v>
      </c>
      <c r="H927" t="n">
        <v>0</v>
      </c>
      <c r="I927" t="n">
        <v>0</v>
      </c>
      <c r="J927" t="n">
        <v>0</v>
      </c>
      <c r="K927" t="n">
        <v>0</v>
      </c>
      <c r="L927" t="n">
        <v>0</v>
      </c>
      <c r="M927" t="n">
        <v>0</v>
      </c>
      <c r="N927" t="n">
        <v>0</v>
      </c>
      <c r="O927" t="n">
        <v>0</v>
      </c>
      <c r="P927" t="n">
        <v>0</v>
      </c>
      <c r="Q927" t="n">
        <v>0</v>
      </c>
      <c r="R927" s="2" t="inlineStr"/>
    </row>
    <row r="928" ht="15" customHeight="1">
      <c r="A928" t="inlineStr">
        <is>
          <t>A 54366-2023</t>
        </is>
      </c>
      <c r="B928" s="1" t="n">
        <v>45233</v>
      </c>
      <c r="C928" s="1" t="n">
        <v>45474</v>
      </c>
      <c r="D928" t="inlineStr">
        <is>
          <t>UPPSALA LÄN</t>
        </is>
      </c>
      <c r="E928" t="inlineStr">
        <is>
          <t>ÖSTHAMMAR</t>
        </is>
      </c>
      <c r="F928" t="inlineStr">
        <is>
          <t>Bergvik skog öst AB</t>
        </is>
      </c>
      <c r="G928" t="n">
        <v>2.9</v>
      </c>
      <c r="H928" t="n">
        <v>0</v>
      </c>
      <c r="I928" t="n">
        <v>0</v>
      </c>
      <c r="J928" t="n">
        <v>0</v>
      </c>
      <c r="K928" t="n">
        <v>0</v>
      </c>
      <c r="L928" t="n">
        <v>0</v>
      </c>
      <c r="M928" t="n">
        <v>0</v>
      </c>
      <c r="N928" t="n">
        <v>0</v>
      </c>
      <c r="O928" t="n">
        <v>0</v>
      </c>
      <c r="P928" t="n">
        <v>0</v>
      </c>
      <c r="Q928" t="n">
        <v>0</v>
      </c>
      <c r="R928" s="2" t="inlineStr"/>
    </row>
    <row r="929" ht="15" customHeight="1">
      <c r="A929" t="inlineStr">
        <is>
          <t>A 54369-2023</t>
        </is>
      </c>
      <c r="B929" s="1" t="n">
        <v>45233</v>
      </c>
      <c r="C929" s="1" t="n">
        <v>45474</v>
      </c>
      <c r="D929" t="inlineStr">
        <is>
          <t>UPPSALA LÄN</t>
        </is>
      </c>
      <c r="E929" t="inlineStr">
        <is>
          <t>ÖSTHAMMAR</t>
        </is>
      </c>
      <c r="F929" t="inlineStr">
        <is>
          <t>Bergvik skog öst AB</t>
        </is>
      </c>
      <c r="G929" t="n">
        <v>3.1</v>
      </c>
      <c r="H929" t="n">
        <v>0</v>
      </c>
      <c r="I929" t="n">
        <v>0</v>
      </c>
      <c r="J929" t="n">
        <v>0</v>
      </c>
      <c r="K929" t="n">
        <v>0</v>
      </c>
      <c r="L929" t="n">
        <v>0</v>
      </c>
      <c r="M929" t="n">
        <v>0</v>
      </c>
      <c r="N929" t="n">
        <v>0</v>
      </c>
      <c r="O929" t="n">
        <v>0</v>
      </c>
      <c r="P929" t="n">
        <v>0</v>
      </c>
      <c r="Q929" t="n">
        <v>0</v>
      </c>
      <c r="R929" s="2" t="inlineStr"/>
    </row>
    <row r="930" ht="15" customHeight="1">
      <c r="A930" t="inlineStr">
        <is>
          <t>A 54368-2023</t>
        </is>
      </c>
      <c r="B930" s="1" t="n">
        <v>45233</v>
      </c>
      <c r="C930" s="1" t="n">
        <v>45474</v>
      </c>
      <c r="D930" t="inlineStr">
        <is>
          <t>UPPSALA LÄN</t>
        </is>
      </c>
      <c r="E930" t="inlineStr">
        <is>
          <t>ÖSTHAMMAR</t>
        </is>
      </c>
      <c r="F930" t="inlineStr">
        <is>
          <t>Bergvik skog öst AB</t>
        </is>
      </c>
      <c r="G930" t="n">
        <v>3</v>
      </c>
      <c r="H930" t="n">
        <v>0</v>
      </c>
      <c r="I930" t="n">
        <v>0</v>
      </c>
      <c r="J930" t="n">
        <v>0</v>
      </c>
      <c r="K930" t="n">
        <v>0</v>
      </c>
      <c r="L930" t="n">
        <v>0</v>
      </c>
      <c r="M930" t="n">
        <v>0</v>
      </c>
      <c r="N930" t="n">
        <v>0</v>
      </c>
      <c r="O930" t="n">
        <v>0</v>
      </c>
      <c r="P930" t="n">
        <v>0</v>
      </c>
      <c r="Q930" t="n">
        <v>0</v>
      </c>
      <c r="R930" s="2" t="inlineStr"/>
    </row>
    <row r="931" ht="15" customHeight="1">
      <c r="A931" t="inlineStr">
        <is>
          <t>A 55230-2023</t>
        </is>
      </c>
      <c r="B931" s="1" t="n">
        <v>45237</v>
      </c>
      <c r="C931" s="1" t="n">
        <v>45474</v>
      </c>
      <c r="D931" t="inlineStr">
        <is>
          <t>UPPSALA LÄN</t>
        </is>
      </c>
      <c r="E931" t="inlineStr">
        <is>
          <t>ÖSTHAMMAR</t>
        </is>
      </c>
      <c r="F931" t="inlineStr">
        <is>
          <t>Övriga Aktiebolag</t>
        </is>
      </c>
      <c r="G931" t="n">
        <v>19.7</v>
      </c>
      <c r="H931" t="n">
        <v>0</v>
      </c>
      <c r="I931" t="n">
        <v>0</v>
      </c>
      <c r="J931" t="n">
        <v>0</v>
      </c>
      <c r="K931" t="n">
        <v>0</v>
      </c>
      <c r="L931" t="n">
        <v>0</v>
      </c>
      <c r="M931" t="n">
        <v>0</v>
      </c>
      <c r="N931" t="n">
        <v>0</v>
      </c>
      <c r="O931" t="n">
        <v>0</v>
      </c>
      <c r="P931" t="n">
        <v>0</v>
      </c>
      <c r="Q931" t="n">
        <v>0</v>
      </c>
      <c r="R931" s="2" t="inlineStr"/>
    </row>
    <row r="932" ht="15" customHeight="1">
      <c r="A932" t="inlineStr">
        <is>
          <t>A 55387-2023</t>
        </is>
      </c>
      <c r="B932" s="1" t="n">
        <v>45238</v>
      </c>
      <c r="C932" s="1" t="n">
        <v>45474</v>
      </c>
      <c r="D932" t="inlineStr">
        <is>
          <t>UPPSALA LÄN</t>
        </is>
      </c>
      <c r="E932" t="inlineStr">
        <is>
          <t>ÖSTHAMMAR</t>
        </is>
      </c>
      <c r="F932" t="inlineStr">
        <is>
          <t>Bergvik skog öst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55837-2023</t>
        </is>
      </c>
      <c r="B933" s="1" t="n">
        <v>45239</v>
      </c>
      <c r="C933" s="1" t="n">
        <v>45474</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56102-2023</t>
        </is>
      </c>
      <c r="B934" s="1" t="n">
        <v>45240</v>
      </c>
      <c r="C934" s="1" t="n">
        <v>45474</v>
      </c>
      <c r="D934" t="inlineStr">
        <is>
          <t>UPPSALA LÄN</t>
        </is>
      </c>
      <c r="E934" t="inlineStr">
        <is>
          <t>ÖSTHAMMAR</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56418-2023</t>
        </is>
      </c>
      <c r="B935" s="1" t="n">
        <v>45243</v>
      </c>
      <c r="C935" s="1" t="n">
        <v>45474</v>
      </c>
      <c r="D935" t="inlineStr">
        <is>
          <t>UPPSALA LÄN</t>
        </is>
      </c>
      <c r="E935" t="inlineStr">
        <is>
          <t>ÖSTHAMMAR</t>
        </is>
      </c>
      <c r="F935" t="inlineStr">
        <is>
          <t>Bergvik skog öst AB</t>
        </is>
      </c>
      <c r="G935" t="n">
        <v>5.7</v>
      </c>
      <c r="H935" t="n">
        <v>0</v>
      </c>
      <c r="I935" t="n">
        <v>0</v>
      </c>
      <c r="J935" t="n">
        <v>0</v>
      </c>
      <c r="K935" t="n">
        <v>0</v>
      </c>
      <c r="L935" t="n">
        <v>0</v>
      </c>
      <c r="M935" t="n">
        <v>0</v>
      </c>
      <c r="N935" t="n">
        <v>0</v>
      </c>
      <c r="O935" t="n">
        <v>0</v>
      </c>
      <c r="P935" t="n">
        <v>0</v>
      </c>
      <c r="Q935" t="n">
        <v>0</v>
      </c>
      <c r="R935" s="2" t="inlineStr"/>
    </row>
    <row r="936" ht="15" customHeight="1">
      <c r="A936" t="inlineStr">
        <is>
          <t>A 56434-2023</t>
        </is>
      </c>
      <c r="B936" s="1" t="n">
        <v>45243</v>
      </c>
      <c r="C936" s="1" t="n">
        <v>45474</v>
      </c>
      <c r="D936" t="inlineStr">
        <is>
          <t>UPPSALA LÄN</t>
        </is>
      </c>
      <c r="E936" t="inlineStr">
        <is>
          <t>ÖSTHAMMAR</t>
        </is>
      </c>
      <c r="F936" t="inlineStr">
        <is>
          <t>Bergvik skog öst AB</t>
        </is>
      </c>
      <c r="G936" t="n">
        <v>5.7</v>
      </c>
      <c r="H936" t="n">
        <v>0</v>
      </c>
      <c r="I936" t="n">
        <v>0</v>
      </c>
      <c r="J936" t="n">
        <v>0</v>
      </c>
      <c r="K936" t="n">
        <v>0</v>
      </c>
      <c r="L936" t="n">
        <v>0</v>
      </c>
      <c r="M936" t="n">
        <v>0</v>
      </c>
      <c r="N936" t="n">
        <v>0</v>
      </c>
      <c r="O936" t="n">
        <v>0</v>
      </c>
      <c r="P936" t="n">
        <v>0</v>
      </c>
      <c r="Q936" t="n">
        <v>0</v>
      </c>
      <c r="R936" s="2" t="inlineStr"/>
    </row>
    <row r="937" ht="15" customHeight="1">
      <c r="A937" t="inlineStr">
        <is>
          <t>A 56790-2023</t>
        </is>
      </c>
      <c r="B937" s="1" t="n">
        <v>45244</v>
      </c>
      <c r="C937" s="1" t="n">
        <v>45474</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56798-2023</t>
        </is>
      </c>
      <c r="B938" s="1" t="n">
        <v>45244</v>
      </c>
      <c r="C938" s="1" t="n">
        <v>45474</v>
      </c>
      <c r="D938" t="inlineStr">
        <is>
          <t>UPPSALA LÄN</t>
        </is>
      </c>
      <c r="E938" t="inlineStr">
        <is>
          <t>ÖSTHAMMAR</t>
        </is>
      </c>
      <c r="G938" t="n">
        <v>2.6</v>
      </c>
      <c r="H938" t="n">
        <v>0</v>
      </c>
      <c r="I938" t="n">
        <v>0</v>
      </c>
      <c r="J938" t="n">
        <v>0</v>
      </c>
      <c r="K938" t="n">
        <v>0</v>
      </c>
      <c r="L938" t="n">
        <v>0</v>
      </c>
      <c r="M938" t="n">
        <v>0</v>
      </c>
      <c r="N938" t="n">
        <v>0</v>
      </c>
      <c r="O938" t="n">
        <v>0</v>
      </c>
      <c r="P938" t="n">
        <v>0</v>
      </c>
      <c r="Q938" t="n">
        <v>0</v>
      </c>
      <c r="R938" s="2" t="inlineStr"/>
    </row>
    <row r="939" ht="15" customHeight="1">
      <c r="A939" t="inlineStr">
        <is>
          <t>A 56903-2023</t>
        </is>
      </c>
      <c r="B939" s="1" t="n">
        <v>45244</v>
      </c>
      <c r="C939" s="1" t="n">
        <v>45474</v>
      </c>
      <c r="D939" t="inlineStr">
        <is>
          <t>UPPSALA LÄN</t>
        </is>
      </c>
      <c r="E939" t="inlineStr">
        <is>
          <t>ÖSTHAMMAR</t>
        </is>
      </c>
      <c r="G939" t="n">
        <v>3.1</v>
      </c>
      <c r="H939" t="n">
        <v>0</v>
      </c>
      <c r="I939" t="n">
        <v>0</v>
      </c>
      <c r="J939" t="n">
        <v>0</v>
      </c>
      <c r="K939" t="n">
        <v>0</v>
      </c>
      <c r="L939" t="n">
        <v>0</v>
      </c>
      <c r="M939" t="n">
        <v>0</v>
      </c>
      <c r="N939" t="n">
        <v>0</v>
      </c>
      <c r="O939" t="n">
        <v>0</v>
      </c>
      <c r="P939" t="n">
        <v>0</v>
      </c>
      <c r="Q939" t="n">
        <v>0</v>
      </c>
      <c r="R939" s="2" t="inlineStr"/>
    </row>
    <row r="940" ht="15" customHeight="1">
      <c r="A940" t="inlineStr">
        <is>
          <t>A 56920-2023</t>
        </is>
      </c>
      <c r="B940" s="1" t="n">
        <v>45244</v>
      </c>
      <c r="C940" s="1" t="n">
        <v>45474</v>
      </c>
      <c r="D940" t="inlineStr">
        <is>
          <t>UPPSALA LÄN</t>
        </is>
      </c>
      <c r="E940" t="inlineStr">
        <is>
          <t>ÖSTHAMMAR</t>
        </is>
      </c>
      <c r="G940" t="n">
        <v>2</v>
      </c>
      <c r="H940" t="n">
        <v>0</v>
      </c>
      <c r="I940" t="n">
        <v>0</v>
      </c>
      <c r="J940" t="n">
        <v>0</v>
      </c>
      <c r="K940" t="n">
        <v>0</v>
      </c>
      <c r="L940" t="n">
        <v>0</v>
      </c>
      <c r="M940" t="n">
        <v>0</v>
      </c>
      <c r="N940" t="n">
        <v>0</v>
      </c>
      <c r="O940" t="n">
        <v>0</v>
      </c>
      <c r="P940" t="n">
        <v>0</v>
      </c>
      <c r="Q940" t="n">
        <v>0</v>
      </c>
      <c r="R940" s="2" t="inlineStr"/>
    </row>
    <row r="941" ht="15" customHeight="1">
      <c r="A941" t="inlineStr">
        <is>
          <t>A 56959-2023</t>
        </is>
      </c>
      <c r="B941" s="1" t="n">
        <v>45244</v>
      </c>
      <c r="C941" s="1" t="n">
        <v>45474</v>
      </c>
      <c r="D941" t="inlineStr">
        <is>
          <t>UPPSALA LÄN</t>
        </is>
      </c>
      <c r="E941" t="inlineStr">
        <is>
          <t>ÖSTHAMMAR</t>
        </is>
      </c>
      <c r="G941" t="n">
        <v>5</v>
      </c>
      <c r="H941" t="n">
        <v>0</v>
      </c>
      <c r="I941" t="n">
        <v>0</v>
      </c>
      <c r="J941" t="n">
        <v>0</v>
      </c>
      <c r="K941" t="n">
        <v>0</v>
      </c>
      <c r="L941" t="n">
        <v>0</v>
      </c>
      <c r="M941" t="n">
        <v>0</v>
      </c>
      <c r="N941" t="n">
        <v>0</v>
      </c>
      <c r="O941" t="n">
        <v>0</v>
      </c>
      <c r="P941" t="n">
        <v>0</v>
      </c>
      <c r="Q941" t="n">
        <v>0</v>
      </c>
      <c r="R941" s="2" t="inlineStr"/>
    </row>
    <row r="942" ht="15" customHeight="1">
      <c r="A942" t="inlineStr">
        <is>
          <t>A 58176-2023</t>
        </is>
      </c>
      <c r="B942" s="1" t="n">
        <v>45250</v>
      </c>
      <c r="C942" s="1" t="n">
        <v>45474</v>
      </c>
      <c r="D942" t="inlineStr">
        <is>
          <t>UPPSALA LÄN</t>
        </is>
      </c>
      <c r="E942" t="inlineStr">
        <is>
          <t>ÖSTHAMMAR</t>
        </is>
      </c>
      <c r="F942" t="inlineStr">
        <is>
          <t>Allmännings- och besparingsskogar</t>
        </is>
      </c>
      <c r="G942" t="n">
        <v>0.9</v>
      </c>
      <c r="H942" t="n">
        <v>0</v>
      </c>
      <c r="I942" t="n">
        <v>0</v>
      </c>
      <c r="J942" t="n">
        <v>0</v>
      </c>
      <c r="K942" t="n">
        <v>0</v>
      </c>
      <c r="L942" t="n">
        <v>0</v>
      </c>
      <c r="M942" t="n">
        <v>0</v>
      </c>
      <c r="N942" t="n">
        <v>0</v>
      </c>
      <c r="O942" t="n">
        <v>0</v>
      </c>
      <c r="P942" t="n">
        <v>0</v>
      </c>
      <c r="Q942" t="n">
        <v>0</v>
      </c>
      <c r="R942" s="2" t="inlineStr"/>
    </row>
    <row r="943" ht="15" customHeight="1">
      <c r="A943" t="inlineStr">
        <is>
          <t>A 58295-2023</t>
        </is>
      </c>
      <c r="B943" s="1" t="n">
        <v>45250</v>
      </c>
      <c r="C943" s="1" t="n">
        <v>45474</v>
      </c>
      <c r="D943" t="inlineStr">
        <is>
          <t>UPPSALA LÄN</t>
        </is>
      </c>
      <c r="E943" t="inlineStr">
        <is>
          <t>ÖSTHAMMAR</t>
        </is>
      </c>
      <c r="G943" t="n">
        <v>1.7</v>
      </c>
      <c r="H943" t="n">
        <v>0</v>
      </c>
      <c r="I943" t="n">
        <v>0</v>
      </c>
      <c r="J943" t="n">
        <v>0</v>
      </c>
      <c r="K943" t="n">
        <v>0</v>
      </c>
      <c r="L943" t="n">
        <v>0</v>
      </c>
      <c r="M943" t="n">
        <v>0</v>
      </c>
      <c r="N943" t="n">
        <v>0</v>
      </c>
      <c r="O943" t="n">
        <v>0</v>
      </c>
      <c r="P943" t="n">
        <v>0</v>
      </c>
      <c r="Q943" t="n">
        <v>0</v>
      </c>
      <c r="R943" s="2" t="inlineStr"/>
    </row>
    <row r="944" ht="15" customHeight="1">
      <c r="A944" t="inlineStr">
        <is>
          <t>A 58270-2023</t>
        </is>
      </c>
      <c r="B944" s="1" t="n">
        <v>45250</v>
      </c>
      <c r="C944" s="1" t="n">
        <v>45474</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58301-2023</t>
        </is>
      </c>
      <c r="B945" s="1" t="n">
        <v>45250</v>
      </c>
      <c r="C945" s="1" t="n">
        <v>45474</v>
      </c>
      <c r="D945" t="inlineStr">
        <is>
          <t>UPPSALA LÄN</t>
        </is>
      </c>
      <c r="E945" t="inlineStr">
        <is>
          <t>ÖSTHAMMAR</t>
        </is>
      </c>
      <c r="G945" t="n">
        <v>5.9</v>
      </c>
      <c r="H945" t="n">
        <v>0</v>
      </c>
      <c r="I945" t="n">
        <v>0</v>
      </c>
      <c r="J945" t="n">
        <v>0</v>
      </c>
      <c r="K945" t="n">
        <v>0</v>
      </c>
      <c r="L945" t="n">
        <v>0</v>
      </c>
      <c r="M945" t="n">
        <v>0</v>
      </c>
      <c r="N945" t="n">
        <v>0</v>
      </c>
      <c r="O945" t="n">
        <v>0</v>
      </c>
      <c r="P945" t="n">
        <v>0</v>
      </c>
      <c r="Q945" t="n">
        <v>0</v>
      </c>
      <c r="R945" s="2" t="inlineStr"/>
    </row>
    <row r="946" ht="15" customHeight="1">
      <c r="A946" t="inlineStr">
        <is>
          <t>A 58324-2023</t>
        </is>
      </c>
      <c r="B946" s="1" t="n">
        <v>45250</v>
      </c>
      <c r="C946" s="1" t="n">
        <v>45474</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58431-2023</t>
        </is>
      </c>
      <c r="B947" s="1" t="n">
        <v>45250</v>
      </c>
      <c r="C947" s="1" t="n">
        <v>45474</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58855-2023</t>
        </is>
      </c>
      <c r="B948" s="1" t="n">
        <v>45252</v>
      </c>
      <c r="C948" s="1" t="n">
        <v>45474</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58854-2023</t>
        </is>
      </c>
      <c r="B949" s="1" t="n">
        <v>45252</v>
      </c>
      <c r="C949" s="1" t="n">
        <v>45474</v>
      </c>
      <c r="D949" t="inlineStr">
        <is>
          <t>UPPSALA LÄN</t>
        </is>
      </c>
      <c r="E949" t="inlineStr">
        <is>
          <t>ÖSTHAMMAR</t>
        </is>
      </c>
      <c r="G949" t="n">
        <v>3.9</v>
      </c>
      <c r="H949" t="n">
        <v>0</v>
      </c>
      <c r="I949" t="n">
        <v>0</v>
      </c>
      <c r="J949" t="n">
        <v>0</v>
      </c>
      <c r="K949" t="n">
        <v>0</v>
      </c>
      <c r="L949" t="n">
        <v>0</v>
      </c>
      <c r="M949" t="n">
        <v>0</v>
      </c>
      <c r="N949" t="n">
        <v>0</v>
      </c>
      <c r="O949" t="n">
        <v>0</v>
      </c>
      <c r="P949" t="n">
        <v>0</v>
      </c>
      <c r="Q949" t="n">
        <v>0</v>
      </c>
      <c r="R949" s="2" t="inlineStr"/>
    </row>
    <row r="950" ht="15" customHeight="1">
      <c r="A950" t="inlineStr">
        <is>
          <t>A 58859-2023</t>
        </is>
      </c>
      <c r="B950" s="1" t="n">
        <v>45252</v>
      </c>
      <c r="C950" s="1" t="n">
        <v>45474</v>
      </c>
      <c r="D950" t="inlineStr">
        <is>
          <t>UPPSALA LÄN</t>
        </is>
      </c>
      <c r="E950" t="inlineStr">
        <is>
          <t>ÖSTHAMMAR</t>
        </is>
      </c>
      <c r="G950" t="n">
        <v>0.9</v>
      </c>
      <c r="H950" t="n">
        <v>0</v>
      </c>
      <c r="I950" t="n">
        <v>0</v>
      </c>
      <c r="J950" t="n">
        <v>0</v>
      </c>
      <c r="K950" t="n">
        <v>0</v>
      </c>
      <c r="L950" t="n">
        <v>0</v>
      </c>
      <c r="M950" t="n">
        <v>0</v>
      </c>
      <c r="N950" t="n">
        <v>0</v>
      </c>
      <c r="O950" t="n">
        <v>0</v>
      </c>
      <c r="P950" t="n">
        <v>0</v>
      </c>
      <c r="Q950" t="n">
        <v>0</v>
      </c>
      <c r="R950" s="2" t="inlineStr"/>
    </row>
    <row r="951" ht="15" customHeight="1">
      <c r="A951" t="inlineStr">
        <is>
          <t>A 59244-2023</t>
        </is>
      </c>
      <c r="B951" s="1" t="n">
        <v>45253</v>
      </c>
      <c r="C951" s="1" t="n">
        <v>45474</v>
      </c>
      <c r="D951" t="inlineStr">
        <is>
          <t>UPPSALA LÄN</t>
        </is>
      </c>
      <c r="E951" t="inlineStr">
        <is>
          <t>ÖSTHAMMAR</t>
        </is>
      </c>
      <c r="G951" t="n">
        <v>12.9</v>
      </c>
      <c r="H951" t="n">
        <v>0</v>
      </c>
      <c r="I951" t="n">
        <v>0</v>
      </c>
      <c r="J951" t="n">
        <v>0</v>
      </c>
      <c r="K951" t="n">
        <v>0</v>
      </c>
      <c r="L951" t="n">
        <v>0</v>
      </c>
      <c r="M951" t="n">
        <v>0</v>
      </c>
      <c r="N951" t="n">
        <v>0</v>
      </c>
      <c r="O951" t="n">
        <v>0</v>
      </c>
      <c r="P951" t="n">
        <v>0</v>
      </c>
      <c r="Q951" t="n">
        <v>0</v>
      </c>
      <c r="R951" s="2" t="inlineStr"/>
    </row>
    <row r="952" ht="15" customHeight="1">
      <c r="A952" t="inlineStr">
        <is>
          <t>A 59288-2023</t>
        </is>
      </c>
      <c r="B952" s="1" t="n">
        <v>45253</v>
      </c>
      <c r="C952" s="1" t="n">
        <v>45474</v>
      </c>
      <c r="D952" t="inlineStr">
        <is>
          <t>UPPSALA LÄN</t>
        </is>
      </c>
      <c r="E952" t="inlineStr">
        <is>
          <t>ÖSTHAMMAR</t>
        </is>
      </c>
      <c r="G952" t="n">
        <v>7</v>
      </c>
      <c r="H952" t="n">
        <v>0</v>
      </c>
      <c r="I952" t="n">
        <v>0</v>
      </c>
      <c r="J952" t="n">
        <v>0</v>
      </c>
      <c r="K952" t="n">
        <v>0</v>
      </c>
      <c r="L952" t="n">
        <v>0</v>
      </c>
      <c r="M952" t="n">
        <v>0</v>
      </c>
      <c r="N952" t="n">
        <v>0</v>
      </c>
      <c r="O952" t="n">
        <v>0</v>
      </c>
      <c r="P952" t="n">
        <v>0</v>
      </c>
      <c r="Q952" t="n">
        <v>0</v>
      </c>
      <c r="R952" s="2" t="inlineStr"/>
    </row>
    <row r="953" ht="15" customHeight="1">
      <c r="A953" t="inlineStr">
        <is>
          <t>A 59314-2023</t>
        </is>
      </c>
      <c r="B953" s="1" t="n">
        <v>45253</v>
      </c>
      <c r="C953" s="1" t="n">
        <v>45474</v>
      </c>
      <c r="D953" t="inlineStr">
        <is>
          <t>UPPSALA LÄN</t>
        </is>
      </c>
      <c r="E953" t="inlineStr">
        <is>
          <t>ÖSTHAMMAR</t>
        </is>
      </c>
      <c r="G953" t="n">
        <v>1</v>
      </c>
      <c r="H953" t="n">
        <v>0</v>
      </c>
      <c r="I953" t="n">
        <v>0</v>
      </c>
      <c r="J953" t="n">
        <v>0</v>
      </c>
      <c r="K953" t="n">
        <v>0</v>
      </c>
      <c r="L953" t="n">
        <v>0</v>
      </c>
      <c r="M953" t="n">
        <v>0</v>
      </c>
      <c r="N953" t="n">
        <v>0</v>
      </c>
      <c r="O953" t="n">
        <v>0</v>
      </c>
      <c r="P953" t="n">
        <v>0</v>
      </c>
      <c r="Q953" t="n">
        <v>0</v>
      </c>
      <c r="R953" s="2" t="inlineStr"/>
    </row>
    <row r="954" ht="15" customHeight="1">
      <c r="A954" t="inlineStr">
        <is>
          <t>A 59318-2023</t>
        </is>
      </c>
      <c r="B954" s="1" t="n">
        <v>45253</v>
      </c>
      <c r="C954" s="1" t="n">
        <v>45474</v>
      </c>
      <c r="D954" t="inlineStr">
        <is>
          <t>UPPSALA LÄN</t>
        </is>
      </c>
      <c r="E954" t="inlineStr">
        <is>
          <t>ÖSTHAMMAR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59327-2023</t>
        </is>
      </c>
      <c r="B955" s="1" t="n">
        <v>45253</v>
      </c>
      <c r="C955" s="1" t="n">
        <v>45474</v>
      </c>
      <c r="D955" t="inlineStr">
        <is>
          <t>UPPSALA LÄN</t>
        </is>
      </c>
      <c r="E955" t="inlineStr">
        <is>
          <t>ÖSTHAMMAR</t>
        </is>
      </c>
      <c r="G955" t="n">
        <v>3.1</v>
      </c>
      <c r="H955" t="n">
        <v>0</v>
      </c>
      <c r="I955" t="n">
        <v>0</v>
      </c>
      <c r="J955" t="n">
        <v>0</v>
      </c>
      <c r="K955" t="n">
        <v>0</v>
      </c>
      <c r="L955" t="n">
        <v>0</v>
      </c>
      <c r="M955" t="n">
        <v>0</v>
      </c>
      <c r="N955" t="n">
        <v>0</v>
      </c>
      <c r="O955" t="n">
        <v>0</v>
      </c>
      <c r="P955" t="n">
        <v>0</v>
      </c>
      <c r="Q955" t="n">
        <v>0</v>
      </c>
      <c r="R955" s="2" t="inlineStr"/>
    </row>
    <row r="956" ht="15" customHeight="1">
      <c r="A956" t="inlineStr">
        <is>
          <t>A 59291-2023</t>
        </is>
      </c>
      <c r="B956" s="1" t="n">
        <v>45253</v>
      </c>
      <c r="C956" s="1" t="n">
        <v>45474</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59731-2023</t>
        </is>
      </c>
      <c r="B957" s="1" t="n">
        <v>45257</v>
      </c>
      <c r="C957" s="1" t="n">
        <v>45474</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60303-2023</t>
        </is>
      </c>
      <c r="B958" s="1" t="n">
        <v>45258</v>
      </c>
      <c r="C958" s="1" t="n">
        <v>45474</v>
      </c>
      <c r="D958" t="inlineStr">
        <is>
          <t>UPPSALA LÄN</t>
        </is>
      </c>
      <c r="E958" t="inlineStr">
        <is>
          <t>ÖSTHAMMAR</t>
        </is>
      </c>
      <c r="F958" t="inlineStr">
        <is>
          <t>Bergvik skog öst AB</t>
        </is>
      </c>
      <c r="G958" t="n">
        <v>10.8</v>
      </c>
      <c r="H958" t="n">
        <v>0</v>
      </c>
      <c r="I958" t="n">
        <v>0</v>
      </c>
      <c r="J958" t="n">
        <v>0</v>
      </c>
      <c r="K958" t="n">
        <v>0</v>
      </c>
      <c r="L958" t="n">
        <v>0</v>
      </c>
      <c r="M958" t="n">
        <v>0</v>
      </c>
      <c r="N958" t="n">
        <v>0</v>
      </c>
      <c r="O958" t="n">
        <v>0</v>
      </c>
      <c r="P958" t="n">
        <v>0</v>
      </c>
      <c r="Q958" t="n">
        <v>0</v>
      </c>
      <c r="R958" s="2" t="inlineStr"/>
    </row>
    <row r="959" ht="15" customHeight="1">
      <c r="A959" t="inlineStr">
        <is>
          <t>A 60555-2023</t>
        </is>
      </c>
      <c r="B959" s="1" t="n">
        <v>45259</v>
      </c>
      <c r="C959" s="1" t="n">
        <v>45474</v>
      </c>
      <c r="D959" t="inlineStr">
        <is>
          <t>UPPSALA LÄN</t>
        </is>
      </c>
      <c r="E959" t="inlineStr">
        <is>
          <t>ÖSTHAMMAR</t>
        </is>
      </c>
      <c r="G959" t="n">
        <v>2</v>
      </c>
      <c r="H959" t="n">
        <v>0</v>
      </c>
      <c r="I959" t="n">
        <v>0</v>
      </c>
      <c r="J959" t="n">
        <v>0</v>
      </c>
      <c r="K959" t="n">
        <v>0</v>
      </c>
      <c r="L959" t="n">
        <v>0</v>
      </c>
      <c r="M959" t="n">
        <v>0</v>
      </c>
      <c r="N959" t="n">
        <v>0</v>
      </c>
      <c r="O959" t="n">
        <v>0</v>
      </c>
      <c r="P959" t="n">
        <v>0</v>
      </c>
      <c r="Q959" t="n">
        <v>0</v>
      </c>
      <c r="R959" s="2" t="inlineStr"/>
    </row>
    <row r="960" ht="15" customHeight="1">
      <c r="A960" t="inlineStr">
        <is>
          <t>A 61062-2023</t>
        </is>
      </c>
      <c r="B960" s="1" t="n">
        <v>45259</v>
      </c>
      <c r="C960" s="1" t="n">
        <v>45474</v>
      </c>
      <c r="D960" t="inlineStr">
        <is>
          <t>UPPSALA LÄN</t>
        </is>
      </c>
      <c r="E960" t="inlineStr">
        <is>
          <t>ÖSTHAMMAR</t>
        </is>
      </c>
      <c r="G960" t="n">
        <v>5.3</v>
      </c>
      <c r="H960" t="n">
        <v>0</v>
      </c>
      <c r="I960" t="n">
        <v>0</v>
      </c>
      <c r="J960" t="n">
        <v>0</v>
      </c>
      <c r="K960" t="n">
        <v>0</v>
      </c>
      <c r="L960" t="n">
        <v>0</v>
      </c>
      <c r="M960" t="n">
        <v>0</v>
      </c>
      <c r="N960" t="n">
        <v>0</v>
      </c>
      <c r="O960" t="n">
        <v>0</v>
      </c>
      <c r="P960" t="n">
        <v>0</v>
      </c>
      <c r="Q960" t="n">
        <v>0</v>
      </c>
      <c r="R960" s="2" t="inlineStr"/>
    </row>
    <row r="961" ht="15" customHeight="1">
      <c r="A961" t="inlineStr">
        <is>
          <t>A 61063-2023</t>
        </is>
      </c>
      <c r="B961" s="1" t="n">
        <v>45259</v>
      </c>
      <c r="C961" s="1" t="n">
        <v>45474</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60722-2023</t>
        </is>
      </c>
      <c r="B962" s="1" t="n">
        <v>45260</v>
      </c>
      <c r="C962" s="1" t="n">
        <v>45474</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61109-2023</t>
        </is>
      </c>
      <c r="B963" s="1" t="n">
        <v>45261</v>
      </c>
      <c r="C963" s="1" t="n">
        <v>45474</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61246-2023</t>
        </is>
      </c>
      <c r="B964" s="1" t="n">
        <v>45264</v>
      </c>
      <c r="C964" s="1" t="n">
        <v>45474</v>
      </c>
      <c r="D964" t="inlineStr">
        <is>
          <t>UPPSALA LÄN</t>
        </is>
      </c>
      <c r="E964" t="inlineStr">
        <is>
          <t>ÖSTHAMMAR</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61428-2023</t>
        </is>
      </c>
      <c r="B965" s="1" t="n">
        <v>45264</v>
      </c>
      <c r="C965" s="1" t="n">
        <v>45474</v>
      </c>
      <c r="D965" t="inlineStr">
        <is>
          <t>UPPSALA LÄN</t>
        </is>
      </c>
      <c r="E965" t="inlineStr">
        <is>
          <t>ÖSTHAMMAR</t>
        </is>
      </c>
      <c r="F965" t="inlineStr">
        <is>
          <t>Allmännings- och besparingsskogar</t>
        </is>
      </c>
      <c r="G965" t="n">
        <v>1.2</v>
      </c>
      <c r="H965" t="n">
        <v>0</v>
      </c>
      <c r="I965" t="n">
        <v>0</v>
      </c>
      <c r="J965" t="n">
        <v>0</v>
      </c>
      <c r="K965" t="n">
        <v>0</v>
      </c>
      <c r="L965" t="n">
        <v>0</v>
      </c>
      <c r="M965" t="n">
        <v>0</v>
      </c>
      <c r="N965" t="n">
        <v>0</v>
      </c>
      <c r="O965" t="n">
        <v>0</v>
      </c>
      <c r="P965" t="n">
        <v>0</v>
      </c>
      <c r="Q965" t="n">
        <v>0</v>
      </c>
      <c r="R965" s="2" t="inlineStr"/>
    </row>
    <row r="966" ht="15" customHeight="1">
      <c r="A966" t="inlineStr">
        <is>
          <t>A 62695-2023</t>
        </is>
      </c>
      <c r="B966" s="1" t="n">
        <v>45271</v>
      </c>
      <c r="C966" s="1" t="n">
        <v>45474</v>
      </c>
      <c r="D966" t="inlineStr">
        <is>
          <t>UPPSALA LÄN</t>
        </is>
      </c>
      <c r="E966" t="inlineStr">
        <is>
          <t>ÖSTHAMMAR</t>
        </is>
      </c>
      <c r="G966" t="n">
        <v>5.3</v>
      </c>
      <c r="H966" t="n">
        <v>0</v>
      </c>
      <c r="I966" t="n">
        <v>0</v>
      </c>
      <c r="J966" t="n">
        <v>0</v>
      </c>
      <c r="K966" t="n">
        <v>0</v>
      </c>
      <c r="L966" t="n">
        <v>0</v>
      </c>
      <c r="M966" t="n">
        <v>0</v>
      </c>
      <c r="N966" t="n">
        <v>0</v>
      </c>
      <c r="O966" t="n">
        <v>0</v>
      </c>
      <c r="P966" t="n">
        <v>0</v>
      </c>
      <c r="Q966" t="n">
        <v>0</v>
      </c>
      <c r="R966" s="2" t="inlineStr"/>
    </row>
    <row r="967" ht="15" customHeight="1">
      <c r="A967" t="inlineStr">
        <is>
          <t>A 64774-2023</t>
        </is>
      </c>
      <c r="B967" s="1" t="n">
        <v>45282</v>
      </c>
      <c r="C967" s="1" t="n">
        <v>45474</v>
      </c>
      <c r="D967" t="inlineStr">
        <is>
          <t>UPPSALA LÄN</t>
        </is>
      </c>
      <c r="E967" t="inlineStr">
        <is>
          <t>ÖSTHAMMAR</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2462-2024</t>
        </is>
      </c>
      <c r="B968" s="1" t="n">
        <v>45313</v>
      </c>
      <c r="C968" s="1" t="n">
        <v>45474</v>
      </c>
      <c r="D968" t="inlineStr">
        <is>
          <t>UPPSALA LÄN</t>
        </is>
      </c>
      <c r="E968" t="inlineStr">
        <is>
          <t>ÖSTHAMMAR</t>
        </is>
      </c>
      <c r="G968" t="n">
        <v>2.4</v>
      </c>
      <c r="H968" t="n">
        <v>0</v>
      </c>
      <c r="I968" t="n">
        <v>0</v>
      </c>
      <c r="J968" t="n">
        <v>0</v>
      </c>
      <c r="K968" t="n">
        <v>0</v>
      </c>
      <c r="L968" t="n">
        <v>0</v>
      </c>
      <c r="M968" t="n">
        <v>0</v>
      </c>
      <c r="N968" t="n">
        <v>0</v>
      </c>
      <c r="O968" t="n">
        <v>0</v>
      </c>
      <c r="P968" t="n">
        <v>0</v>
      </c>
      <c r="Q968" t="n">
        <v>0</v>
      </c>
      <c r="R968" s="2" t="inlineStr"/>
    </row>
    <row r="969" ht="15" customHeight="1">
      <c r="A969" t="inlineStr">
        <is>
          <t>A 2920-2024</t>
        </is>
      </c>
      <c r="B969" s="1" t="n">
        <v>45315</v>
      </c>
      <c r="C969" s="1" t="n">
        <v>45474</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4984-2024</t>
        </is>
      </c>
      <c r="B970" s="1" t="n">
        <v>45329</v>
      </c>
      <c r="C970" s="1" t="n">
        <v>45474</v>
      </c>
      <c r="D970" t="inlineStr">
        <is>
          <t>UPPSALA LÄN</t>
        </is>
      </c>
      <c r="E970" t="inlineStr">
        <is>
          <t>ÖSTHAMMAR</t>
        </is>
      </c>
      <c r="G970" t="n">
        <v>2.2</v>
      </c>
      <c r="H970" t="n">
        <v>0</v>
      </c>
      <c r="I970" t="n">
        <v>0</v>
      </c>
      <c r="J970" t="n">
        <v>0</v>
      </c>
      <c r="K970" t="n">
        <v>0</v>
      </c>
      <c r="L970" t="n">
        <v>0</v>
      </c>
      <c r="M970" t="n">
        <v>0</v>
      </c>
      <c r="N970" t="n">
        <v>0</v>
      </c>
      <c r="O970" t="n">
        <v>0</v>
      </c>
      <c r="P970" t="n">
        <v>0</v>
      </c>
      <c r="Q970" t="n">
        <v>0</v>
      </c>
      <c r="R970" s="2" t="inlineStr"/>
    </row>
    <row r="971" ht="15" customHeight="1">
      <c r="A971" t="inlineStr">
        <is>
          <t>A 5042-2024</t>
        </is>
      </c>
      <c r="B971" s="1" t="n">
        <v>45329</v>
      </c>
      <c r="C971" s="1" t="n">
        <v>45474</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5149-2024</t>
        </is>
      </c>
      <c r="B972" s="1" t="n">
        <v>45330</v>
      </c>
      <c r="C972" s="1" t="n">
        <v>45474</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5198-2024</t>
        </is>
      </c>
      <c r="B973" s="1" t="n">
        <v>45330</v>
      </c>
      <c r="C973" s="1" t="n">
        <v>45474</v>
      </c>
      <c r="D973" t="inlineStr">
        <is>
          <t>UPPSALA LÄN</t>
        </is>
      </c>
      <c r="E973" t="inlineStr">
        <is>
          <t>ÖSTHAMMAR</t>
        </is>
      </c>
      <c r="F973" t="inlineStr">
        <is>
          <t>Övriga Aktiebolag</t>
        </is>
      </c>
      <c r="G973" t="n">
        <v>2.4</v>
      </c>
      <c r="H973" t="n">
        <v>0</v>
      </c>
      <c r="I973" t="n">
        <v>0</v>
      </c>
      <c r="J973" t="n">
        <v>0</v>
      </c>
      <c r="K973" t="n">
        <v>0</v>
      </c>
      <c r="L973" t="n">
        <v>0</v>
      </c>
      <c r="M973" t="n">
        <v>0</v>
      </c>
      <c r="N973" t="n">
        <v>0</v>
      </c>
      <c r="O973" t="n">
        <v>0</v>
      </c>
      <c r="P973" t="n">
        <v>0</v>
      </c>
      <c r="Q973" t="n">
        <v>0</v>
      </c>
      <c r="R973" s="2" t="inlineStr"/>
    </row>
    <row r="974" ht="15" customHeight="1">
      <c r="A974" t="inlineStr">
        <is>
          <t>A 5216-2024</t>
        </is>
      </c>
      <c r="B974" s="1" t="n">
        <v>45330</v>
      </c>
      <c r="C974" s="1" t="n">
        <v>45474</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5161-2024</t>
        </is>
      </c>
      <c r="B975" s="1" t="n">
        <v>45330</v>
      </c>
      <c r="C975" s="1" t="n">
        <v>45474</v>
      </c>
      <c r="D975" t="inlineStr">
        <is>
          <t>UPPSALA LÄN</t>
        </is>
      </c>
      <c r="E975" t="inlineStr">
        <is>
          <t>ÖSTHAMMAR</t>
        </is>
      </c>
      <c r="G975" t="n">
        <v>5.5</v>
      </c>
      <c r="H975" t="n">
        <v>0</v>
      </c>
      <c r="I975" t="n">
        <v>0</v>
      </c>
      <c r="J975" t="n">
        <v>0</v>
      </c>
      <c r="K975" t="n">
        <v>0</v>
      </c>
      <c r="L975" t="n">
        <v>0</v>
      </c>
      <c r="M975" t="n">
        <v>0</v>
      </c>
      <c r="N975" t="n">
        <v>0</v>
      </c>
      <c r="O975" t="n">
        <v>0</v>
      </c>
      <c r="P975" t="n">
        <v>0</v>
      </c>
      <c r="Q975" t="n">
        <v>0</v>
      </c>
      <c r="R975" s="2" t="inlineStr"/>
    </row>
    <row r="976" ht="15" customHeight="1">
      <c r="A976" t="inlineStr">
        <is>
          <t>A 5223-2024</t>
        </is>
      </c>
      <c r="B976" s="1" t="n">
        <v>45330</v>
      </c>
      <c r="C976" s="1" t="n">
        <v>45474</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5851-2024</t>
        </is>
      </c>
      <c r="B977" s="1" t="n">
        <v>45335</v>
      </c>
      <c r="C977" s="1" t="n">
        <v>45474</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5860-2024</t>
        </is>
      </c>
      <c r="B978" s="1" t="n">
        <v>45335</v>
      </c>
      <c r="C978" s="1" t="n">
        <v>45474</v>
      </c>
      <c r="D978" t="inlineStr">
        <is>
          <t>UPPSALA LÄN</t>
        </is>
      </c>
      <c r="E978" t="inlineStr">
        <is>
          <t>ÖSTHAMMAR</t>
        </is>
      </c>
      <c r="G978" t="n">
        <v>2.1</v>
      </c>
      <c r="H978" t="n">
        <v>0</v>
      </c>
      <c r="I978" t="n">
        <v>0</v>
      </c>
      <c r="J978" t="n">
        <v>0</v>
      </c>
      <c r="K978" t="n">
        <v>0</v>
      </c>
      <c r="L978" t="n">
        <v>0</v>
      </c>
      <c r="M978" t="n">
        <v>0</v>
      </c>
      <c r="N978" t="n">
        <v>0</v>
      </c>
      <c r="O978" t="n">
        <v>0</v>
      </c>
      <c r="P978" t="n">
        <v>0</v>
      </c>
      <c r="Q978" t="n">
        <v>0</v>
      </c>
      <c r="R978" s="2" t="inlineStr"/>
    </row>
    <row r="979" ht="15" customHeight="1">
      <c r="A979" t="inlineStr">
        <is>
          <t>A 6120-2024</t>
        </is>
      </c>
      <c r="B979" s="1" t="n">
        <v>45337</v>
      </c>
      <c r="C979" s="1" t="n">
        <v>45474</v>
      </c>
      <c r="D979" t="inlineStr">
        <is>
          <t>UPPSALA LÄN</t>
        </is>
      </c>
      <c r="E979" t="inlineStr">
        <is>
          <t>ÖSTHAMMAR</t>
        </is>
      </c>
      <c r="G979" t="n">
        <v>0.7</v>
      </c>
      <c r="H979" t="n">
        <v>0</v>
      </c>
      <c r="I979" t="n">
        <v>0</v>
      </c>
      <c r="J979" t="n">
        <v>0</v>
      </c>
      <c r="K979" t="n">
        <v>0</v>
      </c>
      <c r="L979" t="n">
        <v>0</v>
      </c>
      <c r="M979" t="n">
        <v>0</v>
      </c>
      <c r="N979" t="n">
        <v>0</v>
      </c>
      <c r="O979" t="n">
        <v>0</v>
      </c>
      <c r="P979" t="n">
        <v>0</v>
      </c>
      <c r="Q979" t="n">
        <v>0</v>
      </c>
      <c r="R979" s="2" t="inlineStr"/>
    </row>
    <row r="980" ht="15" customHeight="1">
      <c r="A980" t="inlineStr">
        <is>
          <t>A 6102-2024</t>
        </is>
      </c>
      <c r="B980" s="1" t="n">
        <v>45337</v>
      </c>
      <c r="C980" s="1" t="n">
        <v>45474</v>
      </c>
      <c r="D980" t="inlineStr">
        <is>
          <t>UPPSALA LÄN</t>
        </is>
      </c>
      <c r="E980" t="inlineStr">
        <is>
          <t>ÖSTHAMMAR</t>
        </is>
      </c>
      <c r="G980" t="n">
        <v>2.7</v>
      </c>
      <c r="H980" t="n">
        <v>0</v>
      </c>
      <c r="I980" t="n">
        <v>0</v>
      </c>
      <c r="J980" t="n">
        <v>0</v>
      </c>
      <c r="K980" t="n">
        <v>0</v>
      </c>
      <c r="L980" t="n">
        <v>0</v>
      </c>
      <c r="M980" t="n">
        <v>0</v>
      </c>
      <c r="N980" t="n">
        <v>0</v>
      </c>
      <c r="O980" t="n">
        <v>0</v>
      </c>
      <c r="P980" t="n">
        <v>0</v>
      </c>
      <c r="Q980" t="n">
        <v>0</v>
      </c>
      <c r="R980" s="2" t="inlineStr"/>
    </row>
    <row r="981" ht="15" customHeight="1">
      <c r="A981" t="inlineStr">
        <is>
          <t>A 6106-2024</t>
        </is>
      </c>
      <c r="B981" s="1" t="n">
        <v>45337</v>
      </c>
      <c r="C981" s="1" t="n">
        <v>45474</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6143-2024</t>
        </is>
      </c>
      <c r="B982" s="1" t="n">
        <v>45337</v>
      </c>
      <c r="C982" s="1" t="n">
        <v>45474</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6121-2024</t>
        </is>
      </c>
      <c r="B983" s="1" t="n">
        <v>45337</v>
      </c>
      <c r="C983" s="1" t="n">
        <v>45474</v>
      </c>
      <c r="D983" t="inlineStr">
        <is>
          <t>UPPSALA LÄN</t>
        </is>
      </c>
      <c r="E983" t="inlineStr">
        <is>
          <t>ÖSTHAMMAR</t>
        </is>
      </c>
      <c r="G983" t="n">
        <v>0.4</v>
      </c>
      <c r="H983" t="n">
        <v>0</v>
      </c>
      <c r="I983" t="n">
        <v>0</v>
      </c>
      <c r="J983" t="n">
        <v>0</v>
      </c>
      <c r="K983" t="n">
        <v>0</v>
      </c>
      <c r="L983" t="n">
        <v>0</v>
      </c>
      <c r="M983" t="n">
        <v>0</v>
      </c>
      <c r="N983" t="n">
        <v>0</v>
      </c>
      <c r="O983" t="n">
        <v>0</v>
      </c>
      <c r="P983" t="n">
        <v>0</v>
      </c>
      <c r="Q983" t="n">
        <v>0</v>
      </c>
      <c r="R983" s="2" t="inlineStr"/>
    </row>
    <row r="984" ht="15" customHeight="1">
      <c r="A984" t="inlineStr">
        <is>
          <t>A 6418-2024</t>
        </is>
      </c>
      <c r="B984" s="1" t="n">
        <v>45338</v>
      </c>
      <c r="C984" s="1" t="n">
        <v>45474</v>
      </c>
      <c r="D984" t="inlineStr">
        <is>
          <t>UPPSALA LÄN</t>
        </is>
      </c>
      <c r="E984" t="inlineStr">
        <is>
          <t>ÖSTHAMMAR</t>
        </is>
      </c>
      <c r="G984" t="n">
        <v>3.4</v>
      </c>
      <c r="H984" t="n">
        <v>0</v>
      </c>
      <c r="I984" t="n">
        <v>0</v>
      </c>
      <c r="J984" t="n">
        <v>0</v>
      </c>
      <c r="K984" t="n">
        <v>0</v>
      </c>
      <c r="L984" t="n">
        <v>0</v>
      </c>
      <c r="M984" t="n">
        <v>0</v>
      </c>
      <c r="N984" t="n">
        <v>0</v>
      </c>
      <c r="O984" t="n">
        <v>0</v>
      </c>
      <c r="P984" t="n">
        <v>0</v>
      </c>
      <c r="Q984" t="n">
        <v>0</v>
      </c>
      <c r="R984" s="2" t="inlineStr"/>
    </row>
    <row r="985" ht="15" customHeight="1">
      <c r="A985" t="inlineStr">
        <is>
          <t>A 6656-2024</t>
        </is>
      </c>
      <c r="B985" s="1" t="n">
        <v>45341</v>
      </c>
      <c r="C985" s="1" t="n">
        <v>45474</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6661-2024</t>
        </is>
      </c>
      <c r="B986" s="1" t="n">
        <v>45341</v>
      </c>
      <c r="C986" s="1" t="n">
        <v>45474</v>
      </c>
      <c r="D986" t="inlineStr">
        <is>
          <t>UPPSALA LÄN</t>
        </is>
      </c>
      <c r="E986" t="inlineStr">
        <is>
          <t>ÖSTHAMMAR</t>
        </is>
      </c>
      <c r="G986" t="n">
        <v>0.2</v>
      </c>
      <c r="H986" t="n">
        <v>0</v>
      </c>
      <c r="I986" t="n">
        <v>0</v>
      </c>
      <c r="J986" t="n">
        <v>0</v>
      </c>
      <c r="K986" t="n">
        <v>0</v>
      </c>
      <c r="L986" t="n">
        <v>0</v>
      </c>
      <c r="M986" t="n">
        <v>0</v>
      </c>
      <c r="N986" t="n">
        <v>0</v>
      </c>
      <c r="O986" t="n">
        <v>0</v>
      </c>
      <c r="P986" t="n">
        <v>0</v>
      </c>
      <c r="Q986" t="n">
        <v>0</v>
      </c>
      <c r="R986" s="2" t="inlineStr"/>
    </row>
    <row r="987" ht="15" customHeight="1">
      <c r="A987" t="inlineStr">
        <is>
          <t>A 8673-2024</t>
        </is>
      </c>
      <c r="B987" s="1" t="n">
        <v>45356</v>
      </c>
      <c r="C987" s="1" t="n">
        <v>45474</v>
      </c>
      <c r="D987" t="inlineStr">
        <is>
          <t>UPPSALA LÄN</t>
        </is>
      </c>
      <c r="E987" t="inlineStr">
        <is>
          <t>ÖSTHAMMAR</t>
        </is>
      </c>
      <c r="G987" t="n">
        <v>2.2</v>
      </c>
      <c r="H987" t="n">
        <v>0</v>
      </c>
      <c r="I987" t="n">
        <v>0</v>
      </c>
      <c r="J987" t="n">
        <v>0</v>
      </c>
      <c r="K987" t="n">
        <v>0</v>
      </c>
      <c r="L987" t="n">
        <v>0</v>
      </c>
      <c r="M987" t="n">
        <v>0</v>
      </c>
      <c r="N987" t="n">
        <v>0</v>
      </c>
      <c r="O987" t="n">
        <v>0</v>
      </c>
      <c r="P987" t="n">
        <v>0</v>
      </c>
      <c r="Q987" t="n">
        <v>0</v>
      </c>
      <c r="R987" s="2" t="inlineStr"/>
    </row>
    <row r="988" ht="15" customHeight="1">
      <c r="A988" t="inlineStr">
        <is>
          <t>A 9264-2024</t>
        </is>
      </c>
      <c r="B988" s="1" t="n">
        <v>45358</v>
      </c>
      <c r="C988" s="1" t="n">
        <v>45474</v>
      </c>
      <c r="D988" t="inlineStr">
        <is>
          <t>UPPSALA LÄN</t>
        </is>
      </c>
      <c r="E988" t="inlineStr">
        <is>
          <t>ÖSTHAMMAR</t>
        </is>
      </c>
      <c r="F988" t="inlineStr">
        <is>
          <t>Bergvik skog öst AB</t>
        </is>
      </c>
      <c r="G988" t="n">
        <v>0.4</v>
      </c>
      <c r="H988" t="n">
        <v>0</v>
      </c>
      <c r="I988" t="n">
        <v>0</v>
      </c>
      <c r="J988" t="n">
        <v>0</v>
      </c>
      <c r="K988" t="n">
        <v>0</v>
      </c>
      <c r="L988" t="n">
        <v>0</v>
      </c>
      <c r="M988" t="n">
        <v>0</v>
      </c>
      <c r="N988" t="n">
        <v>0</v>
      </c>
      <c r="O988" t="n">
        <v>0</v>
      </c>
      <c r="P988" t="n">
        <v>0</v>
      </c>
      <c r="Q988" t="n">
        <v>0</v>
      </c>
      <c r="R988" s="2" t="inlineStr"/>
    </row>
    <row r="989" ht="15" customHeight="1">
      <c r="A989" t="inlineStr">
        <is>
          <t>A 9267-2024</t>
        </is>
      </c>
      <c r="B989" s="1" t="n">
        <v>45358</v>
      </c>
      <c r="C989" s="1" t="n">
        <v>45474</v>
      </c>
      <c r="D989" t="inlineStr">
        <is>
          <t>UPPSALA LÄN</t>
        </is>
      </c>
      <c r="E989" t="inlineStr">
        <is>
          <t>ÖSTHAMMAR</t>
        </is>
      </c>
      <c r="F989" t="inlineStr">
        <is>
          <t>Bergvik skog öst AB</t>
        </is>
      </c>
      <c r="G989" t="n">
        <v>1.3</v>
      </c>
      <c r="H989" t="n">
        <v>0</v>
      </c>
      <c r="I989" t="n">
        <v>0</v>
      </c>
      <c r="J989" t="n">
        <v>0</v>
      </c>
      <c r="K989" t="n">
        <v>0</v>
      </c>
      <c r="L989" t="n">
        <v>0</v>
      </c>
      <c r="M989" t="n">
        <v>0</v>
      </c>
      <c r="N989" t="n">
        <v>0</v>
      </c>
      <c r="O989" t="n">
        <v>0</v>
      </c>
      <c r="P989" t="n">
        <v>0</v>
      </c>
      <c r="Q989" t="n">
        <v>0</v>
      </c>
      <c r="R989" s="2" t="inlineStr"/>
    </row>
    <row r="990" ht="15" customHeight="1">
      <c r="A990" t="inlineStr">
        <is>
          <t>A 9291-2024</t>
        </is>
      </c>
      <c r="B990" s="1" t="n">
        <v>45358</v>
      </c>
      <c r="C990" s="1" t="n">
        <v>45474</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9642-2024</t>
        </is>
      </c>
      <c r="B991" s="1" t="n">
        <v>45362</v>
      </c>
      <c r="C991" s="1" t="n">
        <v>45474</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9715-2024</t>
        </is>
      </c>
      <c r="B992" s="1" t="n">
        <v>45362</v>
      </c>
      <c r="C992" s="1" t="n">
        <v>45474</v>
      </c>
      <c r="D992" t="inlineStr">
        <is>
          <t>UPPSALA LÄN</t>
        </is>
      </c>
      <c r="E992" t="inlineStr">
        <is>
          <t>ÖSTHAMMAR</t>
        </is>
      </c>
      <c r="G992" t="n">
        <v>4.7</v>
      </c>
      <c r="H992" t="n">
        <v>0</v>
      </c>
      <c r="I992" t="n">
        <v>0</v>
      </c>
      <c r="J992" t="n">
        <v>0</v>
      </c>
      <c r="K992" t="n">
        <v>0</v>
      </c>
      <c r="L992" t="n">
        <v>0</v>
      </c>
      <c r="M992" t="n">
        <v>0</v>
      </c>
      <c r="N992" t="n">
        <v>0</v>
      </c>
      <c r="O992" t="n">
        <v>0</v>
      </c>
      <c r="P992" t="n">
        <v>0</v>
      </c>
      <c r="Q992" t="n">
        <v>0</v>
      </c>
      <c r="R992" s="2" t="inlineStr"/>
    </row>
    <row r="993" ht="15" customHeight="1">
      <c r="A993" t="inlineStr">
        <is>
          <t>A 9927-2024</t>
        </is>
      </c>
      <c r="B993" s="1" t="n">
        <v>45363</v>
      </c>
      <c r="C993" s="1" t="n">
        <v>45474</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10430-2024</t>
        </is>
      </c>
      <c r="B994" s="1" t="n">
        <v>45365</v>
      </c>
      <c r="C994" s="1" t="n">
        <v>45474</v>
      </c>
      <c r="D994" t="inlineStr">
        <is>
          <t>UPPSALA LÄN</t>
        </is>
      </c>
      <c r="E994" t="inlineStr">
        <is>
          <t>ÖSTHAMMAR</t>
        </is>
      </c>
      <c r="F994" t="inlineStr">
        <is>
          <t>Bergvik skog öst AB</t>
        </is>
      </c>
      <c r="G994" t="n">
        <v>5.8</v>
      </c>
      <c r="H994" t="n">
        <v>0</v>
      </c>
      <c r="I994" t="n">
        <v>0</v>
      </c>
      <c r="J994" t="n">
        <v>0</v>
      </c>
      <c r="K994" t="n">
        <v>0</v>
      </c>
      <c r="L994" t="n">
        <v>0</v>
      </c>
      <c r="M994" t="n">
        <v>0</v>
      </c>
      <c r="N994" t="n">
        <v>0</v>
      </c>
      <c r="O994" t="n">
        <v>0</v>
      </c>
      <c r="P994" t="n">
        <v>0</v>
      </c>
      <c r="Q994" t="n">
        <v>0</v>
      </c>
      <c r="R994" s="2" t="inlineStr"/>
    </row>
    <row r="995" ht="15" customHeight="1">
      <c r="A995" t="inlineStr">
        <is>
          <t>A 10429-2024</t>
        </is>
      </c>
      <c r="B995" s="1" t="n">
        <v>45365</v>
      </c>
      <c r="C995" s="1" t="n">
        <v>45474</v>
      </c>
      <c r="D995" t="inlineStr">
        <is>
          <t>UPPSALA LÄN</t>
        </is>
      </c>
      <c r="E995" t="inlineStr">
        <is>
          <t>ÖSTHAMMAR</t>
        </is>
      </c>
      <c r="F995" t="inlineStr">
        <is>
          <t>Bergvik skog öst AB</t>
        </is>
      </c>
      <c r="G995" t="n">
        <v>5.9</v>
      </c>
      <c r="H995" t="n">
        <v>0</v>
      </c>
      <c r="I995" t="n">
        <v>0</v>
      </c>
      <c r="J995" t="n">
        <v>0</v>
      </c>
      <c r="K995" t="n">
        <v>0</v>
      </c>
      <c r="L995" t="n">
        <v>0</v>
      </c>
      <c r="M995" t="n">
        <v>0</v>
      </c>
      <c r="N995" t="n">
        <v>0</v>
      </c>
      <c r="O995" t="n">
        <v>0</v>
      </c>
      <c r="P995" t="n">
        <v>0</v>
      </c>
      <c r="Q995" t="n">
        <v>0</v>
      </c>
      <c r="R995" s="2" t="inlineStr"/>
    </row>
    <row r="996" ht="15" customHeight="1">
      <c r="A996" t="inlineStr">
        <is>
          <t>A 10431-2024</t>
        </is>
      </c>
      <c r="B996" s="1" t="n">
        <v>45365</v>
      </c>
      <c r="C996" s="1" t="n">
        <v>45474</v>
      </c>
      <c r="D996" t="inlineStr">
        <is>
          <t>UPPSALA LÄN</t>
        </is>
      </c>
      <c r="E996" t="inlineStr">
        <is>
          <t>ÖSTHAMMAR</t>
        </is>
      </c>
      <c r="F996" t="inlineStr">
        <is>
          <t>Bergvik skog öst AB</t>
        </is>
      </c>
      <c r="G996" t="n">
        <v>13.2</v>
      </c>
      <c r="H996" t="n">
        <v>0</v>
      </c>
      <c r="I996" t="n">
        <v>0</v>
      </c>
      <c r="J996" t="n">
        <v>0</v>
      </c>
      <c r="K996" t="n">
        <v>0</v>
      </c>
      <c r="L996" t="n">
        <v>0</v>
      </c>
      <c r="M996" t="n">
        <v>0</v>
      </c>
      <c r="N996" t="n">
        <v>0</v>
      </c>
      <c r="O996" t="n">
        <v>0</v>
      </c>
      <c r="P996" t="n">
        <v>0</v>
      </c>
      <c r="Q996" t="n">
        <v>0</v>
      </c>
      <c r="R996" s="2" t="inlineStr"/>
    </row>
    <row r="997" ht="15" customHeight="1">
      <c r="A997" t="inlineStr">
        <is>
          <t>A 10638-2024</t>
        </is>
      </c>
      <c r="B997" s="1" t="n">
        <v>45367</v>
      </c>
      <c r="C997" s="1" t="n">
        <v>45474</v>
      </c>
      <c r="D997" t="inlineStr">
        <is>
          <t>UPPSALA LÄN</t>
        </is>
      </c>
      <c r="E997" t="inlineStr">
        <is>
          <t>ÖSTHAMMAR</t>
        </is>
      </c>
      <c r="F997" t="inlineStr">
        <is>
          <t>Bergvik skog öst AB</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10983-2024</t>
        </is>
      </c>
      <c r="B998" s="1" t="n">
        <v>45370</v>
      </c>
      <c r="C998" s="1" t="n">
        <v>45474</v>
      </c>
      <c r="D998" t="inlineStr">
        <is>
          <t>UPPSALA LÄN</t>
        </is>
      </c>
      <c r="E998" t="inlineStr">
        <is>
          <t>ÖSTHAMMAR</t>
        </is>
      </c>
      <c r="F998" t="inlineStr">
        <is>
          <t>Bergvik skog öst AB</t>
        </is>
      </c>
      <c r="G998" t="n">
        <v>13.2</v>
      </c>
      <c r="H998" t="n">
        <v>0</v>
      </c>
      <c r="I998" t="n">
        <v>0</v>
      </c>
      <c r="J998" t="n">
        <v>0</v>
      </c>
      <c r="K998" t="n">
        <v>0</v>
      </c>
      <c r="L998" t="n">
        <v>0</v>
      </c>
      <c r="M998" t="n">
        <v>0</v>
      </c>
      <c r="N998" t="n">
        <v>0</v>
      </c>
      <c r="O998" t="n">
        <v>0</v>
      </c>
      <c r="P998" t="n">
        <v>0</v>
      </c>
      <c r="Q998" t="n">
        <v>0</v>
      </c>
      <c r="R998" s="2" t="inlineStr"/>
    </row>
    <row r="999" ht="15" customHeight="1">
      <c r="A999" t="inlineStr">
        <is>
          <t>A 10960-2024</t>
        </is>
      </c>
      <c r="B999" s="1" t="n">
        <v>45370</v>
      </c>
      <c r="C999" s="1" t="n">
        <v>45474</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11367-2024</t>
        </is>
      </c>
      <c r="B1000" s="1" t="n">
        <v>45372</v>
      </c>
      <c r="C1000" s="1" t="n">
        <v>45474</v>
      </c>
      <c r="D1000" t="inlineStr">
        <is>
          <t>UPPSALA LÄN</t>
        </is>
      </c>
      <c r="E1000" t="inlineStr">
        <is>
          <t>ÖSTHAMMAR</t>
        </is>
      </c>
      <c r="F1000" t="inlineStr">
        <is>
          <t>Bergvik skog öst AB</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11385-2024</t>
        </is>
      </c>
      <c r="B1001" s="1" t="n">
        <v>45372</v>
      </c>
      <c r="C1001" s="1" t="n">
        <v>45474</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11498-2024</t>
        </is>
      </c>
      <c r="B1002" s="1" t="n">
        <v>45372</v>
      </c>
      <c r="C1002" s="1" t="n">
        <v>45474</v>
      </c>
      <c r="D1002" t="inlineStr">
        <is>
          <t>UPPSALA LÄN</t>
        </is>
      </c>
      <c r="E1002" t="inlineStr">
        <is>
          <t>ÖSTHAMMAR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11472-2024</t>
        </is>
      </c>
      <c r="B1003" s="1" t="n">
        <v>45372</v>
      </c>
      <c r="C1003" s="1" t="n">
        <v>45474</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11656-2024</t>
        </is>
      </c>
      <c r="B1004" s="1" t="n">
        <v>45373</v>
      </c>
      <c r="C1004" s="1" t="n">
        <v>45474</v>
      </c>
      <c r="D1004" t="inlineStr">
        <is>
          <t>UPPSALA LÄN</t>
        </is>
      </c>
      <c r="E1004" t="inlineStr">
        <is>
          <t>ÖSTHAMMAR</t>
        </is>
      </c>
      <c r="F1004" t="inlineStr">
        <is>
          <t>Övriga Aktiebolag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11798-2024</t>
        </is>
      </c>
      <c r="B1005" s="1" t="n">
        <v>45375</v>
      </c>
      <c r="C1005" s="1" t="n">
        <v>45474</v>
      </c>
      <c r="D1005" t="inlineStr">
        <is>
          <t>UPPSALA LÄN</t>
        </is>
      </c>
      <c r="E1005" t="inlineStr">
        <is>
          <t>ÖSTHAMMAR</t>
        </is>
      </c>
      <c r="F1005" t="inlineStr">
        <is>
          <t>Bergvik skog öst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11799-2024</t>
        </is>
      </c>
      <c r="B1006" s="1" t="n">
        <v>45375</v>
      </c>
      <c r="C1006" s="1" t="n">
        <v>45474</v>
      </c>
      <c r="D1006" t="inlineStr">
        <is>
          <t>UPPSALA LÄN</t>
        </is>
      </c>
      <c r="E1006" t="inlineStr">
        <is>
          <t>ÖSTHAMMAR</t>
        </is>
      </c>
      <c r="F1006" t="inlineStr">
        <is>
          <t>Bergvik skog öst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12028-2024</t>
        </is>
      </c>
      <c r="B1007" s="1" t="n">
        <v>45377</v>
      </c>
      <c r="C1007" s="1" t="n">
        <v>45474</v>
      </c>
      <c r="D1007" t="inlineStr">
        <is>
          <t>UPPSALA LÄN</t>
        </is>
      </c>
      <c r="E1007" t="inlineStr">
        <is>
          <t>ÖSTHAMMAR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12278-2024</t>
        </is>
      </c>
      <c r="B1008" s="1" t="n">
        <v>45378</v>
      </c>
      <c r="C1008" s="1" t="n">
        <v>45474</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12487-2024</t>
        </is>
      </c>
      <c r="B1009" s="1" t="n">
        <v>45379</v>
      </c>
      <c r="C1009" s="1" t="n">
        <v>45474</v>
      </c>
      <c r="D1009" t="inlineStr">
        <is>
          <t>UPPSALA LÄN</t>
        </is>
      </c>
      <c r="E1009" t="inlineStr">
        <is>
          <t>ÖSTHAMMAR</t>
        </is>
      </c>
      <c r="F1009" t="inlineStr">
        <is>
          <t>Bergvik skog öst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12486-2024</t>
        </is>
      </c>
      <c r="B1010" s="1" t="n">
        <v>45379</v>
      </c>
      <c r="C1010" s="1" t="n">
        <v>45474</v>
      </c>
      <c r="D1010" t="inlineStr">
        <is>
          <t>UPPSALA LÄN</t>
        </is>
      </c>
      <c r="E1010" t="inlineStr">
        <is>
          <t>ÖSTHAMMAR</t>
        </is>
      </c>
      <c r="F1010" t="inlineStr">
        <is>
          <t>Bergvik skog öst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12498-2024</t>
        </is>
      </c>
      <c r="B1011" s="1" t="n">
        <v>45379</v>
      </c>
      <c r="C1011" s="1" t="n">
        <v>45474</v>
      </c>
      <c r="D1011" t="inlineStr">
        <is>
          <t>UPPSALA LÄN</t>
        </is>
      </c>
      <c r="E1011" t="inlineStr">
        <is>
          <t>ÖSTHAMMAR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12534-2024</t>
        </is>
      </c>
      <c r="B1012" s="1" t="n">
        <v>45379</v>
      </c>
      <c r="C1012" s="1" t="n">
        <v>45474</v>
      </c>
      <c r="D1012" t="inlineStr">
        <is>
          <t>UPPSALA LÄN</t>
        </is>
      </c>
      <c r="E1012" t="inlineStr">
        <is>
          <t>ÖSTHAMMAR</t>
        </is>
      </c>
      <c r="F1012" t="inlineStr">
        <is>
          <t>Bergvik skog öst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12531-2024</t>
        </is>
      </c>
      <c r="B1013" s="1" t="n">
        <v>45379</v>
      </c>
      <c r="C1013" s="1" t="n">
        <v>45474</v>
      </c>
      <c r="D1013" t="inlineStr">
        <is>
          <t>UPPSALA LÄN</t>
        </is>
      </c>
      <c r="E1013" t="inlineStr">
        <is>
          <t>ÖSTHAMMAR</t>
        </is>
      </c>
      <c r="F1013" t="inlineStr">
        <is>
          <t>Bergvik skog öst AB</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12528-2024</t>
        </is>
      </c>
      <c r="B1014" s="1" t="n">
        <v>45379</v>
      </c>
      <c r="C1014" s="1" t="n">
        <v>45474</v>
      </c>
      <c r="D1014" t="inlineStr">
        <is>
          <t>UPPSALA LÄN</t>
        </is>
      </c>
      <c r="E1014" t="inlineStr">
        <is>
          <t>ÖSTHAMMAR</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12649-2024</t>
        </is>
      </c>
      <c r="B1015" s="1" t="n">
        <v>45384</v>
      </c>
      <c r="C1015" s="1" t="n">
        <v>45474</v>
      </c>
      <c r="D1015" t="inlineStr">
        <is>
          <t>UPPSALA LÄN</t>
        </is>
      </c>
      <c r="E1015" t="inlineStr">
        <is>
          <t>ÖSTHAMMAR</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12676-2024</t>
        </is>
      </c>
      <c r="B1016" s="1" t="n">
        <v>45384</v>
      </c>
      <c r="C1016" s="1" t="n">
        <v>45474</v>
      </c>
      <c r="D1016" t="inlineStr">
        <is>
          <t>UPPSALA LÄN</t>
        </is>
      </c>
      <c r="E1016" t="inlineStr">
        <is>
          <t>ÖSTHAMMAR</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12756-2024</t>
        </is>
      </c>
      <c r="B1017" s="1" t="n">
        <v>45384</v>
      </c>
      <c r="C1017" s="1" t="n">
        <v>45474</v>
      </c>
      <c r="D1017" t="inlineStr">
        <is>
          <t>UPPSALA LÄN</t>
        </is>
      </c>
      <c r="E1017" t="inlineStr">
        <is>
          <t>ÖSTHAMMAR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12812-2024</t>
        </is>
      </c>
      <c r="B1018" s="1" t="n">
        <v>45384</v>
      </c>
      <c r="C1018" s="1" t="n">
        <v>45474</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13059-2024</t>
        </is>
      </c>
      <c r="B1019" s="1" t="n">
        <v>45385</v>
      </c>
      <c r="C1019" s="1" t="n">
        <v>45474</v>
      </c>
      <c r="D1019" t="inlineStr">
        <is>
          <t>UPPSALA LÄN</t>
        </is>
      </c>
      <c r="E1019" t="inlineStr">
        <is>
          <t>ÖSTHAMMAR</t>
        </is>
      </c>
      <c r="F1019" t="inlineStr">
        <is>
          <t>Bergvik skog öst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12947-2024</t>
        </is>
      </c>
      <c r="B1020" s="1" t="n">
        <v>45385</v>
      </c>
      <c r="C1020" s="1" t="n">
        <v>45474</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13113-2024</t>
        </is>
      </c>
      <c r="B1021" s="1" t="n">
        <v>45385</v>
      </c>
      <c r="C1021" s="1" t="n">
        <v>45474</v>
      </c>
      <c r="D1021" t="inlineStr">
        <is>
          <t>UPPSALA LÄN</t>
        </is>
      </c>
      <c r="E1021" t="inlineStr">
        <is>
          <t>ÖSTHAMMAR</t>
        </is>
      </c>
      <c r="F1021" t="inlineStr">
        <is>
          <t>Bergvik skog öst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13114-2024</t>
        </is>
      </c>
      <c r="B1022" s="1" t="n">
        <v>45385</v>
      </c>
      <c r="C1022" s="1" t="n">
        <v>45474</v>
      </c>
      <c r="D1022" t="inlineStr">
        <is>
          <t>UPPSALA LÄN</t>
        </is>
      </c>
      <c r="E1022" t="inlineStr">
        <is>
          <t>ÖSTHAMMAR</t>
        </is>
      </c>
      <c r="F1022" t="inlineStr">
        <is>
          <t>Bergvik skog öst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13315-2024</t>
        </is>
      </c>
      <c r="B1023" s="1" t="n">
        <v>45386</v>
      </c>
      <c r="C1023" s="1" t="n">
        <v>45474</v>
      </c>
      <c r="D1023" t="inlineStr">
        <is>
          <t>UPPSALA LÄN</t>
        </is>
      </c>
      <c r="E1023" t="inlineStr">
        <is>
          <t>ÖSTHAMMAR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13312-2024</t>
        </is>
      </c>
      <c r="B1024" s="1" t="n">
        <v>45386</v>
      </c>
      <c r="C1024" s="1" t="n">
        <v>45474</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13729-2024</t>
        </is>
      </c>
      <c r="B1025" s="1" t="n">
        <v>45387</v>
      </c>
      <c r="C1025" s="1" t="n">
        <v>45474</v>
      </c>
      <c r="D1025" t="inlineStr">
        <is>
          <t>UPPSALA LÄN</t>
        </is>
      </c>
      <c r="E1025" t="inlineStr">
        <is>
          <t>ÖSTHAMMAR</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13358-2024</t>
        </is>
      </c>
      <c r="B1026" s="1" t="n">
        <v>45387</v>
      </c>
      <c r="C1026" s="1" t="n">
        <v>45474</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13393-2024</t>
        </is>
      </c>
      <c r="B1027" s="1" t="n">
        <v>45387</v>
      </c>
      <c r="C1027" s="1" t="n">
        <v>45474</v>
      </c>
      <c r="D1027" t="inlineStr">
        <is>
          <t>UPPSALA LÄN</t>
        </is>
      </c>
      <c r="E1027" t="inlineStr">
        <is>
          <t>ÖSTHAMMAR</t>
        </is>
      </c>
      <c r="F1027" t="inlineStr">
        <is>
          <t>Kyrkan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13613-2024</t>
        </is>
      </c>
      <c r="B1028" s="1" t="n">
        <v>45390</v>
      </c>
      <c r="C1028" s="1" t="n">
        <v>45474</v>
      </c>
      <c r="D1028" t="inlineStr">
        <is>
          <t>UPPSALA LÄN</t>
        </is>
      </c>
      <c r="E1028" t="inlineStr">
        <is>
          <t>ÖSTHAMMAR</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13616-2024</t>
        </is>
      </c>
      <c r="B1029" s="1" t="n">
        <v>45390</v>
      </c>
      <c r="C1029" s="1" t="n">
        <v>45474</v>
      </c>
      <c r="D1029" t="inlineStr">
        <is>
          <t>UPPSALA LÄN</t>
        </is>
      </c>
      <c r="E1029" t="inlineStr">
        <is>
          <t>ÖSTHAMMAR</t>
        </is>
      </c>
      <c r="F1029" t="inlineStr">
        <is>
          <t>Övriga Aktiebolag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13615-2024</t>
        </is>
      </c>
      <c r="B1030" s="1" t="n">
        <v>45390</v>
      </c>
      <c r="C1030" s="1" t="n">
        <v>45474</v>
      </c>
      <c r="D1030" t="inlineStr">
        <is>
          <t>UPPSALA LÄN</t>
        </is>
      </c>
      <c r="E1030" t="inlineStr">
        <is>
          <t>ÖSTHAMMAR</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13618-2024</t>
        </is>
      </c>
      <c r="B1031" s="1" t="n">
        <v>45390</v>
      </c>
      <c r="C1031" s="1" t="n">
        <v>45474</v>
      </c>
      <c r="D1031" t="inlineStr">
        <is>
          <t>UPPSALA LÄN</t>
        </is>
      </c>
      <c r="E1031" t="inlineStr">
        <is>
          <t>ÖSTHAMMAR</t>
        </is>
      </c>
      <c r="F1031" t="inlineStr">
        <is>
          <t>Övriga Aktiebolag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13879-2024</t>
        </is>
      </c>
      <c r="B1032" s="1" t="n">
        <v>45391</v>
      </c>
      <c r="C1032" s="1" t="n">
        <v>45474</v>
      </c>
      <c r="D1032" t="inlineStr">
        <is>
          <t>UPPSALA LÄN</t>
        </is>
      </c>
      <c r="E1032" t="inlineStr">
        <is>
          <t>ÖSTHAMMAR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13779-2024</t>
        </is>
      </c>
      <c r="B1033" s="1" t="n">
        <v>45391</v>
      </c>
      <c r="C1033" s="1" t="n">
        <v>45474</v>
      </c>
      <c r="D1033" t="inlineStr">
        <is>
          <t>UPPSALA LÄN</t>
        </is>
      </c>
      <c r="E1033" t="inlineStr">
        <is>
          <t>ÖSTHAMMAR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14516-2024</t>
        </is>
      </c>
      <c r="B1034" s="1" t="n">
        <v>45394</v>
      </c>
      <c r="C1034" s="1" t="n">
        <v>45474</v>
      </c>
      <c r="D1034" t="inlineStr">
        <is>
          <t>UPPSALA LÄN</t>
        </is>
      </c>
      <c r="E1034" t="inlineStr">
        <is>
          <t>ÖSTHAMMAR</t>
        </is>
      </c>
      <c r="F1034" t="inlineStr">
        <is>
          <t>Bergvik skog öst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14509-2024</t>
        </is>
      </c>
      <c r="B1035" s="1" t="n">
        <v>45394</v>
      </c>
      <c r="C1035" s="1" t="n">
        <v>45474</v>
      </c>
      <c r="D1035" t="inlineStr">
        <is>
          <t>UPPSALA LÄN</t>
        </is>
      </c>
      <c r="E1035" t="inlineStr">
        <is>
          <t>ÖSTHAMMAR</t>
        </is>
      </c>
      <c r="F1035" t="inlineStr">
        <is>
          <t>Naturvårdsverket</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v>
      </c>
      <c r="C1036" s="1" t="n">
        <v>45474</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15165-2024</t>
        </is>
      </c>
      <c r="B1037" s="1" t="n">
        <v>45400</v>
      </c>
      <c r="C1037" s="1" t="n">
        <v>45474</v>
      </c>
      <c r="D1037" t="inlineStr">
        <is>
          <t>UPPSALA LÄN</t>
        </is>
      </c>
      <c r="E1037" t="inlineStr">
        <is>
          <t>ÖSTHAMMAR</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15169-2024</t>
        </is>
      </c>
      <c r="B1038" s="1" t="n">
        <v>45400</v>
      </c>
      <c r="C1038" s="1" t="n">
        <v>45474</v>
      </c>
      <c r="D1038" t="inlineStr">
        <is>
          <t>UPPSALA LÄN</t>
        </is>
      </c>
      <c r="E1038" t="inlineStr">
        <is>
          <t>ÖSTHAMMAR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15166-2024</t>
        </is>
      </c>
      <c r="B1039" s="1" t="n">
        <v>45400</v>
      </c>
      <c r="C1039" s="1" t="n">
        <v>45474</v>
      </c>
      <c r="D1039" t="inlineStr">
        <is>
          <t>UPPSALA LÄN</t>
        </is>
      </c>
      <c r="E1039" t="inlineStr">
        <is>
          <t>ÖSTHAMMAR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15575-2024</t>
        </is>
      </c>
      <c r="B1040" s="1" t="n">
        <v>45401</v>
      </c>
      <c r="C1040" s="1" t="n">
        <v>45474</v>
      </c>
      <c r="D1040" t="inlineStr">
        <is>
          <t>UPPSALA LÄN</t>
        </is>
      </c>
      <c r="E1040" t="inlineStr">
        <is>
          <t>ÖSTHAMMAR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16497-2024</t>
        </is>
      </c>
      <c r="B1041" s="1" t="n">
        <v>45408</v>
      </c>
      <c r="C1041" s="1" t="n">
        <v>45474</v>
      </c>
      <c r="D1041" t="inlineStr">
        <is>
          <t>UPPSALA LÄN</t>
        </is>
      </c>
      <c r="E1041" t="inlineStr">
        <is>
          <t>ÖSTHAMMAR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16736-2024</t>
        </is>
      </c>
      <c r="B1042" s="1" t="n">
        <v>45410</v>
      </c>
      <c r="C1042" s="1" t="n">
        <v>45474</v>
      </c>
      <c r="D1042" t="inlineStr">
        <is>
          <t>UPPSALA LÄN</t>
        </is>
      </c>
      <c r="E1042" t="inlineStr">
        <is>
          <t>ÖSTHAMMAR</t>
        </is>
      </c>
      <c r="F1042" t="inlineStr">
        <is>
          <t>Bergvik skog öst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16737-2024</t>
        </is>
      </c>
      <c r="B1043" s="1" t="n">
        <v>45410</v>
      </c>
      <c r="C1043" s="1" t="n">
        <v>45474</v>
      </c>
      <c r="D1043" t="inlineStr">
        <is>
          <t>UPPSALA LÄN</t>
        </is>
      </c>
      <c r="E1043" t="inlineStr">
        <is>
          <t>ÖSTHAMMAR</t>
        </is>
      </c>
      <c r="F1043" t="inlineStr">
        <is>
          <t>Bergvik skog öst AB</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16735-2024</t>
        </is>
      </c>
      <c r="B1044" s="1" t="n">
        <v>45410</v>
      </c>
      <c r="C1044" s="1" t="n">
        <v>45474</v>
      </c>
      <c r="D1044" t="inlineStr">
        <is>
          <t>UPPSALA LÄN</t>
        </is>
      </c>
      <c r="E1044" t="inlineStr">
        <is>
          <t>ÖSTHAMMAR</t>
        </is>
      </c>
      <c r="F1044" t="inlineStr">
        <is>
          <t>Bergvik skog öst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16734-2024</t>
        </is>
      </c>
      <c r="B1045" s="1" t="n">
        <v>45410</v>
      </c>
      <c r="C1045" s="1" t="n">
        <v>45474</v>
      </c>
      <c r="D1045" t="inlineStr">
        <is>
          <t>UPPSALA LÄN</t>
        </is>
      </c>
      <c r="E1045" t="inlineStr">
        <is>
          <t>ÖSTHAMMAR</t>
        </is>
      </c>
      <c r="F1045" t="inlineStr">
        <is>
          <t>Bergvik skog öst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16983-2024</t>
        </is>
      </c>
      <c r="B1046" s="1" t="n">
        <v>45412</v>
      </c>
      <c r="C1046" s="1" t="n">
        <v>45474</v>
      </c>
      <c r="D1046" t="inlineStr">
        <is>
          <t>UPPSALA LÄN</t>
        </is>
      </c>
      <c r="E1046" t="inlineStr">
        <is>
          <t>ÖSTHAMMAR</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17776-2024</t>
        </is>
      </c>
      <c r="B1047" s="1" t="n">
        <v>45418</v>
      </c>
      <c r="C1047" s="1" t="n">
        <v>45474</v>
      </c>
      <c r="D1047" t="inlineStr">
        <is>
          <t>UPPSALA LÄN</t>
        </is>
      </c>
      <c r="E1047" t="inlineStr">
        <is>
          <t>ÖSTHAMMAR</t>
        </is>
      </c>
      <c r="F1047" t="inlineStr">
        <is>
          <t>Bergvik skog öst AB</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17867-2024</t>
        </is>
      </c>
      <c r="B1048" s="1" t="n">
        <v>45419</v>
      </c>
      <c r="C1048" s="1" t="n">
        <v>45474</v>
      </c>
      <c r="D1048" t="inlineStr">
        <is>
          <t>UPPSALA LÄN</t>
        </is>
      </c>
      <c r="E1048" t="inlineStr">
        <is>
          <t>ÖSTHAMMAR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18539-2024</t>
        </is>
      </c>
      <c r="B1049" s="1" t="n">
        <v>45425</v>
      </c>
      <c r="C1049" s="1" t="n">
        <v>45474</v>
      </c>
      <c r="D1049" t="inlineStr">
        <is>
          <t>UPPSALA LÄN</t>
        </is>
      </c>
      <c r="E1049" t="inlineStr">
        <is>
          <t>ÖSTHAMMAR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18693-2024</t>
        </is>
      </c>
      <c r="B1050" s="1" t="n">
        <v>45426</v>
      </c>
      <c r="C1050" s="1" t="n">
        <v>45474</v>
      </c>
      <c r="D1050" t="inlineStr">
        <is>
          <t>UPPSALA LÄN</t>
        </is>
      </c>
      <c r="E1050" t="inlineStr">
        <is>
          <t>ÖSTHAMMAR</t>
        </is>
      </c>
      <c r="F1050" t="inlineStr">
        <is>
          <t>Bergvik skog öst AB</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18691-2024</t>
        </is>
      </c>
      <c r="B1051" s="1" t="n">
        <v>45426</v>
      </c>
      <c r="C1051" s="1" t="n">
        <v>45474</v>
      </c>
      <c r="D1051" t="inlineStr">
        <is>
          <t>UPPSALA LÄN</t>
        </is>
      </c>
      <c r="E1051" t="inlineStr">
        <is>
          <t>ÖSTHAMMAR</t>
        </is>
      </c>
      <c r="F1051" t="inlineStr">
        <is>
          <t>Bergvik skog öst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18705-2024</t>
        </is>
      </c>
      <c r="B1052" s="1" t="n">
        <v>45426</v>
      </c>
      <c r="C1052" s="1" t="n">
        <v>45474</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19056-2024</t>
        </is>
      </c>
      <c r="B1053" s="1" t="n">
        <v>45427</v>
      </c>
      <c r="C1053" s="1" t="n">
        <v>45474</v>
      </c>
      <c r="D1053" t="inlineStr">
        <is>
          <t>UPPSALA LÄN</t>
        </is>
      </c>
      <c r="E1053" t="inlineStr">
        <is>
          <t>ÖSTHAMMAR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18956-2024</t>
        </is>
      </c>
      <c r="B1054" s="1" t="n">
        <v>45427</v>
      </c>
      <c r="C1054" s="1" t="n">
        <v>45474</v>
      </c>
      <c r="D1054" t="inlineStr">
        <is>
          <t>UPPSALA LÄN</t>
        </is>
      </c>
      <c r="E1054" t="inlineStr">
        <is>
          <t>ÖSTHAMMAR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19375-2024</t>
        </is>
      </c>
      <c r="B1055" s="1" t="n">
        <v>45429</v>
      </c>
      <c r="C1055" s="1" t="n">
        <v>45474</v>
      </c>
      <c r="D1055" t="inlineStr">
        <is>
          <t>UPPSALA LÄN</t>
        </is>
      </c>
      <c r="E1055" t="inlineStr">
        <is>
          <t>ÖSTHAMMAR</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19662-2024</t>
        </is>
      </c>
      <c r="B1056" s="1" t="n">
        <v>45432</v>
      </c>
      <c r="C1056" s="1" t="n">
        <v>45474</v>
      </c>
      <c r="D1056" t="inlineStr">
        <is>
          <t>UPPSALA LÄN</t>
        </is>
      </c>
      <c r="E1056" t="inlineStr">
        <is>
          <t>ÖSTHAMMAR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19667-2024</t>
        </is>
      </c>
      <c r="B1057" s="1" t="n">
        <v>45432</v>
      </c>
      <c r="C1057" s="1" t="n">
        <v>45474</v>
      </c>
      <c r="D1057" t="inlineStr">
        <is>
          <t>UPPSALA LÄN</t>
        </is>
      </c>
      <c r="E1057" t="inlineStr">
        <is>
          <t>ÖSTHAMMAR</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19908-2024</t>
        </is>
      </c>
      <c r="B1058" s="1" t="n">
        <v>45433</v>
      </c>
      <c r="C1058" s="1" t="n">
        <v>45474</v>
      </c>
      <c r="D1058" t="inlineStr">
        <is>
          <t>UPPSALA LÄN</t>
        </is>
      </c>
      <c r="E1058" t="inlineStr">
        <is>
          <t>ÖSTHAMMAR</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19950-2024</t>
        </is>
      </c>
      <c r="B1059" s="1" t="n">
        <v>45433</v>
      </c>
      <c r="C1059" s="1" t="n">
        <v>45474</v>
      </c>
      <c r="D1059" t="inlineStr">
        <is>
          <t>UPPSALA LÄN</t>
        </is>
      </c>
      <c r="E1059" t="inlineStr">
        <is>
          <t>ÖSTHAMMAR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19947-2024</t>
        </is>
      </c>
      <c r="B1060" s="1" t="n">
        <v>45433</v>
      </c>
      <c r="C1060" s="1" t="n">
        <v>45474</v>
      </c>
      <c r="D1060" t="inlineStr">
        <is>
          <t>UPPSALA LÄN</t>
        </is>
      </c>
      <c r="E1060" t="inlineStr">
        <is>
          <t>ÖSTHAMMAR</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19945-2024</t>
        </is>
      </c>
      <c r="B1061" s="1" t="n">
        <v>45433</v>
      </c>
      <c r="C1061" s="1" t="n">
        <v>45474</v>
      </c>
      <c r="D1061" t="inlineStr">
        <is>
          <t>UPPSALA LÄN</t>
        </is>
      </c>
      <c r="E1061" t="inlineStr">
        <is>
          <t>ÖSTHAMMAR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20316-2024</t>
        </is>
      </c>
      <c r="B1062" s="1" t="n">
        <v>45435</v>
      </c>
      <c r="C1062" s="1" t="n">
        <v>45474</v>
      </c>
      <c r="D1062" t="inlineStr">
        <is>
          <t>UPPSALA LÄN</t>
        </is>
      </c>
      <c r="E1062" t="inlineStr">
        <is>
          <t>ÖSTHAMMAR</t>
        </is>
      </c>
      <c r="F1062" t="inlineStr">
        <is>
          <t>Bergvik skog öst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20419-2024</t>
        </is>
      </c>
      <c r="B1063" s="1" t="n">
        <v>45435</v>
      </c>
      <c r="C1063" s="1" t="n">
        <v>45474</v>
      </c>
      <c r="D1063" t="inlineStr">
        <is>
          <t>UPPSALA LÄN</t>
        </is>
      </c>
      <c r="E1063" t="inlineStr">
        <is>
          <t>ÖSTHAMMAR</t>
        </is>
      </c>
      <c r="F1063" t="inlineStr">
        <is>
          <t>Bergvik skog öst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20634-2024</t>
        </is>
      </c>
      <c r="B1064" s="1" t="n">
        <v>45436</v>
      </c>
      <c r="C1064" s="1" t="n">
        <v>45474</v>
      </c>
      <c r="D1064" t="inlineStr">
        <is>
          <t>UPPSALA LÄN</t>
        </is>
      </c>
      <c r="E1064" t="inlineStr">
        <is>
          <t>ÖSTHAMMAR</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21231-2024</t>
        </is>
      </c>
      <c r="B1065" s="1" t="n">
        <v>45440</v>
      </c>
      <c r="C1065" s="1" t="n">
        <v>45474</v>
      </c>
      <c r="D1065" t="inlineStr">
        <is>
          <t>UPPSALA LÄN</t>
        </is>
      </c>
      <c r="E1065" t="inlineStr">
        <is>
          <t>ÖSTHAMMAR</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21424-2024</t>
        </is>
      </c>
      <c r="B1066" s="1" t="n">
        <v>45441</v>
      </c>
      <c r="C1066" s="1" t="n">
        <v>45474</v>
      </c>
      <c r="D1066" t="inlineStr">
        <is>
          <t>UPPSALA LÄN</t>
        </is>
      </c>
      <c r="E1066" t="inlineStr">
        <is>
          <t>ÖSTHAMMAR</t>
        </is>
      </c>
      <c r="F1066" t="inlineStr">
        <is>
          <t>Bergvik skog öst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21413-2024</t>
        </is>
      </c>
      <c r="B1067" s="1" t="n">
        <v>45441</v>
      </c>
      <c r="C1067" s="1" t="n">
        <v>45474</v>
      </c>
      <c r="D1067" t="inlineStr">
        <is>
          <t>UPPSALA LÄN</t>
        </is>
      </c>
      <c r="E1067" t="inlineStr">
        <is>
          <t>ÖSTHAMMAR</t>
        </is>
      </c>
      <c r="F1067" t="inlineStr">
        <is>
          <t>Bergvik skog öst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21547-2024</t>
        </is>
      </c>
      <c r="B1068" s="1" t="n">
        <v>45441</v>
      </c>
      <c r="C1068" s="1" t="n">
        <v>45474</v>
      </c>
      <c r="D1068" t="inlineStr">
        <is>
          <t>UPPSALA LÄN</t>
        </is>
      </c>
      <c r="E1068" t="inlineStr">
        <is>
          <t>ÖSTHAMMAR</t>
        </is>
      </c>
      <c r="F1068" t="inlineStr">
        <is>
          <t>Bergvik skog öst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21505-2024</t>
        </is>
      </c>
      <c r="B1069" s="1" t="n">
        <v>45441</v>
      </c>
      <c r="C1069" s="1" t="n">
        <v>45474</v>
      </c>
      <c r="D1069" t="inlineStr">
        <is>
          <t>UPPSALA LÄN</t>
        </is>
      </c>
      <c r="E1069" t="inlineStr">
        <is>
          <t>ÖSTHAMMAR</t>
        </is>
      </c>
      <c r="F1069" t="inlineStr">
        <is>
          <t>Bergvik skog öst AB</t>
        </is>
      </c>
      <c r="G1069" t="n">
        <v>21.7</v>
      </c>
      <c r="H1069" t="n">
        <v>0</v>
      </c>
      <c r="I1069" t="n">
        <v>0</v>
      </c>
      <c r="J1069" t="n">
        <v>0</v>
      </c>
      <c r="K1069" t="n">
        <v>0</v>
      </c>
      <c r="L1069" t="n">
        <v>0</v>
      </c>
      <c r="M1069" t="n">
        <v>0</v>
      </c>
      <c r="N1069" t="n">
        <v>0</v>
      </c>
      <c r="O1069" t="n">
        <v>0</v>
      </c>
      <c r="P1069" t="n">
        <v>0</v>
      </c>
      <c r="Q1069" t="n">
        <v>0</v>
      </c>
      <c r="R1069" s="2" t="inlineStr"/>
    </row>
    <row r="1070" ht="15" customHeight="1">
      <c r="A1070" t="inlineStr">
        <is>
          <t>A 21655-2024</t>
        </is>
      </c>
      <c r="B1070" s="1" t="n">
        <v>45442</v>
      </c>
      <c r="C1070" s="1" t="n">
        <v>45474</v>
      </c>
      <c r="D1070" t="inlineStr">
        <is>
          <t>UPPSALA LÄN</t>
        </is>
      </c>
      <c r="E1070" t="inlineStr">
        <is>
          <t>ÖSTHAMMAR</t>
        </is>
      </c>
      <c r="F1070" t="inlineStr">
        <is>
          <t>Bergvik skog öst AB</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22057-2024</t>
        </is>
      </c>
      <c r="B1071" s="1" t="n">
        <v>45443</v>
      </c>
      <c r="C1071" s="1" t="n">
        <v>45474</v>
      </c>
      <c r="D1071" t="inlineStr">
        <is>
          <t>UPPSALA LÄN</t>
        </is>
      </c>
      <c r="E1071" t="inlineStr">
        <is>
          <t>ÖSTHAMMAR</t>
        </is>
      </c>
      <c r="F1071" t="inlineStr">
        <is>
          <t>Bergvik skog öst AB</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22217-2024</t>
        </is>
      </c>
      <c r="B1072" s="1" t="n">
        <v>45446</v>
      </c>
      <c r="C1072" s="1" t="n">
        <v>45474</v>
      </c>
      <c r="D1072" t="inlineStr">
        <is>
          <t>UPPSALA LÄN</t>
        </is>
      </c>
      <c r="E1072" t="inlineStr">
        <is>
          <t>ÖSTHAMMAR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22372-2024</t>
        </is>
      </c>
      <c r="B1073" s="1" t="n">
        <v>45446</v>
      </c>
      <c r="C1073" s="1" t="n">
        <v>45474</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22371-2024</t>
        </is>
      </c>
      <c r="B1074" s="1" t="n">
        <v>45446</v>
      </c>
      <c r="C1074" s="1" t="n">
        <v>45474</v>
      </c>
      <c r="D1074" t="inlineStr">
        <is>
          <t>UPPSALA LÄN</t>
        </is>
      </c>
      <c r="E1074" t="inlineStr">
        <is>
          <t>ÖSTHAMMAR</t>
        </is>
      </c>
      <c r="F1074" t="inlineStr">
        <is>
          <t>Bergvik skog öst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22373-2024</t>
        </is>
      </c>
      <c r="B1075" s="1" t="n">
        <v>45446</v>
      </c>
      <c r="C1075" s="1" t="n">
        <v>45474</v>
      </c>
      <c r="D1075" t="inlineStr">
        <is>
          <t>UPPSALA LÄN</t>
        </is>
      </c>
      <c r="E1075" t="inlineStr">
        <is>
          <t>ÖSTHAMMAR</t>
        </is>
      </c>
      <c r="F1075" t="inlineStr">
        <is>
          <t>Bergvik skog öst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22725-2024</t>
        </is>
      </c>
      <c r="B1076" s="1" t="n">
        <v>45448</v>
      </c>
      <c r="C1076" s="1" t="n">
        <v>45474</v>
      </c>
      <c r="D1076" t="inlineStr">
        <is>
          <t>UPPSALA LÄN</t>
        </is>
      </c>
      <c r="E1076" t="inlineStr">
        <is>
          <t>ÖSTHAMMAR</t>
        </is>
      </c>
      <c r="F1076" t="inlineStr">
        <is>
          <t>Bergvik skog öst AB</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22915-2024</t>
        </is>
      </c>
      <c r="B1077" s="1" t="n">
        <v>45448</v>
      </c>
      <c r="C1077" s="1" t="n">
        <v>45474</v>
      </c>
      <c r="D1077" t="inlineStr">
        <is>
          <t>UPPSALA LÄN</t>
        </is>
      </c>
      <c r="E1077" t="inlineStr">
        <is>
          <t>ÖSTHAMMAR</t>
        </is>
      </c>
      <c r="F1077" t="inlineStr">
        <is>
          <t>Bergvik skog öst AB</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22919-2024</t>
        </is>
      </c>
      <c r="B1078" s="1" t="n">
        <v>45448</v>
      </c>
      <c r="C1078" s="1" t="n">
        <v>45474</v>
      </c>
      <c r="D1078" t="inlineStr">
        <is>
          <t>UPPSALA LÄN</t>
        </is>
      </c>
      <c r="E1078" t="inlineStr">
        <is>
          <t>ÖSTHAMMAR</t>
        </is>
      </c>
      <c r="F1078" t="inlineStr">
        <is>
          <t>Bergvik skog öst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22884-2024</t>
        </is>
      </c>
      <c r="B1079" s="1" t="n">
        <v>45448</v>
      </c>
      <c r="C1079" s="1" t="n">
        <v>45474</v>
      </c>
      <c r="D1079" t="inlineStr">
        <is>
          <t>UPPSALA LÄN</t>
        </is>
      </c>
      <c r="E1079" t="inlineStr">
        <is>
          <t>ÖSTHAMMAR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23652-2024</t>
        </is>
      </c>
      <c r="B1080" s="1" t="n">
        <v>45454</v>
      </c>
      <c r="C1080" s="1" t="n">
        <v>45474</v>
      </c>
      <c r="D1080" t="inlineStr">
        <is>
          <t>UPPSALA LÄN</t>
        </is>
      </c>
      <c r="E1080" t="inlineStr">
        <is>
          <t>ÖSTHAMMAR</t>
        </is>
      </c>
      <c r="F1080" t="inlineStr">
        <is>
          <t>Bergvik skog öst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23741-2024</t>
        </is>
      </c>
      <c r="B1081" s="1" t="n">
        <v>45455</v>
      </c>
      <c r="C1081" s="1" t="n">
        <v>45474</v>
      </c>
      <c r="D1081" t="inlineStr">
        <is>
          <t>UPPSALA LÄN</t>
        </is>
      </c>
      <c r="E1081" t="inlineStr">
        <is>
          <t>ÖSTHAMMAR</t>
        </is>
      </c>
      <c r="F1081" t="inlineStr">
        <is>
          <t>Bergvik skog öst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23740-2024</t>
        </is>
      </c>
      <c r="B1082" s="1" t="n">
        <v>45455</v>
      </c>
      <c r="C1082" s="1" t="n">
        <v>45474</v>
      </c>
      <c r="D1082" t="inlineStr">
        <is>
          <t>UPPSALA LÄN</t>
        </is>
      </c>
      <c r="E1082" t="inlineStr">
        <is>
          <t>ÖSTHAMMAR</t>
        </is>
      </c>
      <c r="F1082" t="inlineStr">
        <is>
          <t>Bergvik skog öst AB</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23742-2024</t>
        </is>
      </c>
      <c r="B1083" s="1" t="n">
        <v>45455</v>
      </c>
      <c r="C1083" s="1" t="n">
        <v>45474</v>
      </c>
      <c r="D1083" t="inlineStr">
        <is>
          <t>UPPSALA LÄN</t>
        </is>
      </c>
      <c r="E1083" t="inlineStr">
        <is>
          <t>ÖSTHAMMAR</t>
        </is>
      </c>
      <c r="F1083" t="inlineStr">
        <is>
          <t>Bergvik skog öst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24161-2024</t>
        </is>
      </c>
      <c r="B1084" s="1" t="n">
        <v>45456</v>
      </c>
      <c r="C1084" s="1" t="n">
        <v>45474</v>
      </c>
      <c r="D1084" t="inlineStr">
        <is>
          <t>UPPSALA LÄN</t>
        </is>
      </c>
      <c r="E1084" t="inlineStr">
        <is>
          <t>ÖSTHAMMAR</t>
        </is>
      </c>
      <c r="F1084" t="inlineStr">
        <is>
          <t>Bergvik skog öst AB</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24160-2024</t>
        </is>
      </c>
      <c r="B1085" s="1" t="n">
        <v>45456</v>
      </c>
      <c r="C1085" s="1" t="n">
        <v>45474</v>
      </c>
      <c r="D1085" t="inlineStr">
        <is>
          <t>UPPSALA LÄN</t>
        </is>
      </c>
      <c r="E1085" t="inlineStr">
        <is>
          <t>ÖSTHAMMAR</t>
        </is>
      </c>
      <c r="F1085" t="inlineStr">
        <is>
          <t>Bergvik skog öst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24472-2024</t>
        </is>
      </c>
      <c r="B1086" s="1" t="n">
        <v>45458</v>
      </c>
      <c r="C1086" s="1" t="n">
        <v>45474</v>
      </c>
      <c r="D1086" t="inlineStr">
        <is>
          <t>UPPSALA LÄN</t>
        </is>
      </c>
      <c r="E1086" t="inlineStr">
        <is>
          <t>ÖSTHAMMAR</t>
        </is>
      </c>
      <c r="F1086" t="inlineStr">
        <is>
          <t>Bergvik skog öst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24476-2024</t>
        </is>
      </c>
      <c r="B1087" s="1" t="n">
        <v>45458</v>
      </c>
      <c r="C1087" s="1" t="n">
        <v>45474</v>
      </c>
      <c r="D1087" t="inlineStr">
        <is>
          <t>UPPSALA LÄN</t>
        </is>
      </c>
      <c r="E1087" t="inlineStr">
        <is>
          <t>ÖSTHAMMAR</t>
        </is>
      </c>
      <c r="F1087" t="inlineStr">
        <is>
          <t>Bergvik skog öst AB</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24471-2024</t>
        </is>
      </c>
      <c r="B1088" s="1" t="n">
        <v>45458</v>
      </c>
      <c r="C1088" s="1" t="n">
        <v>45474</v>
      </c>
      <c r="D1088" t="inlineStr">
        <is>
          <t>UPPSALA LÄN</t>
        </is>
      </c>
      <c r="E1088" t="inlineStr">
        <is>
          <t>ÖSTHAMMAR</t>
        </is>
      </c>
      <c r="F1088" t="inlineStr">
        <is>
          <t>Bergvik skog öst AB</t>
        </is>
      </c>
      <c r="G1088" t="n">
        <v>22.7</v>
      </c>
      <c r="H1088" t="n">
        <v>0</v>
      </c>
      <c r="I1088" t="n">
        <v>0</v>
      </c>
      <c r="J1088" t="n">
        <v>0</v>
      </c>
      <c r="K1088" t="n">
        <v>0</v>
      </c>
      <c r="L1088" t="n">
        <v>0</v>
      </c>
      <c r="M1088" t="n">
        <v>0</v>
      </c>
      <c r="N1088" t="n">
        <v>0</v>
      </c>
      <c r="O1088" t="n">
        <v>0</v>
      </c>
      <c r="P1088" t="n">
        <v>0</v>
      </c>
      <c r="Q1088" t="n">
        <v>0</v>
      </c>
      <c r="R1088" s="2" t="inlineStr"/>
    </row>
    <row r="1089" ht="15" customHeight="1">
      <c r="A1089" t="inlineStr">
        <is>
          <t>A 24475-2024</t>
        </is>
      </c>
      <c r="B1089" s="1" t="n">
        <v>45458</v>
      </c>
      <c r="C1089" s="1" t="n">
        <v>45474</v>
      </c>
      <c r="D1089" t="inlineStr">
        <is>
          <t>UPPSALA LÄN</t>
        </is>
      </c>
      <c r="E1089" t="inlineStr">
        <is>
          <t>ÖSTHAMMAR</t>
        </is>
      </c>
      <c r="F1089" t="inlineStr">
        <is>
          <t>Bergvik skog öst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24589-2024</t>
        </is>
      </c>
      <c r="B1090" s="1" t="n">
        <v>45460</v>
      </c>
      <c r="C1090" s="1" t="n">
        <v>45474</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24747-2024</t>
        </is>
      </c>
      <c r="B1091" s="1" t="n">
        <v>45460</v>
      </c>
      <c r="C1091" s="1" t="n">
        <v>45474</v>
      </c>
      <c r="D1091" t="inlineStr">
        <is>
          <t>UPPSALA LÄN</t>
        </is>
      </c>
      <c r="E1091" t="inlineStr">
        <is>
          <t>ÖSTHAMMAR</t>
        </is>
      </c>
      <c r="F1091" t="inlineStr">
        <is>
          <t>Bergvik skog öst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24606-2024</t>
        </is>
      </c>
      <c r="B1092" s="1" t="n">
        <v>45460</v>
      </c>
      <c r="C1092" s="1" t="n">
        <v>45474</v>
      </c>
      <c r="D1092" t="inlineStr">
        <is>
          <t>UPPSALA LÄN</t>
        </is>
      </c>
      <c r="E1092" t="inlineStr">
        <is>
          <t>ÖSTHAMMAR</t>
        </is>
      </c>
      <c r="F1092" t="inlineStr">
        <is>
          <t>Bergvik skog öst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24560-2024</t>
        </is>
      </c>
      <c r="B1093" s="1" t="n">
        <v>45460</v>
      </c>
      <c r="C1093" s="1" t="n">
        <v>45474</v>
      </c>
      <c r="D1093" t="inlineStr">
        <is>
          <t>UPPSALA LÄN</t>
        </is>
      </c>
      <c r="E1093" t="inlineStr">
        <is>
          <t>ÖSTHAMMAR</t>
        </is>
      </c>
      <c r="F1093" t="inlineStr">
        <is>
          <t>Bergvik skog öst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45474</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45474</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24853-2024</t>
        </is>
      </c>
      <c r="B1096" s="1" t="n">
        <v>45461</v>
      </c>
      <c r="C1096" s="1" t="n">
        <v>45474</v>
      </c>
      <c r="D1096" t="inlineStr">
        <is>
          <t>UPPSALA LÄN</t>
        </is>
      </c>
      <c r="E1096" t="inlineStr">
        <is>
          <t>ÖSTHAMMAR</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25252-2024</t>
        </is>
      </c>
      <c r="B1097" s="1" t="n">
        <v>45462</v>
      </c>
      <c r="C1097" s="1" t="n">
        <v>45474</v>
      </c>
      <c r="D1097" t="inlineStr">
        <is>
          <t>UPPSALA LÄN</t>
        </is>
      </c>
      <c r="E1097" t="inlineStr">
        <is>
          <t>ÖSTHAMMAR</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25269-2024</t>
        </is>
      </c>
      <c r="B1098" s="1" t="n">
        <v>45462</v>
      </c>
      <c r="C1098" s="1" t="n">
        <v>45474</v>
      </c>
      <c r="D1098" t="inlineStr">
        <is>
          <t>UPPSALA LÄN</t>
        </is>
      </c>
      <c r="E1098" t="inlineStr">
        <is>
          <t>ÖSTHAMMAR</t>
        </is>
      </c>
      <c r="F1098" t="inlineStr">
        <is>
          <t>Bergvik skog öst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45474</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25772-2024</t>
        </is>
      </c>
      <c r="B1100" s="1" t="n">
        <v>45466</v>
      </c>
      <c r="C1100" s="1" t="n">
        <v>45474</v>
      </c>
      <c r="D1100" t="inlineStr">
        <is>
          <t>UPPSALA LÄN</t>
        </is>
      </c>
      <c r="E1100" t="inlineStr">
        <is>
          <t>ÖSTHAMMAR</t>
        </is>
      </c>
      <c r="F1100" t="inlineStr">
        <is>
          <t>Bergvik skog öst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25770-2024</t>
        </is>
      </c>
      <c r="B1101" s="1" t="n">
        <v>45466</v>
      </c>
      <c r="C1101" s="1" t="n">
        <v>45474</v>
      </c>
      <c r="D1101" t="inlineStr">
        <is>
          <t>UPPSALA LÄN</t>
        </is>
      </c>
      <c r="E1101" t="inlineStr">
        <is>
          <t>ÖSTHAMMAR</t>
        </is>
      </c>
      <c r="F1101" t="inlineStr">
        <is>
          <t>Bergvik skog öst AB</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25771-2024</t>
        </is>
      </c>
      <c r="B1102" s="1" t="n">
        <v>45466</v>
      </c>
      <c r="C1102" s="1" t="n">
        <v>45474</v>
      </c>
      <c r="D1102" t="inlineStr">
        <is>
          <t>UPPSALA LÄN</t>
        </is>
      </c>
      <c r="E1102" t="inlineStr">
        <is>
          <t>ÖSTHAMMAR</t>
        </is>
      </c>
      <c r="F1102" t="inlineStr">
        <is>
          <t>Bergvik skog öst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25938-2024</t>
        </is>
      </c>
      <c r="B1103" s="1" t="n">
        <v>45467</v>
      </c>
      <c r="C1103" s="1" t="n">
        <v>45474</v>
      </c>
      <c r="D1103" t="inlineStr">
        <is>
          <t>UPPSALA LÄN</t>
        </is>
      </c>
      <c r="E1103" t="inlineStr">
        <is>
          <t>ÖSTHAMMAR</t>
        </is>
      </c>
      <c r="F1103" t="inlineStr">
        <is>
          <t>Bergvik skog öst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25859-2024</t>
        </is>
      </c>
      <c r="B1104" s="1" t="n">
        <v>45467</v>
      </c>
      <c r="C1104" s="1" t="n">
        <v>45474</v>
      </c>
      <c r="D1104" t="inlineStr">
        <is>
          <t>UPPSALA LÄN</t>
        </is>
      </c>
      <c r="E1104" t="inlineStr">
        <is>
          <t>ÖSTHAMMAR</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25953-2024</t>
        </is>
      </c>
      <c r="B1105" s="1" t="n">
        <v>45467</v>
      </c>
      <c r="C1105" s="1" t="n">
        <v>45474</v>
      </c>
      <c r="D1105" t="inlineStr">
        <is>
          <t>UPPSALA LÄN</t>
        </is>
      </c>
      <c r="E1105" t="inlineStr">
        <is>
          <t>ÖSTHAMMAR</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26277-2024</t>
        </is>
      </c>
      <c r="B1106" s="1" t="n">
        <v>45468</v>
      </c>
      <c r="C1106" s="1" t="n">
        <v>45474</v>
      </c>
      <c r="D1106" t="inlineStr">
        <is>
          <t>UPPSALA LÄN</t>
        </is>
      </c>
      <c r="E1106" t="inlineStr">
        <is>
          <t>ÖSTHAMMAR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26303-2024</t>
        </is>
      </c>
      <c r="B1107" s="1" t="n">
        <v>45468</v>
      </c>
      <c r="C1107" s="1" t="n">
        <v>45474</v>
      </c>
      <c r="D1107" t="inlineStr">
        <is>
          <t>UPPSALA LÄN</t>
        </is>
      </c>
      <c r="E1107" t="inlineStr">
        <is>
          <t>ÖSTHAMMAR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26272-2024</t>
        </is>
      </c>
      <c r="B1108" s="1" t="n">
        <v>45468</v>
      </c>
      <c r="C1108" s="1" t="n">
        <v>45474</v>
      </c>
      <c r="D1108" t="inlineStr">
        <is>
          <t>UPPSALA LÄN</t>
        </is>
      </c>
      <c r="E1108" t="inlineStr">
        <is>
          <t>ÖSTHAMMAR</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26305-2024</t>
        </is>
      </c>
      <c r="B1109" s="1" t="n">
        <v>45468</v>
      </c>
      <c r="C1109" s="1" t="n">
        <v>45474</v>
      </c>
      <c r="D1109" t="inlineStr">
        <is>
          <t>UPPSALA LÄN</t>
        </is>
      </c>
      <c r="E1109" t="inlineStr">
        <is>
          <t>ÖSTHAMMAR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26279-2024</t>
        </is>
      </c>
      <c r="B1110" s="1" t="n">
        <v>45468</v>
      </c>
      <c r="C1110" s="1" t="n">
        <v>45474</v>
      </c>
      <c r="D1110" t="inlineStr">
        <is>
          <t>UPPSALA LÄN</t>
        </is>
      </c>
      <c r="E1110" t="inlineStr">
        <is>
          <t>ÖSTHAMMAR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26426-2024</t>
        </is>
      </c>
      <c r="B1111" s="1" t="n">
        <v>45469</v>
      </c>
      <c r="C1111" s="1" t="n">
        <v>45474</v>
      </c>
      <c r="D1111" t="inlineStr">
        <is>
          <t>UPPSALA LÄN</t>
        </is>
      </c>
      <c r="E1111" t="inlineStr">
        <is>
          <t>ÖSTHAMMAR</t>
        </is>
      </c>
      <c r="F1111" t="inlineStr">
        <is>
          <t>Bergvik skog öst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26436-2024</t>
        </is>
      </c>
      <c r="B1112" s="1" t="n">
        <v>45469</v>
      </c>
      <c r="C1112" s="1" t="n">
        <v>45474</v>
      </c>
      <c r="D1112" t="inlineStr">
        <is>
          <t>UPPSALA LÄN</t>
        </is>
      </c>
      <c r="E1112" t="inlineStr">
        <is>
          <t>ÖSTHAMMAR</t>
        </is>
      </c>
      <c r="F1112" t="inlineStr">
        <is>
          <t>Kyrkan</t>
        </is>
      </c>
      <c r="G1112" t="n">
        <v>2.4</v>
      </c>
      <c r="H1112" t="n">
        <v>0</v>
      </c>
      <c r="I1112" t="n">
        <v>0</v>
      </c>
      <c r="J1112" t="n">
        <v>0</v>
      </c>
      <c r="K1112" t="n">
        <v>0</v>
      </c>
      <c r="L1112" t="n">
        <v>0</v>
      </c>
      <c r="M1112" t="n">
        <v>0</v>
      </c>
      <c r="N1112" t="n">
        <v>0</v>
      </c>
      <c r="O1112" t="n">
        <v>0</v>
      </c>
      <c r="P1112" t="n">
        <v>0</v>
      </c>
      <c r="Q1112" t="n">
        <v>0</v>
      </c>
      <c r="R1112" s="2" t="inlineStr"/>
    </row>
    <row r="1113">
      <c r="A1113" t="inlineStr">
        <is>
          <t>A 26983-2024</t>
        </is>
      </c>
      <c r="B1113" s="1" t="n">
        <v>45471</v>
      </c>
      <c r="C1113" s="1" t="n">
        <v>45474</v>
      </c>
      <c r="D1113" t="inlineStr">
        <is>
          <t>UPPSALA LÄN</t>
        </is>
      </c>
      <c r="E1113" t="inlineStr">
        <is>
          <t>ÖSTHAMMAR</t>
        </is>
      </c>
      <c r="G1113" t="n">
        <v>2.1</v>
      </c>
      <c r="H1113" t="n">
        <v>0</v>
      </c>
      <c r="I1113" t="n">
        <v>0</v>
      </c>
      <c r="J1113" t="n">
        <v>0</v>
      </c>
      <c r="K1113" t="n">
        <v>0</v>
      </c>
      <c r="L1113" t="n">
        <v>0</v>
      </c>
      <c r="M1113" t="n">
        <v>0</v>
      </c>
      <c r="N1113" t="n">
        <v>0</v>
      </c>
      <c r="O1113" t="n">
        <v>0</v>
      </c>
      <c r="P1113" t="n">
        <v>0</v>
      </c>
      <c r="Q1113" t="n">
        <v>0</v>
      </c>
      <c r="R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2024-07-01T10:12:48Z</dcterms:created>
  <dcterms:modified xmlns:dcterms="http://purl.org/dc/terms/" xmlns:xsi="http://www.w3.org/2001/XMLSchema-instance" xsi:type="dcterms:W3CDTF">2024-07-01T10:12:49Z</dcterms:modified>
</cp:coreProperties>
</file>