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45885</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48241-2024</t>
        </is>
      </c>
      <c r="B3" s="1" t="n">
        <v>45590</v>
      </c>
      <c r="C3" s="1" t="n">
        <v>45885</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45885</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45885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45885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42562-2020</t>
        </is>
      </c>
      <c r="B7" s="1" t="n">
        <v>44077</v>
      </c>
      <c r="C7" s="1" t="n">
        <v>45885</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45885</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45885</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45885</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45885</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45885</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45885</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45885</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45885</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45885</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45885</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16242-2025</t>
        </is>
      </c>
      <c r="B18" s="1" t="n">
        <v>45746</v>
      </c>
      <c r="C18" s="1" t="n">
        <v>45885</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16239-2025</t>
        </is>
      </c>
      <c r="B19" s="1" t="n">
        <v>45746</v>
      </c>
      <c r="C19" s="1" t="n">
        <v>45885</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45885</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35911-2021</t>
        </is>
      </c>
      <c r="B21" s="1" t="n">
        <v>44387</v>
      </c>
      <c r="C21" s="1" t="n">
        <v>45885</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45885</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23496-2023</t>
        </is>
      </c>
      <c r="B23" s="1" t="n">
        <v>45076</v>
      </c>
      <c r="C23" s="1" t="n">
        <v>45885</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48277-2023</t>
        </is>
      </c>
      <c r="B24" s="1" t="n">
        <v>45205</v>
      </c>
      <c r="C24" s="1" t="n">
        <v>45885</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39763-2022</t>
        </is>
      </c>
      <c r="B25" s="1" t="n">
        <v>44819.44055555556</v>
      </c>
      <c r="C25" s="1" t="n">
        <v>45885</v>
      </c>
      <c r="D25" t="inlineStr">
        <is>
          <t>UPPSALA LÄN</t>
        </is>
      </c>
      <c r="E25" t="inlineStr">
        <is>
          <t>ÖSTHAMMAR</t>
        </is>
      </c>
      <c r="G25" t="n">
        <v>7</v>
      </c>
      <c r="H25" t="n">
        <v>1</v>
      </c>
      <c r="I25" t="n">
        <v>1</v>
      </c>
      <c r="J25" t="n">
        <v>2</v>
      </c>
      <c r="K25" t="n">
        <v>2</v>
      </c>
      <c r="L25" t="n">
        <v>0</v>
      </c>
      <c r="M25" t="n">
        <v>0</v>
      </c>
      <c r="N25" t="n">
        <v>0</v>
      </c>
      <c r="O25" t="n">
        <v>4</v>
      </c>
      <c r="P25" t="n">
        <v>2</v>
      </c>
      <c r="Q25" t="n">
        <v>5</v>
      </c>
      <c r="R25" s="2" t="inlineStr">
        <is>
          <t>Knärot
Violgubbe
Blek fingersvamp
Orange taggsvamp
Fjällig taggsvamp s.str.</t>
        </is>
      </c>
      <c r="S25">
        <f>HYPERLINK("https://klasma.github.io/Logging_0382/artfynd/A 39763-2022 artfynd.xlsx", "A 39763-2022")</f>
        <v/>
      </c>
      <c r="T25">
        <f>HYPERLINK("https://klasma.github.io/Logging_0382/kartor/A 39763-2022 karta.png", "A 39763-2022")</f>
        <v/>
      </c>
      <c r="U25">
        <f>HYPERLINK("https://klasma.github.io/Logging_0382/knärot/A 39763-2022 karta knärot.png", "A 39763-2022")</f>
        <v/>
      </c>
      <c r="V25">
        <f>HYPERLINK("https://klasma.github.io/Logging_0382/klagomål/A 39763-2022 FSC-klagomål.docx", "A 39763-2022")</f>
        <v/>
      </c>
      <c r="W25">
        <f>HYPERLINK("https://klasma.github.io/Logging_0382/klagomålsmail/A 39763-2022 FSC-klagomål mail.docx", "A 39763-2022")</f>
        <v/>
      </c>
      <c r="X25">
        <f>HYPERLINK("https://klasma.github.io/Logging_0382/tillsyn/A 39763-2022 tillsynsbegäran.docx", "A 39763-2022")</f>
        <v/>
      </c>
      <c r="Y25">
        <f>HYPERLINK("https://klasma.github.io/Logging_0382/tillsynsmail/A 39763-2022 tillsynsbegäran mail.docx", "A 39763-2022")</f>
        <v/>
      </c>
    </row>
    <row r="26" ht="15" customHeight="1">
      <c r="A26" t="inlineStr">
        <is>
          <t>A 64564-2021</t>
        </is>
      </c>
      <c r="B26" s="1" t="n">
        <v>44511</v>
      </c>
      <c r="C26" s="1" t="n">
        <v>45885</v>
      </c>
      <c r="D26" t="inlineStr">
        <is>
          <t>UPPSALA LÄN</t>
        </is>
      </c>
      <c r="E26" t="inlineStr">
        <is>
          <t>ÖSTHAMMAR</t>
        </is>
      </c>
      <c r="G26" t="n">
        <v>7.2</v>
      </c>
      <c r="H26" t="n">
        <v>1</v>
      </c>
      <c r="I26" t="n">
        <v>2</v>
      </c>
      <c r="J26" t="n">
        <v>1</v>
      </c>
      <c r="K26" t="n">
        <v>1</v>
      </c>
      <c r="L26" t="n">
        <v>0</v>
      </c>
      <c r="M26" t="n">
        <v>0</v>
      </c>
      <c r="N26" t="n">
        <v>0</v>
      </c>
      <c r="O26" t="n">
        <v>2</v>
      </c>
      <c r="P26" t="n">
        <v>1</v>
      </c>
      <c r="Q26" t="n">
        <v>5</v>
      </c>
      <c r="R26" s="2" t="inlineStr">
        <is>
          <t>Violgubbe
Gultoppig fingersvamp
Kalktallört
Rödgul trumpetsvamp
Tjäder</t>
        </is>
      </c>
      <c r="S26">
        <f>HYPERLINK("https://klasma.github.io/Logging_0382/artfynd/A 64564-2021 artfynd.xlsx", "A 64564-2021")</f>
        <v/>
      </c>
      <c r="T26">
        <f>HYPERLINK("https://klasma.github.io/Logging_0382/kartor/A 64564-2021 karta.png", "A 64564-2021")</f>
        <v/>
      </c>
      <c r="V26">
        <f>HYPERLINK("https://klasma.github.io/Logging_0382/klagomål/A 64564-2021 FSC-klagomål.docx", "A 64564-2021")</f>
        <v/>
      </c>
      <c r="W26">
        <f>HYPERLINK("https://klasma.github.io/Logging_0382/klagomålsmail/A 64564-2021 FSC-klagomål mail.docx", "A 64564-2021")</f>
        <v/>
      </c>
      <c r="X26">
        <f>HYPERLINK("https://klasma.github.io/Logging_0382/tillsyn/A 64564-2021 tillsynsbegäran.docx", "A 64564-2021")</f>
        <v/>
      </c>
      <c r="Y26">
        <f>HYPERLINK("https://klasma.github.io/Logging_0382/tillsynsmail/A 64564-2021 tillsynsbegäran mail.docx", "A 64564-2021")</f>
        <v/>
      </c>
      <c r="Z26">
        <f>HYPERLINK("https://klasma.github.io/Logging_0382/fåglar/A 64564-2021 prioriterade fågelarter.docx", "A 64564-2021")</f>
        <v/>
      </c>
    </row>
    <row r="27" ht="15" customHeight="1">
      <c r="A27" t="inlineStr">
        <is>
          <t>A 8753-2022</t>
        </is>
      </c>
      <c r="B27" s="1" t="n">
        <v>44614</v>
      </c>
      <c r="C27" s="1" t="n">
        <v>45885</v>
      </c>
      <c r="D27" t="inlineStr">
        <is>
          <t>UPPSALA LÄN</t>
        </is>
      </c>
      <c r="E27" t="inlineStr">
        <is>
          <t>ÖSTHAMMAR</t>
        </is>
      </c>
      <c r="G27" t="n">
        <v>5.3</v>
      </c>
      <c r="H27" t="n">
        <v>0</v>
      </c>
      <c r="I27" t="n">
        <v>3</v>
      </c>
      <c r="J27" t="n">
        <v>0</v>
      </c>
      <c r="K27" t="n">
        <v>2</v>
      </c>
      <c r="L27" t="n">
        <v>0</v>
      </c>
      <c r="M27" t="n">
        <v>0</v>
      </c>
      <c r="N27" t="n">
        <v>0</v>
      </c>
      <c r="O27" t="n">
        <v>2</v>
      </c>
      <c r="P27" t="n">
        <v>2</v>
      </c>
      <c r="Q27" t="n">
        <v>5</v>
      </c>
      <c r="R27" s="2" t="inlineStr">
        <is>
          <t>Gyllenspindling
Spricktaggsvamp
Olivspindling
Skarp dropptaggsvamp
Svavelriska</t>
        </is>
      </c>
      <c r="S27">
        <f>HYPERLINK("https://klasma.github.io/Logging_0382/artfynd/A 8753-2022 artfynd.xlsx", "A 8753-2022")</f>
        <v/>
      </c>
      <c r="T27">
        <f>HYPERLINK("https://klasma.github.io/Logging_0382/kartor/A 8753-2022 karta.png", "A 8753-2022")</f>
        <v/>
      </c>
      <c r="V27">
        <f>HYPERLINK("https://klasma.github.io/Logging_0382/klagomål/A 8753-2022 FSC-klagomål.docx", "A 8753-2022")</f>
        <v/>
      </c>
      <c r="W27">
        <f>HYPERLINK("https://klasma.github.io/Logging_0382/klagomålsmail/A 8753-2022 FSC-klagomål mail.docx", "A 8753-2022")</f>
        <v/>
      </c>
      <c r="X27">
        <f>HYPERLINK("https://klasma.github.io/Logging_0382/tillsyn/A 8753-2022 tillsynsbegäran.docx", "A 8753-2022")</f>
        <v/>
      </c>
      <c r="Y27">
        <f>HYPERLINK("https://klasma.github.io/Logging_0382/tillsynsmail/A 8753-2022 tillsynsbegäran mail.docx", "A 8753-2022")</f>
        <v/>
      </c>
    </row>
    <row r="28" ht="15" customHeight="1">
      <c r="A28" t="inlineStr">
        <is>
          <t>A 43992-2022</t>
        </is>
      </c>
      <c r="B28" s="1" t="n">
        <v>44837</v>
      </c>
      <c r="C28" s="1" t="n">
        <v>45885</v>
      </c>
      <c r="D28" t="inlineStr">
        <is>
          <t>UPPSALA LÄN</t>
        </is>
      </c>
      <c r="E28" t="inlineStr">
        <is>
          <t>ÖSTHAMMAR</t>
        </is>
      </c>
      <c r="F28" t="inlineStr">
        <is>
          <t>Sveaskog</t>
        </is>
      </c>
      <c r="G28" t="n">
        <v>1.8</v>
      </c>
      <c r="H28" t="n">
        <v>5</v>
      </c>
      <c r="I28" t="n">
        <v>0</v>
      </c>
      <c r="J28" t="n">
        <v>4</v>
      </c>
      <c r="K28" t="n">
        <v>1</v>
      </c>
      <c r="L28" t="n">
        <v>0</v>
      </c>
      <c r="M28" t="n">
        <v>0</v>
      </c>
      <c r="N28" t="n">
        <v>0</v>
      </c>
      <c r="O28" t="n">
        <v>5</v>
      </c>
      <c r="P28" t="n">
        <v>1</v>
      </c>
      <c r="Q28" t="n">
        <v>5</v>
      </c>
      <c r="R28" s="2" t="inlineStr">
        <is>
          <t>Stare
Buskskvätta
Fiskmås
Gulsparv
Svartvit flugsnappare</t>
        </is>
      </c>
      <c r="S28">
        <f>HYPERLINK("https://klasma.github.io/Logging_0382/artfynd/A 43992-2022 artfynd.xlsx", "A 43992-2022")</f>
        <v/>
      </c>
      <c r="T28">
        <f>HYPERLINK("https://klasma.github.io/Logging_0382/kartor/A 43992-2022 karta.png", "A 43992-2022")</f>
        <v/>
      </c>
      <c r="V28">
        <f>HYPERLINK("https://klasma.github.io/Logging_0382/klagomål/A 43992-2022 FSC-klagomål.docx", "A 43992-2022")</f>
        <v/>
      </c>
      <c r="W28">
        <f>HYPERLINK("https://klasma.github.io/Logging_0382/klagomålsmail/A 43992-2022 FSC-klagomål mail.docx", "A 43992-2022")</f>
        <v/>
      </c>
      <c r="X28">
        <f>HYPERLINK("https://klasma.github.io/Logging_0382/tillsyn/A 43992-2022 tillsynsbegäran.docx", "A 43992-2022")</f>
        <v/>
      </c>
      <c r="Y28">
        <f>HYPERLINK("https://klasma.github.io/Logging_0382/tillsynsmail/A 43992-2022 tillsynsbegäran mail.docx", "A 43992-2022")</f>
        <v/>
      </c>
      <c r="Z28">
        <f>HYPERLINK("https://klasma.github.io/Logging_0382/fåglar/A 43992-2022 prioriterade fågelarter.docx", "A 43992-2022")</f>
        <v/>
      </c>
    </row>
    <row r="29" ht="15" customHeight="1">
      <c r="A29" t="inlineStr">
        <is>
          <t>A 24563-2022</t>
        </is>
      </c>
      <c r="B29" s="1" t="n">
        <v>44727</v>
      </c>
      <c r="C29" s="1" t="n">
        <v>45885</v>
      </c>
      <c r="D29" t="inlineStr">
        <is>
          <t>UPPSALA LÄN</t>
        </is>
      </c>
      <c r="E29" t="inlineStr">
        <is>
          <t>ÖSTHAMMAR</t>
        </is>
      </c>
      <c r="G29" t="n">
        <v>7.4</v>
      </c>
      <c r="H29" t="n">
        <v>0</v>
      </c>
      <c r="I29" t="n">
        <v>3</v>
      </c>
      <c r="J29" t="n">
        <v>0</v>
      </c>
      <c r="K29" t="n">
        <v>2</v>
      </c>
      <c r="L29" t="n">
        <v>0</v>
      </c>
      <c r="M29" t="n">
        <v>0</v>
      </c>
      <c r="N29" t="n">
        <v>0</v>
      </c>
      <c r="O29" t="n">
        <v>2</v>
      </c>
      <c r="P29" t="n">
        <v>2</v>
      </c>
      <c r="Q29" t="n">
        <v>5</v>
      </c>
      <c r="R29" s="2" t="inlineStr">
        <is>
          <t>Gul lammticka
Koppartaggsvamp
Kamjordstjärna
Olivspindling
Rödgul trumpetsvamp</t>
        </is>
      </c>
      <c r="S29">
        <f>HYPERLINK("https://klasma.github.io/Logging_0382/artfynd/A 24563-2022 artfynd.xlsx", "A 24563-2022")</f>
        <v/>
      </c>
      <c r="T29">
        <f>HYPERLINK("https://klasma.github.io/Logging_0382/kartor/A 24563-2022 karta.png", "A 24563-2022")</f>
        <v/>
      </c>
      <c r="V29">
        <f>HYPERLINK("https://klasma.github.io/Logging_0382/klagomål/A 24563-2022 FSC-klagomål.docx", "A 24563-2022")</f>
        <v/>
      </c>
      <c r="W29">
        <f>HYPERLINK("https://klasma.github.io/Logging_0382/klagomålsmail/A 24563-2022 FSC-klagomål mail.docx", "A 24563-2022")</f>
        <v/>
      </c>
      <c r="X29">
        <f>HYPERLINK("https://klasma.github.io/Logging_0382/tillsyn/A 24563-2022 tillsynsbegäran.docx", "A 24563-2022")</f>
        <v/>
      </c>
      <c r="Y29">
        <f>HYPERLINK("https://klasma.github.io/Logging_0382/tillsynsmail/A 24563-2022 tillsynsbegäran mail.docx", "A 24563-2022")</f>
        <v/>
      </c>
    </row>
    <row r="30" ht="15" customHeight="1">
      <c r="A30" t="inlineStr">
        <is>
          <t>A 26056-2025</t>
        </is>
      </c>
      <c r="B30" s="1" t="n">
        <v>45804.79280092593</v>
      </c>
      <c r="C30" s="1" t="n">
        <v>45885</v>
      </c>
      <c r="D30" t="inlineStr">
        <is>
          <t>UPPSALA LÄN</t>
        </is>
      </c>
      <c r="E30" t="inlineStr">
        <is>
          <t>ÖSTHAMMAR</t>
        </is>
      </c>
      <c r="F30" t="inlineStr">
        <is>
          <t>Bergvik skog väst AB</t>
        </is>
      </c>
      <c r="G30" t="n">
        <v>4.7</v>
      </c>
      <c r="H30" t="n">
        <v>0</v>
      </c>
      <c r="I30" t="n">
        <v>0</v>
      </c>
      <c r="J30" t="n">
        <v>4</v>
      </c>
      <c r="K30" t="n">
        <v>1</v>
      </c>
      <c r="L30" t="n">
        <v>0</v>
      </c>
      <c r="M30" t="n">
        <v>0</v>
      </c>
      <c r="N30" t="n">
        <v>0</v>
      </c>
      <c r="O30" t="n">
        <v>5</v>
      </c>
      <c r="P30" t="n">
        <v>1</v>
      </c>
      <c r="Q30" t="n">
        <v>5</v>
      </c>
      <c r="R30" s="2" t="inlineStr">
        <is>
          <t>Skägglavmätare
Jungfrulinspraktmal
Mindre träfjäril
Piltecknad fältmätare
Större borstspinnare</t>
        </is>
      </c>
      <c r="S30">
        <f>HYPERLINK("https://klasma.github.io/Logging_0382/artfynd/A 26056-2025 artfynd.xlsx", "A 26056-2025")</f>
        <v/>
      </c>
      <c r="T30">
        <f>HYPERLINK("https://klasma.github.io/Logging_0382/kartor/A 26056-2025 karta.png", "A 26056-2025")</f>
        <v/>
      </c>
      <c r="V30">
        <f>HYPERLINK("https://klasma.github.io/Logging_0382/klagomål/A 26056-2025 FSC-klagomål.docx", "A 26056-2025")</f>
        <v/>
      </c>
      <c r="W30">
        <f>HYPERLINK("https://klasma.github.io/Logging_0382/klagomålsmail/A 26056-2025 FSC-klagomål mail.docx", "A 26056-2025")</f>
        <v/>
      </c>
      <c r="X30">
        <f>HYPERLINK("https://klasma.github.io/Logging_0382/tillsyn/A 26056-2025 tillsynsbegäran.docx", "A 26056-2025")</f>
        <v/>
      </c>
      <c r="Y30">
        <f>HYPERLINK("https://klasma.github.io/Logging_0382/tillsynsmail/A 26056-2025 tillsynsbegäran mail.docx", "A 26056-2025")</f>
        <v/>
      </c>
    </row>
    <row r="31" ht="15" customHeight="1">
      <c r="A31" t="inlineStr">
        <is>
          <t>A 55492-2023</t>
        </is>
      </c>
      <c r="B31" s="1" t="n">
        <v>45238</v>
      </c>
      <c r="C31" s="1" t="n">
        <v>45885</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15556-2022</t>
        </is>
      </c>
      <c r="B32" s="1" t="n">
        <v>44662</v>
      </c>
      <c r="C32" s="1" t="n">
        <v>45885</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23498-2023</t>
        </is>
      </c>
      <c r="B33" s="1" t="n">
        <v>45076</v>
      </c>
      <c r="C33" s="1" t="n">
        <v>45885</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52808-2022</t>
        </is>
      </c>
      <c r="B34" s="1" t="n">
        <v>44875</v>
      </c>
      <c r="C34" s="1" t="n">
        <v>45885</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45885</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74364-2021</t>
        </is>
      </c>
      <c r="B36" s="1" t="n">
        <v>44559</v>
      </c>
      <c r="C36" s="1" t="n">
        <v>45885</v>
      </c>
      <c r="D36" t="inlineStr">
        <is>
          <t>UPPSALA LÄN</t>
        </is>
      </c>
      <c r="E36" t="inlineStr">
        <is>
          <t>ÖSTHAMMAR</t>
        </is>
      </c>
      <c r="G36" t="n">
        <v>3.5</v>
      </c>
      <c r="H36" t="n">
        <v>2</v>
      </c>
      <c r="I36" t="n">
        <v>3</v>
      </c>
      <c r="J36" t="n">
        <v>0</v>
      </c>
      <c r="K36" t="n">
        <v>0</v>
      </c>
      <c r="L36" t="n">
        <v>0</v>
      </c>
      <c r="M36" t="n">
        <v>0</v>
      </c>
      <c r="N36" t="n">
        <v>0</v>
      </c>
      <c r="O36" t="n">
        <v>0</v>
      </c>
      <c r="P36" t="n">
        <v>0</v>
      </c>
      <c r="Q36" t="n">
        <v>4</v>
      </c>
      <c r="R36" s="2" t="inlineStr">
        <is>
          <t>Bronshjon
Skogsknipprot
Sårläka
Blåsippa</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33051-2021</t>
        </is>
      </c>
      <c r="B37" s="1" t="n">
        <v>44376</v>
      </c>
      <c r="C37" s="1" t="n">
        <v>45885</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45885</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26279-2024</t>
        </is>
      </c>
      <c r="B39" s="1" t="n">
        <v>45468</v>
      </c>
      <c r="C39" s="1" t="n">
        <v>45885</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221-2025</t>
        </is>
      </c>
      <c r="B40" s="1" t="n">
        <v>45660</v>
      </c>
      <c r="C40" s="1" t="n">
        <v>45885</v>
      </c>
      <c r="D40" t="inlineStr">
        <is>
          <t>UPPSALA LÄN</t>
        </is>
      </c>
      <c r="E40" t="inlineStr">
        <is>
          <t>ÖSTHAMMAR</t>
        </is>
      </c>
      <c r="F40" t="inlineStr">
        <is>
          <t>Bergvik skog öst AB</t>
        </is>
      </c>
      <c r="G40" t="n">
        <v>1.3</v>
      </c>
      <c r="H40" t="n">
        <v>2</v>
      </c>
      <c r="I40" t="n">
        <v>3</v>
      </c>
      <c r="J40" t="n">
        <v>0</v>
      </c>
      <c r="K40" t="n">
        <v>0</v>
      </c>
      <c r="L40" t="n">
        <v>0</v>
      </c>
      <c r="M40" t="n">
        <v>0</v>
      </c>
      <c r="N40" t="n">
        <v>0</v>
      </c>
      <c r="O40" t="n">
        <v>0</v>
      </c>
      <c r="P40" t="n">
        <v>0</v>
      </c>
      <c r="Q40" t="n">
        <v>4</v>
      </c>
      <c r="R40" s="2" t="inlineStr">
        <is>
          <t>Grön sköldmossa
Korallblylav
Rödgul trumpetsvamp
Blåsippa</t>
        </is>
      </c>
      <c r="S40">
        <f>HYPERLINK("https://klasma.github.io/Logging_0382/artfynd/A 221-2025 artfynd.xlsx", "A 221-2025")</f>
        <v/>
      </c>
      <c r="T40">
        <f>HYPERLINK("https://klasma.github.io/Logging_0382/kartor/A 221-2025 karta.png", "A 221-2025")</f>
        <v/>
      </c>
      <c r="V40">
        <f>HYPERLINK("https://klasma.github.io/Logging_0382/klagomål/A 221-2025 FSC-klagomål.docx", "A 221-2025")</f>
        <v/>
      </c>
      <c r="W40">
        <f>HYPERLINK("https://klasma.github.io/Logging_0382/klagomålsmail/A 221-2025 FSC-klagomål mail.docx", "A 221-2025")</f>
        <v/>
      </c>
      <c r="X40">
        <f>HYPERLINK("https://klasma.github.io/Logging_0382/tillsyn/A 221-2025 tillsynsbegäran.docx", "A 221-2025")</f>
        <v/>
      </c>
      <c r="Y40">
        <f>HYPERLINK("https://klasma.github.io/Logging_0382/tillsynsmail/A 221-2025 tillsynsbegäran mail.docx", "A 221-2025")</f>
        <v/>
      </c>
    </row>
    <row r="41" ht="15" customHeight="1">
      <c r="A41" t="inlineStr">
        <is>
          <t>A 54492-2024</t>
        </is>
      </c>
      <c r="B41" s="1" t="n">
        <v>45617</v>
      </c>
      <c r="C41" s="1" t="n">
        <v>45885</v>
      </c>
      <c r="D41" t="inlineStr">
        <is>
          <t>UPPSALA LÄN</t>
        </is>
      </c>
      <c r="E41" t="inlineStr">
        <is>
          <t>ÖSTHAMMAR</t>
        </is>
      </c>
      <c r="G41" t="n">
        <v>23.9</v>
      </c>
      <c r="H41" t="n">
        <v>1</v>
      </c>
      <c r="I41" t="n">
        <v>3</v>
      </c>
      <c r="J41" t="n">
        <v>0</v>
      </c>
      <c r="K41" t="n">
        <v>0</v>
      </c>
      <c r="L41" t="n">
        <v>0</v>
      </c>
      <c r="M41" t="n">
        <v>0</v>
      </c>
      <c r="N41" t="n">
        <v>0</v>
      </c>
      <c r="O41" t="n">
        <v>0</v>
      </c>
      <c r="P41" t="n">
        <v>0</v>
      </c>
      <c r="Q41" t="n">
        <v>4</v>
      </c>
      <c r="R41" s="2" t="inlineStr">
        <is>
          <t>Bårdlav
Hasselticka
Läderskål
Blåsippa</t>
        </is>
      </c>
      <c r="S41">
        <f>HYPERLINK("https://klasma.github.io/Logging_0382/artfynd/A 54492-2024 artfynd.xlsx", "A 54492-2024")</f>
        <v/>
      </c>
      <c r="T41">
        <f>HYPERLINK("https://klasma.github.io/Logging_0382/kartor/A 54492-2024 karta.png", "A 54492-2024")</f>
        <v/>
      </c>
      <c r="V41">
        <f>HYPERLINK("https://klasma.github.io/Logging_0382/klagomål/A 54492-2024 FSC-klagomål.docx", "A 54492-2024")</f>
        <v/>
      </c>
      <c r="W41">
        <f>HYPERLINK("https://klasma.github.io/Logging_0382/klagomålsmail/A 54492-2024 FSC-klagomål mail.docx", "A 54492-2024")</f>
        <v/>
      </c>
      <c r="X41">
        <f>HYPERLINK("https://klasma.github.io/Logging_0382/tillsyn/A 54492-2024 tillsynsbegäran.docx", "A 54492-2024")</f>
        <v/>
      </c>
      <c r="Y41">
        <f>HYPERLINK("https://klasma.github.io/Logging_0382/tillsynsmail/A 54492-2024 tillsynsbegäran mail.docx", "A 54492-2024")</f>
        <v/>
      </c>
    </row>
    <row r="42" ht="15" customHeight="1">
      <c r="A42" t="inlineStr">
        <is>
          <t>A 25044-2025</t>
        </is>
      </c>
      <c r="B42" s="1" t="n">
        <v>45799.66607638889</v>
      </c>
      <c r="C42" s="1" t="n">
        <v>45885</v>
      </c>
      <c r="D42" t="inlineStr">
        <is>
          <t>UPPSALA LÄN</t>
        </is>
      </c>
      <c r="E42" t="inlineStr">
        <is>
          <t>ÖSTHAMMAR</t>
        </is>
      </c>
      <c r="F42" t="inlineStr">
        <is>
          <t>Bergvik skog öst AB</t>
        </is>
      </c>
      <c r="G42" t="n">
        <v>8.199999999999999</v>
      </c>
      <c r="H42" t="n">
        <v>2</v>
      </c>
      <c r="I42" t="n">
        <v>2</v>
      </c>
      <c r="J42" t="n">
        <v>0</v>
      </c>
      <c r="K42" t="n">
        <v>0</v>
      </c>
      <c r="L42" t="n">
        <v>0</v>
      </c>
      <c r="M42" t="n">
        <v>0</v>
      </c>
      <c r="N42" t="n">
        <v>0</v>
      </c>
      <c r="O42" t="n">
        <v>0</v>
      </c>
      <c r="P42" t="n">
        <v>0</v>
      </c>
      <c r="Q42" t="n">
        <v>3</v>
      </c>
      <c r="R42" s="2" t="inlineStr">
        <is>
          <t>Tvåblad
Vårärt
Blåsippa</t>
        </is>
      </c>
      <c r="S42">
        <f>HYPERLINK("https://klasma.github.io/Logging_0382/artfynd/A 25044-2025 artfynd.xlsx", "A 25044-2025")</f>
        <v/>
      </c>
      <c r="T42">
        <f>HYPERLINK("https://klasma.github.io/Logging_0382/kartor/A 25044-2025 karta.png", "A 25044-2025")</f>
        <v/>
      </c>
      <c r="V42">
        <f>HYPERLINK("https://klasma.github.io/Logging_0382/klagomål/A 25044-2025 FSC-klagomål.docx", "A 25044-2025")</f>
        <v/>
      </c>
      <c r="W42">
        <f>HYPERLINK("https://klasma.github.io/Logging_0382/klagomålsmail/A 25044-2025 FSC-klagomål mail.docx", "A 25044-2025")</f>
        <v/>
      </c>
      <c r="X42">
        <f>HYPERLINK("https://klasma.github.io/Logging_0382/tillsyn/A 25044-2025 tillsynsbegäran.docx", "A 25044-2025")</f>
        <v/>
      </c>
      <c r="Y42">
        <f>HYPERLINK("https://klasma.github.io/Logging_0382/tillsynsmail/A 25044-2025 tillsynsbegäran mail.docx", "A 25044-2025")</f>
        <v/>
      </c>
    </row>
    <row r="43" ht="15" customHeight="1">
      <c r="A43" t="inlineStr">
        <is>
          <t>A 17004-2024</t>
        </is>
      </c>
      <c r="B43" s="1" t="n">
        <v>45412</v>
      </c>
      <c r="C43" s="1" t="n">
        <v>45885</v>
      </c>
      <c r="D43" t="inlineStr">
        <is>
          <t>UPPSALA LÄN</t>
        </is>
      </c>
      <c r="E43" t="inlineStr">
        <is>
          <t>ÖSTHAMMAR</t>
        </is>
      </c>
      <c r="F43" t="inlineStr">
        <is>
          <t>Bergvik skog öst AB</t>
        </is>
      </c>
      <c r="G43" t="n">
        <v>24.4</v>
      </c>
      <c r="H43" t="n">
        <v>0</v>
      </c>
      <c r="I43" t="n">
        <v>2</v>
      </c>
      <c r="J43" t="n">
        <v>0</v>
      </c>
      <c r="K43" t="n">
        <v>0</v>
      </c>
      <c r="L43" t="n">
        <v>0</v>
      </c>
      <c r="M43" t="n">
        <v>1</v>
      </c>
      <c r="N43" t="n">
        <v>0</v>
      </c>
      <c r="O43" t="n">
        <v>1</v>
      </c>
      <c r="P43" t="n">
        <v>1</v>
      </c>
      <c r="Q43" t="n">
        <v>3</v>
      </c>
      <c r="R43" s="2" t="inlineStr">
        <is>
          <t>Skogsalm
Myskmadra
Underviol</t>
        </is>
      </c>
      <c r="S43">
        <f>HYPERLINK("https://klasma.github.io/Logging_0382/artfynd/A 17004-2024 artfynd.xlsx", "A 17004-2024")</f>
        <v/>
      </c>
      <c r="T43">
        <f>HYPERLINK("https://klasma.github.io/Logging_0382/kartor/A 17004-2024 karta.png", "A 17004-2024")</f>
        <v/>
      </c>
      <c r="V43">
        <f>HYPERLINK("https://klasma.github.io/Logging_0382/klagomål/A 17004-2024 FSC-klagomål.docx", "A 17004-2024")</f>
        <v/>
      </c>
      <c r="W43">
        <f>HYPERLINK("https://klasma.github.io/Logging_0382/klagomålsmail/A 17004-2024 FSC-klagomål mail.docx", "A 17004-2024")</f>
        <v/>
      </c>
      <c r="X43">
        <f>HYPERLINK("https://klasma.github.io/Logging_0382/tillsyn/A 17004-2024 tillsynsbegäran.docx", "A 17004-2024")</f>
        <v/>
      </c>
      <c r="Y43">
        <f>HYPERLINK("https://klasma.github.io/Logging_0382/tillsynsmail/A 17004-2024 tillsynsbegäran mail.docx", "A 17004-2024")</f>
        <v/>
      </c>
    </row>
    <row r="44" ht="15" customHeight="1">
      <c r="A44" t="inlineStr">
        <is>
          <t>A 45714-2020</t>
        </is>
      </c>
      <c r="B44" s="1" t="n">
        <v>44090</v>
      </c>
      <c r="C44" s="1" t="n">
        <v>45885</v>
      </c>
      <c r="D44" t="inlineStr">
        <is>
          <t>UPPSALA LÄN</t>
        </is>
      </c>
      <c r="E44" t="inlineStr">
        <is>
          <t>ÖSTHAMMAR</t>
        </is>
      </c>
      <c r="F44" t="inlineStr">
        <is>
          <t>Övriga Aktiebolag</t>
        </is>
      </c>
      <c r="G44" t="n">
        <v>10.8</v>
      </c>
      <c r="H44" t="n">
        <v>1</v>
      </c>
      <c r="I44" t="n">
        <v>1</v>
      </c>
      <c r="J44" t="n">
        <v>2</v>
      </c>
      <c r="K44" t="n">
        <v>0</v>
      </c>
      <c r="L44" t="n">
        <v>0</v>
      </c>
      <c r="M44" t="n">
        <v>0</v>
      </c>
      <c r="N44" t="n">
        <v>0</v>
      </c>
      <c r="O44" t="n">
        <v>2</v>
      </c>
      <c r="P44" t="n">
        <v>0</v>
      </c>
      <c r="Q44" t="n">
        <v>3</v>
      </c>
      <c r="R44" s="2" t="inlineStr">
        <is>
          <t>Slåtterfibbla
Solvända
Skogsknipprot</t>
        </is>
      </c>
      <c r="S44">
        <f>HYPERLINK("https://klasma.github.io/Logging_0382/artfynd/A 45714-2020 artfynd.xlsx", "A 45714-2020")</f>
        <v/>
      </c>
      <c r="T44">
        <f>HYPERLINK("https://klasma.github.io/Logging_0382/kartor/A 45714-2020 karta.png", "A 45714-2020")</f>
        <v/>
      </c>
      <c r="V44">
        <f>HYPERLINK("https://klasma.github.io/Logging_0382/klagomål/A 45714-2020 FSC-klagomål.docx", "A 45714-2020")</f>
        <v/>
      </c>
      <c r="W44">
        <f>HYPERLINK("https://klasma.github.io/Logging_0382/klagomålsmail/A 45714-2020 FSC-klagomål mail.docx", "A 45714-2020")</f>
        <v/>
      </c>
      <c r="X44">
        <f>HYPERLINK("https://klasma.github.io/Logging_0382/tillsyn/A 45714-2020 tillsynsbegäran.docx", "A 45714-2020")</f>
        <v/>
      </c>
      <c r="Y44">
        <f>HYPERLINK("https://klasma.github.io/Logging_0382/tillsynsmail/A 45714-2020 tillsynsbegäran mail.docx", "A 45714-2020")</f>
        <v/>
      </c>
    </row>
    <row r="45" ht="15" customHeight="1">
      <c r="A45" t="inlineStr">
        <is>
          <t>A 46204-2023</t>
        </is>
      </c>
      <c r="B45" s="1" t="n">
        <v>45190</v>
      </c>
      <c r="C45" s="1" t="n">
        <v>45885</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55051-2021</t>
        </is>
      </c>
      <c r="B46" s="1" t="n">
        <v>44474</v>
      </c>
      <c r="C46" s="1" t="n">
        <v>45885</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33035-2021</t>
        </is>
      </c>
      <c r="B47" s="1" t="n">
        <v>44376</v>
      </c>
      <c r="C47" s="1" t="n">
        <v>45885</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26557-2022</t>
        </is>
      </c>
      <c r="B48" s="1" t="n">
        <v>44739</v>
      </c>
      <c r="C48" s="1" t="n">
        <v>45885</v>
      </c>
      <c r="D48" t="inlineStr">
        <is>
          <t>UPPSALA LÄN</t>
        </is>
      </c>
      <c r="E48" t="inlineStr">
        <is>
          <t>ÖSTHAMMAR</t>
        </is>
      </c>
      <c r="F48" t="inlineStr">
        <is>
          <t>Övriga statliga verk och myndigheter</t>
        </is>
      </c>
      <c r="G48" t="n">
        <v>1.7</v>
      </c>
      <c r="H48" t="n">
        <v>3</v>
      </c>
      <c r="I48" t="n">
        <v>0</v>
      </c>
      <c r="J48" t="n">
        <v>3</v>
      </c>
      <c r="K48" t="n">
        <v>0</v>
      </c>
      <c r="L48" t="n">
        <v>0</v>
      </c>
      <c r="M48" t="n">
        <v>0</v>
      </c>
      <c r="N48" t="n">
        <v>0</v>
      </c>
      <c r="O48" t="n">
        <v>3</v>
      </c>
      <c r="P48" t="n">
        <v>0</v>
      </c>
      <c r="Q48" t="n">
        <v>3</v>
      </c>
      <c r="R48" s="2" t="inlineStr">
        <is>
          <t>Järpe
Mindre hackspett
Spillkråka</t>
        </is>
      </c>
      <c r="S48">
        <f>HYPERLINK("https://klasma.github.io/Logging_0382/artfynd/A 26557-2022 artfynd.xlsx", "A 26557-2022")</f>
        <v/>
      </c>
      <c r="T48">
        <f>HYPERLINK("https://klasma.github.io/Logging_0382/kartor/A 26557-2022 karta.png", "A 26557-2022")</f>
        <v/>
      </c>
      <c r="V48">
        <f>HYPERLINK("https://klasma.github.io/Logging_0382/klagomål/A 26557-2022 FSC-klagomål.docx", "A 26557-2022")</f>
        <v/>
      </c>
      <c r="W48">
        <f>HYPERLINK("https://klasma.github.io/Logging_0382/klagomålsmail/A 26557-2022 FSC-klagomål mail.docx", "A 26557-2022")</f>
        <v/>
      </c>
      <c r="X48">
        <f>HYPERLINK("https://klasma.github.io/Logging_0382/tillsyn/A 26557-2022 tillsynsbegäran.docx", "A 26557-2022")</f>
        <v/>
      </c>
      <c r="Y48">
        <f>HYPERLINK("https://klasma.github.io/Logging_0382/tillsynsmail/A 26557-2022 tillsynsbegäran mail.docx", "A 26557-2022")</f>
        <v/>
      </c>
      <c r="Z48">
        <f>HYPERLINK("https://klasma.github.io/Logging_0382/fåglar/A 26557-2022 prioriterade fågelarter.docx", "A 26557-2022")</f>
        <v/>
      </c>
    </row>
    <row r="49" ht="15" customHeight="1">
      <c r="A49" t="inlineStr">
        <is>
          <t>A 9683-2023</t>
        </is>
      </c>
      <c r="B49" s="1" t="n">
        <v>44984.43856481482</v>
      </c>
      <c r="C49" s="1" t="n">
        <v>45885</v>
      </c>
      <c r="D49" t="inlineStr">
        <is>
          <t>UPPSALA LÄN</t>
        </is>
      </c>
      <c r="E49" t="inlineStr">
        <is>
          <t>ÖSTHAMMAR</t>
        </is>
      </c>
      <c r="G49" t="n">
        <v>4</v>
      </c>
      <c r="H49" t="n">
        <v>3</v>
      </c>
      <c r="I49" t="n">
        <v>1</v>
      </c>
      <c r="J49" t="n">
        <v>0</v>
      </c>
      <c r="K49" t="n">
        <v>0</v>
      </c>
      <c r="L49" t="n">
        <v>0</v>
      </c>
      <c r="M49" t="n">
        <v>0</v>
      </c>
      <c r="N49" t="n">
        <v>0</v>
      </c>
      <c r="O49" t="n">
        <v>0</v>
      </c>
      <c r="P49" t="n">
        <v>0</v>
      </c>
      <c r="Q49" t="n">
        <v>3</v>
      </c>
      <c r="R49" s="2" t="inlineStr">
        <is>
          <t>Tvåblad
Blåsippa
Gullviva</t>
        </is>
      </c>
      <c r="S49">
        <f>HYPERLINK("https://klasma.github.io/Logging_0382/artfynd/A 9683-2023 artfynd.xlsx", "A 9683-2023")</f>
        <v/>
      </c>
      <c r="T49">
        <f>HYPERLINK("https://klasma.github.io/Logging_0382/kartor/A 9683-2023 karta.png", "A 9683-2023")</f>
        <v/>
      </c>
      <c r="V49">
        <f>HYPERLINK("https://klasma.github.io/Logging_0382/klagomål/A 9683-2023 FSC-klagomål.docx", "A 9683-2023")</f>
        <v/>
      </c>
      <c r="W49">
        <f>HYPERLINK("https://klasma.github.io/Logging_0382/klagomålsmail/A 9683-2023 FSC-klagomål mail.docx", "A 9683-2023")</f>
        <v/>
      </c>
      <c r="X49">
        <f>HYPERLINK("https://klasma.github.io/Logging_0382/tillsyn/A 9683-2023 tillsynsbegäran.docx", "A 9683-2023")</f>
        <v/>
      </c>
      <c r="Y49">
        <f>HYPERLINK("https://klasma.github.io/Logging_0382/tillsynsmail/A 9683-2023 tillsynsbegäran mail.docx", "A 9683-2023")</f>
        <v/>
      </c>
    </row>
    <row r="50" ht="15" customHeight="1">
      <c r="A50" t="inlineStr">
        <is>
          <t>A 9715-2024</t>
        </is>
      </c>
      <c r="B50" s="1" t="n">
        <v>45362.53928240741</v>
      </c>
      <c r="C50" s="1" t="n">
        <v>45885</v>
      </c>
      <c r="D50" t="inlineStr">
        <is>
          <t>UPPSALA LÄN</t>
        </is>
      </c>
      <c r="E50" t="inlineStr">
        <is>
          <t>ÖSTHAMMAR</t>
        </is>
      </c>
      <c r="G50" t="n">
        <v>4.7</v>
      </c>
      <c r="H50" t="n">
        <v>2</v>
      </c>
      <c r="I50" t="n">
        <v>2</v>
      </c>
      <c r="J50" t="n">
        <v>0</v>
      </c>
      <c r="K50" t="n">
        <v>1</v>
      </c>
      <c r="L50" t="n">
        <v>0</v>
      </c>
      <c r="M50" t="n">
        <v>0</v>
      </c>
      <c r="N50" t="n">
        <v>0</v>
      </c>
      <c r="O50" t="n">
        <v>1</v>
      </c>
      <c r="P50" t="n">
        <v>1</v>
      </c>
      <c r="Q50" t="n">
        <v>3</v>
      </c>
      <c r="R50" s="2" t="inlineStr">
        <is>
          <t>Knärot
Skogsknipprot
Vedticka</t>
        </is>
      </c>
      <c r="S50">
        <f>HYPERLINK("https://klasma.github.io/Logging_0382/artfynd/A 9715-2024 artfynd.xlsx", "A 9715-2024")</f>
        <v/>
      </c>
      <c r="T50">
        <f>HYPERLINK("https://klasma.github.io/Logging_0382/kartor/A 9715-2024 karta.png", "A 9715-2024")</f>
        <v/>
      </c>
      <c r="U50">
        <f>HYPERLINK("https://klasma.github.io/Logging_0382/knärot/A 9715-2024 karta knärot.png", "A 9715-2024")</f>
        <v/>
      </c>
      <c r="V50">
        <f>HYPERLINK("https://klasma.github.io/Logging_0382/klagomål/A 9715-2024 FSC-klagomål.docx", "A 9715-2024")</f>
        <v/>
      </c>
      <c r="W50">
        <f>HYPERLINK("https://klasma.github.io/Logging_0382/klagomålsmail/A 9715-2024 FSC-klagomål mail.docx", "A 9715-2024")</f>
        <v/>
      </c>
      <c r="X50">
        <f>HYPERLINK("https://klasma.github.io/Logging_0382/tillsyn/A 9715-2024 tillsynsbegäran.docx", "A 9715-2024")</f>
        <v/>
      </c>
      <c r="Y50">
        <f>HYPERLINK("https://klasma.github.io/Logging_0382/tillsynsmail/A 9715-2024 tillsynsbegäran mail.docx", "A 9715-2024")</f>
        <v/>
      </c>
    </row>
    <row r="51" ht="15" customHeight="1">
      <c r="A51" t="inlineStr">
        <is>
          <t>A 60078-2021</t>
        </is>
      </c>
      <c r="B51" s="1" t="n">
        <v>44495</v>
      </c>
      <c r="C51" s="1" t="n">
        <v>45885</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45885</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45885</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42520-2020</t>
        </is>
      </c>
      <c r="B54" s="1" t="n">
        <v>44077</v>
      </c>
      <c r="C54" s="1" t="n">
        <v>45885</v>
      </c>
      <c r="D54" t="inlineStr">
        <is>
          <t>UPPSALA LÄN</t>
        </is>
      </c>
      <c r="E54" t="inlineStr">
        <is>
          <t>ÖSTHAMMAR</t>
        </is>
      </c>
      <c r="G54" t="n">
        <v>2.8</v>
      </c>
      <c r="H54" t="n">
        <v>1</v>
      </c>
      <c r="I54" t="n">
        <v>2</v>
      </c>
      <c r="J54" t="n">
        <v>0</v>
      </c>
      <c r="K54" t="n">
        <v>0</v>
      </c>
      <c r="L54" t="n">
        <v>0</v>
      </c>
      <c r="M54" t="n">
        <v>0</v>
      </c>
      <c r="N54" t="n">
        <v>0</v>
      </c>
      <c r="O54" t="n">
        <v>0</v>
      </c>
      <c r="P54" t="n">
        <v>0</v>
      </c>
      <c r="Q54" t="n">
        <v>2</v>
      </c>
      <c r="R54" s="2" t="inlineStr">
        <is>
          <t>Hasselticka
Skogsknipprot</t>
        </is>
      </c>
      <c r="S54">
        <f>HYPERLINK("https://klasma.github.io/Logging_0382/artfynd/A 42520-2020 artfynd.xlsx", "A 42520-2020")</f>
        <v/>
      </c>
      <c r="T54">
        <f>HYPERLINK("https://klasma.github.io/Logging_0382/kartor/A 42520-2020 karta.png", "A 42520-2020")</f>
        <v/>
      </c>
      <c r="V54">
        <f>HYPERLINK("https://klasma.github.io/Logging_0382/klagomål/A 42520-2020 FSC-klagomål.docx", "A 42520-2020")</f>
        <v/>
      </c>
      <c r="W54">
        <f>HYPERLINK("https://klasma.github.io/Logging_0382/klagomålsmail/A 42520-2020 FSC-klagomål mail.docx", "A 42520-2020")</f>
        <v/>
      </c>
      <c r="X54">
        <f>HYPERLINK("https://klasma.github.io/Logging_0382/tillsyn/A 42520-2020 tillsynsbegäran.docx", "A 42520-2020")</f>
        <v/>
      </c>
      <c r="Y54">
        <f>HYPERLINK("https://klasma.github.io/Logging_0382/tillsynsmail/A 42520-2020 tillsynsbegäran mail.docx", "A 42520-2020")</f>
        <v/>
      </c>
    </row>
    <row r="55" ht="15" customHeight="1">
      <c r="A55" t="inlineStr">
        <is>
          <t>A 6223-2021</t>
        </is>
      </c>
      <c r="B55" s="1" t="n">
        <v>44235</v>
      </c>
      <c r="C55" s="1" t="n">
        <v>45885</v>
      </c>
      <c r="D55" t="inlineStr">
        <is>
          <t>UPPSALA LÄN</t>
        </is>
      </c>
      <c r="E55" t="inlineStr">
        <is>
          <t>ÖSTHAMMAR</t>
        </is>
      </c>
      <c r="G55" t="n">
        <v>0.5</v>
      </c>
      <c r="H55" t="n">
        <v>2</v>
      </c>
      <c r="I55" t="n">
        <v>0</v>
      </c>
      <c r="J55" t="n">
        <v>0</v>
      </c>
      <c r="K55" t="n">
        <v>0</v>
      </c>
      <c r="L55" t="n">
        <v>0</v>
      </c>
      <c r="M55" t="n">
        <v>0</v>
      </c>
      <c r="N55" t="n">
        <v>0</v>
      </c>
      <c r="O55" t="n">
        <v>0</v>
      </c>
      <c r="P55" t="n">
        <v>0</v>
      </c>
      <c r="Q55" t="n">
        <v>2</v>
      </c>
      <c r="R55" s="2" t="inlineStr">
        <is>
          <t>Blåsippa
Gullviva</t>
        </is>
      </c>
      <c r="S55">
        <f>HYPERLINK("https://klasma.github.io/Logging_0382/artfynd/A 6223-2021 artfynd.xlsx", "A 6223-2021")</f>
        <v/>
      </c>
      <c r="T55">
        <f>HYPERLINK("https://klasma.github.io/Logging_0382/kartor/A 6223-2021 karta.png", "A 6223-2021")</f>
        <v/>
      </c>
      <c r="V55">
        <f>HYPERLINK("https://klasma.github.io/Logging_0382/klagomål/A 6223-2021 FSC-klagomål.docx", "A 6223-2021")</f>
        <v/>
      </c>
      <c r="W55">
        <f>HYPERLINK("https://klasma.github.io/Logging_0382/klagomålsmail/A 6223-2021 FSC-klagomål mail.docx", "A 6223-2021")</f>
        <v/>
      </c>
      <c r="X55">
        <f>HYPERLINK("https://klasma.github.io/Logging_0382/tillsyn/A 6223-2021 tillsynsbegäran.docx", "A 6223-2021")</f>
        <v/>
      </c>
      <c r="Y55">
        <f>HYPERLINK("https://klasma.github.io/Logging_0382/tillsynsmail/A 6223-2021 tillsynsbegäran mail.docx", "A 6223-2021")</f>
        <v/>
      </c>
    </row>
    <row r="56" ht="15" customHeight="1">
      <c r="A56" t="inlineStr">
        <is>
          <t>A 21422-2023</t>
        </is>
      </c>
      <c r="B56" s="1" t="n">
        <v>45063</v>
      </c>
      <c r="C56" s="1" t="n">
        <v>45885</v>
      </c>
      <c r="D56" t="inlineStr">
        <is>
          <t>UPPSALA LÄN</t>
        </is>
      </c>
      <c r="E56" t="inlineStr">
        <is>
          <t>ÖSTHAMMAR</t>
        </is>
      </c>
      <c r="F56" t="inlineStr">
        <is>
          <t>Sveaskog</t>
        </is>
      </c>
      <c r="G56" t="n">
        <v>2.8</v>
      </c>
      <c r="H56" t="n">
        <v>2</v>
      </c>
      <c r="I56" t="n">
        <v>0</v>
      </c>
      <c r="J56" t="n">
        <v>1</v>
      </c>
      <c r="K56" t="n">
        <v>0</v>
      </c>
      <c r="L56" t="n">
        <v>0</v>
      </c>
      <c r="M56" t="n">
        <v>0</v>
      </c>
      <c r="N56" t="n">
        <v>0</v>
      </c>
      <c r="O56" t="n">
        <v>1</v>
      </c>
      <c r="P56" t="n">
        <v>0</v>
      </c>
      <c r="Q56" t="n">
        <v>2</v>
      </c>
      <c r="R56" s="2" t="inlineStr">
        <is>
          <t>Nordfladdermus
Dvärgpipistrell</t>
        </is>
      </c>
      <c r="S56">
        <f>HYPERLINK("https://klasma.github.io/Logging_0382/artfynd/A 21422-2023 artfynd.xlsx", "A 21422-2023")</f>
        <v/>
      </c>
      <c r="T56">
        <f>HYPERLINK("https://klasma.github.io/Logging_0382/kartor/A 21422-2023 karta.png", "A 21422-2023")</f>
        <v/>
      </c>
      <c r="V56">
        <f>HYPERLINK("https://klasma.github.io/Logging_0382/klagomål/A 21422-2023 FSC-klagomål.docx", "A 21422-2023")</f>
        <v/>
      </c>
      <c r="W56">
        <f>HYPERLINK("https://klasma.github.io/Logging_0382/klagomålsmail/A 21422-2023 FSC-klagomål mail.docx", "A 21422-2023")</f>
        <v/>
      </c>
      <c r="X56">
        <f>HYPERLINK("https://klasma.github.io/Logging_0382/tillsyn/A 21422-2023 tillsynsbegäran.docx", "A 21422-2023")</f>
        <v/>
      </c>
      <c r="Y56">
        <f>HYPERLINK("https://klasma.github.io/Logging_0382/tillsynsmail/A 21422-2023 tillsynsbegäran mail.docx", "A 21422-2023")</f>
        <v/>
      </c>
    </row>
    <row r="57" ht="15" customHeight="1">
      <c r="A57" t="inlineStr">
        <is>
          <t>A 73981-2021</t>
        </is>
      </c>
      <c r="B57" s="1" t="n">
        <v>44555</v>
      </c>
      <c r="C57" s="1" t="n">
        <v>45885</v>
      </c>
      <c r="D57" t="inlineStr">
        <is>
          <t>UPPSALA LÄN</t>
        </is>
      </c>
      <c r="E57" t="inlineStr">
        <is>
          <t>ÖSTHAMMAR</t>
        </is>
      </c>
      <c r="G57" t="n">
        <v>2.4</v>
      </c>
      <c r="H57" t="n">
        <v>0</v>
      </c>
      <c r="I57" t="n">
        <v>1</v>
      </c>
      <c r="J57" t="n">
        <v>1</v>
      </c>
      <c r="K57" t="n">
        <v>0</v>
      </c>
      <c r="L57" t="n">
        <v>0</v>
      </c>
      <c r="M57" t="n">
        <v>0</v>
      </c>
      <c r="N57" t="n">
        <v>0</v>
      </c>
      <c r="O57" t="n">
        <v>1</v>
      </c>
      <c r="P57" t="n">
        <v>0</v>
      </c>
      <c r="Q57" t="n">
        <v>2</v>
      </c>
      <c r="R57" s="2" t="inlineStr">
        <is>
          <t>Skogsklocka
Vårärt</t>
        </is>
      </c>
      <c r="S57">
        <f>HYPERLINK("https://klasma.github.io/Logging_0382/artfynd/A 73981-2021 artfynd.xlsx", "A 73981-2021")</f>
        <v/>
      </c>
      <c r="T57">
        <f>HYPERLINK("https://klasma.github.io/Logging_0382/kartor/A 73981-2021 karta.png", "A 73981-2021")</f>
        <v/>
      </c>
      <c r="V57">
        <f>HYPERLINK("https://klasma.github.io/Logging_0382/klagomål/A 73981-2021 FSC-klagomål.docx", "A 73981-2021")</f>
        <v/>
      </c>
      <c r="W57">
        <f>HYPERLINK("https://klasma.github.io/Logging_0382/klagomålsmail/A 73981-2021 FSC-klagomål mail.docx", "A 73981-2021")</f>
        <v/>
      </c>
      <c r="X57">
        <f>HYPERLINK("https://klasma.github.io/Logging_0382/tillsyn/A 73981-2021 tillsynsbegäran.docx", "A 73981-2021")</f>
        <v/>
      </c>
      <c r="Y57">
        <f>HYPERLINK("https://klasma.github.io/Logging_0382/tillsynsmail/A 73981-2021 tillsynsbegäran mail.docx", "A 73981-2021")</f>
        <v/>
      </c>
    </row>
    <row r="58" ht="15" customHeight="1">
      <c r="A58" t="inlineStr">
        <is>
          <t>A 13287-2022</t>
        </is>
      </c>
      <c r="B58" s="1" t="n">
        <v>44644</v>
      </c>
      <c r="C58" s="1" t="n">
        <v>45885</v>
      </c>
      <c r="D58" t="inlineStr">
        <is>
          <t>UPPSALA LÄN</t>
        </is>
      </c>
      <c r="E58" t="inlineStr">
        <is>
          <t>ÖSTHAMMAR</t>
        </is>
      </c>
      <c r="G58" t="n">
        <v>14.6</v>
      </c>
      <c r="H58" t="n">
        <v>0</v>
      </c>
      <c r="I58" t="n">
        <v>1</v>
      </c>
      <c r="J58" t="n">
        <v>0</v>
      </c>
      <c r="K58" t="n">
        <v>1</v>
      </c>
      <c r="L58" t="n">
        <v>0</v>
      </c>
      <c r="M58" t="n">
        <v>0</v>
      </c>
      <c r="N58" t="n">
        <v>0</v>
      </c>
      <c r="O58" t="n">
        <v>1</v>
      </c>
      <c r="P58" t="n">
        <v>1</v>
      </c>
      <c r="Q58" t="n">
        <v>2</v>
      </c>
      <c r="R58" s="2" t="inlineStr">
        <is>
          <t>Bullspindling
Olivspindling</t>
        </is>
      </c>
      <c r="S58">
        <f>HYPERLINK("https://klasma.github.io/Logging_0382/artfynd/A 13287-2022 artfynd.xlsx", "A 13287-2022")</f>
        <v/>
      </c>
      <c r="T58">
        <f>HYPERLINK("https://klasma.github.io/Logging_0382/kartor/A 13287-2022 karta.png", "A 13287-2022")</f>
        <v/>
      </c>
      <c r="V58">
        <f>HYPERLINK("https://klasma.github.io/Logging_0382/klagomål/A 13287-2022 FSC-klagomål.docx", "A 13287-2022")</f>
        <v/>
      </c>
      <c r="W58">
        <f>HYPERLINK("https://klasma.github.io/Logging_0382/klagomålsmail/A 13287-2022 FSC-klagomål mail.docx", "A 13287-2022")</f>
        <v/>
      </c>
      <c r="X58">
        <f>HYPERLINK("https://klasma.github.io/Logging_0382/tillsyn/A 13287-2022 tillsynsbegäran.docx", "A 13287-2022")</f>
        <v/>
      </c>
      <c r="Y58">
        <f>HYPERLINK("https://klasma.github.io/Logging_0382/tillsynsmail/A 13287-2022 tillsynsbegäran mail.docx", "A 13287-2022")</f>
        <v/>
      </c>
    </row>
    <row r="59" ht="15" customHeight="1">
      <c r="A59" t="inlineStr">
        <is>
          <t>A 18539-2024</t>
        </is>
      </c>
      <c r="B59" s="1" t="n">
        <v>45425.63697916667</v>
      </c>
      <c r="C59" s="1" t="n">
        <v>45885</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2916-2025</t>
        </is>
      </c>
      <c r="B60" s="1" t="n">
        <v>45677</v>
      </c>
      <c r="C60" s="1" t="n">
        <v>45885</v>
      </c>
      <c r="D60" t="inlineStr">
        <is>
          <t>UPPSALA LÄN</t>
        </is>
      </c>
      <c r="E60" t="inlineStr">
        <is>
          <t>ÖSTHAMMAR</t>
        </is>
      </c>
      <c r="F60" t="inlineStr">
        <is>
          <t>Allmännings- och besparingsskogar</t>
        </is>
      </c>
      <c r="G60" t="n">
        <v>10.5</v>
      </c>
      <c r="H60" t="n">
        <v>2</v>
      </c>
      <c r="I60" t="n">
        <v>0</v>
      </c>
      <c r="J60" t="n">
        <v>0</v>
      </c>
      <c r="K60" t="n">
        <v>0</v>
      </c>
      <c r="L60" t="n">
        <v>0</v>
      </c>
      <c r="M60" t="n">
        <v>0</v>
      </c>
      <c r="N60" t="n">
        <v>0</v>
      </c>
      <c r="O60" t="n">
        <v>0</v>
      </c>
      <c r="P60" t="n">
        <v>0</v>
      </c>
      <c r="Q60" t="n">
        <v>2</v>
      </c>
      <c r="R60" s="2" t="inlineStr">
        <is>
          <t>Grönvit nattviol
Ängsnycklar × fläcknycklar</t>
        </is>
      </c>
      <c r="S60">
        <f>HYPERLINK("https://klasma.github.io/Logging_0382/artfynd/A 2916-2025 artfynd.xlsx", "A 2916-2025")</f>
        <v/>
      </c>
      <c r="T60">
        <f>HYPERLINK("https://klasma.github.io/Logging_0382/kartor/A 2916-2025 karta.png", "A 2916-2025")</f>
        <v/>
      </c>
      <c r="V60">
        <f>HYPERLINK("https://klasma.github.io/Logging_0382/klagomål/A 2916-2025 FSC-klagomål.docx", "A 2916-2025")</f>
        <v/>
      </c>
      <c r="W60">
        <f>HYPERLINK("https://klasma.github.io/Logging_0382/klagomålsmail/A 2916-2025 FSC-klagomål mail.docx", "A 2916-2025")</f>
        <v/>
      </c>
      <c r="X60">
        <f>HYPERLINK("https://klasma.github.io/Logging_0382/tillsyn/A 2916-2025 tillsynsbegäran.docx", "A 2916-2025")</f>
        <v/>
      </c>
      <c r="Y60">
        <f>HYPERLINK("https://klasma.github.io/Logging_0382/tillsynsmail/A 2916-2025 tillsynsbegäran mail.docx", "A 2916-2025")</f>
        <v/>
      </c>
    </row>
    <row r="61" ht="15" customHeight="1">
      <c r="A61" t="inlineStr">
        <is>
          <t>A 25098-2022</t>
        </is>
      </c>
      <c r="B61" s="1" t="n">
        <v>44729.44149305556</v>
      </c>
      <c r="C61" s="1" t="n">
        <v>45885</v>
      </c>
      <c r="D61" t="inlineStr">
        <is>
          <t>UPPSALA LÄN</t>
        </is>
      </c>
      <c r="E61" t="inlineStr">
        <is>
          <t>ÖSTHAMMAR</t>
        </is>
      </c>
      <c r="G61" t="n">
        <v>2.9</v>
      </c>
      <c r="H61" t="n">
        <v>2</v>
      </c>
      <c r="I61" t="n">
        <v>0</v>
      </c>
      <c r="J61" t="n">
        <v>0</v>
      </c>
      <c r="K61" t="n">
        <v>0</v>
      </c>
      <c r="L61" t="n">
        <v>0</v>
      </c>
      <c r="M61" t="n">
        <v>0</v>
      </c>
      <c r="N61" t="n">
        <v>0</v>
      </c>
      <c r="O61" t="n">
        <v>0</v>
      </c>
      <c r="P61" t="n">
        <v>0</v>
      </c>
      <c r="Q61" t="n">
        <v>2</v>
      </c>
      <c r="R61" s="2" t="inlineStr">
        <is>
          <t>Blåsippa
Gullviva</t>
        </is>
      </c>
      <c r="S61">
        <f>HYPERLINK("https://klasma.github.io/Logging_0382/artfynd/A 25098-2022 artfynd.xlsx", "A 25098-2022")</f>
        <v/>
      </c>
      <c r="T61">
        <f>HYPERLINK("https://klasma.github.io/Logging_0382/kartor/A 25098-2022 karta.png", "A 25098-2022")</f>
        <v/>
      </c>
      <c r="V61">
        <f>HYPERLINK("https://klasma.github.io/Logging_0382/klagomål/A 25098-2022 FSC-klagomål.docx", "A 25098-2022")</f>
        <v/>
      </c>
      <c r="W61">
        <f>HYPERLINK("https://klasma.github.io/Logging_0382/klagomålsmail/A 25098-2022 FSC-klagomål mail.docx", "A 25098-2022")</f>
        <v/>
      </c>
      <c r="X61">
        <f>HYPERLINK("https://klasma.github.io/Logging_0382/tillsyn/A 25098-2022 tillsynsbegäran.docx", "A 25098-2022")</f>
        <v/>
      </c>
      <c r="Y61">
        <f>HYPERLINK("https://klasma.github.io/Logging_0382/tillsynsmail/A 25098-2022 tillsynsbegäran mail.docx", "A 25098-2022")</f>
        <v/>
      </c>
    </row>
    <row r="62" ht="15" customHeight="1">
      <c r="A62" t="inlineStr">
        <is>
          <t>A 26277-2024</t>
        </is>
      </c>
      <c r="B62" s="1" t="n">
        <v>45468</v>
      </c>
      <c r="C62" s="1" t="n">
        <v>45885</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37768-2025</t>
        </is>
      </c>
      <c r="B63" s="1" t="n">
        <v>45880.74625</v>
      </c>
      <c r="C63" s="1" t="n">
        <v>45885</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33269-2025</t>
        </is>
      </c>
      <c r="B64" s="1" t="n">
        <v>45840.68208333333</v>
      </c>
      <c r="C64" s="1" t="n">
        <v>45885</v>
      </c>
      <c r="D64" t="inlineStr">
        <is>
          <t>UPPSALA LÄN</t>
        </is>
      </c>
      <c r="E64" t="inlineStr">
        <is>
          <t>ÖSTHAMMAR</t>
        </is>
      </c>
      <c r="G64" t="n">
        <v>14.9</v>
      </c>
      <c r="H64" t="n">
        <v>0</v>
      </c>
      <c r="I64" t="n">
        <v>1</v>
      </c>
      <c r="J64" t="n">
        <v>0</v>
      </c>
      <c r="K64" t="n">
        <v>1</v>
      </c>
      <c r="L64" t="n">
        <v>0</v>
      </c>
      <c r="M64" t="n">
        <v>0</v>
      </c>
      <c r="N64" t="n">
        <v>0</v>
      </c>
      <c r="O64" t="n">
        <v>1</v>
      </c>
      <c r="P64" t="n">
        <v>1</v>
      </c>
      <c r="Q64" t="n">
        <v>2</v>
      </c>
      <c r="R64" s="2" t="inlineStr">
        <is>
          <t>Violgubbe
Kamjordstjärna</t>
        </is>
      </c>
      <c r="S64">
        <f>HYPERLINK("https://klasma.github.io/Logging_0382/artfynd/A 33269-2025 artfynd.xlsx", "A 33269-2025")</f>
        <v/>
      </c>
      <c r="T64">
        <f>HYPERLINK("https://klasma.github.io/Logging_0382/kartor/A 33269-2025 karta.png", "A 33269-2025")</f>
        <v/>
      </c>
      <c r="V64">
        <f>HYPERLINK("https://klasma.github.io/Logging_0382/klagomål/A 33269-2025 FSC-klagomål.docx", "A 33269-2025")</f>
        <v/>
      </c>
      <c r="W64">
        <f>HYPERLINK("https://klasma.github.io/Logging_0382/klagomålsmail/A 33269-2025 FSC-klagomål mail.docx", "A 33269-2025")</f>
        <v/>
      </c>
      <c r="X64">
        <f>HYPERLINK("https://klasma.github.io/Logging_0382/tillsyn/A 33269-2025 tillsynsbegäran.docx", "A 33269-2025")</f>
        <v/>
      </c>
      <c r="Y64">
        <f>HYPERLINK("https://klasma.github.io/Logging_0382/tillsynsmail/A 33269-2025 tillsynsbegäran mail.docx", "A 33269-2025")</f>
        <v/>
      </c>
    </row>
    <row r="65" ht="15" customHeight="1">
      <c r="A65" t="inlineStr">
        <is>
          <t>A 67855-2021</t>
        </is>
      </c>
      <c r="B65" s="1" t="n">
        <v>44525</v>
      </c>
      <c r="C65" s="1" t="n">
        <v>45885</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45885</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20553-2025</t>
        </is>
      </c>
      <c r="B67" s="1" t="n">
        <v>45775.63983796296</v>
      </c>
      <c r="C67" s="1" t="n">
        <v>45885</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30943-2024</t>
        </is>
      </c>
      <c r="B68" s="1" t="n">
        <v>45499</v>
      </c>
      <c r="C68" s="1" t="n">
        <v>45885</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9646-2024</t>
        </is>
      </c>
      <c r="B69" s="1" t="n">
        <v>45362.37055555556</v>
      </c>
      <c r="C69" s="1" t="n">
        <v>45885</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38442-2022</t>
        </is>
      </c>
      <c r="B70" s="1" t="n">
        <v>44813</v>
      </c>
      <c r="C70" s="1" t="n">
        <v>45885</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45885</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45885</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45885</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12753-2024</t>
        </is>
      </c>
      <c r="B74" s="1" t="n">
        <v>45384</v>
      </c>
      <c r="C74" s="1" t="n">
        <v>45885</v>
      </c>
      <c r="D74" t="inlineStr">
        <is>
          <t>UPPSALA LÄN</t>
        </is>
      </c>
      <c r="E74" t="inlineStr">
        <is>
          <t>ÖSTHAMMAR</t>
        </is>
      </c>
      <c r="G74" t="n">
        <v>1.7</v>
      </c>
      <c r="H74" t="n">
        <v>0</v>
      </c>
      <c r="I74" t="n">
        <v>0</v>
      </c>
      <c r="J74" t="n">
        <v>1</v>
      </c>
      <c r="K74" t="n">
        <v>0</v>
      </c>
      <c r="L74" t="n">
        <v>0</v>
      </c>
      <c r="M74" t="n">
        <v>0</v>
      </c>
      <c r="N74" t="n">
        <v>0</v>
      </c>
      <c r="O74" t="n">
        <v>1</v>
      </c>
      <c r="P74" t="n">
        <v>0</v>
      </c>
      <c r="Q74" t="n">
        <v>1</v>
      </c>
      <c r="R74" s="2" t="inlineStr">
        <is>
          <t>Flattoppad klubbsvamp</t>
        </is>
      </c>
      <c r="S74">
        <f>HYPERLINK("https://klasma.github.io/Logging_0382/artfynd/A 12753-2024 artfynd.xlsx", "A 12753-2024")</f>
        <v/>
      </c>
      <c r="T74">
        <f>HYPERLINK("https://klasma.github.io/Logging_0382/kartor/A 12753-2024 karta.png", "A 12753-2024")</f>
        <v/>
      </c>
      <c r="V74">
        <f>HYPERLINK("https://klasma.github.io/Logging_0382/klagomål/A 12753-2024 FSC-klagomål.docx", "A 12753-2024")</f>
        <v/>
      </c>
      <c r="W74">
        <f>HYPERLINK("https://klasma.github.io/Logging_0382/klagomålsmail/A 12753-2024 FSC-klagomål mail.docx", "A 12753-2024")</f>
        <v/>
      </c>
      <c r="X74">
        <f>HYPERLINK("https://klasma.github.io/Logging_0382/tillsyn/A 12753-2024 tillsynsbegäran.docx", "A 12753-2024")</f>
        <v/>
      </c>
      <c r="Y74">
        <f>HYPERLINK("https://klasma.github.io/Logging_0382/tillsynsmail/A 12753-2024 tillsynsbegäran mail.docx", "A 12753-2024")</f>
        <v/>
      </c>
    </row>
    <row r="75" ht="15" customHeight="1">
      <c r="A75" t="inlineStr">
        <is>
          <t>A 14203-2024</t>
        </is>
      </c>
      <c r="B75" s="1" t="n">
        <v>45393</v>
      </c>
      <c r="C75" s="1" t="n">
        <v>45885</v>
      </c>
      <c r="D75" t="inlineStr">
        <is>
          <t>UPPSALA LÄN</t>
        </is>
      </c>
      <c r="E75" t="inlineStr">
        <is>
          <t>ÖSTHAMMAR</t>
        </is>
      </c>
      <c r="G75" t="n">
        <v>1.4</v>
      </c>
      <c r="H75" t="n">
        <v>0</v>
      </c>
      <c r="I75" t="n">
        <v>0</v>
      </c>
      <c r="J75" t="n">
        <v>1</v>
      </c>
      <c r="K75" t="n">
        <v>0</v>
      </c>
      <c r="L75" t="n">
        <v>0</v>
      </c>
      <c r="M75" t="n">
        <v>0</v>
      </c>
      <c r="N75" t="n">
        <v>0</v>
      </c>
      <c r="O75" t="n">
        <v>1</v>
      </c>
      <c r="P75" t="n">
        <v>0</v>
      </c>
      <c r="Q75" t="n">
        <v>1</v>
      </c>
      <c r="R75" s="2" t="inlineStr">
        <is>
          <t>Scharlakansvaxing</t>
        </is>
      </c>
      <c r="S75">
        <f>HYPERLINK("https://klasma.github.io/Logging_0382/artfynd/A 14203-2024 artfynd.xlsx", "A 14203-2024")</f>
        <v/>
      </c>
      <c r="T75">
        <f>HYPERLINK("https://klasma.github.io/Logging_0382/kartor/A 14203-2024 karta.png", "A 14203-2024")</f>
        <v/>
      </c>
      <c r="V75">
        <f>HYPERLINK("https://klasma.github.io/Logging_0382/klagomål/A 14203-2024 FSC-klagomål.docx", "A 14203-2024")</f>
        <v/>
      </c>
      <c r="W75">
        <f>HYPERLINK("https://klasma.github.io/Logging_0382/klagomålsmail/A 14203-2024 FSC-klagomål mail.docx", "A 14203-2024")</f>
        <v/>
      </c>
      <c r="X75">
        <f>HYPERLINK("https://klasma.github.io/Logging_0382/tillsyn/A 14203-2024 tillsynsbegäran.docx", "A 14203-2024")</f>
        <v/>
      </c>
      <c r="Y75">
        <f>HYPERLINK("https://klasma.github.io/Logging_0382/tillsynsmail/A 14203-2024 tillsynsbegäran mail.docx", "A 14203-2024")</f>
        <v/>
      </c>
    </row>
    <row r="76" ht="15" customHeight="1">
      <c r="A76" t="inlineStr">
        <is>
          <t>A 63615-2021</t>
        </is>
      </c>
      <c r="B76" s="1" t="n">
        <v>44509</v>
      </c>
      <c r="C76" s="1" t="n">
        <v>45885</v>
      </c>
      <c r="D76" t="inlineStr">
        <is>
          <t>UPPSALA LÄN</t>
        </is>
      </c>
      <c r="E76" t="inlineStr">
        <is>
          <t>ÖSTHAMMAR</t>
        </is>
      </c>
      <c r="G76" t="n">
        <v>1.9</v>
      </c>
      <c r="H76" t="n">
        <v>0</v>
      </c>
      <c r="I76" t="n">
        <v>0</v>
      </c>
      <c r="J76" t="n">
        <v>1</v>
      </c>
      <c r="K76" t="n">
        <v>0</v>
      </c>
      <c r="L76" t="n">
        <v>0</v>
      </c>
      <c r="M76" t="n">
        <v>0</v>
      </c>
      <c r="N76" t="n">
        <v>0</v>
      </c>
      <c r="O76" t="n">
        <v>1</v>
      </c>
      <c r="P76" t="n">
        <v>0</v>
      </c>
      <c r="Q76" t="n">
        <v>1</v>
      </c>
      <c r="R76" s="2" t="inlineStr">
        <is>
          <t>Gul taggsvamp</t>
        </is>
      </c>
      <c r="S76">
        <f>HYPERLINK("https://klasma.github.io/Logging_0382/artfynd/A 63615-2021 artfynd.xlsx", "A 63615-2021")</f>
        <v/>
      </c>
      <c r="T76">
        <f>HYPERLINK("https://klasma.github.io/Logging_0382/kartor/A 63615-2021 karta.png", "A 63615-2021")</f>
        <v/>
      </c>
      <c r="V76">
        <f>HYPERLINK("https://klasma.github.io/Logging_0382/klagomål/A 63615-2021 FSC-klagomål.docx", "A 63615-2021")</f>
        <v/>
      </c>
      <c r="W76">
        <f>HYPERLINK("https://klasma.github.io/Logging_0382/klagomålsmail/A 63615-2021 FSC-klagomål mail.docx", "A 63615-2021")</f>
        <v/>
      </c>
      <c r="X76">
        <f>HYPERLINK("https://klasma.github.io/Logging_0382/tillsyn/A 63615-2021 tillsynsbegäran.docx", "A 63615-2021")</f>
        <v/>
      </c>
      <c r="Y76">
        <f>HYPERLINK("https://klasma.github.io/Logging_0382/tillsynsmail/A 63615-2021 tillsynsbegäran mail.docx", "A 63615-2021")</f>
        <v/>
      </c>
    </row>
    <row r="77" ht="15" customHeight="1">
      <c r="A77" t="inlineStr">
        <is>
          <t>A 37296-2023</t>
        </is>
      </c>
      <c r="B77" s="1" t="n">
        <v>45156</v>
      </c>
      <c r="C77" s="1" t="n">
        <v>45885</v>
      </c>
      <c r="D77" t="inlineStr">
        <is>
          <t>UPPSALA LÄN</t>
        </is>
      </c>
      <c r="E77" t="inlineStr">
        <is>
          <t>ÖSTHAMMAR</t>
        </is>
      </c>
      <c r="G77" t="n">
        <v>4.7</v>
      </c>
      <c r="H77" t="n">
        <v>1</v>
      </c>
      <c r="I77" t="n">
        <v>0</v>
      </c>
      <c r="J77" t="n">
        <v>0</v>
      </c>
      <c r="K77" t="n">
        <v>1</v>
      </c>
      <c r="L77" t="n">
        <v>0</v>
      </c>
      <c r="M77" t="n">
        <v>0</v>
      </c>
      <c r="N77" t="n">
        <v>0</v>
      </c>
      <c r="O77" t="n">
        <v>1</v>
      </c>
      <c r="P77" t="n">
        <v>1</v>
      </c>
      <c r="Q77" t="n">
        <v>1</v>
      </c>
      <c r="R77" s="2" t="inlineStr">
        <is>
          <t>Backsippa</t>
        </is>
      </c>
      <c r="S77">
        <f>HYPERLINK("https://klasma.github.io/Logging_0382/artfynd/A 37296-2023 artfynd.xlsx", "A 37296-2023")</f>
        <v/>
      </c>
      <c r="T77">
        <f>HYPERLINK("https://klasma.github.io/Logging_0382/kartor/A 37296-2023 karta.png", "A 37296-2023")</f>
        <v/>
      </c>
      <c r="V77">
        <f>HYPERLINK("https://klasma.github.io/Logging_0382/klagomål/A 37296-2023 FSC-klagomål.docx", "A 37296-2023")</f>
        <v/>
      </c>
      <c r="W77">
        <f>HYPERLINK("https://klasma.github.io/Logging_0382/klagomålsmail/A 37296-2023 FSC-klagomål mail.docx", "A 37296-2023")</f>
        <v/>
      </c>
      <c r="X77">
        <f>HYPERLINK("https://klasma.github.io/Logging_0382/tillsyn/A 37296-2023 tillsynsbegäran.docx", "A 37296-2023")</f>
        <v/>
      </c>
      <c r="Y77">
        <f>HYPERLINK("https://klasma.github.io/Logging_0382/tillsynsmail/A 37296-2023 tillsynsbegäran mail.docx", "A 37296-2023")</f>
        <v/>
      </c>
    </row>
    <row r="78" ht="15" customHeight="1">
      <c r="A78" t="inlineStr">
        <is>
          <t>A 65989-2021</t>
        </is>
      </c>
      <c r="B78" s="1" t="n">
        <v>44517</v>
      </c>
      <c r="C78" s="1" t="n">
        <v>45885</v>
      </c>
      <c r="D78" t="inlineStr">
        <is>
          <t>UPPSALA LÄN</t>
        </is>
      </c>
      <c r="E78" t="inlineStr">
        <is>
          <t>ÖSTHAMMAR</t>
        </is>
      </c>
      <c r="G78" t="n">
        <v>6.9</v>
      </c>
      <c r="H78" t="n">
        <v>1</v>
      </c>
      <c r="I78" t="n">
        <v>1</v>
      </c>
      <c r="J78" t="n">
        <v>0</v>
      </c>
      <c r="K78" t="n">
        <v>0</v>
      </c>
      <c r="L78" t="n">
        <v>0</v>
      </c>
      <c r="M78" t="n">
        <v>0</v>
      </c>
      <c r="N78" t="n">
        <v>0</v>
      </c>
      <c r="O78" t="n">
        <v>0</v>
      </c>
      <c r="P78" t="n">
        <v>0</v>
      </c>
      <c r="Q78" t="n">
        <v>1</v>
      </c>
      <c r="R78" s="2" t="inlineStr">
        <is>
          <t>Skogsknipprot</t>
        </is>
      </c>
      <c r="S78">
        <f>HYPERLINK("https://klasma.github.io/Logging_0382/artfynd/A 65989-2021 artfynd.xlsx", "A 65989-2021")</f>
        <v/>
      </c>
      <c r="T78">
        <f>HYPERLINK("https://klasma.github.io/Logging_0382/kartor/A 65989-2021 karta.png", "A 65989-2021")</f>
        <v/>
      </c>
      <c r="V78">
        <f>HYPERLINK("https://klasma.github.io/Logging_0382/klagomål/A 65989-2021 FSC-klagomål.docx", "A 65989-2021")</f>
        <v/>
      </c>
      <c r="W78">
        <f>HYPERLINK("https://klasma.github.io/Logging_0382/klagomålsmail/A 65989-2021 FSC-klagomål mail.docx", "A 65989-2021")</f>
        <v/>
      </c>
      <c r="X78">
        <f>HYPERLINK("https://klasma.github.io/Logging_0382/tillsyn/A 65989-2021 tillsynsbegäran.docx", "A 65989-2021")</f>
        <v/>
      </c>
      <c r="Y78">
        <f>HYPERLINK("https://klasma.github.io/Logging_0382/tillsynsmail/A 65989-2021 tillsynsbegäran mail.docx", "A 65989-2021")</f>
        <v/>
      </c>
    </row>
    <row r="79" ht="15" customHeight="1">
      <c r="A79" t="inlineStr">
        <is>
          <t>A 7446-2022</t>
        </is>
      </c>
      <c r="B79" s="1" t="n">
        <v>44606</v>
      </c>
      <c r="C79" s="1" t="n">
        <v>45885</v>
      </c>
      <c r="D79" t="inlineStr">
        <is>
          <t>UPPSALA LÄN</t>
        </is>
      </c>
      <c r="E79" t="inlineStr">
        <is>
          <t>ÖSTHAMMAR</t>
        </is>
      </c>
      <c r="G79" t="n">
        <v>5</v>
      </c>
      <c r="H79" t="n">
        <v>1</v>
      </c>
      <c r="I79" t="n">
        <v>0</v>
      </c>
      <c r="J79" t="n">
        <v>0</v>
      </c>
      <c r="K79" t="n">
        <v>0</v>
      </c>
      <c r="L79" t="n">
        <v>0</v>
      </c>
      <c r="M79" t="n">
        <v>0</v>
      </c>
      <c r="N79" t="n">
        <v>0</v>
      </c>
      <c r="O79" t="n">
        <v>0</v>
      </c>
      <c r="P79" t="n">
        <v>0</v>
      </c>
      <c r="Q79" t="n">
        <v>1</v>
      </c>
      <c r="R79" s="2" t="inlineStr">
        <is>
          <t>Mattlummer</t>
        </is>
      </c>
      <c r="S79">
        <f>HYPERLINK("https://klasma.github.io/Logging_0382/artfynd/A 7446-2022 artfynd.xlsx", "A 7446-2022")</f>
        <v/>
      </c>
      <c r="T79">
        <f>HYPERLINK("https://klasma.github.io/Logging_0382/kartor/A 7446-2022 karta.png", "A 7446-2022")</f>
        <v/>
      </c>
      <c r="V79">
        <f>HYPERLINK("https://klasma.github.io/Logging_0382/klagomål/A 7446-2022 FSC-klagomål.docx", "A 7446-2022")</f>
        <v/>
      </c>
      <c r="W79">
        <f>HYPERLINK("https://klasma.github.io/Logging_0382/klagomålsmail/A 7446-2022 FSC-klagomål mail.docx", "A 7446-2022")</f>
        <v/>
      </c>
      <c r="X79">
        <f>HYPERLINK("https://klasma.github.io/Logging_0382/tillsyn/A 7446-2022 tillsynsbegäran.docx", "A 7446-2022")</f>
        <v/>
      </c>
      <c r="Y79">
        <f>HYPERLINK("https://klasma.github.io/Logging_0382/tillsynsmail/A 7446-2022 tillsynsbegäran mail.docx", "A 7446-2022")</f>
        <v/>
      </c>
    </row>
    <row r="80" ht="15" customHeight="1">
      <c r="A80" t="inlineStr">
        <is>
          <t>A 11017-2023</t>
        </is>
      </c>
      <c r="B80" s="1" t="n">
        <v>44991</v>
      </c>
      <c r="C80" s="1" t="n">
        <v>45885</v>
      </c>
      <c r="D80" t="inlineStr">
        <is>
          <t>UPPSALA LÄN</t>
        </is>
      </c>
      <c r="E80" t="inlineStr">
        <is>
          <t>ÖSTHAMMAR</t>
        </is>
      </c>
      <c r="G80" t="n">
        <v>1.9</v>
      </c>
      <c r="H80" t="n">
        <v>1</v>
      </c>
      <c r="I80" t="n">
        <v>0</v>
      </c>
      <c r="J80" t="n">
        <v>1</v>
      </c>
      <c r="K80" t="n">
        <v>0</v>
      </c>
      <c r="L80" t="n">
        <v>0</v>
      </c>
      <c r="M80" t="n">
        <v>0</v>
      </c>
      <c r="N80" t="n">
        <v>0</v>
      </c>
      <c r="O80" t="n">
        <v>1</v>
      </c>
      <c r="P80" t="n">
        <v>0</v>
      </c>
      <c r="Q80" t="n">
        <v>1</v>
      </c>
      <c r="R80" s="2" t="inlineStr">
        <is>
          <t>Kornknarr</t>
        </is>
      </c>
      <c r="S80">
        <f>HYPERLINK("https://klasma.github.io/Logging_0382/artfynd/A 11017-2023 artfynd.xlsx", "A 11017-2023")</f>
        <v/>
      </c>
      <c r="T80">
        <f>HYPERLINK("https://klasma.github.io/Logging_0382/kartor/A 11017-2023 karta.png", "A 11017-2023")</f>
        <v/>
      </c>
      <c r="V80">
        <f>HYPERLINK("https://klasma.github.io/Logging_0382/klagomål/A 11017-2023 FSC-klagomål.docx", "A 11017-2023")</f>
        <v/>
      </c>
      <c r="W80">
        <f>HYPERLINK("https://klasma.github.io/Logging_0382/klagomålsmail/A 11017-2023 FSC-klagomål mail.docx", "A 11017-2023")</f>
        <v/>
      </c>
      <c r="X80">
        <f>HYPERLINK("https://klasma.github.io/Logging_0382/tillsyn/A 11017-2023 tillsynsbegäran.docx", "A 11017-2023")</f>
        <v/>
      </c>
      <c r="Y80">
        <f>HYPERLINK("https://klasma.github.io/Logging_0382/tillsynsmail/A 11017-2023 tillsynsbegäran mail.docx", "A 11017-2023")</f>
        <v/>
      </c>
    </row>
    <row r="81" ht="15" customHeight="1">
      <c r="A81" t="inlineStr">
        <is>
          <t>A 1227-2022</t>
        </is>
      </c>
      <c r="B81" s="1" t="n">
        <v>44572.57641203704</v>
      </c>
      <c r="C81" s="1" t="n">
        <v>45885</v>
      </c>
      <c r="D81" t="inlineStr">
        <is>
          <t>UPPSALA LÄN</t>
        </is>
      </c>
      <c r="E81" t="inlineStr">
        <is>
          <t>ÖSTHAMMAR</t>
        </is>
      </c>
      <c r="G81" t="n">
        <v>1.7</v>
      </c>
      <c r="H81" t="n">
        <v>0</v>
      </c>
      <c r="I81" t="n">
        <v>1</v>
      </c>
      <c r="J81" t="n">
        <v>0</v>
      </c>
      <c r="K81" t="n">
        <v>0</v>
      </c>
      <c r="L81" t="n">
        <v>0</v>
      </c>
      <c r="M81" t="n">
        <v>0</v>
      </c>
      <c r="N81" t="n">
        <v>0</v>
      </c>
      <c r="O81" t="n">
        <v>0</v>
      </c>
      <c r="P81" t="n">
        <v>0</v>
      </c>
      <c r="Q81" t="n">
        <v>1</v>
      </c>
      <c r="R81" s="2" t="inlineStr">
        <is>
          <t>Guldkremla</t>
        </is>
      </c>
      <c r="S81">
        <f>HYPERLINK("https://klasma.github.io/Logging_0382/artfynd/A 1227-2022 artfynd.xlsx", "A 1227-2022")</f>
        <v/>
      </c>
      <c r="T81">
        <f>HYPERLINK("https://klasma.github.io/Logging_0382/kartor/A 1227-2022 karta.png", "A 1227-2022")</f>
        <v/>
      </c>
      <c r="V81">
        <f>HYPERLINK("https://klasma.github.io/Logging_0382/klagomål/A 1227-2022 FSC-klagomål.docx", "A 1227-2022")</f>
        <v/>
      </c>
      <c r="W81">
        <f>HYPERLINK("https://klasma.github.io/Logging_0382/klagomålsmail/A 1227-2022 FSC-klagomål mail.docx", "A 1227-2022")</f>
        <v/>
      </c>
      <c r="X81">
        <f>HYPERLINK("https://klasma.github.io/Logging_0382/tillsyn/A 1227-2022 tillsynsbegäran.docx", "A 1227-2022")</f>
        <v/>
      </c>
      <c r="Y81">
        <f>HYPERLINK("https://klasma.github.io/Logging_0382/tillsynsmail/A 1227-2022 tillsynsbegäran mail.docx", "A 1227-2022")</f>
        <v/>
      </c>
    </row>
    <row r="82" ht="15" customHeight="1">
      <c r="A82" t="inlineStr">
        <is>
          <t>A 61479-2020</t>
        </is>
      </c>
      <c r="B82" s="1" t="n">
        <v>44154</v>
      </c>
      <c r="C82" s="1" t="n">
        <v>45885</v>
      </c>
      <c r="D82" t="inlineStr">
        <is>
          <t>UPPSALA LÄN</t>
        </is>
      </c>
      <c r="E82" t="inlineStr">
        <is>
          <t>ÖSTHAMMAR</t>
        </is>
      </c>
      <c r="G82" t="n">
        <v>2.5</v>
      </c>
      <c r="H82" t="n">
        <v>0</v>
      </c>
      <c r="I82" t="n">
        <v>1</v>
      </c>
      <c r="J82" t="n">
        <v>0</v>
      </c>
      <c r="K82" t="n">
        <v>0</v>
      </c>
      <c r="L82" t="n">
        <v>0</v>
      </c>
      <c r="M82" t="n">
        <v>0</v>
      </c>
      <c r="N82" t="n">
        <v>0</v>
      </c>
      <c r="O82" t="n">
        <v>0</v>
      </c>
      <c r="P82" t="n">
        <v>0</v>
      </c>
      <c r="Q82" t="n">
        <v>1</v>
      </c>
      <c r="R82" s="2" t="inlineStr">
        <is>
          <t>Olivspindling</t>
        </is>
      </c>
      <c r="S82">
        <f>HYPERLINK("https://klasma.github.io/Logging_0382/artfynd/A 61479-2020 artfynd.xlsx", "A 61479-2020")</f>
        <v/>
      </c>
      <c r="T82">
        <f>HYPERLINK("https://klasma.github.io/Logging_0382/kartor/A 61479-2020 karta.png", "A 61479-2020")</f>
        <v/>
      </c>
      <c r="V82">
        <f>HYPERLINK("https://klasma.github.io/Logging_0382/klagomål/A 61479-2020 FSC-klagomål.docx", "A 61479-2020")</f>
        <v/>
      </c>
      <c r="W82">
        <f>HYPERLINK("https://klasma.github.io/Logging_0382/klagomålsmail/A 61479-2020 FSC-klagomål mail.docx", "A 61479-2020")</f>
        <v/>
      </c>
      <c r="X82">
        <f>HYPERLINK("https://klasma.github.io/Logging_0382/tillsyn/A 61479-2020 tillsynsbegäran.docx", "A 61479-2020")</f>
        <v/>
      </c>
      <c r="Y82">
        <f>HYPERLINK("https://klasma.github.io/Logging_0382/tillsynsmail/A 61479-2020 tillsynsbegäran mail.docx", "A 61479-2020")</f>
        <v/>
      </c>
    </row>
    <row r="83" ht="15" customHeight="1">
      <c r="A83" t="inlineStr">
        <is>
          <t>A 29564-2023</t>
        </is>
      </c>
      <c r="B83" s="1" t="n">
        <v>45106</v>
      </c>
      <c r="C83" s="1" t="n">
        <v>45885</v>
      </c>
      <c r="D83" t="inlineStr">
        <is>
          <t>UPPSALA LÄN</t>
        </is>
      </c>
      <c r="E83" t="inlineStr">
        <is>
          <t>ÖSTHAMMAR</t>
        </is>
      </c>
      <c r="F83" t="inlineStr">
        <is>
          <t>Naturvårdsverket</t>
        </is>
      </c>
      <c r="G83" t="n">
        <v>1.2</v>
      </c>
      <c r="H83" t="n">
        <v>1</v>
      </c>
      <c r="I83" t="n">
        <v>0</v>
      </c>
      <c r="J83" t="n">
        <v>0</v>
      </c>
      <c r="K83" t="n">
        <v>0</v>
      </c>
      <c r="L83" t="n">
        <v>0</v>
      </c>
      <c r="M83" t="n">
        <v>0</v>
      </c>
      <c r="N83" t="n">
        <v>0</v>
      </c>
      <c r="O83" t="n">
        <v>0</v>
      </c>
      <c r="P83" t="n">
        <v>0</v>
      </c>
      <c r="Q83" t="n">
        <v>1</v>
      </c>
      <c r="R83" s="2" t="inlineStr">
        <is>
          <t>Blåsippa</t>
        </is>
      </c>
      <c r="S83">
        <f>HYPERLINK("https://klasma.github.io/Logging_0382/artfynd/A 29564-2023 artfynd.xlsx", "A 29564-2023")</f>
        <v/>
      </c>
      <c r="T83">
        <f>HYPERLINK("https://klasma.github.io/Logging_0382/kartor/A 29564-2023 karta.png", "A 29564-2023")</f>
        <v/>
      </c>
      <c r="V83">
        <f>HYPERLINK("https://klasma.github.io/Logging_0382/klagomål/A 29564-2023 FSC-klagomål.docx", "A 29564-2023")</f>
        <v/>
      </c>
      <c r="W83">
        <f>HYPERLINK("https://klasma.github.io/Logging_0382/klagomålsmail/A 29564-2023 FSC-klagomål mail.docx", "A 29564-2023")</f>
        <v/>
      </c>
      <c r="X83">
        <f>HYPERLINK("https://klasma.github.io/Logging_0382/tillsyn/A 29564-2023 tillsynsbegäran.docx", "A 29564-2023")</f>
        <v/>
      </c>
      <c r="Y83">
        <f>HYPERLINK("https://klasma.github.io/Logging_0382/tillsynsmail/A 29564-2023 tillsynsbegäran mail.docx", "A 29564-2023")</f>
        <v/>
      </c>
    </row>
    <row r="84" ht="15" customHeight="1">
      <c r="A84" t="inlineStr">
        <is>
          <t>A 29679-2023</t>
        </is>
      </c>
      <c r="B84" s="1" t="n">
        <v>45107</v>
      </c>
      <c r="C84" s="1" t="n">
        <v>45885</v>
      </c>
      <c r="D84" t="inlineStr">
        <is>
          <t>UPPSALA LÄN</t>
        </is>
      </c>
      <c r="E84" t="inlineStr">
        <is>
          <t>ÖSTHAMMAR</t>
        </is>
      </c>
      <c r="F84" t="inlineStr">
        <is>
          <t>Övriga Aktiebolag</t>
        </is>
      </c>
      <c r="G84" t="n">
        <v>7.3</v>
      </c>
      <c r="H84" t="n">
        <v>0</v>
      </c>
      <c r="I84" t="n">
        <v>0</v>
      </c>
      <c r="J84" t="n">
        <v>1</v>
      </c>
      <c r="K84" t="n">
        <v>0</v>
      </c>
      <c r="L84" t="n">
        <v>0</v>
      </c>
      <c r="M84" t="n">
        <v>0</v>
      </c>
      <c r="N84" t="n">
        <v>0</v>
      </c>
      <c r="O84" t="n">
        <v>1</v>
      </c>
      <c r="P84" t="n">
        <v>0</v>
      </c>
      <c r="Q84" t="n">
        <v>1</v>
      </c>
      <c r="R84" s="2" t="inlineStr">
        <is>
          <t>Vintertagging</t>
        </is>
      </c>
      <c r="S84">
        <f>HYPERLINK("https://klasma.github.io/Logging_0382/artfynd/A 29679-2023 artfynd.xlsx", "A 29679-2023")</f>
        <v/>
      </c>
      <c r="T84">
        <f>HYPERLINK("https://klasma.github.io/Logging_0382/kartor/A 29679-2023 karta.png", "A 29679-2023")</f>
        <v/>
      </c>
      <c r="V84">
        <f>HYPERLINK("https://klasma.github.io/Logging_0382/klagomål/A 29679-2023 FSC-klagomål.docx", "A 29679-2023")</f>
        <v/>
      </c>
      <c r="W84">
        <f>HYPERLINK("https://klasma.github.io/Logging_0382/klagomålsmail/A 29679-2023 FSC-klagomål mail.docx", "A 29679-2023")</f>
        <v/>
      </c>
      <c r="X84">
        <f>HYPERLINK("https://klasma.github.io/Logging_0382/tillsyn/A 29679-2023 tillsynsbegäran.docx", "A 29679-2023")</f>
        <v/>
      </c>
      <c r="Y84">
        <f>HYPERLINK("https://klasma.github.io/Logging_0382/tillsynsmail/A 29679-2023 tillsynsbegäran mail.docx", "A 29679-2023")</f>
        <v/>
      </c>
    </row>
    <row r="85" ht="15" customHeight="1">
      <c r="A85" t="inlineStr">
        <is>
          <t>A 24797-2022</t>
        </is>
      </c>
      <c r="B85" s="1" t="n">
        <v>44728</v>
      </c>
      <c r="C85" s="1" t="n">
        <v>45885</v>
      </c>
      <c r="D85" t="inlineStr">
        <is>
          <t>UPPSALA LÄN</t>
        </is>
      </c>
      <c r="E85" t="inlineStr">
        <is>
          <t>ÖSTHAMMAR</t>
        </is>
      </c>
      <c r="F85" t="inlineStr">
        <is>
          <t>Sveaskog</t>
        </is>
      </c>
      <c r="G85" t="n">
        <v>1.7</v>
      </c>
      <c r="H85" t="n">
        <v>1</v>
      </c>
      <c r="I85" t="n">
        <v>0</v>
      </c>
      <c r="J85" t="n">
        <v>1</v>
      </c>
      <c r="K85" t="n">
        <v>0</v>
      </c>
      <c r="L85" t="n">
        <v>0</v>
      </c>
      <c r="M85" t="n">
        <v>0</v>
      </c>
      <c r="N85" t="n">
        <v>0</v>
      </c>
      <c r="O85" t="n">
        <v>1</v>
      </c>
      <c r="P85" t="n">
        <v>0</v>
      </c>
      <c r="Q85" t="n">
        <v>1</v>
      </c>
      <c r="R85" s="2" t="inlineStr">
        <is>
          <t>Gulsparv</t>
        </is>
      </c>
      <c r="S85">
        <f>HYPERLINK("https://klasma.github.io/Logging_0382/artfynd/A 24797-2022 artfynd.xlsx", "A 24797-2022")</f>
        <v/>
      </c>
      <c r="T85">
        <f>HYPERLINK("https://klasma.github.io/Logging_0382/kartor/A 24797-2022 karta.png", "A 24797-2022")</f>
        <v/>
      </c>
      <c r="V85">
        <f>HYPERLINK("https://klasma.github.io/Logging_0382/klagomål/A 24797-2022 FSC-klagomål.docx", "A 24797-2022")</f>
        <v/>
      </c>
      <c r="W85">
        <f>HYPERLINK("https://klasma.github.io/Logging_0382/klagomålsmail/A 24797-2022 FSC-klagomål mail.docx", "A 24797-2022")</f>
        <v/>
      </c>
      <c r="X85">
        <f>HYPERLINK("https://klasma.github.io/Logging_0382/tillsyn/A 24797-2022 tillsynsbegäran.docx", "A 24797-2022")</f>
        <v/>
      </c>
      <c r="Y85">
        <f>HYPERLINK("https://klasma.github.io/Logging_0382/tillsynsmail/A 24797-2022 tillsynsbegäran mail.docx", "A 24797-2022")</f>
        <v/>
      </c>
      <c r="Z85">
        <f>HYPERLINK("https://klasma.github.io/Logging_0382/fåglar/A 24797-2022 prioriterade fågelarter.docx", "A 24797-2022")</f>
        <v/>
      </c>
    </row>
    <row r="86" ht="15" customHeight="1">
      <c r="A86" t="inlineStr">
        <is>
          <t>A 6143-2025</t>
        </is>
      </c>
      <c r="B86" s="1" t="n">
        <v>45698.38697916667</v>
      </c>
      <c r="C86" s="1" t="n">
        <v>45885</v>
      </c>
      <c r="D86" t="inlineStr">
        <is>
          <t>UPPSALA LÄN</t>
        </is>
      </c>
      <c r="E86" t="inlineStr">
        <is>
          <t>ÖSTHAMMAR</t>
        </is>
      </c>
      <c r="F86" t="inlineStr">
        <is>
          <t>Bergvik skog öst AB</t>
        </is>
      </c>
      <c r="G86" t="n">
        <v>3.6</v>
      </c>
      <c r="H86" t="n">
        <v>0</v>
      </c>
      <c r="I86" t="n">
        <v>1</v>
      </c>
      <c r="J86" t="n">
        <v>0</v>
      </c>
      <c r="K86" t="n">
        <v>0</v>
      </c>
      <c r="L86" t="n">
        <v>0</v>
      </c>
      <c r="M86" t="n">
        <v>0</v>
      </c>
      <c r="N86" t="n">
        <v>0</v>
      </c>
      <c r="O86" t="n">
        <v>0</v>
      </c>
      <c r="P86" t="n">
        <v>0</v>
      </c>
      <c r="Q86" t="n">
        <v>1</v>
      </c>
      <c r="R86" s="2" t="inlineStr">
        <is>
          <t>Svavelriska</t>
        </is>
      </c>
      <c r="S86">
        <f>HYPERLINK("https://klasma.github.io/Logging_0382/artfynd/A 6143-2025 artfynd.xlsx", "A 6143-2025")</f>
        <v/>
      </c>
      <c r="T86">
        <f>HYPERLINK("https://klasma.github.io/Logging_0382/kartor/A 6143-2025 karta.png", "A 6143-2025")</f>
        <v/>
      </c>
      <c r="V86">
        <f>HYPERLINK("https://klasma.github.io/Logging_0382/klagomål/A 6143-2025 FSC-klagomål.docx", "A 6143-2025")</f>
        <v/>
      </c>
      <c r="W86">
        <f>HYPERLINK("https://klasma.github.io/Logging_0382/klagomålsmail/A 6143-2025 FSC-klagomål mail.docx", "A 6143-2025")</f>
        <v/>
      </c>
      <c r="X86">
        <f>HYPERLINK("https://klasma.github.io/Logging_0382/tillsyn/A 6143-2025 tillsynsbegäran.docx", "A 6143-2025")</f>
        <v/>
      </c>
      <c r="Y86">
        <f>HYPERLINK("https://klasma.github.io/Logging_0382/tillsynsmail/A 6143-2025 tillsynsbegäran mail.docx", "A 6143-2025")</f>
        <v/>
      </c>
    </row>
    <row r="87" ht="15" customHeight="1">
      <c r="A87" t="inlineStr">
        <is>
          <t>A 52818-2022</t>
        </is>
      </c>
      <c r="B87" s="1" t="n">
        <v>44875</v>
      </c>
      <c r="C87" s="1" t="n">
        <v>45885</v>
      </c>
      <c r="D87" t="inlineStr">
        <is>
          <t>UPPSALA LÄN</t>
        </is>
      </c>
      <c r="E87" t="inlineStr">
        <is>
          <t>ÖSTHAMMAR</t>
        </is>
      </c>
      <c r="G87" t="n">
        <v>0.9</v>
      </c>
      <c r="H87" t="n">
        <v>1</v>
      </c>
      <c r="I87" t="n">
        <v>1</v>
      </c>
      <c r="J87" t="n">
        <v>0</v>
      </c>
      <c r="K87" t="n">
        <v>0</v>
      </c>
      <c r="L87" t="n">
        <v>0</v>
      </c>
      <c r="M87" t="n">
        <v>0</v>
      </c>
      <c r="N87" t="n">
        <v>0</v>
      </c>
      <c r="O87" t="n">
        <v>0</v>
      </c>
      <c r="P87" t="n">
        <v>0</v>
      </c>
      <c r="Q87" t="n">
        <v>1</v>
      </c>
      <c r="R87" s="2" t="inlineStr">
        <is>
          <t>Guckusko</t>
        </is>
      </c>
      <c r="S87">
        <f>HYPERLINK("https://klasma.github.io/Logging_0382/artfynd/A 52818-2022 artfynd.xlsx", "A 52818-2022")</f>
        <v/>
      </c>
      <c r="T87">
        <f>HYPERLINK("https://klasma.github.io/Logging_0382/kartor/A 52818-2022 karta.png", "A 52818-2022")</f>
        <v/>
      </c>
      <c r="V87">
        <f>HYPERLINK("https://klasma.github.io/Logging_0382/klagomål/A 52818-2022 FSC-klagomål.docx", "A 52818-2022")</f>
        <v/>
      </c>
      <c r="W87">
        <f>HYPERLINK("https://klasma.github.io/Logging_0382/klagomålsmail/A 52818-2022 FSC-klagomål mail.docx", "A 52818-2022")</f>
        <v/>
      </c>
      <c r="X87">
        <f>HYPERLINK("https://klasma.github.io/Logging_0382/tillsyn/A 52818-2022 tillsynsbegäran.docx", "A 52818-2022")</f>
        <v/>
      </c>
      <c r="Y87">
        <f>HYPERLINK("https://klasma.github.io/Logging_0382/tillsynsmail/A 52818-2022 tillsynsbegäran mail.docx", "A 52818-2022")</f>
        <v/>
      </c>
    </row>
    <row r="88" ht="15" customHeight="1">
      <c r="A88" t="inlineStr">
        <is>
          <t>A 70495-2021</t>
        </is>
      </c>
      <c r="B88" s="1" t="n">
        <v>44536</v>
      </c>
      <c r="C88" s="1" t="n">
        <v>45885</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17141-2025</t>
        </is>
      </c>
      <c r="B89" s="1" t="n">
        <v>45755.8494212963</v>
      </c>
      <c r="C89" s="1" t="n">
        <v>45885</v>
      </c>
      <c r="D89" t="inlineStr">
        <is>
          <t>UPPSALA LÄN</t>
        </is>
      </c>
      <c r="E89" t="inlineStr">
        <is>
          <t>ÖSTHAMMAR</t>
        </is>
      </c>
      <c r="F89" t="inlineStr">
        <is>
          <t>Bergvik skog öst AB</t>
        </is>
      </c>
      <c r="G89" t="n">
        <v>7</v>
      </c>
      <c r="H89" t="n">
        <v>1</v>
      </c>
      <c r="I89" t="n">
        <v>1</v>
      </c>
      <c r="J89" t="n">
        <v>0</v>
      </c>
      <c r="K89" t="n">
        <v>0</v>
      </c>
      <c r="L89" t="n">
        <v>0</v>
      </c>
      <c r="M89" t="n">
        <v>0</v>
      </c>
      <c r="N89" t="n">
        <v>0</v>
      </c>
      <c r="O89" t="n">
        <v>0</v>
      </c>
      <c r="P89" t="n">
        <v>0</v>
      </c>
      <c r="Q89" t="n">
        <v>1</v>
      </c>
      <c r="R89" s="2" t="inlineStr">
        <is>
          <t>Grönkulla</t>
        </is>
      </c>
      <c r="S89">
        <f>HYPERLINK("https://klasma.github.io/Logging_0382/artfynd/A 17141-2025 artfynd.xlsx", "A 17141-2025")</f>
        <v/>
      </c>
      <c r="T89">
        <f>HYPERLINK("https://klasma.github.io/Logging_0382/kartor/A 17141-2025 karta.png", "A 17141-2025")</f>
        <v/>
      </c>
      <c r="V89">
        <f>HYPERLINK("https://klasma.github.io/Logging_0382/klagomål/A 17141-2025 FSC-klagomål.docx", "A 17141-2025")</f>
        <v/>
      </c>
      <c r="W89">
        <f>HYPERLINK("https://klasma.github.io/Logging_0382/klagomålsmail/A 17141-2025 FSC-klagomål mail.docx", "A 17141-2025")</f>
        <v/>
      </c>
      <c r="X89">
        <f>HYPERLINK("https://klasma.github.io/Logging_0382/tillsyn/A 17141-2025 tillsynsbegäran.docx", "A 17141-2025")</f>
        <v/>
      </c>
      <c r="Y89">
        <f>HYPERLINK("https://klasma.github.io/Logging_0382/tillsynsmail/A 17141-2025 tillsynsbegäran mail.docx", "A 17141-2025")</f>
        <v/>
      </c>
    </row>
    <row r="90" ht="15" customHeight="1">
      <c r="A90" t="inlineStr">
        <is>
          <t>A 34090-2023</t>
        </is>
      </c>
      <c r="B90" s="1" t="n">
        <v>45135</v>
      </c>
      <c r="C90" s="1" t="n">
        <v>45885</v>
      </c>
      <c r="D90" t="inlineStr">
        <is>
          <t>UPPSALA LÄN</t>
        </is>
      </c>
      <c r="E90" t="inlineStr">
        <is>
          <t>ÖSTHAMMAR</t>
        </is>
      </c>
      <c r="F90" t="inlineStr">
        <is>
          <t>Bergvik skog öst AB</t>
        </is>
      </c>
      <c r="G90" t="n">
        <v>5.7</v>
      </c>
      <c r="H90" t="n">
        <v>1</v>
      </c>
      <c r="I90" t="n">
        <v>0</v>
      </c>
      <c r="J90" t="n">
        <v>1</v>
      </c>
      <c r="K90" t="n">
        <v>0</v>
      </c>
      <c r="L90" t="n">
        <v>0</v>
      </c>
      <c r="M90" t="n">
        <v>0</v>
      </c>
      <c r="N90" t="n">
        <v>0</v>
      </c>
      <c r="O90" t="n">
        <v>1</v>
      </c>
      <c r="P90" t="n">
        <v>0</v>
      </c>
      <c r="Q90" t="n">
        <v>1</v>
      </c>
      <c r="R90" s="2" t="inlineStr">
        <is>
          <t>Spillkråka</t>
        </is>
      </c>
      <c r="S90">
        <f>HYPERLINK("https://klasma.github.io/Logging_0382/artfynd/A 34090-2023 artfynd.xlsx", "A 34090-2023")</f>
        <v/>
      </c>
      <c r="T90">
        <f>HYPERLINK("https://klasma.github.io/Logging_0382/kartor/A 34090-2023 karta.png", "A 34090-2023")</f>
        <v/>
      </c>
      <c r="V90">
        <f>HYPERLINK("https://klasma.github.io/Logging_0382/klagomål/A 34090-2023 FSC-klagomål.docx", "A 34090-2023")</f>
        <v/>
      </c>
      <c r="W90">
        <f>HYPERLINK("https://klasma.github.io/Logging_0382/klagomålsmail/A 34090-2023 FSC-klagomål mail.docx", "A 34090-2023")</f>
        <v/>
      </c>
      <c r="X90">
        <f>HYPERLINK("https://klasma.github.io/Logging_0382/tillsyn/A 34090-2023 tillsynsbegäran.docx", "A 34090-2023")</f>
        <v/>
      </c>
      <c r="Y90">
        <f>HYPERLINK("https://klasma.github.io/Logging_0382/tillsynsmail/A 34090-2023 tillsynsbegäran mail.docx", "A 34090-2023")</f>
        <v/>
      </c>
      <c r="Z90">
        <f>HYPERLINK("https://klasma.github.io/Logging_0382/fåglar/A 34090-2023 prioriterade fågelarter.docx", "A 34090-2023")</f>
        <v/>
      </c>
    </row>
    <row r="91" ht="15" customHeight="1">
      <c r="A91" t="inlineStr">
        <is>
          <t>A 30605-2025</t>
        </is>
      </c>
      <c r="B91" s="1" t="n">
        <v>45831.45510416666</v>
      </c>
      <c r="C91" s="1" t="n">
        <v>45885</v>
      </c>
      <c r="D91" t="inlineStr">
        <is>
          <t>UPPSALA LÄN</t>
        </is>
      </c>
      <c r="E91" t="inlineStr">
        <is>
          <t>ÖSTHAMMAR</t>
        </is>
      </c>
      <c r="G91" t="n">
        <v>1.7</v>
      </c>
      <c r="H91" t="n">
        <v>0</v>
      </c>
      <c r="I91" t="n">
        <v>0</v>
      </c>
      <c r="J91" t="n">
        <v>0</v>
      </c>
      <c r="K91" t="n">
        <v>1</v>
      </c>
      <c r="L91" t="n">
        <v>0</v>
      </c>
      <c r="M91" t="n">
        <v>0</v>
      </c>
      <c r="N91" t="n">
        <v>0</v>
      </c>
      <c r="O91" t="n">
        <v>1</v>
      </c>
      <c r="P91" t="n">
        <v>1</v>
      </c>
      <c r="Q91" t="n">
        <v>1</v>
      </c>
      <c r="R91" s="2" t="inlineStr">
        <is>
          <t>Plattsäv</t>
        </is>
      </c>
      <c r="S91">
        <f>HYPERLINK("https://klasma.github.io/Logging_0382/artfynd/A 30605-2025 artfynd.xlsx", "A 30605-2025")</f>
        <v/>
      </c>
      <c r="T91">
        <f>HYPERLINK("https://klasma.github.io/Logging_0382/kartor/A 30605-2025 karta.png", "A 30605-2025")</f>
        <v/>
      </c>
      <c r="V91">
        <f>HYPERLINK("https://klasma.github.io/Logging_0382/klagomål/A 30605-2025 FSC-klagomål.docx", "A 30605-2025")</f>
        <v/>
      </c>
      <c r="W91">
        <f>HYPERLINK("https://klasma.github.io/Logging_0382/klagomålsmail/A 30605-2025 FSC-klagomål mail.docx", "A 30605-2025")</f>
        <v/>
      </c>
      <c r="X91">
        <f>HYPERLINK("https://klasma.github.io/Logging_0382/tillsyn/A 30605-2025 tillsynsbegäran.docx", "A 30605-2025")</f>
        <v/>
      </c>
      <c r="Y91">
        <f>HYPERLINK("https://klasma.github.io/Logging_0382/tillsynsmail/A 30605-2025 tillsynsbegäran mail.docx", "A 30605-2025")</f>
        <v/>
      </c>
    </row>
    <row r="92" ht="15" customHeight="1">
      <c r="A92" t="inlineStr">
        <is>
          <t>A 10034-2023</t>
        </is>
      </c>
      <c r="B92" s="1" t="n">
        <v>44985</v>
      </c>
      <c r="C92" s="1" t="n">
        <v>45885</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46629-2024</t>
        </is>
      </c>
      <c r="B93" s="1" t="n">
        <v>45583.33221064815</v>
      </c>
      <c r="C93" s="1" t="n">
        <v>45885</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25179-2023</t>
        </is>
      </c>
      <c r="B94" s="1" t="n">
        <v>45078</v>
      </c>
      <c r="C94" s="1" t="n">
        <v>45885</v>
      </c>
      <c r="D94" t="inlineStr">
        <is>
          <t>UPPSALA LÄN</t>
        </is>
      </c>
      <c r="E94" t="inlineStr">
        <is>
          <t>ÖSTHAMMAR</t>
        </is>
      </c>
      <c r="G94" t="n">
        <v>3.2</v>
      </c>
      <c r="H94" t="n">
        <v>0</v>
      </c>
      <c r="I94" t="n">
        <v>0</v>
      </c>
      <c r="J94" t="n">
        <v>1</v>
      </c>
      <c r="K94" t="n">
        <v>0</v>
      </c>
      <c r="L94" t="n">
        <v>0</v>
      </c>
      <c r="M94" t="n">
        <v>0</v>
      </c>
      <c r="N94" t="n">
        <v>0</v>
      </c>
      <c r="O94" t="n">
        <v>1</v>
      </c>
      <c r="P94" t="n">
        <v>0</v>
      </c>
      <c r="Q94" t="n">
        <v>1</v>
      </c>
      <c r="R94" s="2" t="inlineStr">
        <is>
          <t>Grantaggsvamp</t>
        </is>
      </c>
      <c r="S94">
        <f>HYPERLINK("https://klasma.github.io/Logging_0382/artfynd/A 25179-2023 artfynd.xlsx", "A 25179-2023")</f>
        <v/>
      </c>
      <c r="T94">
        <f>HYPERLINK("https://klasma.github.io/Logging_0382/kartor/A 25179-2023 karta.png", "A 25179-2023")</f>
        <v/>
      </c>
      <c r="V94">
        <f>HYPERLINK("https://klasma.github.io/Logging_0382/klagomål/A 25179-2023 FSC-klagomål.docx", "A 25179-2023")</f>
        <v/>
      </c>
      <c r="W94">
        <f>HYPERLINK("https://klasma.github.io/Logging_0382/klagomålsmail/A 25179-2023 FSC-klagomål mail.docx", "A 25179-2023")</f>
        <v/>
      </c>
      <c r="X94">
        <f>HYPERLINK("https://klasma.github.io/Logging_0382/tillsyn/A 25179-2023 tillsynsbegäran.docx", "A 25179-2023")</f>
        <v/>
      </c>
      <c r="Y94">
        <f>HYPERLINK("https://klasma.github.io/Logging_0382/tillsynsmail/A 25179-2023 tillsynsbegäran mail.docx", "A 25179-2023")</f>
        <v/>
      </c>
    </row>
    <row r="95" ht="15" customHeight="1">
      <c r="A95" t="inlineStr">
        <is>
          <t>A 22209-2022</t>
        </is>
      </c>
      <c r="B95" s="1" t="n">
        <v>44712</v>
      </c>
      <c r="C95" s="1" t="n">
        <v>45885</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14706-2023</t>
        </is>
      </c>
      <c r="B96" s="1" t="n">
        <v>45013</v>
      </c>
      <c r="C96" s="1" t="n">
        <v>45885</v>
      </c>
      <c r="D96" t="inlineStr">
        <is>
          <t>UPPSALA LÄN</t>
        </is>
      </c>
      <c r="E96" t="inlineStr">
        <is>
          <t>ÖSTHAMMAR</t>
        </is>
      </c>
      <c r="G96" t="n">
        <v>0.9</v>
      </c>
      <c r="H96" t="n">
        <v>0</v>
      </c>
      <c r="I96" t="n">
        <v>1</v>
      </c>
      <c r="J96" t="n">
        <v>0</v>
      </c>
      <c r="K96" t="n">
        <v>0</v>
      </c>
      <c r="L96" t="n">
        <v>0</v>
      </c>
      <c r="M96" t="n">
        <v>0</v>
      </c>
      <c r="N96" t="n">
        <v>0</v>
      </c>
      <c r="O96" t="n">
        <v>0</v>
      </c>
      <c r="P96" t="n">
        <v>0</v>
      </c>
      <c r="Q96" t="n">
        <v>1</v>
      </c>
      <c r="R96" s="2" t="inlineStr">
        <is>
          <t>Olivspindling</t>
        </is>
      </c>
      <c r="S96">
        <f>HYPERLINK("https://klasma.github.io/Logging_0382/artfynd/A 14706-2023 artfynd.xlsx", "A 14706-2023")</f>
        <v/>
      </c>
      <c r="T96">
        <f>HYPERLINK("https://klasma.github.io/Logging_0382/kartor/A 14706-2023 karta.png", "A 14706-2023")</f>
        <v/>
      </c>
      <c r="V96">
        <f>HYPERLINK("https://klasma.github.io/Logging_0382/klagomål/A 14706-2023 FSC-klagomål.docx", "A 14706-2023")</f>
        <v/>
      </c>
      <c r="W96">
        <f>HYPERLINK("https://klasma.github.io/Logging_0382/klagomålsmail/A 14706-2023 FSC-klagomål mail.docx", "A 14706-2023")</f>
        <v/>
      </c>
      <c r="X96">
        <f>HYPERLINK("https://klasma.github.io/Logging_0382/tillsyn/A 14706-2023 tillsynsbegäran.docx", "A 14706-2023")</f>
        <v/>
      </c>
      <c r="Y96">
        <f>HYPERLINK("https://klasma.github.io/Logging_0382/tillsynsmail/A 14706-2023 tillsynsbegäran mail.docx", "A 14706-2023")</f>
        <v/>
      </c>
    </row>
    <row r="97" ht="15" customHeight="1">
      <c r="A97" t="inlineStr">
        <is>
          <t>A 22287-2023</t>
        </is>
      </c>
      <c r="B97" s="1" t="n">
        <v>45070</v>
      </c>
      <c r="C97" s="1" t="n">
        <v>45885</v>
      </c>
      <c r="D97" t="inlineStr">
        <is>
          <t>UPPSALA LÄN</t>
        </is>
      </c>
      <c r="E97" t="inlineStr">
        <is>
          <t>ÖSTHAMMAR</t>
        </is>
      </c>
      <c r="G97" t="n">
        <v>6.3</v>
      </c>
      <c r="H97" t="n">
        <v>1</v>
      </c>
      <c r="I97" t="n">
        <v>1</v>
      </c>
      <c r="J97" t="n">
        <v>0</v>
      </c>
      <c r="K97" t="n">
        <v>0</v>
      </c>
      <c r="L97" t="n">
        <v>0</v>
      </c>
      <c r="M97" t="n">
        <v>0</v>
      </c>
      <c r="N97" t="n">
        <v>0</v>
      </c>
      <c r="O97" t="n">
        <v>0</v>
      </c>
      <c r="P97" t="n">
        <v>0</v>
      </c>
      <c r="Q97" t="n">
        <v>1</v>
      </c>
      <c r="R97" s="2" t="inlineStr">
        <is>
          <t>Guckusko</t>
        </is>
      </c>
      <c r="S97">
        <f>HYPERLINK("https://klasma.github.io/Logging_0382/artfynd/A 22287-2023 artfynd.xlsx", "A 22287-2023")</f>
        <v/>
      </c>
      <c r="T97">
        <f>HYPERLINK("https://klasma.github.io/Logging_0382/kartor/A 22287-2023 karta.png", "A 22287-2023")</f>
        <v/>
      </c>
      <c r="V97">
        <f>HYPERLINK("https://klasma.github.io/Logging_0382/klagomål/A 22287-2023 FSC-klagomål.docx", "A 22287-2023")</f>
        <v/>
      </c>
      <c r="W97">
        <f>HYPERLINK("https://klasma.github.io/Logging_0382/klagomålsmail/A 22287-2023 FSC-klagomål mail.docx", "A 22287-2023")</f>
        <v/>
      </c>
      <c r="X97">
        <f>HYPERLINK("https://klasma.github.io/Logging_0382/tillsyn/A 22287-2023 tillsynsbegäran.docx", "A 22287-2023")</f>
        <v/>
      </c>
      <c r="Y97">
        <f>HYPERLINK("https://klasma.github.io/Logging_0382/tillsynsmail/A 22287-2023 tillsynsbegäran mail.docx", "A 22287-2023")</f>
        <v/>
      </c>
    </row>
    <row r="98" ht="15" customHeight="1">
      <c r="A98" t="inlineStr">
        <is>
          <t>A 7470-2022</t>
        </is>
      </c>
      <c r="B98" s="1" t="n">
        <v>44607</v>
      </c>
      <c r="C98" s="1" t="n">
        <v>45885</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33800-2024</t>
        </is>
      </c>
      <c r="B99" s="1" t="n">
        <v>45520</v>
      </c>
      <c r="C99" s="1" t="n">
        <v>45885</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49839-2021</t>
        </is>
      </c>
      <c r="B100" s="1" t="n">
        <v>44455</v>
      </c>
      <c r="C100" s="1" t="n">
        <v>45885</v>
      </c>
      <c r="D100" t="inlineStr">
        <is>
          <t>UPPSALA LÄN</t>
        </is>
      </c>
      <c r="E100" t="inlineStr">
        <is>
          <t>ÖSTHAMMAR</t>
        </is>
      </c>
      <c r="G100" t="n">
        <v>3.6</v>
      </c>
      <c r="H100" t="n">
        <v>0</v>
      </c>
      <c r="I100" t="n">
        <v>0</v>
      </c>
      <c r="J100" t="n">
        <v>0</v>
      </c>
      <c r="K100" t="n">
        <v>1</v>
      </c>
      <c r="L100" t="n">
        <v>0</v>
      </c>
      <c r="M100" t="n">
        <v>0</v>
      </c>
      <c r="N100" t="n">
        <v>0</v>
      </c>
      <c r="O100" t="n">
        <v>1</v>
      </c>
      <c r="P100" t="n">
        <v>1</v>
      </c>
      <c r="Q100" t="n">
        <v>1</v>
      </c>
      <c r="R100" s="2" t="inlineStr">
        <is>
          <t>Violgubbe</t>
        </is>
      </c>
      <c r="S100">
        <f>HYPERLINK("https://klasma.github.io/Logging_0382/artfynd/A 49839-2021 artfynd.xlsx", "A 49839-2021")</f>
        <v/>
      </c>
      <c r="T100">
        <f>HYPERLINK("https://klasma.github.io/Logging_0382/kartor/A 49839-2021 karta.png", "A 49839-2021")</f>
        <v/>
      </c>
      <c r="V100">
        <f>HYPERLINK("https://klasma.github.io/Logging_0382/klagomål/A 49839-2021 FSC-klagomål.docx", "A 49839-2021")</f>
        <v/>
      </c>
      <c r="W100">
        <f>HYPERLINK("https://klasma.github.io/Logging_0382/klagomålsmail/A 49839-2021 FSC-klagomål mail.docx", "A 49839-2021")</f>
        <v/>
      </c>
      <c r="X100">
        <f>HYPERLINK("https://klasma.github.io/Logging_0382/tillsyn/A 49839-2021 tillsynsbegäran.docx", "A 49839-2021")</f>
        <v/>
      </c>
      <c r="Y100">
        <f>HYPERLINK("https://klasma.github.io/Logging_0382/tillsynsmail/A 49839-2021 tillsynsbegäran mail.docx", "A 49839-2021")</f>
        <v/>
      </c>
    </row>
    <row r="101" ht="15" customHeight="1">
      <c r="A101" t="inlineStr">
        <is>
          <t>A 22375-2024</t>
        </is>
      </c>
      <c r="B101" s="1" t="n">
        <v>45446</v>
      </c>
      <c r="C101" s="1" t="n">
        <v>45885</v>
      </c>
      <c r="D101" t="inlineStr">
        <is>
          <t>UPPSALA LÄN</t>
        </is>
      </c>
      <c r="E101" t="inlineStr">
        <is>
          <t>ÖSTHAMMAR</t>
        </is>
      </c>
      <c r="F101" t="inlineStr">
        <is>
          <t>Bergvik skog öst AB</t>
        </is>
      </c>
      <c r="G101" t="n">
        <v>2.2</v>
      </c>
      <c r="H101" t="n">
        <v>0</v>
      </c>
      <c r="I101" t="n">
        <v>0</v>
      </c>
      <c r="J101" t="n">
        <v>1</v>
      </c>
      <c r="K101" t="n">
        <v>0</v>
      </c>
      <c r="L101" t="n">
        <v>0</v>
      </c>
      <c r="M101" t="n">
        <v>0</v>
      </c>
      <c r="N101" t="n">
        <v>0</v>
      </c>
      <c r="O101" t="n">
        <v>1</v>
      </c>
      <c r="P101" t="n">
        <v>0</v>
      </c>
      <c r="Q101" t="n">
        <v>1</v>
      </c>
      <c r="R101" s="2" t="inlineStr">
        <is>
          <t>Slåtterfibbla</t>
        </is>
      </c>
      <c r="S101">
        <f>HYPERLINK("https://klasma.github.io/Logging_0382/artfynd/A 22375-2024 artfynd.xlsx", "A 22375-2024")</f>
        <v/>
      </c>
      <c r="T101">
        <f>HYPERLINK("https://klasma.github.io/Logging_0382/kartor/A 22375-2024 karta.png", "A 22375-2024")</f>
        <v/>
      </c>
      <c r="V101">
        <f>HYPERLINK("https://klasma.github.io/Logging_0382/klagomål/A 22375-2024 FSC-klagomål.docx", "A 22375-2024")</f>
        <v/>
      </c>
      <c r="W101">
        <f>HYPERLINK("https://klasma.github.io/Logging_0382/klagomålsmail/A 22375-2024 FSC-klagomål mail.docx", "A 22375-2024")</f>
        <v/>
      </c>
      <c r="X101">
        <f>HYPERLINK("https://klasma.github.io/Logging_0382/tillsyn/A 22375-2024 tillsynsbegäran.docx", "A 22375-2024")</f>
        <v/>
      </c>
      <c r="Y101">
        <f>HYPERLINK("https://klasma.github.io/Logging_0382/tillsynsmail/A 22375-2024 tillsynsbegäran mail.docx", "A 22375-2024")</f>
        <v/>
      </c>
    </row>
    <row r="102" ht="15" customHeight="1">
      <c r="A102" t="inlineStr">
        <is>
          <t>A 3693-2021</t>
        </is>
      </c>
      <c r="B102" s="1" t="n">
        <v>44221</v>
      </c>
      <c r="C102" s="1" t="n">
        <v>45885</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45885</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45885</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45885</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45885</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45885</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45885</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45885</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45885</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45885</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45885</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45885</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45885</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45885</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45885</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45885</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45885</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45885</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45885</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45885</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45885</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45885</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45885</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45885</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45885</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45885</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45885</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45885</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45885</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45885</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45885</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45885</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45885</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45885</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45885</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45885</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45885</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45885</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45885</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45885</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45885</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45885</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45885</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45885</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45885</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45885</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45885</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45885</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45885</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45885</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45885</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45885</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45885</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45885</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45885</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45885</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11987-2022</t>
        </is>
      </c>
      <c r="B158" s="1" t="n">
        <v>44635.68695601852</v>
      </c>
      <c r="C158" s="1" t="n">
        <v>45885</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45885</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6221-2021</t>
        </is>
      </c>
      <c r="B160" s="1" t="n">
        <v>44235</v>
      </c>
      <c r="C160" s="1" t="n">
        <v>45885</v>
      </c>
      <c r="D160" t="inlineStr">
        <is>
          <t>UPPSALA LÄN</t>
        </is>
      </c>
      <c r="E160" t="inlineStr">
        <is>
          <t>ÖSTHAMMAR</t>
        </is>
      </c>
      <c r="G160" t="n">
        <v>0.8</v>
      </c>
      <c r="H160" t="n">
        <v>0</v>
      </c>
      <c r="I160" t="n">
        <v>0</v>
      </c>
      <c r="J160" t="n">
        <v>0</v>
      </c>
      <c r="K160" t="n">
        <v>0</v>
      </c>
      <c r="L160" t="n">
        <v>0</v>
      </c>
      <c r="M160" t="n">
        <v>0</v>
      </c>
      <c r="N160" t="n">
        <v>0</v>
      </c>
      <c r="O160" t="n">
        <v>0</v>
      </c>
      <c r="P160" t="n">
        <v>0</v>
      </c>
      <c r="Q160" t="n">
        <v>0</v>
      </c>
      <c r="R160" s="2" t="inlineStr"/>
    </row>
    <row r="161" ht="15" customHeight="1">
      <c r="A161" t="inlineStr">
        <is>
          <t>A 19214-2021</t>
        </is>
      </c>
      <c r="B161" s="1" t="n">
        <v>44309.28576388889</v>
      </c>
      <c r="C161" s="1" t="n">
        <v>45885</v>
      </c>
      <c r="D161" t="inlineStr">
        <is>
          <t>UPPSALA LÄN</t>
        </is>
      </c>
      <c r="E161" t="inlineStr">
        <is>
          <t>ÖSTHAMMAR</t>
        </is>
      </c>
      <c r="F161" t="inlineStr">
        <is>
          <t>Bergvik skog öst AB</t>
        </is>
      </c>
      <c r="G161" t="n">
        <v>6</v>
      </c>
      <c r="H161" t="n">
        <v>0</v>
      </c>
      <c r="I161" t="n">
        <v>0</v>
      </c>
      <c r="J161" t="n">
        <v>0</v>
      </c>
      <c r="K161" t="n">
        <v>0</v>
      </c>
      <c r="L161" t="n">
        <v>0</v>
      </c>
      <c r="M161" t="n">
        <v>0</v>
      </c>
      <c r="N161" t="n">
        <v>0</v>
      </c>
      <c r="O161" t="n">
        <v>0</v>
      </c>
      <c r="P161" t="n">
        <v>0</v>
      </c>
      <c r="Q161" t="n">
        <v>0</v>
      </c>
      <c r="R161" s="2" t="inlineStr"/>
    </row>
    <row r="162" ht="15" customHeight="1">
      <c r="A162" t="inlineStr">
        <is>
          <t>A 17013-2022</t>
        </is>
      </c>
      <c r="B162" s="1" t="n">
        <v>44676</v>
      </c>
      <c r="C162" s="1" t="n">
        <v>45885</v>
      </c>
      <c r="D162" t="inlineStr">
        <is>
          <t>UPPSALA LÄN</t>
        </is>
      </c>
      <c r="E162" t="inlineStr">
        <is>
          <t>ÖSTHAMMAR</t>
        </is>
      </c>
      <c r="F162" t="inlineStr">
        <is>
          <t>Bergvik skog öst AB</t>
        </is>
      </c>
      <c r="G162" t="n">
        <v>0.2</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45885</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31182-2022</t>
        </is>
      </c>
      <c r="B164" s="1" t="n">
        <v>44770</v>
      </c>
      <c r="C164" s="1" t="n">
        <v>45885</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26534-2022</t>
        </is>
      </c>
      <c r="B165" s="1" t="n">
        <v>44739</v>
      </c>
      <c r="C165" s="1" t="n">
        <v>45885</v>
      </c>
      <c r="D165" t="inlineStr">
        <is>
          <t>UPPSALA LÄN</t>
        </is>
      </c>
      <c r="E165" t="inlineStr">
        <is>
          <t>ÖSTHAMMAR</t>
        </is>
      </c>
      <c r="F165" t="inlineStr">
        <is>
          <t>Övriga statliga verk och myndigheter</t>
        </is>
      </c>
      <c r="G165" t="n">
        <v>0.6</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45885</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52432-2020</t>
        </is>
      </c>
      <c r="B167" s="1" t="n">
        <v>44118</v>
      </c>
      <c r="C167" s="1" t="n">
        <v>45885</v>
      </c>
      <c r="D167" t="inlineStr">
        <is>
          <t>UPPSALA LÄN</t>
        </is>
      </c>
      <c r="E167" t="inlineStr">
        <is>
          <t>ÖSTHAMMAR</t>
        </is>
      </c>
      <c r="G167" t="n">
        <v>2.7</v>
      </c>
      <c r="H167" t="n">
        <v>0</v>
      </c>
      <c r="I167" t="n">
        <v>0</v>
      </c>
      <c r="J167" t="n">
        <v>0</v>
      </c>
      <c r="K167" t="n">
        <v>0</v>
      </c>
      <c r="L167" t="n">
        <v>0</v>
      </c>
      <c r="M167" t="n">
        <v>0</v>
      </c>
      <c r="N167" t="n">
        <v>0</v>
      </c>
      <c r="O167" t="n">
        <v>0</v>
      </c>
      <c r="P167" t="n">
        <v>0</v>
      </c>
      <c r="Q167" t="n">
        <v>0</v>
      </c>
      <c r="R167" s="2" t="inlineStr"/>
    </row>
    <row r="168" ht="15" customHeight="1">
      <c r="A168" t="inlineStr">
        <is>
          <t>A 52434-2020</t>
        </is>
      </c>
      <c r="B168" s="1" t="n">
        <v>44118</v>
      </c>
      <c r="C168" s="1" t="n">
        <v>45885</v>
      </c>
      <c r="D168" t="inlineStr">
        <is>
          <t>UPPSALA LÄN</t>
        </is>
      </c>
      <c r="E168" t="inlineStr">
        <is>
          <t>ÖSTHAMMAR</t>
        </is>
      </c>
      <c r="G168" t="n">
        <v>2.8</v>
      </c>
      <c r="H168" t="n">
        <v>0</v>
      </c>
      <c r="I168" t="n">
        <v>0</v>
      </c>
      <c r="J168" t="n">
        <v>0</v>
      </c>
      <c r="K168" t="n">
        <v>0</v>
      </c>
      <c r="L168" t="n">
        <v>0</v>
      </c>
      <c r="M168" t="n">
        <v>0</v>
      </c>
      <c r="N168" t="n">
        <v>0</v>
      </c>
      <c r="O168" t="n">
        <v>0</v>
      </c>
      <c r="P168" t="n">
        <v>0</v>
      </c>
      <c r="Q168" t="n">
        <v>0</v>
      </c>
      <c r="R168" s="2" t="inlineStr"/>
    </row>
    <row r="169" ht="15" customHeight="1">
      <c r="A169" t="inlineStr">
        <is>
          <t>A 38285-2020</t>
        </is>
      </c>
      <c r="B169" s="1" t="n">
        <v>44060</v>
      </c>
      <c r="C169" s="1" t="n">
        <v>45885</v>
      </c>
      <c r="D169" t="inlineStr">
        <is>
          <t>UPPSALA LÄN</t>
        </is>
      </c>
      <c r="E169" t="inlineStr">
        <is>
          <t>ÖSTHAMMAR</t>
        </is>
      </c>
      <c r="G169" t="n">
        <v>4.7</v>
      </c>
      <c r="H169" t="n">
        <v>0</v>
      </c>
      <c r="I169" t="n">
        <v>0</v>
      </c>
      <c r="J169" t="n">
        <v>0</v>
      </c>
      <c r="K169" t="n">
        <v>0</v>
      </c>
      <c r="L169" t="n">
        <v>0</v>
      </c>
      <c r="M169" t="n">
        <v>0</v>
      </c>
      <c r="N169" t="n">
        <v>0</v>
      </c>
      <c r="O169" t="n">
        <v>0</v>
      </c>
      <c r="P169" t="n">
        <v>0</v>
      </c>
      <c r="Q169" t="n">
        <v>0</v>
      </c>
      <c r="R169" s="2" t="inlineStr"/>
    </row>
    <row r="170" ht="15" customHeight="1">
      <c r="A170" t="inlineStr">
        <is>
          <t>A 12999-2022</t>
        </is>
      </c>
      <c r="B170" s="1" t="n">
        <v>44643.4372337963</v>
      </c>
      <c r="C170" s="1" t="n">
        <v>45885</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45885</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45885</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59432-2020</t>
        </is>
      </c>
      <c r="B173" s="1" t="n">
        <v>44148</v>
      </c>
      <c r="C173" s="1" t="n">
        <v>45885</v>
      </c>
      <c r="D173" t="inlineStr">
        <is>
          <t>UPPSALA LÄN</t>
        </is>
      </c>
      <c r="E173" t="inlineStr">
        <is>
          <t>ÖSTHAMMAR</t>
        </is>
      </c>
      <c r="F173" t="inlineStr">
        <is>
          <t>Sveaskog</t>
        </is>
      </c>
      <c r="G173" t="n">
        <v>3.4</v>
      </c>
      <c r="H173" t="n">
        <v>0</v>
      </c>
      <c r="I173" t="n">
        <v>0</v>
      </c>
      <c r="J173" t="n">
        <v>0</v>
      </c>
      <c r="K173" t="n">
        <v>0</v>
      </c>
      <c r="L173" t="n">
        <v>0</v>
      </c>
      <c r="M173" t="n">
        <v>0</v>
      </c>
      <c r="N173" t="n">
        <v>0</v>
      </c>
      <c r="O173" t="n">
        <v>0</v>
      </c>
      <c r="P173" t="n">
        <v>0</v>
      </c>
      <c r="Q173" t="n">
        <v>0</v>
      </c>
      <c r="R173" s="2" t="inlineStr"/>
    </row>
    <row r="174" ht="15" customHeight="1">
      <c r="A174" t="inlineStr">
        <is>
          <t>A 52295-2022</t>
        </is>
      </c>
      <c r="B174" s="1" t="n">
        <v>44873.67842592593</v>
      </c>
      <c r="C174" s="1" t="n">
        <v>45885</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52898-2021</t>
        </is>
      </c>
      <c r="B175" s="1" t="n">
        <v>44467</v>
      </c>
      <c r="C175" s="1" t="n">
        <v>45885</v>
      </c>
      <c r="D175" t="inlineStr">
        <is>
          <t>UPPSALA LÄN</t>
        </is>
      </c>
      <c r="E175" t="inlineStr">
        <is>
          <t>ÖSTHAMMAR</t>
        </is>
      </c>
      <c r="G175" t="n">
        <v>2.3</v>
      </c>
      <c r="H175" t="n">
        <v>0</v>
      </c>
      <c r="I175" t="n">
        <v>0</v>
      </c>
      <c r="J175" t="n">
        <v>0</v>
      </c>
      <c r="K175" t="n">
        <v>0</v>
      </c>
      <c r="L175" t="n">
        <v>0</v>
      </c>
      <c r="M175" t="n">
        <v>0</v>
      </c>
      <c r="N175" t="n">
        <v>0</v>
      </c>
      <c r="O175" t="n">
        <v>0</v>
      </c>
      <c r="P175" t="n">
        <v>0</v>
      </c>
      <c r="Q175" t="n">
        <v>0</v>
      </c>
      <c r="R175" s="2" t="inlineStr"/>
    </row>
    <row r="176" ht="15" customHeight="1">
      <c r="A176" t="inlineStr">
        <is>
          <t>A 41558-2021</t>
        </is>
      </c>
      <c r="B176" s="1" t="n">
        <v>44425.37835648148</v>
      </c>
      <c r="C176" s="1" t="n">
        <v>45885</v>
      </c>
      <c r="D176" t="inlineStr">
        <is>
          <t>UPPSALA LÄN</t>
        </is>
      </c>
      <c r="E176" t="inlineStr">
        <is>
          <t>ÖSTHAMMAR</t>
        </is>
      </c>
      <c r="F176" t="inlineStr">
        <is>
          <t>Bergvik skog öst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18736-2022</t>
        </is>
      </c>
      <c r="B177" s="1" t="n">
        <v>44687.87017361111</v>
      </c>
      <c r="C177" s="1" t="n">
        <v>45885</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16185-2022</t>
        </is>
      </c>
      <c r="B178" s="1" t="n">
        <v>44669</v>
      </c>
      <c r="C178" s="1" t="n">
        <v>45885</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24316-2021</t>
        </is>
      </c>
      <c r="B179" s="1" t="n">
        <v>44337</v>
      </c>
      <c r="C179" s="1" t="n">
        <v>45885</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15457-2022</t>
        </is>
      </c>
      <c r="B180" s="1" t="n">
        <v>44661.74027777778</v>
      </c>
      <c r="C180" s="1" t="n">
        <v>45885</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61193-2020</t>
        </is>
      </c>
      <c r="B181" s="1" t="n">
        <v>44155</v>
      </c>
      <c r="C181" s="1" t="n">
        <v>45885</v>
      </c>
      <c r="D181" t="inlineStr">
        <is>
          <t>UPPSALA LÄN</t>
        </is>
      </c>
      <c r="E181" t="inlineStr">
        <is>
          <t>ÖSTHAMMAR</t>
        </is>
      </c>
      <c r="F181" t="inlineStr">
        <is>
          <t>Övriga Aktiebolag</t>
        </is>
      </c>
      <c r="G181" t="n">
        <v>2.1</v>
      </c>
      <c r="H181" t="n">
        <v>0</v>
      </c>
      <c r="I181" t="n">
        <v>0</v>
      </c>
      <c r="J181" t="n">
        <v>0</v>
      </c>
      <c r="K181" t="n">
        <v>0</v>
      </c>
      <c r="L181" t="n">
        <v>0</v>
      </c>
      <c r="M181" t="n">
        <v>0</v>
      </c>
      <c r="N181" t="n">
        <v>0</v>
      </c>
      <c r="O181" t="n">
        <v>0</v>
      </c>
      <c r="P181" t="n">
        <v>0</v>
      </c>
      <c r="Q181" t="n">
        <v>0</v>
      </c>
      <c r="R181" s="2" t="inlineStr"/>
    </row>
    <row r="182" ht="15" customHeight="1">
      <c r="A182" t="inlineStr">
        <is>
          <t>A 25987-2022</t>
        </is>
      </c>
      <c r="B182" s="1" t="n">
        <v>44734.49601851852</v>
      </c>
      <c r="C182" s="1" t="n">
        <v>45885</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45885</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61560-2021</t>
        </is>
      </c>
      <c r="B184" s="1" t="n">
        <v>44501.42905092592</v>
      </c>
      <c r="C184" s="1" t="n">
        <v>45885</v>
      </c>
      <c r="D184" t="inlineStr">
        <is>
          <t>UPPSALA LÄN</t>
        </is>
      </c>
      <c r="E184" t="inlineStr">
        <is>
          <t>ÖSTHAMMAR</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2168-2022</t>
        </is>
      </c>
      <c r="B185" s="1" t="n">
        <v>44578</v>
      </c>
      <c r="C185" s="1" t="n">
        <v>45885</v>
      </c>
      <c r="D185" t="inlineStr">
        <is>
          <t>UPPSALA LÄN</t>
        </is>
      </c>
      <c r="E185" t="inlineStr">
        <is>
          <t>ÖSTHAMMAR</t>
        </is>
      </c>
      <c r="G185" t="n">
        <v>2.9</v>
      </c>
      <c r="H185" t="n">
        <v>0</v>
      </c>
      <c r="I185" t="n">
        <v>0</v>
      </c>
      <c r="J185" t="n">
        <v>0</v>
      </c>
      <c r="K185" t="n">
        <v>0</v>
      </c>
      <c r="L185" t="n">
        <v>0</v>
      </c>
      <c r="M185" t="n">
        <v>0</v>
      </c>
      <c r="N185" t="n">
        <v>0</v>
      </c>
      <c r="O185" t="n">
        <v>0</v>
      </c>
      <c r="P185" t="n">
        <v>0</v>
      </c>
      <c r="Q185" t="n">
        <v>0</v>
      </c>
      <c r="R185" s="2" t="inlineStr"/>
    </row>
    <row r="186" ht="15" customHeight="1">
      <c r="A186" t="inlineStr">
        <is>
          <t>A 37570-2022</t>
        </is>
      </c>
      <c r="B186" s="1" t="n">
        <v>44809</v>
      </c>
      <c r="C186" s="1" t="n">
        <v>45885</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22887-2022</t>
        </is>
      </c>
      <c r="B187" s="1" t="n">
        <v>44715</v>
      </c>
      <c r="C187" s="1" t="n">
        <v>45885</v>
      </c>
      <c r="D187" t="inlineStr">
        <is>
          <t>UPPSALA LÄN</t>
        </is>
      </c>
      <c r="E187" t="inlineStr">
        <is>
          <t>ÖSTHAMMAR</t>
        </is>
      </c>
      <c r="G187" t="n">
        <v>0.2</v>
      </c>
      <c r="H187" t="n">
        <v>0</v>
      </c>
      <c r="I187" t="n">
        <v>0</v>
      </c>
      <c r="J187" t="n">
        <v>0</v>
      </c>
      <c r="K187" t="n">
        <v>0</v>
      </c>
      <c r="L187" t="n">
        <v>0</v>
      </c>
      <c r="M187" t="n">
        <v>0</v>
      </c>
      <c r="N187" t="n">
        <v>0</v>
      </c>
      <c r="O187" t="n">
        <v>0</v>
      </c>
      <c r="P187" t="n">
        <v>0</v>
      </c>
      <c r="Q187" t="n">
        <v>0</v>
      </c>
      <c r="R187" s="2" t="inlineStr"/>
    </row>
    <row r="188" ht="15" customHeight="1">
      <c r="A188" t="inlineStr">
        <is>
          <t>A 52544-2021</t>
        </is>
      </c>
      <c r="B188" s="1" t="n">
        <v>44466</v>
      </c>
      <c r="C188" s="1" t="n">
        <v>45885</v>
      </c>
      <c r="D188" t="inlineStr">
        <is>
          <t>UPPSALA LÄN</t>
        </is>
      </c>
      <c r="E188" t="inlineStr">
        <is>
          <t>ÖSTHAMMAR</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7871-2022</t>
        </is>
      </c>
      <c r="B189" s="1" t="n">
        <v>44608</v>
      </c>
      <c r="C189" s="1" t="n">
        <v>45885</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24817-2022</t>
        </is>
      </c>
      <c r="B190" s="1" t="n">
        <v>44728</v>
      </c>
      <c r="C190" s="1" t="n">
        <v>45885</v>
      </c>
      <c r="D190" t="inlineStr">
        <is>
          <t>UPPSALA LÄN</t>
        </is>
      </c>
      <c r="E190" t="inlineStr">
        <is>
          <t>ÖSTHAMMAR</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45885</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45885</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45885</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37545-2022</t>
        </is>
      </c>
      <c r="B194" s="1" t="n">
        <v>44809.63373842592</v>
      </c>
      <c r="C194" s="1" t="n">
        <v>45885</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51906-2022</t>
        </is>
      </c>
      <c r="B195" s="1" t="n">
        <v>44872.62109953703</v>
      </c>
      <c r="C195" s="1" t="n">
        <v>45885</v>
      </c>
      <c r="D195" t="inlineStr">
        <is>
          <t>UPPSALA LÄN</t>
        </is>
      </c>
      <c r="E195" t="inlineStr">
        <is>
          <t>ÖSTHAMMAR</t>
        </is>
      </c>
      <c r="G195" t="n">
        <v>0.4</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45885</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45885</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19040-2023</t>
        </is>
      </c>
      <c r="B198" s="1" t="n">
        <v>45047</v>
      </c>
      <c r="C198" s="1" t="n">
        <v>45885</v>
      </c>
      <c r="D198" t="inlineStr">
        <is>
          <t>UPPSALA LÄN</t>
        </is>
      </c>
      <c r="E198" t="inlineStr">
        <is>
          <t>ÖSTHAMMAR</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18838-2023</t>
        </is>
      </c>
      <c r="B199" s="1" t="n">
        <v>45044</v>
      </c>
      <c r="C199" s="1" t="n">
        <v>45885</v>
      </c>
      <c r="D199" t="inlineStr">
        <is>
          <t>UPPSALA LÄN</t>
        </is>
      </c>
      <c r="E199" t="inlineStr">
        <is>
          <t>ÖSTHAMMAR</t>
        </is>
      </c>
      <c r="G199" t="n">
        <v>2.8</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45885</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45885</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42549-2020</t>
        </is>
      </c>
      <c r="B202" s="1" t="n">
        <v>44077</v>
      </c>
      <c r="C202" s="1" t="n">
        <v>45885</v>
      </c>
      <c r="D202" t="inlineStr">
        <is>
          <t>UPPSALA LÄN</t>
        </is>
      </c>
      <c r="E202" t="inlineStr">
        <is>
          <t>ÖSTHAMMAR</t>
        </is>
      </c>
      <c r="G202" t="n">
        <v>0.4</v>
      </c>
      <c r="H202" t="n">
        <v>0</v>
      </c>
      <c r="I202" t="n">
        <v>0</v>
      </c>
      <c r="J202" t="n">
        <v>0</v>
      </c>
      <c r="K202" t="n">
        <v>0</v>
      </c>
      <c r="L202" t="n">
        <v>0</v>
      </c>
      <c r="M202" t="n">
        <v>0</v>
      </c>
      <c r="N202" t="n">
        <v>0</v>
      </c>
      <c r="O202" t="n">
        <v>0</v>
      </c>
      <c r="P202" t="n">
        <v>0</v>
      </c>
      <c r="Q202" t="n">
        <v>0</v>
      </c>
      <c r="R202" s="2" t="inlineStr"/>
    </row>
    <row r="203" ht="15" customHeight="1">
      <c r="A203" t="inlineStr">
        <is>
          <t>A 49097-2022</t>
        </is>
      </c>
      <c r="B203" s="1" t="n">
        <v>44860</v>
      </c>
      <c r="C203" s="1" t="n">
        <v>45885</v>
      </c>
      <c r="D203" t="inlineStr">
        <is>
          <t>UPPSALA LÄN</t>
        </is>
      </c>
      <c r="E203" t="inlineStr">
        <is>
          <t>ÖSTHAMMAR</t>
        </is>
      </c>
      <c r="G203" t="n">
        <v>6.9</v>
      </c>
      <c r="H203" t="n">
        <v>0</v>
      </c>
      <c r="I203" t="n">
        <v>0</v>
      </c>
      <c r="J203" t="n">
        <v>0</v>
      </c>
      <c r="K203" t="n">
        <v>0</v>
      </c>
      <c r="L203" t="n">
        <v>0</v>
      </c>
      <c r="M203" t="n">
        <v>0</v>
      </c>
      <c r="N203" t="n">
        <v>0</v>
      </c>
      <c r="O203" t="n">
        <v>0</v>
      </c>
      <c r="P203" t="n">
        <v>0</v>
      </c>
      <c r="Q203" t="n">
        <v>0</v>
      </c>
      <c r="R203" s="2" t="inlineStr"/>
    </row>
    <row r="204" ht="15" customHeight="1">
      <c r="A204" t="inlineStr">
        <is>
          <t>A 58878-2022</t>
        </is>
      </c>
      <c r="B204" s="1" t="n">
        <v>44903</v>
      </c>
      <c r="C204" s="1" t="n">
        <v>45885</v>
      </c>
      <c r="D204" t="inlineStr">
        <is>
          <t>UPPSALA LÄN</t>
        </is>
      </c>
      <c r="E204" t="inlineStr">
        <is>
          <t>ÖSTHAMMAR</t>
        </is>
      </c>
      <c r="G204" t="n">
        <v>0.8</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45885</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20326-2021</t>
        </is>
      </c>
      <c r="B206" s="1" t="n">
        <v>44308</v>
      </c>
      <c r="C206" s="1" t="n">
        <v>45885</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33062-2021</t>
        </is>
      </c>
      <c r="B207" s="1" t="n">
        <v>44376</v>
      </c>
      <c r="C207" s="1" t="n">
        <v>45885</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12528-2024</t>
        </is>
      </c>
      <c r="B208" s="1" t="n">
        <v>45379.61878472222</v>
      </c>
      <c r="C208" s="1" t="n">
        <v>45885</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12903-2025</t>
        </is>
      </c>
      <c r="B209" s="1" t="n">
        <v>45733.80337962963</v>
      </c>
      <c r="C209" s="1" t="n">
        <v>45885</v>
      </c>
      <c r="D209" t="inlineStr">
        <is>
          <t>UPPSALA LÄN</t>
        </is>
      </c>
      <c r="E209" t="inlineStr">
        <is>
          <t>ÖSTHAMMAR</t>
        </is>
      </c>
      <c r="F209" t="inlineStr">
        <is>
          <t>Bergvik skog öst AB</t>
        </is>
      </c>
      <c r="G209" t="n">
        <v>3.7</v>
      </c>
      <c r="H209" t="n">
        <v>0</v>
      </c>
      <c r="I209" t="n">
        <v>0</v>
      </c>
      <c r="J209" t="n">
        <v>0</v>
      </c>
      <c r="K209" t="n">
        <v>0</v>
      </c>
      <c r="L209" t="n">
        <v>0</v>
      </c>
      <c r="M209" t="n">
        <v>0</v>
      </c>
      <c r="N209" t="n">
        <v>0</v>
      </c>
      <c r="O209" t="n">
        <v>0</v>
      </c>
      <c r="P209" t="n">
        <v>0</v>
      </c>
      <c r="Q209" t="n">
        <v>0</v>
      </c>
      <c r="R209" s="2" t="inlineStr"/>
    </row>
    <row r="210" ht="15" customHeight="1">
      <c r="A210" t="inlineStr">
        <is>
          <t>A 55097-2024</t>
        </is>
      </c>
      <c r="B210" s="1" t="n">
        <v>45621.43855324074</v>
      </c>
      <c r="C210" s="1" t="n">
        <v>45885</v>
      </c>
      <c r="D210" t="inlineStr">
        <is>
          <t>UPPSALA LÄN</t>
        </is>
      </c>
      <c r="E210" t="inlineStr">
        <is>
          <t>ÖSTHAMMAR</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18230-2025</t>
        </is>
      </c>
      <c r="B211" s="1" t="n">
        <v>45761.87114583333</v>
      </c>
      <c r="C211" s="1" t="n">
        <v>45885</v>
      </c>
      <c r="D211" t="inlineStr">
        <is>
          <t>UPPSALA LÄN</t>
        </is>
      </c>
      <c r="E211" t="inlineStr">
        <is>
          <t>ÖSTHAMMAR</t>
        </is>
      </c>
      <c r="F211" t="inlineStr">
        <is>
          <t>Bergvik skog öst AB</t>
        </is>
      </c>
      <c r="G211" t="n">
        <v>4.2</v>
      </c>
      <c r="H211" t="n">
        <v>0</v>
      </c>
      <c r="I211" t="n">
        <v>0</v>
      </c>
      <c r="J211" t="n">
        <v>0</v>
      </c>
      <c r="K211" t="n">
        <v>0</v>
      </c>
      <c r="L211" t="n">
        <v>0</v>
      </c>
      <c r="M211" t="n">
        <v>0</v>
      </c>
      <c r="N211" t="n">
        <v>0</v>
      </c>
      <c r="O211" t="n">
        <v>0</v>
      </c>
      <c r="P211" t="n">
        <v>0</v>
      </c>
      <c r="Q211" t="n">
        <v>0</v>
      </c>
      <c r="R211" s="2" t="inlineStr"/>
    </row>
    <row r="212" ht="15" customHeight="1">
      <c r="A212" t="inlineStr">
        <is>
          <t>A 28421-2023</t>
        </is>
      </c>
      <c r="B212" s="1" t="n">
        <v>45102</v>
      </c>
      <c r="C212" s="1" t="n">
        <v>45885</v>
      </c>
      <c r="D212" t="inlineStr">
        <is>
          <t>UPPSALA LÄN</t>
        </is>
      </c>
      <c r="E212" t="inlineStr">
        <is>
          <t>ÖSTHAMMAR</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37865-2023</t>
        </is>
      </c>
      <c r="B213" s="1" t="n">
        <v>45160</v>
      </c>
      <c r="C213" s="1" t="n">
        <v>45885</v>
      </c>
      <c r="D213" t="inlineStr">
        <is>
          <t>UPPSALA LÄN</t>
        </is>
      </c>
      <c r="E213" t="inlineStr">
        <is>
          <t>ÖSTHAMMAR</t>
        </is>
      </c>
      <c r="G213" t="n">
        <v>1.4</v>
      </c>
      <c r="H213" t="n">
        <v>0</v>
      </c>
      <c r="I213" t="n">
        <v>0</v>
      </c>
      <c r="J213" t="n">
        <v>0</v>
      </c>
      <c r="K213" t="n">
        <v>0</v>
      </c>
      <c r="L213" t="n">
        <v>0</v>
      </c>
      <c r="M213" t="n">
        <v>0</v>
      </c>
      <c r="N213" t="n">
        <v>0</v>
      </c>
      <c r="O213" t="n">
        <v>0</v>
      </c>
      <c r="P213" t="n">
        <v>0</v>
      </c>
      <c r="Q213" t="n">
        <v>0</v>
      </c>
      <c r="R213" s="2" t="inlineStr"/>
    </row>
    <row r="214" ht="15" customHeight="1">
      <c r="A214" t="inlineStr">
        <is>
          <t>A 17867-2024</t>
        </is>
      </c>
      <c r="B214" s="1" t="n">
        <v>45419.44106481481</v>
      </c>
      <c r="C214" s="1" t="n">
        <v>45885</v>
      </c>
      <c r="D214" t="inlineStr">
        <is>
          <t>UPPSALA LÄN</t>
        </is>
      </c>
      <c r="E214" t="inlineStr">
        <is>
          <t>ÖSTHAMMAR</t>
        </is>
      </c>
      <c r="G214" t="n">
        <v>7.2</v>
      </c>
      <c r="H214" t="n">
        <v>0</v>
      </c>
      <c r="I214" t="n">
        <v>0</v>
      </c>
      <c r="J214" t="n">
        <v>0</v>
      </c>
      <c r="K214" t="n">
        <v>0</v>
      </c>
      <c r="L214" t="n">
        <v>0</v>
      </c>
      <c r="M214" t="n">
        <v>0</v>
      </c>
      <c r="N214" t="n">
        <v>0</v>
      </c>
      <c r="O214" t="n">
        <v>0</v>
      </c>
      <c r="P214" t="n">
        <v>0</v>
      </c>
      <c r="Q214" t="n">
        <v>0</v>
      </c>
      <c r="R214" s="2" t="inlineStr"/>
    </row>
    <row r="215" ht="15" customHeight="1">
      <c r="A215" t="inlineStr">
        <is>
          <t>A 4228-2023</t>
        </is>
      </c>
      <c r="B215" s="1" t="n">
        <v>44953.48179398148</v>
      </c>
      <c r="C215" s="1" t="n">
        <v>45885</v>
      </c>
      <c r="D215" t="inlineStr">
        <is>
          <t>UPPSALA LÄN</t>
        </is>
      </c>
      <c r="E215" t="inlineStr">
        <is>
          <t>ÖSTHAMMAR</t>
        </is>
      </c>
      <c r="G215" t="n">
        <v>1</v>
      </c>
      <c r="H215" t="n">
        <v>0</v>
      </c>
      <c r="I215" t="n">
        <v>0</v>
      </c>
      <c r="J215" t="n">
        <v>0</v>
      </c>
      <c r="K215" t="n">
        <v>0</v>
      </c>
      <c r="L215" t="n">
        <v>0</v>
      </c>
      <c r="M215" t="n">
        <v>0</v>
      </c>
      <c r="N215" t="n">
        <v>0</v>
      </c>
      <c r="O215" t="n">
        <v>0</v>
      </c>
      <c r="P215" t="n">
        <v>0</v>
      </c>
      <c r="Q215" t="n">
        <v>0</v>
      </c>
      <c r="R215" s="2" t="inlineStr"/>
    </row>
    <row r="216" ht="15" customHeight="1">
      <c r="A216" t="inlineStr">
        <is>
          <t>A 19640-2025</t>
        </is>
      </c>
      <c r="B216" s="1" t="n">
        <v>45770.65739583333</v>
      </c>
      <c r="C216" s="1" t="n">
        <v>45885</v>
      </c>
      <c r="D216" t="inlineStr">
        <is>
          <t>UPPSALA LÄN</t>
        </is>
      </c>
      <c r="E216" t="inlineStr">
        <is>
          <t>ÖSTHAMMAR</t>
        </is>
      </c>
      <c r="F216" t="inlineStr">
        <is>
          <t>Övriga Aktiebolag</t>
        </is>
      </c>
      <c r="G216" t="n">
        <v>1.7</v>
      </c>
      <c r="H216" t="n">
        <v>0</v>
      </c>
      <c r="I216" t="n">
        <v>0</v>
      </c>
      <c r="J216" t="n">
        <v>0</v>
      </c>
      <c r="K216" t="n">
        <v>0</v>
      </c>
      <c r="L216" t="n">
        <v>0</v>
      </c>
      <c r="M216" t="n">
        <v>0</v>
      </c>
      <c r="N216" t="n">
        <v>0</v>
      </c>
      <c r="O216" t="n">
        <v>0</v>
      </c>
      <c r="P216" t="n">
        <v>0</v>
      </c>
      <c r="Q216" t="n">
        <v>0</v>
      </c>
      <c r="R216" s="2" t="inlineStr"/>
    </row>
    <row r="217" ht="15" customHeight="1">
      <c r="A217" t="inlineStr">
        <is>
          <t>A 56041-2020</t>
        </is>
      </c>
      <c r="B217" s="1" t="n">
        <v>44133</v>
      </c>
      <c r="C217" s="1" t="n">
        <v>45885</v>
      </c>
      <c r="D217" t="inlineStr">
        <is>
          <t>UPPSALA LÄN</t>
        </is>
      </c>
      <c r="E217" t="inlineStr">
        <is>
          <t>ÖSTHAMMAR</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18091-2023</t>
        </is>
      </c>
      <c r="B218" s="1" t="n">
        <v>45040</v>
      </c>
      <c r="C218" s="1" t="n">
        <v>45885</v>
      </c>
      <c r="D218" t="inlineStr">
        <is>
          <t>UPPSALA LÄN</t>
        </is>
      </c>
      <c r="E218" t="inlineStr">
        <is>
          <t>ÖSTHAMMAR</t>
        </is>
      </c>
      <c r="G218" t="n">
        <v>2.4</v>
      </c>
      <c r="H218" t="n">
        <v>0</v>
      </c>
      <c r="I218" t="n">
        <v>0</v>
      </c>
      <c r="J218" t="n">
        <v>0</v>
      </c>
      <c r="K218" t="n">
        <v>0</v>
      </c>
      <c r="L218" t="n">
        <v>0</v>
      </c>
      <c r="M218" t="n">
        <v>0</v>
      </c>
      <c r="N218" t="n">
        <v>0</v>
      </c>
      <c r="O218" t="n">
        <v>0</v>
      </c>
      <c r="P218" t="n">
        <v>0</v>
      </c>
      <c r="Q218" t="n">
        <v>0</v>
      </c>
      <c r="R218" s="2" t="inlineStr"/>
    </row>
    <row r="219" ht="15" customHeight="1">
      <c r="A219" t="inlineStr">
        <is>
          <t>A 12756-2024</t>
        </is>
      </c>
      <c r="B219" s="1" t="n">
        <v>45384</v>
      </c>
      <c r="C219" s="1" t="n">
        <v>45885</v>
      </c>
      <c r="D219" t="inlineStr">
        <is>
          <t>UPPSALA LÄN</t>
        </is>
      </c>
      <c r="E219" t="inlineStr">
        <is>
          <t>ÖSTHAMMAR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7100-2025</t>
        </is>
      </c>
      <c r="B220" s="1" t="n">
        <v>45701.83930555556</v>
      </c>
      <c r="C220" s="1" t="n">
        <v>45885</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66779-2021</t>
        </is>
      </c>
      <c r="B221" s="1" t="n">
        <v>44522.31700231481</v>
      </c>
      <c r="C221" s="1" t="n">
        <v>45885</v>
      </c>
      <c r="D221" t="inlineStr">
        <is>
          <t>UPPSALA LÄN</t>
        </is>
      </c>
      <c r="E221" t="inlineStr">
        <is>
          <t>ÖSTHAMMAR</t>
        </is>
      </c>
      <c r="G221" t="n">
        <v>2</v>
      </c>
      <c r="H221" t="n">
        <v>0</v>
      </c>
      <c r="I221" t="n">
        <v>0</v>
      </c>
      <c r="J221" t="n">
        <v>0</v>
      </c>
      <c r="K221" t="n">
        <v>0</v>
      </c>
      <c r="L221" t="n">
        <v>0</v>
      </c>
      <c r="M221" t="n">
        <v>0</v>
      </c>
      <c r="N221" t="n">
        <v>0</v>
      </c>
      <c r="O221" t="n">
        <v>0</v>
      </c>
      <c r="P221" t="n">
        <v>0</v>
      </c>
      <c r="Q221" t="n">
        <v>0</v>
      </c>
      <c r="R221" s="2" t="inlineStr"/>
    </row>
    <row r="222" ht="15" customHeight="1">
      <c r="A222" t="inlineStr">
        <is>
          <t>A 23197-2023</t>
        </is>
      </c>
      <c r="B222" s="1" t="n">
        <v>45075</v>
      </c>
      <c r="C222" s="1" t="n">
        <v>45885</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60079-2022</t>
        </is>
      </c>
      <c r="B223" s="1" t="n">
        <v>44909</v>
      </c>
      <c r="C223" s="1" t="n">
        <v>45885</v>
      </c>
      <c r="D223" t="inlineStr">
        <is>
          <t>UPPSALA LÄN</t>
        </is>
      </c>
      <c r="E223" t="inlineStr">
        <is>
          <t>ÖSTHAMMAR</t>
        </is>
      </c>
      <c r="G223" t="n">
        <v>9.6</v>
      </c>
      <c r="H223" t="n">
        <v>0</v>
      </c>
      <c r="I223" t="n">
        <v>0</v>
      </c>
      <c r="J223" t="n">
        <v>0</v>
      </c>
      <c r="K223" t="n">
        <v>0</v>
      </c>
      <c r="L223" t="n">
        <v>0</v>
      </c>
      <c r="M223" t="n">
        <v>0</v>
      </c>
      <c r="N223" t="n">
        <v>0</v>
      </c>
      <c r="O223" t="n">
        <v>0</v>
      </c>
      <c r="P223" t="n">
        <v>0</v>
      </c>
      <c r="Q223" t="n">
        <v>0</v>
      </c>
      <c r="R223" s="2" t="inlineStr"/>
    </row>
    <row r="224" ht="15" customHeight="1">
      <c r="A224" t="inlineStr">
        <is>
          <t>A 54314-2023</t>
        </is>
      </c>
      <c r="B224" s="1" t="n">
        <v>45225</v>
      </c>
      <c r="C224" s="1" t="n">
        <v>45885</v>
      </c>
      <c r="D224" t="inlineStr">
        <is>
          <t>UPPSALA LÄN</t>
        </is>
      </c>
      <c r="E224" t="inlineStr">
        <is>
          <t>ÖSTHAMMAR</t>
        </is>
      </c>
      <c r="G224" t="n">
        <v>5.1</v>
      </c>
      <c r="H224" t="n">
        <v>0</v>
      </c>
      <c r="I224" t="n">
        <v>0</v>
      </c>
      <c r="J224" t="n">
        <v>0</v>
      </c>
      <c r="K224" t="n">
        <v>0</v>
      </c>
      <c r="L224" t="n">
        <v>0</v>
      </c>
      <c r="M224" t="n">
        <v>0</v>
      </c>
      <c r="N224" t="n">
        <v>0</v>
      </c>
      <c r="O224" t="n">
        <v>0</v>
      </c>
      <c r="P224" t="n">
        <v>0</v>
      </c>
      <c r="Q224" t="n">
        <v>0</v>
      </c>
      <c r="R224" s="2" t="inlineStr"/>
    </row>
    <row r="225" ht="15" customHeight="1">
      <c r="A225" t="inlineStr">
        <is>
          <t>A 49796-2024</t>
        </is>
      </c>
      <c r="B225" s="1" t="n">
        <v>45597</v>
      </c>
      <c r="C225" s="1" t="n">
        <v>45885</v>
      </c>
      <c r="D225" t="inlineStr">
        <is>
          <t>UPPSALA LÄN</t>
        </is>
      </c>
      <c r="E225" t="inlineStr">
        <is>
          <t>ÖSTHAMMAR</t>
        </is>
      </c>
      <c r="G225" t="n">
        <v>1.3</v>
      </c>
      <c r="H225" t="n">
        <v>0</v>
      </c>
      <c r="I225" t="n">
        <v>0</v>
      </c>
      <c r="J225" t="n">
        <v>0</v>
      </c>
      <c r="K225" t="n">
        <v>0</v>
      </c>
      <c r="L225" t="n">
        <v>0</v>
      </c>
      <c r="M225" t="n">
        <v>0</v>
      </c>
      <c r="N225" t="n">
        <v>0</v>
      </c>
      <c r="O225" t="n">
        <v>0</v>
      </c>
      <c r="P225" t="n">
        <v>0</v>
      </c>
      <c r="Q225" t="n">
        <v>0</v>
      </c>
      <c r="R225" s="2" t="inlineStr"/>
    </row>
    <row r="226" ht="15" customHeight="1">
      <c r="A226" t="inlineStr">
        <is>
          <t>A 9267-2024</t>
        </is>
      </c>
      <c r="B226" s="1" t="n">
        <v>45358</v>
      </c>
      <c r="C226" s="1" t="n">
        <v>45885</v>
      </c>
      <c r="D226" t="inlineStr">
        <is>
          <t>UPPSALA LÄN</t>
        </is>
      </c>
      <c r="E226" t="inlineStr">
        <is>
          <t>ÖSTHAMMAR</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33758-2024</t>
        </is>
      </c>
      <c r="B227" s="1" t="n">
        <v>45520.56896990741</v>
      </c>
      <c r="C227" s="1" t="n">
        <v>45885</v>
      </c>
      <c r="D227" t="inlineStr">
        <is>
          <t>UPPSALA LÄN</t>
        </is>
      </c>
      <c r="E227" t="inlineStr">
        <is>
          <t>ÖSTHAMMAR</t>
        </is>
      </c>
      <c r="G227" t="n">
        <v>6.5</v>
      </c>
      <c r="H227" t="n">
        <v>0</v>
      </c>
      <c r="I227" t="n">
        <v>0</v>
      </c>
      <c r="J227" t="n">
        <v>0</v>
      </c>
      <c r="K227" t="n">
        <v>0</v>
      </c>
      <c r="L227" t="n">
        <v>0</v>
      </c>
      <c r="M227" t="n">
        <v>0</v>
      </c>
      <c r="N227" t="n">
        <v>0</v>
      </c>
      <c r="O227" t="n">
        <v>0</v>
      </c>
      <c r="P227" t="n">
        <v>0</v>
      </c>
      <c r="Q227" t="n">
        <v>0</v>
      </c>
      <c r="R227" s="2" t="inlineStr"/>
    </row>
    <row r="228" ht="15" customHeight="1">
      <c r="A228" t="inlineStr">
        <is>
          <t>A 1791-2023</t>
        </is>
      </c>
      <c r="B228" s="1" t="n">
        <v>44938</v>
      </c>
      <c r="C228" s="1" t="n">
        <v>45885</v>
      </c>
      <c r="D228" t="inlineStr">
        <is>
          <t>UPPSALA LÄN</t>
        </is>
      </c>
      <c r="E228" t="inlineStr">
        <is>
          <t>ÖSTHAMMAR</t>
        </is>
      </c>
      <c r="G228" t="n">
        <v>2</v>
      </c>
      <c r="H228" t="n">
        <v>0</v>
      </c>
      <c r="I228" t="n">
        <v>0</v>
      </c>
      <c r="J228" t="n">
        <v>0</v>
      </c>
      <c r="K228" t="n">
        <v>0</v>
      </c>
      <c r="L228" t="n">
        <v>0</v>
      </c>
      <c r="M228" t="n">
        <v>0</v>
      </c>
      <c r="N228" t="n">
        <v>0</v>
      </c>
      <c r="O228" t="n">
        <v>0</v>
      </c>
      <c r="P228" t="n">
        <v>0</v>
      </c>
      <c r="Q228" t="n">
        <v>0</v>
      </c>
      <c r="R228" s="2" t="inlineStr"/>
    </row>
    <row r="229" ht="15" customHeight="1">
      <c r="A229" t="inlineStr">
        <is>
          <t>A 35316-2024</t>
        </is>
      </c>
      <c r="B229" s="1" t="n">
        <v>45530.68873842592</v>
      </c>
      <c r="C229" s="1" t="n">
        <v>45885</v>
      </c>
      <c r="D229" t="inlineStr">
        <is>
          <t>UPPSALA LÄN</t>
        </is>
      </c>
      <c r="E229" t="inlineStr">
        <is>
          <t>ÖSTHAMMAR</t>
        </is>
      </c>
      <c r="F229" t="inlineStr">
        <is>
          <t>Bergvik skog öst AB</t>
        </is>
      </c>
      <c r="G229" t="n">
        <v>2.1</v>
      </c>
      <c r="H229" t="n">
        <v>0</v>
      </c>
      <c r="I229" t="n">
        <v>0</v>
      </c>
      <c r="J229" t="n">
        <v>0</v>
      </c>
      <c r="K229" t="n">
        <v>0</v>
      </c>
      <c r="L229" t="n">
        <v>0</v>
      </c>
      <c r="M229" t="n">
        <v>0</v>
      </c>
      <c r="N229" t="n">
        <v>0</v>
      </c>
      <c r="O229" t="n">
        <v>0</v>
      </c>
      <c r="P229" t="n">
        <v>0</v>
      </c>
      <c r="Q229" t="n">
        <v>0</v>
      </c>
      <c r="R229" s="2" t="inlineStr"/>
    </row>
    <row r="230" ht="15" customHeight="1">
      <c r="A230" t="inlineStr">
        <is>
          <t>A 38571-2023</t>
        </is>
      </c>
      <c r="B230" s="1" t="n">
        <v>45162.6177662037</v>
      </c>
      <c r="C230" s="1" t="n">
        <v>45885</v>
      </c>
      <c r="D230" t="inlineStr">
        <is>
          <t>UPPSALA LÄN</t>
        </is>
      </c>
      <c r="E230" t="inlineStr">
        <is>
          <t>ÖSTHAMMAR</t>
        </is>
      </c>
      <c r="F230" t="inlineStr">
        <is>
          <t>Bergvik skog öst AB</t>
        </is>
      </c>
      <c r="G230" t="n">
        <v>1.1</v>
      </c>
      <c r="H230" t="n">
        <v>0</v>
      </c>
      <c r="I230" t="n">
        <v>0</v>
      </c>
      <c r="J230" t="n">
        <v>0</v>
      </c>
      <c r="K230" t="n">
        <v>0</v>
      </c>
      <c r="L230" t="n">
        <v>0</v>
      </c>
      <c r="M230" t="n">
        <v>0</v>
      </c>
      <c r="N230" t="n">
        <v>0</v>
      </c>
      <c r="O230" t="n">
        <v>0</v>
      </c>
      <c r="P230" t="n">
        <v>0</v>
      </c>
      <c r="Q230" t="n">
        <v>0</v>
      </c>
      <c r="R230" s="2" t="inlineStr"/>
    </row>
    <row r="231" ht="15" customHeight="1">
      <c r="A231" t="inlineStr">
        <is>
          <t>A 21132-2025</t>
        </is>
      </c>
      <c r="B231" s="1" t="n">
        <v>45778.4108912037</v>
      </c>
      <c r="C231" s="1" t="n">
        <v>45885</v>
      </c>
      <c r="D231" t="inlineStr">
        <is>
          <t>UPPSALA LÄN</t>
        </is>
      </c>
      <c r="E231" t="inlineStr">
        <is>
          <t>ÖSTHAMMAR</t>
        </is>
      </c>
      <c r="G231" t="n">
        <v>10.1</v>
      </c>
      <c r="H231" t="n">
        <v>0</v>
      </c>
      <c r="I231" t="n">
        <v>0</v>
      </c>
      <c r="J231" t="n">
        <v>0</v>
      </c>
      <c r="K231" t="n">
        <v>0</v>
      </c>
      <c r="L231" t="n">
        <v>0</v>
      </c>
      <c r="M231" t="n">
        <v>0</v>
      </c>
      <c r="N231" t="n">
        <v>0</v>
      </c>
      <c r="O231" t="n">
        <v>0</v>
      </c>
      <c r="P231" t="n">
        <v>0</v>
      </c>
      <c r="Q231" t="n">
        <v>0</v>
      </c>
      <c r="R231" s="2" t="inlineStr"/>
    </row>
    <row r="232" ht="15" customHeight="1">
      <c r="A232" t="inlineStr">
        <is>
          <t>A 21133-2025</t>
        </is>
      </c>
      <c r="B232" s="1" t="n">
        <v>45778.415625</v>
      </c>
      <c r="C232" s="1" t="n">
        <v>45885</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7560-2023</t>
        </is>
      </c>
      <c r="B233" s="1" t="n">
        <v>44972.34811342593</v>
      </c>
      <c r="C233" s="1" t="n">
        <v>45885</v>
      </c>
      <c r="D233" t="inlineStr">
        <is>
          <t>UPPSALA LÄN</t>
        </is>
      </c>
      <c r="E233" t="inlineStr">
        <is>
          <t>ÖSTHAMMAR</t>
        </is>
      </c>
      <c r="F233" t="inlineStr">
        <is>
          <t>Bergvik skog öst AB</t>
        </is>
      </c>
      <c r="G233" t="n">
        <v>1.3</v>
      </c>
      <c r="H233" t="n">
        <v>0</v>
      </c>
      <c r="I233" t="n">
        <v>0</v>
      </c>
      <c r="J233" t="n">
        <v>0</v>
      </c>
      <c r="K233" t="n">
        <v>0</v>
      </c>
      <c r="L233" t="n">
        <v>0</v>
      </c>
      <c r="M233" t="n">
        <v>0</v>
      </c>
      <c r="N233" t="n">
        <v>0</v>
      </c>
      <c r="O233" t="n">
        <v>0</v>
      </c>
      <c r="P233" t="n">
        <v>0</v>
      </c>
      <c r="Q233" t="n">
        <v>0</v>
      </c>
      <c r="R233" s="2" t="inlineStr"/>
    </row>
    <row r="234" ht="15" customHeight="1">
      <c r="A234" t="inlineStr">
        <is>
          <t>A 44184-2024</t>
        </is>
      </c>
      <c r="B234" s="1" t="n">
        <v>45572</v>
      </c>
      <c r="C234" s="1" t="n">
        <v>45885</v>
      </c>
      <c r="D234" t="inlineStr">
        <is>
          <t>UPPSALA LÄN</t>
        </is>
      </c>
      <c r="E234" t="inlineStr">
        <is>
          <t>ÖSTHAMMAR</t>
        </is>
      </c>
      <c r="G234" t="n">
        <v>0.6</v>
      </c>
      <c r="H234" t="n">
        <v>0</v>
      </c>
      <c r="I234" t="n">
        <v>0</v>
      </c>
      <c r="J234" t="n">
        <v>0</v>
      </c>
      <c r="K234" t="n">
        <v>0</v>
      </c>
      <c r="L234" t="n">
        <v>0</v>
      </c>
      <c r="M234" t="n">
        <v>0</v>
      </c>
      <c r="N234" t="n">
        <v>0</v>
      </c>
      <c r="O234" t="n">
        <v>0</v>
      </c>
      <c r="P234" t="n">
        <v>0</v>
      </c>
      <c r="Q234" t="n">
        <v>0</v>
      </c>
      <c r="R234" s="2" t="inlineStr"/>
    </row>
    <row r="235" ht="15" customHeight="1">
      <c r="A235" t="inlineStr">
        <is>
          <t>A 48083-2024</t>
        </is>
      </c>
      <c r="B235" s="1" t="n">
        <v>45589.58766203704</v>
      </c>
      <c r="C235" s="1" t="n">
        <v>45885</v>
      </c>
      <c r="D235" t="inlineStr">
        <is>
          <t>UPPSALA LÄN</t>
        </is>
      </c>
      <c r="E235" t="inlineStr">
        <is>
          <t>ÖSTHAMMAR</t>
        </is>
      </c>
      <c r="G235" t="n">
        <v>3</v>
      </c>
      <c r="H235" t="n">
        <v>0</v>
      </c>
      <c r="I235" t="n">
        <v>0</v>
      </c>
      <c r="J235" t="n">
        <v>0</v>
      </c>
      <c r="K235" t="n">
        <v>0</v>
      </c>
      <c r="L235" t="n">
        <v>0</v>
      </c>
      <c r="M235" t="n">
        <v>0</v>
      </c>
      <c r="N235" t="n">
        <v>0</v>
      </c>
      <c r="O235" t="n">
        <v>0</v>
      </c>
      <c r="P235" t="n">
        <v>0</v>
      </c>
      <c r="Q235" t="n">
        <v>0</v>
      </c>
      <c r="R235" s="2" t="inlineStr"/>
    </row>
    <row r="236" ht="15" customHeight="1">
      <c r="A236" t="inlineStr">
        <is>
          <t>A 74436-2021</t>
        </is>
      </c>
      <c r="B236" s="1" t="n">
        <v>44560.4502199074</v>
      </c>
      <c r="C236" s="1" t="n">
        <v>45885</v>
      </c>
      <c r="D236" t="inlineStr">
        <is>
          <t>UPPSALA LÄN</t>
        </is>
      </c>
      <c r="E236" t="inlineStr">
        <is>
          <t>ÖSTHAMMAR</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42262-2024</t>
        </is>
      </c>
      <c r="B237" s="1" t="n">
        <v>45562</v>
      </c>
      <c r="C237" s="1" t="n">
        <v>45885</v>
      </c>
      <c r="D237" t="inlineStr">
        <is>
          <t>UPPSALA LÄN</t>
        </is>
      </c>
      <c r="E237" t="inlineStr">
        <is>
          <t>ÖSTHAMMAR</t>
        </is>
      </c>
      <c r="F237" t="inlineStr">
        <is>
          <t>Bergvik skog öst AB</t>
        </is>
      </c>
      <c r="G237" t="n">
        <v>1.7</v>
      </c>
      <c r="H237" t="n">
        <v>0</v>
      </c>
      <c r="I237" t="n">
        <v>0</v>
      </c>
      <c r="J237" t="n">
        <v>0</v>
      </c>
      <c r="K237" t="n">
        <v>0</v>
      </c>
      <c r="L237" t="n">
        <v>0</v>
      </c>
      <c r="M237" t="n">
        <v>0</v>
      </c>
      <c r="N237" t="n">
        <v>0</v>
      </c>
      <c r="O237" t="n">
        <v>0</v>
      </c>
      <c r="P237" t="n">
        <v>0</v>
      </c>
      <c r="Q237" t="n">
        <v>0</v>
      </c>
      <c r="R237" s="2" t="inlineStr"/>
    </row>
    <row r="238" ht="15" customHeight="1">
      <c r="A238" t="inlineStr">
        <is>
          <t>A 32778-2023</t>
        </is>
      </c>
      <c r="B238" s="1" t="n">
        <v>45123.88789351852</v>
      </c>
      <c r="C238" s="1" t="n">
        <v>45885</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59327-2023</t>
        </is>
      </c>
      <c r="B239" s="1" t="n">
        <v>45253.63400462963</v>
      </c>
      <c r="C239" s="1" t="n">
        <v>45885</v>
      </c>
      <c r="D239" t="inlineStr">
        <is>
          <t>UPPSALA LÄN</t>
        </is>
      </c>
      <c r="E239" t="inlineStr">
        <is>
          <t>ÖSTHAMMAR</t>
        </is>
      </c>
      <c r="G239" t="n">
        <v>3.1</v>
      </c>
      <c r="H239" t="n">
        <v>0</v>
      </c>
      <c r="I239" t="n">
        <v>0</v>
      </c>
      <c r="J239" t="n">
        <v>0</v>
      </c>
      <c r="K239" t="n">
        <v>0</v>
      </c>
      <c r="L239" t="n">
        <v>0</v>
      </c>
      <c r="M239" t="n">
        <v>0</v>
      </c>
      <c r="N239" t="n">
        <v>0</v>
      </c>
      <c r="O239" t="n">
        <v>0</v>
      </c>
      <c r="P239" t="n">
        <v>0</v>
      </c>
      <c r="Q239" t="n">
        <v>0</v>
      </c>
      <c r="R239" s="2" t="inlineStr"/>
    </row>
    <row r="240" ht="15" customHeight="1">
      <c r="A240" t="inlineStr">
        <is>
          <t>A 33680-2024</t>
        </is>
      </c>
      <c r="B240" s="1" t="n">
        <v>45520.50712962963</v>
      </c>
      <c r="C240" s="1" t="n">
        <v>45885</v>
      </c>
      <c r="D240" t="inlineStr">
        <is>
          <t>UPPSALA LÄN</t>
        </is>
      </c>
      <c r="E240" t="inlineStr">
        <is>
          <t>ÖSTHAMMAR</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44796-2024</t>
        </is>
      </c>
      <c r="B241" s="1" t="n">
        <v>45574</v>
      </c>
      <c r="C241" s="1" t="n">
        <v>45885</v>
      </c>
      <c r="D241" t="inlineStr">
        <is>
          <t>UPPSALA LÄN</t>
        </is>
      </c>
      <c r="E241" t="inlineStr">
        <is>
          <t>ÖSTHAMMAR</t>
        </is>
      </c>
      <c r="G241" t="n">
        <v>4.7</v>
      </c>
      <c r="H241" t="n">
        <v>0</v>
      </c>
      <c r="I241" t="n">
        <v>0</v>
      </c>
      <c r="J241" t="n">
        <v>0</v>
      </c>
      <c r="K241" t="n">
        <v>0</v>
      </c>
      <c r="L241" t="n">
        <v>0</v>
      </c>
      <c r="M241" t="n">
        <v>0</v>
      </c>
      <c r="N241" t="n">
        <v>0</v>
      </c>
      <c r="O241" t="n">
        <v>0</v>
      </c>
      <c r="P241" t="n">
        <v>0</v>
      </c>
      <c r="Q241" t="n">
        <v>0</v>
      </c>
      <c r="R241" s="2" t="inlineStr"/>
    </row>
    <row r="242" ht="15" customHeight="1">
      <c r="A242" t="inlineStr">
        <is>
          <t>A 7944-2023</t>
        </is>
      </c>
      <c r="B242" s="1" t="n">
        <v>44973.66458333333</v>
      </c>
      <c r="C242" s="1" t="n">
        <v>45885</v>
      </c>
      <c r="D242" t="inlineStr">
        <is>
          <t>UPPSALA LÄN</t>
        </is>
      </c>
      <c r="E242" t="inlineStr">
        <is>
          <t>ÖSTHAMMAR</t>
        </is>
      </c>
      <c r="G242" t="n">
        <v>4.6</v>
      </c>
      <c r="H242" t="n">
        <v>0</v>
      </c>
      <c r="I242" t="n">
        <v>0</v>
      </c>
      <c r="J242" t="n">
        <v>0</v>
      </c>
      <c r="K242" t="n">
        <v>0</v>
      </c>
      <c r="L242" t="n">
        <v>0</v>
      </c>
      <c r="M242" t="n">
        <v>0</v>
      </c>
      <c r="N242" t="n">
        <v>0</v>
      </c>
      <c r="O242" t="n">
        <v>0</v>
      </c>
      <c r="P242" t="n">
        <v>0</v>
      </c>
      <c r="Q242" t="n">
        <v>0</v>
      </c>
      <c r="R242" s="2" t="inlineStr"/>
    </row>
    <row r="243" ht="15" customHeight="1">
      <c r="A243" t="inlineStr">
        <is>
          <t>A 22488-2025</t>
        </is>
      </c>
      <c r="B243" s="1" t="n">
        <v>45786.64865740741</v>
      </c>
      <c r="C243" s="1" t="n">
        <v>45885</v>
      </c>
      <c r="D243" t="inlineStr">
        <is>
          <t>UPPSALA LÄN</t>
        </is>
      </c>
      <c r="E243" t="inlineStr">
        <is>
          <t>ÖSTHAMMAR</t>
        </is>
      </c>
      <c r="F243" t="inlineStr">
        <is>
          <t>Bergvik skog öst AB</t>
        </is>
      </c>
      <c r="G243" t="n">
        <v>14.9</v>
      </c>
      <c r="H243" t="n">
        <v>0</v>
      </c>
      <c r="I243" t="n">
        <v>0</v>
      </c>
      <c r="J243" t="n">
        <v>0</v>
      </c>
      <c r="K243" t="n">
        <v>0</v>
      </c>
      <c r="L243" t="n">
        <v>0</v>
      </c>
      <c r="M243" t="n">
        <v>0</v>
      </c>
      <c r="N243" t="n">
        <v>0</v>
      </c>
      <c r="O243" t="n">
        <v>0</v>
      </c>
      <c r="P243" t="n">
        <v>0</v>
      </c>
      <c r="Q243" t="n">
        <v>0</v>
      </c>
      <c r="R243" s="2" t="inlineStr"/>
    </row>
    <row r="244" ht="15" customHeight="1">
      <c r="A244" t="inlineStr">
        <is>
          <t>A 8616-2023</t>
        </is>
      </c>
      <c r="B244" s="1" t="n">
        <v>44977</v>
      </c>
      <c r="C244" s="1" t="n">
        <v>45885</v>
      </c>
      <c r="D244" t="inlineStr">
        <is>
          <t>UPPSALA LÄN</t>
        </is>
      </c>
      <c r="E244" t="inlineStr">
        <is>
          <t>ÖSTHAMMAR</t>
        </is>
      </c>
      <c r="F244" t="inlineStr">
        <is>
          <t>Bergvik skog öst AB</t>
        </is>
      </c>
      <c r="G244" t="n">
        <v>0.2</v>
      </c>
      <c r="H244" t="n">
        <v>0</v>
      </c>
      <c r="I244" t="n">
        <v>0</v>
      </c>
      <c r="J244" t="n">
        <v>0</v>
      </c>
      <c r="K244" t="n">
        <v>0</v>
      </c>
      <c r="L244" t="n">
        <v>0</v>
      </c>
      <c r="M244" t="n">
        <v>0</v>
      </c>
      <c r="N244" t="n">
        <v>0</v>
      </c>
      <c r="O244" t="n">
        <v>0</v>
      </c>
      <c r="P244" t="n">
        <v>0</v>
      </c>
      <c r="Q244" t="n">
        <v>0</v>
      </c>
      <c r="R244" s="2" t="inlineStr"/>
    </row>
    <row r="245" ht="15" customHeight="1">
      <c r="A245" t="inlineStr">
        <is>
          <t>A 36954-2024</t>
        </is>
      </c>
      <c r="B245" s="1" t="n">
        <v>45538.71109953704</v>
      </c>
      <c r="C245" s="1" t="n">
        <v>45885</v>
      </c>
      <c r="D245" t="inlineStr">
        <is>
          <t>UPPSALA LÄN</t>
        </is>
      </c>
      <c r="E245" t="inlineStr">
        <is>
          <t>ÖSTHAMMAR</t>
        </is>
      </c>
      <c r="F245" t="inlineStr">
        <is>
          <t>Bergvik skog öst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22483-2025</t>
        </is>
      </c>
      <c r="B246" s="1" t="n">
        <v>45786.64141203704</v>
      </c>
      <c r="C246" s="1" t="n">
        <v>45885</v>
      </c>
      <c r="D246" t="inlineStr">
        <is>
          <t>UPPSALA LÄN</t>
        </is>
      </c>
      <c r="E246" t="inlineStr">
        <is>
          <t>ÖSTHAMMAR</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1567-2025</t>
        </is>
      </c>
      <c r="B247" s="1" t="n">
        <v>45670</v>
      </c>
      <c r="C247" s="1" t="n">
        <v>45885</v>
      </c>
      <c r="D247" t="inlineStr">
        <is>
          <t>UPPSALA LÄN</t>
        </is>
      </c>
      <c r="E247" t="inlineStr">
        <is>
          <t>ÖSTHAMMAR</t>
        </is>
      </c>
      <c r="G247" t="n">
        <v>2.8</v>
      </c>
      <c r="H247" t="n">
        <v>0</v>
      </c>
      <c r="I247" t="n">
        <v>0</v>
      </c>
      <c r="J247" t="n">
        <v>0</v>
      </c>
      <c r="K247" t="n">
        <v>0</v>
      </c>
      <c r="L247" t="n">
        <v>0</v>
      </c>
      <c r="M247" t="n">
        <v>0</v>
      </c>
      <c r="N247" t="n">
        <v>0</v>
      </c>
      <c r="O247" t="n">
        <v>0</v>
      </c>
      <c r="P247" t="n">
        <v>0</v>
      </c>
      <c r="Q247" t="n">
        <v>0</v>
      </c>
      <c r="R247" s="2" t="inlineStr"/>
    </row>
    <row r="248" ht="15" customHeight="1">
      <c r="A248" t="inlineStr">
        <is>
          <t>A 59291-2023</t>
        </is>
      </c>
      <c r="B248" s="1" t="n">
        <v>45253.57559027777</v>
      </c>
      <c r="C248" s="1" t="n">
        <v>45885</v>
      </c>
      <c r="D248" t="inlineStr">
        <is>
          <t>UPPSALA LÄN</t>
        </is>
      </c>
      <c r="E248" t="inlineStr">
        <is>
          <t>ÖSTHAMMAR</t>
        </is>
      </c>
      <c r="G248" t="n">
        <v>1.7</v>
      </c>
      <c r="H248" t="n">
        <v>0</v>
      </c>
      <c r="I248" t="n">
        <v>0</v>
      </c>
      <c r="J248" t="n">
        <v>0</v>
      </c>
      <c r="K248" t="n">
        <v>0</v>
      </c>
      <c r="L248" t="n">
        <v>0</v>
      </c>
      <c r="M248" t="n">
        <v>0</v>
      </c>
      <c r="N248" t="n">
        <v>0</v>
      </c>
      <c r="O248" t="n">
        <v>0</v>
      </c>
      <c r="P248" t="n">
        <v>0</v>
      </c>
      <c r="Q248" t="n">
        <v>0</v>
      </c>
      <c r="R248" s="2" t="inlineStr"/>
    </row>
    <row r="249" ht="15" customHeight="1">
      <c r="A249" t="inlineStr">
        <is>
          <t>A 43685-2024</t>
        </is>
      </c>
      <c r="B249" s="1" t="n">
        <v>45569</v>
      </c>
      <c r="C249" s="1" t="n">
        <v>45885</v>
      </c>
      <c r="D249" t="inlineStr">
        <is>
          <t>UPPSALA LÄN</t>
        </is>
      </c>
      <c r="E249" t="inlineStr">
        <is>
          <t>ÖSTHAMMAR</t>
        </is>
      </c>
      <c r="G249" t="n">
        <v>1.1</v>
      </c>
      <c r="H249" t="n">
        <v>0</v>
      </c>
      <c r="I249" t="n">
        <v>0</v>
      </c>
      <c r="J249" t="n">
        <v>0</v>
      </c>
      <c r="K249" t="n">
        <v>0</v>
      </c>
      <c r="L249" t="n">
        <v>0</v>
      </c>
      <c r="M249" t="n">
        <v>0</v>
      </c>
      <c r="N249" t="n">
        <v>0</v>
      </c>
      <c r="O249" t="n">
        <v>0</v>
      </c>
      <c r="P249" t="n">
        <v>0</v>
      </c>
      <c r="Q249" t="n">
        <v>0</v>
      </c>
      <c r="R249" s="2" t="inlineStr"/>
    </row>
    <row r="250" ht="15" customHeight="1">
      <c r="A250" t="inlineStr">
        <is>
          <t>A 38575-2024</t>
        </is>
      </c>
      <c r="B250" s="1" t="n">
        <v>45546.64221064815</v>
      </c>
      <c r="C250" s="1" t="n">
        <v>45885</v>
      </c>
      <c r="D250" t="inlineStr">
        <is>
          <t>UPPSALA LÄN</t>
        </is>
      </c>
      <c r="E250" t="inlineStr">
        <is>
          <t>ÖSTHAMMAR</t>
        </is>
      </c>
      <c r="F250" t="inlineStr">
        <is>
          <t>Bergvik skog öst AB</t>
        </is>
      </c>
      <c r="G250" t="n">
        <v>5.1</v>
      </c>
      <c r="H250" t="n">
        <v>0</v>
      </c>
      <c r="I250" t="n">
        <v>0</v>
      </c>
      <c r="J250" t="n">
        <v>0</v>
      </c>
      <c r="K250" t="n">
        <v>0</v>
      </c>
      <c r="L250" t="n">
        <v>0</v>
      </c>
      <c r="M250" t="n">
        <v>0</v>
      </c>
      <c r="N250" t="n">
        <v>0</v>
      </c>
      <c r="O250" t="n">
        <v>0</v>
      </c>
      <c r="P250" t="n">
        <v>0</v>
      </c>
      <c r="Q250" t="n">
        <v>0</v>
      </c>
      <c r="R250" s="2" t="inlineStr"/>
    </row>
    <row r="251" ht="15" customHeight="1">
      <c r="A251" t="inlineStr">
        <is>
          <t>A 43993-2024</t>
        </is>
      </c>
      <c r="B251" s="1" t="n">
        <v>45572.52690972222</v>
      </c>
      <c r="C251" s="1" t="n">
        <v>45885</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17930-2025</t>
        </is>
      </c>
      <c r="B252" s="1" t="n">
        <v>45759.56738425926</v>
      </c>
      <c r="C252" s="1" t="n">
        <v>45885</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46785-2023</t>
        </is>
      </c>
      <c r="B253" s="1" t="n">
        <v>45198</v>
      </c>
      <c r="C253" s="1" t="n">
        <v>45885</v>
      </c>
      <c r="D253" t="inlineStr">
        <is>
          <t>UPPSALA LÄN</t>
        </is>
      </c>
      <c r="E253" t="inlineStr">
        <is>
          <t>ÖSTHAMMAR</t>
        </is>
      </c>
      <c r="G253" t="n">
        <v>1.6</v>
      </c>
      <c r="H253" t="n">
        <v>0</v>
      </c>
      <c r="I253" t="n">
        <v>0</v>
      </c>
      <c r="J253" t="n">
        <v>0</v>
      </c>
      <c r="K253" t="n">
        <v>0</v>
      </c>
      <c r="L253" t="n">
        <v>0</v>
      </c>
      <c r="M253" t="n">
        <v>0</v>
      </c>
      <c r="N253" t="n">
        <v>0</v>
      </c>
      <c r="O253" t="n">
        <v>0</v>
      </c>
      <c r="P253" t="n">
        <v>0</v>
      </c>
      <c r="Q253" t="n">
        <v>0</v>
      </c>
      <c r="R253" s="2" t="inlineStr"/>
    </row>
    <row r="254" ht="15" customHeight="1">
      <c r="A254" t="inlineStr">
        <is>
          <t>A 22492-2025</t>
        </is>
      </c>
      <c r="B254" s="1" t="n">
        <v>45786.65072916666</v>
      </c>
      <c r="C254" s="1" t="n">
        <v>45885</v>
      </c>
      <c r="D254" t="inlineStr">
        <is>
          <t>UPPSALA LÄN</t>
        </is>
      </c>
      <c r="E254" t="inlineStr">
        <is>
          <t>ÖSTHAMMAR</t>
        </is>
      </c>
      <c r="F254" t="inlineStr">
        <is>
          <t>Bergvik skog öst AB</t>
        </is>
      </c>
      <c r="G254" t="n">
        <v>16.6</v>
      </c>
      <c r="H254" t="n">
        <v>0</v>
      </c>
      <c r="I254" t="n">
        <v>0</v>
      </c>
      <c r="J254" t="n">
        <v>0</v>
      </c>
      <c r="K254" t="n">
        <v>0</v>
      </c>
      <c r="L254" t="n">
        <v>0</v>
      </c>
      <c r="M254" t="n">
        <v>0</v>
      </c>
      <c r="N254" t="n">
        <v>0</v>
      </c>
      <c r="O254" t="n">
        <v>0</v>
      </c>
      <c r="P254" t="n">
        <v>0</v>
      </c>
      <c r="Q254" t="n">
        <v>0</v>
      </c>
      <c r="R254" s="2" t="inlineStr"/>
    </row>
    <row r="255" ht="15" customHeight="1">
      <c r="A255" t="inlineStr">
        <is>
          <t>A 5931-2022</t>
        </is>
      </c>
      <c r="B255" s="1" t="n">
        <v>44598.82700231481</v>
      </c>
      <c r="C255" s="1" t="n">
        <v>45885</v>
      </c>
      <c r="D255" t="inlineStr">
        <is>
          <t>UPPSALA LÄN</t>
        </is>
      </c>
      <c r="E255" t="inlineStr">
        <is>
          <t>ÖSTHAMMAR</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43655-2024</t>
        </is>
      </c>
      <c r="B256" s="1" t="n">
        <v>45569</v>
      </c>
      <c r="C256" s="1" t="n">
        <v>45885</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43683-2024</t>
        </is>
      </c>
      <c r="B257" s="1" t="n">
        <v>45569.57518518518</v>
      </c>
      <c r="C257" s="1" t="n">
        <v>45885</v>
      </c>
      <c r="D257" t="inlineStr">
        <is>
          <t>UPPSALA LÄN</t>
        </is>
      </c>
      <c r="E257" t="inlineStr">
        <is>
          <t>ÖSTHAMMAR</t>
        </is>
      </c>
      <c r="G257" t="n">
        <v>4.7</v>
      </c>
      <c r="H257" t="n">
        <v>0</v>
      </c>
      <c r="I257" t="n">
        <v>0</v>
      </c>
      <c r="J257" t="n">
        <v>0</v>
      </c>
      <c r="K257" t="n">
        <v>0</v>
      </c>
      <c r="L257" t="n">
        <v>0</v>
      </c>
      <c r="M257" t="n">
        <v>0</v>
      </c>
      <c r="N257" t="n">
        <v>0</v>
      </c>
      <c r="O257" t="n">
        <v>0</v>
      </c>
      <c r="P257" t="n">
        <v>0</v>
      </c>
      <c r="Q257" t="n">
        <v>0</v>
      </c>
      <c r="R257" s="2" t="inlineStr"/>
    </row>
    <row r="258" ht="15" customHeight="1">
      <c r="A258" t="inlineStr">
        <is>
          <t>A 73965-2021</t>
        </is>
      </c>
      <c r="B258" s="1" t="n">
        <v>44553.80824074074</v>
      </c>
      <c r="C258" s="1" t="n">
        <v>45885</v>
      </c>
      <c r="D258" t="inlineStr">
        <is>
          <t>UPPSALA LÄN</t>
        </is>
      </c>
      <c r="E258" t="inlineStr">
        <is>
          <t>ÖSTHAMMAR</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73592-2021</t>
        </is>
      </c>
      <c r="B259" s="1" t="n">
        <v>44552.36974537037</v>
      </c>
      <c r="C259" s="1" t="n">
        <v>45885</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32483-2024</t>
        </is>
      </c>
      <c r="B260" s="1" t="n">
        <v>45513.36644675926</v>
      </c>
      <c r="C260" s="1" t="n">
        <v>45885</v>
      </c>
      <c r="D260" t="inlineStr">
        <is>
          <t>UPPSALA LÄN</t>
        </is>
      </c>
      <c r="E260" t="inlineStr">
        <is>
          <t>ÖSTHAMMAR</t>
        </is>
      </c>
      <c r="F260" t="inlineStr">
        <is>
          <t>Kyrkan</t>
        </is>
      </c>
      <c r="G260" t="n">
        <v>4.7</v>
      </c>
      <c r="H260" t="n">
        <v>0</v>
      </c>
      <c r="I260" t="n">
        <v>0</v>
      </c>
      <c r="J260" t="n">
        <v>0</v>
      </c>
      <c r="K260" t="n">
        <v>0</v>
      </c>
      <c r="L260" t="n">
        <v>0</v>
      </c>
      <c r="M260" t="n">
        <v>0</v>
      </c>
      <c r="N260" t="n">
        <v>0</v>
      </c>
      <c r="O260" t="n">
        <v>0</v>
      </c>
      <c r="P260" t="n">
        <v>0</v>
      </c>
      <c r="Q260" t="n">
        <v>0</v>
      </c>
      <c r="R260" s="2" t="inlineStr"/>
    </row>
    <row r="261" ht="15" customHeight="1">
      <c r="A261" t="inlineStr">
        <is>
          <t>A 31479-2023</t>
        </is>
      </c>
      <c r="B261" s="1" t="n">
        <v>45114.79793981482</v>
      </c>
      <c r="C261" s="1" t="n">
        <v>45885</v>
      </c>
      <c r="D261" t="inlineStr">
        <is>
          <t>UPPSALA LÄN</t>
        </is>
      </c>
      <c r="E261" t="inlineStr">
        <is>
          <t>ÖSTHAMMAR</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24128-2023</t>
        </is>
      </c>
      <c r="B262" s="1" t="n">
        <v>45079.50289351852</v>
      </c>
      <c r="C262" s="1" t="n">
        <v>45885</v>
      </c>
      <c r="D262" t="inlineStr">
        <is>
          <t>UPPSALA LÄN</t>
        </is>
      </c>
      <c r="E262" t="inlineStr">
        <is>
          <t>ÖSTHAMMAR</t>
        </is>
      </c>
      <c r="G262" t="n">
        <v>0.6</v>
      </c>
      <c r="H262" t="n">
        <v>0</v>
      </c>
      <c r="I262" t="n">
        <v>0</v>
      </c>
      <c r="J262" t="n">
        <v>0</v>
      </c>
      <c r="K262" t="n">
        <v>0</v>
      </c>
      <c r="L262" t="n">
        <v>0</v>
      </c>
      <c r="M262" t="n">
        <v>0</v>
      </c>
      <c r="N262" t="n">
        <v>0</v>
      </c>
      <c r="O262" t="n">
        <v>0</v>
      </c>
      <c r="P262" t="n">
        <v>0</v>
      </c>
      <c r="Q262" t="n">
        <v>0</v>
      </c>
      <c r="R262" s="2" t="inlineStr"/>
    </row>
    <row r="263" ht="15" customHeight="1">
      <c r="A263" t="inlineStr">
        <is>
          <t>A 14595-2023</t>
        </is>
      </c>
      <c r="B263" s="1" t="n">
        <v>45013.57858796296</v>
      </c>
      <c r="C263" s="1" t="n">
        <v>45885</v>
      </c>
      <c r="D263" t="inlineStr">
        <is>
          <t>UPPSALA LÄN</t>
        </is>
      </c>
      <c r="E263" t="inlineStr">
        <is>
          <t>ÖSTHAMMAR</t>
        </is>
      </c>
      <c r="G263" t="n">
        <v>5</v>
      </c>
      <c r="H263" t="n">
        <v>0</v>
      </c>
      <c r="I263" t="n">
        <v>0</v>
      </c>
      <c r="J263" t="n">
        <v>0</v>
      </c>
      <c r="K263" t="n">
        <v>0</v>
      </c>
      <c r="L263" t="n">
        <v>0</v>
      </c>
      <c r="M263" t="n">
        <v>0</v>
      </c>
      <c r="N263" t="n">
        <v>0</v>
      </c>
      <c r="O263" t="n">
        <v>0</v>
      </c>
      <c r="P263" t="n">
        <v>0</v>
      </c>
      <c r="Q263" t="n">
        <v>0</v>
      </c>
      <c r="R263" s="2" t="inlineStr"/>
    </row>
    <row r="264" ht="15" customHeight="1">
      <c r="A264" t="inlineStr">
        <is>
          <t>A 35918-2023</t>
        </is>
      </c>
      <c r="B264" s="1" t="n">
        <v>45148.64976851852</v>
      </c>
      <c r="C264" s="1" t="n">
        <v>45885</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33685-2024</t>
        </is>
      </c>
      <c r="B265" s="1" t="n">
        <v>45520.51063657407</v>
      </c>
      <c r="C265" s="1" t="n">
        <v>45885</v>
      </c>
      <c r="D265" t="inlineStr">
        <is>
          <t>UPPSALA LÄN</t>
        </is>
      </c>
      <c r="E265" t="inlineStr">
        <is>
          <t>ÖSTHAMMAR</t>
        </is>
      </c>
      <c r="F265" t="inlineStr">
        <is>
          <t>Bergvik skog öst AB</t>
        </is>
      </c>
      <c r="G265" t="n">
        <v>3.8</v>
      </c>
      <c r="H265" t="n">
        <v>0</v>
      </c>
      <c r="I265" t="n">
        <v>0</v>
      </c>
      <c r="J265" t="n">
        <v>0</v>
      </c>
      <c r="K265" t="n">
        <v>0</v>
      </c>
      <c r="L265" t="n">
        <v>0</v>
      </c>
      <c r="M265" t="n">
        <v>0</v>
      </c>
      <c r="N265" t="n">
        <v>0</v>
      </c>
      <c r="O265" t="n">
        <v>0</v>
      </c>
      <c r="P265" t="n">
        <v>0</v>
      </c>
      <c r="Q265" t="n">
        <v>0</v>
      </c>
      <c r="R265" s="2" t="inlineStr"/>
    </row>
    <row r="266" ht="15" customHeight="1">
      <c r="A266" t="inlineStr">
        <is>
          <t>A 44027-2024</t>
        </is>
      </c>
      <c r="B266" s="1" t="n">
        <v>45572</v>
      </c>
      <c r="C266" s="1" t="n">
        <v>45885</v>
      </c>
      <c r="D266" t="inlineStr">
        <is>
          <t>UPPSALA LÄN</t>
        </is>
      </c>
      <c r="E266" t="inlineStr">
        <is>
          <t>ÖSTHAMMAR</t>
        </is>
      </c>
      <c r="G266" t="n">
        <v>6</v>
      </c>
      <c r="H266" t="n">
        <v>0</v>
      </c>
      <c r="I266" t="n">
        <v>0</v>
      </c>
      <c r="J266" t="n">
        <v>0</v>
      </c>
      <c r="K266" t="n">
        <v>0</v>
      </c>
      <c r="L266" t="n">
        <v>0</v>
      </c>
      <c r="M266" t="n">
        <v>0</v>
      </c>
      <c r="N266" t="n">
        <v>0</v>
      </c>
      <c r="O266" t="n">
        <v>0</v>
      </c>
      <c r="P266" t="n">
        <v>0</v>
      </c>
      <c r="Q266" t="n">
        <v>0</v>
      </c>
      <c r="R266" s="2" t="inlineStr"/>
    </row>
    <row r="267" ht="15" customHeight="1">
      <c r="A267" t="inlineStr">
        <is>
          <t>A 4004-2023</t>
        </is>
      </c>
      <c r="B267" s="1" t="n">
        <v>44952</v>
      </c>
      <c r="C267" s="1" t="n">
        <v>45885</v>
      </c>
      <c r="D267" t="inlineStr">
        <is>
          <t>UPPSALA LÄN</t>
        </is>
      </c>
      <c r="E267" t="inlineStr">
        <is>
          <t>ÖSTHAMMAR</t>
        </is>
      </c>
      <c r="G267" t="n">
        <v>4.1</v>
      </c>
      <c r="H267" t="n">
        <v>0</v>
      </c>
      <c r="I267" t="n">
        <v>0</v>
      </c>
      <c r="J267" t="n">
        <v>0</v>
      </c>
      <c r="K267" t="n">
        <v>0</v>
      </c>
      <c r="L267" t="n">
        <v>0</v>
      </c>
      <c r="M267" t="n">
        <v>0</v>
      </c>
      <c r="N267" t="n">
        <v>0</v>
      </c>
      <c r="O267" t="n">
        <v>0</v>
      </c>
      <c r="P267" t="n">
        <v>0</v>
      </c>
      <c r="Q267" t="n">
        <v>0</v>
      </c>
      <c r="R267" s="2" t="inlineStr"/>
    </row>
    <row r="268" ht="15" customHeight="1">
      <c r="A268" t="inlineStr">
        <is>
          <t>A 1527-2025</t>
        </is>
      </c>
      <c r="B268" s="1" t="n">
        <v>45670</v>
      </c>
      <c r="C268" s="1" t="n">
        <v>45885</v>
      </c>
      <c r="D268" t="inlineStr">
        <is>
          <t>UPPSALA LÄN</t>
        </is>
      </c>
      <c r="E268" t="inlineStr">
        <is>
          <t>ÖSTHAMMAR</t>
        </is>
      </c>
      <c r="F268" t="inlineStr">
        <is>
          <t>Bergvik skog öst AB</t>
        </is>
      </c>
      <c r="G268" t="n">
        <v>7.7</v>
      </c>
      <c r="H268" t="n">
        <v>0</v>
      </c>
      <c r="I268" t="n">
        <v>0</v>
      </c>
      <c r="J268" t="n">
        <v>0</v>
      </c>
      <c r="K268" t="n">
        <v>0</v>
      </c>
      <c r="L268" t="n">
        <v>0</v>
      </c>
      <c r="M268" t="n">
        <v>0</v>
      </c>
      <c r="N268" t="n">
        <v>0</v>
      </c>
      <c r="O268" t="n">
        <v>0</v>
      </c>
      <c r="P268" t="n">
        <v>0</v>
      </c>
      <c r="Q268" t="n">
        <v>0</v>
      </c>
      <c r="R268" s="2" t="inlineStr"/>
    </row>
    <row r="269" ht="15" customHeight="1">
      <c r="A269" t="inlineStr">
        <is>
          <t>A 35474-2023</t>
        </is>
      </c>
      <c r="B269" s="1" t="n">
        <v>45146.68921296296</v>
      </c>
      <c r="C269" s="1" t="n">
        <v>45885</v>
      </c>
      <c r="D269" t="inlineStr">
        <is>
          <t>UPPSALA LÄN</t>
        </is>
      </c>
      <c r="E269" t="inlineStr">
        <is>
          <t>ÖSTHAMMAR</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26303-2024</t>
        </is>
      </c>
      <c r="B270" s="1" t="n">
        <v>45468</v>
      </c>
      <c r="C270" s="1" t="n">
        <v>45885</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44152-2024</t>
        </is>
      </c>
      <c r="B271" s="1" t="n">
        <v>45572</v>
      </c>
      <c r="C271" s="1" t="n">
        <v>45885</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57-2023</t>
        </is>
      </c>
      <c r="B272" s="1" t="n">
        <v>44928.40917824074</v>
      </c>
      <c r="C272" s="1" t="n">
        <v>45885</v>
      </c>
      <c r="D272" t="inlineStr">
        <is>
          <t>UPPSALA LÄN</t>
        </is>
      </c>
      <c r="E272" t="inlineStr">
        <is>
          <t>ÖSTHAMMAR</t>
        </is>
      </c>
      <c r="G272" t="n">
        <v>1.1</v>
      </c>
      <c r="H272" t="n">
        <v>0</v>
      </c>
      <c r="I272" t="n">
        <v>0</v>
      </c>
      <c r="J272" t="n">
        <v>0</v>
      </c>
      <c r="K272" t="n">
        <v>0</v>
      </c>
      <c r="L272" t="n">
        <v>0</v>
      </c>
      <c r="M272" t="n">
        <v>0</v>
      </c>
      <c r="N272" t="n">
        <v>0</v>
      </c>
      <c r="O272" t="n">
        <v>0</v>
      </c>
      <c r="P272" t="n">
        <v>0</v>
      </c>
      <c r="Q272" t="n">
        <v>0</v>
      </c>
      <c r="R272" s="2" t="inlineStr"/>
    </row>
    <row r="273" ht="15" customHeight="1">
      <c r="A273" t="inlineStr">
        <is>
          <t>A 59-2023</t>
        </is>
      </c>
      <c r="B273" s="1" t="n">
        <v>44928.41822916667</v>
      </c>
      <c r="C273" s="1" t="n">
        <v>45885</v>
      </c>
      <c r="D273" t="inlineStr">
        <is>
          <t>UPPSALA LÄN</t>
        </is>
      </c>
      <c r="E273" t="inlineStr">
        <is>
          <t>ÖSTHAMMAR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4561-2022</t>
        </is>
      </c>
      <c r="B274" s="1" t="n">
        <v>44591.59170138889</v>
      </c>
      <c r="C274" s="1" t="n">
        <v>45885</v>
      </c>
      <c r="D274" t="inlineStr">
        <is>
          <t>UPPSALA LÄN</t>
        </is>
      </c>
      <c r="E274" t="inlineStr">
        <is>
          <t>ÖSTHAMMAR</t>
        </is>
      </c>
      <c r="F274" t="inlineStr">
        <is>
          <t>Bergvik skog öst AB</t>
        </is>
      </c>
      <c r="G274" t="n">
        <v>1.5</v>
      </c>
      <c r="H274" t="n">
        <v>0</v>
      </c>
      <c r="I274" t="n">
        <v>0</v>
      </c>
      <c r="J274" t="n">
        <v>0</v>
      </c>
      <c r="K274" t="n">
        <v>0</v>
      </c>
      <c r="L274" t="n">
        <v>0</v>
      </c>
      <c r="M274" t="n">
        <v>0</v>
      </c>
      <c r="N274" t="n">
        <v>0</v>
      </c>
      <c r="O274" t="n">
        <v>0</v>
      </c>
      <c r="P274" t="n">
        <v>0</v>
      </c>
      <c r="Q274" t="n">
        <v>0</v>
      </c>
      <c r="R274" s="2" t="inlineStr"/>
    </row>
    <row r="275" ht="15" customHeight="1">
      <c r="A275" t="inlineStr">
        <is>
          <t>A 23305-2025</t>
        </is>
      </c>
      <c r="B275" s="1" t="n">
        <v>45791.60127314815</v>
      </c>
      <c r="C275" s="1" t="n">
        <v>45885</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17651-2025</t>
        </is>
      </c>
      <c r="B276" s="1" t="n">
        <v>45758.33304398148</v>
      </c>
      <c r="C276" s="1" t="n">
        <v>45885</v>
      </c>
      <c r="D276" t="inlineStr">
        <is>
          <t>UPPSALA LÄN</t>
        </is>
      </c>
      <c r="E276" t="inlineStr">
        <is>
          <t>ÖSTHAMMAR</t>
        </is>
      </c>
      <c r="F276" t="inlineStr">
        <is>
          <t>Bergvik skog väst AB</t>
        </is>
      </c>
      <c r="G276" t="n">
        <v>1.8</v>
      </c>
      <c r="H276" t="n">
        <v>0</v>
      </c>
      <c r="I276" t="n">
        <v>0</v>
      </c>
      <c r="J276" t="n">
        <v>0</v>
      </c>
      <c r="K276" t="n">
        <v>0</v>
      </c>
      <c r="L276" t="n">
        <v>0</v>
      </c>
      <c r="M276" t="n">
        <v>0</v>
      </c>
      <c r="N276" t="n">
        <v>0</v>
      </c>
      <c r="O276" t="n">
        <v>0</v>
      </c>
      <c r="P276" t="n">
        <v>0</v>
      </c>
      <c r="Q276" t="n">
        <v>0</v>
      </c>
      <c r="R276" s="2" t="inlineStr"/>
    </row>
    <row r="277" ht="15" customHeight="1">
      <c r="A277" t="inlineStr">
        <is>
          <t>A 19947-2024</t>
        </is>
      </c>
      <c r="B277" s="1" t="n">
        <v>45433</v>
      </c>
      <c r="C277" s="1" t="n">
        <v>45885</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6325-2025</t>
        </is>
      </c>
      <c r="B278" s="1" t="n">
        <v>45698.84960648148</v>
      </c>
      <c r="C278" s="1" t="n">
        <v>45885</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6327-2025</t>
        </is>
      </c>
      <c r="B279" s="1" t="n">
        <v>45698.85274305556</v>
      </c>
      <c r="C279" s="1" t="n">
        <v>45885</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11385-2024</t>
        </is>
      </c>
      <c r="B280" s="1" t="n">
        <v>45372</v>
      </c>
      <c r="C280" s="1" t="n">
        <v>45885</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24606-2024</t>
        </is>
      </c>
      <c r="B281" s="1" t="n">
        <v>45460</v>
      </c>
      <c r="C281" s="1" t="n">
        <v>45885</v>
      </c>
      <c r="D281" t="inlineStr">
        <is>
          <t>UPPSALA LÄN</t>
        </is>
      </c>
      <c r="E281" t="inlineStr">
        <is>
          <t>ÖSTHAMMAR</t>
        </is>
      </c>
      <c r="F281" t="inlineStr">
        <is>
          <t>Bergvik skog öst AB</t>
        </is>
      </c>
      <c r="G281" t="n">
        <v>2.9</v>
      </c>
      <c r="H281" t="n">
        <v>0</v>
      </c>
      <c r="I281" t="n">
        <v>0</v>
      </c>
      <c r="J281" t="n">
        <v>0</v>
      </c>
      <c r="K281" t="n">
        <v>0</v>
      </c>
      <c r="L281" t="n">
        <v>0</v>
      </c>
      <c r="M281" t="n">
        <v>0</v>
      </c>
      <c r="N281" t="n">
        <v>0</v>
      </c>
      <c r="O281" t="n">
        <v>0</v>
      </c>
      <c r="P281" t="n">
        <v>0</v>
      </c>
      <c r="Q281" t="n">
        <v>0</v>
      </c>
      <c r="R281" s="2" t="inlineStr"/>
    </row>
    <row r="282" ht="15" customHeight="1">
      <c r="A282" t="inlineStr">
        <is>
          <t>A 14433-2024</t>
        </is>
      </c>
      <c r="B282" s="1" t="n">
        <v>45394.46115740741</v>
      </c>
      <c r="C282" s="1" t="n">
        <v>45885</v>
      </c>
      <c r="D282" t="inlineStr">
        <is>
          <t>UPPSALA LÄN</t>
        </is>
      </c>
      <c r="E282" t="inlineStr">
        <is>
          <t>ÖSTHAMMAR</t>
        </is>
      </c>
      <c r="G282" t="n">
        <v>1.2</v>
      </c>
      <c r="H282" t="n">
        <v>0</v>
      </c>
      <c r="I282" t="n">
        <v>0</v>
      </c>
      <c r="J282" t="n">
        <v>0</v>
      </c>
      <c r="K282" t="n">
        <v>0</v>
      </c>
      <c r="L282" t="n">
        <v>0</v>
      </c>
      <c r="M282" t="n">
        <v>0</v>
      </c>
      <c r="N282" t="n">
        <v>0</v>
      </c>
      <c r="O282" t="n">
        <v>0</v>
      </c>
      <c r="P282" t="n">
        <v>0</v>
      </c>
      <c r="Q282" t="n">
        <v>0</v>
      </c>
      <c r="R282" s="2" t="inlineStr"/>
    </row>
    <row r="283" ht="15" customHeight="1">
      <c r="A283" t="inlineStr">
        <is>
          <t>A 10290-2025</t>
        </is>
      </c>
      <c r="B283" s="1" t="n">
        <v>45720.41847222222</v>
      </c>
      <c r="C283" s="1" t="n">
        <v>45885</v>
      </c>
      <c r="D283" t="inlineStr">
        <is>
          <t>UPPSALA LÄN</t>
        </is>
      </c>
      <c r="E283" t="inlineStr">
        <is>
          <t>ÖSTHAMMAR</t>
        </is>
      </c>
      <c r="G283" t="n">
        <v>8.6</v>
      </c>
      <c r="H283" t="n">
        <v>0</v>
      </c>
      <c r="I283" t="n">
        <v>0</v>
      </c>
      <c r="J283" t="n">
        <v>0</v>
      </c>
      <c r="K283" t="n">
        <v>0</v>
      </c>
      <c r="L283" t="n">
        <v>0</v>
      </c>
      <c r="M283" t="n">
        <v>0</v>
      </c>
      <c r="N283" t="n">
        <v>0</v>
      </c>
      <c r="O283" t="n">
        <v>0</v>
      </c>
      <c r="P283" t="n">
        <v>0</v>
      </c>
      <c r="Q283" t="n">
        <v>0</v>
      </c>
      <c r="R283" s="2" t="inlineStr"/>
    </row>
    <row r="284" ht="15" customHeight="1">
      <c r="A284" t="inlineStr">
        <is>
          <t>A 45102-2024</t>
        </is>
      </c>
      <c r="B284" s="1" t="n">
        <v>45575.58836805556</v>
      </c>
      <c r="C284" s="1" t="n">
        <v>45885</v>
      </c>
      <c r="D284" t="inlineStr">
        <is>
          <t>UPPSALA LÄN</t>
        </is>
      </c>
      <c r="E284" t="inlineStr">
        <is>
          <t>ÖSTHAMMAR</t>
        </is>
      </c>
      <c r="G284" t="n">
        <v>8.6</v>
      </c>
      <c r="H284" t="n">
        <v>0</v>
      </c>
      <c r="I284" t="n">
        <v>0</v>
      </c>
      <c r="J284" t="n">
        <v>0</v>
      </c>
      <c r="K284" t="n">
        <v>0</v>
      </c>
      <c r="L284" t="n">
        <v>0</v>
      </c>
      <c r="M284" t="n">
        <v>0</v>
      </c>
      <c r="N284" t="n">
        <v>0</v>
      </c>
      <c r="O284" t="n">
        <v>0</v>
      </c>
      <c r="P284" t="n">
        <v>0</v>
      </c>
      <c r="Q284" t="n">
        <v>0</v>
      </c>
      <c r="R284" s="2" t="inlineStr"/>
    </row>
    <row r="285" ht="15" customHeight="1">
      <c r="A285" t="inlineStr">
        <is>
          <t>A 23968-2025</t>
        </is>
      </c>
      <c r="B285" s="1" t="n">
        <v>45796</v>
      </c>
      <c r="C285" s="1" t="n">
        <v>45885</v>
      </c>
      <c r="D285" t="inlineStr">
        <is>
          <t>UPPSALA LÄN</t>
        </is>
      </c>
      <c r="E285" t="inlineStr">
        <is>
          <t>ÖSTHAMMAR</t>
        </is>
      </c>
      <c r="F285" t="inlineStr">
        <is>
          <t>Bergvik skog öst AB</t>
        </is>
      </c>
      <c r="G285" t="n">
        <v>7.5</v>
      </c>
      <c r="H285" t="n">
        <v>0</v>
      </c>
      <c r="I285" t="n">
        <v>0</v>
      </c>
      <c r="J285" t="n">
        <v>0</v>
      </c>
      <c r="K285" t="n">
        <v>0</v>
      </c>
      <c r="L285" t="n">
        <v>0</v>
      </c>
      <c r="M285" t="n">
        <v>0</v>
      </c>
      <c r="N285" t="n">
        <v>0</v>
      </c>
      <c r="O285" t="n">
        <v>0</v>
      </c>
      <c r="P285" t="n">
        <v>0</v>
      </c>
      <c r="Q285" t="n">
        <v>0</v>
      </c>
      <c r="R285" s="2" t="inlineStr"/>
    </row>
    <row r="286" ht="15" customHeight="1">
      <c r="A286" t="inlineStr">
        <is>
          <t>A 45307-2023</t>
        </is>
      </c>
      <c r="B286" s="1" t="n">
        <v>45191</v>
      </c>
      <c r="C286" s="1" t="n">
        <v>45885</v>
      </c>
      <c r="D286" t="inlineStr">
        <is>
          <t>UPPSALA LÄN</t>
        </is>
      </c>
      <c r="E286" t="inlineStr">
        <is>
          <t>ÖSTHAMMAR</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6661-2024</t>
        </is>
      </c>
      <c r="B287" s="1" t="n">
        <v>45341.70582175926</v>
      </c>
      <c r="C287" s="1" t="n">
        <v>45885</v>
      </c>
      <c r="D287" t="inlineStr">
        <is>
          <t>UPPSALA LÄN</t>
        </is>
      </c>
      <c r="E287" t="inlineStr">
        <is>
          <t>ÖSTHAMMAR</t>
        </is>
      </c>
      <c r="G287" t="n">
        <v>0.2</v>
      </c>
      <c r="H287" t="n">
        <v>0</v>
      </c>
      <c r="I287" t="n">
        <v>0</v>
      </c>
      <c r="J287" t="n">
        <v>0</v>
      </c>
      <c r="K287" t="n">
        <v>0</v>
      </c>
      <c r="L287" t="n">
        <v>0</v>
      </c>
      <c r="M287" t="n">
        <v>0</v>
      </c>
      <c r="N287" t="n">
        <v>0</v>
      </c>
      <c r="O287" t="n">
        <v>0</v>
      </c>
      <c r="P287" t="n">
        <v>0</v>
      </c>
      <c r="Q287" t="n">
        <v>0</v>
      </c>
      <c r="R287" s="2" t="inlineStr"/>
    </row>
    <row r="288" ht="15" customHeight="1">
      <c r="A288" t="inlineStr">
        <is>
          <t>A 4101-2022</t>
        </is>
      </c>
      <c r="B288" s="1" t="n">
        <v>44588</v>
      </c>
      <c r="C288" s="1" t="n">
        <v>45885</v>
      </c>
      <c r="D288" t="inlineStr">
        <is>
          <t>UPPSALA LÄN</t>
        </is>
      </c>
      <c r="E288" t="inlineStr">
        <is>
          <t>ÖSTHAMMAR</t>
        </is>
      </c>
      <c r="G288" t="n">
        <v>4.4</v>
      </c>
      <c r="H288" t="n">
        <v>0</v>
      </c>
      <c r="I288" t="n">
        <v>0</v>
      </c>
      <c r="J288" t="n">
        <v>0</v>
      </c>
      <c r="K288" t="n">
        <v>0</v>
      </c>
      <c r="L288" t="n">
        <v>0</v>
      </c>
      <c r="M288" t="n">
        <v>0</v>
      </c>
      <c r="N288" t="n">
        <v>0</v>
      </c>
      <c r="O288" t="n">
        <v>0</v>
      </c>
      <c r="P288" t="n">
        <v>0</v>
      </c>
      <c r="Q288" t="n">
        <v>0</v>
      </c>
      <c r="R288" s="2" t="inlineStr"/>
    </row>
    <row r="289" ht="15" customHeight="1">
      <c r="A289" t="inlineStr">
        <is>
          <t>A 24160-2024</t>
        </is>
      </c>
      <c r="B289" s="1" t="n">
        <v>45456</v>
      </c>
      <c r="C289" s="1" t="n">
        <v>45885</v>
      </c>
      <c r="D289" t="inlineStr">
        <is>
          <t>UPPSALA LÄN</t>
        </is>
      </c>
      <c r="E289" t="inlineStr">
        <is>
          <t>ÖSTHAMMAR</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1584-2025</t>
        </is>
      </c>
      <c r="B290" s="1" t="n">
        <v>45670</v>
      </c>
      <c r="C290" s="1" t="n">
        <v>45885</v>
      </c>
      <c r="D290" t="inlineStr">
        <is>
          <t>UPPSALA LÄN</t>
        </is>
      </c>
      <c r="E290" t="inlineStr">
        <is>
          <t>ÖSTHAMMAR</t>
        </is>
      </c>
      <c r="G290" t="n">
        <v>0.7</v>
      </c>
      <c r="H290" t="n">
        <v>0</v>
      </c>
      <c r="I290" t="n">
        <v>0</v>
      </c>
      <c r="J290" t="n">
        <v>0</v>
      </c>
      <c r="K290" t="n">
        <v>0</v>
      </c>
      <c r="L290" t="n">
        <v>0</v>
      </c>
      <c r="M290" t="n">
        <v>0</v>
      </c>
      <c r="N290" t="n">
        <v>0</v>
      </c>
      <c r="O290" t="n">
        <v>0</v>
      </c>
      <c r="P290" t="n">
        <v>0</v>
      </c>
      <c r="Q290" t="n">
        <v>0</v>
      </c>
      <c r="R290" s="2" t="inlineStr"/>
    </row>
    <row r="291" ht="15" customHeight="1">
      <c r="A291" t="inlineStr">
        <is>
          <t>A 24174-2025</t>
        </is>
      </c>
      <c r="B291" s="1" t="n">
        <v>45796.69207175926</v>
      </c>
      <c r="C291" s="1" t="n">
        <v>45885</v>
      </c>
      <c r="D291" t="inlineStr">
        <is>
          <t>UPPSALA LÄN</t>
        </is>
      </c>
      <c r="E291" t="inlineStr">
        <is>
          <t>ÖSTHAMMAR</t>
        </is>
      </c>
      <c r="G291" t="n">
        <v>4.9</v>
      </c>
      <c r="H291" t="n">
        <v>0</v>
      </c>
      <c r="I291" t="n">
        <v>0</v>
      </c>
      <c r="J291" t="n">
        <v>0</v>
      </c>
      <c r="K291" t="n">
        <v>0</v>
      </c>
      <c r="L291" t="n">
        <v>0</v>
      </c>
      <c r="M291" t="n">
        <v>0</v>
      </c>
      <c r="N291" t="n">
        <v>0</v>
      </c>
      <c r="O291" t="n">
        <v>0</v>
      </c>
      <c r="P291" t="n">
        <v>0</v>
      </c>
      <c r="Q291" t="n">
        <v>0</v>
      </c>
      <c r="R291" s="2" t="inlineStr"/>
    </row>
    <row r="292" ht="15" customHeight="1">
      <c r="A292" t="inlineStr">
        <is>
          <t>A 52478-2024</t>
        </is>
      </c>
      <c r="B292" s="1" t="n">
        <v>45609.55065972222</v>
      </c>
      <c r="C292" s="1" t="n">
        <v>45885</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30972-2024</t>
        </is>
      </c>
      <c r="B293" s="1" t="n">
        <v>45499.47106481482</v>
      </c>
      <c r="C293" s="1" t="n">
        <v>45885</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5933-2022</t>
        </is>
      </c>
      <c r="B294" s="1" t="n">
        <v>44598.82957175926</v>
      </c>
      <c r="C294" s="1" t="n">
        <v>45885</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24389-2025</t>
        </is>
      </c>
      <c r="B295" s="1" t="n">
        <v>45797.63553240741</v>
      </c>
      <c r="C295" s="1" t="n">
        <v>45885</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24401-2025</t>
        </is>
      </c>
      <c r="B296" s="1" t="n">
        <v>45797.64908564815</v>
      </c>
      <c r="C296" s="1" t="n">
        <v>45885</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29873-2023</t>
        </is>
      </c>
      <c r="B297" s="1" t="n">
        <v>45107</v>
      </c>
      <c r="C297" s="1" t="n">
        <v>45885</v>
      </c>
      <c r="D297" t="inlineStr">
        <is>
          <t>UPPSALA LÄN</t>
        </is>
      </c>
      <c r="E297" t="inlineStr">
        <is>
          <t>ÖSTHAMMAR</t>
        </is>
      </c>
      <c r="F297" t="inlineStr">
        <is>
          <t>Naturvårdsverket</t>
        </is>
      </c>
      <c r="G297" t="n">
        <v>7.8</v>
      </c>
      <c r="H297" t="n">
        <v>0</v>
      </c>
      <c r="I297" t="n">
        <v>0</v>
      </c>
      <c r="J297" t="n">
        <v>0</v>
      </c>
      <c r="K297" t="n">
        <v>0</v>
      </c>
      <c r="L297" t="n">
        <v>0</v>
      </c>
      <c r="M297" t="n">
        <v>0</v>
      </c>
      <c r="N297" t="n">
        <v>0</v>
      </c>
      <c r="O297" t="n">
        <v>0</v>
      </c>
      <c r="P297" t="n">
        <v>0</v>
      </c>
      <c r="Q297" t="n">
        <v>0</v>
      </c>
      <c r="R297" s="2" t="inlineStr"/>
    </row>
    <row r="298" ht="15" customHeight="1">
      <c r="A298" t="inlineStr">
        <is>
          <t>A 24408-2025</t>
        </is>
      </c>
      <c r="B298" s="1" t="n">
        <v>45797.65774305556</v>
      </c>
      <c r="C298" s="1" t="n">
        <v>45885</v>
      </c>
      <c r="D298" t="inlineStr">
        <is>
          <t>UPPSALA LÄN</t>
        </is>
      </c>
      <c r="E298" t="inlineStr">
        <is>
          <t>ÖSTHAMMAR</t>
        </is>
      </c>
      <c r="G298" t="n">
        <v>1.6</v>
      </c>
      <c r="H298" t="n">
        <v>0</v>
      </c>
      <c r="I298" t="n">
        <v>0</v>
      </c>
      <c r="J298" t="n">
        <v>0</v>
      </c>
      <c r="K298" t="n">
        <v>0</v>
      </c>
      <c r="L298" t="n">
        <v>0</v>
      </c>
      <c r="M298" t="n">
        <v>0</v>
      </c>
      <c r="N298" t="n">
        <v>0</v>
      </c>
      <c r="O298" t="n">
        <v>0</v>
      </c>
      <c r="P298" t="n">
        <v>0</v>
      </c>
      <c r="Q298" t="n">
        <v>0</v>
      </c>
      <c r="R298" s="2" t="inlineStr"/>
    </row>
    <row r="299" ht="15" customHeight="1">
      <c r="A299" t="inlineStr">
        <is>
          <t>A 13279-2022</t>
        </is>
      </c>
      <c r="B299" s="1" t="n">
        <v>44644</v>
      </c>
      <c r="C299" s="1" t="n">
        <v>45885</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24415-2025</t>
        </is>
      </c>
      <c r="B300" s="1" t="n">
        <v>45797.67381944445</v>
      </c>
      <c r="C300" s="1" t="n">
        <v>45885</v>
      </c>
      <c r="D300" t="inlineStr">
        <is>
          <t>UPPSALA LÄN</t>
        </is>
      </c>
      <c r="E300" t="inlineStr">
        <is>
          <t>ÖSTHAMMAR</t>
        </is>
      </c>
      <c r="G300" t="n">
        <v>0.8</v>
      </c>
      <c r="H300" t="n">
        <v>0</v>
      </c>
      <c r="I300" t="n">
        <v>0</v>
      </c>
      <c r="J300" t="n">
        <v>0</v>
      </c>
      <c r="K300" t="n">
        <v>0</v>
      </c>
      <c r="L300" t="n">
        <v>0</v>
      </c>
      <c r="M300" t="n">
        <v>0</v>
      </c>
      <c r="N300" t="n">
        <v>0</v>
      </c>
      <c r="O300" t="n">
        <v>0</v>
      </c>
      <c r="P300" t="n">
        <v>0</v>
      </c>
      <c r="Q300" t="n">
        <v>0</v>
      </c>
      <c r="R300" s="2" t="inlineStr"/>
    </row>
    <row r="301" ht="15" customHeight="1">
      <c r="A301" t="inlineStr">
        <is>
          <t>A 6892-2022</t>
        </is>
      </c>
      <c r="B301" s="1" t="n">
        <v>44602</v>
      </c>
      <c r="C301" s="1" t="n">
        <v>45885</v>
      </c>
      <c r="D301" t="inlineStr">
        <is>
          <t>UPPSALA LÄN</t>
        </is>
      </c>
      <c r="E301" t="inlineStr">
        <is>
          <t>ÖSTHAMMAR</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24412-2025</t>
        </is>
      </c>
      <c r="B302" s="1" t="n">
        <v>45797.6671412037</v>
      </c>
      <c r="C302" s="1" t="n">
        <v>45885</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55389-2020</t>
        </is>
      </c>
      <c r="B303" s="1" t="n">
        <v>44131.38030092593</v>
      </c>
      <c r="C303" s="1" t="n">
        <v>45885</v>
      </c>
      <c r="D303" t="inlineStr">
        <is>
          <t>UPPSALA LÄN</t>
        </is>
      </c>
      <c r="E303" t="inlineStr">
        <is>
          <t>ÖSTHAMMAR</t>
        </is>
      </c>
      <c r="G303" t="n">
        <v>1.3</v>
      </c>
      <c r="H303" t="n">
        <v>0</v>
      </c>
      <c r="I303" t="n">
        <v>0</v>
      </c>
      <c r="J303" t="n">
        <v>0</v>
      </c>
      <c r="K303" t="n">
        <v>0</v>
      </c>
      <c r="L303" t="n">
        <v>0</v>
      </c>
      <c r="M303" t="n">
        <v>0</v>
      </c>
      <c r="N303" t="n">
        <v>0</v>
      </c>
      <c r="O303" t="n">
        <v>0</v>
      </c>
      <c r="P303" t="n">
        <v>0</v>
      </c>
      <c r="Q303" t="n">
        <v>0</v>
      </c>
      <c r="R303" s="2" t="inlineStr"/>
    </row>
    <row r="304" ht="15" customHeight="1">
      <c r="A304" t="inlineStr">
        <is>
          <t>A 13044-2022</t>
        </is>
      </c>
      <c r="B304" s="1" t="n">
        <v>44643</v>
      </c>
      <c r="C304" s="1" t="n">
        <v>45885</v>
      </c>
      <c r="D304" t="inlineStr">
        <is>
          <t>UPPSALA LÄN</t>
        </is>
      </c>
      <c r="E304" t="inlineStr">
        <is>
          <t>ÖSTHAMMAR</t>
        </is>
      </c>
      <c r="G304" t="n">
        <v>2.5</v>
      </c>
      <c r="H304" t="n">
        <v>0</v>
      </c>
      <c r="I304" t="n">
        <v>0</v>
      </c>
      <c r="J304" t="n">
        <v>0</v>
      </c>
      <c r="K304" t="n">
        <v>0</v>
      </c>
      <c r="L304" t="n">
        <v>0</v>
      </c>
      <c r="M304" t="n">
        <v>0</v>
      </c>
      <c r="N304" t="n">
        <v>0</v>
      </c>
      <c r="O304" t="n">
        <v>0</v>
      </c>
      <c r="P304" t="n">
        <v>0</v>
      </c>
      <c r="Q304" t="n">
        <v>0</v>
      </c>
      <c r="R304" s="2" t="inlineStr"/>
    </row>
    <row r="305" ht="15" customHeight="1">
      <c r="A305" t="inlineStr">
        <is>
          <t>A 25049-2025</t>
        </is>
      </c>
      <c r="B305" s="1" t="n">
        <v>45799.66876157407</v>
      </c>
      <c r="C305" s="1" t="n">
        <v>45885</v>
      </c>
      <c r="D305" t="inlineStr">
        <is>
          <t>UPPSALA LÄN</t>
        </is>
      </c>
      <c r="E305" t="inlineStr">
        <is>
          <t>ÖSTHAMMAR</t>
        </is>
      </c>
      <c r="F305" t="inlineStr">
        <is>
          <t>Bergvik skog öst AB</t>
        </is>
      </c>
      <c r="G305" t="n">
        <v>3.8</v>
      </c>
      <c r="H305" t="n">
        <v>0</v>
      </c>
      <c r="I305" t="n">
        <v>0</v>
      </c>
      <c r="J305" t="n">
        <v>0</v>
      </c>
      <c r="K305" t="n">
        <v>0</v>
      </c>
      <c r="L305" t="n">
        <v>0</v>
      </c>
      <c r="M305" t="n">
        <v>0</v>
      </c>
      <c r="N305" t="n">
        <v>0</v>
      </c>
      <c r="O305" t="n">
        <v>0</v>
      </c>
      <c r="P305" t="n">
        <v>0</v>
      </c>
      <c r="Q305" t="n">
        <v>0</v>
      </c>
      <c r="R305" s="2" t="inlineStr"/>
    </row>
    <row r="306" ht="15" customHeight="1">
      <c r="A306" t="inlineStr">
        <is>
          <t>A 8763-2025</t>
        </is>
      </c>
      <c r="B306" s="1" t="n">
        <v>45712.57872685185</v>
      </c>
      <c r="C306" s="1" t="n">
        <v>45885</v>
      </c>
      <c r="D306" t="inlineStr">
        <is>
          <t>UPPSALA LÄN</t>
        </is>
      </c>
      <c r="E306" t="inlineStr">
        <is>
          <t>ÖSTHAMMAR</t>
        </is>
      </c>
      <c r="G306" t="n">
        <v>0.6</v>
      </c>
      <c r="H306" t="n">
        <v>0</v>
      </c>
      <c r="I306" t="n">
        <v>0</v>
      </c>
      <c r="J306" t="n">
        <v>0</v>
      </c>
      <c r="K306" t="n">
        <v>0</v>
      </c>
      <c r="L306" t="n">
        <v>0</v>
      </c>
      <c r="M306" t="n">
        <v>0</v>
      </c>
      <c r="N306" t="n">
        <v>0</v>
      </c>
      <c r="O306" t="n">
        <v>0</v>
      </c>
      <c r="P306" t="n">
        <v>0</v>
      </c>
      <c r="Q306" t="n">
        <v>0</v>
      </c>
      <c r="R306" s="2" t="inlineStr"/>
    </row>
    <row r="307" ht="15" customHeight="1">
      <c r="A307" t="inlineStr">
        <is>
          <t>A 24944-2025</t>
        </is>
      </c>
      <c r="B307" s="1" t="n">
        <v>45799.56347222222</v>
      </c>
      <c r="C307" s="1" t="n">
        <v>45885</v>
      </c>
      <c r="D307" t="inlineStr">
        <is>
          <t>UPPSALA LÄN</t>
        </is>
      </c>
      <c r="E307" t="inlineStr">
        <is>
          <t>ÖSTHAMMAR</t>
        </is>
      </c>
      <c r="G307" t="n">
        <v>7.3</v>
      </c>
      <c r="H307" t="n">
        <v>0</v>
      </c>
      <c r="I307" t="n">
        <v>0</v>
      </c>
      <c r="J307" t="n">
        <v>0</v>
      </c>
      <c r="K307" t="n">
        <v>0</v>
      </c>
      <c r="L307" t="n">
        <v>0</v>
      </c>
      <c r="M307" t="n">
        <v>0</v>
      </c>
      <c r="N307" t="n">
        <v>0</v>
      </c>
      <c r="O307" t="n">
        <v>0</v>
      </c>
      <c r="P307" t="n">
        <v>0</v>
      </c>
      <c r="Q307" t="n">
        <v>0</v>
      </c>
      <c r="R307" s="2" t="inlineStr"/>
    </row>
    <row r="308" ht="15" customHeight="1">
      <c r="A308" t="inlineStr">
        <is>
          <t>A 16089-2025</t>
        </is>
      </c>
      <c r="B308" s="1" t="n">
        <v>45749.84232638889</v>
      </c>
      <c r="C308" s="1" t="n">
        <v>45885</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8623-2025</t>
        </is>
      </c>
      <c r="B309" s="1" t="n">
        <v>45711.51902777778</v>
      </c>
      <c r="C309" s="1" t="n">
        <v>45885</v>
      </c>
      <c r="D309" t="inlineStr">
        <is>
          <t>UPPSALA LÄN</t>
        </is>
      </c>
      <c r="E309" t="inlineStr">
        <is>
          <t>ÖSTHAMMAR</t>
        </is>
      </c>
      <c r="F309" t="inlineStr">
        <is>
          <t>Bergvik skog väst AB</t>
        </is>
      </c>
      <c r="G309" t="n">
        <v>3.5</v>
      </c>
      <c r="H309" t="n">
        <v>0</v>
      </c>
      <c r="I309" t="n">
        <v>0</v>
      </c>
      <c r="J309" t="n">
        <v>0</v>
      </c>
      <c r="K309" t="n">
        <v>0</v>
      </c>
      <c r="L309" t="n">
        <v>0</v>
      </c>
      <c r="M309" t="n">
        <v>0</v>
      </c>
      <c r="N309" t="n">
        <v>0</v>
      </c>
      <c r="O309" t="n">
        <v>0</v>
      </c>
      <c r="P309" t="n">
        <v>0</v>
      </c>
      <c r="Q309" t="n">
        <v>0</v>
      </c>
      <c r="R309" s="2" t="inlineStr"/>
    </row>
    <row r="310" ht="15" customHeight="1">
      <c r="A310" t="inlineStr">
        <is>
          <t>A 8626-2025</t>
        </is>
      </c>
      <c r="B310" s="1" t="n">
        <v>45711.53565972222</v>
      </c>
      <c r="C310" s="1" t="n">
        <v>45885</v>
      </c>
      <c r="D310" t="inlineStr">
        <is>
          <t>UPPSALA LÄN</t>
        </is>
      </c>
      <c r="E310" t="inlineStr">
        <is>
          <t>ÖSTHAMMAR</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34185-2024</t>
        </is>
      </c>
      <c r="B311" s="1" t="n">
        <v>45524</v>
      </c>
      <c r="C311" s="1" t="n">
        <v>45885</v>
      </c>
      <c r="D311" t="inlineStr">
        <is>
          <t>UPPSALA LÄN</t>
        </is>
      </c>
      <c r="E311" t="inlineStr">
        <is>
          <t>ÖSTHAMMAR</t>
        </is>
      </c>
      <c r="G311" t="n">
        <v>2.5</v>
      </c>
      <c r="H311" t="n">
        <v>0</v>
      </c>
      <c r="I311" t="n">
        <v>0</v>
      </c>
      <c r="J311" t="n">
        <v>0</v>
      </c>
      <c r="K311" t="n">
        <v>0</v>
      </c>
      <c r="L311" t="n">
        <v>0</v>
      </c>
      <c r="M311" t="n">
        <v>0</v>
      </c>
      <c r="N311" t="n">
        <v>0</v>
      </c>
      <c r="O311" t="n">
        <v>0</v>
      </c>
      <c r="P311" t="n">
        <v>0</v>
      </c>
      <c r="Q311" t="n">
        <v>0</v>
      </c>
      <c r="R311" s="2" t="inlineStr"/>
    </row>
    <row r="312" ht="15" customHeight="1">
      <c r="A312" t="inlineStr">
        <is>
          <t>A 14170-2025</t>
        </is>
      </c>
      <c r="B312" s="1" t="n">
        <v>45740.51895833333</v>
      </c>
      <c r="C312" s="1" t="n">
        <v>45885</v>
      </c>
      <c r="D312" t="inlineStr">
        <is>
          <t>UPPSALA LÄN</t>
        </is>
      </c>
      <c r="E312" t="inlineStr">
        <is>
          <t>ÖSTHAMMAR</t>
        </is>
      </c>
      <c r="G312" t="n">
        <v>1.2</v>
      </c>
      <c r="H312" t="n">
        <v>0</v>
      </c>
      <c r="I312" t="n">
        <v>0</v>
      </c>
      <c r="J312" t="n">
        <v>0</v>
      </c>
      <c r="K312" t="n">
        <v>0</v>
      </c>
      <c r="L312" t="n">
        <v>0</v>
      </c>
      <c r="M312" t="n">
        <v>0</v>
      </c>
      <c r="N312" t="n">
        <v>0</v>
      </c>
      <c r="O312" t="n">
        <v>0</v>
      </c>
      <c r="P312" t="n">
        <v>0</v>
      </c>
      <c r="Q312" t="n">
        <v>0</v>
      </c>
      <c r="R312" s="2" t="inlineStr"/>
    </row>
    <row r="313" ht="15" customHeight="1">
      <c r="A313" t="inlineStr">
        <is>
          <t>A 33973-2025</t>
        </is>
      </c>
      <c r="B313" s="1" t="n">
        <v>45842.98429398148</v>
      </c>
      <c r="C313" s="1" t="n">
        <v>45885</v>
      </c>
      <c r="D313" t="inlineStr">
        <is>
          <t>UPPSALA LÄN</t>
        </is>
      </c>
      <c r="E313" t="inlineStr">
        <is>
          <t>ÖSTHAMMAR</t>
        </is>
      </c>
      <c r="G313" t="n">
        <v>1.9</v>
      </c>
      <c r="H313" t="n">
        <v>0</v>
      </c>
      <c r="I313" t="n">
        <v>0</v>
      </c>
      <c r="J313" t="n">
        <v>0</v>
      </c>
      <c r="K313" t="n">
        <v>0</v>
      </c>
      <c r="L313" t="n">
        <v>0</v>
      </c>
      <c r="M313" t="n">
        <v>0</v>
      </c>
      <c r="N313" t="n">
        <v>0</v>
      </c>
      <c r="O313" t="n">
        <v>0</v>
      </c>
      <c r="P313" t="n">
        <v>0</v>
      </c>
      <c r="Q313" t="n">
        <v>0</v>
      </c>
      <c r="R313" s="2" t="inlineStr"/>
    </row>
    <row r="314" ht="15" customHeight="1">
      <c r="A314" t="inlineStr">
        <is>
          <t>A 52694-2023</t>
        </is>
      </c>
      <c r="B314" s="1" t="n">
        <v>45225.76836805556</v>
      </c>
      <c r="C314" s="1" t="n">
        <v>45885</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12945-2025</t>
        </is>
      </c>
      <c r="B315" s="1" t="n">
        <v>45734.38159722222</v>
      </c>
      <c r="C315" s="1" t="n">
        <v>45885</v>
      </c>
      <c r="D315" t="inlineStr">
        <is>
          <t>UPPSALA LÄN</t>
        </is>
      </c>
      <c r="E315" t="inlineStr">
        <is>
          <t>ÖSTHAMMAR</t>
        </is>
      </c>
      <c r="G315" t="n">
        <v>2.1</v>
      </c>
      <c r="H315" t="n">
        <v>0</v>
      </c>
      <c r="I315" t="n">
        <v>0</v>
      </c>
      <c r="J315" t="n">
        <v>0</v>
      </c>
      <c r="K315" t="n">
        <v>0</v>
      </c>
      <c r="L315" t="n">
        <v>0</v>
      </c>
      <c r="M315" t="n">
        <v>0</v>
      </c>
      <c r="N315" t="n">
        <v>0</v>
      </c>
      <c r="O315" t="n">
        <v>0</v>
      </c>
      <c r="P315" t="n">
        <v>0</v>
      </c>
      <c r="Q315" t="n">
        <v>0</v>
      </c>
      <c r="R315" s="2" t="inlineStr"/>
    </row>
    <row r="316" ht="15" customHeight="1">
      <c r="A316" t="inlineStr">
        <is>
          <t>A 50924-2024</t>
        </is>
      </c>
      <c r="B316" s="1" t="n">
        <v>45602.80521990741</v>
      </c>
      <c r="C316" s="1" t="n">
        <v>45885</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58297-2024</t>
        </is>
      </c>
      <c r="B317" s="1" t="n">
        <v>45632.59780092593</v>
      </c>
      <c r="C317" s="1" t="n">
        <v>45885</v>
      </c>
      <c r="D317" t="inlineStr">
        <is>
          <t>UPPSALA LÄN</t>
        </is>
      </c>
      <c r="E317" t="inlineStr">
        <is>
          <t>ÖSTHAMMAR</t>
        </is>
      </c>
      <c r="G317" t="n">
        <v>5.1</v>
      </c>
      <c r="H317" t="n">
        <v>0</v>
      </c>
      <c r="I317" t="n">
        <v>0</v>
      </c>
      <c r="J317" t="n">
        <v>0</v>
      </c>
      <c r="K317" t="n">
        <v>0</v>
      </c>
      <c r="L317" t="n">
        <v>0</v>
      </c>
      <c r="M317" t="n">
        <v>0</v>
      </c>
      <c r="N317" t="n">
        <v>0</v>
      </c>
      <c r="O317" t="n">
        <v>0</v>
      </c>
      <c r="P317" t="n">
        <v>0</v>
      </c>
      <c r="Q317" t="n">
        <v>0</v>
      </c>
      <c r="R317" s="2" t="inlineStr"/>
    </row>
    <row r="318" ht="15" customHeight="1">
      <c r="A318" t="inlineStr">
        <is>
          <t>A 33972-2025</t>
        </is>
      </c>
      <c r="B318" s="1" t="n">
        <v>45842.97236111111</v>
      </c>
      <c r="C318" s="1" t="n">
        <v>45885</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5303-2025</t>
        </is>
      </c>
      <c r="B319" s="1" t="n">
        <v>45692</v>
      </c>
      <c r="C319" s="1" t="n">
        <v>45885</v>
      </c>
      <c r="D319" t="inlineStr">
        <is>
          <t>UPPSALA LÄN</t>
        </is>
      </c>
      <c r="E319" t="inlineStr">
        <is>
          <t>ÖSTHAMMAR</t>
        </is>
      </c>
      <c r="G319" t="n">
        <v>5</v>
      </c>
      <c r="H319" t="n">
        <v>0</v>
      </c>
      <c r="I319" t="n">
        <v>0</v>
      </c>
      <c r="J319" t="n">
        <v>0</v>
      </c>
      <c r="K319" t="n">
        <v>0</v>
      </c>
      <c r="L319" t="n">
        <v>0</v>
      </c>
      <c r="M319" t="n">
        <v>0</v>
      </c>
      <c r="N319" t="n">
        <v>0</v>
      </c>
      <c r="O319" t="n">
        <v>0</v>
      </c>
      <c r="P319" t="n">
        <v>0</v>
      </c>
      <c r="Q319" t="n">
        <v>0</v>
      </c>
      <c r="R319" s="2" t="inlineStr"/>
    </row>
    <row r="320" ht="15" customHeight="1">
      <c r="A320" t="inlineStr">
        <is>
          <t>A 26328-2025</t>
        </is>
      </c>
      <c r="B320" s="1" t="n">
        <v>45805.67305555556</v>
      </c>
      <c r="C320" s="1" t="n">
        <v>45885</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24493-2023</t>
        </is>
      </c>
      <c r="B321" s="1" t="n">
        <v>45082.62603009259</v>
      </c>
      <c r="C321" s="1" t="n">
        <v>45885</v>
      </c>
      <c r="D321" t="inlineStr">
        <is>
          <t>UPPSALA LÄN</t>
        </is>
      </c>
      <c r="E321" t="inlineStr">
        <is>
          <t>ÖSTHAMMAR</t>
        </is>
      </c>
      <c r="G321" t="n">
        <v>1.9</v>
      </c>
      <c r="H321" t="n">
        <v>0</v>
      </c>
      <c r="I321" t="n">
        <v>0</v>
      </c>
      <c r="J321" t="n">
        <v>0</v>
      </c>
      <c r="K321" t="n">
        <v>0</v>
      </c>
      <c r="L321" t="n">
        <v>0</v>
      </c>
      <c r="M321" t="n">
        <v>0</v>
      </c>
      <c r="N321" t="n">
        <v>0</v>
      </c>
      <c r="O321" t="n">
        <v>0</v>
      </c>
      <c r="P321" t="n">
        <v>0</v>
      </c>
      <c r="Q321" t="n">
        <v>0</v>
      </c>
      <c r="R321" s="2" t="inlineStr"/>
    </row>
    <row r="322" ht="15" customHeight="1">
      <c r="A322" t="inlineStr">
        <is>
          <t>A 26055-2025</t>
        </is>
      </c>
      <c r="B322" s="1" t="n">
        <v>45804.77559027778</v>
      </c>
      <c r="C322" s="1" t="n">
        <v>45885</v>
      </c>
      <c r="D322" t="inlineStr">
        <is>
          <t>UPPSALA LÄN</t>
        </is>
      </c>
      <c r="E322" t="inlineStr">
        <is>
          <t>ÖSTHAMMAR</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25252-2024</t>
        </is>
      </c>
      <c r="B323" s="1" t="n">
        <v>45462</v>
      </c>
      <c r="C323" s="1" t="n">
        <v>45885</v>
      </c>
      <c r="D323" t="inlineStr">
        <is>
          <t>UPPSALA LÄN</t>
        </is>
      </c>
      <c r="E323" t="inlineStr">
        <is>
          <t>ÖSTHAMMAR</t>
        </is>
      </c>
      <c r="G323" t="n">
        <v>4.3</v>
      </c>
      <c r="H323" t="n">
        <v>0</v>
      </c>
      <c r="I323" t="n">
        <v>0</v>
      </c>
      <c r="J323" t="n">
        <v>0</v>
      </c>
      <c r="K323" t="n">
        <v>0</v>
      </c>
      <c r="L323" t="n">
        <v>0</v>
      </c>
      <c r="M323" t="n">
        <v>0</v>
      </c>
      <c r="N323" t="n">
        <v>0</v>
      </c>
      <c r="O323" t="n">
        <v>0</v>
      </c>
      <c r="P323" t="n">
        <v>0</v>
      </c>
      <c r="Q323" t="n">
        <v>0</v>
      </c>
      <c r="R323" s="2" t="inlineStr"/>
    </row>
    <row r="324" ht="15" customHeight="1">
      <c r="A324" t="inlineStr">
        <is>
          <t>A 34742-2022</t>
        </is>
      </c>
      <c r="B324" s="1" t="n">
        <v>44795.61990740741</v>
      </c>
      <c r="C324" s="1" t="n">
        <v>45885</v>
      </c>
      <c r="D324" t="inlineStr">
        <is>
          <t>UPPSALA LÄN</t>
        </is>
      </c>
      <c r="E324" t="inlineStr">
        <is>
          <t>ÖSTHAMMAR</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13622-2025</t>
        </is>
      </c>
      <c r="B325" s="1" t="n">
        <v>45736</v>
      </c>
      <c r="C325" s="1" t="n">
        <v>45885</v>
      </c>
      <c r="D325" t="inlineStr">
        <is>
          <t>UPPSALA LÄN</t>
        </is>
      </c>
      <c r="E325" t="inlineStr">
        <is>
          <t>ÖSTHAMMAR</t>
        </is>
      </c>
      <c r="G325" t="n">
        <v>2.6</v>
      </c>
      <c r="H325" t="n">
        <v>0</v>
      </c>
      <c r="I325" t="n">
        <v>0</v>
      </c>
      <c r="J325" t="n">
        <v>0</v>
      </c>
      <c r="K325" t="n">
        <v>0</v>
      </c>
      <c r="L325" t="n">
        <v>0</v>
      </c>
      <c r="M325" t="n">
        <v>0</v>
      </c>
      <c r="N325" t="n">
        <v>0</v>
      </c>
      <c r="O325" t="n">
        <v>0</v>
      </c>
      <c r="P325" t="n">
        <v>0</v>
      </c>
      <c r="Q325" t="n">
        <v>0</v>
      </c>
      <c r="R325" s="2" t="inlineStr"/>
    </row>
    <row r="326" ht="15" customHeight="1">
      <c r="A326" t="inlineStr">
        <is>
          <t>A 56382-2022</t>
        </is>
      </c>
      <c r="B326" s="1" t="n">
        <v>44890.75795138889</v>
      </c>
      <c r="C326" s="1" t="n">
        <v>45885</v>
      </c>
      <c r="D326" t="inlineStr">
        <is>
          <t>UPPSALA LÄN</t>
        </is>
      </c>
      <c r="E326" t="inlineStr">
        <is>
          <t>ÖSTHAMMAR</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26330-2025</t>
        </is>
      </c>
      <c r="B327" s="1" t="n">
        <v>45805.68263888889</v>
      </c>
      <c r="C327" s="1" t="n">
        <v>45885</v>
      </c>
      <c r="D327" t="inlineStr">
        <is>
          <t>UPPSALA LÄN</t>
        </is>
      </c>
      <c r="E327" t="inlineStr">
        <is>
          <t>ÖSTHAMMAR</t>
        </is>
      </c>
      <c r="G327" t="n">
        <v>0.5</v>
      </c>
      <c r="H327" t="n">
        <v>0</v>
      </c>
      <c r="I327" t="n">
        <v>0</v>
      </c>
      <c r="J327" t="n">
        <v>0</v>
      </c>
      <c r="K327" t="n">
        <v>0</v>
      </c>
      <c r="L327" t="n">
        <v>0</v>
      </c>
      <c r="M327" t="n">
        <v>0</v>
      </c>
      <c r="N327" t="n">
        <v>0</v>
      </c>
      <c r="O327" t="n">
        <v>0</v>
      </c>
      <c r="P327" t="n">
        <v>0</v>
      </c>
      <c r="Q327" t="n">
        <v>0</v>
      </c>
      <c r="R327" s="2" t="inlineStr"/>
    </row>
    <row r="328" ht="15" customHeight="1">
      <c r="A328" t="inlineStr">
        <is>
          <t>A 26319-2025</t>
        </is>
      </c>
      <c r="B328" s="1" t="n">
        <v>45805.65960648148</v>
      </c>
      <c r="C328" s="1" t="n">
        <v>45885</v>
      </c>
      <c r="D328" t="inlineStr">
        <is>
          <t>UPPSALA LÄN</t>
        </is>
      </c>
      <c r="E328" t="inlineStr">
        <is>
          <t>ÖSTHAMMAR</t>
        </is>
      </c>
      <c r="G328" t="n">
        <v>1</v>
      </c>
      <c r="H328" t="n">
        <v>0</v>
      </c>
      <c r="I328" t="n">
        <v>0</v>
      </c>
      <c r="J328" t="n">
        <v>0</v>
      </c>
      <c r="K328" t="n">
        <v>0</v>
      </c>
      <c r="L328" t="n">
        <v>0</v>
      </c>
      <c r="M328" t="n">
        <v>0</v>
      </c>
      <c r="N328" t="n">
        <v>0</v>
      </c>
      <c r="O328" t="n">
        <v>0</v>
      </c>
      <c r="P328" t="n">
        <v>0</v>
      </c>
      <c r="Q328" t="n">
        <v>0</v>
      </c>
      <c r="R328" s="2" t="inlineStr"/>
    </row>
    <row r="329" ht="15" customHeight="1">
      <c r="A329" t="inlineStr">
        <is>
          <t>A 5877-2023</t>
        </is>
      </c>
      <c r="B329" s="1" t="n">
        <v>44963.62001157407</v>
      </c>
      <c r="C329" s="1" t="n">
        <v>45885</v>
      </c>
      <c r="D329" t="inlineStr">
        <is>
          <t>UPPSALA LÄN</t>
        </is>
      </c>
      <c r="E329" t="inlineStr">
        <is>
          <t>ÖSTHAMMAR</t>
        </is>
      </c>
      <c r="G329" t="n">
        <v>0.7</v>
      </c>
      <c r="H329" t="n">
        <v>0</v>
      </c>
      <c r="I329" t="n">
        <v>0</v>
      </c>
      <c r="J329" t="n">
        <v>0</v>
      </c>
      <c r="K329" t="n">
        <v>0</v>
      </c>
      <c r="L329" t="n">
        <v>0</v>
      </c>
      <c r="M329" t="n">
        <v>0</v>
      </c>
      <c r="N329" t="n">
        <v>0</v>
      </c>
      <c r="O329" t="n">
        <v>0</v>
      </c>
      <c r="P329" t="n">
        <v>0</v>
      </c>
      <c r="Q329" t="n">
        <v>0</v>
      </c>
      <c r="R329" s="2" t="inlineStr"/>
    </row>
    <row r="330" ht="15" customHeight="1">
      <c r="A330" t="inlineStr">
        <is>
          <t>A 25938-2024</t>
        </is>
      </c>
      <c r="B330" s="1" t="n">
        <v>45467.63127314814</v>
      </c>
      <c r="C330" s="1" t="n">
        <v>45885</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46399-2023</t>
        </is>
      </c>
      <c r="B331" s="1" t="n">
        <v>45197.49262731482</v>
      </c>
      <c r="C331" s="1" t="n">
        <v>45885</v>
      </c>
      <c r="D331" t="inlineStr">
        <is>
          <t>UPPSALA LÄN</t>
        </is>
      </c>
      <c r="E331" t="inlineStr">
        <is>
          <t>ÖSTHAMMAR</t>
        </is>
      </c>
      <c r="G331" t="n">
        <v>5.8</v>
      </c>
      <c r="H331" t="n">
        <v>0</v>
      </c>
      <c r="I331" t="n">
        <v>0</v>
      </c>
      <c r="J331" t="n">
        <v>0</v>
      </c>
      <c r="K331" t="n">
        <v>0</v>
      </c>
      <c r="L331" t="n">
        <v>0</v>
      </c>
      <c r="M331" t="n">
        <v>0</v>
      </c>
      <c r="N331" t="n">
        <v>0</v>
      </c>
      <c r="O331" t="n">
        <v>0</v>
      </c>
      <c r="P331" t="n">
        <v>0</v>
      </c>
      <c r="Q331" t="n">
        <v>0</v>
      </c>
      <c r="R331" s="2" t="inlineStr"/>
    </row>
    <row r="332" ht="15" customHeight="1">
      <c r="A332" t="inlineStr">
        <is>
          <t>A 13358-2024</t>
        </is>
      </c>
      <c r="B332" s="1" t="n">
        <v>45387.3503125</v>
      </c>
      <c r="C332" s="1" t="n">
        <v>45885</v>
      </c>
      <c r="D332" t="inlineStr">
        <is>
          <t>UPPSALA LÄN</t>
        </is>
      </c>
      <c r="E332" t="inlineStr">
        <is>
          <t>ÖSTHAMMAR</t>
        </is>
      </c>
      <c r="G332" t="n">
        <v>2.2</v>
      </c>
      <c r="H332" t="n">
        <v>0</v>
      </c>
      <c r="I332" t="n">
        <v>0</v>
      </c>
      <c r="J332" t="n">
        <v>0</v>
      </c>
      <c r="K332" t="n">
        <v>0</v>
      </c>
      <c r="L332" t="n">
        <v>0</v>
      </c>
      <c r="M332" t="n">
        <v>0</v>
      </c>
      <c r="N332" t="n">
        <v>0</v>
      </c>
      <c r="O332" t="n">
        <v>0</v>
      </c>
      <c r="P332" t="n">
        <v>0</v>
      </c>
      <c r="Q332" t="n">
        <v>0</v>
      </c>
      <c r="R332" s="2" t="inlineStr"/>
    </row>
    <row r="333" ht="15" customHeight="1">
      <c r="A333" t="inlineStr">
        <is>
          <t>A 33552-2024</t>
        </is>
      </c>
      <c r="B333" s="1" t="n">
        <v>45519</v>
      </c>
      <c r="C333" s="1" t="n">
        <v>45885</v>
      </c>
      <c r="D333" t="inlineStr">
        <is>
          <t>UPPSALA LÄN</t>
        </is>
      </c>
      <c r="E333" t="inlineStr">
        <is>
          <t>ÖSTHAMMAR</t>
        </is>
      </c>
      <c r="F333" t="inlineStr">
        <is>
          <t>Bergvik skog öst AB</t>
        </is>
      </c>
      <c r="G333" t="n">
        <v>0.4</v>
      </c>
      <c r="H333" t="n">
        <v>0</v>
      </c>
      <c r="I333" t="n">
        <v>0</v>
      </c>
      <c r="J333" t="n">
        <v>0</v>
      </c>
      <c r="K333" t="n">
        <v>0</v>
      </c>
      <c r="L333" t="n">
        <v>0</v>
      </c>
      <c r="M333" t="n">
        <v>0</v>
      </c>
      <c r="N333" t="n">
        <v>0</v>
      </c>
      <c r="O333" t="n">
        <v>0</v>
      </c>
      <c r="P333" t="n">
        <v>0</v>
      </c>
      <c r="Q333" t="n">
        <v>0</v>
      </c>
      <c r="R333" s="2" t="inlineStr"/>
    </row>
    <row r="334" ht="15" customHeight="1">
      <c r="A334" t="inlineStr">
        <is>
          <t>A 33553-2024</t>
        </is>
      </c>
      <c r="B334" s="1" t="n">
        <v>45519</v>
      </c>
      <c r="C334" s="1" t="n">
        <v>45885</v>
      </c>
      <c r="D334" t="inlineStr">
        <is>
          <t>UPPSALA LÄN</t>
        </is>
      </c>
      <c r="E334" t="inlineStr">
        <is>
          <t>ÖSTHAMMAR</t>
        </is>
      </c>
      <c r="F334" t="inlineStr">
        <is>
          <t>Bergvik skog öst AB</t>
        </is>
      </c>
      <c r="G334" t="n">
        <v>1.4</v>
      </c>
      <c r="H334" t="n">
        <v>0</v>
      </c>
      <c r="I334" t="n">
        <v>0</v>
      </c>
      <c r="J334" t="n">
        <v>0</v>
      </c>
      <c r="K334" t="n">
        <v>0</v>
      </c>
      <c r="L334" t="n">
        <v>0</v>
      </c>
      <c r="M334" t="n">
        <v>0</v>
      </c>
      <c r="N334" t="n">
        <v>0</v>
      </c>
      <c r="O334" t="n">
        <v>0</v>
      </c>
      <c r="P334" t="n">
        <v>0</v>
      </c>
      <c r="Q334" t="n">
        <v>0</v>
      </c>
      <c r="R334" s="2" t="inlineStr"/>
    </row>
    <row r="335" ht="15" customHeight="1">
      <c r="A335" t="inlineStr">
        <is>
          <t>A 55079-2024</t>
        </is>
      </c>
      <c r="B335" s="1" t="n">
        <v>45621.42747685185</v>
      </c>
      <c r="C335" s="1" t="n">
        <v>45885</v>
      </c>
      <c r="D335" t="inlineStr">
        <is>
          <t>UPPSALA LÄN</t>
        </is>
      </c>
      <c r="E335" t="inlineStr">
        <is>
          <t>ÖSTHAMMAR</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36873-2022</t>
        </is>
      </c>
      <c r="B336" s="1" t="n">
        <v>44805.63708333333</v>
      </c>
      <c r="C336" s="1" t="n">
        <v>45885</v>
      </c>
      <c r="D336" t="inlineStr">
        <is>
          <t>UPPSALA LÄN</t>
        </is>
      </c>
      <c r="E336" t="inlineStr">
        <is>
          <t>ÖSTHAMMAR</t>
        </is>
      </c>
      <c r="G336" t="n">
        <v>2.5</v>
      </c>
      <c r="H336" t="n">
        <v>0</v>
      </c>
      <c r="I336" t="n">
        <v>0</v>
      </c>
      <c r="J336" t="n">
        <v>0</v>
      </c>
      <c r="K336" t="n">
        <v>0</v>
      </c>
      <c r="L336" t="n">
        <v>0</v>
      </c>
      <c r="M336" t="n">
        <v>0</v>
      </c>
      <c r="N336" t="n">
        <v>0</v>
      </c>
      <c r="O336" t="n">
        <v>0</v>
      </c>
      <c r="P336" t="n">
        <v>0</v>
      </c>
      <c r="Q336" t="n">
        <v>0</v>
      </c>
      <c r="R336" s="2" t="inlineStr"/>
    </row>
    <row r="337" ht="15" customHeight="1">
      <c r="A337" t="inlineStr">
        <is>
          <t>A 53733-2023</t>
        </is>
      </c>
      <c r="B337" s="1" t="n">
        <v>45230.76862268519</v>
      </c>
      <c r="C337" s="1" t="n">
        <v>45885</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53735-2023</t>
        </is>
      </c>
      <c r="B338" s="1" t="n">
        <v>45230.77258101852</v>
      </c>
      <c r="C338" s="1" t="n">
        <v>45885</v>
      </c>
      <c r="D338" t="inlineStr">
        <is>
          <t>UPPSALA LÄN</t>
        </is>
      </c>
      <c r="E338" t="inlineStr">
        <is>
          <t>ÖSTHAMMAR</t>
        </is>
      </c>
      <c r="G338" t="n">
        <v>1.1</v>
      </c>
      <c r="H338" t="n">
        <v>0</v>
      </c>
      <c r="I338" t="n">
        <v>0</v>
      </c>
      <c r="J338" t="n">
        <v>0</v>
      </c>
      <c r="K338" t="n">
        <v>0</v>
      </c>
      <c r="L338" t="n">
        <v>0</v>
      </c>
      <c r="M338" t="n">
        <v>0</v>
      </c>
      <c r="N338" t="n">
        <v>0</v>
      </c>
      <c r="O338" t="n">
        <v>0</v>
      </c>
      <c r="P338" t="n">
        <v>0</v>
      </c>
      <c r="Q338" t="n">
        <v>0</v>
      </c>
      <c r="R338" s="2" t="inlineStr"/>
    </row>
    <row r="339" ht="15" customHeight="1">
      <c r="A339" t="inlineStr">
        <is>
          <t>A 5429-2023</t>
        </is>
      </c>
      <c r="B339" s="1" t="n">
        <v>44959.83037037037</v>
      </c>
      <c r="C339" s="1" t="n">
        <v>45885</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21522-2022</t>
        </is>
      </c>
      <c r="B340" s="1" t="n">
        <v>44706</v>
      </c>
      <c r="C340" s="1" t="n">
        <v>45885</v>
      </c>
      <c r="D340" t="inlineStr">
        <is>
          <t>UPPSALA LÄN</t>
        </is>
      </c>
      <c r="E340" t="inlineStr">
        <is>
          <t>ÖSTHAMMAR</t>
        </is>
      </c>
      <c r="G340" t="n">
        <v>1.8</v>
      </c>
      <c r="H340" t="n">
        <v>0</v>
      </c>
      <c r="I340" t="n">
        <v>0</v>
      </c>
      <c r="J340" t="n">
        <v>0</v>
      </c>
      <c r="K340" t="n">
        <v>0</v>
      </c>
      <c r="L340" t="n">
        <v>0</v>
      </c>
      <c r="M340" t="n">
        <v>0</v>
      </c>
      <c r="N340" t="n">
        <v>0</v>
      </c>
      <c r="O340" t="n">
        <v>0</v>
      </c>
      <c r="P340" t="n">
        <v>0</v>
      </c>
      <c r="Q340" t="n">
        <v>0</v>
      </c>
      <c r="R340" s="2" t="inlineStr"/>
    </row>
    <row r="341" ht="15" customHeight="1">
      <c r="A341" t="inlineStr">
        <is>
          <t>A 14187-2022</t>
        </is>
      </c>
      <c r="B341" s="1" t="n">
        <v>44651.5625</v>
      </c>
      <c r="C341" s="1" t="n">
        <v>45885</v>
      </c>
      <c r="D341" t="inlineStr">
        <is>
          <t>UPPSALA LÄN</t>
        </is>
      </c>
      <c r="E341" t="inlineStr">
        <is>
          <t>ÖSTHAMMAR</t>
        </is>
      </c>
      <c r="F341" t="inlineStr">
        <is>
          <t>Övriga Aktiebolag</t>
        </is>
      </c>
      <c r="G341" t="n">
        <v>14.1</v>
      </c>
      <c r="H341" t="n">
        <v>0</v>
      </c>
      <c r="I341" t="n">
        <v>0</v>
      </c>
      <c r="J341" t="n">
        <v>0</v>
      </c>
      <c r="K341" t="n">
        <v>0</v>
      </c>
      <c r="L341" t="n">
        <v>0</v>
      </c>
      <c r="M341" t="n">
        <v>0</v>
      </c>
      <c r="N341" t="n">
        <v>0</v>
      </c>
      <c r="O341" t="n">
        <v>0</v>
      </c>
      <c r="P341" t="n">
        <v>0</v>
      </c>
      <c r="Q341" t="n">
        <v>0</v>
      </c>
      <c r="R341" s="2" t="inlineStr"/>
    </row>
    <row r="342" ht="15" customHeight="1">
      <c r="A342" t="inlineStr">
        <is>
          <t>A 7997-2022</t>
        </is>
      </c>
      <c r="B342" s="1" t="n">
        <v>44609</v>
      </c>
      <c r="C342" s="1" t="n">
        <v>45885</v>
      </c>
      <c r="D342" t="inlineStr">
        <is>
          <t>UPPSALA LÄN</t>
        </is>
      </c>
      <c r="E342" t="inlineStr">
        <is>
          <t>ÖSTHAMMAR</t>
        </is>
      </c>
      <c r="G342" t="n">
        <v>1.8</v>
      </c>
      <c r="H342" t="n">
        <v>0</v>
      </c>
      <c r="I342" t="n">
        <v>0</v>
      </c>
      <c r="J342" t="n">
        <v>0</v>
      </c>
      <c r="K342" t="n">
        <v>0</v>
      </c>
      <c r="L342" t="n">
        <v>0</v>
      </c>
      <c r="M342" t="n">
        <v>0</v>
      </c>
      <c r="N342" t="n">
        <v>0</v>
      </c>
      <c r="O342" t="n">
        <v>0</v>
      </c>
      <c r="P342" t="n">
        <v>0</v>
      </c>
      <c r="Q342" t="n">
        <v>0</v>
      </c>
      <c r="R342" s="2" t="inlineStr"/>
    </row>
    <row r="343" ht="15" customHeight="1">
      <c r="A343" t="inlineStr">
        <is>
          <t>A 4676-2025</t>
        </is>
      </c>
      <c r="B343" s="1" t="n">
        <v>45687.8313425926</v>
      </c>
      <c r="C343" s="1" t="n">
        <v>45885</v>
      </c>
      <c r="D343" t="inlineStr">
        <is>
          <t>UPPSALA LÄN</t>
        </is>
      </c>
      <c r="E343" t="inlineStr">
        <is>
          <t>ÖSTHAMMAR</t>
        </is>
      </c>
      <c r="G343" t="n">
        <v>3.7</v>
      </c>
      <c r="H343" t="n">
        <v>0</v>
      </c>
      <c r="I343" t="n">
        <v>0</v>
      </c>
      <c r="J343" t="n">
        <v>0</v>
      </c>
      <c r="K343" t="n">
        <v>0</v>
      </c>
      <c r="L343" t="n">
        <v>0</v>
      </c>
      <c r="M343" t="n">
        <v>0</v>
      </c>
      <c r="N343" t="n">
        <v>0</v>
      </c>
      <c r="O343" t="n">
        <v>0</v>
      </c>
      <c r="P343" t="n">
        <v>0</v>
      </c>
      <c r="Q343" t="n">
        <v>0</v>
      </c>
      <c r="R343" s="2" t="inlineStr"/>
    </row>
    <row r="344" ht="15" customHeight="1">
      <c r="A344" t="inlineStr">
        <is>
          <t>A 59731-2023</t>
        </is>
      </c>
      <c r="B344" s="1" t="n">
        <v>45257</v>
      </c>
      <c r="C344" s="1" t="n">
        <v>45885</v>
      </c>
      <c r="D344" t="inlineStr">
        <is>
          <t>UPPSALA LÄN</t>
        </is>
      </c>
      <c r="E344" t="inlineStr">
        <is>
          <t>ÖSTHAMMAR</t>
        </is>
      </c>
      <c r="G344" t="n">
        <v>0.7</v>
      </c>
      <c r="H344" t="n">
        <v>0</v>
      </c>
      <c r="I344" t="n">
        <v>0</v>
      </c>
      <c r="J344" t="n">
        <v>0</v>
      </c>
      <c r="K344" t="n">
        <v>0</v>
      </c>
      <c r="L344" t="n">
        <v>0</v>
      </c>
      <c r="M344" t="n">
        <v>0</v>
      </c>
      <c r="N344" t="n">
        <v>0</v>
      </c>
      <c r="O344" t="n">
        <v>0</v>
      </c>
      <c r="P344" t="n">
        <v>0</v>
      </c>
      <c r="Q344" t="n">
        <v>0</v>
      </c>
      <c r="R344" s="2" t="inlineStr"/>
    </row>
    <row r="345" ht="15" customHeight="1">
      <c r="A345" t="inlineStr">
        <is>
          <t>A 34607-2023</t>
        </is>
      </c>
      <c r="B345" s="1" t="n">
        <v>45138</v>
      </c>
      <c r="C345" s="1" t="n">
        <v>45885</v>
      </c>
      <c r="D345" t="inlineStr">
        <is>
          <t>UPPSALA LÄN</t>
        </is>
      </c>
      <c r="E345" t="inlineStr">
        <is>
          <t>ÖSTHAMMAR</t>
        </is>
      </c>
      <c r="G345" t="n">
        <v>4.7</v>
      </c>
      <c r="H345" t="n">
        <v>0</v>
      </c>
      <c r="I345" t="n">
        <v>0</v>
      </c>
      <c r="J345" t="n">
        <v>0</v>
      </c>
      <c r="K345" t="n">
        <v>0</v>
      </c>
      <c r="L345" t="n">
        <v>0</v>
      </c>
      <c r="M345" t="n">
        <v>0</v>
      </c>
      <c r="N345" t="n">
        <v>0</v>
      </c>
      <c r="O345" t="n">
        <v>0</v>
      </c>
      <c r="P345" t="n">
        <v>0</v>
      </c>
      <c r="Q345" t="n">
        <v>0</v>
      </c>
      <c r="R345" s="2" t="inlineStr"/>
    </row>
    <row r="346" ht="15" customHeight="1">
      <c r="A346" t="inlineStr">
        <is>
          <t>A 54666-2022</t>
        </is>
      </c>
      <c r="B346" s="1" t="n">
        <v>44883</v>
      </c>
      <c r="C346" s="1" t="n">
        <v>45885</v>
      </c>
      <c r="D346" t="inlineStr">
        <is>
          <t>UPPSALA LÄN</t>
        </is>
      </c>
      <c r="E346" t="inlineStr">
        <is>
          <t>ÖSTHAMMAR</t>
        </is>
      </c>
      <c r="G346" t="n">
        <v>14.3</v>
      </c>
      <c r="H346" t="n">
        <v>0</v>
      </c>
      <c r="I346" t="n">
        <v>0</v>
      </c>
      <c r="J346" t="n">
        <v>0</v>
      </c>
      <c r="K346" t="n">
        <v>0</v>
      </c>
      <c r="L346" t="n">
        <v>0</v>
      </c>
      <c r="M346" t="n">
        <v>0</v>
      </c>
      <c r="N346" t="n">
        <v>0</v>
      </c>
      <c r="O346" t="n">
        <v>0</v>
      </c>
      <c r="P346" t="n">
        <v>0</v>
      </c>
      <c r="Q346" t="n">
        <v>0</v>
      </c>
      <c r="R346" s="2" t="inlineStr"/>
    </row>
    <row r="347" ht="15" customHeight="1">
      <c r="A347" t="inlineStr">
        <is>
          <t>A 55837-2023</t>
        </is>
      </c>
      <c r="B347" s="1" t="n">
        <v>45239</v>
      </c>
      <c r="C347" s="1" t="n">
        <v>45885</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52659-2021</t>
        </is>
      </c>
      <c r="B348" s="1" t="n">
        <v>44466</v>
      </c>
      <c r="C348" s="1" t="n">
        <v>45885</v>
      </c>
      <c r="D348" t="inlineStr">
        <is>
          <t>UPPSALA LÄN</t>
        </is>
      </c>
      <c r="E348" t="inlineStr">
        <is>
          <t>ÖSTHAMMAR</t>
        </is>
      </c>
      <c r="G348" t="n">
        <v>13</v>
      </c>
      <c r="H348" t="n">
        <v>0</v>
      </c>
      <c r="I348" t="n">
        <v>0</v>
      </c>
      <c r="J348" t="n">
        <v>0</v>
      </c>
      <c r="K348" t="n">
        <v>0</v>
      </c>
      <c r="L348" t="n">
        <v>0</v>
      </c>
      <c r="M348" t="n">
        <v>0</v>
      </c>
      <c r="N348" t="n">
        <v>0</v>
      </c>
      <c r="O348" t="n">
        <v>0</v>
      </c>
      <c r="P348" t="n">
        <v>0</v>
      </c>
      <c r="Q348" t="n">
        <v>0</v>
      </c>
      <c r="R348" s="2" t="inlineStr"/>
    </row>
    <row r="349" ht="15" customHeight="1">
      <c r="A349" t="inlineStr">
        <is>
          <t>A 13093-2022</t>
        </is>
      </c>
      <c r="B349" s="1" t="n">
        <v>44643.93269675926</v>
      </c>
      <c r="C349" s="1" t="n">
        <v>45885</v>
      </c>
      <c r="D349" t="inlineStr">
        <is>
          <t>UPPSALA LÄN</t>
        </is>
      </c>
      <c r="E349" t="inlineStr">
        <is>
          <t>ÖSTHAMMAR</t>
        </is>
      </c>
      <c r="F349" t="inlineStr">
        <is>
          <t>Bergvik skog öst AB</t>
        </is>
      </c>
      <c r="G349" t="n">
        <v>3.2</v>
      </c>
      <c r="H349" t="n">
        <v>0</v>
      </c>
      <c r="I349" t="n">
        <v>0</v>
      </c>
      <c r="J349" t="n">
        <v>0</v>
      </c>
      <c r="K349" t="n">
        <v>0</v>
      </c>
      <c r="L349" t="n">
        <v>0</v>
      </c>
      <c r="M349" t="n">
        <v>0</v>
      </c>
      <c r="N349" t="n">
        <v>0</v>
      </c>
      <c r="O349" t="n">
        <v>0</v>
      </c>
      <c r="P349" t="n">
        <v>0</v>
      </c>
      <c r="Q349" t="n">
        <v>0</v>
      </c>
      <c r="R349" s="2" t="inlineStr"/>
    </row>
    <row r="350" ht="15" customHeight="1">
      <c r="A350" t="inlineStr">
        <is>
          <t>A 45795-2023</t>
        </is>
      </c>
      <c r="B350" s="1" t="n">
        <v>45195</v>
      </c>
      <c r="C350" s="1" t="n">
        <v>45885</v>
      </c>
      <c r="D350" t="inlineStr">
        <is>
          <t>UPPSALA LÄN</t>
        </is>
      </c>
      <c r="E350" t="inlineStr">
        <is>
          <t>ÖSTHAMMAR</t>
        </is>
      </c>
      <c r="G350" t="n">
        <v>4</v>
      </c>
      <c r="H350" t="n">
        <v>0</v>
      </c>
      <c r="I350" t="n">
        <v>0</v>
      </c>
      <c r="J350" t="n">
        <v>0</v>
      </c>
      <c r="K350" t="n">
        <v>0</v>
      </c>
      <c r="L350" t="n">
        <v>0</v>
      </c>
      <c r="M350" t="n">
        <v>0</v>
      </c>
      <c r="N350" t="n">
        <v>0</v>
      </c>
      <c r="O350" t="n">
        <v>0</v>
      </c>
      <c r="P350" t="n">
        <v>0</v>
      </c>
      <c r="Q350" t="n">
        <v>0</v>
      </c>
      <c r="R350" s="2" t="inlineStr"/>
    </row>
    <row r="351" ht="15" customHeight="1">
      <c r="A351" t="inlineStr">
        <is>
          <t>A 63637-2020</t>
        </is>
      </c>
      <c r="B351" s="1" t="n">
        <v>44162</v>
      </c>
      <c r="C351" s="1" t="n">
        <v>45885</v>
      </c>
      <c r="D351" t="inlineStr">
        <is>
          <t>UPPSALA LÄN</t>
        </is>
      </c>
      <c r="E351" t="inlineStr">
        <is>
          <t>ÖSTHAMMAR</t>
        </is>
      </c>
      <c r="G351" t="n">
        <v>4</v>
      </c>
      <c r="H351" t="n">
        <v>0</v>
      </c>
      <c r="I351" t="n">
        <v>0</v>
      </c>
      <c r="J351" t="n">
        <v>0</v>
      </c>
      <c r="K351" t="n">
        <v>0</v>
      </c>
      <c r="L351" t="n">
        <v>0</v>
      </c>
      <c r="M351" t="n">
        <v>0</v>
      </c>
      <c r="N351" t="n">
        <v>0</v>
      </c>
      <c r="O351" t="n">
        <v>0</v>
      </c>
      <c r="P351" t="n">
        <v>0</v>
      </c>
      <c r="Q351" t="n">
        <v>0</v>
      </c>
      <c r="R351" s="2" t="inlineStr"/>
    </row>
    <row r="352" ht="15" customHeight="1">
      <c r="A352" t="inlineStr">
        <is>
          <t>A 38600-2023</t>
        </is>
      </c>
      <c r="B352" s="1" t="n">
        <v>45162</v>
      </c>
      <c r="C352" s="1" t="n">
        <v>45885</v>
      </c>
      <c r="D352" t="inlineStr">
        <is>
          <t>UPPSALA LÄN</t>
        </is>
      </c>
      <c r="E352" t="inlineStr">
        <is>
          <t>ÖSTHAMMAR</t>
        </is>
      </c>
      <c r="F352" t="inlineStr">
        <is>
          <t>Bergvik skog väst AB</t>
        </is>
      </c>
      <c r="G352" t="n">
        <v>0.1</v>
      </c>
      <c r="H352" t="n">
        <v>0</v>
      </c>
      <c r="I352" t="n">
        <v>0</v>
      </c>
      <c r="J352" t="n">
        <v>0</v>
      </c>
      <c r="K352" t="n">
        <v>0</v>
      </c>
      <c r="L352" t="n">
        <v>0</v>
      </c>
      <c r="M352" t="n">
        <v>0</v>
      </c>
      <c r="N352" t="n">
        <v>0</v>
      </c>
      <c r="O352" t="n">
        <v>0</v>
      </c>
      <c r="P352" t="n">
        <v>0</v>
      </c>
      <c r="Q352" t="n">
        <v>0</v>
      </c>
      <c r="R352" s="2" t="inlineStr"/>
    </row>
    <row r="353" ht="15" customHeight="1">
      <c r="A353" t="inlineStr">
        <is>
          <t>A 8624-2025</t>
        </is>
      </c>
      <c r="B353" s="1" t="n">
        <v>45711.52333333333</v>
      </c>
      <c r="C353" s="1" t="n">
        <v>45885</v>
      </c>
      <c r="D353" t="inlineStr">
        <is>
          <t>UPPSALA LÄN</t>
        </is>
      </c>
      <c r="E353" t="inlineStr">
        <is>
          <t>ÖSTHAMMAR</t>
        </is>
      </c>
      <c r="F353" t="inlineStr">
        <is>
          <t>Bergvik skog väst AB</t>
        </is>
      </c>
      <c r="G353" t="n">
        <v>2.8</v>
      </c>
      <c r="H353" t="n">
        <v>0</v>
      </c>
      <c r="I353" t="n">
        <v>0</v>
      </c>
      <c r="J353" t="n">
        <v>0</v>
      </c>
      <c r="K353" t="n">
        <v>0</v>
      </c>
      <c r="L353" t="n">
        <v>0</v>
      </c>
      <c r="M353" t="n">
        <v>0</v>
      </c>
      <c r="N353" t="n">
        <v>0</v>
      </c>
      <c r="O353" t="n">
        <v>0</v>
      </c>
      <c r="P353" t="n">
        <v>0</v>
      </c>
      <c r="Q353" t="n">
        <v>0</v>
      </c>
      <c r="R353" s="2" t="inlineStr"/>
    </row>
    <row r="354" ht="15" customHeight="1">
      <c r="A354" t="inlineStr">
        <is>
          <t>A 56969-2022</t>
        </is>
      </c>
      <c r="B354" s="1" t="n">
        <v>44894.68043981482</v>
      </c>
      <c r="C354" s="1" t="n">
        <v>45885</v>
      </c>
      <c r="D354" t="inlineStr">
        <is>
          <t>UPPSALA LÄN</t>
        </is>
      </c>
      <c r="E354" t="inlineStr">
        <is>
          <t>ÖSTHAMMAR</t>
        </is>
      </c>
      <c r="G354" t="n">
        <v>5.5</v>
      </c>
      <c r="H354" t="n">
        <v>0</v>
      </c>
      <c r="I354" t="n">
        <v>0</v>
      </c>
      <c r="J354" t="n">
        <v>0</v>
      </c>
      <c r="K354" t="n">
        <v>0</v>
      </c>
      <c r="L354" t="n">
        <v>0</v>
      </c>
      <c r="M354" t="n">
        <v>0</v>
      </c>
      <c r="N354" t="n">
        <v>0</v>
      </c>
      <c r="O354" t="n">
        <v>0</v>
      </c>
      <c r="P354" t="n">
        <v>0</v>
      </c>
      <c r="Q354" t="n">
        <v>0</v>
      </c>
      <c r="R354" s="2" t="inlineStr"/>
    </row>
    <row r="355" ht="15" customHeight="1">
      <c r="A355" t="inlineStr">
        <is>
          <t>A 7876-2023</t>
        </is>
      </c>
      <c r="B355" s="1" t="n">
        <v>44973.57263888889</v>
      </c>
      <c r="C355" s="1" t="n">
        <v>45885</v>
      </c>
      <c r="D355" t="inlineStr">
        <is>
          <t>UPPSALA LÄN</t>
        </is>
      </c>
      <c r="E355" t="inlineStr">
        <is>
          <t>ÖSTHAMMAR</t>
        </is>
      </c>
      <c r="G355" t="n">
        <v>0.9</v>
      </c>
      <c r="H355" t="n">
        <v>0</v>
      </c>
      <c r="I355" t="n">
        <v>0</v>
      </c>
      <c r="J355" t="n">
        <v>0</v>
      </c>
      <c r="K355" t="n">
        <v>0</v>
      </c>
      <c r="L355" t="n">
        <v>0</v>
      </c>
      <c r="M355" t="n">
        <v>0</v>
      </c>
      <c r="N355" t="n">
        <v>0</v>
      </c>
      <c r="O355" t="n">
        <v>0</v>
      </c>
      <c r="P355" t="n">
        <v>0</v>
      </c>
      <c r="Q355" t="n">
        <v>0</v>
      </c>
      <c r="R355" s="2" t="inlineStr"/>
    </row>
    <row r="356" ht="15" customHeight="1">
      <c r="A356" t="inlineStr">
        <is>
          <t>A 36904-2023</t>
        </is>
      </c>
      <c r="B356" s="1" t="n">
        <v>45154</v>
      </c>
      <c r="C356" s="1" t="n">
        <v>45885</v>
      </c>
      <c r="D356" t="inlineStr">
        <is>
          <t>UPPSALA LÄN</t>
        </is>
      </c>
      <c r="E356" t="inlineStr">
        <is>
          <t>ÖSTHAMMAR</t>
        </is>
      </c>
      <c r="F356" t="inlineStr">
        <is>
          <t>Övriga Aktiebolag</t>
        </is>
      </c>
      <c r="G356" t="n">
        <v>1.5</v>
      </c>
      <c r="H356" t="n">
        <v>0</v>
      </c>
      <c r="I356" t="n">
        <v>0</v>
      </c>
      <c r="J356" t="n">
        <v>0</v>
      </c>
      <c r="K356" t="n">
        <v>0</v>
      </c>
      <c r="L356" t="n">
        <v>0</v>
      </c>
      <c r="M356" t="n">
        <v>0</v>
      </c>
      <c r="N356" t="n">
        <v>0</v>
      </c>
      <c r="O356" t="n">
        <v>0</v>
      </c>
      <c r="P356" t="n">
        <v>0</v>
      </c>
      <c r="Q356" t="n">
        <v>0</v>
      </c>
      <c r="R356" s="2" t="inlineStr"/>
    </row>
    <row r="357" ht="15" customHeight="1">
      <c r="A357" t="inlineStr">
        <is>
          <t>A 35539-2023</t>
        </is>
      </c>
      <c r="B357" s="1" t="n">
        <v>45147.37006944444</v>
      </c>
      <c r="C357" s="1" t="n">
        <v>45885</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17644-2025</t>
        </is>
      </c>
      <c r="B358" s="1" t="n">
        <v>45758.32645833334</v>
      </c>
      <c r="C358" s="1" t="n">
        <v>45885</v>
      </c>
      <c r="D358" t="inlineStr">
        <is>
          <t>UPPSALA LÄN</t>
        </is>
      </c>
      <c r="E358" t="inlineStr">
        <is>
          <t>ÖSTHAMMAR</t>
        </is>
      </c>
      <c r="F358" t="inlineStr">
        <is>
          <t>Bergvik skog väst AB</t>
        </is>
      </c>
      <c r="G358" t="n">
        <v>6.1</v>
      </c>
      <c r="H358" t="n">
        <v>0</v>
      </c>
      <c r="I358" t="n">
        <v>0</v>
      </c>
      <c r="J358" t="n">
        <v>0</v>
      </c>
      <c r="K358" t="n">
        <v>0</v>
      </c>
      <c r="L358" t="n">
        <v>0</v>
      </c>
      <c r="M358" t="n">
        <v>0</v>
      </c>
      <c r="N358" t="n">
        <v>0</v>
      </c>
      <c r="O358" t="n">
        <v>0</v>
      </c>
      <c r="P358" t="n">
        <v>0</v>
      </c>
      <c r="Q358" t="n">
        <v>0</v>
      </c>
      <c r="R358" s="2" t="inlineStr"/>
    </row>
    <row r="359" ht="15" customHeight="1">
      <c r="A359" t="inlineStr">
        <is>
          <t>A 20385-2025</t>
        </is>
      </c>
      <c r="B359" s="1" t="n">
        <v>45775.44483796296</v>
      </c>
      <c r="C359" s="1" t="n">
        <v>45885</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38233-2024</t>
        </is>
      </c>
      <c r="B360" s="1" t="n">
        <v>45545</v>
      </c>
      <c r="C360" s="1" t="n">
        <v>45885</v>
      </c>
      <c r="D360" t="inlineStr">
        <is>
          <t>UPPSALA LÄN</t>
        </is>
      </c>
      <c r="E360" t="inlineStr">
        <is>
          <t>ÖSTHAMMAR</t>
        </is>
      </c>
      <c r="G360" t="n">
        <v>3.4</v>
      </c>
      <c r="H360" t="n">
        <v>0</v>
      </c>
      <c r="I360" t="n">
        <v>0</v>
      </c>
      <c r="J360" t="n">
        <v>0</v>
      </c>
      <c r="K360" t="n">
        <v>0</v>
      </c>
      <c r="L360" t="n">
        <v>0</v>
      </c>
      <c r="M360" t="n">
        <v>0</v>
      </c>
      <c r="N360" t="n">
        <v>0</v>
      </c>
      <c r="O360" t="n">
        <v>0</v>
      </c>
      <c r="P360" t="n">
        <v>0</v>
      </c>
      <c r="Q360" t="n">
        <v>0</v>
      </c>
      <c r="R360" s="2" t="inlineStr"/>
    </row>
    <row r="361" ht="15" customHeight="1">
      <c r="A361" t="inlineStr">
        <is>
          <t>A 56260-2022</t>
        </is>
      </c>
      <c r="B361" s="1" t="n">
        <v>44890</v>
      </c>
      <c r="C361" s="1" t="n">
        <v>45885</v>
      </c>
      <c r="D361" t="inlineStr">
        <is>
          <t>UPPSALA LÄN</t>
        </is>
      </c>
      <c r="E361" t="inlineStr">
        <is>
          <t>ÖSTHAMMAR</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5344-2025</t>
        </is>
      </c>
      <c r="B362" s="1" t="n">
        <v>45692</v>
      </c>
      <c r="C362" s="1" t="n">
        <v>45885</v>
      </c>
      <c r="D362" t="inlineStr">
        <is>
          <t>UPPSALA LÄN</t>
        </is>
      </c>
      <c r="E362" t="inlineStr">
        <is>
          <t>ÖSTHAMMAR</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26521-2025</t>
        </is>
      </c>
      <c r="B363" s="1" t="n">
        <v>45807.56275462963</v>
      </c>
      <c r="C363" s="1" t="n">
        <v>45885</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26526-2025</t>
        </is>
      </c>
      <c r="B364" s="1" t="n">
        <v>45807.56612268519</v>
      </c>
      <c r="C364" s="1" t="n">
        <v>45885</v>
      </c>
      <c r="D364" t="inlineStr">
        <is>
          <t>UPPSALA LÄN</t>
        </is>
      </c>
      <c r="E364" t="inlineStr">
        <is>
          <t>ÖSTHAMMAR</t>
        </is>
      </c>
      <c r="G364" t="n">
        <v>0.7</v>
      </c>
      <c r="H364" t="n">
        <v>0</v>
      </c>
      <c r="I364" t="n">
        <v>0</v>
      </c>
      <c r="J364" t="n">
        <v>0</v>
      </c>
      <c r="K364" t="n">
        <v>0</v>
      </c>
      <c r="L364" t="n">
        <v>0</v>
      </c>
      <c r="M364" t="n">
        <v>0</v>
      </c>
      <c r="N364" t="n">
        <v>0</v>
      </c>
      <c r="O364" t="n">
        <v>0</v>
      </c>
      <c r="P364" t="n">
        <v>0</v>
      </c>
      <c r="Q364" t="n">
        <v>0</v>
      </c>
      <c r="R364" s="2" t="inlineStr"/>
    </row>
    <row r="365" ht="15" customHeight="1">
      <c r="A365" t="inlineStr">
        <is>
          <t>A 26395-2025</t>
        </is>
      </c>
      <c r="B365" s="1" t="n">
        <v>45807</v>
      </c>
      <c r="C365" s="1" t="n">
        <v>45885</v>
      </c>
      <c r="D365" t="inlineStr">
        <is>
          <t>UPPSALA LÄN</t>
        </is>
      </c>
      <c r="E365" t="inlineStr">
        <is>
          <t>ÖSTHAMMAR</t>
        </is>
      </c>
      <c r="G365" t="n">
        <v>7</v>
      </c>
      <c r="H365" t="n">
        <v>0</v>
      </c>
      <c r="I365" t="n">
        <v>0</v>
      </c>
      <c r="J365" t="n">
        <v>0</v>
      </c>
      <c r="K365" t="n">
        <v>0</v>
      </c>
      <c r="L365" t="n">
        <v>0</v>
      </c>
      <c r="M365" t="n">
        <v>0</v>
      </c>
      <c r="N365" t="n">
        <v>0</v>
      </c>
      <c r="O365" t="n">
        <v>0</v>
      </c>
      <c r="P365" t="n">
        <v>0</v>
      </c>
      <c r="Q365" t="n">
        <v>0</v>
      </c>
      <c r="R365" s="2" t="inlineStr"/>
    </row>
    <row r="366" ht="15" customHeight="1">
      <c r="A366" t="inlineStr">
        <is>
          <t>A 18183-2022</t>
        </is>
      </c>
      <c r="B366" s="1" t="n">
        <v>44684</v>
      </c>
      <c r="C366" s="1" t="n">
        <v>45885</v>
      </c>
      <c r="D366" t="inlineStr">
        <is>
          <t>UPPSALA LÄN</t>
        </is>
      </c>
      <c r="E366" t="inlineStr">
        <is>
          <t>ÖSTHAMMAR</t>
        </is>
      </c>
      <c r="G366" t="n">
        <v>0.2</v>
      </c>
      <c r="H366" t="n">
        <v>0</v>
      </c>
      <c r="I366" t="n">
        <v>0</v>
      </c>
      <c r="J366" t="n">
        <v>0</v>
      </c>
      <c r="K366" t="n">
        <v>0</v>
      </c>
      <c r="L366" t="n">
        <v>0</v>
      </c>
      <c r="M366" t="n">
        <v>0</v>
      </c>
      <c r="N366" t="n">
        <v>0</v>
      </c>
      <c r="O366" t="n">
        <v>0</v>
      </c>
      <c r="P366" t="n">
        <v>0</v>
      </c>
      <c r="Q366" t="n">
        <v>0</v>
      </c>
      <c r="R366" s="2" t="inlineStr"/>
    </row>
    <row r="367" ht="15" customHeight="1">
      <c r="A367" t="inlineStr">
        <is>
          <t>A 29231-2024</t>
        </is>
      </c>
      <c r="B367" s="1" t="n">
        <v>45482</v>
      </c>
      <c r="C367" s="1" t="n">
        <v>45885</v>
      </c>
      <c r="D367" t="inlineStr">
        <is>
          <t>UPPSALA LÄN</t>
        </is>
      </c>
      <c r="E367" t="inlineStr">
        <is>
          <t>ÖSTHAMMAR</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44823-2024</t>
        </is>
      </c>
      <c r="B368" s="1" t="n">
        <v>45574.66471064815</v>
      </c>
      <c r="C368" s="1" t="n">
        <v>45885</v>
      </c>
      <c r="D368" t="inlineStr">
        <is>
          <t>UPPSALA LÄN</t>
        </is>
      </c>
      <c r="E368" t="inlineStr">
        <is>
          <t>ÖSTHAMMAR</t>
        </is>
      </c>
      <c r="G368" t="n">
        <v>3.8</v>
      </c>
      <c r="H368" t="n">
        <v>0</v>
      </c>
      <c r="I368" t="n">
        <v>0</v>
      </c>
      <c r="J368" t="n">
        <v>0</v>
      </c>
      <c r="K368" t="n">
        <v>0</v>
      </c>
      <c r="L368" t="n">
        <v>0</v>
      </c>
      <c r="M368" t="n">
        <v>0</v>
      </c>
      <c r="N368" t="n">
        <v>0</v>
      </c>
      <c r="O368" t="n">
        <v>0</v>
      </c>
      <c r="P368" t="n">
        <v>0</v>
      </c>
      <c r="Q368" t="n">
        <v>0</v>
      </c>
      <c r="R368" s="2" t="inlineStr"/>
    </row>
    <row r="369" ht="15" customHeight="1">
      <c r="A369" t="inlineStr">
        <is>
          <t>A 4304-2025</t>
        </is>
      </c>
      <c r="B369" s="1" t="n">
        <v>45685.68193287037</v>
      </c>
      <c r="C369" s="1" t="n">
        <v>45885</v>
      </c>
      <c r="D369" t="inlineStr">
        <is>
          <t>UPPSALA LÄN</t>
        </is>
      </c>
      <c r="E369" t="inlineStr">
        <is>
          <t>ÖSTHAMMAR</t>
        </is>
      </c>
      <c r="G369" t="n">
        <v>1.2</v>
      </c>
      <c r="H369" t="n">
        <v>0</v>
      </c>
      <c r="I369" t="n">
        <v>0</v>
      </c>
      <c r="J369" t="n">
        <v>0</v>
      </c>
      <c r="K369" t="n">
        <v>0</v>
      </c>
      <c r="L369" t="n">
        <v>0</v>
      </c>
      <c r="M369" t="n">
        <v>0</v>
      </c>
      <c r="N369" t="n">
        <v>0</v>
      </c>
      <c r="O369" t="n">
        <v>0</v>
      </c>
      <c r="P369" t="n">
        <v>0</v>
      </c>
      <c r="Q369" t="n">
        <v>0</v>
      </c>
      <c r="R369" s="2" t="inlineStr"/>
    </row>
    <row r="370" ht="15" customHeight="1">
      <c r="A370" t="inlineStr">
        <is>
          <t>A 30931-2021</t>
        </is>
      </c>
      <c r="B370" s="1" t="n">
        <v>44365</v>
      </c>
      <c r="C370" s="1" t="n">
        <v>45885</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28170-2023</t>
        </is>
      </c>
      <c r="B371" s="1" t="n">
        <v>45093</v>
      </c>
      <c r="C371" s="1" t="n">
        <v>45885</v>
      </c>
      <c r="D371" t="inlineStr">
        <is>
          <t>UPPSALA LÄN</t>
        </is>
      </c>
      <c r="E371" t="inlineStr">
        <is>
          <t>ÖSTHAMMAR</t>
        </is>
      </c>
      <c r="G371" t="n">
        <v>7.2</v>
      </c>
      <c r="H371" t="n">
        <v>0</v>
      </c>
      <c r="I371" t="n">
        <v>0</v>
      </c>
      <c r="J371" t="n">
        <v>0</v>
      </c>
      <c r="K371" t="n">
        <v>0</v>
      </c>
      <c r="L371" t="n">
        <v>0</v>
      </c>
      <c r="M371" t="n">
        <v>0</v>
      </c>
      <c r="N371" t="n">
        <v>0</v>
      </c>
      <c r="O371" t="n">
        <v>0</v>
      </c>
      <c r="P371" t="n">
        <v>0</v>
      </c>
      <c r="Q371" t="n">
        <v>0</v>
      </c>
      <c r="R371" s="2" t="inlineStr"/>
    </row>
    <row r="372" ht="15" customHeight="1">
      <c r="A372" t="inlineStr">
        <is>
          <t>A 27395-2025</t>
        </is>
      </c>
      <c r="B372" s="1" t="n">
        <v>45812.6850462963</v>
      </c>
      <c r="C372" s="1" t="n">
        <v>45885</v>
      </c>
      <c r="D372" t="inlineStr">
        <is>
          <t>UPPSALA LÄN</t>
        </is>
      </c>
      <c r="E372" t="inlineStr">
        <is>
          <t>ÖSTHAMMAR</t>
        </is>
      </c>
      <c r="F372" t="inlineStr">
        <is>
          <t>Bergvik skog öst AB</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27347-2025</t>
        </is>
      </c>
      <c r="B373" s="1" t="n">
        <v>45812.62390046296</v>
      </c>
      <c r="C373" s="1" t="n">
        <v>45885</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27383-2025</t>
        </is>
      </c>
      <c r="B374" s="1" t="n">
        <v>45812.66628472223</v>
      </c>
      <c r="C374" s="1" t="n">
        <v>45885</v>
      </c>
      <c r="D374" t="inlineStr">
        <is>
          <t>UPPSALA LÄN</t>
        </is>
      </c>
      <c r="E374" t="inlineStr">
        <is>
          <t>ÖSTHAMMAR</t>
        </is>
      </c>
      <c r="G374" t="n">
        <v>0.7</v>
      </c>
      <c r="H374" t="n">
        <v>0</v>
      </c>
      <c r="I374" t="n">
        <v>0</v>
      </c>
      <c r="J374" t="n">
        <v>0</v>
      </c>
      <c r="K374" t="n">
        <v>0</v>
      </c>
      <c r="L374" t="n">
        <v>0</v>
      </c>
      <c r="M374" t="n">
        <v>0</v>
      </c>
      <c r="N374" t="n">
        <v>0</v>
      </c>
      <c r="O374" t="n">
        <v>0</v>
      </c>
      <c r="P374" t="n">
        <v>0</v>
      </c>
      <c r="Q374" t="n">
        <v>0</v>
      </c>
      <c r="R374" s="2" t="inlineStr"/>
    </row>
    <row r="375" ht="15" customHeight="1">
      <c r="A375" t="inlineStr">
        <is>
          <t>A 27385-2025</t>
        </is>
      </c>
      <c r="B375" s="1" t="n">
        <v>45812.66829861111</v>
      </c>
      <c r="C375" s="1" t="n">
        <v>45885</v>
      </c>
      <c r="D375" t="inlineStr">
        <is>
          <t>UPPSALA LÄN</t>
        </is>
      </c>
      <c r="E375" t="inlineStr">
        <is>
          <t>ÖSTHAMMAR</t>
        </is>
      </c>
      <c r="G375" t="n">
        <v>0.6</v>
      </c>
      <c r="H375" t="n">
        <v>0</v>
      </c>
      <c r="I375" t="n">
        <v>0</v>
      </c>
      <c r="J375" t="n">
        <v>0</v>
      </c>
      <c r="K375" t="n">
        <v>0</v>
      </c>
      <c r="L375" t="n">
        <v>0</v>
      </c>
      <c r="M375" t="n">
        <v>0</v>
      </c>
      <c r="N375" t="n">
        <v>0</v>
      </c>
      <c r="O375" t="n">
        <v>0</v>
      </c>
      <c r="P375" t="n">
        <v>0</v>
      </c>
      <c r="Q375" t="n">
        <v>0</v>
      </c>
      <c r="R375" s="2" t="inlineStr"/>
    </row>
    <row r="376" ht="15" customHeight="1">
      <c r="A376" t="inlineStr">
        <is>
          <t>A 16933-2022</t>
        </is>
      </c>
      <c r="B376" s="1" t="n">
        <v>44676</v>
      </c>
      <c r="C376" s="1" t="n">
        <v>45885</v>
      </c>
      <c r="D376" t="inlineStr">
        <is>
          <t>UPPSALA LÄN</t>
        </is>
      </c>
      <c r="E376" t="inlineStr">
        <is>
          <t>ÖSTHAMMAR</t>
        </is>
      </c>
      <c r="G376" t="n">
        <v>1.3</v>
      </c>
      <c r="H376" t="n">
        <v>0</v>
      </c>
      <c r="I376" t="n">
        <v>0</v>
      </c>
      <c r="J376" t="n">
        <v>0</v>
      </c>
      <c r="K376" t="n">
        <v>0</v>
      </c>
      <c r="L376" t="n">
        <v>0</v>
      </c>
      <c r="M376" t="n">
        <v>0</v>
      </c>
      <c r="N376" t="n">
        <v>0</v>
      </c>
      <c r="O376" t="n">
        <v>0</v>
      </c>
      <c r="P376" t="n">
        <v>0</v>
      </c>
      <c r="Q376" t="n">
        <v>0</v>
      </c>
      <c r="R376" s="2" t="inlineStr"/>
    </row>
    <row r="377" ht="15" customHeight="1">
      <c r="A377" t="inlineStr">
        <is>
          <t>A 27352-2025</t>
        </is>
      </c>
      <c r="B377" s="1" t="n">
        <v>45812.62694444445</v>
      </c>
      <c r="C377" s="1" t="n">
        <v>45885</v>
      </c>
      <c r="D377" t="inlineStr">
        <is>
          <t>UPPSALA LÄN</t>
        </is>
      </c>
      <c r="E377" t="inlineStr">
        <is>
          <t>ÖSTHAMMAR</t>
        </is>
      </c>
      <c r="G377" t="n">
        <v>2.5</v>
      </c>
      <c r="H377" t="n">
        <v>0</v>
      </c>
      <c r="I377" t="n">
        <v>0</v>
      </c>
      <c r="J377" t="n">
        <v>0</v>
      </c>
      <c r="K377" t="n">
        <v>0</v>
      </c>
      <c r="L377" t="n">
        <v>0</v>
      </c>
      <c r="M377" t="n">
        <v>0</v>
      </c>
      <c r="N377" t="n">
        <v>0</v>
      </c>
      <c r="O377" t="n">
        <v>0</v>
      </c>
      <c r="P377" t="n">
        <v>0</v>
      </c>
      <c r="Q377" t="n">
        <v>0</v>
      </c>
      <c r="R377" s="2" t="inlineStr"/>
    </row>
    <row r="378" ht="15" customHeight="1">
      <c r="A378" t="inlineStr">
        <is>
          <t>A 23741-2024</t>
        </is>
      </c>
      <c r="B378" s="1" t="n">
        <v>45455</v>
      </c>
      <c r="C378" s="1" t="n">
        <v>45885</v>
      </c>
      <c r="D378" t="inlineStr">
        <is>
          <t>UPPSALA LÄN</t>
        </is>
      </c>
      <c r="E378" t="inlineStr">
        <is>
          <t>ÖSTHAMMAR</t>
        </is>
      </c>
      <c r="F378" t="inlineStr">
        <is>
          <t>Bergvik skog öst AB</t>
        </is>
      </c>
      <c r="G378" t="n">
        <v>1.9</v>
      </c>
      <c r="H378" t="n">
        <v>0</v>
      </c>
      <c r="I378" t="n">
        <v>0</v>
      </c>
      <c r="J378" t="n">
        <v>0</v>
      </c>
      <c r="K378" t="n">
        <v>0</v>
      </c>
      <c r="L378" t="n">
        <v>0</v>
      </c>
      <c r="M378" t="n">
        <v>0</v>
      </c>
      <c r="N378" t="n">
        <v>0</v>
      </c>
      <c r="O378" t="n">
        <v>0</v>
      </c>
      <c r="P378" t="n">
        <v>0</v>
      </c>
      <c r="Q378" t="n">
        <v>0</v>
      </c>
      <c r="R378" s="2" t="inlineStr"/>
    </row>
    <row r="379" ht="15" customHeight="1">
      <c r="A379" t="inlineStr">
        <is>
          <t>A 27131-2025</t>
        </is>
      </c>
      <c r="B379" s="1" t="n">
        <v>45811</v>
      </c>
      <c r="C379" s="1" t="n">
        <v>45885</v>
      </c>
      <c r="D379" t="inlineStr">
        <is>
          <t>UPPSALA LÄN</t>
        </is>
      </c>
      <c r="E379" t="inlineStr">
        <is>
          <t>ÖSTHAMMAR</t>
        </is>
      </c>
      <c r="G379" t="n">
        <v>1.9</v>
      </c>
      <c r="H379" t="n">
        <v>0</v>
      </c>
      <c r="I379" t="n">
        <v>0</v>
      </c>
      <c r="J379" t="n">
        <v>0</v>
      </c>
      <c r="K379" t="n">
        <v>0</v>
      </c>
      <c r="L379" t="n">
        <v>0</v>
      </c>
      <c r="M379" t="n">
        <v>0</v>
      </c>
      <c r="N379" t="n">
        <v>0</v>
      </c>
      <c r="O379" t="n">
        <v>0</v>
      </c>
      <c r="P379" t="n">
        <v>0</v>
      </c>
      <c r="Q379" t="n">
        <v>0</v>
      </c>
      <c r="R379" s="2" t="inlineStr"/>
    </row>
    <row r="380" ht="15" customHeight="1">
      <c r="A380" t="inlineStr">
        <is>
          <t>A 9264-2024</t>
        </is>
      </c>
      <c r="B380" s="1" t="n">
        <v>45358</v>
      </c>
      <c r="C380" s="1" t="n">
        <v>45885</v>
      </c>
      <c r="D380" t="inlineStr">
        <is>
          <t>UPPSALA LÄN</t>
        </is>
      </c>
      <c r="E380" t="inlineStr">
        <is>
          <t>ÖSTHAMMAR</t>
        </is>
      </c>
      <c r="F380" t="inlineStr">
        <is>
          <t>Bergvik skog öst AB</t>
        </is>
      </c>
      <c r="G380" t="n">
        <v>0.4</v>
      </c>
      <c r="H380" t="n">
        <v>0</v>
      </c>
      <c r="I380" t="n">
        <v>0</v>
      </c>
      <c r="J380" t="n">
        <v>0</v>
      </c>
      <c r="K380" t="n">
        <v>0</v>
      </c>
      <c r="L380" t="n">
        <v>0</v>
      </c>
      <c r="M380" t="n">
        <v>0</v>
      </c>
      <c r="N380" t="n">
        <v>0</v>
      </c>
      <c r="O380" t="n">
        <v>0</v>
      </c>
      <c r="P380" t="n">
        <v>0</v>
      </c>
      <c r="Q380" t="n">
        <v>0</v>
      </c>
      <c r="R380" s="2" t="inlineStr"/>
    </row>
    <row r="381" ht="15" customHeight="1">
      <c r="A381" t="inlineStr">
        <is>
          <t>A 57043-2022</t>
        </is>
      </c>
      <c r="B381" s="1" t="n">
        <v>44895.36748842592</v>
      </c>
      <c r="C381" s="1" t="n">
        <v>45885</v>
      </c>
      <c r="D381" t="inlineStr">
        <is>
          <t>UPPSALA LÄN</t>
        </is>
      </c>
      <c r="E381" t="inlineStr">
        <is>
          <t>ÖSTHAMMAR</t>
        </is>
      </c>
      <c r="F381" t="inlineStr">
        <is>
          <t>Bergvik skog öst AB</t>
        </is>
      </c>
      <c r="G381" t="n">
        <v>5.7</v>
      </c>
      <c r="H381" t="n">
        <v>0</v>
      </c>
      <c r="I381" t="n">
        <v>0</v>
      </c>
      <c r="J381" t="n">
        <v>0</v>
      </c>
      <c r="K381" t="n">
        <v>0</v>
      </c>
      <c r="L381" t="n">
        <v>0</v>
      </c>
      <c r="M381" t="n">
        <v>0</v>
      </c>
      <c r="N381" t="n">
        <v>0</v>
      </c>
      <c r="O381" t="n">
        <v>0</v>
      </c>
      <c r="P381" t="n">
        <v>0</v>
      </c>
      <c r="Q381" t="n">
        <v>0</v>
      </c>
      <c r="R381" s="2" t="inlineStr"/>
    </row>
    <row r="382" ht="15" customHeight="1">
      <c r="A382" t="inlineStr">
        <is>
          <t>A 27392-2025</t>
        </is>
      </c>
      <c r="B382" s="1" t="n">
        <v>45812.68268518519</v>
      </c>
      <c r="C382" s="1" t="n">
        <v>45885</v>
      </c>
      <c r="D382" t="inlineStr">
        <is>
          <t>UPPSALA LÄN</t>
        </is>
      </c>
      <c r="E382" t="inlineStr">
        <is>
          <t>ÖSTHAMMAR</t>
        </is>
      </c>
      <c r="F382" t="inlineStr">
        <is>
          <t>Bergvik skog öst AB</t>
        </is>
      </c>
      <c r="G382" t="n">
        <v>2.1</v>
      </c>
      <c r="H382" t="n">
        <v>0</v>
      </c>
      <c r="I382" t="n">
        <v>0</v>
      </c>
      <c r="J382" t="n">
        <v>0</v>
      </c>
      <c r="K382" t="n">
        <v>0</v>
      </c>
      <c r="L382" t="n">
        <v>0</v>
      </c>
      <c r="M382" t="n">
        <v>0</v>
      </c>
      <c r="N382" t="n">
        <v>0</v>
      </c>
      <c r="O382" t="n">
        <v>0</v>
      </c>
      <c r="P382" t="n">
        <v>0</v>
      </c>
      <c r="Q382" t="n">
        <v>0</v>
      </c>
      <c r="R382" s="2" t="inlineStr"/>
    </row>
    <row r="383" ht="15" customHeight="1">
      <c r="A383" t="inlineStr">
        <is>
          <t>A 64811-2021</t>
        </is>
      </c>
      <c r="B383" s="1" t="n">
        <v>44512</v>
      </c>
      <c r="C383" s="1" t="n">
        <v>45885</v>
      </c>
      <c r="D383" t="inlineStr">
        <is>
          <t>UPPSALA LÄN</t>
        </is>
      </c>
      <c r="E383" t="inlineStr">
        <is>
          <t>ÖSTHAMMAR</t>
        </is>
      </c>
      <c r="G383" t="n">
        <v>4.2</v>
      </c>
      <c r="H383" t="n">
        <v>0</v>
      </c>
      <c r="I383" t="n">
        <v>0</v>
      </c>
      <c r="J383" t="n">
        <v>0</v>
      </c>
      <c r="K383" t="n">
        <v>0</v>
      </c>
      <c r="L383" t="n">
        <v>0</v>
      </c>
      <c r="M383" t="n">
        <v>0</v>
      </c>
      <c r="N383" t="n">
        <v>0</v>
      </c>
      <c r="O383" t="n">
        <v>0</v>
      </c>
      <c r="P383" t="n">
        <v>0</v>
      </c>
      <c r="Q383" t="n">
        <v>0</v>
      </c>
      <c r="R383" s="2" t="inlineStr"/>
    </row>
    <row r="384" ht="15" customHeight="1">
      <c r="A384" t="inlineStr">
        <is>
          <t>A 27058-2025</t>
        </is>
      </c>
      <c r="B384" s="1" t="n">
        <v>45811.63436342592</v>
      </c>
      <c r="C384" s="1" t="n">
        <v>45885</v>
      </c>
      <c r="D384" t="inlineStr">
        <is>
          <t>UPPSALA LÄN</t>
        </is>
      </c>
      <c r="E384" t="inlineStr">
        <is>
          <t>ÖSTHAMMAR</t>
        </is>
      </c>
      <c r="F384" t="inlineStr">
        <is>
          <t>Bergvik skog öst AB</t>
        </is>
      </c>
      <c r="G384" t="n">
        <v>5.7</v>
      </c>
      <c r="H384" t="n">
        <v>0</v>
      </c>
      <c r="I384" t="n">
        <v>0</v>
      </c>
      <c r="J384" t="n">
        <v>0</v>
      </c>
      <c r="K384" t="n">
        <v>0</v>
      </c>
      <c r="L384" t="n">
        <v>0</v>
      </c>
      <c r="M384" t="n">
        <v>0</v>
      </c>
      <c r="N384" t="n">
        <v>0</v>
      </c>
      <c r="O384" t="n">
        <v>0</v>
      </c>
      <c r="P384" t="n">
        <v>0</v>
      </c>
      <c r="Q384" t="n">
        <v>0</v>
      </c>
      <c r="R384" s="2" t="inlineStr"/>
    </row>
    <row r="385" ht="15" customHeight="1">
      <c r="A385" t="inlineStr">
        <is>
          <t>A 47390-2023</t>
        </is>
      </c>
      <c r="B385" s="1" t="n">
        <v>45202</v>
      </c>
      <c r="C385" s="1" t="n">
        <v>45885</v>
      </c>
      <c r="D385" t="inlineStr">
        <is>
          <t>UPPSALA LÄN</t>
        </is>
      </c>
      <c r="E385" t="inlineStr">
        <is>
          <t>ÖSTHAMMAR</t>
        </is>
      </c>
      <c r="G385" t="n">
        <v>3.7</v>
      </c>
      <c r="H385" t="n">
        <v>0</v>
      </c>
      <c r="I385" t="n">
        <v>0</v>
      </c>
      <c r="J385" t="n">
        <v>0</v>
      </c>
      <c r="K385" t="n">
        <v>0</v>
      </c>
      <c r="L385" t="n">
        <v>0</v>
      </c>
      <c r="M385" t="n">
        <v>0</v>
      </c>
      <c r="N385" t="n">
        <v>0</v>
      </c>
      <c r="O385" t="n">
        <v>0</v>
      </c>
      <c r="P385" t="n">
        <v>0</v>
      </c>
      <c r="Q385" t="n">
        <v>0</v>
      </c>
      <c r="R385" s="2" t="inlineStr"/>
    </row>
    <row r="386" ht="15" customHeight="1">
      <c r="A386" t="inlineStr">
        <is>
          <t>A 27384-2025</t>
        </is>
      </c>
      <c r="B386" s="1" t="n">
        <v>45812.6672337963</v>
      </c>
      <c r="C386" s="1" t="n">
        <v>45885</v>
      </c>
      <c r="D386" t="inlineStr">
        <is>
          <t>UPPSALA LÄN</t>
        </is>
      </c>
      <c r="E386" t="inlineStr">
        <is>
          <t>ÖSTHAMMAR</t>
        </is>
      </c>
      <c r="G386" t="n">
        <v>1.6</v>
      </c>
      <c r="H386" t="n">
        <v>0</v>
      </c>
      <c r="I386" t="n">
        <v>0</v>
      </c>
      <c r="J386" t="n">
        <v>0</v>
      </c>
      <c r="K386" t="n">
        <v>0</v>
      </c>
      <c r="L386" t="n">
        <v>0</v>
      </c>
      <c r="M386" t="n">
        <v>0</v>
      </c>
      <c r="N386" t="n">
        <v>0</v>
      </c>
      <c r="O386" t="n">
        <v>0</v>
      </c>
      <c r="P386" t="n">
        <v>0</v>
      </c>
      <c r="Q386" t="n">
        <v>0</v>
      </c>
      <c r="R386" s="2" t="inlineStr"/>
    </row>
    <row r="387" ht="15" customHeight="1">
      <c r="A387" t="inlineStr">
        <is>
          <t>A 8830-2023</t>
        </is>
      </c>
      <c r="B387" s="1" t="n">
        <v>44978</v>
      </c>
      <c r="C387" s="1" t="n">
        <v>45885</v>
      </c>
      <c r="D387" t="inlineStr">
        <is>
          <t>UPPSALA LÄN</t>
        </is>
      </c>
      <c r="E387" t="inlineStr">
        <is>
          <t>ÖSTHAMMAR</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6106-2024</t>
        </is>
      </c>
      <c r="B388" s="1" t="n">
        <v>45337.36831018519</v>
      </c>
      <c r="C388" s="1" t="n">
        <v>45885</v>
      </c>
      <c r="D388" t="inlineStr">
        <is>
          <t>UPPSALA LÄN</t>
        </is>
      </c>
      <c r="E388" t="inlineStr">
        <is>
          <t>ÖSTHAMMAR</t>
        </is>
      </c>
      <c r="G388" t="n">
        <v>0.6</v>
      </c>
      <c r="H388" t="n">
        <v>0</v>
      </c>
      <c r="I388" t="n">
        <v>0</v>
      </c>
      <c r="J388" t="n">
        <v>0</v>
      </c>
      <c r="K388" t="n">
        <v>0</v>
      </c>
      <c r="L388" t="n">
        <v>0</v>
      </c>
      <c r="M388" t="n">
        <v>0</v>
      </c>
      <c r="N388" t="n">
        <v>0</v>
      </c>
      <c r="O388" t="n">
        <v>0</v>
      </c>
      <c r="P388" t="n">
        <v>0</v>
      </c>
      <c r="Q388" t="n">
        <v>0</v>
      </c>
      <c r="R388" s="2" t="inlineStr"/>
    </row>
    <row r="389" ht="15" customHeight="1">
      <c r="A389" t="inlineStr">
        <is>
          <t>A 33550-2024</t>
        </is>
      </c>
      <c r="B389" s="1" t="n">
        <v>45519.81043981481</v>
      </c>
      <c r="C389" s="1" t="n">
        <v>45885</v>
      </c>
      <c r="D389" t="inlineStr">
        <is>
          <t>UPPSALA LÄN</t>
        </is>
      </c>
      <c r="E389" t="inlineStr">
        <is>
          <t>ÖSTHAMMAR</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27350-2025</t>
        </is>
      </c>
      <c r="B390" s="1" t="n">
        <v>45812.62571759259</v>
      </c>
      <c r="C390" s="1" t="n">
        <v>45885</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27132-2025</t>
        </is>
      </c>
      <c r="B391" s="1" t="n">
        <v>45811</v>
      </c>
      <c r="C391" s="1" t="n">
        <v>45885</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62295-2022</t>
        </is>
      </c>
      <c r="B392" s="1" t="n">
        <v>44916</v>
      </c>
      <c r="C392" s="1" t="n">
        <v>45885</v>
      </c>
      <c r="D392" t="inlineStr">
        <is>
          <t>UPPSALA LÄN</t>
        </is>
      </c>
      <c r="E392" t="inlineStr">
        <is>
          <t>ÖSTHAMMAR</t>
        </is>
      </c>
      <c r="G392" t="n">
        <v>3.3</v>
      </c>
      <c r="H392" t="n">
        <v>0</v>
      </c>
      <c r="I392" t="n">
        <v>0</v>
      </c>
      <c r="J392" t="n">
        <v>0</v>
      </c>
      <c r="K392" t="n">
        <v>0</v>
      </c>
      <c r="L392" t="n">
        <v>0</v>
      </c>
      <c r="M392" t="n">
        <v>0</v>
      </c>
      <c r="N392" t="n">
        <v>0</v>
      </c>
      <c r="O392" t="n">
        <v>0</v>
      </c>
      <c r="P392" t="n">
        <v>0</v>
      </c>
      <c r="Q392" t="n">
        <v>0</v>
      </c>
      <c r="R392" s="2" t="inlineStr"/>
    </row>
    <row r="393" ht="15" customHeight="1">
      <c r="A393" t="inlineStr">
        <is>
          <t>A 8330-2025</t>
        </is>
      </c>
      <c r="B393" s="1" t="n">
        <v>45708</v>
      </c>
      <c r="C393" s="1" t="n">
        <v>45885</v>
      </c>
      <c r="D393" t="inlineStr">
        <is>
          <t>UPPSALA LÄN</t>
        </is>
      </c>
      <c r="E393" t="inlineStr">
        <is>
          <t>ÖSTHAMMAR</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22709-2021</t>
        </is>
      </c>
      <c r="B394" s="1" t="n">
        <v>44327.61518518518</v>
      </c>
      <c r="C394" s="1" t="n">
        <v>45885</v>
      </c>
      <c r="D394" t="inlineStr">
        <is>
          <t>UPPSALA LÄN</t>
        </is>
      </c>
      <c r="E394" t="inlineStr">
        <is>
          <t>ÖSTHAMMAR</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5188-2025</t>
        </is>
      </c>
      <c r="B395" s="1" t="n">
        <v>45691</v>
      </c>
      <c r="C395" s="1" t="n">
        <v>45885</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15928-2022</t>
        </is>
      </c>
      <c r="B396" s="1" t="n">
        <v>44664</v>
      </c>
      <c r="C396" s="1" t="n">
        <v>45885</v>
      </c>
      <c r="D396" t="inlineStr">
        <is>
          <t>UPPSALA LÄN</t>
        </is>
      </c>
      <c r="E396" t="inlineStr">
        <is>
          <t>ÖSTHAMMAR</t>
        </is>
      </c>
      <c r="G396" t="n">
        <v>1.4</v>
      </c>
      <c r="H396" t="n">
        <v>0</v>
      </c>
      <c r="I396" t="n">
        <v>0</v>
      </c>
      <c r="J396" t="n">
        <v>0</v>
      </c>
      <c r="K396" t="n">
        <v>0</v>
      </c>
      <c r="L396" t="n">
        <v>0</v>
      </c>
      <c r="M396" t="n">
        <v>0</v>
      </c>
      <c r="N396" t="n">
        <v>0</v>
      </c>
      <c r="O396" t="n">
        <v>0</v>
      </c>
      <c r="P396" t="n">
        <v>0</v>
      </c>
      <c r="Q396" t="n">
        <v>0</v>
      </c>
      <c r="R396" s="2" t="inlineStr"/>
    </row>
    <row r="397" ht="15" customHeight="1">
      <c r="A397" t="inlineStr">
        <is>
          <t>A 27676-2025</t>
        </is>
      </c>
      <c r="B397" s="1" t="n">
        <v>45813.63075231481</v>
      </c>
      <c r="C397" s="1" t="n">
        <v>45885</v>
      </c>
      <c r="D397" t="inlineStr">
        <is>
          <t>UPPSALA LÄN</t>
        </is>
      </c>
      <c r="E397" t="inlineStr">
        <is>
          <t>ÖSTHAMMAR</t>
        </is>
      </c>
      <c r="G397" t="n">
        <v>2.9</v>
      </c>
      <c r="H397" t="n">
        <v>0</v>
      </c>
      <c r="I397" t="n">
        <v>0</v>
      </c>
      <c r="J397" t="n">
        <v>0</v>
      </c>
      <c r="K397" t="n">
        <v>0</v>
      </c>
      <c r="L397" t="n">
        <v>0</v>
      </c>
      <c r="M397" t="n">
        <v>0</v>
      </c>
      <c r="N397" t="n">
        <v>0</v>
      </c>
      <c r="O397" t="n">
        <v>0</v>
      </c>
      <c r="P397" t="n">
        <v>0</v>
      </c>
      <c r="Q397" t="n">
        <v>0</v>
      </c>
      <c r="R397" s="2" t="inlineStr"/>
    </row>
    <row r="398" ht="15" customHeight="1">
      <c r="A398" t="inlineStr">
        <is>
          <t>A 32815-2024</t>
        </is>
      </c>
      <c r="B398" s="1" t="n">
        <v>45516.57682870371</v>
      </c>
      <c r="C398" s="1" t="n">
        <v>45885</v>
      </c>
      <c r="D398" t="inlineStr">
        <is>
          <t>UPPSALA LÄN</t>
        </is>
      </c>
      <c r="E398" t="inlineStr">
        <is>
          <t>ÖSTHAMMAR</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32884-2024</t>
        </is>
      </c>
      <c r="B399" s="1" t="n">
        <v>45516.72097222223</v>
      </c>
      <c r="C399" s="1" t="n">
        <v>45885</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27563-2025</t>
        </is>
      </c>
      <c r="B400" s="1" t="n">
        <v>45813.48471064815</v>
      </c>
      <c r="C400" s="1" t="n">
        <v>45885</v>
      </c>
      <c r="D400" t="inlineStr">
        <is>
          <t>UPPSALA LÄN</t>
        </is>
      </c>
      <c r="E400" t="inlineStr">
        <is>
          <t>ÖSTHAMMAR</t>
        </is>
      </c>
      <c r="F400" t="inlineStr">
        <is>
          <t>Bergvik skog öst AB</t>
        </is>
      </c>
      <c r="G400" t="n">
        <v>4</v>
      </c>
      <c r="H400" t="n">
        <v>0</v>
      </c>
      <c r="I400" t="n">
        <v>0</v>
      </c>
      <c r="J400" t="n">
        <v>0</v>
      </c>
      <c r="K400" t="n">
        <v>0</v>
      </c>
      <c r="L400" t="n">
        <v>0</v>
      </c>
      <c r="M400" t="n">
        <v>0</v>
      </c>
      <c r="N400" t="n">
        <v>0</v>
      </c>
      <c r="O400" t="n">
        <v>0</v>
      </c>
      <c r="P400" t="n">
        <v>0</v>
      </c>
      <c r="Q400" t="n">
        <v>0</v>
      </c>
      <c r="R400" s="2" t="inlineStr"/>
    </row>
    <row r="401" ht="15" customHeight="1">
      <c r="A401" t="inlineStr">
        <is>
          <t>A 28228-2022</t>
        </is>
      </c>
      <c r="B401" s="1" t="n">
        <v>44746.65873842593</v>
      </c>
      <c r="C401" s="1" t="n">
        <v>45885</v>
      </c>
      <c r="D401" t="inlineStr">
        <is>
          <t>UPPSALA LÄN</t>
        </is>
      </c>
      <c r="E401" t="inlineStr">
        <is>
          <t>ÖSTHAMMAR</t>
        </is>
      </c>
      <c r="G401" t="n">
        <v>2.7</v>
      </c>
      <c r="H401" t="n">
        <v>0</v>
      </c>
      <c r="I401" t="n">
        <v>0</v>
      </c>
      <c r="J401" t="n">
        <v>0</v>
      </c>
      <c r="K401" t="n">
        <v>0</v>
      </c>
      <c r="L401" t="n">
        <v>0</v>
      </c>
      <c r="M401" t="n">
        <v>0</v>
      </c>
      <c r="N401" t="n">
        <v>0</v>
      </c>
      <c r="O401" t="n">
        <v>0</v>
      </c>
      <c r="P401" t="n">
        <v>0</v>
      </c>
      <c r="Q401" t="n">
        <v>0</v>
      </c>
      <c r="R401" s="2" t="inlineStr"/>
    </row>
    <row r="402" ht="15" customHeight="1">
      <c r="A402" t="inlineStr">
        <is>
          <t>A 15445-2022</t>
        </is>
      </c>
      <c r="B402" s="1" t="n">
        <v>44660.4987962963</v>
      </c>
      <c r="C402" s="1" t="n">
        <v>45885</v>
      </c>
      <c r="D402" t="inlineStr">
        <is>
          <t>UPPSALA LÄN</t>
        </is>
      </c>
      <c r="E402" t="inlineStr">
        <is>
          <t>ÖSTHAMMAR</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27920-2025</t>
        </is>
      </c>
      <c r="B403" s="1" t="n">
        <v>45817.48454861111</v>
      </c>
      <c r="C403" s="1" t="n">
        <v>45885</v>
      </c>
      <c r="D403" t="inlineStr">
        <is>
          <t>UPPSALA LÄN</t>
        </is>
      </c>
      <c r="E403" t="inlineStr">
        <is>
          <t>ÖSTHAMMAR</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61261-2022</t>
        </is>
      </c>
      <c r="B404" s="1" t="n">
        <v>44915.59645833333</v>
      </c>
      <c r="C404" s="1" t="n">
        <v>45885</v>
      </c>
      <c r="D404" t="inlineStr">
        <is>
          <t>UPPSALA LÄN</t>
        </is>
      </c>
      <c r="E404" t="inlineStr">
        <is>
          <t>ÖSTHAMMAR</t>
        </is>
      </c>
      <c r="G404" t="n">
        <v>0.4</v>
      </c>
      <c r="H404" t="n">
        <v>0</v>
      </c>
      <c r="I404" t="n">
        <v>0</v>
      </c>
      <c r="J404" t="n">
        <v>0</v>
      </c>
      <c r="K404" t="n">
        <v>0</v>
      </c>
      <c r="L404" t="n">
        <v>0</v>
      </c>
      <c r="M404" t="n">
        <v>0</v>
      </c>
      <c r="N404" t="n">
        <v>0</v>
      </c>
      <c r="O404" t="n">
        <v>0</v>
      </c>
      <c r="P404" t="n">
        <v>0</v>
      </c>
      <c r="Q404" t="n">
        <v>0</v>
      </c>
      <c r="R404" s="2" t="inlineStr"/>
    </row>
    <row r="405" ht="15" customHeight="1">
      <c r="A405" t="inlineStr">
        <is>
          <t>A 4984-2024</t>
        </is>
      </c>
      <c r="B405" s="1" t="n">
        <v>45329</v>
      </c>
      <c r="C405" s="1" t="n">
        <v>45885</v>
      </c>
      <c r="D405" t="inlineStr">
        <is>
          <t>UPPSALA LÄN</t>
        </is>
      </c>
      <c r="E405" t="inlineStr">
        <is>
          <t>ÖSTHAMMAR</t>
        </is>
      </c>
      <c r="G405" t="n">
        <v>2.2</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44560.43136574074</v>
      </c>
      <c r="C406" s="1" t="n">
        <v>45885</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38630-2020</t>
        </is>
      </c>
      <c r="B407" s="1" t="n">
        <v>44061</v>
      </c>
      <c r="C407" s="1" t="n">
        <v>45885</v>
      </c>
      <c r="D407" t="inlineStr">
        <is>
          <t>UPPSALA LÄN</t>
        </is>
      </c>
      <c r="E407" t="inlineStr">
        <is>
          <t>ÖSTHAMMAR</t>
        </is>
      </c>
      <c r="F407" t="inlineStr">
        <is>
          <t>Bergvik skog öst AB</t>
        </is>
      </c>
      <c r="G407" t="n">
        <v>1.9</v>
      </c>
      <c r="H407" t="n">
        <v>0</v>
      </c>
      <c r="I407" t="n">
        <v>0</v>
      </c>
      <c r="J407" t="n">
        <v>0</v>
      </c>
      <c r="K407" t="n">
        <v>0</v>
      </c>
      <c r="L407" t="n">
        <v>0</v>
      </c>
      <c r="M407" t="n">
        <v>0</v>
      </c>
      <c r="N407" t="n">
        <v>0</v>
      </c>
      <c r="O407" t="n">
        <v>0</v>
      </c>
      <c r="P407" t="n">
        <v>0</v>
      </c>
      <c r="Q407" t="n">
        <v>0</v>
      </c>
      <c r="R407" s="2" t="inlineStr"/>
    </row>
    <row r="408" ht="15" customHeight="1">
      <c r="A408" t="inlineStr">
        <is>
          <t>A 10275-2025</t>
        </is>
      </c>
      <c r="B408" s="1" t="n">
        <v>45720.39715277778</v>
      </c>
      <c r="C408" s="1" t="n">
        <v>45885</v>
      </c>
      <c r="D408" t="inlineStr">
        <is>
          <t>UPPSALA LÄN</t>
        </is>
      </c>
      <c r="E408" t="inlineStr">
        <is>
          <t>ÖSTHAMMAR</t>
        </is>
      </c>
      <c r="G408" t="n">
        <v>6.2</v>
      </c>
      <c r="H408" t="n">
        <v>0</v>
      </c>
      <c r="I408" t="n">
        <v>0</v>
      </c>
      <c r="J408" t="n">
        <v>0</v>
      </c>
      <c r="K408" t="n">
        <v>0</v>
      </c>
      <c r="L408" t="n">
        <v>0</v>
      </c>
      <c r="M408" t="n">
        <v>0</v>
      </c>
      <c r="N408" t="n">
        <v>0</v>
      </c>
      <c r="O408" t="n">
        <v>0</v>
      </c>
      <c r="P408" t="n">
        <v>0</v>
      </c>
      <c r="Q408" t="n">
        <v>0</v>
      </c>
      <c r="R408" s="2" t="inlineStr"/>
    </row>
    <row r="409" ht="15" customHeight="1">
      <c r="A409" t="inlineStr">
        <is>
          <t>A 28100-2025</t>
        </is>
      </c>
      <c r="B409" s="1" t="n">
        <v>45817.83487268518</v>
      </c>
      <c r="C409" s="1" t="n">
        <v>45885</v>
      </c>
      <c r="D409" t="inlineStr">
        <is>
          <t>UPPSALA LÄN</t>
        </is>
      </c>
      <c r="E409" t="inlineStr">
        <is>
          <t>ÖSTHAMMAR</t>
        </is>
      </c>
      <c r="F409" t="inlineStr">
        <is>
          <t>Bergvik skog öst AB</t>
        </is>
      </c>
      <c r="G409" t="n">
        <v>3.2</v>
      </c>
      <c r="H409" t="n">
        <v>0</v>
      </c>
      <c r="I409" t="n">
        <v>0</v>
      </c>
      <c r="J409" t="n">
        <v>0</v>
      </c>
      <c r="K409" t="n">
        <v>0</v>
      </c>
      <c r="L409" t="n">
        <v>0</v>
      </c>
      <c r="M409" t="n">
        <v>0</v>
      </c>
      <c r="N409" t="n">
        <v>0</v>
      </c>
      <c r="O409" t="n">
        <v>0</v>
      </c>
      <c r="P409" t="n">
        <v>0</v>
      </c>
      <c r="Q409" t="n">
        <v>0</v>
      </c>
      <c r="R409" s="2" t="inlineStr"/>
    </row>
    <row r="410" ht="15" customHeight="1">
      <c r="A410" t="inlineStr">
        <is>
          <t>A 7543-2023</t>
        </is>
      </c>
      <c r="B410" s="1" t="n">
        <v>44972</v>
      </c>
      <c r="C410" s="1" t="n">
        <v>45885</v>
      </c>
      <c r="D410" t="inlineStr">
        <is>
          <t>UPPSALA LÄN</t>
        </is>
      </c>
      <c r="E410" t="inlineStr">
        <is>
          <t>ÖSTHAMMAR</t>
        </is>
      </c>
      <c r="F410" t="inlineStr">
        <is>
          <t>Bergvik skog öst AB</t>
        </is>
      </c>
      <c r="G410" t="n">
        <v>13.3</v>
      </c>
      <c r="H410" t="n">
        <v>0</v>
      </c>
      <c r="I410" t="n">
        <v>0</v>
      </c>
      <c r="J410" t="n">
        <v>0</v>
      </c>
      <c r="K410" t="n">
        <v>0</v>
      </c>
      <c r="L410" t="n">
        <v>0</v>
      </c>
      <c r="M410" t="n">
        <v>0</v>
      </c>
      <c r="N410" t="n">
        <v>0</v>
      </c>
      <c r="O410" t="n">
        <v>0</v>
      </c>
      <c r="P410" t="n">
        <v>0</v>
      </c>
      <c r="Q410" t="n">
        <v>0</v>
      </c>
      <c r="R410" s="2" t="inlineStr"/>
    </row>
    <row r="411" ht="15" customHeight="1">
      <c r="A411" t="inlineStr">
        <is>
          <t>A 20634-2024</t>
        </is>
      </c>
      <c r="B411" s="1" t="n">
        <v>45436</v>
      </c>
      <c r="C411" s="1" t="n">
        <v>45885</v>
      </c>
      <c r="D411" t="inlineStr">
        <is>
          <t>UPPSALA LÄN</t>
        </is>
      </c>
      <c r="E411" t="inlineStr">
        <is>
          <t>ÖSTHAMMAR</t>
        </is>
      </c>
      <c r="G411" t="n">
        <v>6.5</v>
      </c>
      <c r="H411" t="n">
        <v>0</v>
      </c>
      <c r="I411" t="n">
        <v>0</v>
      </c>
      <c r="J411" t="n">
        <v>0</v>
      </c>
      <c r="K411" t="n">
        <v>0</v>
      </c>
      <c r="L411" t="n">
        <v>0</v>
      </c>
      <c r="M411" t="n">
        <v>0</v>
      </c>
      <c r="N411" t="n">
        <v>0</v>
      </c>
      <c r="O411" t="n">
        <v>0</v>
      </c>
      <c r="P411" t="n">
        <v>0</v>
      </c>
      <c r="Q411" t="n">
        <v>0</v>
      </c>
      <c r="R411" s="2" t="inlineStr"/>
    </row>
    <row r="412" ht="15" customHeight="1">
      <c r="A412" t="inlineStr">
        <is>
          <t>A 28099-2025</t>
        </is>
      </c>
      <c r="B412" s="1" t="n">
        <v>45817.82967592592</v>
      </c>
      <c r="C412" s="1" t="n">
        <v>45885</v>
      </c>
      <c r="D412" t="inlineStr">
        <is>
          <t>UPPSALA LÄN</t>
        </is>
      </c>
      <c r="E412" t="inlineStr">
        <is>
          <t>ÖSTHAMMAR</t>
        </is>
      </c>
      <c r="F412" t="inlineStr">
        <is>
          <t>Bergvik skog öst AB</t>
        </is>
      </c>
      <c r="G412" t="n">
        <v>2.2</v>
      </c>
      <c r="H412" t="n">
        <v>0</v>
      </c>
      <c r="I412" t="n">
        <v>0</v>
      </c>
      <c r="J412" t="n">
        <v>0</v>
      </c>
      <c r="K412" t="n">
        <v>0</v>
      </c>
      <c r="L412" t="n">
        <v>0</v>
      </c>
      <c r="M412" t="n">
        <v>0</v>
      </c>
      <c r="N412" t="n">
        <v>0</v>
      </c>
      <c r="O412" t="n">
        <v>0</v>
      </c>
      <c r="P412" t="n">
        <v>0</v>
      </c>
      <c r="Q412" t="n">
        <v>0</v>
      </c>
      <c r="R412" s="2" t="inlineStr"/>
    </row>
    <row r="413" ht="15" customHeight="1">
      <c r="A413" t="inlineStr">
        <is>
          <t>A 44832-2024</t>
        </is>
      </c>
      <c r="B413" s="1" t="n">
        <v>45574.68994212963</v>
      </c>
      <c r="C413" s="1" t="n">
        <v>45885</v>
      </c>
      <c r="D413" t="inlineStr">
        <is>
          <t>UPPSALA LÄN</t>
        </is>
      </c>
      <c r="E413" t="inlineStr">
        <is>
          <t>ÖSTHAMMAR</t>
        </is>
      </c>
      <c r="G413" t="n">
        <v>6.6</v>
      </c>
      <c r="H413" t="n">
        <v>0</v>
      </c>
      <c r="I413" t="n">
        <v>0</v>
      </c>
      <c r="J413" t="n">
        <v>0</v>
      </c>
      <c r="K413" t="n">
        <v>0</v>
      </c>
      <c r="L413" t="n">
        <v>0</v>
      </c>
      <c r="M413" t="n">
        <v>0</v>
      </c>
      <c r="N413" t="n">
        <v>0</v>
      </c>
      <c r="O413" t="n">
        <v>0</v>
      </c>
      <c r="P413" t="n">
        <v>0</v>
      </c>
      <c r="Q413" t="n">
        <v>0</v>
      </c>
      <c r="R413" s="2" t="inlineStr"/>
    </row>
    <row r="414" ht="15" customHeight="1">
      <c r="A414" t="inlineStr">
        <is>
          <t>A 14124-2022</t>
        </is>
      </c>
      <c r="B414" s="1" t="n">
        <v>44651.40924768519</v>
      </c>
      <c r="C414" s="1" t="n">
        <v>45885</v>
      </c>
      <c r="D414" t="inlineStr">
        <is>
          <t>UPPSALA LÄN</t>
        </is>
      </c>
      <c r="E414" t="inlineStr">
        <is>
          <t>ÖSTHAMMAR</t>
        </is>
      </c>
      <c r="F414" t="inlineStr">
        <is>
          <t>Bergvik skog öst AB</t>
        </is>
      </c>
      <c r="G414" t="n">
        <v>0.9</v>
      </c>
      <c r="H414" t="n">
        <v>0</v>
      </c>
      <c r="I414" t="n">
        <v>0</v>
      </c>
      <c r="J414" t="n">
        <v>0</v>
      </c>
      <c r="K414" t="n">
        <v>0</v>
      </c>
      <c r="L414" t="n">
        <v>0</v>
      </c>
      <c r="M414" t="n">
        <v>0</v>
      </c>
      <c r="N414" t="n">
        <v>0</v>
      </c>
      <c r="O414" t="n">
        <v>0</v>
      </c>
      <c r="P414" t="n">
        <v>0</v>
      </c>
      <c r="Q414" t="n">
        <v>0</v>
      </c>
      <c r="R414" s="2" t="inlineStr"/>
    </row>
    <row r="415" ht="15" customHeight="1">
      <c r="A415" t="inlineStr">
        <is>
          <t>A 27812-2025</t>
        </is>
      </c>
      <c r="B415" s="1" t="n">
        <v>45817.32150462963</v>
      </c>
      <c r="C415" s="1" t="n">
        <v>45885</v>
      </c>
      <c r="D415" t="inlineStr">
        <is>
          <t>UPPSALA LÄN</t>
        </is>
      </c>
      <c r="E415" t="inlineStr">
        <is>
          <t>ÖSTHAMMAR</t>
        </is>
      </c>
      <c r="F415" t="inlineStr">
        <is>
          <t>Bergvik skog öst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37812-2022</t>
        </is>
      </c>
      <c r="B416" s="1" t="n">
        <v>44810</v>
      </c>
      <c r="C416" s="1" t="n">
        <v>45885</v>
      </c>
      <c r="D416" t="inlineStr">
        <is>
          <t>UPPSALA LÄN</t>
        </is>
      </c>
      <c r="E416" t="inlineStr">
        <is>
          <t>ÖSTHAMMAR</t>
        </is>
      </c>
      <c r="G416" t="n">
        <v>1</v>
      </c>
      <c r="H416" t="n">
        <v>0</v>
      </c>
      <c r="I416" t="n">
        <v>0</v>
      </c>
      <c r="J416" t="n">
        <v>0</v>
      </c>
      <c r="K416" t="n">
        <v>0</v>
      </c>
      <c r="L416" t="n">
        <v>0</v>
      </c>
      <c r="M416" t="n">
        <v>0</v>
      </c>
      <c r="N416" t="n">
        <v>0</v>
      </c>
      <c r="O416" t="n">
        <v>0</v>
      </c>
      <c r="P416" t="n">
        <v>0</v>
      </c>
      <c r="Q416" t="n">
        <v>0</v>
      </c>
      <c r="R416" s="2" t="inlineStr"/>
    </row>
    <row r="417" ht="15" customHeight="1">
      <c r="A417" t="inlineStr">
        <is>
          <t>A 28101-2025</t>
        </is>
      </c>
      <c r="B417" s="1" t="n">
        <v>45817.83736111111</v>
      </c>
      <c r="C417" s="1" t="n">
        <v>45885</v>
      </c>
      <c r="D417" t="inlineStr">
        <is>
          <t>UPPSALA LÄN</t>
        </is>
      </c>
      <c r="E417" t="inlineStr">
        <is>
          <t>ÖSTHAMMAR</t>
        </is>
      </c>
      <c r="F417" t="inlineStr">
        <is>
          <t>Bergvik skog öst AB</t>
        </is>
      </c>
      <c r="G417" t="n">
        <v>0.6</v>
      </c>
      <c r="H417" t="n">
        <v>0</v>
      </c>
      <c r="I417" t="n">
        <v>0</v>
      </c>
      <c r="J417" t="n">
        <v>0</v>
      </c>
      <c r="K417" t="n">
        <v>0</v>
      </c>
      <c r="L417" t="n">
        <v>0</v>
      </c>
      <c r="M417" t="n">
        <v>0</v>
      </c>
      <c r="N417" t="n">
        <v>0</v>
      </c>
      <c r="O417" t="n">
        <v>0</v>
      </c>
      <c r="P417" t="n">
        <v>0</v>
      </c>
      <c r="Q417" t="n">
        <v>0</v>
      </c>
      <c r="R417" s="2" t="inlineStr"/>
    </row>
    <row r="418" ht="15" customHeight="1">
      <c r="A418" t="inlineStr">
        <is>
          <t>A 19501-2025</t>
        </is>
      </c>
      <c r="B418" s="1" t="n">
        <v>45770.4015625</v>
      </c>
      <c r="C418" s="1" t="n">
        <v>45885</v>
      </c>
      <c r="D418" t="inlineStr">
        <is>
          <t>UPPSALA LÄN</t>
        </is>
      </c>
      <c r="E418" t="inlineStr">
        <is>
          <t>ÖSTHAMMAR</t>
        </is>
      </c>
      <c r="F418" t="inlineStr">
        <is>
          <t>Övriga Aktiebolag</t>
        </is>
      </c>
      <c r="G418" t="n">
        <v>17.3</v>
      </c>
      <c r="H418" t="n">
        <v>0</v>
      </c>
      <c r="I418" t="n">
        <v>0</v>
      </c>
      <c r="J418" t="n">
        <v>0</v>
      </c>
      <c r="K418" t="n">
        <v>0</v>
      </c>
      <c r="L418" t="n">
        <v>0</v>
      </c>
      <c r="M418" t="n">
        <v>0</v>
      </c>
      <c r="N418" t="n">
        <v>0</v>
      </c>
      <c r="O418" t="n">
        <v>0</v>
      </c>
      <c r="P418" t="n">
        <v>0</v>
      </c>
      <c r="Q418" t="n">
        <v>0</v>
      </c>
      <c r="R418" s="2" t="inlineStr"/>
    </row>
    <row r="419" ht="15" customHeight="1">
      <c r="A419" t="inlineStr">
        <is>
          <t>A 41821-2023</t>
        </is>
      </c>
      <c r="B419" s="1" t="n">
        <v>45176</v>
      </c>
      <c r="C419" s="1" t="n">
        <v>45885</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27919-2025</t>
        </is>
      </c>
      <c r="B420" s="1" t="n">
        <v>45817.48384259259</v>
      </c>
      <c r="C420" s="1" t="n">
        <v>45885</v>
      </c>
      <c r="D420" t="inlineStr">
        <is>
          <t>UPPSALA LÄN</t>
        </is>
      </c>
      <c r="E420" t="inlineStr">
        <is>
          <t>ÖSTHAMMAR</t>
        </is>
      </c>
      <c r="F420" t="inlineStr">
        <is>
          <t>Bergvik skog öst AB</t>
        </is>
      </c>
      <c r="G420" t="n">
        <v>3.5</v>
      </c>
      <c r="H420" t="n">
        <v>0</v>
      </c>
      <c r="I420" t="n">
        <v>0</v>
      </c>
      <c r="J420" t="n">
        <v>0</v>
      </c>
      <c r="K420" t="n">
        <v>0</v>
      </c>
      <c r="L420" t="n">
        <v>0</v>
      </c>
      <c r="M420" t="n">
        <v>0</v>
      </c>
      <c r="N420" t="n">
        <v>0</v>
      </c>
      <c r="O420" t="n">
        <v>0</v>
      </c>
      <c r="P420" t="n">
        <v>0</v>
      </c>
      <c r="Q420" t="n">
        <v>0</v>
      </c>
      <c r="R420" s="2" t="inlineStr"/>
    </row>
    <row r="421" ht="15" customHeight="1">
      <c r="A421" t="inlineStr">
        <is>
          <t>A 27853-2025</t>
        </is>
      </c>
      <c r="B421" s="1" t="n">
        <v>45817.40178240741</v>
      </c>
      <c r="C421" s="1" t="n">
        <v>45885</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52650-2022</t>
        </is>
      </c>
      <c r="B422" s="1" t="n">
        <v>44874</v>
      </c>
      <c r="C422" s="1" t="n">
        <v>45885</v>
      </c>
      <c r="D422" t="inlineStr">
        <is>
          <t>UPPSALA LÄN</t>
        </is>
      </c>
      <c r="E422" t="inlineStr">
        <is>
          <t>ÖSTHAMMAR</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32742-2022</t>
        </is>
      </c>
      <c r="B423" s="1" t="n">
        <v>44783.69886574074</v>
      </c>
      <c r="C423" s="1" t="n">
        <v>45885</v>
      </c>
      <c r="D423" t="inlineStr">
        <is>
          <t>UPPSALA LÄN</t>
        </is>
      </c>
      <c r="E423" t="inlineStr">
        <is>
          <t>ÖSTHAMMAR</t>
        </is>
      </c>
      <c r="F423" t="inlineStr">
        <is>
          <t>Bergvik skog öst AB</t>
        </is>
      </c>
      <c r="G423" t="n">
        <v>0.9</v>
      </c>
      <c r="H423" t="n">
        <v>0</v>
      </c>
      <c r="I423" t="n">
        <v>0</v>
      </c>
      <c r="J423" t="n">
        <v>0</v>
      </c>
      <c r="K423" t="n">
        <v>0</v>
      </c>
      <c r="L423" t="n">
        <v>0</v>
      </c>
      <c r="M423" t="n">
        <v>0</v>
      </c>
      <c r="N423" t="n">
        <v>0</v>
      </c>
      <c r="O423" t="n">
        <v>0</v>
      </c>
      <c r="P423" t="n">
        <v>0</v>
      </c>
      <c r="Q423" t="n">
        <v>0</v>
      </c>
      <c r="R423" s="2" t="inlineStr"/>
    </row>
    <row r="424" ht="15" customHeight="1">
      <c r="A424" t="inlineStr">
        <is>
          <t>A 41308-2023</t>
        </is>
      </c>
      <c r="B424" s="1" t="n">
        <v>45174.62788194444</v>
      </c>
      <c r="C424" s="1" t="n">
        <v>45885</v>
      </c>
      <c r="D424" t="inlineStr">
        <is>
          <t>UPPSALA LÄN</t>
        </is>
      </c>
      <c r="E424" t="inlineStr">
        <is>
          <t>ÖSTHAMMAR</t>
        </is>
      </c>
      <c r="F424" t="inlineStr">
        <is>
          <t>Övriga Aktiebolag</t>
        </is>
      </c>
      <c r="G424" t="n">
        <v>2.8</v>
      </c>
      <c r="H424" t="n">
        <v>0</v>
      </c>
      <c r="I424" t="n">
        <v>0</v>
      </c>
      <c r="J424" t="n">
        <v>0</v>
      </c>
      <c r="K424" t="n">
        <v>0</v>
      </c>
      <c r="L424" t="n">
        <v>0</v>
      </c>
      <c r="M424" t="n">
        <v>0</v>
      </c>
      <c r="N424" t="n">
        <v>0</v>
      </c>
      <c r="O424" t="n">
        <v>0</v>
      </c>
      <c r="P424" t="n">
        <v>0</v>
      </c>
      <c r="Q424" t="n">
        <v>0</v>
      </c>
      <c r="R424" s="2" t="inlineStr"/>
    </row>
    <row r="425" ht="15" customHeight="1">
      <c r="A425" t="inlineStr">
        <is>
          <t>A 52661-2022</t>
        </is>
      </c>
      <c r="B425" s="1" t="n">
        <v>44874</v>
      </c>
      <c r="C425" s="1" t="n">
        <v>45885</v>
      </c>
      <c r="D425" t="inlineStr">
        <is>
          <t>UPPSALA LÄN</t>
        </is>
      </c>
      <c r="E425" t="inlineStr">
        <is>
          <t>ÖSTHAMMAR</t>
        </is>
      </c>
      <c r="F425" t="inlineStr">
        <is>
          <t>Bergvik skog öst AB</t>
        </is>
      </c>
      <c r="G425" t="n">
        <v>0.2</v>
      </c>
      <c r="H425" t="n">
        <v>0</v>
      </c>
      <c r="I425" t="n">
        <v>0</v>
      </c>
      <c r="J425" t="n">
        <v>0</v>
      </c>
      <c r="K425" t="n">
        <v>0</v>
      </c>
      <c r="L425" t="n">
        <v>0</v>
      </c>
      <c r="M425" t="n">
        <v>0</v>
      </c>
      <c r="N425" t="n">
        <v>0</v>
      </c>
      <c r="O425" t="n">
        <v>0</v>
      </c>
      <c r="P425" t="n">
        <v>0</v>
      </c>
      <c r="Q425" t="n">
        <v>0</v>
      </c>
      <c r="R425" s="2" t="inlineStr"/>
    </row>
    <row r="426" ht="15" customHeight="1">
      <c r="A426" t="inlineStr">
        <is>
          <t>A 27509-2025</t>
        </is>
      </c>
      <c r="B426" s="1" t="n">
        <v>45813.4278125</v>
      </c>
      <c r="C426" s="1" t="n">
        <v>45885</v>
      </c>
      <c r="D426" t="inlineStr">
        <is>
          <t>UPPSALA LÄN</t>
        </is>
      </c>
      <c r="E426" t="inlineStr">
        <is>
          <t>ÖSTHAMMAR</t>
        </is>
      </c>
      <c r="F426" t="inlineStr">
        <is>
          <t>Bergvik skog öst AB</t>
        </is>
      </c>
      <c r="G426" t="n">
        <v>3.3</v>
      </c>
      <c r="H426" t="n">
        <v>0</v>
      </c>
      <c r="I426" t="n">
        <v>0</v>
      </c>
      <c r="J426" t="n">
        <v>0</v>
      </c>
      <c r="K426" t="n">
        <v>0</v>
      </c>
      <c r="L426" t="n">
        <v>0</v>
      </c>
      <c r="M426" t="n">
        <v>0</v>
      </c>
      <c r="N426" t="n">
        <v>0</v>
      </c>
      <c r="O426" t="n">
        <v>0</v>
      </c>
      <c r="P426" t="n">
        <v>0</v>
      </c>
      <c r="Q426" t="n">
        <v>0</v>
      </c>
      <c r="R426" s="2" t="inlineStr"/>
    </row>
    <row r="427" ht="15" customHeight="1">
      <c r="A427" t="inlineStr">
        <is>
          <t>A 3732-2022</t>
        </is>
      </c>
      <c r="B427" s="1" t="n">
        <v>44586.64851851852</v>
      </c>
      <c r="C427" s="1" t="n">
        <v>45885</v>
      </c>
      <c r="D427" t="inlineStr">
        <is>
          <t>UPPSALA LÄN</t>
        </is>
      </c>
      <c r="E427" t="inlineStr">
        <is>
          <t>ÖSTHAMMAR</t>
        </is>
      </c>
      <c r="F427" t="inlineStr">
        <is>
          <t>Bergvik skog öst AB</t>
        </is>
      </c>
      <c r="G427" t="n">
        <v>3.6</v>
      </c>
      <c r="H427" t="n">
        <v>0</v>
      </c>
      <c r="I427" t="n">
        <v>0</v>
      </c>
      <c r="J427" t="n">
        <v>0</v>
      </c>
      <c r="K427" t="n">
        <v>0</v>
      </c>
      <c r="L427" t="n">
        <v>0</v>
      </c>
      <c r="M427" t="n">
        <v>0</v>
      </c>
      <c r="N427" t="n">
        <v>0</v>
      </c>
      <c r="O427" t="n">
        <v>0</v>
      </c>
      <c r="P427" t="n">
        <v>0</v>
      </c>
      <c r="Q427" t="n">
        <v>0</v>
      </c>
      <c r="R427" s="2" t="inlineStr"/>
    </row>
    <row r="428" ht="15" customHeight="1">
      <c r="A428" t="inlineStr">
        <is>
          <t>A 49833-2023</t>
        </is>
      </c>
      <c r="B428" s="1" t="n">
        <v>45212.71481481481</v>
      </c>
      <c r="C428" s="1" t="n">
        <v>45885</v>
      </c>
      <c r="D428" t="inlineStr">
        <is>
          <t>UPPSALA LÄN</t>
        </is>
      </c>
      <c r="E428" t="inlineStr">
        <is>
          <t>ÖSTHAMMAR</t>
        </is>
      </c>
      <c r="F428" t="inlineStr">
        <is>
          <t>Bergvik skog öst AB</t>
        </is>
      </c>
      <c r="G428" t="n">
        <v>0.4</v>
      </c>
      <c r="H428" t="n">
        <v>0</v>
      </c>
      <c r="I428" t="n">
        <v>0</v>
      </c>
      <c r="J428" t="n">
        <v>0</v>
      </c>
      <c r="K428" t="n">
        <v>0</v>
      </c>
      <c r="L428" t="n">
        <v>0</v>
      </c>
      <c r="M428" t="n">
        <v>0</v>
      </c>
      <c r="N428" t="n">
        <v>0</v>
      </c>
      <c r="O428" t="n">
        <v>0</v>
      </c>
      <c r="P428" t="n">
        <v>0</v>
      </c>
      <c r="Q428" t="n">
        <v>0</v>
      </c>
      <c r="R428" s="2" t="inlineStr"/>
    </row>
    <row r="429" ht="15" customHeight="1">
      <c r="A429" t="inlineStr">
        <is>
          <t>A 38003-2024</t>
        </is>
      </c>
      <c r="B429" s="1" t="n">
        <v>45544</v>
      </c>
      <c r="C429" s="1" t="n">
        <v>45885</v>
      </c>
      <c r="D429" t="inlineStr">
        <is>
          <t>UPPSALA LÄN</t>
        </is>
      </c>
      <c r="E429" t="inlineStr">
        <is>
          <t>ÖSTHAMMAR</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1575-2025</t>
        </is>
      </c>
      <c r="B430" s="1" t="n">
        <v>45670</v>
      </c>
      <c r="C430" s="1" t="n">
        <v>45885</v>
      </c>
      <c r="D430" t="inlineStr">
        <is>
          <t>UPPSALA LÄN</t>
        </is>
      </c>
      <c r="E430" t="inlineStr">
        <is>
          <t>ÖSTHAMMAR</t>
        </is>
      </c>
      <c r="G430" t="n">
        <v>0.4</v>
      </c>
      <c r="H430" t="n">
        <v>0</v>
      </c>
      <c r="I430" t="n">
        <v>0</v>
      </c>
      <c r="J430" t="n">
        <v>0</v>
      </c>
      <c r="K430" t="n">
        <v>0</v>
      </c>
      <c r="L430" t="n">
        <v>0</v>
      </c>
      <c r="M430" t="n">
        <v>0</v>
      </c>
      <c r="N430" t="n">
        <v>0</v>
      </c>
      <c r="O430" t="n">
        <v>0</v>
      </c>
      <c r="P430" t="n">
        <v>0</v>
      </c>
      <c r="Q430" t="n">
        <v>0</v>
      </c>
      <c r="R430" s="2" t="inlineStr"/>
    </row>
    <row r="431" ht="15" customHeight="1">
      <c r="A431" t="inlineStr">
        <is>
          <t>A 16141-2022</t>
        </is>
      </c>
      <c r="B431" s="1" t="n">
        <v>44665</v>
      </c>
      <c r="C431" s="1" t="n">
        <v>45885</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17433-2025</t>
        </is>
      </c>
      <c r="B432" s="1" t="n">
        <v>45757.40733796296</v>
      </c>
      <c r="C432" s="1" t="n">
        <v>45885</v>
      </c>
      <c r="D432" t="inlineStr">
        <is>
          <t>UPPSALA LÄN</t>
        </is>
      </c>
      <c r="E432" t="inlineStr">
        <is>
          <t>ÖSTHAMMAR</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45550-2023</t>
        </is>
      </c>
      <c r="B433" s="1" t="n">
        <v>45194.57125</v>
      </c>
      <c r="C433" s="1" t="n">
        <v>45885</v>
      </c>
      <c r="D433" t="inlineStr">
        <is>
          <t>UPPSALA LÄN</t>
        </is>
      </c>
      <c r="E433" t="inlineStr">
        <is>
          <t>ÖSTHAMMAR</t>
        </is>
      </c>
      <c r="F433" t="inlineStr">
        <is>
          <t>Bergvik skog öst AB</t>
        </is>
      </c>
      <c r="G433" t="n">
        <v>0.4</v>
      </c>
      <c r="H433" t="n">
        <v>0</v>
      </c>
      <c r="I433" t="n">
        <v>0</v>
      </c>
      <c r="J433" t="n">
        <v>0</v>
      </c>
      <c r="K433" t="n">
        <v>0</v>
      </c>
      <c r="L433" t="n">
        <v>0</v>
      </c>
      <c r="M433" t="n">
        <v>0</v>
      </c>
      <c r="N433" t="n">
        <v>0</v>
      </c>
      <c r="O433" t="n">
        <v>0</v>
      </c>
      <c r="P433" t="n">
        <v>0</v>
      </c>
      <c r="Q433" t="n">
        <v>0</v>
      </c>
      <c r="R433" s="2" t="inlineStr"/>
    </row>
    <row r="434" ht="15" customHeight="1">
      <c r="A434" t="inlineStr">
        <is>
          <t>A 28152-2024</t>
        </is>
      </c>
      <c r="B434" s="1" t="n">
        <v>45476.77056712963</v>
      </c>
      <c r="C434" s="1" t="n">
        <v>45885</v>
      </c>
      <c r="D434" t="inlineStr">
        <is>
          <t>UPPSALA LÄN</t>
        </is>
      </c>
      <c r="E434" t="inlineStr">
        <is>
          <t>ÖSTHAMMAR</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54368-2023</t>
        </is>
      </c>
      <c r="B435" s="1" t="n">
        <v>45233.33221064815</v>
      </c>
      <c r="C435" s="1" t="n">
        <v>45885</v>
      </c>
      <c r="D435" t="inlineStr">
        <is>
          <t>UPPSALA LÄN</t>
        </is>
      </c>
      <c r="E435" t="inlineStr">
        <is>
          <t>ÖSTHAMMAR</t>
        </is>
      </c>
      <c r="F435" t="inlineStr">
        <is>
          <t>Bergvik skog öst AB</t>
        </is>
      </c>
      <c r="G435" t="n">
        <v>3</v>
      </c>
      <c r="H435" t="n">
        <v>0</v>
      </c>
      <c r="I435" t="n">
        <v>0</v>
      </c>
      <c r="J435" t="n">
        <v>0</v>
      </c>
      <c r="K435" t="n">
        <v>0</v>
      </c>
      <c r="L435" t="n">
        <v>0</v>
      </c>
      <c r="M435" t="n">
        <v>0</v>
      </c>
      <c r="N435" t="n">
        <v>0</v>
      </c>
      <c r="O435" t="n">
        <v>0</v>
      </c>
      <c r="P435" t="n">
        <v>0</v>
      </c>
      <c r="Q435" t="n">
        <v>0</v>
      </c>
      <c r="R435" s="2" t="inlineStr"/>
    </row>
    <row r="436" ht="15" customHeight="1">
      <c r="A436" t="inlineStr">
        <is>
          <t>A 28745-2025</t>
        </is>
      </c>
      <c r="B436" s="1" t="n">
        <v>45820.39076388889</v>
      </c>
      <c r="C436" s="1" t="n">
        <v>45885</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28748-2025</t>
        </is>
      </c>
      <c r="B437" s="1" t="n">
        <v>45820.39540509259</v>
      </c>
      <c r="C437" s="1" t="n">
        <v>45885</v>
      </c>
      <c r="D437" t="inlineStr">
        <is>
          <t>UPPSALA LÄN</t>
        </is>
      </c>
      <c r="E437" t="inlineStr">
        <is>
          <t>ÖSTHAMMAR</t>
        </is>
      </c>
      <c r="G437" t="n">
        <v>2</v>
      </c>
      <c r="H437" t="n">
        <v>0</v>
      </c>
      <c r="I437" t="n">
        <v>0</v>
      </c>
      <c r="J437" t="n">
        <v>0</v>
      </c>
      <c r="K437" t="n">
        <v>0</v>
      </c>
      <c r="L437" t="n">
        <v>0</v>
      </c>
      <c r="M437" t="n">
        <v>0</v>
      </c>
      <c r="N437" t="n">
        <v>0</v>
      </c>
      <c r="O437" t="n">
        <v>0</v>
      </c>
      <c r="P437" t="n">
        <v>0</v>
      </c>
      <c r="Q437" t="n">
        <v>0</v>
      </c>
      <c r="R437" s="2" t="inlineStr"/>
    </row>
    <row r="438" ht="15" customHeight="1">
      <c r="A438" t="inlineStr">
        <is>
          <t>A 28442-2025</t>
        </is>
      </c>
      <c r="B438" s="1" t="n">
        <v>45819</v>
      </c>
      <c r="C438" s="1" t="n">
        <v>45885</v>
      </c>
      <c r="D438" t="inlineStr">
        <is>
          <t>UPPSALA LÄN</t>
        </is>
      </c>
      <c r="E438" t="inlineStr">
        <is>
          <t>ÖSTHAMMAR</t>
        </is>
      </c>
      <c r="F438" t="inlineStr">
        <is>
          <t>Övriga Aktiebolag</t>
        </is>
      </c>
      <c r="G438" t="n">
        <v>1.8</v>
      </c>
      <c r="H438" t="n">
        <v>0</v>
      </c>
      <c r="I438" t="n">
        <v>0</v>
      </c>
      <c r="J438" t="n">
        <v>0</v>
      </c>
      <c r="K438" t="n">
        <v>0</v>
      </c>
      <c r="L438" t="n">
        <v>0</v>
      </c>
      <c r="M438" t="n">
        <v>0</v>
      </c>
      <c r="N438" t="n">
        <v>0</v>
      </c>
      <c r="O438" t="n">
        <v>0</v>
      </c>
      <c r="P438" t="n">
        <v>0</v>
      </c>
      <c r="Q438" t="n">
        <v>0</v>
      </c>
      <c r="R438" s="2" t="inlineStr"/>
    </row>
    <row r="439" ht="15" customHeight="1">
      <c r="A439" t="inlineStr">
        <is>
          <t>A 59807-2020</t>
        </is>
      </c>
      <c r="B439" s="1" t="n">
        <v>44151</v>
      </c>
      <c r="C439" s="1" t="n">
        <v>45885</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23728-2025</t>
        </is>
      </c>
      <c r="B440" s="1" t="n">
        <v>45793.41719907407</v>
      </c>
      <c r="C440" s="1" t="n">
        <v>45885</v>
      </c>
      <c r="D440" t="inlineStr">
        <is>
          <t>UPPSALA LÄN</t>
        </is>
      </c>
      <c r="E440" t="inlineStr">
        <is>
          <t>ÖSTHAMMAR</t>
        </is>
      </c>
      <c r="G440" t="n">
        <v>1.1</v>
      </c>
      <c r="H440" t="n">
        <v>0</v>
      </c>
      <c r="I440" t="n">
        <v>0</v>
      </c>
      <c r="J440" t="n">
        <v>0</v>
      </c>
      <c r="K440" t="n">
        <v>0</v>
      </c>
      <c r="L440" t="n">
        <v>0</v>
      </c>
      <c r="M440" t="n">
        <v>0</v>
      </c>
      <c r="N440" t="n">
        <v>0</v>
      </c>
      <c r="O440" t="n">
        <v>0</v>
      </c>
      <c r="P440" t="n">
        <v>0</v>
      </c>
      <c r="Q440" t="n">
        <v>0</v>
      </c>
      <c r="R440" s="2" t="inlineStr"/>
    </row>
    <row r="441" ht="15" customHeight="1">
      <c r="A441" t="inlineStr">
        <is>
          <t>A 57453-2022</t>
        </is>
      </c>
      <c r="B441" s="1" t="n">
        <v>44896.56266203704</v>
      </c>
      <c r="C441" s="1" t="n">
        <v>45885</v>
      </c>
      <c r="D441" t="inlineStr">
        <is>
          <t>UPPSALA LÄN</t>
        </is>
      </c>
      <c r="E441" t="inlineStr">
        <is>
          <t>ÖSTHAMMAR</t>
        </is>
      </c>
      <c r="G441" t="n">
        <v>1.7</v>
      </c>
      <c r="H441" t="n">
        <v>0</v>
      </c>
      <c r="I441" t="n">
        <v>0</v>
      </c>
      <c r="J441" t="n">
        <v>0</v>
      </c>
      <c r="K441" t="n">
        <v>0</v>
      </c>
      <c r="L441" t="n">
        <v>0</v>
      </c>
      <c r="M441" t="n">
        <v>0</v>
      </c>
      <c r="N441" t="n">
        <v>0</v>
      </c>
      <c r="O441" t="n">
        <v>0</v>
      </c>
      <c r="P441" t="n">
        <v>0</v>
      </c>
      <c r="Q441" t="n">
        <v>0</v>
      </c>
      <c r="R441" s="2" t="inlineStr"/>
    </row>
    <row r="442" ht="15" customHeight="1">
      <c r="A442" t="inlineStr">
        <is>
          <t>A 57462-2022</t>
        </is>
      </c>
      <c r="B442" s="1" t="n">
        <v>44896.57527777777</v>
      </c>
      <c r="C442" s="1" t="n">
        <v>45885</v>
      </c>
      <c r="D442" t="inlineStr">
        <is>
          <t>UPPSALA LÄN</t>
        </is>
      </c>
      <c r="E442" t="inlineStr">
        <is>
          <t>ÖSTHAMMAR</t>
        </is>
      </c>
      <c r="G442" t="n">
        <v>1.9</v>
      </c>
      <c r="H442" t="n">
        <v>0</v>
      </c>
      <c r="I442" t="n">
        <v>0</v>
      </c>
      <c r="J442" t="n">
        <v>0</v>
      </c>
      <c r="K442" t="n">
        <v>0</v>
      </c>
      <c r="L442" t="n">
        <v>0</v>
      </c>
      <c r="M442" t="n">
        <v>0</v>
      </c>
      <c r="N442" t="n">
        <v>0</v>
      </c>
      <c r="O442" t="n">
        <v>0</v>
      </c>
      <c r="P442" t="n">
        <v>0</v>
      </c>
      <c r="Q442" t="n">
        <v>0</v>
      </c>
      <c r="R442" s="2" t="inlineStr"/>
    </row>
    <row r="443" ht="15" customHeight="1">
      <c r="A443" t="inlineStr">
        <is>
          <t>A 28739-2025</t>
        </is>
      </c>
      <c r="B443" s="1" t="n">
        <v>45820</v>
      </c>
      <c r="C443" s="1" t="n">
        <v>45885</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27486-2025</t>
        </is>
      </c>
      <c r="B444" s="1" t="n">
        <v>45813.38521990741</v>
      </c>
      <c r="C444" s="1" t="n">
        <v>45885</v>
      </c>
      <c r="D444" t="inlineStr">
        <is>
          <t>UPPSALA LÄN</t>
        </is>
      </c>
      <c r="E444" t="inlineStr">
        <is>
          <t>ÖSTHAMMAR</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17931-2025</t>
        </is>
      </c>
      <c r="B445" s="1" t="n">
        <v>45759.56894675926</v>
      </c>
      <c r="C445" s="1" t="n">
        <v>45885</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17938-2025</t>
        </is>
      </c>
      <c r="B446" s="1" t="n">
        <v>45760.55626157407</v>
      </c>
      <c r="C446" s="1" t="n">
        <v>45885</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8791-2025</t>
        </is>
      </c>
      <c r="B447" s="1" t="n">
        <v>45712</v>
      </c>
      <c r="C447" s="1" t="n">
        <v>45885</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29029-2025</t>
        </is>
      </c>
      <c r="B448" s="1" t="n">
        <v>45821.43973379629</v>
      </c>
      <c r="C448" s="1" t="n">
        <v>45885</v>
      </c>
      <c r="D448" t="inlineStr">
        <is>
          <t>UPPSALA LÄN</t>
        </is>
      </c>
      <c r="E448" t="inlineStr">
        <is>
          <t>ÖSTHAMMAR</t>
        </is>
      </c>
      <c r="F448" t="inlineStr">
        <is>
          <t>Bergvik skog öst AB</t>
        </is>
      </c>
      <c r="G448" t="n">
        <v>4.2</v>
      </c>
      <c r="H448" t="n">
        <v>0</v>
      </c>
      <c r="I448" t="n">
        <v>0</v>
      </c>
      <c r="J448" t="n">
        <v>0</v>
      </c>
      <c r="K448" t="n">
        <v>0</v>
      </c>
      <c r="L448" t="n">
        <v>0</v>
      </c>
      <c r="M448" t="n">
        <v>0</v>
      </c>
      <c r="N448" t="n">
        <v>0</v>
      </c>
      <c r="O448" t="n">
        <v>0</v>
      </c>
      <c r="P448" t="n">
        <v>0</v>
      </c>
      <c r="Q448" t="n">
        <v>0</v>
      </c>
      <c r="R448" s="2" t="inlineStr"/>
    </row>
    <row r="449" ht="15" customHeight="1">
      <c r="A449" t="inlineStr">
        <is>
          <t>A 29028-2025</t>
        </is>
      </c>
      <c r="B449" s="1" t="n">
        <v>45821.4384375</v>
      </c>
      <c r="C449" s="1" t="n">
        <v>45885</v>
      </c>
      <c r="D449" t="inlineStr">
        <is>
          <t>UPPSALA LÄN</t>
        </is>
      </c>
      <c r="E449" t="inlineStr">
        <is>
          <t>ÖSTHAMMAR</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36092-2025</t>
        </is>
      </c>
      <c r="B450" s="1" t="n">
        <v>45866.48244212963</v>
      </c>
      <c r="C450" s="1" t="n">
        <v>45885</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29031-2025</t>
        </is>
      </c>
      <c r="B451" s="1" t="n">
        <v>45821.44159722222</v>
      </c>
      <c r="C451" s="1" t="n">
        <v>45885</v>
      </c>
      <c r="D451" t="inlineStr">
        <is>
          <t>UPPSALA LÄN</t>
        </is>
      </c>
      <c r="E451" t="inlineStr">
        <is>
          <t>ÖSTHAMMAR</t>
        </is>
      </c>
      <c r="F451" t="inlineStr">
        <is>
          <t>Bergvik skog öst AB</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26552-2022</t>
        </is>
      </c>
      <c r="B452" s="1" t="n">
        <v>44739</v>
      </c>
      <c r="C452" s="1" t="n">
        <v>45885</v>
      </c>
      <c r="D452" t="inlineStr">
        <is>
          <t>UPPSALA LÄN</t>
        </is>
      </c>
      <c r="E452" t="inlineStr">
        <is>
          <t>ÖSTHAMMAR</t>
        </is>
      </c>
      <c r="G452" t="n">
        <v>2.2</v>
      </c>
      <c r="H452" t="n">
        <v>0</v>
      </c>
      <c r="I452" t="n">
        <v>0</v>
      </c>
      <c r="J452" t="n">
        <v>0</v>
      </c>
      <c r="K452" t="n">
        <v>0</v>
      </c>
      <c r="L452" t="n">
        <v>0</v>
      </c>
      <c r="M452" t="n">
        <v>0</v>
      </c>
      <c r="N452" t="n">
        <v>0</v>
      </c>
      <c r="O452" t="n">
        <v>0</v>
      </c>
      <c r="P452" t="n">
        <v>0</v>
      </c>
      <c r="Q452" t="n">
        <v>0</v>
      </c>
      <c r="R452" s="2" t="inlineStr"/>
    </row>
    <row r="453" ht="15" customHeight="1">
      <c r="A453" t="inlineStr">
        <is>
          <t>A 27490-2025</t>
        </is>
      </c>
      <c r="B453" s="1" t="n">
        <v>45813.39273148148</v>
      </c>
      <c r="C453" s="1" t="n">
        <v>45885</v>
      </c>
      <c r="D453" t="inlineStr">
        <is>
          <t>UPPSALA LÄN</t>
        </is>
      </c>
      <c r="E453" t="inlineStr">
        <is>
          <t>ÖSTHAMMAR</t>
        </is>
      </c>
      <c r="F453" t="inlineStr">
        <is>
          <t>Bergvik skog öst AB</t>
        </is>
      </c>
      <c r="G453" t="n">
        <v>6.1</v>
      </c>
      <c r="H453" t="n">
        <v>0</v>
      </c>
      <c r="I453" t="n">
        <v>0</v>
      </c>
      <c r="J453" t="n">
        <v>0</v>
      </c>
      <c r="K453" t="n">
        <v>0</v>
      </c>
      <c r="L453" t="n">
        <v>0</v>
      </c>
      <c r="M453" t="n">
        <v>0</v>
      </c>
      <c r="N453" t="n">
        <v>0</v>
      </c>
      <c r="O453" t="n">
        <v>0</v>
      </c>
      <c r="P453" t="n">
        <v>0</v>
      </c>
      <c r="Q453" t="n">
        <v>0</v>
      </c>
      <c r="R453" s="2" t="inlineStr"/>
    </row>
    <row r="454" ht="15" customHeight="1">
      <c r="A454" t="inlineStr">
        <is>
          <t>A 27494-2025</t>
        </is>
      </c>
      <c r="B454" s="1" t="n">
        <v>45813.39756944445</v>
      </c>
      <c r="C454" s="1" t="n">
        <v>45885</v>
      </c>
      <c r="D454" t="inlineStr">
        <is>
          <t>UPPSALA LÄN</t>
        </is>
      </c>
      <c r="E454" t="inlineStr">
        <is>
          <t>ÖSTHAMMAR</t>
        </is>
      </c>
      <c r="F454" t="inlineStr">
        <is>
          <t>Bergvik skog öst AB</t>
        </is>
      </c>
      <c r="G454" t="n">
        <v>23.4</v>
      </c>
      <c r="H454" t="n">
        <v>0</v>
      </c>
      <c r="I454" t="n">
        <v>0</v>
      </c>
      <c r="J454" t="n">
        <v>0</v>
      </c>
      <c r="K454" t="n">
        <v>0</v>
      </c>
      <c r="L454" t="n">
        <v>0</v>
      </c>
      <c r="M454" t="n">
        <v>0</v>
      </c>
      <c r="N454" t="n">
        <v>0</v>
      </c>
      <c r="O454" t="n">
        <v>0</v>
      </c>
      <c r="P454" t="n">
        <v>0</v>
      </c>
      <c r="Q454" t="n">
        <v>0</v>
      </c>
      <c r="R454" s="2" t="inlineStr"/>
    </row>
    <row r="455" ht="15" customHeight="1">
      <c r="A455" t="inlineStr">
        <is>
          <t>A 29384-2025</t>
        </is>
      </c>
      <c r="B455" s="1" t="n">
        <v>45824</v>
      </c>
      <c r="C455" s="1" t="n">
        <v>45885</v>
      </c>
      <c r="D455" t="inlineStr">
        <is>
          <t>UPPSALA LÄN</t>
        </is>
      </c>
      <c r="E455" t="inlineStr">
        <is>
          <t>ÖSTHAMMAR</t>
        </is>
      </c>
      <c r="G455" t="n">
        <v>3.1</v>
      </c>
      <c r="H455" t="n">
        <v>0</v>
      </c>
      <c r="I455" t="n">
        <v>0</v>
      </c>
      <c r="J455" t="n">
        <v>0</v>
      </c>
      <c r="K455" t="n">
        <v>0</v>
      </c>
      <c r="L455" t="n">
        <v>0</v>
      </c>
      <c r="M455" t="n">
        <v>0</v>
      </c>
      <c r="N455" t="n">
        <v>0</v>
      </c>
      <c r="O455" t="n">
        <v>0</v>
      </c>
      <c r="P455" t="n">
        <v>0</v>
      </c>
      <c r="Q455" t="n">
        <v>0</v>
      </c>
      <c r="R455" s="2" t="inlineStr"/>
    </row>
    <row r="456" ht="15" customHeight="1">
      <c r="A456" t="inlineStr">
        <is>
          <t>A 29024-2025</t>
        </is>
      </c>
      <c r="B456" s="1" t="n">
        <v>45821.43233796296</v>
      </c>
      <c r="C456" s="1" t="n">
        <v>45885</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2839-2025</t>
        </is>
      </c>
      <c r="B457" s="1" t="n">
        <v>45677</v>
      </c>
      <c r="C457" s="1" t="n">
        <v>45885</v>
      </c>
      <c r="D457" t="inlineStr">
        <is>
          <t>UPPSALA LÄN</t>
        </is>
      </c>
      <c r="E457" t="inlineStr">
        <is>
          <t>ÖSTHAMMAR</t>
        </is>
      </c>
      <c r="F457" t="inlineStr">
        <is>
          <t>Övriga Aktiebolag</t>
        </is>
      </c>
      <c r="G457" t="n">
        <v>4</v>
      </c>
      <c r="H457" t="n">
        <v>0</v>
      </c>
      <c r="I457" t="n">
        <v>0</v>
      </c>
      <c r="J457" t="n">
        <v>0</v>
      </c>
      <c r="K457" t="n">
        <v>0</v>
      </c>
      <c r="L457" t="n">
        <v>0</v>
      </c>
      <c r="M457" t="n">
        <v>0</v>
      </c>
      <c r="N457" t="n">
        <v>0</v>
      </c>
      <c r="O457" t="n">
        <v>0</v>
      </c>
      <c r="P457" t="n">
        <v>0</v>
      </c>
      <c r="Q457" t="n">
        <v>0</v>
      </c>
      <c r="R457" s="2" t="inlineStr"/>
    </row>
    <row r="458" ht="15" customHeight="1">
      <c r="A458" t="inlineStr">
        <is>
          <t>A 2947-2025</t>
        </is>
      </c>
      <c r="B458" s="1" t="n">
        <v>45678</v>
      </c>
      <c r="C458" s="1" t="n">
        <v>45885</v>
      </c>
      <c r="D458" t="inlineStr">
        <is>
          <t>UPPSALA LÄN</t>
        </is>
      </c>
      <c r="E458" t="inlineStr">
        <is>
          <t>ÖSTHAMMAR</t>
        </is>
      </c>
      <c r="G458" t="n">
        <v>3.6</v>
      </c>
      <c r="H458" t="n">
        <v>0</v>
      </c>
      <c r="I458" t="n">
        <v>0</v>
      </c>
      <c r="J458" t="n">
        <v>0</v>
      </c>
      <c r="K458" t="n">
        <v>0</v>
      </c>
      <c r="L458" t="n">
        <v>0</v>
      </c>
      <c r="M458" t="n">
        <v>0</v>
      </c>
      <c r="N458" t="n">
        <v>0</v>
      </c>
      <c r="O458" t="n">
        <v>0</v>
      </c>
      <c r="P458" t="n">
        <v>0</v>
      </c>
      <c r="Q458" t="n">
        <v>0</v>
      </c>
      <c r="R458" s="2" t="inlineStr"/>
    </row>
    <row r="459" ht="15" customHeight="1">
      <c r="A459" t="inlineStr">
        <is>
          <t>A 29775-2025</t>
        </is>
      </c>
      <c r="B459" s="1" t="n">
        <v>45825.63803240741</v>
      </c>
      <c r="C459" s="1" t="n">
        <v>45885</v>
      </c>
      <c r="D459" t="inlineStr">
        <is>
          <t>UPPSALA LÄN</t>
        </is>
      </c>
      <c r="E459" t="inlineStr">
        <is>
          <t>ÖSTHAMMAR</t>
        </is>
      </c>
      <c r="G459" t="n">
        <v>0.9</v>
      </c>
      <c r="H459" t="n">
        <v>0</v>
      </c>
      <c r="I459" t="n">
        <v>0</v>
      </c>
      <c r="J459" t="n">
        <v>0</v>
      </c>
      <c r="K459" t="n">
        <v>0</v>
      </c>
      <c r="L459" t="n">
        <v>0</v>
      </c>
      <c r="M459" t="n">
        <v>0</v>
      </c>
      <c r="N459" t="n">
        <v>0</v>
      </c>
      <c r="O459" t="n">
        <v>0</v>
      </c>
      <c r="P459" t="n">
        <v>0</v>
      </c>
      <c r="Q459" t="n">
        <v>0</v>
      </c>
      <c r="R459" s="2" t="inlineStr"/>
    </row>
    <row r="460" ht="15" customHeight="1">
      <c r="A460" t="inlineStr">
        <is>
          <t>A 7216-2025</t>
        </is>
      </c>
      <c r="B460" s="1" t="n">
        <v>45702.47630787037</v>
      </c>
      <c r="C460" s="1" t="n">
        <v>45885</v>
      </c>
      <c r="D460" t="inlineStr">
        <is>
          <t>UPPSALA LÄN</t>
        </is>
      </c>
      <c r="E460" t="inlineStr">
        <is>
          <t>ÖSTHAMMAR</t>
        </is>
      </c>
      <c r="F460" t="inlineStr">
        <is>
          <t>Övriga Aktiebolag</t>
        </is>
      </c>
      <c r="G460" t="n">
        <v>12.5</v>
      </c>
      <c r="H460" t="n">
        <v>0</v>
      </c>
      <c r="I460" t="n">
        <v>0</v>
      </c>
      <c r="J460" t="n">
        <v>0</v>
      </c>
      <c r="K460" t="n">
        <v>0</v>
      </c>
      <c r="L460" t="n">
        <v>0</v>
      </c>
      <c r="M460" t="n">
        <v>0</v>
      </c>
      <c r="N460" t="n">
        <v>0</v>
      </c>
      <c r="O460" t="n">
        <v>0</v>
      </c>
      <c r="P460" t="n">
        <v>0</v>
      </c>
      <c r="Q460" t="n">
        <v>0</v>
      </c>
      <c r="R460" s="2" t="inlineStr"/>
    </row>
    <row r="461" ht="15" customHeight="1">
      <c r="A461" t="inlineStr">
        <is>
          <t>A 31137-2022</t>
        </is>
      </c>
      <c r="B461" s="1" t="n">
        <v>44770.42166666667</v>
      </c>
      <c r="C461" s="1" t="n">
        <v>45885</v>
      </c>
      <c r="D461" t="inlineStr">
        <is>
          <t>UPPSALA LÄN</t>
        </is>
      </c>
      <c r="E461" t="inlineStr">
        <is>
          <t>ÖSTHAMMAR</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18094-2025</t>
        </is>
      </c>
      <c r="B462" s="1" t="n">
        <v>45761.54710648148</v>
      </c>
      <c r="C462" s="1" t="n">
        <v>45885</v>
      </c>
      <c r="D462" t="inlineStr">
        <is>
          <t>UPPSALA LÄN</t>
        </is>
      </c>
      <c r="E462" t="inlineStr">
        <is>
          <t>ÖSTHAMMAR</t>
        </is>
      </c>
      <c r="F462" t="inlineStr">
        <is>
          <t>Bergvik skog öst AB</t>
        </is>
      </c>
      <c r="G462" t="n">
        <v>6.5</v>
      </c>
      <c r="H462" t="n">
        <v>0</v>
      </c>
      <c r="I462" t="n">
        <v>0</v>
      </c>
      <c r="J462" t="n">
        <v>0</v>
      </c>
      <c r="K462" t="n">
        <v>0</v>
      </c>
      <c r="L462" t="n">
        <v>0</v>
      </c>
      <c r="M462" t="n">
        <v>0</v>
      </c>
      <c r="N462" t="n">
        <v>0</v>
      </c>
      <c r="O462" t="n">
        <v>0</v>
      </c>
      <c r="P462" t="n">
        <v>0</v>
      </c>
      <c r="Q462" t="n">
        <v>0</v>
      </c>
      <c r="R462" s="2" t="inlineStr"/>
    </row>
    <row r="463" ht="15" customHeight="1">
      <c r="A463" t="inlineStr">
        <is>
          <t>A 8902-2025</t>
        </is>
      </c>
      <c r="B463" s="1" t="n">
        <v>45713.41503472222</v>
      </c>
      <c r="C463" s="1" t="n">
        <v>45885</v>
      </c>
      <c r="D463" t="inlineStr">
        <is>
          <t>UPPSALA LÄN</t>
        </is>
      </c>
      <c r="E463" t="inlineStr">
        <is>
          <t>ÖSTHAMMAR</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8904-2025</t>
        </is>
      </c>
      <c r="B464" s="1" t="n">
        <v>45713.41577546296</v>
      </c>
      <c r="C464" s="1" t="n">
        <v>45885</v>
      </c>
      <c r="D464" t="inlineStr">
        <is>
          <t>UPPSALA LÄN</t>
        </is>
      </c>
      <c r="E464" t="inlineStr">
        <is>
          <t>ÖSTHAMMAR</t>
        </is>
      </c>
      <c r="F464" t="inlineStr">
        <is>
          <t>Bergvik skog öst AB</t>
        </is>
      </c>
      <c r="G464" t="n">
        <v>3.1</v>
      </c>
      <c r="H464" t="n">
        <v>0</v>
      </c>
      <c r="I464" t="n">
        <v>0</v>
      </c>
      <c r="J464" t="n">
        <v>0</v>
      </c>
      <c r="K464" t="n">
        <v>0</v>
      </c>
      <c r="L464" t="n">
        <v>0</v>
      </c>
      <c r="M464" t="n">
        <v>0</v>
      </c>
      <c r="N464" t="n">
        <v>0</v>
      </c>
      <c r="O464" t="n">
        <v>0</v>
      </c>
      <c r="P464" t="n">
        <v>0</v>
      </c>
      <c r="Q464" t="n">
        <v>0</v>
      </c>
      <c r="R464" s="2" t="inlineStr"/>
    </row>
    <row r="465" ht="15" customHeight="1">
      <c r="A465" t="inlineStr">
        <is>
          <t>A 44815-2022</t>
        </is>
      </c>
      <c r="B465" s="1" t="n">
        <v>44841.40452546296</v>
      </c>
      <c r="C465" s="1" t="n">
        <v>45885</v>
      </c>
      <c r="D465" t="inlineStr">
        <is>
          <t>UPPSALA LÄN</t>
        </is>
      </c>
      <c r="E465" t="inlineStr">
        <is>
          <t>ÖSTHAMMAR</t>
        </is>
      </c>
      <c r="G465" t="n">
        <v>1.8</v>
      </c>
      <c r="H465" t="n">
        <v>0</v>
      </c>
      <c r="I465" t="n">
        <v>0</v>
      </c>
      <c r="J465" t="n">
        <v>0</v>
      </c>
      <c r="K465" t="n">
        <v>0</v>
      </c>
      <c r="L465" t="n">
        <v>0</v>
      </c>
      <c r="M465" t="n">
        <v>0</v>
      </c>
      <c r="N465" t="n">
        <v>0</v>
      </c>
      <c r="O465" t="n">
        <v>0</v>
      </c>
      <c r="P465" t="n">
        <v>0</v>
      </c>
      <c r="Q465" t="n">
        <v>0</v>
      </c>
      <c r="R465" s="2" t="inlineStr"/>
    </row>
    <row r="466" ht="15" customHeight="1">
      <c r="A466" t="inlineStr">
        <is>
          <t>A 36451-2025</t>
        </is>
      </c>
      <c r="B466" s="1" t="n">
        <v>45869.4290625</v>
      </c>
      <c r="C466" s="1" t="n">
        <v>45885</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29753-2022</t>
        </is>
      </c>
      <c r="B467" s="1" t="n">
        <v>44755</v>
      </c>
      <c r="C467" s="1" t="n">
        <v>45885</v>
      </c>
      <c r="D467" t="inlineStr">
        <is>
          <t>UPPSALA LÄN</t>
        </is>
      </c>
      <c r="E467" t="inlineStr">
        <is>
          <t>ÖSTHAMMAR</t>
        </is>
      </c>
      <c r="G467" t="n">
        <v>9.4</v>
      </c>
      <c r="H467" t="n">
        <v>0</v>
      </c>
      <c r="I467" t="n">
        <v>0</v>
      </c>
      <c r="J467" t="n">
        <v>0</v>
      </c>
      <c r="K467" t="n">
        <v>0</v>
      </c>
      <c r="L467" t="n">
        <v>0</v>
      </c>
      <c r="M467" t="n">
        <v>0</v>
      </c>
      <c r="N467" t="n">
        <v>0</v>
      </c>
      <c r="O467" t="n">
        <v>0</v>
      </c>
      <c r="P467" t="n">
        <v>0</v>
      </c>
      <c r="Q467" t="n">
        <v>0</v>
      </c>
      <c r="R467" s="2" t="inlineStr"/>
    </row>
    <row r="468" ht="15" customHeight="1">
      <c r="A468" t="inlineStr">
        <is>
          <t>A 25859-2024</t>
        </is>
      </c>
      <c r="B468" s="1" t="n">
        <v>45467</v>
      </c>
      <c r="C468" s="1" t="n">
        <v>45885</v>
      </c>
      <c r="D468" t="inlineStr">
        <is>
          <t>UPPSALA LÄN</t>
        </is>
      </c>
      <c r="E468" t="inlineStr">
        <is>
          <t>ÖSTHAMMAR</t>
        </is>
      </c>
      <c r="G468" t="n">
        <v>7.9</v>
      </c>
      <c r="H468" t="n">
        <v>0</v>
      </c>
      <c r="I468" t="n">
        <v>0</v>
      </c>
      <c r="J468" t="n">
        <v>0</v>
      </c>
      <c r="K468" t="n">
        <v>0</v>
      </c>
      <c r="L468" t="n">
        <v>0</v>
      </c>
      <c r="M468" t="n">
        <v>0</v>
      </c>
      <c r="N468" t="n">
        <v>0</v>
      </c>
      <c r="O468" t="n">
        <v>0</v>
      </c>
      <c r="P468" t="n">
        <v>0</v>
      </c>
      <c r="Q468" t="n">
        <v>0</v>
      </c>
      <c r="R468" s="2" t="inlineStr"/>
    </row>
    <row r="469" ht="15" customHeight="1">
      <c r="A469" t="inlineStr">
        <is>
          <t>A 61817-2021</t>
        </is>
      </c>
      <c r="B469" s="1" t="n">
        <v>44501.76855324074</v>
      </c>
      <c r="C469" s="1" t="n">
        <v>45885</v>
      </c>
      <c r="D469" t="inlineStr">
        <is>
          <t>UPPSALA LÄN</t>
        </is>
      </c>
      <c r="E469" t="inlineStr">
        <is>
          <t>ÖSTHAMMAR</t>
        </is>
      </c>
      <c r="F469" t="inlineStr">
        <is>
          <t>Bergvik skog öst AB</t>
        </is>
      </c>
      <c r="G469" t="n">
        <v>2.3</v>
      </c>
      <c r="H469" t="n">
        <v>0</v>
      </c>
      <c r="I469" t="n">
        <v>0</v>
      </c>
      <c r="J469" t="n">
        <v>0</v>
      </c>
      <c r="K469" t="n">
        <v>0</v>
      </c>
      <c r="L469" t="n">
        <v>0</v>
      </c>
      <c r="M469" t="n">
        <v>0</v>
      </c>
      <c r="N469" t="n">
        <v>0</v>
      </c>
      <c r="O469" t="n">
        <v>0</v>
      </c>
      <c r="P469" t="n">
        <v>0</v>
      </c>
      <c r="Q469" t="n">
        <v>0</v>
      </c>
      <c r="R469" s="2" t="inlineStr"/>
    </row>
    <row r="470" ht="15" customHeight="1">
      <c r="A470" t="inlineStr">
        <is>
          <t>A 73982-2021</t>
        </is>
      </c>
      <c r="B470" s="1" t="n">
        <v>44555.80339120371</v>
      </c>
      <c r="C470" s="1" t="n">
        <v>45885</v>
      </c>
      <c r="D470" t="inlineStr">
        <is>
          <t>UPPSALA LÄN</t>
        </is>
      </c>
      <c r="E470" t="inlineStr">
        <is>
          <t>ÖSTHAMMAR</t>
        </is>
      </c>
      <c r="G470" t="n">
        <v>0.9</v>
      </c>
      <c r="H470" t="n">
        <v>0</v>
      </c>
      <c r="I470" t="n">
        <v>0</v>
      </c>
      <c r="J470" t="n">
        <v>0</v>
      </c>
      <c r="K470" t="n">
        <v>0</v>
      </c>
      <c r="L470" t="n">
        <v>0</v>
      </c>
      <c r="M470" t="n">
        <v>0</v>
      </c>
      <c r="N470" t="n">
        <v>0</v>
      </c>
      <c r="O470" t="n">
        <v>0</v>
      </c>
      <c r="P470" t="n">
        <v>0</v>
      </c>
      <c r="Q470" t="n">
        <v>0</v>
      </c>
      <c r="R470" s="2" t="inlineStr"/>
    </row>
    <row r="471" ht="15" customHeight="1">
      <c r="A471" t="inlineStr">
        <is>
          <t>A 30244-2025</t>
        </is>
      </c>
      <c r="B471" s="1" t="n">
        <v>45827.40902777778</v>
      </c>
      <c r="C471" s="1" t="n">
        <v>45885</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19744-2025</t>
        </is>
      </c>
      <c r="B472" s="1" t="n">
        <v>45771.37754629629</v>
      </c>
      <c r="C472" s="1" t="n">
        <v>45885</v>
      </c>
      <c r="D472" t="inlineStr">
        <is>
          <t>UPPSALA LÄN</t>
        </is>
      </c>
      <c r="E472" t="inlineStr">
        <is>
          <t>ÖSTHAMMAR</t>
        </is>
      </c>
      <c r="F472" t="inlineStr">
        <is>
          <t>Övriga Aktiebolag</t>
        </is>
      </c>
      <c r="G472" t="n">
        <v>9.6</v>
      </c>
      <c r="H472" t="n">
        <v>0</v>
      </c>
      <c r="I472" t="n">
        <v>0</v>
      </c>
      <c r="J472" t="n">
        <v>0</v>
      </c>
      <c r="K472" t="n">
        <v>0</v>
      </c>
      <c r="L472" t="n">
        <v>0</v>
      </c>
      <c r="M472" t="n">
        <v>0</v>
      </c>
      <c r="N472" t="n">
        <v>0</v>
      </c>
      <c r="O472" t="n">
        <v>0</v>
      </c>
      <c r="P472" t="n">
        <v>0</v>
      </c>
      <c r="Q472" t="n">
        <v>0</v>
      </c>
      <c r="R472" s="2" t="inlineStr"/>
    </row>
    <row r="473" ht="15" customHeight="1">
      <c r="A473" t="inlineStr">
        <is>
          <t>A 19748-2025</t>
        </is>
      </c>
      <c r="B473" s="1" t="n">
        <v>45771.38465277778</v>
      </c>
      <c r="C473" s="1" t="n">
        <v>45885</v>
      </c>
      <c r="D473" t="inlineStr">
        <is>
          <t>UPPSALA LÄN</t>
        </is>
      </c>
      <c r="E473" t="inlineStr">
        <is>
          <t>ÖSTHAMMAR</t>
        </is>
      </c>
      <c r="F473" t="inlineStr">
        <is>
          <t>Övriga Aktiebolag</t>
        </is>
      </c>
      <c r="G473" t="n">
        <v>6.8</v>
      </c>
      <c r="H473" t="n">
        <v>0</v>
      </c>
      <c r="I473" t="n">
        <v>0</v>
      </c>
      <c r="J473" t="n">
        <v>0</v>
      </c>
      <c r="K473" t="n">
        <v>0</v>
      </c>
      <c r="L473" t="n">
        <v>0</v>
      </c>
      <c r="M473" t="n">
        <v>0</v>
      </c>
      <c r="N473" t="n">
        <v>0</v>
      </c>
      <c r="O473" t="n">
        <v>0</v>
      </c>
      <c r="P473" t="n">
        <v>0</v>
      </c>
      <c r="Q473" t="n">
        <v>0</v>
      </c>
      <c r="R473" s="2" t="inlineStr"/>
    </row>
    <row r="474" ht="15" customHeight="1">
      <c r="A474" t="inlineStr">
        <is>
          <t>A 14859-2025</t>
        </is>
      </c>
      <c r="B474" s="1" t="n">
        <v>45743.42427083333</v>
      </c>
      <c r="C474" s="1" t="n">
        <v>45885</v>
      </c>
      <c r="D474" t="inlineStr">
        <is>
          <t>UPPSALA LÄN</t>
        </is>
      </c>
      <c r="E474" t="inlineStr">
        <is>
          <t>ÖSTHAMMAR</t>
        </is>
      </c>
      <c r="G474" t="n">
        <v>1.1</v>
      </c>
      <c r="H474" t="n">
        <v>0</v>
      </c>
      <c r="I474" t="n">
        <v>0</v>
      </c>
      <c r="J474" t="n">
        <v>0</v>
      </c>
      <c r="K474" t="n">
        <v>0</v>
      </c>
      <c r="L474" t="n">
        <v>0</v>
      </c>
      <c r="M474" t="n">
        <v>0</v>
      </c>
      <c r="N474" t="n">
        <v>0</v>
      </c>
      <c r="O474" t="n">
        <v>0</v>
      </c>
      <c r="P474" t="n">
        <v>0</v>
      </c>
      <c r="Q474" t="n">
        <v>0</v>
      </c>
      <c r="R474" s="2" t="inlineStr"/>
    </row>
    <row r="475" ht="15" customHeight="1">
      <c r="A475" t="inlineStr">
        <is>
          <t>A 30504-2025</t>
        </is>
      </c>
      <c r="B475" s="1" t="n">
        <v>45830.8558912037</v>
      </c>
      <c r="C475" s="1" t="n">
        <v>45885</v>
      </c>
      <c r="D475" t="inlineStr">
        <is>
          <t>UPPSALA LÄN</t>
        </is>
      </c>
      <c r="E475" t="inlineStr">
        <is>
          <t>ÖSTHAMMAR</t>
        </is>
      </c>
      <c r="G475" t="n">
        <v>0.6</v>
      </c>
      <c r="H475" t="n">
        <v>0</v>
      </c>
      <c r="I475" t="n">
        <v>0</v>
      </c>
      <c r="J475" t="n">
        <v>0</v>
      </c>
      <c r="K475" t="n">
        <v>0</v>
      </c>
      <c r="L475" t="n">
        <v>0</v>
      </c>
      <c r="M475" t="n">
        <v>0</v>
      </c>
      <c r="N475" t="n">
        <v>0</v>
      </c>
      <c r="O475" t="n">
        <v>0</v>
      </c>
      <c r="P475" t="n">
        <v>0</v>
      </c>
      <c r="Q475" t="n">
        <v>0</v>
      </c>
      <c r="R475" s="2" t="inlineStr"/>
    </row>
    <row r="476" ht="15" customHeight="1">
      <c r="A476" t="inlineStr">
        <is>
          <t>A 14272-2025</t>
        </is>
      </c>
      <c r="B476" s="1" t="n">
        <v>45740.64327546296</v>
      </c>
      <c r="C476" s="1" t="n">
        <v>45885</v>
      </c>
      <c r="D476" t="inlineStr">
        <is>
          <t>UPPSALA LÄN</t>
        </is>
      </c>
      <c r="E476" t="inlineStr">
        <is>
          <t>ÖSTHAMMAR</t>
        </is>
      </c>
      <c r="G476" t="n">
        <v>5.7</v>
      </c>
      <c r="H476" t="n">
        <v>0</v>
      </c>
      <c r="I476" t="n">
        <v>0</v>
      </c>
      <c r="J476" t="n">
        <v>0</v>
      </c>
      <c r="K476" t="n">
        <v>0</v>
      </c>
      <c r="L476" t="n">
        <v>0</v>
      </c>
      <c r="M476" t="n">
        <v>0</v>
      </c>
      <c r="N476" t="n">
        <v>0</v>
      </c>
      <c r="O476" t="n">
        <v>0</v>
      </c>
      <c r="P476" t="n">
        <v>0</v>
      </c>
      <c r="Q476" t="n">
        <v>0</v>
      </c>
      <c r="R476" s="2" t="inlineStr"/>
    </row>
    <row r="477" ht="15" customHeight="1">
      <c r="A477" t="inlineStr">
        <is>
          <t>A 20072-2025</t>
        </is>
      </c>
      <c r="B477" s="1" t="n">
        <v>45772</v>
      </c>
      <c r="C477" s="1" t="n">
        <v>45885</v>
      </c>
      <c r="D477" t="inlineStr">
        <is>
          <t>UPPSALA LÄN</t>
        </is>
      </c>
      <c r="E477" t="inlineStr">
        <is>
          <t>ÖSTHAMMAR</t>
        </is>
      </c>
      <c r="G477" t="n">
        <v>3.1</v>
      </c>
      <c r="H477" t="n">
        <v>0</v>
      </c>
      <c r="I477" t="n">
        <v>0</v>
      </c>
      <c r="J477" t="n">
        <v>0</v>
      </c>
      <c r="K477" t="n">
        <v>0</v>
      </c>
      <c r="L477" t="n">
        <v>0</v>
      </c>
      <c r="M477" t="n">
        <v>0</v>
      </c>
      <c r="N477" t="n">
        <v>0</v>
      </c>
      <c r="O477" t="n">
        <v>0</v>
      </c>
      <c r="P477" t="n">
        <v>0</v>
      </c>
      <c r="Q477" t="n">
        <v>0</v>
      </c>
      <c r="R477" s="2" t="inlineStr"/>
    </row>
    <row r="478" ht="15" customHeight="1">
      <c r="A478" t="inlineStr">
        <is>
          <t>A 52629-2023</t>
        </is>
      </c>
      <c r="B478" s="1" t="n">
        <v>45225</v>
      </c>
      <c r="C478" s="1" t="n">
        <v>45885</v>
      </c>
      <c r="D478" t="inlineStr">
        <is>
          <t>UPPSALA LÄN</t>
        </is>
      </c>
      <c r="E478" t="inlineStr">
        <is>
          <t>ÖSTHAMMAR</t>
        </is>
      </c>
      <c r="G478" t="n">
        <v>1.2</v>
      </c>
      <c r="H478" t="n">
        <v>0</v>
      </c>
      <c r="I478" t="n">
        <v>0</v>
      </c>
      <c r="J478" t="n">
        <v>0</v>
      </c>
      <c r="K478" t="n">
        <v>0</v>
      </c>
      <c r="L478" t="n">
        <v>0</v>
      </c>
      <c r="M478" t="n">
        <v>0</v>
      </c>
      <c r="N478" t="n">
        <v>0</v>
      </c>
      <c r="O478" t="n">
        <v>0</v>
      </c>
      <c r="P478" t="n">
        <v>0</v>
      </c>
      <c r="Q478" t="n">
        <v>0</v>
      </c>
      <c r="R478" s="2" t="inlineStr"/>
    </row>
    <row r="479" ht="15" customHeight="1">
      <c r="A479" t="inlineStr">
        <is>
          <t>A 27660-2023</t>
        </is>
      </c>
      <c r="B479" s="1" t="n">
        <v>45097</v>
      </c>
      <c r="C479" s="1" t="n">
        <v>45885</v>
      </c>
      <c r="D479" t="inlineStr">
        <is>
          <t>UPPSALA LÄN</t>
        </is>
      </c>
      <c r="E479" t="inlineStr">
        <is>
          <t>ÖSTHAMMAR</t>
        </is>
      </c>
      <c r="G479" t="n">
        <v>2.8</v>
      </c>
      <c r="H479" t="n">
        <v>0</v>
      </c>
      <c r="I479" t="n">
        <v>0</v>
      </c>
      <c r="J479" t="n">
        <v>0</v>
      </c>
      <c r="K479" t="n">
        <v>0</v>
      </c>
      <c r="L479" t="n">
        <v>0</v>
      </c>
      <c r="M479" t="n">
        <v>0</v>
      </c>
      <c r="N479" t="n">
        <v>0</v>
      </c>
      <c r="O479" t="n">
        <v>0</v>
      </c>
      <c r="P479" t="n">
        <v>0</v>
      </c>
      <c r="Q479" t="n">
        <v>0</v>
      </c>
      <c r="R479" s="2" t="inlineStr"/>
    </row>
    <row r="480" ht="15" customHeight="1">
      <c r="A480" t="inlineStr">
        <is>
          <t>A 9642-2024</t>
        </is>
      </c>
      <c r="B480" s="1" t="n">
        <v>45362.36296296296</v>
      </c>
      <c r="C480" s="1" t="n">
        <v>45885</v>
      </c>
      <c r="D480" t="inlineStr">
        <is>
          <t>UPPSALA LÄN</t>
        </is>
      </c>
      <c r="E480" t="inlineStr">
        <is>
          <t>ÖSTHAMMAR</t>
        </is>
      </c>
      <c r="G480" t="n">
        <v>3.1</v>
      </c>
      <c r="H480" t="n">
        <v>0</v>
      </c>
      <c r="I480" t="n">
        <v>0</v>
      </c>
      <c r="J480" t="n">
        <v>0</v>
      </c>
      <c r="K480" t="n">
        <v>0</v>
      </c>
      <c r="L480" t="n">
        <v>0</v>
      </c>
      <c r="M480" t="n">
        <v>0</v>
      </c>
      <c r="N480" t="n">
        <v>0</v>
      </c>
      <c r="O480" t="n">
        <v>0</v>
      </c>
      <c r="P480" t="n">
        <v>0</v>
      </c>
      <c r="Q480" t="n">
        <v>0</v>
      </c>
      <c r="R480" s="2" t="inlineStr"/>
    </row>
    <row r="481" ht="15" customHeight="1">
      <c r="A481" t="inlineStr">
        <is>
          <t>A 31549-2022</t>
        </is>
      </c>
      <c r="B481" s="1" t="n">
        <v>44775.400625</v>
      </c>
      <c r="C481" s="1" t="n">
        <v>45885</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30503-2025</t>
        </is>
      </c>
      <c r="B482" s="1" t="n">
        <v>45830.8500462963</v>
      </c>
      <c r="C482" s="1" t="n">
        <v>45885</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47522-2023</t>
        </is>
      </c>
      <c r="B483" s="1" t="n">
        <v>45203</v>
      </c>
      <c r="C483" s="1" t="n">
        <v>45885</v>
      </c>
      <c r="D483" t="inlineStr">
        <is>
          <t>UPPSALA LÄN</t>
        </is>
      </c>
      <c r="E483" t="inlineStr">
        <is>
          <t>ÖSTHAMMAR</t>
        </is>
      </c>
      <c r="F483" t="inlineStr">
        <is>
          <t>Bergvik skog öst AB</t>
        </is>
      </c>
      <c r="G483" t="n">
        <v>0.9</v>
      </c>
      <c r="H483" t="n">
        <v>0</v>
      </c>
      <c r="I483" t="n">
        <v>0</v>
      </c>
      <c r="J483" t="n">
        <v>0</v>
      </c>
      <c r="K483" t="n">
        <v>0</v>
      </c>
      <c r="L483" t="n">
        <v>0</v>
      </c>
      <c r="M483" t="n">
        <v>0</v>
      </c>
      <c r="N483" t="n">
        <v>0</v>
      </c>
      <c r="O483" t="n">
        <v>0</v>
      </c>
      <c r="P483" t="n">
        <v>0</v>
      </c>
      <c r="Q483" t="n">
        <v>0</v>
      </c>
      <c r="R483" s="2" t="inlineStr"/>
    </row>
    <row r="484" ht="15" customHeight="1">
      <c r="A484" t="inlineStr">
        <is>
          <t>A 62394-2022</t>
        </is>
      </c>
      <c r="B484" s="1" t="n">
        <v>44923.82017361111</v>
      </c>
      <c r="C484" s="1" t="n">
        <v>45885</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36643-2025</t>
        </is>
      </c>
      <c r="B485" s="1" t="n">
        <v>45872.47782407407</v>
      </c>
      <c r="C485" s="1" t="n">
        <v>45885</v>
      </c>
      <c r="D485" t="inlineStr">
        <is>
          <t>UPPSALA LÄN</t>
        </is>
      </c>
      <c r="E485" t="inlineStr">
        <is>
          <t>ÖSTHAMMAR</t>
        </is>
      </c>
      <c r="F485" t="inlineStr">
        <is>
          <t>Bergvik skog öst AB</t>
        </is>
      </c>
      <c r="G485" t="n">
        <v>15.1</v>
      </c>
      <c r="H485" t="n">
        <v>0</v>
      </c>
      <c r="I485" t="n">
        <v>0</v>
      </c>
      <c r="J485" t="n">
        <v>0</v>
      </c>
      <c r="K485" t="n">
        <v>0</v>
      </c>
      <c r="L485" t="n">
        <v>0</v>
      </c>
      <c r="M485" t="n">
        <v>0</v>
      </c>
      <c r="N485" t="n">
        <v>0</v>
      </c>
      <c r="O485" t="n">
        <v>0</v>
      </c>
      <c r="P485" t="n">
        <v>0</v>
      </c>
      <c r="Q485" t="n">
        <v>0</v>
      </c>
      <c r="R485" s="2" t="inlineStr"/>
    </row>
    <row r="486" ht="15" customHeight="1">
      <c r="A486" t="inlineStr">
        <is>
          <t>A 36644-2025</t>
        </is>
      </c>
      <c r="B486" s="1" t="n">
        <v>45872.48738425926</v>
      </c>
      <c r="C486" s="1" t="n">
        <v>45885</v>
      </c>
      <c r="D486" t="inlineStr">
        <is>
          <t>UPPSALA LÄN</t>
        </is>
      </c>
      <c r="E486" t="inlineStr">
        <is>
          <t>ÖSTHAMMAR</t>
        </is>
      </c>
      <c r="F486" t="inlineStr">
        <is>
          <t>Bergvik skog öst AB</t>
        </is>
      </c>
      <c r="G486" t="n">
        <v>1.6</v>
      </c>
      <c r="H486" t="n">
        <v>0</v>
      </c>
      <c r="I486" t="n">
        <v>0</v>
      </c>
      <c r="J486" t="n">
        <v>0</v>
      </c>
      <c r="K486" t="n">
        <v>0</v>
      </c>
      <c r="L486" t="n">
        <v>0</v>
      </c>
      <c r="M486" t="n">
        <v>0</v>
      </c>
      <c r="N486" t="n">
        <v>0</v>
      </c>
      <c r="O486" t="n">
        <v>0</v>
      </c>
      <c r="P486" t="n">
        <v>0</v>
      </c>
      <c r="Q486" t="n">
        <v>0</v>
      </c>
      <c r="R486" s="2" t="inlineStr"/>
    </row>
    <row r="487" ht="15" customHeight="1">
      <c r="A487" t="inlineStr">
        <is>
          <t>A 13738-2023</t>
        </is>
      </c>
      <c r="B487" s="1" t="n">
        <v>45007.37081018519</v>
      </c>
      <c r="C487" s="1" t="n">
        <v>45885</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36645-2025</t>
        </is>
      </c>
      <c r="B488" s="1" t="n">
        <v>45872.50078703704</v>
      </c>
      <c r="C488" s="1" t="n">
        <v>45885</v>
      </c>
      <c r="D488" t="inlineStr">
        <is>
          <t>UPPSALA LÄN</t>
        </is>
      </c>
      <c r="E488" t="inlineStr">
        <is>
          <t>ÖSTHAMMAR</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34971-2022</t>
        </is>
      </c>
      <c r="B489" s="1" t="n">
        <v>44796.66613425926</v>
      </c>
      <c r="C489" s="1" t="n">
        <v>45885</v>
      </c>
      <c r="D489" t="inlineStr">
        <is>
          <t>UPPSALA LÄN</t>
        </is>
      </c>
      <c r="E489" t="inlineStr">
        <is>
          <t>ÖSTHAMMAR</t>
        </is>
      </c>
      <c r="F489" t="inlineStr">
        <is>
          <t>Bergvik skog öst AB</t>
        </is>
      </c>
      <c r="G489" t="n">
        <v>2.3</v>
      </c>
      <c r="H489" t="n">
        <v>0</v>
      </c>
      <c r="I489" t="n">
        <v>0</v>
      </c>
      <c r="J489" t="n">
        <v>0</v>
      </c>
      <c r="K489" t="n">
        <v>0</v>
      </c>
      <c r="L489" t="n">
        <v>0</v>
      </c>
      <c r="M489" t="n">
        <v>0</v>
      </c>
      <c r="N489" t="n">
        <v>0</v>
      </c>
      <c r="O489" t="n">
        <v>0</v>
      </c>
      <c r="P489" t="n">
        <v>0</v>
      </c>
      <c r="Q489" t="n">
        <v>0</v>
      </c>
      <c r="R489" s="2" t="inlineStr"/>
    </row>
    <row r="490" ht="15" customHeight="1">
      <c r="A490" t="inlineStr">
        <is>
          <t>A 30610-2025</t>
        </is>
      </c>
      <c r="B490" s="1" t="n">
        <v>45831.45965277778</v>
      </c>
      <c r="C490" s="1" t="n">
        <v>45885</v>
      </c>
      <c r="D490" t="inlineStr">
        <is>
          <t>UPPSALA LÄN</t>
        </is>
      </c>
      <c r="E490" t="inlineStr">
        <is>
          <t>ÖSTHAMMAR</t>
        </is>
      </c>
      <c r="G490" t="n">
        <v>0.2</v>
      </c>
      <c r="H490" t="n">
        <v>0</v>
      </c>
      <c r="I490" t="n">
        <v>0</v>
      </c>
      <c r="J490" t="n">
        <v>0</v>
      </c>
      <c r="K490" t="n">
        <v>0</v>
      </c>
      <c r="L490" t="n">
        <v>0</v>
      </c>
      <c r="M490" t="n">
        <v>0</v>
      </c>
      <c r="N490" t="n">
        <v>0</v>
      </c>
      <c r="O490" t="n">
        <v>0</v>
      </c>
      <c r="P490" t="n">
        <v>0</v>
      </c>
      <c r="Q490" t="n">
        <v>0</v>
      </c>
      <c r="R490" s="2" t="inlineStr"/>
    </row>
    <row r="491" ht="15" customHeight="1">
      <c r="A491" t="inlineStr">
        <is>
          <t>A 36646-2025</t>
        </is>
      </c>
      <c r="B491" s="1" t="n">
        <v>45872.5096412037</v>
      </c>
      <c r="C491" s="1" t="n">
        <v>45885</v>
      </c>
      <c r="D491" t="inlineStr">
        <is>
          <t>UPPSALA LÄN</t>
        </is>
      </c>
      <c r="E491" t="inlineStr">
        <is>
          <t>ÖSTHAMMAR</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31579-2025</t>
        </is>
      </c>
      <c r="B492" s="1" t="n">
        <v>45833.68211805556</v>
      </c>
      <c r="C492" s="1" t="n">
        <v>45885</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31360-2025</t>
        </is>
      </c>
      <c r="B493" s="1" t="n">
        <v>45833.43527777777</v>
      </c>
      <c r="C493" s="1" t="n">
        <v>45885</v>
      </c>
      <c r="D493" t="inlineStr">
        <is>
          <t>UPPSALA LÄN</t>
        </is>
      </c>
      <c r="E493" t="inlineStr">
        <is>
          <t>ÖSTHAMMAR</t>
        </is>
      </c>
      <c r="G493" t="n">
        <v>1.1</v>
      </c>
      <c r="H493" t="n">
        <v>0</v>
      </c>
      <c r="I493" t="n">
        <v>0</v>
      </c>
      <c r="J493" t="n">
        <v>0</v>
      </c>
      <c r="K493" t="n">
        <v>0</v>
      </c>
      <c r="L493" t="n">
        <v>0</v>
      </c>
      <c r="M493" t="n">
        <v>0</v>
      </c>
      <c r="N493" t="n">
        <v>0</v>
      </c>
      <c r="O493" t="n">
        <v>0</v>
      </c>
      <c r="P493" t="n">
        <v>0</v>
      </c>
      <c r="Q493" t="n">
        <v>0</v>
      </c>
      <c r="R493" s="2" t="inlineStr"/>
    </row>
    <row r="494" ht="15" customHeight="1">
      <c r="A494" t="inlineStr">
        <is>
          <t>A 55646-2021</t>
        </is>
      </c>
      <c r="B494" s="1" t="n">
        <v>44476.3632175926</v>
      </c>
      <c r="C494" s="1" t="n">
        <v>45885</v>
      </c>
      <c r="D494" t="inlineStr">
        <is>
          <t>UPPSALA LÄN</t>
        </is>
      </c>
      <c r="E494" t="inlineStr">
        <is>
          <t>ÖSTHAMMAR</t>
        </is>
      </c>
      <c r="F494" t="inlineStr">
        <is>
          <t>Bergvik skog öst AB</t>
        </is>
      </c>
      <c r="G494" t="n">
        <v>0.2</v>
      </c>
      <c r="H494" t="n">
        <v>0</v>
      </c>
      <c r="I494" t="n">
        <v>0</v>
      </c>
      <c r="J494" t="n">
        <v>0</v>
      </c>
      <c r="K494" t="n">
        <v>0</v>
      </c>
      <c r="L494" t="n">
        <v>0</v>
      </c>
      <c r="M494" t="n">
        <v>0</v>
      </c>
      <c r="N494" t="n">
        <v>0</v>
      </c>
      <c r="O494" t="n">
        <v>0</v>
      </c>
      <c r="P494" t="n">
        <v>0</v>
      </c>
      <c r="Q494" t="n">
        <v>0</v>
      </c>
      <c r="R494" s="2" t="inlineStr"/>
    </row>
    <row r="495" ht="15" customHeight="1">
      <c r="A495" t="inlineStr">
        <is>
          <t>A 31249-2025</t>
        </is>
      </c>
      <c r="B495" s="1" t="n">
        <v>45832.89476851852</v>
      </c>
      <c r="C495" s="1" t="n">
        <v>45885</v>
      </c>
      <c r="D495" t="inlineStr">
        <is>
          <t>UPPSALA LÄN</t>
        </is>
      </c>
      <c r="E495" t="inlineStr">
        <is>
          <t>ÖSTHAMMAR</t>
        </is>
      </c>
      <c r="G495" t="n">
        <v>0.6</v>
      </c>
      <c r="H495" t="n">
        <v>0</v>
      </c>
      <c r="I495" t="n">
        <v>0</v>
      </c>
      <c r="J495" t="n">
        <v>0</v>
      </c>
      <c r="K495" t="n">
        <v>0</v>
      </c>
      <c r="L495" t="n">
        <v>0</v>
      </c>
      <c r="M495" t="n">
        <v>0</v>
      </c>
      <c r="N495" t="n">
        <v>0</v>
      </c>
      <c r="O495" t="n">
        <v>0</v>
      </c>
      <c r="P495" t="n">
        <v>0</v>
      </c>
      <c r="Q495" t="n">
        <v>0</v>
      </c>
      <c r="R495" s="2" t="inlineStr"/>
    </row>
    <row r="496" ht="15" customHeight="1">
      <c r="A496" t="inlineStr">
        <is>
          <t>A 31896-2025</t>
        </is>
      </c>
      <c r="B496" s="1" t="n">
        <v>45834.67556712963</v>
      </c>
      <c r="C496" s="1" t="n">
        <v>45885</v>
      </c>
      <c r="D496" t="inlineStr">
        <is>
          <t>UPPSALA LÄN</t>
        </is>
      </c>
      <c r="E496" t="inlineStr">
        <is>
          <t>ÖSTHAMMAR</t>
        </is>
      </c>
      <c r="G496" t="n">
        <v>4.1</v>
      </c>
      <c r="H496" t="n">
        <v>0</v>
      </c>
      <c r="I496" t="n">
        <v>0</v>
      </c>
      <c r="J496" t="n">
        <v>0</v>
      </c>
      <c r="K496" t="n">
        <v>0</v>
      </c>
      <c r="L496" t="n">
        <v>0</v>
      </c>
      <c r="M496" t="n">
        <v>0</v>
      </c>
      <c r="N496" t="n">
        <v>0</v>
      </c>
      <c r="O496" t="n">
        <v>0</v>
      </c>
      <c r="P496" t="n">
        <v>0</v>
      </c>
      <c r="Q496" t="n">
        <v>0</v>
      </c>
      <c r="R496" s="2" t="inlineStr"/>
    </row>
    <row r="497" ht="15" customHeight="1">
      <c r="A497" t="inlineStr">
        <is>
          <t>A 16240-2025</t>
        </is>
      </c>
      <c r="B497" s="1" t="n">
        <v>45746</v>
      </c>
      <c r="C497" s="1" t="n">
        <v>45885</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20038-2023</t>
        </is>
      </c>
      <c r="B498" s="1" t="n">
        <v>45054.65834490741</v>
      </c>
      <c r="C498" s="1" t="n">
        <v>45885</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6121-2024</t>
        </is>
      </c>
      <c r="B499" s="1" t="n">
        <v>45337.4219212963</v>
      </c>
      <c r="C499" s="1" t="n">
        <v>45885</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8699-2025</t>
        </is>
      </c>
      <c r="B500" s="1" t="n">
        <v>45712.47983796296</v>
      </c>
      <c r="C500" s="1" t="n">
        <v>45885</v>
      </c>
      <c r="D500" t="inlineStr">
        <is>
          <t>UPPSALA LÄN</t>
        </is>
      </c>
      <c r="E500" t="inlineStr">
        <is>
          <t>ÖSTHAMMAR</t>
        </is>
      </c>
      <c r="G500" t="n">
        <v>5.6</v>
      </c>
      <c r="H500" t="n">
        <v>0</v>
      </c>
      <c r="I500" t="n">
        <v>0</v>
      </c>
      <c r="J500" t="n">
        <v>0</v>
      </c>
      <c r="K500" t="n">
        <v>0</v>
      </c>
      <c r="L500" t="n">
        <v>0</v>
      </c>
      <c r="M500" t="n">
        <v>0</v>
      </c>
      <c r="N500" t="n">
        <v>0</v>
      </c>
      <c r="O500" t="n">
        <v>0</v>
      </c>
      <c r="P500" t="n">
        <v>0</v>
      </c>
      <c r="Q500" t="n">
        <v>0</v>
      </c>
      <c r="R500" s="2" t="inlineStr"/>
    </row>
    <row r="501" ht="15" customHeight="1">
      <c r="A501" t="inlineStr">
        <is>
          <t>A 6153-2022</t>
        </is>
      </c>
      <c r="B501" s="1" t="n">
        <v>44599</v>
      </c>
      <c r="C501" s="1" t="n">
        <v>45885</v>
      </c>
      <c r="D501" t="inlineStr">
        <is>
          <t>UPPSALA LÄN</t>
        </is>
      </c>
      <c r="E501" t="inlineStr">
        <is>
          <t>ÖSTHAMMAR</t>
        </is>
      </c>
      <c r="G501" t="n">
        <v>1.2</v>
      </c>
      <c r="H501" t="n">
        <v>0</v>
      </c>
      <c r="I501" t="n">
        <v>0</v>
      </c>
      <c r="J501" t="n">
        <v>0</v>
      </c>
      <c r="K501" t="n">
        <v>0</v>
      </c>
      <c r="L501" t="n">
        <v>0</v>
      </c>
      <c r="M501" t="n">
        <v>0</v>
      </c>
      <c r="N501" t="n">
        <v>0</v>
      </c>
      <c r="O501" t="n">
        <v>0</v>
      </c>
      <c r="P501" t="n">
        <v>0</v>
      </c>
      <c r="Q501" t="n">
        <v>0</v>
      </c>
      <c r="R501" s="2" t="inlineStr"/>
    </row>
    <row r="502" ht="15" customHeight="1">
      <c r="A502" t="inlineStr">
        <is>
          <t>A 15031-2025</t>
        </is>
      </c>
      <c r="B502" s="1" t="n">
        <v>45743.67333333333</v>
      </c>
      <c r="C502" s="1" t="n">
        <v>45885</v>
      </c>
      <c r="D502" t="inlineStr">
        <is>
          <t>UPPSALA LÄN</t>
        </is>
      </c>
      <c r="E502" t="inlineStr">
        <is>
          <t>ÖSTHAMMAR</t>
        </is>
      </c>
      <c r="G502" t="n">
        <v>9.6</v>
      </c>
      <c r="H502" t="n">
        <v>0</v>
      </c>
      <c r="I502" t="n">
        <v>0</v>
      </c>
      <c r="J502" t="n">
        <v>0</v>
      </c>
      <c r="K502" t="n">
        <v>0</v>
      </c>
      <c r="L502" t="n">
        <v>0</v>
      </c>
      <c r="M502" t="n">
        <v>0</v>
      </c>
      <c r="N502" t="n">
        <v>0</v>
      </c>
      <c r="O502" t="n">
        <v>0</v>
      </c>
      <c r="P502" t="n">
        <v>0</v>
      </c>
      <c r="Q502" t="n">
        <v>0</v>
      </c>
      <c r="R502" s="2" t="inlineStr"/>
    </row>
    <row r="503" ht="15" customHeight="1">
      <c r="A503" t="inlineStr">
        <is>
          <t>A 37764-2025</t>
        </is>
      </c>
      <c r="B503" s="1" t="n">
        <v>45880.70917824074</v>
      </c>
      <c r="C503" s="1" t="n">
        <v>45885</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31977-2025</t>
        </is>
      </c>
      <c r="B504" s="1" t="n">
        <v>45835.3554050926</v>
      </c>
      <c r="C504" s="1" t="n">
        <v>45885</v>
      </c>
      <c r="D504" t="inlineStr">
        <is>
          <t>UPPSALA LÄN</t>
        </is>
      </c>
      <c r="E504" t="inlineStr">
        <is>
          <t>ÖSTHAMMAR</t>
        </is>
      </c>
      <c r="F504" t="inlineStr">
        <is>
          <t>Övriga Aktiebolag</t>
        </is>
      </c>
      <c r="G504" t="n">
        <v>35.3</v>
      </c>
      <c r="H504" t="n">
        <v>0</v>
      </c>
      <c r="I504" t="n">
        <v>0</v>
      </c>
      <c r="J504" t="n">
        <v>0</v>
      </c>
      <c r="K504" t="n">
        <v>0</v>
      </c>
      <c r="L504" t="n">
        <v>0</v>
      </c>
      <c r="M504" t="n">
        <v>0</v>
      </c>
      <c r="N504" t="n">
        <v>0</v>
      </c>
      <c r="O504" t="n">
        <v>0</v>
      </c>
      <c r="P504" t="n">
        <v>0</v>
      </c>
      <c r="Q504" t="n">
        <v>0</v>
      </c>
      <c r="R504" s="2" t="inlineStr"/>
    </row>
    <row r="505" ht="15" customHeight="1">
      <c r="A505" t="inlineStr">
        <is>
          <t>A 31956-2025</t>
        </is>
      </c>
      <c r="B505" s="1" t="n">
        <v>45835.34184027778</v>
      </c>
      <c r="C505" s="1" t="n">
        <v>45885</v>
      </c>
      <c r="D505" t="inlineStr">
        <is>
          <t>UPPSALA LÄN</t>
        </is>
      </c>
      <c r="E505" t="inlineStr">
        <is>
          <t>ÖSTHAMMAR</t>
        </is>
      </c>
      <c r="F505" t="inlineStr">
        <is>
          <t>Övriga Aktiebolag</t>
        </is>
      </c>
      <c r="G505" t="n">
        <v>4.2</v>
      </c>
      <c r="H505" t="n">
        <v>0</v>
      </c>
      <c r="I505" t="n">
        <v>0</v>
      </c>
      <c r="J505" t="n">
        <v>0</v>
      </c>
      <c r="K505" t="n">
        <v>0</v>
      </c>
      <c r="L505" t="n">
        <v>0</v>
      </c>
      <c r="M505" t="n">
        <v>0</v>
      </c>
      <c r="N505" t="n">
        <v>0</v>
      </c>
      <c r="O505" t="n">
        <v>0</v>
      </c>
      <c r="P505" t="n">
        <v>0</v>
      </c>
      <c r="Q505" t="n">
        <v>0</v>
      </c>
      <c r="R505" s="2" t="inlineStr"/>
    </row>
    <row r="506" ht="15" customHeight="1">
      <c r="A506" t="inlineStr">
        <is>
          <t>A 60555-2023</t>
        </is>
      </c>
      <c r="B506" s="1" t="n">
        <v>45259</v>
      </c>
      <c r="C506" s="1" t="n">
        <v>45885</v>
      </c>
      <c r="D506" t="inlineStr">
        <is>
          <t>UPPSALA LÄN</t>
        </is>
      </c>
      <c r="E506" t="inlineStr">
        <is>
          <t>ÖSTHAMMAR</t>
        </is>
      </c>
      <c r="G506" t="n">
        <v>2</v>
      </c>
      <c r="H506" t="n">
        <v>0</v>
      </c>
      <c r="I506" t="n">
        <v>0</v>
      </c>
      <c r="J506" t="n">
        <v>0</v>
      </c>
      <c r="K506" t="n">
        <v>0</v>
      </c>
      <c r="L506" t="n">
        <v>0</v>
      </c>
      <c r="M506" t="n">
        <v>0</v>
      </c>
      <c r="N506" t="n">
        <v>0</v>
      </c>
      <c r="O506" t="n">
        <v>0</v>
      </c>
      <c r="P506" t="n">
        <v>0</v>
      </c>
      <c r="Q506" t="n">
        <v>0</v>
      </c>
      <c r="R506" s="2" t="inlineStr"/>
    </row>
    <row r="507" ht="15" customHeight="1">
      <c r="A507" t="inlineStr">
        <is>
          <t>A 1800-2023</t>
        </is>
      </c>
      <c r="B507" s="1" t="n">
        <v>44938</v>
      </c>
      <c r="C507" s="1" t="n">
        <v>45885</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60584-2021</t>
        </is>
      </c>
      <c r="B508" s="1" t="n">
        <v>44496</v>
      </c>
      <c r="C508" s="1" t="n">
        <v>45885</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37770-2025</t>
        </is>
      </c>
      <c r="B509" s="1" t="n">
        <v>45880.7505787037</v>
      </c>
      <c r="C509" s="1" t="n">
        <v>45885</v>
      </c>
      <c r="D509" t="inlineStr">
        <is>
          <t>UPPSALA LÄN</t>
        </is>
      </c>
      <c r="E509" t="inlineStr">
        <is>
          <t>ÖSTHAMMAR</t>
        </is>
      </c>
      <c r="G509" t="n">
        <v>2.9</v>
      </c>
      <c r="H509" t="n">
        <v>0</v>
      </c>
      <c r="I509" t="n">
        <v>0</v>
      </c>
      <c r="J509" t="n">
        <v>0</v>
      </c>
      <c r="K509" t="n">
        <v>0</v>
      </c>
      <c r="L509" t="n">
        <v>0</v>
      </c>
      <c r="M509" t="n">
        <v>0</v>
      </c>
      <c r="N509" t="n">
        <v>0</v>
      </c>
      <c r="O509" t="n">
        <v>0</v>
      </c>
      <c r="P509" t="n">
        <v>0</v>
      </c>
      <c r="Q509" t="n">
        <v>0</v>
      </c>
      <c r="R509" s="2" t="inlineStr"/>
    </row>
    <row r="510" ht="15" customHeight="1">
      <c r="A510" t="inlineStr">
        <is>
          <t>A 47341-2023</t>
        </is>
      </c>
      <c r="B510" s="1" t="n">
        <v>45202.55721064815</v>
      </c>
      <c r="C510" s="1" t="n">
        <v>45885</v>
      </c>
      <c r="D510" t="inlineStr">
        <is>
          <t>UPPSALA LÄN</t>
        </is>
      </c>
      <c r="E510" t="inlineStr">
        <is>
          <t>ÖSTHAMMAR</t>
        </is>
      </c>
      <c r="G510" t="n">
        <v>4.9</v>
      </c>
      <c r="H510" t="n">
        <v>0</v>
      </c>
      <c r="I510" t="n">
        <v>0</v>
      </c>
      <c r="J510" t="n">
        <v>0</v>
      </c>
      <c r="K510" t="n">
        <v>0</v>
      </c>
      <c r="L510" t="n">
        <v>0</v>
      </c>
      <c r="M510" t="n">
        <v>0</v>
      </c>
      <c r="N510" t="n">
        <v>0</v>
      </c>
      <c r="O510" t="n">
        <v>0</v>
      </c>
      <c r="P510" t="n">
        <v>0</v>
      </c>
      <c r="Q510" t="n">
        <v>0</v>
      </c>
      <c r="R510" s="2" t="inlineStr"/>
    </row>
    <row r="511" ht="15" customHeight="1">
      <c r="A511" t="inlineStr">
        <is>
          <t>A 17652-2025</t>
        </is>
      </c>
      <c r="B511" s="1" t="n">
        <v>45758.33583333333</v>
      </c>
      <c r="C511" s="1" t="n">
        <v>45885</v>
      </c>
      <c r="D511" t="inlineStr">
        <is>
          <t>UPPSALA LÄN</t>
        </is>
      </c>
      <c r="E511" t="inlineStr">
        <is>
          <t>ÖSTHAMMAR</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48719-2023</t>
        </is>
      </c>
      <c r="B512" s="1" t="n">
        <v>45208.70452546296</v>
      </c>
      <c r="C512" s="1" t="n">
        <v>45885</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37656-2025</t>
        </is>
      </c>
      <c r="B513" s="1" t="n">
        <v>45880.49582175926</v>
      </c>
      <c r="C513" s="1" t="n">
        <v>45885</v>
      </c>
      <c r="D513" t="inlineStr">
        <is>
          <t>UPPSALA LÄN</t>
        </is>
      </c>
      <c r="E513" t="inlineStr">
        <is>
          <t>ÖSTHAMMAR</t>
        </is>
      </c>
      <c r="G513" t="n">
        <v>4.3</v>
      </c>
      <c r="H513" t="n">
        <v>0</v>
      </c>
      <c r="I513" t="n">
        <v>0</v>
      </c>
      <c r="J513" t="n">
        <v>0</v>
      </c>
      <c r="K513" t="n">
        <v>0</v>
      </c>
      <c r="L513" t="n">
        <v>0</v>
      </c>
      <c r="M513" t="n">
        <v>0</v>
      </c>
      <c r="N513" t="n">
        <v>0</v>
      </c>
      <c r="O513" t="n">
        <v>0</v>
      </c>
      <c r="P513" t="n">
        <v>0</v>
      </c>
      <c r="Q513" t="n">
        <v>0</v>
      </c>
      <c r="R513" s="2" t="inlineStr"/>
    </row>
    <row r="514" ht="15" customHeight="1">
      <c r="A514" t="inlineStr">
        <is>
          <t>A 7118-2023</t>
        </is>
      </c>
      <c r="B514" s="1" t="n">
        <v>44970.39591435185</v>
      </c>
      <c r="C514" s="1" t="n">
        <v>45885</v>
      </c>
      <c r="D514" t="inlineStr">
        <is>
          <t>UPPSALA LÄN</t>
        </is>
      </c>
      <c r="E514" t="inlineStr">
        <is>
          <t>ÖSTHAMMAR</t>
        </is>
      </c>
      <c r="G514" t="n">
        <v>2.1</v>
      </c>
      <c r="H514" t="n">
        <v>0</v>
      </c>
      <c r="I514" t="n">
        <v>0</v>
      </c>
      <c r="J514" t="n">
        <v>0</v>
      </c>
      <c r="K514" t="n">
        <v>0</v>
      </c>
      <c r="L514" t="n">
        <v>0</v>
      </c>
      <c r="M514" t="n">
        <v>0</v>
      </c>
      <c r="N514" t="n">
        <v>0</v>
      </c>
      <c r="O514" t="n">
        <v>0</v>
      </c>
      <c r="P514" t="n">
        <v>0</v>
      </c>
      <c r="Q514" t="n">
        <v>0</v>
      </c>
      <c r="R514" s="2" t="inlineStr"/>
    </row>
    <row r="515" ht="15" customHeight="1">
      <c r="A515" t="inlineStr">
        <is>
          <t>A 33048-2025</t>
        </is>
      </c>
      <c r="B515" s="1" t="n">
        <v>45840.41451388889</v>
      </c>
      <c r="C515" s="1" t="n">
        <v>45885</v>
      </c>
      <c r="D515" t="inlineStr">
        <is>
          <t>UPPSALA LÄN</t>
        </is>
      </c>
      <c r="E515" t="inlineStr">
        <is>
          <t>ÖSTHAMMAR</t>
        </is>
      </c>
      <c r="G515" t="n">
        <v>1.8</v>
      </c>
      <c r="H515" t="n">
        <v>0</v>
      </c>
      <c r="I515" t="n">
        <v>0</v>
      </c>
      <c r="J515" t="n">
        <v>0</v>
      </c>
      <c r="K515" t="n">
        <v>0</v>
      </c>
      <c r="L515" t="n">
        <v>0</v>
      </c>
      <c r="M515" t="n">
        <v>0</v>
      </c>
      <c r="N515" t="n">
        <v>0</v>
      </c>
      <c r="O515" t="n">
        <v>0</v>
      </c>
      <c r="P515" t="n">
        <v>0</v>
      </c>
      <c r="Q515" t="n">
        <v>0</v>
      </c>
      <c r="R515" s="2" t="inlineStr"/>
    </row>
    <row r="516" ht="15" customHeight="1">
      <c r="A516" t="inlineStr">
        <is>
          <t>A 27476-2025</t>
        </is>
      </c>
      <c r="B516" s="1" t="n">
        <v>45813.37517361111</v>
      </c>
      <c r="C516" s="1" t="n">
        <v>45885</v>
      </c>
      <c r="D516" t="inlineStr">
        <is>
          <t>UPPSALA LÄN</t>
        </is>
      </c>
      <c r="E516" t="inlineStr">
        <is>
          <t>ÖSTHAMMAR</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33784-2024</t>
        </is>
      </c>
      <c r="B517" s="1" t="n">
        <v>45520</v>
      </c>
      <c r="C517" s="1" t="n">
        <v>45885</v>
      </c>
      <c r="D517" t="inlineStr">
        <is>
          <t>UPPSALA LÄN</t>
        </is>
      </c>
      <c r="E517" t="inlineStr">
        <is>
          <t>ÖSTHAMMAR</t>
        </is>
      </c>
      <c r="F517" t="inlineStr">
        <is>
          <t>Naturvårdsverket</t>
        </is>
      </c>
      <c r="G517" t="n">
        <v>0.6</v>
      </c>
      <c r="H517" t="n">
        <v>0</v>
      </c>
      <c r="I517" t="n">
        <v>0</v>
      </c>
      <c r="J517" t="n">
        <v>0</v>
      </c>
      <c r="K517" t="n">
        <v>0</v>
      </c>
      <c r="L517" t="n">
        <v>0</v>
      </c>
      <c r="M517" t="n">
        <v>0</v>
      </c>
      <c r="N517" t="n">
        <v>0</v>
      </c>
      <c r="O517" t="n">
        <v>0</v>
      </c>
      <c r="P517" t="n">
        <v>0</v>
      </c>
      <c r="Q517" t="n">
        <v>0</v>
      </c>
      <c r="R517" s="2" t="inlineStr"/>
    </row>
    <row r="518" ht="15" customHeight="1">
      <c r="A518" t="inlineStr">
        <is>
          <t>A 61216-2022</t>
        </is>
      </c>
      <c r="B518" s="1" t="n">
        <v>44915.55423611111</v>
      </c>
      <c r="C518" s="1" t="n">
        <v>45885</v>
      </c>
      <c r="D518" t="inlineStr">
        <is>
          <t>UPPSALA LÄN</t>
        </is>
      </c>
      <c r="E518" t="inlineStr">
        <is>
          <t>ÖSTHAMMAR</t>
        </is>
      </c>
      <c r="G518" t="n">
        <v>2.9</v>
      </c>
      <c r="H518" t="n">
        <v>0</v>
      </c>
      <c r="I518" t="n">
        <v>0</v>
      </c>
      <c r="J518" t="n">
        <v>0</v>
      </c>
      <c r="K518" t="n">
        <v>0</v>
      </c>
      <c r="L518" t="n">
        <v>0</v>
      </c>
      <c r="M518" t="n">
        <v>0</v>
      </c>
      <c r="N518" t="n">
        <v>0</v>
      </c>
      <c r="O518" t="n">
        <v>0</v>
      </c>
      <c r="P518" t="n">
        <v>0</v>
      </c>
      <c r="Q518" t="n">
        <v>0</v>
      </c>
      <c r="R518" s="2" t="inlineStr"/>
    </row>
    <row r="519" ht="15" customHeight="1">
      <c r="A519" t="inlineStr">
        <is>
          <t>A 70008-2021</t>
        </is>
      </c>
      <c r="B519" s="1" t="n">
        <v>44533.44887731481</v>
      </c>
      <c r="C519" s="1" t="n">
        <v>45885</v>
      </c>
      <c r="D519" t="inlineStr">
        <is>
          <t>UPPSALA LÄN</t>
        </is>
      </c>
      <c r="E519" t="inlineStr">
        <is>
          <t>ÖSTHAMMAR</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33271-2025</t>
        </is>
      </c>
      <c r="B520" s="1" t="n">
        <v>45840.68381944444</v>
      </c>
      <c r="C520" s="1" t="n">
        <v>45885</v>
      </c>
      <c r="D520" t="inlineStr">
        <is>
          <t>UPPSALA LÄN</t>
        </is>
      </c>
      <c r="E520" t="inlineStr">
        <is>
          <t>ÖSTHAMMAR</t>
        </is>
      </c>
      <c r="G520" t="n">
        <v>1.3</v>
      </c>
      <c r="H520" t="n">
        <v>0</v>
      </c>
      <c r="I520" t="n">
        <v>0</v>
      </c>
      <c r="J520" t="n">
        <v>0</v>
      </c>
      <c r="K520" t="n">
        <v>0</v>
      </c>
      <c r="L520" t="n">
        <v>0</v>
      </c>
      <c r="M520" t="n">
        <v>0</v>
      </c>
      <c r="N520" t="n">
        <v>0</v>
      </c>
      <c r="O520" t="n">
        <v>0</v>
      </c>
      <c r="P520" t="n">
        <v>0</v>
      </c>
      <c r="Q520" t="n">
        <v>0</v>
      </c>
      <c r="R520" s="2" t="inlineStr"/>
    </row>
    <row r="521" ht="15" customHeight="1">
      <c r="A521" t="inlineStr">
        <is>
          <t>A 15203-2025</t>
        </is>
      </c>
      <c r="B521" s="1" t="n">
        <v>45744.57012731482</v>
      </c>
      <c r="C521" s="1" t="n">
        <v>45885</v>
      </c>
      <c r="D521" t="inlineStr">
        <is>
          <t>UPPSALA LÄN</t>
        </is>
      </c>
      <c r="E521" t="inlineStr">
        <is>
          <t>ÖSTHAMMAR</t>
        </is>
      </c>
      <c r="G521" t="n">
        <v>5.7</v>
      </c>
      <c r="H521" t="n">
        <v>0</v>
      </c>
      <c r="I521" t="n">
        <v>0</v>
      </c>
      <c r="J521" t="n">
        <v>0</v>
      </c>
      <c r="K521" t="n">
        <v>0</v>
      </c>
      <c r="L521" t="n">
        <v>0</v>
      </c>
      <c r="M521" t="n">
        <v>0</v>
      </c>
      <c r="N521" t="n">
        <v>0</v>
      </c>
      <c r="O521" t="n">
        <v>0</v>
      </c>
      <c r="P521" t="n">
        <v>0</v>
      </c>
      <c r="Q521" t="n">
        <v>0</v>
      </c>
      <c r="R521" s="2" t="inlineStr"/>
    </row>
    <row r="522" ht="15" customHeight="1">
      <c r="A522" t="inlineStr">
        <is>
          <t>A 33601-2024</t>
        </is>
      </c>
      <c r="B522" s="1" t="n">
        <v>45520</v>
      </c>
      <c r="C522" s="1" t="n">
        <v>45885</v>
      </c>
      <c r="D522" t="inlineStr">
        <is>
          <t>UPPSALA LÄN</t>
        </is>
      </c>
      <c r="E522" t="inlineStr">
        <is>
          <t>ÖSTHAMMAR</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32718-2025</t>
        </is>
      </c>
      <c r="B523" s="1" t="n">
        <v>45839.37740740741</v>
      </c>
      <c r="C523" s="1" t="n">
        <v>45885</v>
      </c>
      <c r="D523" t="inlineStr">
        <is>
          <t>UPPSALA LÄN</t>
        </is>
      </c>
      <c r="E523" t="inlineStr">
        <is>
          <t>ÖSTHAMMAR</t>
        </is>
      </c>
      <c r="G523" t="n">
        <v>10.4</v>
      </c>
      <c r="H523" t="n">
        <v>0</v>
      </c>
      <c r="I523" t="n">
        <v>0</v>
      </c>
      <c r="J523" t="n">
        <v>0</v>
      </c>
      <c r="K523" t="n">
        <v>0</v>
      </c>
      <c r="L523" t="n">
        <v>0</v>
      </c>
      <c r="M523" t="n">
        <v>0</v>
      </c>
      <c r="N523" t="n">
        <v>0</v>
      </c>
      <c r="O523" t="n">
        <v>0</v>
      </c>
      <c r="P523" t="n">
        <v>0</v>
      </c>
      <c r="Q523" t="n">
        <v>0</v>
      </c>
      <c r="R523" s="2" t="inlineStr"/>
    </row>
    <row r="524" ht="15" customHeight="1">
      <c r="A524" t="inlineStr">
        <is>
          <t>A 19009-2023</t>
        </is>
      </c>
      <c r="B524" s="1" t="n">
        <v>45045</v>
      </c>
      <c r="C524" s="1" t="n">
        <v>45885</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2733-2023</t>
        </is>
      </c>
      <c r="B525" s="1" t="n">
        <v>44943</v>
      </c>
      <c r="C525" s="1" t="n">
        <v>45885</v>
      </c>
      <c r="D525" t="inlineStr">
        <is>
          <t>UPPSALA LÄN</t>
        </is>
      </c>
      <c r="E525" t="inlineStr">
        <is>
          <t>ÖSTHAMMAR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33529-2025</t>
        </is>
      </c>
      <c r="B526" s="1" t="n">
        <v>45841.55199074074</v>
      </c>
      <c r="C526" s="1" t="n">
        <v>45885</v>
      </c>
      <c r="D526" t="inlineStr">
        <is>
          <t>UPPSALA LÄN</t>
        </is>
      </c>
      <c r="E526" t="inlineStr">
        <is>
          <t>ÖSTHAMMAR</t>
        </is>
      </c>
      <c r="F526" t="inlineStr">
        <is>
          <t>Bergvik skog öst AB</t>
        </is>
      </c>
      <c r="G526" t="n">
        <v>11.8</v>
      </c>
      <c r="H526" t="n">
        <v>0</v>
      </c>
      <c r="I526" t="n">
        <v>0</v>
      </c>
      <c r="J526" t="n">
        <v>0</v>
      </c>
      <c r="K526" t="n">
        <v>0</v>
      </c>
      <c r="L526" t="n">
        <v>0</v>
      </c>
      <c r="M526" t="n">
        <v>0</v>
      </c>
      <c r="N526" t="n">
        <v>0</v>
      </c>
      <c r="O526" t="n">
        <v>0</v>
      </c>
      <c r="P526" t="n">
        <v>0</v>
      </c>
      <c r="Q526" t="n">
        <v>0</v>
      </c>
      <c r="R526" s="2" t="inlineStr"/>
    </row>
    <row r="527" ht="15" customHeight="1">
      <c r="A527" t="inlineStr">
        <is>
          <t>A 4151-2021</t>
        </is>
      </c>
      <c r="B527" s="1" t="n">
        <v>44221</v>
      </c>
      <c r="C527" s="1" t="n">
        <v>45885</v>
      </c>
      <c r="D527" t="inlineStr">
        <is>
          <t>UPPSALA LÄN</t>
        </is>
      </c>
      <c r="E527" t="inlineStr">
        <is>
          <t>ÖSTHAMMAR</t>
        </is>
      </c>
      <c r="G527" t="n">
        <v>2.9</v>
      </c>
      <c r="H527" t="n">
        <v>0</v>
      </c>
      <c r="I527" t="n">
        <v>0</v>
      </c>
      <c r="J527" t="n">
        <v>0</v>
      </c>
      <c r="K527" t="n">
        <v>0</v>
      </c>
      <c r="L527" t="n">
        <v>0</v>
      </c>
      <c r="M527" t="n">
        <v>0</v>
      </c>
      <c r="N527" t="n">
        <v>0</v>
      </c>
      <c r="O527" t="n">
        <v>0</v>
      </c>
      <c r="P527" t="n">
        <v>0</v>
      </c>
      <c r="Q527" t="n">
        <v>0</v>
      </c>
      <c r="R527" s="2" t="inlineStr"/>
    </row>
    <row r="528" ht="15" customHeight="1">
      <c r="A528" t="inlineStr">
        <is>
          <t>A 5189-2025</t>
        </is>
      </c>
      <c r="B528" s="1" t="n">
        <v>45691</v>
      </c>
      <c r="C528" s="1" t="n">
        <v>45885</v>
      </c>
      <c r="D528" t="inlineStr">
        <is>
          <t>UPPSALA LÄN</t>
        </is>
      </c>
      <c r="E528" t="inlineStr">
        <is>
          <t>ÖSTHAMMAR</t>
        </is>
      </c>
      <c r="F528" t="inlineStr">
        <is>
          <t>Bergvik skog öst AB</t>
        </is>
      </c>
      <c r="G528" t="n">
        <v>24.4</v>
      </c>
      <c r="H528" t="n">
        <v>0</v>
      </c>
      <c r="I528" t="n">
        <v>0</v>
      </c>
      <c r="J528" t="n">
        <v>0</v>
      </c>
      <c r="K528" t="n">
        <v>0</v>
      </c>
      <c r="L528" t="n">
        <v>0</v>
      </c>
      <c r="M528" t="n">
        <v>0</v>
      </c>
      <c r="N528" t="n">
        <v>0</v>
      </c>
      <c r="O528" t="n">
        <v>0</v>
      </c>
      <c r="P528" t="n">
        <v>0</v>
      </c>
      <c r="Q528" t="n">
        <v>0</v>
      </c>
      <c r="R528" s="2" t="inlineStr"/>
    </row>
    <row r="529" ht="15" customHeight="1">
      <c r="A529" t="inlineStr">
        <is>
          <t>A 53137-2020</t>
        </is>
      </c>
      <c r="B529" s="1" t="n">
        <v>44120</v>
      </c>
      <c r="C529" s="1" t="n">
        <v>45885</v>
      </c>
      <c r="D529" t="inlineStr">
        <is>
          <t>UPPSALA LÄN</t>
        </is>
      </c>
      <c r="E529" t="inlineStr">
        <is>
          <t>ÖSTHAMMAR</t>
        </is>
      </c>
      <c r="G529" t="n">
        <v>1.9</v>
      </c>
      <c r="H529" t="n">
        <v>0</v>
      </c>
      <c r="I529" t="n">
        <v>0</v>
      </c>
      <c r="J529" t="n">
        <v>0</v>
      </c>
      <c r="K529" t="n">
        <v>0</v>
      </c>
      <c r="L529" t="n">
        <v>0</v>
      </c>
      <c r="M529" t="n">
        <v>0</v>
      </c>
      <c r="N529" t="n">
        <v>0</v>
      </c>
      <c r="O529" t="n">
        <v>0</v>
      </c>
      <c r="P529" t="n">
        <v>0</v>
      </c>
      <c r="Q529" t="n">
        <v>0</v>
      </c>
      <c r="R529" s="2" t="inlineStr"/>
    </row>
    <row r="530" ht="15" customHeight="1">
      <c r="A530" t="inlineStr">
        <is>
          <t>A 56089-2020</t>
        </is>
      </c>
      <c r="B530" s="1" t="n">
        <v>44133</v>
      </c>
      <c r="C530" s="1" t="n">
        <v>45885</v>
      </c>
      <c r="D530" t="inlineStr">
        <is>
          <t>UPPSALA LÄN</t>
        </is>
      </c>
      <c r="E530" t="inlineStr">
        <is>
          <t>ÖSTHAMMAR</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30755-2024</t>
        </is>
      </c>
      <c r="B531" s="1" t="n">
        <v>45496</v>
      </c>
      <c r="C531" s="1" t="n">
        <v>45885</v>
      </c>
      <c r="D531" t="inlineStr">
        <is>
          <t>UPPSALA LÄN</t>
        </is>
      </c>
      <c r="E531" t="inlineStr">
        <is>
          <t>ÖSTHAMMAR</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12812-2024</t>
        </is>
      </c>
      <c r="B532" s="1" t="n">
        <v>45384.65465277778</v>
      </c>
      <c r="C532" s="1" t="n">
        <v>45885</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9052-2023</t>
        </is>
      </c>
      <c r="B533" s="1" t="n">
        <v>44979</v>
      </c>
      <c r="C533" s="1" t="n">
        <v>45885</v>
      </c>
      <c r="D533" t="inlineStr">
        <is>
          <t>UPPSALA LÄN</t>
        </is>
      </c>
      <c r="E533" t="inlineStr">
        <is>
          <t>ÖSTHAMMAR</t>
        </is>
      </c>
      <c r="F533" t="inlineStr">
        <is>
          <t>Kyrkan</t>
        </is>
      </c>
      <c r="G533" t="n">
        <v>0.2</v>
      </c>
      <c r="H533" t="n">
        <v>0</v>
      </c>
      <c r="I533" t="n">
        <v>0</v>
      </c>
      <c r="J533" t="n">
        <v>0</v>
      </c>
      <c r="K533" t="n">
        <v>0</v>
      </c>
      <c r="L533" t="n">
        <v>0</v>
      </c>
      <c r="M533" t="n">
        <v>0</v>
      </c>
      <c r="N533" t="n">
        <v>0</v>
      </c>
      <c r="O533" t="n">
        <v>0</v>
      </c>
      <c r="P533" t="n">
        <v>0</v>
      </c>
      <c r="Q533" t="n">
        <v>0</v>
      </c>
      <c r="R533" s="2" t="inlineStr"/>
    </row>
    <row r="534" ht="15" customHeight="1">
      <c r="A534" t="inlineStr">
        <is>
          <t>A 33927-2025</t>
        </is>
      </c>
      <c r="B534" s="1" t="n">
        <v>45842.62363425926</v>
      </c>
      <c r="C534" s="1" t="n">
        <v>45885</v>
      </c>
      <c r="D534" t="inlineStr">
        <is>
          <t>UPPSALA LÄN</t>
        </is>
      </c>
      <c r="E534" t="inlineStr">
        <is>
          <t>ÖSTHAMMAR</t>
        </is>
      </c>
      <c r="G534" t="n">
        <v>3.5</v>
      </c>
      <c r="H534" t="n">
        <v>0</v>
      </c>
      <c r="I534" t="n">
        <v>0</v>
      </c>
      <c r="J534" t="n">
        <v>0</v>
      </c>
      <c r="K534" t="n">
        <v>0</v>
      </c>
      <c r="L534" t="n">
        <v>0</v>
      </c>
      <c r="M534" t="n">
        <v>0</v>
      </c>
      <c r="N534" t="n">
        <v>0</v>
      </c>
      <c r="O534" t="n">
        <v>0</v>
      </c>
      <c r="P534" t="n">
        <v>0</v>
      </c>
      <c r="Q534" t="n">
        <v>0</v>
      </c>
      <c r="R534" s="2" t="inlineStr"/>
    </row>
    <row r="535" ht="15" customHeight="1">
      <c r="A535" t="inlineStr">
        <is>
          <t>A 33760-2024</t>
        </is>
      </c>
      <c r="B535" s="1" t="n">
        <v>45520</v>
      </c>
      <c r="C535" s="1" t="n">
        <v>45885</v>
      </c>
      <c r="D535" t="inlineStr">
        <is>
          <t>UPPSALA LÄN</t>
        </is>
      </c>
      <c r="E535" t="inlineStr">
        <is>
          <t>ÖSTHAMMAR</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3725-2022</t>
        </is>
      </c>
      <c r="B536" s="1" t="n">
        <v>44586</v>
      </c>
      <c r="C536" s="1" t="n">
        <v>45885</v>
      </c>
      <c r="D536" t="inlineStr">
        <is>
          <t>UPPSALA LÄN</t>
        </is>
      </c>
      <c r="E536" t="inlineStr">
        <is>
          <t>ÖSTHAMMAR</t>
        </is>
      </c>
      <c r="G536" t="n">
        <v>2</v>
      </c>
      <c r="H536" t="n">
        <v>0</v>
      </c>
      <c r="I536" t="n">
        <v>0</v>
      </c>
      <c r="J536" t="n">
        <v>0</v>
      </c>
      <c r="K536" t="n">
        <v>0</v>
      </c>
      <c r="L536" t="n">
        <v>0</v>
      </c>
      <c r="M536" t="n">
        <v>0</v>
      </c>
      <c r="N536" t="n">
        <v>0</v>
      </c>
      <c r="O536" t="n">
        <v>0</v>
      </c>
      <c r="P536" t="n">
        <v>0</v>
      </c>
      <c r="Q536" t="n">
        <v>0</v>
      </c>
      <c r="R536" s="2" t="inlineStr"/>
    </row>
    <row r="537" ht="15" customHeight="1">
      <c r="A537" t="inlineStr">
        <is>
          <t>A 8006-2023</t>
        </is>
      </c>
      <c r="B537" s="1" t="n">
        <v>44973</v>
      </c>
      <c r="C537" s="1" t="n">
        <v>45885</v>
      </c>
      <c r="D537" t="inlineStr">
        <is>
          <t>UPPSALA LÄN</t>
        </is>
      </c>
      <c r="E537" t="inlineStr">
        <is>
          <t>ÖSTHAMMAR</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31574-2022</t>
        </is>
      </c>
      <c r="B538" s="1" t="n">
        <v>44775</v>
      </c>
      <c r="C538" s="1" t="n">
        <v>45885</v>
      </c>
      <c r="D538" t="inlineStr">
        <is>
          <t>UPPSALA LÄN</t>
        </is>
      </c>
      <c r="E538" t="inlineStr">
        <is>
          <t>ÖSTHAMMAR</t>
        </is>
      </c>
      <c r="G538" t="n">
        <v>29.7</v>
      </c>
      <c r="H538" t="n">
        <v>0</v>
      </c>
      <c r="I538" t="n">
        <v>0</v>
      </c>
      <c r="J538" t="n">
        <v>0</v>
      </c>
      <c r="K538" t="n">
        <v>0</v>
      </c>
      <c r="L538" t="n">
        <v>0</v>
      </c>
      <c r="M538" t="n">
        <v>0</v>
      </c>
      <c r="N538" t="n">
        <v>0</v>
      </c>
      <c r="O538" t="n">
        <v>0</v>
      </c>
      <c r="P538" t="n">
        <v>0</v>
      </c>
      <c r="Q538" t="n">
        <v>0</v>
      </c>
      <c r="R538" s="2" t="inlineStr"/>
    </row>
    <row r="539" ht="15" customHeight="1">
      <c r="A539" t="inlineStr">
        <is>
          <t>A 11469-2023</t>
        </is>
      </c>
      <c r="B539" s="1" t="n">
        <v>44993.60099537037</v>
      </c>
      <c r="C539" s="1" t="n">
        <v>45885</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45885</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20324-2021</t>
        </is>
      </c>
      <c r="B541" s="1" t="n">
        <v>44308</v>
      </c>
      <c r="C541" s="1" t="n">
        <v>45885</v>
      </c>
      <c r="D541" t="inlineStr">
        <is>
          <t>UPPSALA LÄN</t>
        </is>
      </c>
      <c r="E541" t="inlineStr">
        <is>
          <t>ÖSTHAMMAR</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25033-2021</t>
        </is>
      </c>
      <c r="B542" s="1" t="n">
        <v>44341.590625</v>
      </c>
      <c r="C542" s="1" t="n">
        <v>45885</v>
      </c>
      <c r="D542" t="inlineStr">
        <is>
          <t>UPPSALA LÄN</t>
        </is>
      </c>
      <c r="E542" t="inlineStr">
        <is>
          <t>ÖSTHAMMAR</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16212-2021</t>
        </is>
      </c>
      <c r="B543" s="1" t="n">
        <v>44287</v>
      </c>
      <c r="C543" s="1" t="n">
        <v>45885</v>
      </c>
      <c r="D543" t="inlineStr">
        <is>
          <t>UPPSALA LÄN</t>
        </is>
      </c>
      <c r="E543" t="inlineStr">
        <is>
          <t>ÖSTHAMMAR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17924-2025</t>
        </is>
      </c>
      <c r="B544" s="1" t="n">
        <v>45759.35670138889</v>
      </c>
      <c r="C544" s="1" t="n">
        <v>45885</v>
      </c>
      <c r="D544" t="inlineStr">
        <is>
          <t>UPPSALA LÄN</t>
        </is>
      </c>
      <c r="E544" t="inlineStr">
        <is>
          <t>ÖSTHAMMAR</t>
        </is>
      </c>
      <c r="F544" t="inlineStr">
        <is>
          <t>Bergvik skog öst AB</t>
        </is>
      </c>
      <c r="G544" t="n">
        <v>1.2</v>
      </c>
      <c r="H544" t="n">
        <v>0</v>
      </c>
      <c r="I544" t="n">
        <v>0</v>
      </c>
      <c r="J544" t="n">
        <v>0</v>
      </c>
      <c r="K544" t="n">
        <v>0</v>
      </c>
      <c r="L544" t="n">
        <v>0</v>
      </c>
      <c r="M544" t="n">
        <v>0</v>
      </c>
      <c r="N544" t="n">
        <v>0</v>
      </c>
      <c r="O544" t="n">
        <v>0</v>
      </c>
      <c r="P544" t="n">
        <v>0</v>
      </c>
      <c r="Q544" t="n">
        <v>0</v>
      </c>
      <c r="R544" s="2" t="inlineStr"/>
    </row>
    <row r="545" ht="15" customHeight="1">
      <c r="A545" t="inlineStr">
        <is>
          <t>A 17929-2025</t>
        </is>
      </c>
      <c r="B545" s="1" t="n">
        <v>45759.56462962963</v>
      </c>
      <c r="C545" s="1" t="n">
        <v>45885</v>
      </c>
      <c r="D545" t="inlineStr">
        <is>
          <t>UPPSALA LÄN</t>
        </is>
      </c>
      <c r="E545" t="inlineStr">
        <is>
          <t>ÖSTHAMMAR</t>
        </is>
      </c>
      <c r="G545" t="n">
        <v>3.4</v>
      </c>
      <c r="H545" t="n">
        <v>0</v>
      </c>
      <c r="I545" t="n">
        <v>0</v>
      </c>
      <c r="J545" t="n">
        <v>0</v>
      </c>
      <c r="K545" t="n">
        <v>0</v>
      </c>
      <c r="L545" t="n">
        <v>0</v>
      </c>
      <c r="M545" t="n">
        <v>0</v>
      </c>
      <c r="N545" t="n">
        <v>0</v>
      </c>
      <c r="O545" t="n">
        <v>0</v>
      </c>
      <c r="P545" t="n">
        <v>0</v>
      </c>
      <c r="Q545" t="n">
        <v>0</v>
      </c>
      <c r="R545" s="2" t="inlineStr"/>
    </row>
    <row r="546" ht="15" customHeight="1">
      <c r="A546" t="inlineStr">
        <is>
          <t>A 4096-2025</t>
        </is>
      </c>
      <c r="B546" s="1" t="n">
        <v>45684</v>
      </c>
      <c r="C546" s="1" t="n">
        <v>45885</v>
      </c>
      <c r="D546" t="inlineStr">
        <is>
          <t>UPPSALA LÄN</t>
        </is>
      </c>
      <c r="E546" t="inlineStr">
        <is>
          <t>ÖSTHAMMAR</t>
        </is>
      </c>
      <c r="G546" t="n">
        <v>2</v>
      </c>
      <c r="H546" t="n">
        <v>0</v>
      </c>
      <c r="I546" t="n">
        <v>0</v>
      </c>
      <c r="J546" t="n">
        <v>0</v>
      </c>
      <c r="K546" t="n">
        <v>0</v>
      </c>
      <c r="L546" t="n">
        <v>0</v>
      </c>
      <c r="M546" t="n">
        <v>0</v>
      </c>
      <c r="N546" t="n">
        <v>0</v>
      </c>
      <c r="O546" t="n">
        <v>0</v>
      </c>
      <c r="P546" t="n">
        <v>0</v>
      </c>
      <c r="Q546" t="n">
        <v>0</v>
      </c>
      <c r="R546" s="2" t="inlineStr"/>
    </row>
    <row r="547" ht="15" customHeight="1">
      <c r="A547" t="inlineStr">
        <is>
          <t>A 63577-2020</t>
        </is>
      </c>
      <c r="B547" s="1" t="n">
        <v>44165</v>
      </c>
      <c r="C547" s="1" t="n">
        <v>45885</v>
      </c>
      <c r="D547" t="inlineStr">
        <is>
          <t>UPPSALA LÄN</t>
        </is>
      </c>
      <c r="E547" t="inlineStr">
        <is>
          <t>ÖSTHAMMAR</t>
        </is>
      </c>
      <c r="G547" t="n">
        <v>0.9</v>
      </c>
      <c r="H547" t="n">
        <v>0</v>
      </c>
      <c r="I547" t="n">
        <v>0</v>
      </c>
      <c r="J547" t="n">
        <v>0</v>
      </c>
      <c r="K547" t="n">
        <v>0</v>
      </c>
      <c r="L547" t="n">
        <v>0</v>
      </c>
      <c r="M547" t="n">
        <v>0</v>
      </c>
      <c r="N547" t="n">
        <v>0</v>
      </c>
      <c r="O547" t="n">
        <v>0</v>
      </c>
      <c r="P547" t="n">
        <v>0</v>
      </c>
      <c r="Q547" t="n">
        <v>0</v>
      </c>
      <c r="R547" s="2" t="inlineStr"/>
    </row>
    <row r="548" ht="15" customHeight="1">
      <c r="A548" t="inlineStr">
        <is>
          <t>A 18113-2023</t>
        </is>
      </c>
      <c r="B548" s="1" t="n">
        <v>45040</v>
      </c>
      <c r="C548" s="1" t="n">
        <v>45885</v>
      </c>
      <c r="D548" t="inlineStr">
        <is>
          <t>UPPSALA LÄN</t>
        </is>
      </c>
      <c r="E548" t="inlineStr">
        <is>
          <t>ÖSTHAMMAR</t>
        </is>
      </c>
      <c r="G548" t="n">
        <v>2.1</v>
      </c>
      <c r="H548" t="n">
        <v>0</v>
      </c>
      <c r="I548" t="n">
        <v>0</v>
      </c>
      <c r="J548" t="n">
        <v>0</v>
      </c>
      <c r="K548" t="n">
        <v>0</v>
      </c>
      <c r="L548" t="n">
        <v>0</v>
      </c>
      <c r="M548" t="n">
        <v>0</v>
      </c>
      <c r="N548" t="n">
        <v>0</v>
      </c>
      <c r="O548" t="n">
        <v>0</v>
      </c>
      <c r="P548" t="n">
        <v>0</v>
      </c>
      <c r="Q548" t="n">
        <v>0</v>
      </c>
      <c r="R548" s="2" t="inlineStr"/>
    </row>
    <row r="549" ht="15" customHeight="1">
      <c r="A549" t="inlineStr">
        <is>
          <t>A 22884-2024</t>
        </is>
      </c>
      <c r="B549" s="1" t="n">
        <v>45448</v>
      </c>
      <c r="C549" s="1" t="n">
        <v>45885</v>
      </c>
      <c r="D549" t="inlineStr">
        <is>
          <t>UPPSALA LÄN</t>
        </is>
      </c>
      <c r="E549" t="inlineStr">
        <is>
          <t>ÖSTHAMMAR</t>
        </is>
      </c>
      <c r="G549" t="n">
        <v>3.3</v>
      </c>
      <c r="H549" t="n">
        <v>0</v>
      </c>
      <c r="I549" t="n">
        <v>0</v>
      </c>
      <c r="J549" t="n">
        <v>0</v>
      </c>
      <c r="K549" t="n">
        <v>0</v>
      </c>
      <c r="L549" t="n">
        <v>0</v>
      </c>
      <c r="M549" t="n">
        <v>0</v>
      </c>
      <c r="N549" t="n">
        <v>0</v>
      </c>
      <c r="O549" t="n">
        <v>0</v>
      </c>
      <c r="P549" t="n">
        <v>0</v>
      </c>
      <c r="Q549" t="n">
        <v>0</v>
      </c>
      <c r="R549" s="2" t="inlineStr"/>
    </row>
    <row r="550" ht="15" customHeight="1">
      <c r="A550" t="inlineStr">
        <is>
          <t>A 23120-2021</t>
        </is>
      </c>
      <c r="B550" s="1" t="n">
        <v>44330</v>
      </c>
      <c r="C550" s="1" t="n">
        <v>45885</v>
      </c>
      <c r="D550" t="inlineStr">
        <is>
          <t>UPPSALA LÄN</t>
        </is>
      </c>
      <c r="E550" t="inlineStr">
        <is>
          <t>ÖSTHAMMAR</t>
        </is>
      </c>
      <c r="G550" t="n">
        <v>0.5</v>
      </c>
      <c r="H550" t="n">
        <v>0</v>
      </c>
      <c r="I550" t="n">
        <v>0</v>
      </c>
      <c r="J550" t="n">
        <v>0</v>
      </c>
      <c r="K550" t="n">
        <v>0</v>
      </c>
      <c r="L550" t="n">
        <v>0</v>
      </c>
      <c r="M550" t="n">
        <v>0</v>
      </c>
      <c r="N550" t="n">
        <v>0</v>
      </c>
      <c r="O550" t="n">
        <v>0</v>
      </c>
      <c r="P550" t="n">
        <v>0</v>
      </c>
      <c r="Q550" t="n">
        <v>0</v>
      </c>
      <c r="R550" s="2" t="inlineStr"/>
    </row>
    <row r="551" ht="15" customHeight="1">
      <c r="A551" t="inlineStr">
        <is>
          <t>A 52389-2022</t>
        </is>
      </c>
      <c r="B551" s="1" t="n">
        <v>44874.38325231482</v>
      </c>
      <c r="C551" s="1" t="n">
        <v>45885</v>
      </c>
      <c r="D551" t="inlineStr">
        <is>
          <t>UPPSALA LÄN</t>
        </is>
      </c>
      <c r="E551" t="inlineStr">
        <is>
          <t>ÖSTHAMMAR</t>
        </is>
      </c>
      <c r="G551" t="n">
        <v>3.1</v>
      </c>
      <c r="H551" t="n">
        <v>0</v>
      </c>
      <c r="I551" t="n">
        <v>0</v>
      </c>
      <c r="J551" t="n">
        <v>0</v>
      </c>
      <c r="K551" t="n">
        <v>0</v>
      </c>
      <c r="L551" t="n">
        <v>0</v>
      </c>
      <c r="M551" t="n">
        <v>0</v>
      </c>
      <c r="N551" t="n">
        <v>0</v>
      </c>
      <c r="O551" t="n">
        <v>0</v>
      </c>
      <c r="P551" t="n">
        <v>0</v>
      </c>
      <c r="Q551" t="n">
        <v>0</v>
      </c>
      <c r="R551" s="2" t="inlineStr"/>
    </row>
    <row r="552" ht="15" customHeight="1">
      <c r="A552" t="inlineStr">
        <is>
          <t>A 1238-2022</t>
        </is>
      </c>
      <c r="B552" s="1" t="n">
        <v>44572.5827662037</v>
      </c>
      <c r="C552" s="1" t="n">
        <v>45885</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41341-2024</t>
        </is>
      </c>
      <c r="B553" s="1" t="n">
        <v>45559</v>
      </c>
      <c r="C553" s="1" t="n">
        <v>45885</v>
      </c>
      <c r="D553" t="inlineStr">
        <is>
          <t>UPPSALA LÄN</t>
        </is>
      </c>
      <c r="E553" t="inlineStr">
        <is>
          <t>ÖSTHAMMAR</t>
        </is>
      </c>
      <c r="G553" t="n">
        <v>1.1</v>
      </c>
      <c r="H553" t="n">
        <v>0</v>
      </c>
      <c r="I553" t="n">
        <v>0</v>
      </c>
      <c r="J553" t="n">
        <v>0</v>
      </c>
      <c r="K553" t="n">
        <v>0</v>
      </c>
      <c r="L553" t="n">
        <v>0</v>
      </c>
      <c r="M553" t="n">
        <v>0</v>
      </c>
      <c r="N553" t="n">
        <v>0</v>
      </c>
      <c r="O553" t="n">
        <v>0</v>
      </c>
      <c r="P553" t="n">
        <v>0</v>
      </c>
      <c r="Q553" t="n">
        <v>0</v>
      </c>
      <c r="R553" s="2" t="inlineStr"/>
    </row>
    <row r="554" ht="15" customHeight="1">
      <c r="A554" t="inlineStr">
        <is>
          <t>A 8874-2025</t>
        </is>
      </c>
      <c r="B554" s="1" t="n">
        <v>45713</v>
      </c>
      <c r="C554" s="1" t="n">
        <v>45885</v>
      </c>
      <c r="D554" t="inlineStr">
        <is>
          <t>UPPSALA LÄN</t>
        </is>
      </c>
      <c r="E554" t="inlineStr">
        <is>
          <t>ÖSTHAMMAR</t>
        </is>
      </c>
      <c r="G554" t="n">
        <v>6.3</v>
      </c>
      <c r="H554" t="n">
        <v>0</v>
      </c>
      <c r="I554" t="n">
        <v>0</v>
      </c>
      <c r="J554" t="n">
        <v>0</v>
      </c>
      <c r="K554" t="n">
        <v>0</v>
      </c>
      <c r="L554" t="n">
        <v>0</v>
      </c>
      <c r="M554" t="n">
        <v>0</v>
      </c>
      <c r="N554" t="n">
        <v>0</v>
      </c>
      <c r="O554" t="n">
        <v>0</v>
      </c>
      <c r="P554" t="n">
        <v>0</v>
      </c>
      <c r="Q554" t="n">
        <v>0</v>
      </c>
      <c r="R554" s="2" t="inlineStr"/>
    </row>
    <row r="555" ht="15" customHeight="1">
      <c r="A555" t="inlineStr">
        <is>
          <t>A 25418-2022</t>
        </is>
      </c>
      <c r="B555" s="1" t="n">
        <v>44732.464375</v>
      </c>
      <c r="C555" s="1" t="n">
        <v>45885</v>
      </c>
      <c r="D555" t="inlineStr">
        <is>
          <t>UPPSALA LÄN</t>
        </is>
      </c>
      <c r="E555" t="inlineStr">
        <is>
          <t>ÖSTHAMMAR</t>
        </is>
      </c>
      <c r="G555" t="n">
        <v>2.8</v>
      </c>
      <c r="H555" t="n">
        <v>0</v>
      </c>
      <c r="I555" t="n">
        <v>0</v>
      </c>
      <c r="J555" t="n">
        <v>0</v>
      </c>
      <c r="K555" t="n">
        <v>0</v>
      </c>
      <c r="L555" t="n">
        <v>0</v>
      </c>
      <c r="M555" t="n">
        <v>0</v>
      </c>
      <c r="N555" t="n">
        <v>0</v>
      </c>
      <c r="O555" t="n">
        <v>0</v>
      </c>
      <c r="P555" t="n">
        <v>0</v>
      </c>
      <c r="Q555" t="n">
        <v>0</v>
      </c>
      <c r="R555" s="2" t="inlineStr"/>
    </row>
    <row r="556" ht="15" customHeight="1">
      <c r="A556" t="inlineStr">
        <is>
          <t>A 62391-2022</t>
        </is>
      </c>
      <c r="B556" s="1" t="n">
        <v>44923.7849537037</v>
      </c>
      <c r="C556" s="1" t="n">
        <v>45885</v>
      </c>
      <c r="D556" t="inlineStr">
        <is>
          <t>UPPSALA LÄN</t>
        </is>
      </c>
      <c r="E556" t="inlineStr">
        <is>
          <t>ÖSTHAMMAR</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31485-2023</t>
        </is>
      </c>
      <c r="B557" s="1" t="n">
        <v>45114</v>
      </c>
      <c r="C557" s="1" t="n">
        <v>45885</v>
      </c>
      <c r="D557" t="inlineStr">
        <is>
          <t>UPPSALA LÄN</t>
        </is>
      </c>
      <c r="E557" t="inlineStr">
        <is>
          <t>ÖSTHAMMAR</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3327-2023</t>
        </is>
      </c>
      <c r="B558" s="1" t="n">
        <v>44949.4377662037</v>
      </c>
      <c r="C558" s="1" t="n">
        <v>45885</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4233-2023</t>
        </is>
      </c>
      <c r="B559" s="1" t="n">
        <v>44953.48619212963</v>
      </c>
      <c r="C559" s="1" t="n">
        <v>45885</v>
      </c>
      <c r="D559" t="inlineStr">
        <is>
          <t>UPPSALA LÄN</t>
        </is>
      </c>
      <c r="E559" t="inlineStr">
        <is>
          <t>ÖSTHAMMAR</t>
        </is>
      </c>
      <c r="G559" t="n">
        <v>0.9</v>
      </c>
      <c r="H559" t="n">
        <v>0</v>
      </c>
      <c r="I559" t="n">
        <v>0</v>
      </c>
      <c r="J559" t="n">
        <v>0</v>
      </c>
      <c r="K559" t="n">
        <v>0</v>
      </c>
      <c r="L559" t="n">
        <v>0</v>
      </c>
      <c r="M559" t="n">
        <v>0</v>
      </c>
      <c r="N559" t="n">
        <v>0</v>
      </c>
      <c r="O559" t="n">
        <v>0</v>
      </c>
      <c r="P559" t="n">
        <v>0</v>
      </c>
      <c r="Q559" t="n">
        <v>0</v>
      </c>
      <c r="R559" s="2" t="inlineStr"/>
    </row>
    <row r="560" ht="15" customHeight="1">
      <c r="A560" t="inlineStr">
        <is>
          <t>A 30811-2023</t>
        </is>
      </c>
      <c r="B560" s="1" t="n">
        <v>45112.86422453704</v>
      </c>
      <c r="C560" s="1" t="n">
        <v>45885</v>
      </c>
      <c r="D560" t="inlineStr">
        <is>
          <t>UPPSALA LÄN</t>
        </is>
      </c>
      <c r="E560" t="inlineStr">
        <is>
          <t>ÖSTHAMMAR</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56759-2024</t>
        </is>
      </c>
      <c r="B561" s="1" t="n">
        <v>45628.39877314815</v>
      </c>
      <c r="C561" s="1" t="n">
        <v>45885</v>
      </c>
      <c r="D561" t="inlineStr">
        <is>
          <t>UPPSALA LÄN</t>
        </is>
      </c>
      <c r="E561" t="inlineStr">
        <is>
          <t>ÖSTHAMMAR</t>
        </is>
      </c>
      <c r="G561" t="n">
        <v>4.7</v>
      </c>
      <c r="H561" t="n">
        <v>0</v>
      </c>
      <c r="I561" t="n">
        <v>0</v>
      </c>
      <c r="J561" t="n">
        <v>0</v>
      </c>
      <c r="K561" t="n">
        <v>0</v>
      </c>
      <c r="L561" t="n">
        <v>0</v>
      </c>
      <c r="M561" t="n">
        <v>0</v>
      </c>
      <c r="N561" t="n">
        <v>0</v>
      </c>
      <c r="O561" t="n">
        <v>0</v>
      </c>
      <c r="P561" t="n">
        <v>0</v>
      </c>
      <c r="Q561" t="n">
        <v>0</v>
      </c>
      <c r="R561" s="2" t="inlineStr"/>
    </row>
    <row r="562" ht="15" customHeight="1">
      <c r="A562" t="inlineStr">
        <is>
          <t>A 32744-2022</t>
        </is>
      </c>
      <c r="B562" s="1" t="n">
        <v>44783.70378472222</v>
      </c>
      <c r="C562" s="1" t="n">
        <v>45885</v>
      </c>
      <c r="D562" t="inlineStr">
        <is>
          <t>UPPSALA LÄN</t>
        </is>
      </c>
      <c r="E562" t="inlineStr">
        <is>
          <t>ÖSTHAMMAR</t>
        </is>
      </c>
      <c r="F562" t="inlineStr">
        <is>
          <t>Bergvik skog öst AB</t>
        </is>
      </c>
      <c r="G562" t="n">
        <v>3</v>
      </c>
      <c r="H562" t="n">
        <v>0</v>
      </c>
      <c r="I562" t="n">
        <v>0</v>
      </c>
      <c r="J562" t="n">
        <v>0</v>
      </c>
      <c r="K562" t="n">
        <v>0</v>
      </c>
      <c r="L562" t="n">
        <v>0</v>
      </c>
      <c r="M562" t="n">
        <v>0</v>
      </c>
      <c r="N562" t="n">
        <v>0</v>
      </c>
      <c r="O562" t="n">
        <v>0</v>
      </c>
      <c r="P562" t="n">
        <v>0</v>
      </c>
      <c r="Q562" t="n">
        <v>0</v>
      </c>
      <c r="R562" s="2" t="inlineStr"/>
    </row>
    <row r="563" ht="15" customHeight="1">
      <c r="A563" t="inlineStr">
        <is>
          <t>A 8708-2022</t>
        </is>
      </c>
      <c r="B563" s="1" t="n">
        <v>44613.77238425926</v>
      </c>
      <c r="C563" s="1" t="n">
        <v>45885</v>
      </c>
      <c r="D563" t="inlineStr">
        <is>
          <t>UPPSALA LÄN</t>
        </is>
      </c>
      <c r="E563" t="inlineStr">
        <is>
          <t>ÖSTHAMMAR</t>
        </is>
      </c>
      <c r="G563" t="n">
        <v>4.3</v>
      </c>
      <c r="H563" t="n">
        <v>0</v>
      </c>
      <c r="I563" t="n">
        <v>0</v>
      </c>
      <c r="J563" t="n">
        <v>0</v>
      </c>
      <c r="K563" t="n">
        <v>0</v>
      </c>
      <c r="L563" t="n">
        <v>0</v>
      </c>
      <c r="M563" t="n">
        <v>0</v>
      </c>
      <c r="N563" t="n">
        <v>0</v>
      </c>
      <c r="O563" t="n">
        <v>0</v>
      </c>
      <c r="P563" t="n">
        <v>0</v>
      </c>
      <c r="Q563" t="n">
        <v>0</v>
      </c>
      <c r="R563" s="2" t="inlineStr"/>
    </row>
    <row r="564" ht="15" customHeight="1">
      <c r="A564" t="inlineStr">
        <is>
          <t>A 11547-2022</t>
        </is>
      </c>
      <c r="B564" s="1" t="n">
        <v>44631.43116898148</v>
      </c>
      <c r="C564" s="1" t="n">
        <v>45885</v>
      </c>
      <c r="D564" t="inlineStr">
        <is>
          <t>UPPSALA LÄN</t>
        </is>
      </c>
      <c r="E564" t="inlineStr">
        <is>
          <t>ÖSTHAMMAR</t>
        </is>
      </c>
      <c r="G564" t="n">
        <v>4.4</v>
      </c>
      <c r="H564" t="n">
        <v>0</v>
      </c>
      <c r="I564" t="n">
        <v>0</v>
      </c>
      <c r="J564" t="n">
        <v>0</v>
      </c>
      <c r="K564" t="n">
        <v>0</v>
      </c>
      <c r="L564" t="n">
        <v>0</v>
      </c>
      <c r="M564" t="n">
        <v>0</v>
      </c>
      <c r="N564" t="n">
        <v>0</v>
      </c>
      <c r="O564" t="n">
        <v>0</v>
      </c>
      <c r="P564" t="n">
        <v>0</v>
      </c>
      <c r="Q564" t="n">
        <v>0</v>
      </c>
      <c r="R564" s="2" t="inlineStr"/>
    </row>
    <row r="565" ht="15" customHeight="1">
      <c r="A565" t="inlineStr">
        <is>
          <t>A 4559-2022</t>
        </is>
      </c>
      <c r="B565" s="1" t="n">
        <v>44591.51854166666</v>
      </c>
      <c r="C565" s="1" t="n">
        <v>45885</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11643-2022</t>
        </is>
      </c>
      <c r="B566" s="1" t="n">
        <v>44631.92662037037</v>
      </c>
      <c r="C566" s="1" t="n">
        <v>45885</v>
      </c>
      <c r="D566" t="inlineStr">
        <is>
          <t>UPPSALA LÄN</t>
        </is>
      </c>
      <c r="E566" t="inlineStr">
        <is>
          <t>ÖSTHAMMAR</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11036-2023</t>
        </is>
      </c>
      <c r="B567" s="1" t="n">
        <v>44991.9321412037</v>
      </c>
      <c r="C567" s="1" t="n">
        <v>45885</v>
      </c>
      <c r="D567" t="inlineStr">
        <is>
          <t>UPPSALA LÄN</t>
        </is>
      </c>
      <c r="E567" t="inlineStr">
        <is>
          <t>ÖSTHAMMAR</t>
        </is>
      </c>
      <c r="F567" t="inlineStr">
        <is>
          <t>Bergvik skog öst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25269-2024</t>
        </is>
      </c>
      <c r="B568" s="1" t="n">
        <v>45462</v>
      </c>
      <c r="C568" s="1" t="n">
        <v>45885</v>
      </c>
      <c r="D568" t="inlineStr">
        <is>
          <t>UPPSALA LÄN</t>
        </is>
      </c>
      <c r="E568" t="inlineStr">
        <is>
          <t>ÖSTHAMMAR</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12904-2025</t>
        </is>
      </c>
      <c r="B569" s="1" t="n">
        <v>45733.80575231482</v>
      </c>
      <c r="C569" s="1" t="n">
        <v>45885</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59382-2022</t>
        </is>
      </c>
      <c r="B570" s="1" t="n">
        <v>44905.50363425926</v>
      </c>
      <c r="C570" s="1" t="n">
        <v>45885</v>
      </c>
      <c r="D570" t="inlineStr">
        <is>
          <t>UPPSALA LÄN</t>
        </is>
      </c>
      <c r="E570" t="inlineStr">
        <is>
          <t>ÖSTHAMMAR</t>
        </is>
      </c>
      <c r="G570" t="n">
        <v>2.9</v>
      </c>
      <c r="H570" t="n">
        <v>0</v>
      </c>
      <c r="I570" t="n">
        <v>0</v>
      </c>
      <c r="J570" t="n">
        <v>0</v>
      </c>
      <c r="K570" t="n">
        <v>0</v>
      </c>
      <c r="L570" t="n">
        <v>0</v>
      </c>
      <c r="M570" t="n">
        <v>0</v>
      </c>
      <c r="N570" t="n">
        <v>0</v>
      </c>
      <c r="O570" t="n">
        <v>0</v>
      </c>
      <c r="P570" t="n">
        <v>0</v>
      </c>
      <c r="Q570" t="n">
        <v>0</v>
      </c>
      <c r="R570" s="2" t="inlineStr"/>
    </row>
    <row r="571" ht="15" customHeight="1">
      <c r="A571" t="inlineStr">
        <is>
          <t>A 23363-2023</t>
        </is>
      </c>
      <c r="B571" s="1" t="n">
        <v>45076</v>
      </c>
      <c r="C571" s="1" t="n">
        <v>45885</v>
      </c>
      <c r="D571" t="inlineStr">
        <is>
          <t>UPPSALA LÄN</t>
        </is>
      </c>
      <c r="E571" t="inlineStr">
        <is>
          <t>ÖSTHAMMAR</t>
        </is>
      </c>
      <c r="G571" t="n">
        <v>3</v>
      </c>
      <c r="H571" t="n">
        <v>0</v>
      </c>
      <c r="I571" t="n">
        <v>0</v>
      </c>
      <c r="J571" t="n">
        <v>0</v>
      </c>
      <c r="K571" t="n">
        <v>0</v>
      </c>
      <c r="L571" t="n">
        <v>0</v>
      </c>
      <c r="M571" t="n">
        <v>0</v>
      </c>
      <c r="N571" t="n">
        <v>0</v>
      </c>
      <c r="O571" t="n">
        <v>0</v>
      </c>
      <c r="P571" t="n">
        <v>0</v>
      </c>
      <c r="Q571" t="n">
        <v>0</v>
      </c>
      <c r="R571" s="2" t="inlineStr"/>
    </row>
    <row r="572" ht="15" customHeight="1">
      <c r="A572" t="inlineStr">
        <is>
          <t>A 25969-2023</t>
        </is>
      </c>
      <c r="B572" s="1" t="n">
        <v>45090</v>
      </c>
      <c r="C572" s="1" t="n">
        <v>45885</v>
      </c>
      <c r="D572" t="inlineStr">
        <is>
          <t>UPPSALA LÄN</t>
        </is>
      </c>
      <c r="E572" t="inlineStr">
        <is>
          <t>ÖSTHAMMAR</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3418-2025</t>
        </is>
      </c>
      <c r="B573" s="1" t="n">
        <v>45680</v>
      </c>
      <c r="C573" s="1" t="n">
        <v>45885</v>
      </c>
      <c r="D573" t="inlineStr">
        <is>
          <t>UPPSALA LÄN</t>
        </is>
      </c>
      <c r="E573" t="inlineStr">
        <is>
          <t>ÖSTHAMMAR</t>
        </is>
      </c>
      <c r="F573" t="inlineStr">
        <is>
          <t>Bergvik skog väst AB</t>
        </is>
      </c>
      <c r="G573" t="n">
        <v>0.4</v>
      </c>
      <c r="H573" t="n">
        <v>0</v>
      </c>
      <c r="I573" t="n">
        <v>0</v>
      </c>
      <c r="J573" t="n">
        <v>0</v>
      </c>
      <c r="K573" t="n">
        <v>0</v>
      </c>
      <c r="L573" t="n">
        <v>0</v>
      </c>
      <c r="M573" t="n">
        <v>0</v>
      </c>
      <c r="N573" t="n">
        <v>0</v>
      </c>
      <c r="O573" t="n">
        <v>0</v>
      </c>
      <c r="P573" t="n">
        <v>0</v>
      </c>
      <c r="Q573" t="n">
        <v>0</v>
      </c>
      <c r="R573" s="2" t="inlineStr"/>
    </row>
    <row r="574" ht="15" customHeight="1">
      <c r="A574" t="inlineStr">
        <is>
          <t>A 3420-2025</t>
        </is>
      </c>
      <c r="B574" s="1" t="n">
        <v>45680</v>
      </c>
      <c r="C574" s="1" t="n">
        <v>45885</v>
      </c>
      <c r="D574" t="inlineStr">
        <is>
          <t>UPPSALA LÄN</t>
        </is>
      </c>
      <c r="E574" t="inlineStr">
        <is>
          <t>ÖSTHAMMAR</t>
        </is>
      </c>
      <c r="F574" t="inlineStr">
        <is>
          <t>Bergvik skog väst AB</t>
        </is>
      </c>
      <c r="G574" t="n">
        <v>3.6</v>
      </c>
      <c r="H574" t="n">
        <v>0</v>
      </c>
      <c r="I574" t="n">
        <v>0</v>
      </c>
      <c r="J574" t="n">
        <v>0</v>
      </c>
      <c r="K574" t="n">
        <v>0</v>
      </c>
      <c r="L574" t="n">
        <v>0</v>
      </c>
      <c r="M574" t="n">
        <v>0</v>
      </c>
      <c r="N574" t="n">
        <v>0</v>
      </c>
      <c r="O574" t="n">
        <v>0</v>
      </c>
      <c r="P574" t="n">
        <v>0</v>
      </c>
      <c r="Q574" t="n">
        <v>0</v>
      </c>
      <c r="R574" s="2" t="inlineStr"/>
    </row>
    <row r="575" ht="15" customHeight="1">
      <c r="A575" t="inlineStr">
        <is>
          <t>A 56903-2023</t>
        </is>
      </c>
      <c r="B575" s="1" t="n">
        <v>45244.56943287037</v>
      </c>
      <c r="C575" s="1" t="n">
        <v>45885</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11255-2025</t>
        </is>
      </c>
      <c r="B576" s="1" t="n">
        <v>45726.38834490741</v>
      </c>
      <c r="C576" s="1" t="n">
        <v>45885</v>
      </c>
      <c r="D576" t="inlineStr">
        <is>
          <t>UPPSALA LÄN</t>
        </is>
      </c>
      <c r="E576" t="inlineStr">
        <is>
          <t>ÖSTHAMMAR</t>
        </is>
      </c>
      <c r="F576" t="inlineStr">
        <is>
          <t>Kyrkan</t>
        </is>
      </c>
      <c r="G576" t="n">
        <v>5.8</v>
      </c>
      <c r="H576" t="n">
        <v>0</v>
      </c>
      <c r="I576" t="n">
        <v>0</v>
      </c>
      <c r="J576" t="n">
        <v>0</v>
      </c>
      <c r="K576" t="n">
        <v>0</v>
      </c>
      <c r="L576" t="n">
        <v>0</v>
      </c>
      <c r="M576" t="n">
        <v>0</v>
      </c>
      <c r="N576" t="n">
        <v>0</v>
      </c>
      <c r="O576" t="n">
        <v>0</v>
      </c>
      <c r="P576" t="n">
        <v>0</v>
      </c>
      <c r="Q576" t="n">
        <v>0</v>
      </c>
      <c r="R576" s="2" t="inlineStr"/>
    </row>
    <row r="577" ht="15" customHeight="1">
      <c r="A577" t="inlineStr">
        <is>
          <t>A 67151-2021</t>
        </is>
      </c>
      <c r="B577" s="1" t="n">
        <v>44523</v>
      </c>
      <c r="C577" s="1" t="n">
        <v>45885</v>
      </c>
      <c r="D577" t="inlineStr">
        <is>
          <t>UPPSALA LÄN</t>
        </is>
      </c>
      <c r="E577" t="inlineStr">
        <is>
          <t>ÖSTHAMMAR</t>
        </is>
      </c>
      <c r="G577" t="n">
        <v>2.4</v>
      </c>
      <c r="H577" t="n">
        <v>0</v>
      </c>
      <c r="I577" t="n">
        <v>0</v>
      </c>
      <c r="J577" t="n">
        <v>0</v>
      </c>
      <c r="K577" t="n">
        <v>0</v>
      </c>
      <c r="L577" t="n">
        <v>0</v>
      </c>
      <c r="M577" t="n">
        <v>0</v>
      </c>
      <c r="N577" t="n">
        <v>0</v>
      </c>
      <c r="O577" t="n">
        <v>0</v>
      </c>
      <c r="P577" t="n">
        <v>0</v>
      </c>
      <c r="Q577" t="n">
        <v>0</v>
      </c>
      <c r="R577" s="2" t="inlineStr"/>
    </row>
    <row r="578" ht="15" customHeight="1">
      <c r="A578" t="inlineStr">
        <is>
          <t>A 29824-2023</t>
        </is>
      </c>
      <c r="B578" s="1" t="n">
        <v>45107</v>
      </c>
      <c r="C578" s="1" t="n">
        <v>45885</v>
      </c>
      <c r="D578" t="inlineStr">
        <is>
          <t>UPPSALA LÄN</t>
        </is>
      </c>
      <c r="E578" t="inlineStr">
        <is>
          <t>ÖSTHAMMAR</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14505-2023</t>
        </is>
      </c>
      <c r="B579" s="1" t="n">
        <v>45012.7975</v>
      </c>
      <c r="C579" s="1" t="n">
        <v>45885</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38610-2023</t>
        </is>
      </c>
      <c r="B580" s="1" t="n">
        <v>45162.65466435185</v>
      </c>
      <c r="C580" s="1" t="n">
        <v>45885</v>
      </c>
      <c r="D580" t="inlineStr">
        <is>
          <t>UPPSALA LÄN</t>
        </is>
      </c>
      <c r="E580" t="inlineStr">
        <is>
          <t>ÖSTHAMMAR</t>
        </is>
      </c>
      <c r="F580" t="inlineStr">
        <is>
          <t>Bergvik skog öst AB</t>
        </is>
      </c>
      <c r="G580" t="n">
        <v>3.5</v>
      </c>
      <c r="H580" t="n">
        <v>0</v>
      </c>
      <c r="I580" t="n">
        <v>0</v>
      </c>
      <c r="J580" t="n">
        <v>0</v>
      </c>
      <c r="K580" t="n">
        <v>0</v>
      </c>
      <c r="L580" t="n">
        <v>0</v>
      </c>
      <c r="M580" t="n">
        <v>0</v>
      </c>
      <c r="N580" t="n">
        <v>0</v>
      </c>
      <c r="O580" t="n">
        <v>0</v>
      </c>
      <c r="P580" t="n">
        <v>0</v>
      </c>
      <c r="Q580" t="n">
        <v>0</v>
      </c>
      <c r="R580" s="2" t="inlineStr"/>
    </row>
    <row r="581" ht="15" customHeight="1">
      <c r="A581" t="inlineStr">
        <is>
          <t>A 60577-2021</t>
        </is>
      </c>
      <c r="B581" s="1" t="n">
        <v>44496.57019675926</v>
      </c>
      <c r="C581" s="1" t="n">
        <v>45885</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62695-2023</t>
        </is>
      </c>
      <c r="B582" s="1" t="n">
        <v>45271</v>
      </c>
      <c r="C582" s="1" t="n">
        <v>45885</v>
      </c>
      <c r="D582" t="inlineStr">
        <is>
          <t>UPPSALA LÄN</t>
        </is>
      </c>
      <c r="E582" t="inlineStr">
        <is>
          <t>ÖSTHAMMAR</t>
        </is>
      </c>
      <c r="G582" t="n">
        <v>5.3</v>
      </c>
      <c r="H582" t="n">
        <v>0</v>
      </c>
      <c r="I582" t="n">
        <v>0</v>
      </c>
      <c r="J582" t="n">
        <v>0</v>
      </c>
      <c r="K582" t="n">
        <v>0</v>
      </c>
      <c r="L582" t="n">
        <v>0</v>
      </c>
      <c r="M582" t="n">
        <v>0</v>
      </c>
      <c r="N582" t="n">
        <v>0</v>
      </c>
      <c r="O582" t="n">
        <v>0</v>
      </c>
      <c r="P582" t="n">
        <v>0</v>
      </c>
      <c r="Q582" t="n">
        <v>0</v>
      </c>
      <c r="R582" s="2" t="inlineStr"/>
    </row>
    <row r="583" ht="15" customHeight="1">
      <c r="A583" t="inlineStr">
        <is>
          <t>A 64586-2021</t>
        </is>
      </c>
      <c r="B583" s="1" t="n">
        <v>44511</v>
      </c>
      <c r="C583" s="1" t="n">
        <v>45885</v>
      </c>
      <c r="D583" t="inlineStr">
        <is>
          <t>UPPSALA LÄN</t>
        </is>
      </c>
      <c r="E583" t="inlineStr">
        <is>
          <t>ÖSTHAMMAR</t>
        </is>
      </c>
      <c r="G583" t="n">
        <v>2</v>
      </c>
      <c r="H583" t="n">
        <v>0</v>
      </c>
      <c r="I583" t="n">
        <v>0</v>
      </c>
      <c r="J583" t="n">
        <v>0</v>
      </c>
      <c r="K583" t="n">
        <v>0</v>
      </c>
      <c r="L583" t="n">
        <v>0</v>
      </c>
      <c r="M583" t="n">
        <v>0</v>
      </c>
      <c r="N583" t="n">
        <v>0</v>
      </c>
      <c r="O583" t="n">
        <v>0</v>
      </c>
      <c r="P583" t="n">
        <v>0</v>
      </c>
      <c r="Q583" t="n">
        <v>0</v>
      </c>
      <c r="R583" s="2" t="inlineStr"/>
    </row>
    <row r="584" ht="15" customHeight="1">
      <c r="A584" t="inlineStr">
        <is>
          <t>A 46423-2020</t>
        </is>
      </c>
      <c r="B584" s="1" t="n">
        <v>44095</v>
      </c>
      <c r="C584" s="1" t="n">
        <v>45885</v>
      </c>
      <c r="D584" t="inlineStr">
        <is>
          <t>UPPSALA LÄN</t>
        </is>
      </c>
      <c r="E584" t="inlineStr">
        <is>
          <t>ÖSTHAMMAR</t>
        </is>
      </c>
      <c r="G584" t="n">
        <v>3</v>
      </c>
      <c r="H584" t="n">
        <v>0</v>
      </c>
      <c r="I584" t="n">
        <v>0</v>
      </c>
      <c r="J584" t="n">
        <v>0</v>
      </c>
      <c r="K584" t="n">
        <v>0</v>
      </c>
      <c r="L584" t="n">
        <v>0</v>
      </c>
      <c r="M584" t="n">
        <v>0</v>
      </c>
      <c r="N584" t="n">
        <v>0</v>
      </c>
      <c r="O584" t="n">
        <v>0</v>
      </c>
      <c r="P584" t="n">
        <v>0</v>
      </c>
      <c r="Q584" t="n">
        <v>0</v>
      </c>
      <c r="R584" s="2" t="inlineStr"/>
    </row>
    <row r="585" ht="15" customHeight="1">
      <c r="A585" t="inlineStr">
        <is>
          <t>A 17009-2021</t>
        </is>
      </c>
      <c r="B585" s="1" t="n">
        <v>44295.63969907408</v>
      </c>
      <c r="C585" s="1" t="n">
        <v>45885</v>
      </c>
      <c r="D585" t="inlineStr">
        <is>
          <t>UPPSALA LÄN</t>
        </is>
      </c>
      <c r="E585" t="inlineStr">
        <is>
          <t>ÖSTHAMMAR</t>
        </is>
      </c>
      <c r="F585" t="inlineStr">
        <is>
          <t>Bergvik skog öst AB</t>
        </is>
      </c>
      <c r="G585" t="n">
        <v>3.2</v>
      </c>
      <c r="H585" t="n">
        <v>0</v>
      </c>
      <c r="I585" t="n">
        <v>0</v>
      </c>
      <c r="J585" t="n">
        <v>0</v>
      </c>
      <c r="K585" t="n">
        <v>0</v>
      </c>
      <c r="L585" t="n">
        <v>0</v>
      </c>
      <c r="M585" t="n">
        <v>0</v>
      </c>
      <c r="N585" t="n">
        <v>0</v>
      </c>
      <c r="O585" t="n">
        <v>0</v>
      </c>
      <c r="P585" t="n">
        <v>0</v>
      </c>
      <c r="Q585" t="n">
        <v>0</v>
      </c>
      <c r="R585" s="2" t="inlineStr"/>
    </row>
    <row r="586" ht="15" customHeight="1">
      <c r="A586" t="inlineStr">
        <is>
          <t>A 54437-2024</t>
        </is>
      </c>
      <c r="B586" s="1" t="n">
        <v>45617</v>
      </c>
      <c r="C586" s="1" t="n">
        <v>45885</v>
      </c>
      <c r="D586" t="inlineStr">
        <is>
          <t>UPPSALA LÄN</t>
        </is>
      </c>
      <c r="E586" t="inlineStr">
        <is>
          <t>ÖSTHAMMAR</t>
        </is>
      </c>
      <c r="G586" t="n">
        <v>2.1</v>
      </c>
      <c r="H586" t="n">
        <v>0</v>
      </c>
      <c r="I586" t="n">
        <v>0</v>
      </c>
      <c r="J586" t="n">
        <v>0</v>
      </c>
      <c r="K586" t="n">
        <v>0</v>
      </c>
      <c r="L586" t="n">
        <v>0</v>
      </c>
      <c r="M586" t="n">
        <v>0</v>
      </c>
      <c r="N586" t="n">
        <v>0</v>
      </c>
      <c r="O586" t="n">
        <v>0</v>
      </c>
      <c r="P586" t="n">
        <v>0</v>
      </c>
      <c r="Q586" t="n">
        <v>0</v>
      </c>
      <c r="R586" s="2" t="inlineStr"/>
    </row>
    <row r="587" ht="15" customHeight="1">
      <c r="A587" t="inlineStr">
        <is>
          <t>A 13755-2023</t>
        </is>
      </c>
      <c r="B587" s="1" t="n">
        <v>45007</v>
      </c>
      <c r="C587" s="1" t="n">
        <v>45885</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23742-2024</t>
        </is>
      </c>
      <c r="B588" s="1" t="n">
        <v>45455</v>
      </c>
      <c r="C588" s="1" t="n">
        <v>45885</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29282-2021</t>
        </is>
      </c>
      <c r="B589" s="1" t="n">
        <v>44361</v>
      </c>
      <c r="C589" s="1" t="n">
        <v>45885</v>
      </c>
      <c r="D589" t="inlineStr">
        <is>
          <t>UPPSALA LÄN</t>
        </is>
      </c>
      <c r="E589" t="inlineStr">
        <is>
          <t>ÖSTHAMMAR</t>
        </is>
      </c>
      <c r="G589" t="n">
        <v>2.4</v>
      </c>
      <c r="H589" t="n">
        <v>0</v>
      </c>
      <c r="I589" t="n">
        <v>0</v>
      </c>
      <c r="J589" t="n">
        <v>0</v>
      </c>
      <c r="K589" t="n">
        <v>0</v>
      </c>
      <c r="L589" t="n">
        <v>0</v>
      </c>
      <c r="M589" t="n">
        <v>0</v>
      </c>
      <c r="N589" t="n">
        <v>0</v>
      </c>
      <c r="O589" t="n">
        <v>0</v>
      </c>
      <c r="P589" t="n">
        <v>0</v>
      </c>
      <c r="Q589" t="n">
        <v>0</v>
      </c>
      <c r="R589" s="2" t="inlineStr"/>
    </row>
    <row r="590" ht="15" customHeight="1">
      <c r="A590" t="inlineStr">
        <is>
          <t>A 64774-2023</t>
        </is>
      </c>
      <c r="B590" s="1" t="n">
        <v>45282</v>
      </c>
      <c r="C590" s="1" t="n">
        <v>45885</v>
      </c>
      <c r="D590" t="inlineStr">
        <is>
          <t>UPPSALA LÄN</t>
        </is>
      </c>
      <c r="E590" t="inlineStr">
        <is>
          <t>ÖSTHAMMAR</t>
        </is>
      </c>
      <c r="F590" t="inlineStr">
        <is>
          <t>Övriga Aktiebolag</t>
        </is>
      </c>
      <c r="G590" t="n">
        <v>3.7</v>
      </c>
      <c r="H590" t="n">
        <v>0</v>
      </c>
      <c r="I590" t="n">
        <v>0</v>
      </c>
      <c r="J590" t="n">
        <v>0</v>
      </c>
      <c r="K590" t="n">
        <v>0</v>
      </c>
      <c r="L590" t="n">
        <v>0</v>
      </c>
      <c r="M590" t="n">
        <v>0</v>
      </c>
      <c r="N590" t="n">
        <v>0</v>
      </c>
      <c r="O590" t="n">
        <v>0</v>
      </c>
      <c r="P590" t="n">
        <v>0</v>
      </c>
      <c r="Q590" t="n">
        <v>0</v>
      </c>
      <c r="R590" s="2" t="inlineStr"/>
    </row>
    <row r="591" ht="15" customHeight="1">
      <c r="A591" t="inlineStr">
        <is>
          <t>A 6039-2025</t>
        </is>
      </c>
      <c r="B591" s="1" t="n">
        <v>45695</v>
      </c>
      <c r="C591" s="1" t="n">
        <v>45885</v>
      </c>
      <c r="D591" t="inlineStr">
        <is>
          <t>UPPSALA LÄN</t>
        </is>
      </c>
      <c r="E591" t="inlineStr">
        <is>
          <t>ÖSTHAMMAR</t>
        </is>
      </c>
      <c r="G591" t="n">
        <v>2.3</v>
      </c>
      <c r="H591" t="n">
        <v>0</v>
      </c>
      <c r="I591" t="n">
        <v>0</v>
      </c>
      <c r="J591" t="n">
        <v>0</v>
      </c>
      <c r="K591" t="n">
        <v>0</v>
      </c>
      <c r="L591" t="n">
        <v>0</v>
      </c>
      <c r="M591" t="n">
        <v>0</v>
      </c>
      <c r="N591" t="n">
        <v>0</v>
      </c>
      <c r="O591" t="n">
        <v>0</v>
      </c>
      <c r="P591" t="n">
        <v>0</v>
      </c>
      <c r="Q591" t="n">
        <v>0</v>
      </c>
      <c r="R591" s="2" t="inlineStr"/>
    </row>
    <row r="592" ht="15" customHeight="1">
      <c r="A592" t="inlineStr">
        <is>
          <t>A 65020-2021</t>
        </is>
      </c>
      <c r="B592" s="1" t="n">
        <v>44515</v>
      </c>
      <c r="C592" s="1" t="n">
        <v>45885</v>
      </c>
      <c r="D592" t="inlineStr">
        <is>
          <t>UPPSALA LÄN</t>
        </is>
      </c>
      <c r="E592" t="inlineStr">
        <is>
          <t>ÖSTHAMMAR</t>
        </is>
      </c>
      <c r="F592" t="inlineStr">
        <is>
          <t>Sveaskog</t>
        </is>
      </c>
      <c r="G592" t="n">
        <v>4.7</v>
      </c>
      <c r="H592" t="n">
        <v>0</v>
      </c>
      <c r="I592" t="n">
        <v>0</v>
      </c>
      <c r="J592" t="n">
        <v>0</v>
      </c>
      <c r="K592" t="n">
        <v>0</v>
      </c>
      <c r="L592" t="n">
        <v>0</v>
      </c>
      <c r="M592" t="n">
        <v>0</v>
      </c>
      <c r="N592" t="n">
        <v>0</v>
      </c>
      <c r="O592" t="n">
        <v>0</v>
      </c>
      <c r="P592" t="n">
        <v>0</v>
      </c>
      <c r="Q592" t="n">
        <v>0</v>
      </c>
      <c r="R592" s="2" t="inlineStr"/>
    </row>
    <row r="593" ht="15" customHeight="1">
      <c r="A593" t="inlineStr">
        <is>
          <t>A 8769-2025</t>
        </is>
      </c>
      <c r="B593" s="1" t="n">
        <v>45712.59412037037</v>
      </c>
      <c r="C593" s="1" t="n">
        <v>45885</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20326-2021</t>
        </is>
      </c>
      <c r="B594" s="1" t="n">
        <v>44308</v>
      </c>
      <c r="C594" s="1" t="n">
        <v>45885</v>
      </c>
      <c r="D594" t="inlineStr">
        <is>
          <t>UPPSALA LÄN</t>
        </is>
      </c>
      <c r="E594" t="inlineStr">
        <is>
          <t>ÖSTHAMMAR</t>
        </is>
      </c>
      <c r="G594" t="n">
        <v>7</v>
      </c>
      <c r="H594" t="n">
        <v>0</v>
      </c>
      <c r="I594" t="n">
        <v>0</v>
      </c>
      <c r="J594" t="n">
        <v>0</v>
      </c>
      <c r="K594" t="n">
        <v>0</v>
      </c>
      <c r="L594" t="n">
        <v>0</v>
      </c>
      <c r="M594" t="n">
        <v>0</v>
      </c>
      <c r="N594" t="n">
        <v>0</v>
      </c>
      <c r="O594" t="n">
        <v>0</v>
      </c>
      <c r="P594" t="n">
        <v>0</v>
      </c>
      <c r="Q594" t="n">
        <v>0</v>
      </c>
      <c r="R594" s="2" t="inlineStr"/>
    </row>
    <row r="595" ht="15" customHeight="1">
      <c r="A595" t="inlineStr">
        <is>
          <t>A 55086-2024</t>
        </is>
      </c>
      <c r="B595" s="1" t="n">
        <v>45621.43098379629</v>
      </c>
      <c r="C595" s="1" t="n">
        <v>45885</v>
      </c>
      <c r="D595" t="inlineStr">
        <is>
          <t>UPPSALA LÄN</t>
        </is>
      </c>
      <c r="E595" t="inlineStr">
        <is>
          <t>ÖSTHAMMAR</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55090-2024</t>
        </is>
      </c>
      <c r="B596" s="1" t="n">
        <v>45621.4350462963</v>
      </c>
      <c r="C596" s="1" t="n">
        <v>45885</v>
      </c>
      <c r="D596" t="inlineStr">
        <is>
          <t>UPPSALA LÄN</t>
        </is>
      </c>
      <c r="E596" t="inlineStr">
        <is>
          <t>ÖSTHAMMAR</t>
        </is>
      </c>
      <c r="F596" t="inlineStr">
        <is>
          <t>Sveaskog</t>
        </is>
      </c>
      <c r="G596" t="n">
        <v>4.4</v>
      </c>
      <c r="H596" t="n">
        <v>0</v>
      </c>
      <c r="I596" t="n">
        <v>0</v>
      </c>
      <c r="J596" t="n">
        <v>0</v>
      </c>
      <c r="K596" t="n">
        <v>0</v>
      </c>
      <c r="L596" t="n">
        <v>0</v>
      </c>
      <c r="M596" t="n">
        <v>0</v>
      </c>
      <c r="N596" t="n">
        <v>0</v>
      </c>
      <c r="O596" t="n">
        <v>0</v>
      </c>
      <c r="P596" t="n">
        <v>0</v>
      </c>
      <c r="Q596" t="n">
        <v>0</v>
      </c>
      <c r="R596" s="2" t="inlineStr"/>
    </row>
    <row r="597" ht="15" customHeight="1">
      <c r="A597" t="inlineStr">
        <is>
          <t>A 55093-2024</t>
        </is>
      </c>
      <c r="B597" s="1" t="n">
        <v>45621.43712962963</v>
      </c>
      <c r="C597" s="1" t="n">
        <v>45885</v>
      </c>
      <c r="D597" t="inlineStr">
        <is>
          <t>UPPSALA LÄN</t>
        </is>
      </c>
      <c r="E597" t="inlineStr">
        <is>
          <t>ÖSTHAMMAR</t>
        </is>
      </c>
      <c r="F597" t="inlineStr">
        <is>
          <t>Sveaskog</t>
        </is>
      </c>
      <c r="G597" t="n">
        <v>1.2</v>
      </c>
      <c r="H597" t="n">
        <v>0</v>
      </c>
      <c r="I597" t="n">
        <v>0</v>
      </c>
      <c r="J597" t="n">
        <v>0</v>
      </c>
      <c r="K597" t="n">
        <v>0</v>
      </c>
      <c r="L597" t="n">
        <v>0</v>
      </c>
      <c r="M597" t="n">
        <v>0</v>
      </c>
      <c r="N597" t="n">
        <v>0</v>
      </c>
      <c r="O597" t="n">
        <v>0</v>
      </c>
      <c r="P597" t="n">
        <v>0</v>
      </c>
      <c r="Q597" t="n">
        <v>0</v>
      </c>
      <c r="R597" s="2" t="inlineStr"/>
    </row>
    <row r="598" ht="15" customHeight="1">
      <c r="A598" t="inlineStr">
        <is>
          <t>A 2085-2022</t>
        </is>
      </c>
      <c r="B598" s="1" t="n">
        <v>44576.78626157407</v>
      </c>
      <c r="C598" s="1" t="n">
        <v>45885</v>
      </c>
      <c r="D598" t="inlineStr">
        <is>
          <t>UPPSALA LÄN</t>
        </is>
      </c>
      <c r="E598" t="inlineStr">
        <is>
          <t>ÖSTHAMMAR</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14671-2022</t>
        </is>
      </c>
      <c r="B599" s="1" t="n">
        <v>44655.80475694445</v>
      </c>
      <c r="C599" s="1" t="n">
        <v>45885</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12215-2023</t>
        </is>
      </c>
      <c r="B600" s="1" t="n">
        <v>44998</v>
      </c>
      <c r="C600" s="1" t="n">
        <v>45885</v>
      </c>
      <c r="D600" t="inlineStr">
        <is>
          <t>UPPSALA LÄN</t>
        </is>
      </c>
      <c r="E600" t="inlineStr">
        <is>
          <t>ÖSTHAMMAR</t>
        </is>
      </c>
      <c r="G600" t="n">
        <v>5.1</v>
      </c>
      <c r="H600" t="n">
        <v>0</v>
      </c>
      <c r="I600" t="n">
        <v>0</v>
      </c>
      <c r="J600" t="n">
        <v>0</v>
      </c>
      <c r="K600" t="n">
        <v>0</v>
      </c>
      <c r="L600" t="n">
        <v>0</v>
      </c>
      <c r="M600" t="n">
        <v>0</v>
      </c>
      <c r="N600" t="n">
        <v>0</v>
      </c>
      <c r="O600" t="n">
        <v>0</v>
      </c>
      <c r="P600" t="n">
        <v>0</v>
      </c>
      <c r="Q600" t="n">
        <v>0</v>
      </c>
      <c r="R600" s="2" t="inlineStr"/>
    </row>
    <row r="601" ht="15" customHeight="1">
      <c r="A601" t="inlineStr">
        <is>
          <t>A 41996-2024</t>
        </is>
      </c>
      <c r="B601" s="1" t="n">
        <v>45561</v>
      </c>
      <c r="C601" s="1" t="n">
        <v>45885</v>
      </c>
      <c r="D601" t="inlineStr">
        <is>
          <t>UPPSALA LÄN</t>
        </is>
      </c>
      <c r="E601" t="inlineStr">
        <is>
          <t>ÖSTHAMMAR</t>
        </is>
      </c>
      <c r="F601" t="inlineStr">
        <is>
          <t>Bergvik skog öst AB</t>
        </is>
      </c>
      <c r="G601" t="n">
        <v>0.9</v>
      </c>
      <c r="H601" t="n">
        <v>0</v>
      </c>
      <c r="I601" t="n">
        <v>0</v>
      </c>
      <c r="J601" t="n">
        <v>0</v>
      </c>
      <c r="K601" t="n">
        <v>0</v>
      </c>
      <c r="L601" t="n">
        <v>0</v>
      </c>
      <c r="M601" t="n">
        <v>0</v>
      </c>
      <c r="N601" t="n">
        <v>0</v>
      </c>
      <c r="O601" t="n">
        <v>0</v>
      </c>
      <c r="P601" t="n">
        <v>0</v>
      </c>
      <c r="Q601" t="n">
        <v>0</v>
      </c>
      <c r="R601" s="2" t="inlineStr"/>
    </row>
    <row r="602" ht="15" customHeight="1">
      <c r="A602" t="inlineStr">
        <is>
          <t>A 28432-2023</t>
        </is>
      </c>
      <c r="B602" s="1" t="n">
        <v>45102.59896990741</v>
      </c>
      <c r="C602" s="1" t="n">
        <v>45885</v>
      </c>
      <c r="D602" t="inlineStr">
        <is>
          <t>UPPSALA LÄN</t>
        </is>
      </c>
      <c r="E602" t="inlineStr">
        <is>
          <t>ÖSTHAMMAR</t>
        </is>
      </c>
      <c r="F602" t="inlineStr">
        <is>
          <t>Bergvik skog öst AB</t>
        </is>
      </c>
      <c r="G602" t="n">
        <v>3.9</v>
      </c>
      <c r="H602" t="n">
        <v>0</v>
      </c>
      <c r="I602" t="n">
        <v>0</v>
      </c>
      <c r="J602" t="n">
        <v>0</v>
      </c>
      <c r="K602" t="n">
        <v>0</v>
      </c>
      <c r="L602" t="n">
        <v>0</v>
      </c>
      <c r="M602" t="n">
        <v>0</v>
      </c>
      <c r="N602" t="n">
        <v>0</v>
      </c>
      <c r="O602" t="n">
        <v>0</v>
      </c>
      <c r="P602" t="n">
        <v>0</v>
      </c>
      <c r="Q602" t="n">
        <v>0</v>
      </c>
      <c r="R602" s="2" t="inlineStr"/>
    </row>
    <row r="603" ht="15" customHeight="1">
      <c r="A603" t="inlineStr">
        <is>
          <t>A 15449-2022</t>
        </is>
      </c>
      <c r="B603" s="1" t="n">
        <v>44660.91659722223</v>
      </c>
      <c r="C603" s="1" t="n">
        <v>45885</v>
      </c>
      <c r="D603" t="inlineStr">
        <is>
          <t>UPPSALA LÄN</t>
        </is>
      </c>
      <c r="E603" t="inlineStr">
        <is>
          <t>ÖSTHAMMAR</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1439-2025</t>
        </is>
      </c>
      <c r="B604" s="1" t="n">
        <v>45669.69075231482</v>
      </c>
      <c r="C604" s="1" t="n">
        <v>45885</v>
      </c>
      <c r="D604" t="inlineStr">
        <is>
          <t>UPPSALA LÄN</t>
        </is>
      </c>
      <c r="E604" t="inlineStr">
        <is>
          <t>ÖSTHAMMAR</t>
        </is>
      </c>
      <c r="G604" t="n">
        <v>1</v>
      </c>
      <c r="H604" t="n">
        <v>0</v>
      </c>
      <c r="I604" t="n">
        <v>0</v>
      </c>
      <c r="J604" t="n">
        <v>0</v>
      </c>
      <c r="K604" t="n">
        <v>0</v>
      </c>
      <c r="L604" t="n">
        <v>0</v>
      </c>
      <c r="M604" t="n">
        <v>0</v>
      </c>
      <c r="N604" t="n">
        <v>0</v>
      </c>
      <c r="O604" t="n">
        <v>0</v>
      </c>
      <c r="P604" t="n">
        <v>0</v>
      </c>
      <c r="Q604" t="n">
        <v>0</v>
      </c>
      <c r="R604" s="2" t="inlineStr"/>
    </row>
    <row r="605" ht="15" customHeight="1">
      <c r="A605" t="inlineStr">
        <is>
          <t>A 5884-2023</t>
        </is>
      </c>
      <c r="B605" s="1" t="n">
        <v>44963</v>
      </c>
      <c r="C605" s="1" t="n">
        <v>45885</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5215-2025</t>
        </is>
      </c>
      <c r="B606" s="1" t="n">
        <v>45691</v>
      </c>
      <c r="C606" s="1" t="n">
        <v>45885</v>
      </c>
      <c r="D606" t="inlineStr">
        <is>
          <t>UPPSALA LÄN</t>
        </is>
      </c>
      <c r="E606" t="inlineStr">
        <is>
          <t>ÖSTHAMMAR</t>
        </is>
      </c>
      <c r="G606" t="n">
        <v>0.5</v>
      </c>
      <c r="H606" t="n">
        <v>0</v>
      </c>
      <c r="I606" t="n">
        <v>0</v>
      </c>
      <c r="J606" t="n">
        <v>0</v>
      </c>
      <c r="K606" t="n">
        <v>0</v>
      </c>
      <c r="L606" t="n">
        <v>0</v>
      </c>
      <c r="M606" t="n">
        <v>0</v>
      </c>
      <c r="N606" t="n">
        <v>0</v>
      </c>
      <c r="O606" t="n">
        <v>0</v>
      </c>
      <c r="P606" t="n">
        <v>0</v>
      </c>
      <c r="Q606" t="n">
        <v>0</v>
      </c>
      <c r="R606" s="2" t="inlineStr"/>
    </row>
    <row r="607" ht="15" customHeight="1">
      <c r="A607" t="inlineStr">
        <is>
          <t>A 43915-2023</t>
        </is>
      </c>
      <c r="B607" s="1" t="n">
        <v>45187.71274305556</v>
      </c>
      <c r="C607" s="1" t="n">
        <v>45885</v>
      </c>
      <c r="D607" t="inlineStr">
        <is>
          <t>UPPSALA LÄN</t>
        </is>
      </c>
      <c r="E607" t="inlineStr">
        <is>
          <t>ÖSTHAMMAR</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65028-2021</t>
        </is>
      </c>
      <c r="B608" s="1" t="n">
        <v>44515</v>
      </c>
      <c r="C608" s="1" t="n">
        <v>45885</v>
      </c>
      <c r="D608" t="inlineStr">
        <is>
          <t>UPPSALA LÄN</t>
        </is>
      </c>
      <c r="E608" t="inlineStr">
        <is>
          <t>ÖSTHAMMAR</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13352-2023</t>
        </is>
      </c>
      <c r="B609" s="1" t="n">
        <v>45005</v>
      </c>
      <c r="C609" s="1" t="n">
        <v>45885</v>
      </c>
      <c r="D609" t="inlineStr">
        <is>
          <t>UPPSALA LÄN</t>
        </is>
      </c>
      <c r="E609" t="inlineStr">
        <is>
          <t>ÖSTHAMMAR</t>
        </is>
      </c>
      <c r="G609" t="n">
        <v>1.8</v>
      </c>
      <c r="H609" t="n">
        <v>0</v>
      </c>
      <c r="I609" t="n">
        <v>0</v>
      </c>
      <c r="J609" t="n">
        <v>0</v>
      </c>
      <c r="K609" t="n">
        <v>0</v>
      </c>
      <c r="L609" t="n">
        <v>0</v>
      </c>
      <c r="M609" t="n">
        <v>0</v>
      </c>
      <c r="N609" t="n">
        <v>0</v>
      </c>
      <c r="O609" t="n">
        <v>0</v>
      </c>
      <c r="P609" t="n">
        <v>0</v>
      </c>
      <c r="Q609" t="n">
        <v>0</v>
      </c>
      <c r="R609" s="2" t="inlineStr"/>
    </row>
    <row r="610" ht="15" customHeight="1">
      <c r="A610" t="inlineStr">
        <is>
          <t>A 1525-2025</t>
        </is>
      </c>
      <c r="B610" s="1" t="n">
        <v>45670.47300925926</v>
      </c>
      <c r="C610" s="1" t="n">
        <v>45885</v>
      </c>
      <c r="D610" t="inlineStr">
        <is>
          <t>UPPSALA LÄN</t>
        </is>
      </c>
      <c r="E610" t="inlineStr">
        <is>
          <t>ÖSTHAMMAR</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6764-2025</t>
        </is>
      </c>
      <c r="B611" s="1" t="n">
        <v>45700.63226851852</v>
      </c>
      <c r="C611" s="1" t="n">
        <v>45885</v>
      </c>
      <c r="D611" t="inlineStr">
        <is>
          <t>UPPSALA LÄN</t>
        </is>
      </c>
      <c r="E611" t="inlineStr">
        <is>
          <t>ÖSTHAMMAR</t>
        </is>
      </c>
      <c r="F611" t="inlineStr">
        <is>
          <t>Bergvik skog öst AB</t>
        </is>
      </c>
      <c r="G611" t="n">
        <v>5.3</v>
      </c>
      <c r="H611" t="n">
        <v>0</v>
      </c>
      <c r="I611" t="n">
        <v>0</v>
      </c>
      <c r="J611" t="n">
        <v>0</v>
      </c>
      <c r="K611" t="n">
        <v>0</v>
      </c>
      <c r="L611" t="n">
        <v>0</v>
      </c>
      <c r="M611" t="n">
        <v>0</v>
      </c>
      <c r="N611" t="n">
        <v>0</v>
      </c>
      <c r="O611" t="n">
        <v>0</v>
      </c>
      <c r="P611" t="n">
        <v>0</v>
      </c>
      <c r="Q611" t="n">
        <v>0</v>
      </c>
      <c r="R611" s="2" t="inlineStr"/>
    </row>
    <row r="612" ht="15" customHeight="1">
      <c r="A612" t="inlineStr">
        <is>
          <t>A 36343-2022</t>
        </is>
      </c>
      <c r="B612" s="1" t="n">
        <v>44803.78524305556</v>
      </c>
      <c r="C612" s="1" t="n">
        <v>45885</v>
      </c>
      <c r="D612" t="inlineStr">
        <is>
          <t>UPPSALA LÄN</t>
        </is>
      </c>
      <c r="E612" t="inlineStr">
        <is>
          <t>ÖSTHAMMAR</t>
        </is>
      </c>
      <c r="F612" t="inlineStr">
        <is>
          <t>Bergvik skog öst AB</t>
        </is>
      </c>
      <c r="G612" t="n">
        <v>1.3</v>
      </c>
      <c r="H612" t="n">
        <v>0</v>
      </c>
      <c r="I612" t="n">
        <v>0</v>
      </c>
      <c r="J612" t="n">
        <v>0</v>
      </c>
      <c r="K612" t="n">
        <v>0</v>
      </c>
      <c r="L612" t="n">
        <v>0</v>
      </c>
      <c r="M612" t="n">
        <v>0</v>
      </c>
      <c r="N612" t="n">
        <v>0</v>
      </c>
      <c r="O612" t="n">
        <v>0</v>
      </c>
      <c r="P612" t="n">
        <v>0</v>
      </c>
      <c r="Q612" t="n">
        <v>0</v>
      </c>
      <c r="R612" s="2" t="inlineStr"/>
    </row>
    <row r="613" ht="15" customHeight="1">
      <c r="A613" t="inlineStr">
        <is>
          <t>A 61257-2022</t>
        </is>
      </c>
      <c r="B613" s="1" t="n">
        <v>44915.59418981482</v>
      </c>
      <c r="C613" s="1" t="n">
        <v>45885</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357-2025</t>
        </is>
      </c>
      <c r="B614" s="1" t="n">
        <v>45659</v>
      </c>
      <c r="C614" s="1" t="n">
        <v>45885</v>
      </c>
      <c r="D614" t="inlineStr">
        <is>
          <t>UPPSALA LÄN</t>
        </is>
      </c>
      <c r="E614" t="inlineStr">
        <is>
          <t>ÖSTHAMMAR</t>
        </is>
      </c>
      <c r="G614" t="n">
        <v>15.8</v>
      </c>
      <c r="H614" t="n">
        <v>0</v>
      </c>
      <c r="I614" t="n">
        <v>0</v>
      </c>
      <c r="J614" t="n">
        <v>0</v>
      </c>
      <c r="K614" t="n">
        <v>0</v>
      </c>
      <c r="L614" t="n">
        <v>0</v>
      </c>
      <c r="M614" t="n">
        <v>0</v>
      </c>
      <c r="N614" t="n">
        <v>0</v>
      </c>
      <c r="O614" t="n">
        <v>0</v>
      </c>
      <c r="P614" t="n">
        <v>0</v>
      </c>
      <c r="Q614" t="n">
        <v>0</v>
      </c>
      <c r="R614" s="2" t="inlineStr"/>
    </row>
    <row r="615" ht="15" customHeight="1">
      <c r="A615" t="inlineStr">
        <is>
          <t>A 68828-2020</t>
        </is>
      </c>
      <c r="B615" s="1" t="n">
        <v>44186</v>
      </c>
      <c r="C615" s="1" t="n">
        <v>45885</v>
      </c>
      <c r="D615" t="inlineStr">
        <is>
          <t>UPPSALA LÄN</t>
        </is>
      </c>
      <c r="E615" t="inlineStr">
        <is>
          <t>ÖSTHAMMAR</t>
        </is>
      </c>
      <c r="G615" t="n">
        <v>1.5</v>
      </c>
      <c r="H615" t="n">
        <v>0</v>
      </c>
      <c r="I615" t="n">
        <v>0</v>
      </c>
      <c r="J615" t="n">
        <v>0</v>
      </c>
      <c r="K615" t="n">
        <v>0</v>
      </c>
      <c r="L615" t="n">
        <v>0</v>
      </c>
      <c r="M615" t="n">
        <v>0</v>
      </c>
      <c r="N615" t="n">
        <v>0</v>
      </c>
      <c r="O615" t="n">
        <v>0</v>
      </c>
      <c r="P615" t="n">
        <v>0</v>
      </c>
      <c r="Q615" t="n">
        <v>0</v>
      </c>
      <c r="R615" s="2" t="inlineStr"/>
    </row>
    <row r="616" ht="15" customHeight="1">
      <c r="A616" t="inlineStr">
        <is>
          <t>A 36857-2023</t>
        </is>
      </c>
      <c r="B616" s="1" t="n">
        <v>45154.55175925926</v>
      </c>
      <c r="C616" s="1" t="n">
        <v>45885</v>
      </c>
      <c r="D616" t="inlineStr">
        <is>
          <t>UPPSALA LÄN</t>
        </is>
      </c>
      <c r="E616" t="inlineStr">
        <is>
          <t>ÖSTHAMMAR</t>
        </is>
      </c>
      <c r="G616" t="n">
        <v>0.5</v>
      </c>
      <c r="H616" t="n">
        <v>0</v>
      </c>
      <c r="I616" t="n">
        <v>0</v>
      </c>
      <c r="J616" t="n">
        <v>0</v>
      </c>
      <c r="K616" t="n">
        <v>0</v>
      </c>
      <c r="L616" t="n">
        <v>0</v>
      </c>
      <c r="M616" t="n">
        <v>0</v>
      </c>
      <c r="N616" t="n">
        <v>0</v>
      </c>
      <c r="O616" t="n">
        <v>0</v>
      </c>
      <c r="P616" t="n">
        <v>0</v>
      </c>
      <c r="Q616" t="n">
        <v>0</v>
      </c>
      <c r="R616" s="2" t="inlineStr"/>
    </row>
    <row r="617" ht="15" customHeight="1">
      <c r="A617" t="inlineStr">
        <is>
          <t>A 6206-2022</t>
        </is>
      </c>
      <c r="B617" s="1" t="n">
        <v>44600.35755787037</v>
      </c>
      <c r="C617" s="1" t="n">
        <v>45885</v>
      </c>
      <c r="D617" t="inlineStr">
        <is>
          <t>UPPSALA LÄN</t>
        </is>
      </c>
      <c r="E617" t="inlineStr">
        <is>
          <t>ÖSTHAMMAR</t>
        </is>
      </c>
      <c r="G617" t="n">
        <v>7.4</v>
      </c>
      <c r="H617" t="n">
        <v>0</v>
      </c>
      <c r="I617" t="n">
        <v>0</v>
      </c>
      <c r="J617" t="n">
        <v>0</v>
      </c>
      <c r="K617" t="n">
        <v>0</v>
      </c>
      <c r="L617" t="n">
        <v>0</v>
      </c>
      <c r="M617" t="n">
        <v>0</v>
      </c>
      <c r="N617" t="n">
        <v>0</v>
      </c>
      <c r="O617" t="n">
        <v>0</v>
      </c>
      <c r="P617" t="n">
        <v>0</v>
      </c>
      <c r="Q617" t="n">
        <v>0</v>
      </c>
      <c r="R617" s="2" t="inlineStr"/>
    </row>
    <row r="618" ht="15" customHeight="1">
      <c r="A618" t="inlineStr">
        <is>
          <t>A 6143-2022</t>
        </is>
      </c>
      <c r="B618" s="1" t="n">
        <v>44599.72306712963</v>
      </c>
      <c r="C618" s="1" t="n">
        <v>45885</v>
      </c>
      <c r="D618" t="inlineStr">
        <is>
          <t>UPPSALA LÄN</t>
        </is>
      </c>
      <c r="E618" t="inlineStr">
        <is>
          <t>ÖSTHAMMAR</t>
        </is>
      </c>
      <c r="G618" t="n">
        <v>3.4</v>
      </c>
      <c r="H618" t="n">
        <v>0</v>
      </c>
      <c r="I618" t="n">
        <v>0</v>
      </c>
      <c r="J618" t="n">
        <v>0</v>
      </c>
      <c r="K618" t="n">
        <v>0</v>
      </c>
      <c r="L618" t="n">
        <v>0</v>
      </c>
      <c r="M618" t="n">
        <v>0</v>
      </c>
      <c r="N618" t="n">
        <v>0</v>
      </c>
      <c r="O618" t="n">
        <v>0</v>
      </c>
      <c r="P618" t="n">
        <v>0</v>
      </c>
      <c r="Q618" t="n">
        <v>0</v>
      </c>
      <c r="R618" s="2" t="inlineStr"/>
    </row>
    <row r="619" ht="15" customHeight="1">
      <c r="A619" t="inlineStr">
        <is>
          <t>A 3514-2023</t>
        </is>
      </c>
      <c r="B619" s="1" t="n">
        <v>44950</v>
      </c>
      <c r="C619" s="1" t="n">
        <v>45885</v>
      </c>
      <c r="D619" t="inlineStr">
        <is>
          <t>UPPSALA LÄN</t>
        </is>
      </c>
      <c r="E619" t="inlineStr">
        <is>
          <t>ÖSTHAMMAR</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18731-2022</t>
        </is>
      </c>
      <c r="B620" s="1" t="n">
        <v>44687.78673611111</v>
      </c>
      <c r="C620" s="1" t="n">
        <v>45885</v>
      </c>
      <c r="D620" t="inlineStr">
        <is>
          <t>UPPSALA LÄN</t>
        </is>
      </c>
      <c r="E620" t="inlineStr">
        <is>
          <t>ÖSTHAMMAR</t>
        </is>
      </c>
      <c r="G620" t="n">
        <v>4.9</v>
      </c>
      <c r="H620" t="n">
        <v>0</v>
      </c>
      <c r="I620" t="n">
        <v>0</v>
      </c>
      <c r="J620" t="n">
        <v>0</v>
      </c>
      <c r="K620" t="n">
        <v>0</v>
      </c>
      <c r="L620" t="n">
        <v>0</v>
      </c>
      <c r="M620" t="n">
        <v>0</v>
      </c>
      <c r="N620" t="n">
        <v>0</v>
      </c>
      <c r="O620" t="n">
        <v>0</v>
      </c>
      <c r="P620" t="n">
        <v>0</v>
      </c>
      <c r="Q620" t="n">
        <v>0</v>
      </c>
      <c r="R620" s="2" t="inlineStr"/>
    </row>
    <row r="621" ht="15" customHeight="1">
      <c r="A621" t="inlineStr">
        <is>
          <t>A 23495-2023</t>
        </is>
      </c>
      <c r="B621" s="1" t="n">
        <v>45076.71652777777</v>
      </c>
      <c r="C621" s="1" t="n">
        <v>45885</v>
      </c>
      <c r="D621" t="inlineStr">
        <is>
          <t>UPPSALA LÄN</t>
        </is>
      </c>
      <c r="E621" t="inlineStr">
        <is>
          <t>ÖSTHAMMAR</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1063-2025</t>
        </is>
      </c>
      <c r="B622" s="1" t="n">
        <v>45666</v>
      </c>
      <c r="C622" s="1" t="n">
        <v>45885</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45561-2023</t>
        </is>
      </c>
      <c r="B623" s="1" t="n">
        <v>45194.59335648148</v>
      </c>
      <c r="C623" s="1" t="n">
        <v>45885</v>
      </c>
      <c r="D623" t="inlineStr">
        <is>
          <t>UPPSALA LÄN</t>
        </is>
      </c>
      <c r="E623" t="inlineStr">
        <is>
          <t>ÖSTHAMMAR</t>
        </is>
      </c>
      <c r="F623" t="inlineStr">
        <is>
          <t>Bergvik skog öst AB</t>
        </is>
      </c>
      <c r="G623" t="n">
        <v>0.7</v>
      </c>
      <c r="H623" t="n">
        <v>0</v>
      </c>
      <c r="I623" t="n">
        <v>0</v>
      </c>
      <c r="J623" t="n">
        <v>0</v>
      </c>
      <c r="K623" t="n">
        <v>0</v>
      </c>
      <c r="L623" t="n">
        <v>0</v>
      </c>
      <c r="M623" t="n">
        <v>0</v>
      </c>
      <c r="N623" t="n">
        <v>0</v>
      </c>
      <c r="O623" t="n">
        <v>0</v>
      </c>
      <c r="P623" t="n">
        <v>0</v>
      </c>
      <c r="Q623" t="n">
        <v>0</v>
      </c>
      <c r="R623" s="2" t="inlineStr"/>
    </row>
    <row r="624" ht="15" customHeight="1">
      <c r="A624" t="inlineStr">
        <is>
          <t>A 10495-2025</t>
        </is>
      </c>
      <c r="B624" s="1" t="n">
        <v>45721</v>
      </c>
      <c r="C624" s="1" t="n">
        <v>45885</v>
      </c>
      <c r="D624" t="inlineStr">
        <is>
          <t>UPPSALA LÄN</t>
        </is>
      </c>
      <c r="E624" t="inlineStr">
        <is>
          <t>ÖSTHAMMAR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4356-2025</t>
        </is>
      </c>
      <c r="B625" s="1" t="n">
        <v>45686</v>
      </c>
      <c r="C625" s="1" t="n">
        <v>45885</v>
      </c>
      <c r="D625" t="inlineStr">
        <is>
          <t>UPPSALA LÄN</t>
        </is>
      </c>
      <c r="E625" t="inlineStr">
        <is>
          <t>ÖSTHAMMAR</t>
        </is>
      </c>
      <c r="F625" t="inlineStr">
        <is>
          <t>Övriga Aktiebolag</t>
        </is>
      </c>
      <c r="G625" t="n">
        <v>24.6</v>
      </c>
      <c r="H625" t="n">
        <v>0</v>
      </c>
      <c r="I625" t="n">
        <v>0</v>
      </c>
      <c r="J625" t="n">
        <v>0</v>
      </c>
      <c r="K625" t="n">
        <v>0</v>
      </c>
      <c r="L625" t="n">
        <v>0</v>
      </c>
      <c r="M625" t="n">
        <v>0</v>
      </c>
      <c r="N625" t="n">
        <v>0</v>
      </c>
      <c r="O625" t="n">
        <v>0</v>
      </c>
      <c r="P625" t="n">
        <v>0</v>
      </c>
      <c r="Q625" t="n">
        <v>0</v>
      </c>
      <c r="R625" s="2" t="inlineStr"/>
    </row>
    <row r="626" ht="15" customHeight="1">
      <c r="A626" t="inlineStr">
        <is>
          <t>A 17085-2025</t>
        </is>
      </c>
      <c r="B626" s="1" t="n">
        <v>45755.64612268518</v>
      </c>
      <c r="C626" s="1" t="n">
        <v>45885</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43439-2024</t>
        </is>
      </c>
      <c r="B627" s="1" t="n">
        <v>45568</v>
      </c>
      <c r="C627" s="1" t="n">
        <v>45885</v>
      </c>
      <c r="D627" t="inlineStr">
        <is>
          <t>UPPSALA LÄN</t>
        </is>
      </c>
      <c r="E627" t="inlineStr">
        <is>
          <t>ÖSTHAMMAR</t>
        </is>
      </c>
      <c r="G627" t="n">
        <v>1</v>
      </c>
      <c r="H627" t="n">
        <v>0</v>
      </c>
      <c r="I627" t="n">
        <v>0</v>
      </c>
      <c r="J627" t="n">
        <v>0</v>
      </c>
      <c r="K627" t="n">
        <v>0</v>
      </c>
      <c r="L627" t="n">
        <v>0</v>
      </c>
      <c r="M627" t="n">
        <v>0</v>
      </c>
      <c r="N627" t="n">
        <v>0</v>
      </c>
      <c r="O627" t="n">
        <v>0</v>
      </c>
      <c r="P627" t="n">
        <v>0</v>
      </c>
      <c r="Q627" t="n">
        <v>0</v>
      </c>
      <c r="R627" s="2" t="inlineStr"/>
    </row>
    <row r="628" ht="15" customHeight="1">
      <c r="A628" t="inlineStr">
        <is>
          <t>A 19646-2025</t>
        </is>
      </c>
      <c r="B628" s="1" t="n">
        <v>45770.6600462963</v>
      </c>
      <c r="C628" s="1" t="n">
        <v>45885</v>
      </c>
      <c r="D628" t="inlineStr">
        <is>
          <t>UPPSALA LÄN</t>
        </is>
      </c>
      <c r="E628" t="inlineStr">
        <is>
          <t>ÖSTHAMMAR</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59880-2022</t>
        </is>
      </c>
      <c r="B629" s="1" t="n">
        <v>44908.69575231482</v>
      </c>
      <c r="C629" s="1" t="n">
        <v>45885</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39640-2020</t>
        </is>
      </c>
      <c r="B630" s="1" t="n">
        <v>44064</v>
      </c>
      <c r="C630" s="1" t="n">
        <v>45885</v>
      </c>
      <c r="D630" t="inlineStr">
        <is>
          <t>UPPSALA LÄN</t>
        </is>
      </c>
      <c r="E630" t="inlineStr">
        <is>
          <t>ÖSTHAMMAR</t>
        </is>
      </c>
      <c r="F630" t="inlineStr">
        <is>
          <t>Bergvik skog öst AB</t>
        </is>
      </c>
      <c r="G630" t="n">
        <v>1.2</v>
      </c>
      <c r="H630" t="n">
        <v>0</v>
      </c>
      <c r="I630" t="n">
        <v>0</v>
      </c>
      <c r="J630" t="n">
        <v>0</v>
      </c>
      <c r="K630" t="n">
        <v>0</v>
      </c>
      <c r="L630" t="n">
        <v>0</v>
      </c>
      <c r="M630" t="n">
        <v>0</v>
      </c>
      <c r="N630" t="n">
        <v>0</v>
      </c>
      <c r="O630" t="n">
        <v>0</v>
      </c>
      <c r="P630" t="n">
        <v>0</v>
      </c>
      <c r="Q630" t="n">
        <v>0</v>
      </c>
      <c r="R630" s="2" t="inlineStr"/>
    </row>
    <row r="631" ht="15" customHeight="1">
      <c r="A631" t="inlineStr">
        <is>
          <t>A 32244-2021</t>
        </is>
      </c>
      <c r="B631" s="1" t="n">
        <v>44371.45335648148</v>
      </c>
      <c r="C631" s="1" t="n">
        <v>45885</v>
      </c>
      <c r="D631" t="inlineStr">
        <is>
          <t>UPPSALA LÄN</t>
        </is>
      </c>
      <c r="E631" t="inlineStr">
        <is>
          <t>ÖSTHAMMAR</t>
        </is>
      </c>
      <c r="F631" t="inlineStr">
        <is>
          <t>Bergvik skog öst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33056-2021</t>
        </is>
      </c>
      <c r="B632" s="1" t="n">
        <v>44376.52438657408</v>
      </c>
      <c r="C632" s="1" t="n">
        <v>45885</v>
      </c>
      <c r="D632" t="inlineStr">
        <is>
          <t>UPPSALA LÄN</t>
        </is>
      </c>
      <c r="E632" t="inlineStr">
        <is>
          <t>ÖSTHAMMAR</t>
        </is>
      </c>
      <c r="G632" t="n">
        <v>0.6</v>
      </c>
      <c r="H632" t="n">
        <v>0</v>
      </c>
      <c r="I632" t="n">
        <v>0</v>
      </c>
      <c r="J632" t="n">
        <v>0</v>
      </c>
      <c r="K632" t="n">
        <v>0</v>
      </c>
      <c r="L632" t="n">
        <v>0</v>
      </c>
      <c r="M632" t="n">
        <v>0</v>
      </c>
      <c r="N632" t="n">
        <v>0</v>
      </c>
      <c r="O632" t="n">
        <v>0</v>
      </c>
      <c r="P632" t="n">
        <v>0</v>
      </c>
      <c r="Q632" t="n">
        <v>0</v>
      </c>
      <c r="R632" s="2" t="inlineStr"/>
    </row>
    <row r="633" ht="15" customHeight="1">
      <c r="A633" t="inlineStr">
        <is>
          <t>A 4562-2022</t>
        </is>
      </c>
      <c r="B633" s="1" t="n">
        <v>44591</v>
      </c>
      <c r="C633" s="1" t="n">
        <v>45885</v>
      </c>
      <c r="D633" t="inlineStr">
        <is>
          <t>UPPSALA LÄN</t>
        </is>
      </c>
      <c r="E633" t="inlineStr">
        <is>
          <t>ÖSTHAMMAR</t>
        </is>
      </c>
      <c r="G633" t="n">
        <v>3.4</v>
      </c>
      <c r="H633" t="n">
        <v>0</v>
      </c>
      <c r="I633" t="n">
        <v>0</v>
      </c>
      <c r="J633" t="n">
        <v>0</v>
      </c>
      <c r="K633" t="n">
        <v>0</v>
      </c>
      <c r="L633" t="n">
        <v>0</v>
      </c>
      <c r="M633" t="n">
        <v>0</v>
      </c>
      <c r="N633" t="n">
        <v>0</v>
      </c>
      <c r="O633" t="n">
        <v>0</v>
      </c>
      <c r="P633" t="n">
        <v>0</v>
      </c>
      <c r="Q633" t="n">
        <v>0</v>
      </c>
      <c r="R633" s="2" t="inlineStr"/>
    </row>
    <row r="634" ht="15" customHeight="1">
      <c r="A634" t="inlineStr">
        <is>
          <t>A 10117-2025</t>
        </is>
      </c>
      <c r="B634" s="1" t="n">
        <v>45719.59866898148</v>
      </c>
      <c r="C634" s="1" t="n">
        <v>45885</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4292-2025</t>
        </is>
      </c>
      <c r="B635" s="1" t="n">
        <v>45685.66459490741</v>
      </c>
      <c r="C635" s="1" t="n">
        <v>45885</v>
      </c>
      <c r="D635" t="inlineStr">
        <is>
          <t>UPPSALA LÄN</t>
        </is>
      </c>
      <c r="E635" t="inlineStr">
        <is>
          <t>ÖSTHAMMAR</t>
        </is>
      </c>
      <c r="G635" t="n">
        <v>0.8</v>
      </c>
      <c r="H635" t="n">
        <v>0</v>
      </c>
      <c r="I635" t="n">
        <v>0</v>
      </c>
      <c r="J635" t="n">
        <v>0</v>
      </c>
      <c r="K635" t="n">
        <v>0</v>
      </c>
      <c r="L635" t="n">
        <v>0</v>
      </c>
      <c r="M635" t="n">
        <v>0</v>
      </c>
      <c r="N635" t="n">
        <v>0</v>
      </c>
      <c r="O635" t="n">
        <v>0</v>
      </c>
      <c r="P635" t="n">
        <v>0</v>
      </c>
      <c r="Q635" t="n">
        <v>0</v>
      </c>
      <c r="R635" s="2" t="inlineStr"/>
    </row>
    <row r="636" ht="15" customHeight="1">
      <c r="A636" t="inlineStr">
        <is>
          <t>A 8592-2022</t>
        </is>
      </c>
      <c r="B636" s="1" t="n">
        <v>44613</v>
      </c>
      <c r="C636" s="1" t="n">
        <v>45885</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5076-2025</t>
        </is>
      </c>
      <c r="B637" s="1" t="n">
        <v>45691</v>
      </c>
      <c r="C637" s="1" t="n">
        <v>45885</v>
      </c>
      <c r="D637" t="inlineStr">
        <is>
          <t>UPPSALA LÄN</t>
        </is>
      </c>
      <c r="E637" t="inlineStr">
        <is>
          <t>ÖSTHAMMAR</t>
        </is>
      </c>
      <c r="G637" t="n">
        <v>5.8</v>
      </c>
      <c r="H637" t="n">
        <v>0</v>
      </c>
      <c r="I637" t="n">
        <v>0</v>
      </c>
      <c r="J637" t="n">
        <v>0</v>
      </c>
      <c r="K637" t="n">
        <v>0</v>
      </c>
      <c r="L637" t="n">
        <v>0</v>
      </c>
      <c r="M637" t="n">
        <v>0</v>
      </c>
      <c r="N637" t="n">
        <v>0</v>
      </c>
      <c r="O637" t="n">
        <v>0</v>
      </c>
      <c r="P637" t="n">
        <v>0</v>
      </c>
      <c r="Q637" t="n">
        <v>0</v>
      </c>
      <c r="R637" s="2" t="inlineStr"/>
    </row>
    <row r="638" ht="15" customHeight="1">
      <c r="A638" t="inlineStr">
        <is>
          <t>A 4099-2025</t>
        </is>
      </c>
      <c r="B638" s="1" t="n">
        <v>45684</v>
      </c>
      <c r="C638" s="1" t="n">
        <v>45885</v>
      </c>
      <c r="D638" t="inlineStr">
        <is>
          <t>UPPSALA LÄN</t>
        </is>
      </c>
      <c r="E638" t="inlineStr">
        <is>
          <t>ÖSTHAMMAR</t>
        </is>
      </c>
      <c r="G638" t="n">
        <v>0.7</v>
      </c>
      <c r="H638" t="n">
        <v>0</v>
      </c>
      <c r="I638" t="n">
        <v>0</v>
      </c>
      <c r="J638" t="n">
        <v>0</v>
      </c>
      <c r="K638" t="n">
        <v>0</v>
      </c>
      <c r="L638" t="n">
        <v>0</v>
      </c>
      <c r="M638" t="n">
        <v>0</v>
      </c>
      <c r="N638" t="n">
        <v>0</v>
      </c>
      <c r="O638" t="n">
        <v>0</v>
      </c>
      <c r="P638" t="n">
        <v>0</v>
      </c>
      <c r="Q638" t="n">
        <v>0</v>
      </c>
      <c r="R638" s="2" t="inlineStr"/>
    </row>
    <row r="639" ht="15" customHeight="1">
      <c r="A639" t="inlineStr">
        <is>
          <t>A 8908-2025</t>
        </is>
      </c>
      <c r="B639" s="1" t="n">
        <v>45713.4196875</v>
      </c>
      <c r="C639" s="1" t="n">
        <v>45885</v>
      </c>
      <c r="D639" t="inlineStr">
        <is>
          <t>UPPSALA LÄN</t>
        </is>
      </c>
      <c r="E639" t="inlineStr">
        <is>
          <t>ÖSTHAMMAR</t>
        </is>
      </c>
      <c r="F639" t="inlineStr">
        <is>
          <t>Bergvik skog öst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41538-2021</t>
        </is>
      </c>
      <c r="B640" s="1" t="n">
        <v>44425.35016203704</v>
      </c>
      <c r="C640" s="1" t="n">
        <v>45885</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3119-2025</t>
        </is>
      </c>
      <c r="B641" s="1" t="n">
        <v>45678</v>
      </c>
      <c r="C641" s="1" t="n">
        <v>45885</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36301-2023</t>
        </is>
      </c>
      <c r="B642" s="1" t="n">
        <v>45152.37296296296</v>
      </c>
      <c r="C642" s="1" t="n">
        <v>45885</v>
      </c>
      <c r="D642" t="inlineStr">
        <is>
          <t>UPPSALA LÄN</t>
        </is>
      </c>
      <c r="E642" t="inlineStr">
        <is>
          <t>ÖSTHAMMAR</t>
        </is>
      </c>
      <c r="G642" t="n">
        <v>0.9</v>
      </c>
      <c r="H642" t="n">
        <v>0</v>
      </c>
      <c r="I642" t="n">
        <v>0</v>
      </c>
      <c r="J642" t="n">
        <v>0</v>
      </c>
      <c r="K642" t="n">
        <v>0</v>
      </c>
      <c r="L642" t="n">
        <v>0</v>
      </c>
      <c r="M642" t="n">
        <v>0</v>
      </c>
      <c r="N642" t="n">
        <v>0</v>
      </c>
      <c r="O642" t="n">
        <v>0</v>
      </c>
      <c r="P642" t="n">
        <v>0</v>
      </c>
      <c r="Q642" t="n">
        <v>0</v>
      </c>
      <c r="R642" s="2" t="inlineStr"/>
    </row>
    <row r="643" ht="15" customHeight="1">
      <c r="A643" t="inlineStr">
        <is>
          <t>A 17646-2025</t>
        </is>
      </c>
      <c r="B643" s="1" t="n">
        <v>45758.32872685185</v>
      </c>
      <c r="C643" s="1" t="n">
        <v>45885</v>
      </c>
      <c r="D643" t="inlineStr">
        <is>
          <t>UPPSALA LÄN</t>
        </is>
      </c>
      <c r="E643" t="inlineStr">
        <is>
          <t>ÖSTHAMMAR</t>
        </is>
      </c>
      <c r="F643" t="inlineStr">
        <is>
          <t>Bergvik skog väst AB</t>
        </is>
      </c>
      <c r="G643" t="n">
        <v>3.4</v>
      </c>
      <c r="H643" t="n">
        <v>0</v>
      </c>
      <c r="I643" t="n">
        <v>0</v>
      </c>
      <c r="J643" t="n">
        <v>0</v>
      </c>
      <c r="K643" t="n">
        <v>0</v>
      </c>
      <c r="L643" t="n">
        <v>0</v>
      </c>
      <c r="M643" t="n">
        <v>0</v>
      </c>
      <c r="N643" t="n">
        <v>0</v>
      </c>
      <c r="O643" t="n">
        <v>0</v>
      </c>
      <c r="P643" t="n">
        <v>0</v>
      </c>
      <c r="Q643" t="n">
        <v>0</v>
      </c>
      <c r="R643" s="2" t="inlineStr"/>
    </row>
    <row r="644" ht="15" customHeight="1">
      <c r="A644" t="inlineStr">
        <is>
          <t>A 17648-2025</t>
        </is>
      </c>
      <c r="B644" s="1" t="n">
        <v>45758.33064814815</v>
      </c>
      <c r="C644" s="1" t="n">
        <v>45885</v>
      </c>
      <c r="D644" t="inlineStr">
        <is>
          <t>UPPSALA LÄN</t>
        </is>
      </c>
      <c r="E644" t="inlineStr">
        <is>
          <t>ÖSTHAMMAR</t>
        </is>
      </c>
      <c r="F644" t="inlineStr">
        <is>
          <t>Bergvik skog väst AB</t>
        </is>
      </c>
      <c r="G644" t="n">
        <v>1.3</v>
      </c>
      <c r="H644" t="n">
        <v>0</v>
      </c>
      <c r="I644" t="n">
        <v>0</v>
      </c>
      <c r="J644" t="n">
        <v>0</v>
      </c>
      <c r="K644" t="n">
        <v>0</v>
      </c>
      <c r="L644" t="n">
        <v>0</v>
      </c>
      <c r="M644" t="n">
        <v>0</v>
      </c>
      <c r="N644" t="n">
        <v>0</v>
      </c>
      <c r="O644" t="n">
        <v>0</v>
      </c>
      <c r="P644" t="n">
        <v>0</v>
      </c>
      <c r="Q644" t="n">
        <v>0</v>
      </c>
      <c r="R644" s="2" t="inlineStr"/>
    </row>
    <row r="645" ht="15" customHeight="1">
      <c r="A645" t="inlineStr">
        <is>
          <t>A 28429-2023</t>
        </is>
      </c>
      <c r="B645" s="1" t="n">
        <v>45102.58728009259</v>
      </c>
      <c r="C645" s="1" t="n">
        <v>45885</v>
      </c>
      <c r="D645" t="inlineStr">
        <is>
          <t>UPPSALA LÄN</t>
        </is>
      </c>
      <c r="E645" t="inlineStr">
        <is>
          <t>ÖSTHAMMAR</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60047-2021</t>
        </is>
      </c>
      <c r="B646" s="1" t="n">
        <v>44495</v>
      </c>
      <c r="C646" s="1" t="n">
        <v>45885</v>
      </c>
      <c r="D646" t="inlineStr">
        <is>
          <t>UPPSALA LÄN</t>
        </is>
      </c>
      <c r="E646" t="inlineStr">
        <is>
          <t>ÖSTHAMMAR</t>
        </is>
      </c>
      <c r="F646" t="inlineStr">
        <is>
          <t>Övriga Aktiebolag</t>
        </is>
      </c>
      <c r="G646" t="n">
        <v>1.8</v>
      </c>
      <c r="H646" t="n">
        <v>0</v>
      </c>
      <c r="I646" t="n">
        <v>0</v>
      </c>
      <c r="J646" t="n">
        <v>0</v>
      </c>
      <c r="K646" t="n">
        <v>0</v>
      </c>
      <c r="L646" t="n">
        <v>0</v>
      </c>
      <c r="M646" t="n">
        <v>0</v>
      </c>
      <c r="N646" t="n">
        <v>0</v>
      </c>
      <c r="O646" t="n">
        <v>0</v>
      </c>
      <c r="P646" t="n">
        <v>0</v>
      </c>
      <c r="Q646" t="n">
        <v>0</v>
      </c>
      <c r="R646" s="2" t="inlineStr"/>
    </row>
    <row r="647" ht="15" customHeight="1">
      <c r="A647" t="inlineStr">
        <is>
          <t>A 35309-2023</t>
        </is>
      </c>
      <c r="B647" s="1" t="n">
        <v>45146</v>
      </c>
      <c r="C647" s="1" t="n">
        <v>45885</v>
      </c>
      <c r="D647" t="inlineStr">
        <is>
          <t>UPPSALA LÄN</t>
        </is>
      </c>
      <c r="E647" t="inlineStr">
        <is>
          <t>ÖSTHAMMAR</t>
        </is>
      </c>
      <c r="G647" t="n">
        <v>1.3</v>
      </c>
      <c r="H647" t="n">
        <v>0</v>
      </c>
      <c r="I647" t="n">
        <v>0</v>
      </c>
      <c r="J647" t="n">
        <v>0</v>
      </c>
      <c r="K647" t="n">
        <v>0</v>
      </c>
      <c r="L647" t="n">
        <v>0</v>
      </c>
      <c r="M647" t="n">
        <v>0</v>
      </c>
      <c r="N647" t="n">
        <v>0</v>
      </c>
      <c r="O647" t="n">
        <v>0</v>
      </c>
      <c r="P647" t="n">
        <v>0</v>
      </c>
      <c r="Q647" t="n">
        <v>0</v>
      </c>
      <c r="R647" s="2" t="inlineStr"/>
    </row>
    <row r="648" ht="15" customHeight="1">
      <c r="A648" t="inlineStr">
        <is>
          <t>A 835-2025</t>
        </is>
      </c>
      <c r="B648" s="1" t="n">
        <v>45665.58465277778</v>
      </c>
      <c r="C648" s="1" t="n">
        <v>45885</v>
      </c>
      <c r="D648" t="inlineStr">
        <is>
          <t>UPPSALA LÄN</t>
        </is>
      </c>
      <c r="E648" t="inlineStr">
        <is>
          <t>ÖSTHAMMAR</t>
        </is>
      </c>
      <c r="F648" t="inlineStr">
        <is>
          <t>Övriga Aktiebolag</t>
        </is>
      </c>
      <c r="G648" t="n">
        <v>4.8</v>
      </c>
      <c r="H648" t="n">
        <v>0</v>
      </c>
      <c r="I648" t="n">
        <v>0</v>
      </c>
      <c r="J648" t="n">
        <v>0</v>
      </c>
      <c r="K648" t="n">
        <v>0</v>
      </c>
      <c r="L648" t="n">
        <v>0</v>
      </c>
      <c r="M648" t="n">
        <v>0</v>
      </c>
      <c r="N648" t="n">
        <v>0</v>
      </c>
      <c r="O648" t="n">
        <v>0</v>
      </c>
      <c r="P648" t="n">
        <v>0</v>
      </c>
      <c r="Q648" t="n">
        <v>0</v>
      </c>
      <c r="R648" s="2" t="inlineStr"/>
    </row>
    <row r="649" ht="15" customHeight="1">
      <c r="A649" t="inlineStr">
        <is>
          <t>A 18401-2025</t>
        </is>
      </c>
      <c r="B649" s="1" t="n">
        <v>45762.5966087963</v>
      </c>
      <c r="C649" s="1" t="n">
        <v>45885</v>
      </c>
      <c r="D649" t="inlineStr">
        <is>
          <t>UPPSALA LÄN</t>
        </is>
      </c>
      <c r="E649" t="inlineStr">
        <is>
          <t>ÖSTHAMMAR</t>
        </is>
      </c>
      <c r="G649" t="n">
        <v>1.7</v>
      </c>
      <c r="H649" t="n">
        <v>0</v>
      </c>
      <c r="I649" t="n">
        <v>0</v>
      </c>
      <c r="J649" t="n">
        <v>0</v>
      </c>
      <c r="K649" t="n">
        <v>0</v>
      </c>
      <c r="L649" t="n">
        <v>0</v>
      </c>
      <c r="M649" t="n">
        <v>0</v>
      </c>
      <c r="N649" t="n">
        <v>0</v>
      </c>
      <c r="O649" t="n">
        <v>0</v>
      </c>
      <c r="P649" t="n">
        <v>0</v>
      </c>
      <c r="Q649" t="n">
        <v>0</v>
      </c>
      <c r="R649" s="2" t="inlineStr"/>
    </row>
    <row r="650" ht="15" customHeight="1">
      <c r="A650" t="inlineStr">
        <is>
          <t>A 30086-2023</t>
        </is>
      </c>
      <c r="B650" s="1" t="n">
        <v>45110.43907407407</v>
      </c>
      <c r="C650" s="1" t="n">
        <v>45885</v>
      </c>
      <c r="D650" t="inlineStr">
        <is>
          <t>UPPSALA LÄN</t>
        </is>
      </c>
      <c r="E650" t="inlineStr">
        <is>
          <t>ÖSTHAMMAR</t>
        </is>
      </c>
      <c r="G650" t="n">
        <v>3.5</v>
      </c>
      <c r="H650" t="n">
        <v>0</v>
      </c>
      <c r="I650" t="n">
        <v>0</v>
      </c>
      <c r="J650" t="n">
        <v>0</v>
      </c>
      <c r="K650" t="n">
        <v>0</v>
      </c>
      <c r="L650" t="n">
        <v>0</v>
      </c>
      <c r="M650" t="n">
        <v>0</v>
      </c>
      <c r="N650" t="n">
        <v>0</v>
      </c>
      <c r="O650" t="n">
        <v>0</v>
      </c>
      <c r="P650" t="n">
        <v>0</v>
      </c>
      <c r="Q650" t="n">
        <v>0</v>
      </c>
      <c r="R650" s="2" t="inlineStr"/>
    </row>
    <row r="651" ht="15" customHeight="1">
      <c r="A651" t="inlineStr">
        <is>
          <t>A 67199-2021</t>
        </is>
      </c>
      <c r="B651" s="1" t="n">
        <v>44523.46197916667</v>
      </c>
      <c r="C651" s="1" t="n">
        <v>45885</v>
      </c>
      <c r="D651" t="inlineStr">
        <is>
          <t>UPPSALA LÄN</t>
        </is>
      </c>
      <c r="E651" t="inlineStr">
        <is>
          <t>ÖSTHAMMAR</t>
        </is>
      </c>
      <c r="G651" t="n">
        <v>2.3</v>
      </c>
      <c r="H651" t="n">
        <v>0</v>
      </c>
      <c r="I651" t="n">
        <v>0</v>
      </c>
      <c r="J651" t="n">
        <v>0</v>
      </c>
      <c r="K651" t="n">
        <v>0</v>
      </c>
      <c r="L651" t="n">
        <v>0</v>
      </c>
      <c r="M651" t="n">
        <v>0</v>
      </c>
      <c r="N651" t="n">
        <v>0</v>
      </c>
      <c r="O651" t="n">
        <v>0</v>
      </c>
      <c r="P651" t="n">
        <v>0</v>
      </c>
      <c r="Q651" t="n">
        <v>0</v>
      </c>
      <c r="R651" s="2" t="inlineStr"/>
    </row>
    <row r="652" ht="15" customHeight="1">
      <c r="A652" t="inlineStr">
        <is>
          <t>A 24259-2022</t>
        </is>
      </c>
      <c r="B652" s="1" t="n">
        <v>44725</v>
      </c>
      <c r="C652" s="1" t="n">
        <v>45885</v>
      </c>
      <c r="D652" t="inlineStr">
        <is>
          <t>UPPSALA LÄN</t>
        </is>
      </c>
      <c r="E652" t="inlineStr">
        <is>
          <t>ÖSTHAMMAR</t>
        </is>
      </c>
      <c r="G652" t="n">
        <v>2.4</v>
      </c>
      <c r="H652" t="n">
        <v>0</v>
      </c>
      <c r="I652" t="n">
        <v>0</v>
      </c>
      <c r="J652" t="n">
        <v>0</v>
      </c>
      <c r="K652" t="n">
        <v>0</v>
      </c>
      <c r="L652" t="n">
        <v>0</v>
      </c>
      <c r="M652" t="n">
        <v>0</v>
      </c>
      <c r="N652" t="n">
        <v>0</v>
      </c>
      <c r="O652" t="n">
        <v>0</v>
      </c>
      <c r="P652" t="n">
        <v>0</v>
      </c>
      <c r="Q652" t="n">
        <v>0</v>
      </c>
      <c r="R652" s="2" t="inlineStr"/>
    </row>
    <row r="653" ht="15" customHeight="1">
      <c r="A653" t="inlineStr">
        <is>
          <t>A 24367-2022</t>
        </is>
      </c>
      <c r="B653" s="1" t="n">
        <v>44726.42716435185</v>
      </c>
      <c r="C653" s="1" t="n">
        <v>45885</v>
      </c>
      <c r="D653" t="inlineStr">
        <is>
          <t>UPPSALA LÄN</t>
        </is>
      </c>
      <c r="E653" t="inlineStr">
        <is>
          <t>ÖSTHAMMAR</t>
        </is>
      </c>
      <c r="G653" t="n">
        <v>2.7</v>
      </c>
      <c r="H653" t="n">
        <v>0</v>
      </c>
      <c r="I653" t="n">
        <v>0</v>
      </c>
      <c r="J653" t="n">
        <v>0</v>
      </c>
      <c r="K653" t="n">
        <v>0</v>
      </c>
      <c r="L653" t="n">
        <v>0</v>
      </c>
      <c r="M653" t="n">
        <v>0</v>
      </c>
      <c r="N653" t="n">
        <v>0</v>
      </c>
      <c r="O653" t="n">
        <v>0</v>
      </c>
      <c r="P653" t="n">
        <v>0</v>
      </c>
      <c r="Q653" t="n">
        <v>0</v>
      </c>
      <c r="R653" s="2" t="inlineStr"/>
    </row>
    <row r="654" ht="15" customHeight="1">
      <c r="A654" t="inlineStr">
        <is>
          <t>A 19637-2025</t>
        </is>
      </c>
      <c r="B654" s="1" t="n">
        <v>45770.6534375</v>
      </c>
      <c r="C654" s="1" t="n">
        <v>45885</v>
      </c>
      <c r="D654" t="inlineStr">
        <is>
          <t>UPPSALA LÄN</t>
        </is>
      </c>
      <c r="E654" t="inlineStr">
        <is>
          <t>ÖSTHAMMAR</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19650-2025</t>
        </is>
      </c>
      <c r="B655" s="1" t="n">
        <v>45770.66733796296</v>
      </c>
      <c r="C655" s="1" t="n">
        <v>45885</v>
      </c>
      <c r="D655" t="inlineStr">
        <is>
          <t>UPPSALA LÄN</t>
        </is>
      </c>
      <c r="E655" t="inlineStr">
        <is>
          <t>ÖSTHAMMAR</t>
        </is>
      </c>
      <c r="F655" t="inlineStr">
        <is>
          <t>Övriga Aktiebolag</t>
        </is>
      </c>
      <c r="G655" t="n">
        <v>2.1</v>
      </c>
      <c r="H655" t="n">
        <v>0</v>
      </c>
      <c r="I655" t="n">
        <v>0</v>
      </c>
      <c r="J655" t="n">
        <v>0</v>
      </c>
      <c r="K655" t="n">
        <v>0</v>
      </c>
      <c r="L655" t="n">
        <v>0</v>
      </c>
      <c r="M655" t="n">
        <v>0</v>
      </c>
      <c r="N655" t="n">
        <v>0</v>
      </c>
      <c r="O655" t="n">
        <v>0</v>
      </c>
      <c r="P655" t="n">
        <v>0</v>
      </c>
      <c r="Q655" t="n">
        <v>0</v>
      </c>
      <c r="R655" s="2" t="inlineStr"/>
    </row>
    <row r="656" ht="15" customHeight="1">
      <c r="A656" t="inlineStr">
        <is>
          <t>A 49206-2020</t>
        </is>
      </c>
      <c r="B656" s="1" t="n">
        <v>44105</v>
      </c>
      <c r="C656" s="1" t="n">
        <v>45885</v>
      </c>
      <c r="D656" t="inlineStr">
        <is>
          <t>UPPSALA LÄN</t>
        </is>
      </c>
      <c r="E656" t="inlineStr">
        <is>
          <t>ÖSTHAMMAR</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49897-2023</t>
        </is>
      </c>
      <c r="B657" s="1" t="n">
        <v>45213.84846064815</v>
      </c>
      <c r="C657" s="1" t="n">
        <v>45885</v>
      </c>
      <c r="D657" t="inlineStr">
        <is>
          <t>UPPSALA LÄN</t>
        </is>
      </c>
      <c r="E657" t="inlineStr">
        <is>
          <t>ÖSTHAMMAR</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34922-2023</t>
        </is>
      </c>
      <c r="B658" s="1" t="n">
        <v>45142.48359953704</v>
      </c>
      <c r="C658" s="1" t="n">
        <v>45885</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45885</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13771-2023</t>
        </is>
      </c>
      <c r="B660" s="1" t="n">
        <v>45007</v>
      </c>
      <c r="C660" s="1" t="n">
        <v>45885</v>
      </c>
      <c r="D660" t="inlineStr">
        <is>
          <t>UPPSALA LÄN</t>
        </is>
      </c>
      <c r="E660" t="inlineStr">
        <is>
          <t>ÖSTHAMMAR</t>
        </is>
      </c>
      <c r="G660" t="n">
        <v>2.7</v>
      </c>
      <c r="H660" t="n">
        <v>0</v>
      </c>
      <c r="I660" t="n">
        <v>0</v>
      </c>
      <c r="J660" t="n">
        <v>0</v>
      </c>
      <c r="K660" t="n">
        <v>0</v>
      </c>
      <c r="L660" t="n">
        <v>0</v>
      </c>
      <c r="M660" t="n">
        <v>0</v>
      </c>
      <c r="N660" t="n">
        <v>0</v>
      </c>
      <c r="O660" t="n">
        <v>0</v>
      </c>
      <c r="P660" t="n">
        <v>0</v>
      </c>
      <c r="Q660" t="n">
        <v>0</v>
      </c>
      <c r="R660" s="2" t="inlineStr"/>
    </row>
    <row r="661" ht="15" customHeight="1">
      <c r="A661" t="inlineStr">
        <is>
          <t>A 50998-2023</t>
        </is>
      </c>
      <c r="B661" s="1" t="n">
        <v>45218.5586574074</v>
      </c>
      <c r="C661" s="1" t="n">
        <v>45885</v>
      </c>
      <c r="D661" t="inlineStr">
        <is>
          <t>UPPSALA LÄN</t>
        </is>
      </c>
      <c r="E661" t="inlineStr">
        <is>
          <t>ÖSTHAMMAR</t>
        </is>
      </c>
      <c r="G661" t="n">
        <v>3.6</v>
      </c>
      <c r="H661" t="n">
        <v>0</v>
      </c>
      <c r="I661" t="n">
        <v>0</v>
      </c>
      <c r="J661" t="n">
        <v>0</v>
      </c>
      <c r="K661" t="n">
        <v>0</v>
      </c>
      <c r="L661" t="n">
        <v>0</v>
      </c>
      <c r="M661" t="n">
        <v>0</v>
      </c>
      <c r="N661" t="n">
        <v>0</v>
      </c>
      <c r="O661" t="n">
        <v>0</v>
      </c>
      <c r="P661" t="n">
        <v>0</v>
      </c>
      <c r="Q661" t="n">
        <v>0</v>
      </c>
      <c r="R661" s="2" t="inlineStr"/>
    </row>
    <row r="662" ht="15" customHeight="1">
      <c r="A662" t="inlineStr">
        <is>
          <t>A 31669-2022</t>
        </is>
      </c>
      <c r="B662" s="1" t="n">
        <v>44775</v>
      </c>
      <c r="C662" s="1" t="n">
        <v>45885</v>
      </c>
      <c r="D662" t="inlineStr">
        <is>
          <t>UPPSALA LÄN</t>
        </is>
      </c>
      <c r="E662" t="inlineStr">
        <is>
          <t>ÖSTHAMMAR</t>
        </is>
      </c>
      <c r="G662" t="n">
        <v>6</v>
      </c>
      <c r="H662" t="n">
        <v>0</v>
      </c>
      <c r="I662" t="n">
        <v>0</v>
      </c>
      <c r="J662" t="n">
        <v>0</v>
      </c>
      <c r="K662" t="n">
        <v>0</v>
      </c>
      <c r="L662" t="n">
        <v>0</v>
      </c>
      <c r="M662" t="n">
        <v>0</v>
      </c>
      <c r="N662" t="n">
        <v>0</v>
      </c>
      <c r="O662" t="n">
        <v>0</v>
      </c>
      <c r="P662" t="n">
        <v>0</v>
      </c>
      <c r="Q662" t="n">
        <v>0</v>
      </c>
      <c r="R662" s="2" t="inlineStr"/>
    </row>
    <row r="663" ht="15" customHeight="1">
      <c r="A663" t="inlineStr">
        <is>
          <t>A 48856-2024</t>
        </is>
      </c>
      <c r="B663" s="1" t="n">
        <v>45593</v>
      </c>
      <c r="C663" s="1" t="n">
        <v>45885</v>
      </c>
      <c r="D663" t="inlineStr">
        <is>
          <t>UPPSALA LÄN</t>
        </is>
      </c>
      <c r="E663" t="inlineStr">
        <is>
          <t>ÖSTHAMMAR</t>
        </is>
      </c>
      <c r="G663" t="n">
        <v>1.5</v>
      </c>
      <c r="H663" t="n">
        <v>0</v>
      </c>
      <c r="I663" t="n">
        <v>0</v>
      </c>
      <c r="J663" t="n">
        <v>0</v>
      </c>
      <c r="K663" t="n">
        <v>0</v>
      </c>
      <c r="L663" t="n">
        <v>0</v>
      </c>
      <c r="M663" t="n">
        <v>0</v>
      </c>
      <c r="N663" t="n">
        <v>0</v>
      </c>
      <c r="O663" t="n">
        <v>0</v>
      </c>
      <c r="P663" t="n">
        <v>0</v>
      </c>
      <c r="Q663" t="n">
        <v>0</v>
      </c>
      <c r="R663" s="2" t="inlineStr"/>
    </row>
    <row r="664" ht="15" customHeight="1">
      <c r="A664" t="inlineStr">
        <is>
          <t>A 17947-2022</t>
        </is>
      </c>
      <c r="B664" s="1" t="n">
        <v>44683</v>
      </c>
      <c r="C664" s="1" t="n">
        <v>45885</v>
      </c>
      <c r="D664" t="inlineStr">
        <is>
          <t>UPPSALA LÄN</t>
        </is>
      </c>
      <c r="E664" t="inlineStr">
        <is>
          <t>ÖSTHAMMAR</t>
        </is>
      </c>
      <c r="G664" t="n">
        <v>5.5</v>
      </c>
      <c r="H664" t="n">
        <v>0</v>
      </c>
      <c r="I664" t="n">
        <v>0</v>
      </c>
      <c r="J664" t="n">
        <v>0</v>
      </c>
      <c r="K664" t="n">
        <v>0</v>
      </c>
      <c r="L664" t="n">
        <v>0</v>
      </c>
      <c r="M664" t="n">
        <v>0</v>
      </c>
      <c r="N664" t="n">
        <v>0</v>
      </c>
      <c r="O664" t="n">
        <v>0</v>
      </c>
      <c r="P664" t="n">
        <v>0</v>
      </c>
      <c r="Q664" t="n">
        <v>0</v>
      </c>
      <c r="R664" s="2" t="inlineStr"/>
    </row>
    <row r="665" ht="15" customHeight="1">
      <c r="A665" t="inlineStr">
        <is>
          <t>A 21862-2023</t>
        </is>
      </c>
      <c r="B665" s="1" t="n">
        <v>45068</v>
      </c>
      <c r="C665" s="1" t="n">
        <v>45885</v>
      </c>
      <c r="D665" t="inlineStr">
        <is>
          <t>UPPSALA LÄN</t>
        </is>
      </c>
      <c r="E665" t="inlineStr">
        <is>
          <t>ÖSTHAMMAR</t>
        </is>
      </c>
      <c r="G665" t="n">
        <v>0.5</v>
      </c>
      <c r="H665" t="n">
        <v>0</v>
      </c>
      <c r="I665" t="n">
        <v>0</v>
      </c>
      <c r="J665" t="n">
        <v>0</v>
      </c>
      <c r="K665" t="n">
        <v>0</v>
      </c>
      <c r="L665" t="n">
        <v>0</v>
      </c>
      <c r="M665" t="n">
        <v>0</v>
      </c>
      <c r="N665" t="n">
        <v>0</v>
      </c>
      <c r="O665" t="n">
        <v>0</v>
      </c>
      <c r="P665" t="n">
        <v>0</v>
      </c>
      <c r="Q665" t="n">
        <v>0</v>
      </c>
      <c r="R665" s="2" t="inlineStr"/>
    </row>
    <row r="666" ht="15" customHeight="1">
      <c r="A666" t="inlineStr">
        <is>
          <t>A 58324-2023</t>
        </is>
      </c>
      <c r="B666" s="1" t="n">
        <v>45250.58635416667</v>
      </c>
      <c r="C666" s="1" t="n">
        <v>45885</v>
      </c>
      <c r="D666" t="inlineStr">
        <is>
          <t>UPPSALA LÄN</t>
        </is>
      </c>
      <c r="E666" t="inlineStr">
        <is>
          <t>ÖSTHAMMAR</t>
        </is>
      </c>
      <c r="G666" t="n">
        <v>5.1</v>
      </c>
      <c r="H666" t="n">
        <v>0</v>
      </c>
      <c r="I666" t="n">
        <v>0</v>
      </c>
      <c r="J666" t="n">
        <v>0</v>
      </c>
      <c r="K666" t="n">
        <v>0</v>
      </c>
      <c r="L666" t="n">
        <v>0</v>
      </c>
      <c r="M666" t="n">
        <v>0</v>
      </c>
      <c r="N666" t="n">
        <v>0</v>
      </c>
      <c r="O666" t="n">
        <v>0</v>
      </c>
      <c r="P666" t="n">
        <v>0</v>
      </c>
      <c r="Q666" t="n">
        <v>0</v>
      </c>
      <c r="R666" s="2" t="inlineStr"/>
    </row>
    <row r="667" ht="15" customHeight="1">
      <c r="A667" t="inlineStr">
        <is>
          <t>A 12654-2025</t>
        </is>
      </c>
      <c r="B667" s="1" t="n">
        <v>45733.41601851852</v>
      </c>
      <c r="C667" s="1" t="n">
        <v>45885</v>
      </c>
      <c r="D667" t="inlineStr">
        <is>
          <t>UPPSALA LÄN</t>
        </is>
      </c>
      <c r="E667" t="inlineStr">
        <is>
          <t>ÖSTHAMMAR</t>
        </is>
      </c>
      <c r="G667" t="n">
        <v>9.9</v>
      </c>
      <c r="H667" t="n">
        <v>0</v>
      </c>
      <c r="I667" t="n">
        <v>0</v>
      </c>
      <c r="J667" t="n">
        <v>0</v>
      </c>
      <c r="K667" t="n">
        <v>0</v>
      </c>
      <c r="L667" t="n">
        <v>0</v>
      </c>
      <c r="M667" t="n">
        <v>0</v>
      </c>
      <c r="N667" t="n">
        <v>0</v>
      </c>
      <c r="O667" t="n">
        <v>0</v>
      </c>
      <c r="P667" t="n">
        <v>0</v>
      </c>
      <c r="Q667" t="n">
        <v>0</v>
      </c>
      <c r="R667" s="2" t="inlineStr"/>
    </row>
    <row r="668" ht="15" customHeight="1">
      <c r="A668" t="inlineStr">
        <is>
          <t>A 27308-2023</t>
        </is>
      </c>
      <c r="B668" s="1" t="n">
        <v>45096.65381944444</v>
      </c>
      <c r="C668" s="1" t="n">
        <v>45885</v>
      </c>
      <c r="D668" t="inlineStr">
        <is>
          <t>UPPSALA LÄN</t>
        </is>
      </c>
      <c r="E668" t="inlineStr">
        <is>
          <t>ÖSTHAMMAR</t>
        </is>
      </c>
      <c r="F668" t="inlineStr">
        <is>
          <t>Bergvik skog öst AB</t>
        </is>
      </c>
      <c r="G668" t="n">
        <v>2.4</v>
      </c>
      <c r="H668" t="n">
        <v>0</v>
      </c>
      <c r="I668" t="n">
        <v>0</v>
      </c>
      <c r="J668" t="n">
        <v>0</v>
      </c>
      <c r="K668" t="n">
        <v>0</v>
      </c>
      <c r="L668" t="n">
        <v>0</v>
      </c>
      <c r="M668" t="n">
        <v>0</v>
      </c>
      <c r="N668" t="n">
        <v>0</v>
      </c>
      <c r="O668" t="n">
        <v>0</v>
      </c>
      <c r="P668" t="n">
        <v>0</v>
      </c>
      <c r="Q668" t="n">
        <v>0</v>
      </c>
      <c r="R668" s="2" t="inlineStr"/>
    </row>
    <row r="669" ht="15" customHeight="1">
      <c r="A669" t="inlineStr">
        <is>
          <t>A 28420-2023</t>
        </is>
      </c>
      <c r="B669" s="1" t="n">
        <v>45102.33054398148</v>
      </c>
      <c r="C669" s="1" t="n">
        <v>45885</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69411-2021</t>
        </is>
      </c>
      <c r="B670" s="1" t="n">
        <v>44531.61038194445</v>
      </c>
      <c r="C670" s="1" t="n">
        <v>45885</v>
      </c>
      <c r="D670" t="inlineStr">
        <is>
          <t>UPPSALA LÄN</t>
        </is>
      </c>
      <c r="E670" t="inlineStr">
        <is>
          <t>ÖSTHAMMAR</t>
        </is>
      </c>
      <c r="F670" t="inlineStr">
        <is>
          <t>Bergvik skog öst AB</t>
        </is>
      </c>
      <c r="G670" t="n">
        <v>1.1</v>
      </c>
      <c r="H670" t="n">
        <v>0</v>
      </c>
      <c r="I670" t="n">
        <v>0</v>
      </c>
      <c r="J670" t="n">
        <v>0</v>
      </c>
      <c r="K670" t="n">
        <v>0</v>
      </c>
      <c r="L670" t="n">
        <v>0</v>
      </c>
      <c r="M670" t="n">
        <v>0</v>
      </c>
      <c r="N670" t="n">
        <v>0</v>
      </c>
      <c r="O670" t="n">
        <v>0</v>
      </c>
      <c r="P670" t="n">
        <v>0</v>
      </c>
      <c r="Q670" t="n">
        <v>0</v>
      </c>
      <c r="R670" s="2" t="inlineStr"/>
    </row>
    <row r="671" ht="15" customHeight="1">
      <c r="A671" t="inlineStr">
        <is>
          <t>A 40547-2023</t>
        </is>
      </c>
      <c r="B671" s="1" t="n">
        <v>45170.45050925926</v>
      </c>
      <c r="C671" s="1" t="n">
        <v>45885</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10449-2023</t>
        </is>
      </c>
      <c r="B672" s="1" t="n">
        <v>44987</v>
      </c>
      <c r="C672" s="1" t="n">
        <v>45885</v>
      </c>
      <c r="D672" t="inlineStr">
        <is>
          <t>UPPSALA LÄN</t>
        </is>
      </c>
      <c r="E672" t="inlineStr">
        <is>
          <t>ÖSTHAMMAR</t>
        </is>
      </c>
      <c r="G672" t="n">
        <v>3.1</v>
      </c>
      <c r="H672" t="n">
        <v>0</v>
      </c>
      <c r="I672" t="n">
        <v>0</v>
      </c>
      <c r="J672" t="n">
        <v>0</v>
      </c>
      <c r="K672" t="n">
        <v>0</v>
      </c>
      <c r="L672" t="n">
        <v>0</v>
      </c>
      <c r="M672" t="n">
        <v>0</v>
      </c>
      <c r="N672" t="n">
        <v>0</v>
      </c>
      <c r="O672" t="n">
        <v>0</v>
      </c>
      <c r="P672" t="n">
        <v>0</v>
      </c>
      <c r="Q672" t="n">
        <v>0</v>
      </c>
      <c r="R672" s="2" t="inlineStr"/>
    </row>
    <row r="673" ht="15" customHeight="1">
      <c r="A673" t="inlineStr">
        <is>
          <t>A 31035-2022</t>
        </is>
      </c>
      <c r="B673" s="1" t="n">
        <v>44768.88685185185</v>
      </c>
      <c r="C673" s="1" t="n">
        <v>45885</v>
      </c>
      <c r="D673" t="inlineStr">
        <is>
          <t>UPPSALA LÄN</t>
        </is>
      </c>
      <c r="E673" t="inlineStr">
        <is>
          <t>ÖSTHAMMAR</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49831-2023</t>
        </is>
      </c>
      <c r="B674" s="1" t="n">
        <v>45212.71241898148</v>
      </c>
      <c r="C674" s="1" t="n">
        <v>45885</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49899-2023</t>
        </is>
      </c>
      <c r="B675" s="1" t="n">
        <v>45213</v>
      </c>
      <c r="C675" s="1" t="n">
        <v>45885</v>
      </c>
      <c r="D675" t="inlineStr">
        <is>
          <t>UPPSALA LÄN</t>
        </is>
      </c>
      <c r="E675" t="inlineStr">
        <is>
          <t>ÖSTHAMMAR</t>
        </is>
      </c>
      <c r="G675" t="n">
        <v>6.2</v>
      </c>
      <c r="H675" t="n">
        <v>0</v>
      </c>
      <c r="I675" t="n">
        <v>0</v>
      </c>
      <c r="J675" t="n">
        <v>0</v>
      </c>
      <c r="K675" t="n">
        <v>0</v>
      </c>
      <c r="L675" t="n">
        <v>0</v>
      </c>
      <c r="M675" t="n">
        <v>0</v>
      </c>
      <c r="N675" t="n">
        <v>0</v>
      </c>
      <c r="O675" t="n">
        <v>0</v>
      </c>
      <c r="P675" t="n">
        <v>0</v>
      </c>
      <c r="Q675" t="n">
        <v>0</v>
      </c>
      <c r="R675" s="2" t="inlineStr"/>
    </row>
    <row r="676" ht="15" customHeight="1">
      <c r="A676" t="inlineStr">
        <is>
          <t>A 17939-2025</t>
        </is>
      </c>
      <c r="B676" s="1" t="n">
        <v>45760.55671296296</v>
      </c>
      <c r="C676" s="1" t="n">
        <v>45885</v>
      </c>
      <c r="D676" t="inlineStr">
        <is>
          <t>UPPSALA LÄN</t>
        </is>
      </c>
      <c r="E676" t="inlineStr">
        <is>
          <t>ÖSTHAMMAR</t>
        </is>
      </c>
      <c r="F676" t="inlineStr">
        <is>
          <t>Bergvik skog öst AB</t>
        </is>
      </c>
      <c r="G676" t="n">
        <v>5.4</v>
      </c>
      <c r="H676" t="n">
        <v>0</v>
      </c>
      <c r="I676" t="n">
        <v>0</v>
      </c>
      <c r="J676" t="n">
        <v>0</v>
      </c>
      <c r="K676" t="n">
        <v>0</v>
      </c>
      <c r="L676" t="n">
        <v>0</v>
      </c>
      <c r="M676" t="n">
        <v>0</v>
      </c>
      <c r="N676" t="n">
        <v>0</v>
      </c>
      <c r="O676" t="n">
        <v>0</v>
      </c>
      <c r="P676" t="n">
        <v>0</v>
      </c>
      <c r="Q676" t="n">
        <v>0</v>
      </c>
      <c r="R676" s="2" t="inlineStr"/>
    </row>
    <row r="677" ht="15" customHeight="1">
      <c r="A677" t="inlineStr">
        <is>
          <t>A 17940-2025</t>
        </is>
      </c>
      <c r="B677" s="1" t="n">
        <v>45760.55842592593</v>
      </c>
      <c r="C677" s="1" t="n">
        <v>45885</v>
      </c>
      <c r="D677" t="inlineStr">
        <is>
          <t>UPPSALA LÄN</t>
        </is>
      </c>
      <c r="E677" t="inlineStr">
        <is>
          <t>ÖSTHAMMAR</t>
        </is>
      </c>
      <c r="F677" t="inlineStr">
        <is>
          <t>Bergvik skog öst AB</t>
        </is>
      </c>
      <c r="G677" t="n">
        <v>5.6</v>
      </c>
      <c r="H677" t="n">
        <v>0</v>
      </c>
      <c r="I677" t="n">
        <v>0</v>
      </c>
      <c r="J677" t="n">
        <v>0</v>
      </c>
      <c r="K677" t="n">
        <v>0</v>
      </c>
      <c r="L677" t="n">
        <v>0</v>
      </c>
      <c r="M677" t="n">
        <v>0</v>
      </c>
      <c r="N677" t="n">
        <v>0</v>
      </c>
      <c r="O677" t="n">
        <v>0</v>
      </c>
      <c r="P677" t="n">
        <v>0</v>
      </c>
      <c r="Q677" t="n">
        <v>0</v>
      </c>
      <c r="R677" s="2" t="inlineStr"/>
    </row>
    <row r="678" ht="15" customHeight="1">
      <c r="A678" t="inlineStr">
        <is>
          <t>A 43197-2024</t>
        </is>
      </c>
      <c r="B678" s="1" t="n">
        <v>45567.68208333333</v>
      </c>
      <c r="C678" s="1" t="n">
        <v>45885</v>
      </c>
      <c r="D678" t="inlineStr">
        <is>
          <t>UPPSALA LÄN</t>
        </is>
      </c>
      <c r="E678" t="inlineStr">
        <is>
          <t>ÖSTHAMMAR</t>
        </is>
      </c>
      <c r="G678" t="n">
        <v>2.5</v>
      </c>
      <c r="H678" t="n">
        <v>0</v>
      </c>
      <c r="I678" t="n">
        <v>0</v>
      </c>
      <c r="J678" t="n">
        <v>0</v>
      </c>
      <c r="K678" t="n">
        <v>0</v>
      </c>
      <c r="L678" t="n">
        <v>0</v>
      </c>
      <c r="M678" t="n">
        <v>0</v>
      </c>
      <c r="N678" t="n">
        <v>0</v>
      </c>
      <c r="O678" t="n">
        <v>0</v>
      </c>
      <c r="P678" t="n">
        <v>0</v>
      </c>
      <c r="Q678" t="n">
        <v>0</v>
      </c>
      <c r="R678" s="2" t="inlineStr"/>
    </row>
    <row r="679" ht="15" customHeight="1">
      <c r="A679" t="inlineStr">
        <is>
          <t>A 5855-2022</t>
        </is>
      </c>
      <c r="B679" s="1" t="n">
        <v>44596.63290509259</v>
      </c>
      <c r="C679" s="1" t="n">
        <v>45885</v>
      </c>
      <c r="D679" t="inlineStr">
        <is>
          <t>UPPSALA LÄN</t>
        </is>
      </c>
      <c r="E679" t="inlineStr">
        <is>
          <t>ÖSTHAMMAR</t>
        </is>
      </c>
      <c r="G679" t="n">
        <v>0.9</v>
      </c>
      <c r="H679" t="n">
        <v>0</v>
      </c>
      <c r="I679" t="n">
        <v>0</v>
      </c>
      <c r="J679" t="n">
        <v>0</v>
      </c>
      <c r="K679" t="n">
        <v>0</v>
      </c>
      <c r="L679" t="n">
        <v>0</v>
      </c>
      <c r="M679" t="n">
        <v>0</v>
      </c>
      <c r="N679" t="n">
        <v>0</v>
      </c>
      <c r="O679" t="n">
        <v>0</v>
      </c>
      <c r="P679" t="n">
        <v>0</v>
      </c>
      <c r="Q679" t="n">
        <v>0</v>
      </c>
      <c r="R679" s="2" t="inlineStr"/>
    </row>
    <row r="680" ht="15" customHeight="1">
      <c r="A680" t="inlineStr">
        <is>
          <t>A 54366-2023</t>
        </is>
      </c>
      <c r="B680" s="1" t="n">
        <v>45233</v>
      </c>
      <c r="C680" s="1" t="n">
        <v>45885</v>
      </c>
      <c r="D680" t="inlineStr">
        <is>
          <t>UPPSALA LÄN</t>
        </is>
      </c>
      <c r="E680" t="inlineStr">
        <is>
          <t>ÖSTHAMMAR</t>
        </is>
      </c>
      <c r="F680" t="inlineStr">
        <is>
          <t>Bergvik skog öst AB</t>
        </is>
      </c>
      <c r="G680" t="n">
        <v>2.9</v>
      </c>
      <c r="H680" t="n">
        <v>0</v>
      </c>
      <c r="I680" t="n">
        <v>0</v>
      </c>
      <c r="J680" t="n">
        <v>0</v>
      </c>
      <c r="K680" t="n">
        <v>0</v>
      </c>
      <c r="L680" t="n">
        <v>0</v>
      </c>
      <c r="M680" t="n">
        <v>0</v>
      </c>
      <c r="N680" t="n">
        <v>0</v>
      </c>
      <c r="O680" t="n">
        <v>0</v>
      </c>
      <c r="P680" t="n">
        <v>0</v>
      </c>
      <c r="Q680" t="n">
        <v>0</v>
      </c>
      <c r="R680" s="2" t="inlineStr"/>
    </row>
    <row r="681" ht="15" customHeight="1">
      <c r="A681" t="inlineStr">
        <is>
          <t>A 17324-2025</t>
        </is>
      </c>
      <c r="B681" s="1" t="n">
        <v>45756.6362037037</v>
      </c>
      <c r="C681" s="1" t="n">
        <v>45885</v>
      </c>
      <c r="D681" t="inlineStr">
        <is>
          <t>UPPSALA LÄN</t>
        </is>
      </c>
      <c r="E681" t="inlineStr">
        <is>
          <t>ÖSTHAMMAR</t>
        </is>
      </c>
      <c r="G681" t="n">
        <v>1.7</v>
      </c>
      <c r="H681" t="n">
        <v>0</v>
      </c>
      <c r="I681" t="n">
        <v>0</v>
      </c>
      <c r="J681" t="n">
        <v>0</v>
      </c>
      <c r="K681" t="n">
        <v>0</v>
      </c>
      <c r="L681" t="n">
        <v>0</v>
      </c>
      <c r="M681" t="n">
        <v>0</v>
      </c>
      <c r="N681" t="n">
        <v>0</v>
      </c>
      <c r="O681" t="n">
        <v>0</v>
      </c>
      <c r="P681" t="n">
        <v>0</v>
      </c>
      <c r="Q681" t="n">
        <v>0</v>
      </c>
      <c r="R681" s="2" t="inlineStr"/>
    </row>
    <row r="682" ht="15" customHeight="1">
      <c r="A682" t="inlineStr">
        <is>
          <t>A 17643-2025</t>
        </is>
      </c>
      <c r="B682" s="1" t="n">
        <v>45758.32454861111</v>
      </c>
      <c r="C682" s="1" t="n">
        <v>45885</v>
      </c>
      <c r="D682" t="inlineStr">
        <is>
          <t>UPPSALA LÄN</t>
        </is>
      </c>
      <c r="E682" t="inlineStr">
        <is>
          <t>ÖSTHAMMAR</t>
        </is>
      </c>
      <c r="F682" t="inlineStr">
        <is>
          <t>Bergvik skog väst AB</t>
        </is>
      </c>
      <c r="G682" t="n">
        <v>2.6</v>
      </c>
      <c r="H682" t="n">
        <v>0</v>
      </c>
      <c r="I682" t="n">
        <v>0</v>
      </c>
      <c r="J682" t="n">
        <v>0</v>
      </c>
      <c r="K682" t="n">
        <v>0</v>
      </c>
      <c r="L682" t="n">
        <v>0</v>
      </c>
      <c r="M682" t="n">
        <v>0</v>
      </c>
      <c r="N682" t="n">
        <v>0</v>
      </c>
      <c r="O682" t="n">
        <v>0</v>
      </c>
      <c r="P682" t="n">
        <v>0</v>
      </c>
      <c r="Q682" t="n">
        <v>0</v>
      </c>
      <c r="R682" s="2" t="inlineStr"/>
    </row>
    <row r="683" ht="15" customHeight="1">
      <c r="A683" t="inlineStr">
        <is>
          <t>A 13248-2025</t>
        </is>
      </c>
      <c r="B683" s="1" t="n">
        <v>45735</v>
      </c>
      <c r="C683" s="1" t="n">
        <v>45885</v>
      </c>
      <c r="D683" t="inlineStr">
        <is>
          <t>UPPSALA LÄN</t>
        </is>
      </c>
      <c r="E683" t="inlineStr">
        <is>
          <t>ÖSTHAMMAR</t>
        </is>
      </c>
      <c r="F683" t="inlineStr">
        <is>
          <t>Kyrkan</t>
        </is>
      </c>
      <c r="G683" t="n">
        <v>12.2</v>
      </c>
      <c r="H683" t="n">
        <v>0</v>
      </c>
      <c r="I683" t="n">
        <v>0</v>
      </c>
      <c r="J683" t="n">
        <v>0</v>
      </c>
      <c r="K683" t="n">
        <v>0</v>
      </c>
      <c r="L683" t="n">
        <v>0</v>
      </c>
      <c r="M683" t="n">
        <v>0</v>
      </c>
      <c r="N683" t="n">
        <v>0</v>
      </c>
      <c r="O683" t="n">
        <v>0</v>
      </c>
      <c r="P683" t="n">
        <v>0</v>
      </c>
      <c r="Q683" t="n">
        <v>0</v>
      </c>
      <c r="R683" s="2" t="inlineStr"/>
    </row>
    <row r="684" ht="15" customHeight="1">
      <c r="A684" t="inlineStr">
        <is>
          <t>A 22798-2023</t>
        </is>
      </c>
      <c r="B684" s="1" t="n">
        <v>45072</v>
      </c>
      <c r="C684" s="1" t="n">
        <v>45885</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51364-2021</t>
        </is>
      </c>
      <c r="B685" s="1" t="n">
        <v>44461</v>
      </c>
      <c r="C685" s="1" t="n">
        <v>45885</v>
      </c>
      <c r="D685" t="inlineStr">
        <is>
          <t>UPPSALA LÄN</t>
        </is>
      </c>
      <c r="E685" t="inlineStr">
        <is>
          <t>ÖSTHAMMAR</t>
        </is>
      </c>
      <c r="G685" t="n">
        <v>2.4</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44991.62203703704</v>
      </c>
      <c r="C686" s="1" t="n">
        <v>45885</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50927-2024</t>
        </is>
      </c>
      <c r="B687" s="1" t="n">
        <v>45602</v>
      </c>
      <c r="C687" s="1" t="n">
        <v>45885</v>
      </c>
      <c r="D687" t="inlineStr">
        <is>
          <t>UPPSALA LÄN</t>
        </is>
      </c>
      <c r="E687" t="inlineStr">
        <is>
          <t>ÖSTHAMMAR</t>
        </is>
      </c>
      <c r="F687" t="inlineStr">
        <is>
          <t>Bergvik skog öst AB</t>
        </is>
      </c>
      <c r="G687" t="n">
        <v>45.4</v>
      </c>
      <c r="H687" t="n">
        <v>0</v>
      </c>
      <c r="I687" t="n">
        <v>0</v>
      </c>
      <c r="J687" t="n">
        <v>0</v>
      </c>
      <c r="K687" t="n">
        <v>0</v>
      </c>
      <c r="L687" t="n">
        <v>0</v>
      </c>
      <c r="M687" t="n">
        <v>0</v>
      </c>
      <c r="N687" t="n">
        <v>0</v>
      </c>
      <c r="O687" t="n">
        <v>0</v>
      </c>
      <c r="P687" t="n">
        <v>0</v>
      </c>
      <c r="Q687" t="n">
        <v>0</v>
      </c>
      <c r="R687" s="2" t="inlineStr"/>
    </row>
    <row r="688" ht="15" customHeight="1">
      <c r="A688" t="inlineStr">
        <is>
          <t>A 40637-2022</t>
        </is>
      </c>
      <c r="B688" s="1" t="n">
        <v>44824</v>
      </c>
      <c r="C688" s="1" t="n">
        <v>45885</v>
      </c>
      <c r="D688" t="inlineStr">
        <is>
          <t>UPPSALA LÄN</t>
        </is>
      </c>
      <c r="E688" t="inlineStr">
        <is>
          <t>ÖSTHAMMAR</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6046-2025</t>
        </is>
      </c>
      <c r="B689" s="1" t="n">
        <v>45695</v>
      </c>
      <c r="C689" s="1" t="n">
        <v>45885</v>
      </c>
      <c r="D689" t="inlineStr">
        <is>
          <t>UPPSALA LÄN</t>
        </is>
      </c>
      <c r="E689" t="inlineStr">
        <is>
          <t>ÖSTHAMMAR</t>
        </is>
      </c>
      <c r="G689" t="n">
        <v>0.8</v>
      </c>
      <c r="H689" t="n">
        <v>0</v>
      </c>
      <c r="I689" t="n">
        <v>0</v>
      </c>
      <c r="J689" t="n">
        <v>0</v>
      </c>
      <c r="K689" t="n">
        <v>0</v>
      </c>
      <c r="L689" t="n">
        <v>0</v>
      </c>
      <c r="M689" t="n">
        <v>0</v>
      </c>
      <c r="N689" t="n">
        <v>0</v>
      </c>
      <c r="O689" t="n">
        <v>0</v>
      </c>
      <c r="P689" t="n">
        <v>0</v>
      </c>
      <c r="Q689" t="n">
        <v>0</v>
      </c>
      <c r="R689" s="2" t="inlineStr"/>
      <c r="U689">
        <f>HYPERLINK("https://klasma.github.io/Logging_0382/knärot/A 6046-2025 karta knärot.png", "A 6046-2025")</f>
        <v/>
      </c>
      <c r="V689">
        <f>HYPERLINK("https://klasma.github.io/Logging_0382/klagomål/A 6046-2025 FSC-klagomål.docx", "A 6046-2025")</f>
        <v/>
      </c>
      <c r="W689">
        <f>HYPERLINK("https://klasma.github.io/Logging_0382/klagomålsmail/A 6046-2025 FSC-klagomål mail.docx", "A 6046-2025")</f>
        <v/>
      </c>
      <c r="X689">
        <f>HYPERLINK("https://klasma.github.io/Logging_0382/tillsyn/A 6046-2025 tillsynsbegäran.docx", "A 6046-2025")</f>
        <v/>
      </c>
      <c r="Y689">
        <f>HYPERLINK("https://klasma.github.io/Logging_0382/tillsynsmail/A 6046-2025 tillsynsbegäran mail.docx", "A 6046-2025")</f>
        <v/>
      </c>
    </row>
    <row r="690" ht="15" customHeight="1">
      <c r="A690" t="inlineStr">
        <is>
          <t>A 21624-2023</t>
        </is>
      </c>
      <c r="B690" s="1" t="n">
        <v>45063.65543981481</v>
      </c>
      <c r="C690" s="1" t="n">
        <v>45885</v>
      </c>
      <c r="D690" t="inlineStr">
        <is>
          <t>UPPSALA LÄN</t>
        </is>
      </c>
      <c r="E690" t="inlineStr">
        <is>
          <t>ÖSTHAMMAR</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6120-2024</t>
        </is>
      </c>
      <c r="B691" s="1" t="n">
        <v>45337.41784722222</v>
      </c>
      <c r="C691" s="1" t="n">
        <v>45885</v>
      </c>
      <c r="D691" t="inlineStr">
        <is>
          <t>UPPSALA LÄN</t>
        </is>
      </c>
      <c r="E691" t="inlineStr">
        <is>
          <t>ÖSTHAMMAR</t>
        </is>
      </c>
      <c r="G691" t="n">
        <v>0.7</v>
      </c>
      <c r="H691" t="n">
        <v>0</v>
      </c>
      <c r="I691" t="n">
        <v>0</v>
      </c>
      <c r="J691" t="n">
        <v>0</v>
      </c>
      <c r="K691" t="n">
        <v>0</v>
      </c>
      <c r="L691" t="n">
        <v>0</v>
      </c>
      <c r="M691" t="n">
        <v>0</v>
      </c>
      <c r="N691" t="n">
        <v>0</v>
      </c>
      <c r="O691" t="n">
        <v>0</v>
      </c>
      <c r="P691" t="n">
        <v>0</v>
      </c>
      <c r="Q691" t="n">
        <v>0</v>
      </c>
      <c r="R691" s="2" t="inlineStr"/>
    </row>
    <row r="692" ht="15" customHeight="1">
      <c r="A692" t="inlineStr">
        <is>
          <t>A 61062-2023</t>
        </is>
      </c>
      <c r="B692" s="1" t="n">
        <v>45259</v>
      </c>
      <c r="C692" s="1" t="n">
        <v>45885</v>
      </c>
      <c r="D692" t="inlineStr">
        <is>
          <t>UPPSALA LÄN</t>
        </is>
      </c>
      <c r="E692" t="inlineStr">
        <is>
          <t>ÖSTHAMMAR</t>
        </is>
      </c>
      <c r="G692" t="n">
        <v>5.3</v>
      </c>
      <c r="H692" t="n">
        <v>0</v>
      </c>
      <c r="I692" t="n">
        <v>0</v>
      </c>
      <c r="J692" t="n">
        <v>0</v>
      </c>
      <c r="K692" t="n">
        <v>0</v>
      </c>
      <c r="L692" t="n">
        <v>0</v>
      </c>
      <c r="M692" t="n">
        <v>0</v>
      </c>
      <c r="N692" t="n">
        <v>0</v>
      </c>
      <c r="O692" t="n">
        <v>0</v>
      </c>
      <c r="P692" t="n">
        <v>0</v>
      </c>
      <c r="Q692" t="n">
        <v>0</v>
      </c>
      <c r="R692" s="2" t="inlineStr"/>
    </row>
    <row r="693" ht="15" customHeight="1">
      <c r="A693" t="inlineStr">
        <is>
          <t>A 17925-2025</t>
        </is>
      </c>
      <c r="B693" s="1" t="n">
        <v>45759.36135416666</v>
      </c>
      <c r="C693" s="1" t="n">
        <v>45885</v>
      </c>
      <c r="D693" t="inlineStr">
        <is>
          <t>UPPSALA LÄN</t>
        </is>
      </c>
      <c r="E693" t="inlineStr">
        <is>
          <t>ÖSTHAMMAR</t>
        </is>
      </c>
      <c r="F693" t="inlineStr">
        <is>
          <t>Bergvik skog öst AB</t>
        </is>
      </c>
      <c r="G693" t="n">
        <v>4.2</v>
      </c>
      <c r="H693" t="n">
        <v>0</v>
      </c>
      <c r="I693" t="n">
        <v>0</v>
      </c>
      <c r="J693" t="n">
        <v>0</v>
      </c>
      <c r="K693" t="n">
        <v>0</v>
      </c>
      <c r="L693" t="n">
        <v>0</v>
      </c>
      <c r="M693" t="n">
        <v>0</v>
      </c>
      <c r="N693" t="n">
        <v>0</v>
      </c>
      <c r="O693" t="n">
        <v>0</v>
      </c>
      <c r="P693" t="n">
        <v>0</v>
      </c>
      <c r="Q693" t="n">
        <v>0</v>
      </c>
      <c r="R693" s="2" t="inlineStr"/>
    </row>
    <row r="694" ht="15" customHeight="1">
      <c r="A694" t="inlineStr">
        <is>
          <t>A 21478-2023</t>
        </is>
      </c>
      <c r="B694" s="1" t="n">
        <v>45063.47773148148</v>
      </c>
      <c r="C694" s="1" t="n">
        <v>45885</v>
      </c>
      <c r="D694" t="inlineStr">
        <is>
          <t>UPPSALA LÄN</t>
        </is>
      </c>
      <c r="E694" t="inlineStr">
        <is>
          <t>ÖSTHAMMAR</t>
        </is>
      </c>
      <c r="G694" t="n">
        <v>0.4</v>
      </c>
      <c r="H694" t="n">
        <v>0</v>
      </c>
      <c r="I694" t="n">
        <v>0</v>
      </c>
      <c r="J694" t="n">
        <v>0</v>
      </c>
      <c r="K694" t="n">
        <v>0</v>
      </c>
      <c r="L694" t="n">
        <v>0</v>
      </c>
      <c r="M694" t="n">
        <v>0</v>
      </c>
      <c r="N694" t="n">
        <v>0</v>
      </c>
      <c r="O694" t="n">
        <v>0</v>
      </c>
      <c r="P694" t="n">
        <v>0</v>
      </c>
      <c r="Q694" t="n">
        <v>0</v>
      </c>
      <c r="R694" s="2" t="inlineStr"/>
    </row>
    <row r="695" ht="15" customHeight="1">
      <c r="A695" t="inlineStr">
        <is>
          <t>A 61443-2024</t>
        </is>
      </c>
      <c r="B695" s="1" t="n">
        <v>45646.47936342593</v>
      </c>
      <c r="C695" s="1" t="n">
        <v>45885</v>
      </c>
      <c r="D695" t="inlineStr">
        <is>
          <t>UPPSALA LÄN</t>
        </is>
      </c>
      <c r="E695" t="inlineStr">
        <is>
          <t>ÖSTHAMMAR</t>
        </is>
      </c>
      <c r="G695" t="n">
        <v>0.4</v>
      </c>
      <c r="H695" t="n">
        <v>0</v>
      </c>
      <c r="I695" t="n">
        <v>0</v>
      </c>
      <c r="J695" t="n">
        <v>0</v>
      </c>
      <c r="K695" t="n">
        <v>0</v>
      </c>
      <c r="L695" t="n">
        <v>0</v>
      </c>
      <c r="M695" t="n">
        <v>0</v>
      </c>
      <c r="N695" t="n">
        <v>0</v>
      </c>
      <c r="O695" t="n">
        <v>0</v>
      </c>
      <c r="P695" t="n">
        <v>0</v>
      </c>
      <c r="Q695" t="n">
        <v>0</v>
      </c>
      <c r="R695" s="2" t="inlineStr"/>
    </row>
    <row r="696" ht="15" customHeight="1">
      <c r="A696" t="inlineStr">
        <is>
          <t>A 58270-2023</t>
        </is>
      </c>
      <c r="B696" s="1" t="n">
        <v>45250.49961805555</v>
      </c>
      <c r="C696" s="1" t="n">
        <v>45885</v>
      </c>
      <c r="D696" t="inlineStr">
        <is>
          <t>UPPSALA LÄN</t>
        </is>
      </c>
      <c r="E696" t="inlineStr">
        <is>
          <t>ÖSTHAMMAR</t>
        </is>
      </c>
      <c r="G696" t="n">
        <v>1.3</v>
      </c>
      <c r="H696" t="n">
        <v>0</v>
      </c>
      <c r="I696" t="n">
        <v>0</v>
      </c>
      <c r="J696" t="n">
        <v>0</v>
      </c>
      <c r="K696" t="n">
        <v>0</v>
      </c>
      <c r="L696" t="n">
        <v>0</v>
      </c>
      <c r="M696" t="n">
        <v>0</v>
      </c>
      <c r="N696" t="n">
        <v>0</v>
      </c>
      <c r="O696" t="n">
        <v>0</v>
      </c>
      <c r="P696" t="n">
        <v>0</v>
      </c>
      <c r="Q696" t="n">
        <v>0</v>
      </c>
      <c r="R696" s="2" t="inlineStr"/>
    </row>
    <row r="697" ht="15" customHeight="1">
      <c r="A697" t="inlineStr">
        <is>
          <t>A 26612-2023</t>
        </is>
      </c>
      <c r="B697" s="1" t="n">
        <v>45089</v>
      </c>
      <c r="C697" s="1" t="n">
        <v>45885</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65361-2020</t>
        </is>
      </c>
      <c r="B698" s="1" t="n">
        <v>44173</v>
      </c>
      <c r="C698" s="1" t="n">
        <v>45885</v>
      </c>
      <c r="D698" t="inlineStr">
        <is>
          <t>UPPSALA LÄN</t>
        </is>
      </c>
      <c r="E698" t="inlineStr">
        <is>
          <t>ÖSTHAMMAR</t>
        </is>
      </c>
      <c r="G698" t="n">
        <v>3.6</v>
      </c>
      <c r="H698" t="n">
        <v>0</v>
      </c>
      <c r="I698" t="n">
        <v>0</v>
      </c>
      <c r="J698" t="n">
        <v>0</v>
      </c>
      <c r="K698" t="n">
        <v>0</v>
      </c>
      <c r="L698" t="n">
        <v>0</v>
      </c>
      <c r="M698" t="n">
        <v>0</v>
      </c>
      <c r="N698" t="n">
        <v>0</v>
      </c>
      <c r="O698" t="n">
        <v>0</v>
      </c>
      <c r="P698" t="n">
        <v>0</v>
      </c>
      <c r="Q698" t="n">
        <v>0</v>
      </c>
      <c r="R698" s="2" t="inlineStr"/>
    </row>
    <row r="699" ht="15" customHeight="1">
      <c r="A699" t="inlineStr">
        <is>
          <t>A 14269-2025</t>
        </is>
      </c>
      <c r="B699" s="1" t="n">
        <v>45740.64078703704</v>
      </c>
      <c r="C699" s="1" t="n">
        <v>45885</v>
      </c>
      <c r="D699" t="inlineStr">
        <is>
          <t>UPPSALA LÄN</t>
        </is>
      </c>
      <c r="E699" t="inlineStr">
        <is>
          <t>ÖSTHAMMAR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22804-2022</t>
        </is>
      </c>
      <c r="B700" s="1" t="n">
        <v>44715</v>
      </c>
      <c r="C700" s="1" t="n">
        <v>45885</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18088-2025</t>
        </is>
      </c>
      <c r="B701" s="1" t="n">
        <v>45761.53104166667</v>
      </c>
      <c r="C701" s="1" t="n">
        <v>45885</v>
      </c>
      <c r="D701" t="inlineStr">
        <is>
          <t>UPPSALA LÄN</t>
        </is>
      </c>
      <c r="E701" t="inlineStr">
        <is>
          <t>ÖSTHAMMAR</t>
        </is>
      </c>
      <c r="F701" t="inlineStr">
        <is>
          <t>Bergvik skog öst AB</t>
        </is>
      </c>
      <c r="G701" t="n">
        <v>1.9</v>
      </c>
      <c r="H701" t="n">
        <v>0</v>
      </c>
      <c r="I701" t="n">
        <v>0</v>
      </c>
      <c r="J701" t="n">
        <v>0</v>
      </c>
      <c r="K701" t="n">
        <v>0</v>
      </c>
      <c r="L701" t="n">
        <v>0</v>
      </c>
      <c r="M701" t="n">
        <v>0</v>
      </c>
      <c r="N701" t="n">
        <v>0</v>
      </c>
      <c r="O701" t="n">
        <v>0</v>
      </c>
      <c r="P701" t="n">
        <v>0</v>
      </c>
      <c r="Q701" t="n">
        <v>0</v>
      </c>
      <c r="R701" s="2" t="inlineStr"/>
    </row>
    <row r="702" ht="15" customHeight="1">
      <c r="A702" t="inlineStr">
        <is>
          <t>A 18095-2025</t>
        </is>
      </c>
      <c r="B702" s="1" t="n">
        <v>45761.54925925926</v>
      </c>
      <c r="C702" s="1" t="n">
        <v>45885</v>
      </c>
      <c r="D702" t="inlineStr">
        <is>
          <t>UPPSALA LÄN</t>
        </is>
      </c>
      <c r="E702" t="inlineStr">
        <is>
          <t>ÖSTHAMMAR</t>
        </is>
      </c>
      <c r="F702" t="inlineStr">
        <is>
          <t>Bergvik skog öst AB</t>
        </is>
      </c>
      <c r="G702" t="n">
        <v>1.4</v>
      </c>
      <c r="H702" t="n">
        <v>0</v>
      </c>
      <c r="I702" t="n">
        <v>0</v>
      </c>
      <c r="J702" t="n">
        <v>0</v>
      </c>
      <c r="K702" t="n">
        <v>0</v>
      </c>
      <c r="L702" t="n">
        <v>0</v>
      </c>
      <c r="M702" t="n">
        <v>0</v>
      </c>
      <c r="N702" t="n">
        <v>0</v>
      </c>
      <c r="O702" t="n">
        <v>0</v>
      </c>
      <c r="P702" t="n">
        <v>0</v>
      </c>
      <c r="Q702" t="n">
        <v>0</v>
      </c>
      <c r="R702" s="2" t="inlineStr"/>
    </row>
    <row r="703" ht="15" customHeight="1">
      <c r="A703" t="inlineStr">
        <is>
          <t>A 57003-2021</t>
        </is>
      </c>
      <c r="B703" s="1" t="n">
        <v>44482.47577546296</v>
      </c>
      <c r="C703" s="1" t="n">
        <v>45885</v>
      </c>
      <c r="D703" t="inlineStr">
        <is>
          <t>UPPSALA LÄN</t>
        </is>
      </c>
      <c r="E703" t="inlineStr">
        <is>
          <t>ÖSTHAMMAR</t>
        </is>
      </c>
      <c r="G703" t="n">
        <v>1.9</v>
      </c>
      <c r="H703" t="n">
        <v>0</v>
      </c>
      <c r="I703" t="n">
        <v>0</v>
      </c>
      <c r="J703" t="n">
        <v>0</v>
      </c>
      <c r="K703" t="n">
        <v>0</v>
      </c>
      <c r="L703" t="n">
        <v>0</v>
      </c>
      <c r="M703" t="n">
        <v>0</v>
      </c>
      <c r="N703" t="n">
        <v>0</v>
      </c>
      <c r="O703" t="n">
        <v>0</v>
      </c>
      <c r="P703" t="n">
        <v>0</v>
      </c>
      <c r="Q703" t="n">
        <v>0</v>
      </c>
      <c r="R703" s="2" t="inlineStr"/>
    </row>
    <row r="704" ht="15" customHeight="1">
      <c r="A704" t="inlineStr">
        <is>
          <t>A 73483-2021</t>
        </is>
      </c>
      <c r="B704" s="1" t="n">
        <v>44550</v>
      </c>
      <c r="C704" s="1" t="n">
        <v>45885</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17325-2025</t>
        </is>
      </c>
      <c r="B705" s="1" t="n">
        <v>45756.63793981481</v>
      </c>
      <c r="C705" s="1" t="n">
        <v>45885</v>
      </c>
      <c r="D705" t="inlineStr">
        <is>
          <t>UPPSALA LÄN</t>
        </is>
      </c>
      <c r="E705" t="inlineStr">
        <is>
          <t>ÖSTHAMMAR</t>
        </is>
      </c>
      <c r="G705" t="n">
        <v>3.5</v>
      </c>
      <c r="H705" t="n">
        <v>0</v>
      </c>
      <c r="I705" t="n">
        <v>0</v>
      </c>
      <c r="J705" t="n">
        <v>0</v>
      </c>
      <c r="K705" t="n">
        <v>0</v>
      </c>
      <c r="L705" t="n">
        <v>0</v>
      </c>
      <c r="M705" t="n">
        <v>0</v>
      </c>
      <c r="N705" t="n">
        <v>0</v>
      </c>
      <c r="O705" t="n">
        <v>0</v>
      </c>
      <c r="P705" t="n">
        <v>0</v>
      </c>
      <c r="Q705" t="n">
        <v>0</v>
      </c>
      <c r="R705" s="2" t="inlineStr"/>
    </row>
    <row r="706" ht="15" customHeight="1">
      <c r="A706" t="inlineStr">
        <is>
          <t>A 16531-2025</t>
        </is>
      </c>
      <c r="B706" s="1" t="n">
        <v>45751</v>
      </c>
      <c r="C706" s="1" t="n">
        <v>45885</v>
      </c>
      <c r="D706" t="inlineStr">
        <is>
          <t>UPPSALA LÄN</t>
        </is>
      </c>
      <c r="E706" t="inlineStr">
        <is>
          <t>ÖSTHAMMAR</t>
        </is>
      </c>
      <c r="G706" t="n">
        <v>3.3</v>
      </c>
      <c r="H706" t="n">
        <v>0</v>
      </c>
      <c r="I706" t="n">
        <v>0</v>
      </c>
      <c r="J706" t="n">
        <v>0</v>
      </c>
      <c r="K706" t="n">
        <v>0</v>
      </c>
      <c r="L706" t="n">
        <v>0</v>
      </c>
      <c r="M706" t="n">
        <v>0</v>
      </c>
      <c r="N706" t="n">
        <v>0</v>
      </c>
      <c r="O706" t="n">
        <v>0</v>
      </c>
      <c r="P706" t="n">
        <v>0</v>
      </c>
      <c r="Q706" t="n">
        <v>0</v>
      </c>
      <c r="R706" s="2" t="inlineStr"/>
    </row>
    <row r="707" ht="15" customHeight="1">
      <c r="A707" t="inlineStr">
        <is>
          <t>A 24033-2023</t>
        </is>
      </c>
      <c r="B707" s="1" t="n">
        <v>45078</v>
      </c>
      <c r="C707" s="1" t="n">
        <v>45885</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57408-2020</t>
        </is>
      </c>
      <c r="B708" s="1" t="n">
        <v>44140</v>
      </c>
      <c r="C708" s="1" t="n">
        <v>45885</v>
      </c>
      <c r="D708" t="inlineStr">
        <is>
          <t>UPPSALA LÄN</t>
        </is>
      </c>
      <c r="E708" t="inlineStr">
        <is>
          <t>ÖSTHAMMAR</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25897-2023</t>
        </is>
      </c>
      <c r="B709" s="1" t="n">
        <v>45090.63300925926</v>
      </c>
      <c r="C709" s="1" t="n">
        <v>45885</v>
      </c>
      <c r="D709" t="inlineStr">
        <is>
          <t>UPPSALA LÄN</t>
        </is>
      </c>
      <c r="E709" t="inlineStr">
        <is>
          <t>ÖSTHAMMAR</t>
        </is>
      </c>
      <c r="F709" t="inlineStr">
        <is>
          <t>Bergvik skog öst AB</t>
        </is>
      </c>
      <c r="G709" t="n">
        <v>1.6</v>
      </c>
      <c r="H709" t="n">
        <v>0</v>
      </c>
      <c r="I709" t="n">
        <v>0</v>
      </c>
      <c r="J709" t="n">
        <v>0</v>
      </c>
      <c r="K709" t="n">
        <v>0</v>
      </c>
      <c r="L709" t="n">
        <v>0</v>
      </c>
      <c r="M709" t="n">
        <v>0</v>
      </c>
      <c r="N709" t="n">
        <v>0</v>
      </c>
      <c r="O709" t="n">
        <v>0</v>
      </c>
      <c r="P709" t="n">
        <v>0</v>
      </c>
      <c r="Q709" t="n">
        <v>0</v>
      </c>
      <c r="R709" s="2" t="inlineStr"/>
    </row>
    <row r="710" ht="15" customHeight="1">
      <c r="A710" t="inlineStr">
        <is>
          <t>A 12262-2023</t>
        </is>
      </c>
      <c r="B710" s="1" t="n">
        <v>44998.66662037037</v>
      </c>
      <c r="C710" s="1" t="n">
        <v>45885</v>
      </c>
      <c r="D710" t="inlineStr">
        <is>
          <t>UPPSALA LÄN</t>
        </is>
      </c>
      <c r="E710" t="inlineStr">
        <is>
          <t>ÖSTHAMMAR</t>
        </is>
      </c>
      <c r="G710" t="n">
        <v>4.1</v>
      </c>
      <c r="H710" t="n">
        <v>0</v>
      </c>
      <c r="I710" t="n">
        <v>0</v>
      </c>
      <c r="J710" t="n">
        <v>0</v>
      </c>
      <c r="K710" t="n">
        <v>0</v>
      </c>
      <c r="L710" t="n">
        <v>0</v>
      </c>
      <c r="M710" t="n">
        <v>0</v>
      </c>
      <c r="N710" t="n">
        <v>0</v>
      </c>
      <c r="O710" t="n">
        <v>0</v>
      </c>
      <c r="P710" t="n">
        <v>0</v>
      </c>
      <c r="Q710" t="n">
        <v>0</v>
      </c>
      <c r="R710" s="2" t="inlineStr"/>
    </row>
    <row r="711" ht="15" customHeight="1">
      <c r="A711" t="inlineStr">
        <is>
          <t>A 5254-2025</t>
        </is>
      </c>
      <c r="B711" s="1" t="n">
        <v>45692</v>
      </c>
      <c r="C711" s="1" t="n">
        <v>45885</v>
      </c>
      <c r="D711" t="inlineStr">
        <is>
          <t>UPPSALA LÄN</t>
        </is>
      </c>
      <c r="E711" t="inlineStr">
        <is>
          <t>ÖSTHAMMAR</t>
        </is>
      </c>
      <c r="G711" t="n">
        <v>5</v>
      </c>
      <c r="H711" t="n">
        <v>0</v>
      </c>
      <c r="I711" t="n">
        <v>0</v>
      </c>
      <c r="J711" t="n">
        <v>0</v>
      </c>
      <c r="K711" t="n">
        <v>0</v>
      </c>
      <c r="L711" t="n">
        <v>0</v>
      </c>
      <c r="M711" t="n">
        <v>0</v>
      </c>
      <c r="N711" t="n">
        <v>0</v>
      </c>
      <c r="O711" t="n">
        <v>0</v>
      </c>
      <c r="P711" t="n">
        <v>0</v>
      </c>
      <c r="Q711" t="n">
        <v>0</v>
      </c>
      <c r="R711" s="2" t="inlineStr"/>
    </row>
    <row r="712" ht="15" customHeight="1">
      <c r="A712" t="inlineStr">
        <is>
          <t>A 44807-2024</t>
        </is>
      </c>
      <c r="B712" s="1" t="n">
        <v>45574.65427083334</v>
      </c>
      <c r="C712" s="1" t="n">
        <v>45885</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20046-2023</t>
        </is>
      </c>
      <c r="B713" s="1" t="n">
        <v>45054</v>
      </c>
      <c r="C713" s="1" t="n">
        <v>45885</v>
      </c>
      <c r="D713" t="inlineStr">
        <is>
          <t>UPPSALA LÄN</t>
        </is>
      </c>
      <c r="E713" t="inlineStr">
        <is>
          <t>ÖSTHAMMAR</t>
        </is>
      </c>
      <c r="G713" t="n">
        <v>0.4</v>
      </c>
      <c r="H713" t="n">
        <v>0</v>
      </c>
      <c r="I713" t="n">
        <v>0</v>
      </c>
      <c r="J713" t="n">
        <v>0</v>
      </c>
      <c r="K713" t="n">
        <v>0</v>
      </c>
      <c r="L713" t="n">
        <v>0</v>
      </c>
      <c r="M713" t="n">
        <v>0</v>
      </c>
      <c r="N713" t="n">
        <v>0</v>
      </c>
      <c r="O713" t="n">
        <v>0</v>
      </c>
      <c r="P713" t="n">
        <v>0</v>
      </c>
      <c r="Q713" t="n">
        <v>0</v>
      </c>
      <c r="R713" s="2" t="inlineStr"/>
    </row>
    <row r="714" ht="15" customHeight="1">
      <c r="A714" t="inlineStr">
        <is>
          <t>A 41478-2024</t>
        </is>
      </c>
      <c r="B714" s="1" t="n">
        <v>45560.44158564815</v>
      </c>
      <c r="C714" s="1" t="n">
        <v>45885</v>
      </c>
      <c r="D714" t="inlineStr">
        <is>
          <t>UPPSALA LÄN</t>
        </is>
      </c>
      <c r="E714" t="inlineStr">
        <is>
          <t>ÖSTHAMMAR</t>
        </is>
      </c>
      <c r="G714" t="n">
        <v>1</v>
      </c>
      <c r="H714" t="n">
        <v>0</v>
      </c>
      <c r="I714" t="n">
        <v>0</v>
      </c>
      <c r="J714" t="n">
        <v>0</v>
      </c>
      <c r="K714" t="n">
        <v>0</v>
      </c>
      <c r="L714" t="n">
        <v>0</v>
      </c>
      <c r="M714" t="n">
        <v>0</v>
      </c>
      <c r="N714" t="n">
        <v>0</v>
      </c>
      <c r="O714" t="n">
        <v>0</v>
      </c>
      <c r="P714" t="n">
        <v>0</v>
      </c>
      <c r="Q714" t="n">
        <v>0</v>
      </c>
      <c r="R714" s="2" t="inlineStr"/>
    </row>
    <row r="715" ht="15" customHeight="1">
      <c r="A715" t="inlineStr">
        <is>
          <t>A 7195-2023</t>
        </is>
      </c>
      <c r="B715" s="1" t="n">
        <v>44970</v>
      </c>
      <c r="C715" s="1" t="n">
        <v>45885</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37568-2022</t>
        </is>
      </c>
      <c r="B716" s="1" t="n">
        <v>44809</v>
      </c>
      <c r="C716" s="1" t="n">
        <v>45885</v>
      </c>
      <c r="D716" t="inlineStr">
        <is>
          <t>UPPSALA LÄN</t>
        </is>
      </c>
      <c r="E716" t="inlineStr">
        <is>
          <t>ÖSTHAMMAR</t>
        </is>
      </c>
      <c r="G716" t="n">
        <v>1.1</v>
      </c>
      <c r="H716" t="n">
        <v>0</v>
      </c>
      <c r="I716" t="n">
        <v>0</v>
      </c>
      <c r="J716" t="n">
        <v>0</v>
      </c>
      <c r="K716" t="n">
        <v>0</v>
      </c>
      <c r="L716" t="n">
        <v>0</v>
      </c>
      <c r="M716" t="n">
        <v>0</v>
      </c>
      <c r="N716" t="n">
        <v>0</v>
      </c>
      <c r="O716" t="n">
        <v>0</v>
      </c>
      <c r="P716" t="n">
        <v>0</v>
      </c>
      <c r="Q716" t="n">
        <v>0</v>
      </c>
      <c r="R716" s="2" t="inlineStr"/>
    </row>
    <row r="717" ht="15" customHeight="1">
      <c r="A717" t="inlineStr">
        <is>
          <t>A 9542-2023</t>
        </is>
      </c>
      <c r="B717" s="1" t="n">
        <v>44981</v>
      </c>
      <c r="C717" s="1" t="n">
        <v>45885</v>
      </c>
      <c r="D717" t="inlineStr">
        <is>
          <t>UPPSALA LÄN</t>
        </is>
      </c>
      <c r="E717" t="inlineStr">
        <is>
          <t>ÖSTHAMMAR</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55100-2024</t>
        </is>
      </c>
      <c r="B718" s="1" t="n">
        <v>45621.4405787037</v>
      </c>
      <c r="C718" s="1" t="n">
        <v>45885</v>
      </c>
      <c r="D718" t="inlineStr">
        <is>
          <t>UPPSALA LÄN</t>
        </is>
      </c>
      <c r="E718" t="inlineStr">
        <is>
          <t>ÖSTHAMMAR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3638-2022</t>
        </is>
      </c>
      <c r="B719" s="1" t="n">
        <v>44578</v>
      </c>
      <c r="C719" s="1" t="n">
        <v>45885</v>
      </c>
      <c r="D719" t="inlineStr">
        <is>
          <t>UPPSALA LÄN</t>
        </is>
      </c>
      <c r="E719" t="inlineStr">
        <is>
          <t>ÖSTHAMMAR</t>
        </is>
      </c>
      <c r="G719" t="n">
        <v>1.7</v>
      </c>
      <c r="H719" t="n">
        <v>0</v>
      </c>
      <c r="I719" t="n">
        <v>0</v>
      </c>
      <c r="J719" t="n">
        <v>0</v>
      </c>
      <c r="K719" t="n">
        <v>0</v>
      </c>
      <c r="L719" t="n">
        <v>0</v>
      </c>
      <c r="M719" t="n">
        <v>0</v>
      </c>
      <c r="N719" t="n">
        <v>0</v>
      </c>
      <c r="O719" t="n">
        <v>0</v>
      </c>
      <c r="P719" t="n">
        <v>0</v>
      </c>
      <c r="Q719" t="n">
        <v>0</v>
      </c>
      <c r="R719" s="2" t="inlineStr"/>
    </row>
    <row r="720" ht="15" customHeight="1">
      <c r="A720" t="inlineStr">
        <is>
          <t>A 17969-2023</t>
        </is>
      </c>
      <c r="B720" s="1" t="n">
        <v>45040.47081018519</v>
      </c>
      <c r="C720" s="1" t="n">
        <v>45885</v>
      </c>
      <c r="D720" t="inlineStr">
        <is>
          <t>UPPSALA LÄN</t>
        </is>
      </c>
      <c r="E720" t="inlineStr">
        <is>
          <t>ÖSTHAMMAR</t>
        </is>
      </c>
      <c r="G720" t="n">
        <v>5.4</v>
      </c>
      <c r="H720" t="n">
        <v>0</v>
      </c>
      <c r="I720" t="n">
        <v>0</v>
      </c>
      <c r="J720" t="n">
        <v>0</v>
      </c>
      <c r="K720" t="n">
        <v>0</v>
      </c>
      <c r="L720" t="n">
        <v>0</v>
      </c>
      <c r="M720" t="n">
        <v>0</v>
      </c>
      <c r="N720" t="n">
        <v>0</v>
      </c>
      <c r="O720" t="n">
        <v>0</v>
      </c>
      <c r="P720" t="n">
        <v>0</v>
      </c>
      <c r="Q720" t="n">
        <v>0</v>
      </c>
      <c r="R720" s="2" t="inlineStr"/>
    </row>
    <row r="721" ht="15" customHeight="1">
      <c r="A721" t="inlineStr">
        <is>
          <t>A 26774-2023</t>
        </is>
      </c>
      <c r="B721" s="1" t="n">
        <v>45093.47947916666</v>
      </c>
      <c r="C721" s="1" t="n">
        <v>45885</v>
      </c>
      <c r="D721" t="inlineStr">
        <is>
          <t>UPPSALA LÄN</t>
        </is>
      </c>
      <c r="E721" t="inlineStr">
        <is>
          <t>ÖSTHAMMAR</t>
        </is>
      </c>
      <c r="F721" t="inlineStr">
        <is>
          <t>Bergvik skog öst AB</t>
        </is>
      </c>
      <c r="G721" t="n">
        <v>2.1</v>
      </c>
      <c r="H721" t="n">
        <v>0</v>
      </c>
      <c r="I721" t="n">
        <v>0</v>
      </c>
      <c r="J721" t="n">
        <v>0</v>
      </c>
      <c r="K721" t="n">
        <v>0</v>
      </c>
      <c r="L721" t="n">
        <v>0</v>
      </c>
      <c r="M721" t="n">
        <v>0</v>
      </c>
      <c r="N721" t="n">
        <v>0</v>
      </c>
      <c r="O721" t="n">
        <v>0</v>
      </c>
      <c r="P721" t="n">
        <v>0</v>
      </c>
      <c r="Q721" t="n">
        <v>0</v>
      </c>
      <c r="R721" s="2" t="inlineStr"/>
    </row>
    <row r="722">
      <c r="A722" t="inlineStr">
        <is>
          <t>A 67848-2021</t>
        </is>
      </c>
      <c r="B722" s="1" t="n">
        <v>44525</v>
      </c>
      <c r="C722" s="1" t="n">
        <v>45885</v>
      </c>
      <c r="D722" t="inlineStr">
        <is>
          <t>UPPSALA LÄN</t>
        </is>
      </c>
      <c r="E722" t="inlineStr">
        <is>
          <t>ÖSTHAMMAR</t>
        </is>
      </c>
      <c r="G722" t="n">
        <v>1</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2025-08-16T08:30:29Z</dcterms:created>
  <dcterms:modified xmlns:dcterms="http://purl.org/dc/terms/" xmlns:xsi="http://www.w3.org/2001/XMLSchema-instance" xsi:type="dcterms:W3CDTF">2025-08-16T08:30:30Z</dcterms:modified>
</cp:coreProperties>
</file>