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45829</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45829</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45829</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45829</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45829</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45829</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45829</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45829</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45829</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45829</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45829</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45829</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45829</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45829</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45829</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45829</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45829</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45829</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45829</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45829</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45829</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45829</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45829</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45829</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45829</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45829</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45829</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45829</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45829</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45829</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45829</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45829</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45829</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45829</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45829</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45829</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45829</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45829</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45829</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45829</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45829</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45829</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45829</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45829</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45829</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45829</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45829</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45829</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45829</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45829</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45829</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45829</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45829</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45829</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45829</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45829</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45829</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45829</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45829</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45829</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45829</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45829</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45829</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45829</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45829</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45829</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45829</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45829</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45829</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45829</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45829</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45829</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45829</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45829</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45829</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45829</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45829</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45829</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45829</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45829</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45829</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45829</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45829</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45829</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45829</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45829</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45829</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45829</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45829</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45829</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45829</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45829</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45829</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45829</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45829</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45829</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45829</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45829</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45829</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45829</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45829</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45829</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45829</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45829</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45829</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45829</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45829</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45829</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45829</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45829</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45829</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45829</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45829</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45829</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45829</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45829</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45829</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45829</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45829</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45829</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45829</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45829</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45829</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45829</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45829</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45829</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45829</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45829</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45829</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45829</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45829</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45829</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45829</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45829</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45829</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45829</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45829</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45829</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45829</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45829</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45829</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45829</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45829</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45829</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45829</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45829</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45829</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45829</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45829</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45829</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45829</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45829</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45829</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45829</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45829</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45829</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45829</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18596-2019</t>
        </is>
      </c>
      <c r="B195" s="1" t="n">
        <v>43560</v>
      </c>
      <c r="C195" s="1" t="n">
        <v>45829</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18781-2019</t>
        </is>
      </c>
      <c r="B196" s="1" t="n">
        <v>43561</v>
      </c>
      <c r="C196" s="1" t="n">
        <v>45829</v>
      </c>
      <c r="D196" t="inlineStr">
        <is>
          <t>UPPSALA LÄN</t>
        </is>
      </c>
      <c r="E196" t="inlineStr">
        <is>
          <t>ÖSTHAMMAR</t>
        </is>
      </c>
      <c r="F196" t="inlineStr">
        <is>
          <t>Bergvik skog öst AB</t>
        </is>
      </c>
      <c r="G196" t="n">
        <v>0.7</v>
      </c>
      <c r="H196" t="n">
        <v>0</v>
      </c>
      <c r="I196" t="n">
        <v>0</v>
      </c>
      <c r="J196" t="n">
        <v>0</v>
      </c>
      <c r="K196" t="n">
        <v>0</v>
      </c>
      <c r="L196" t="n">
        <v>0</v>
      </c>
      <c r="M196" t="n">
        <v>0</v>
      </c>
      <c r="N196" t="n">
        <v>0</v>
      </c>
      <c r="O196" t="n">
        <v>0</v>
      </c>
      <c r="P196" t="n">
        <v>0</v>
      </c>
      <c r="Q196" t="n">
        <v>0</v>
      </c>
      <c r="R196" s="2" t="inlineStr"/>
    </row>
    <row r="197" ht="15" customHeight="1">
      <c r="A197" t="inlineStr">
        <is>
          <t>A 18792-2019</t>
        </is>
      </c>
      <c r="B197" s="1" t="n">
        <v>43562</v>
      </c>
      <c r="C197" s="1" t="n">
        <v>45829</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18800-2019</t>
        </is>
      </c>
      <c r="B198" s="1" t="n">
        <v>43562</v>
      </c>
      <c r="C198" s="1" t="n">
        <v>45829</v>
      </c>
      <c r="D198" t="inlineStr">
        <is>
          <t>UPPSALA LÄN</t>
        </is>
      </c>
      <c r="E198" t="inlineStr">
        <is>
          <t>ÖSTHAMMAR</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20683-2019</t>
        </is>
      </c>
      <c r="B199" s="1" t="n">
        <v>43573</v>
      </c>
      <c r="C199" s="1" t="n">
        <v>45829</v>
      </c>
      <c r="D199" t="inlineStr">
        <is>
          <t>UPPSALA LÄN</t>
        </is>
      </c>
      <c r="E199" t="inlineStr">
        <is>
          <t>ÖSTHAMMAR</t>
        </is>
      </c>
      <c r="G199" t="n">
        <v>2.6</v>
      </c>
      <c r="H199" t="n">
        <v>0</v>
      </c>
      <c r="I199" t="n">
        <v>0</v>
      </c>
      <c r="J199" t="n">
        <v>0</v>
      </c>
      <c r="K199" t="n">
        <v>0</v>
      </c>
      <c r="L199" t="n">
        <v>0</v>
      </c>
      <c r="M199" t="n">
        <v>0</v>
      </c>
      <c r="N199" t="n">
        <v>0</v>
      </c>
      <c r="O199" t="n">
        <v>0</v>
      </c>
      <c r="P199" t="n">
        <v>0</v>
      </c>
      <c r="Q199" t="n">
        <v>0</v>
      </c>
      <c r="R199" s="2" t="inlineStr"/>
    </row>
    <row r="200" ht="15" customHeight="1">
      <c r="A200" t="inlineStr">
        <is>
          <t>A 21471-2019</t>
        </is>
      </c>
      <c r="B200" s="1" t="n">
        <v>43580</v>
      </c>
      <c r="C200" s="1" t="n">
        <v>45829</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22800-2019</t>
        </is>
      </c>
      <c r="B201" s="1" t="n">
        <v>43590</v>
      </c>
      <c r="C201" s="1" t="n">
        <v>45829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c r="U201">
        <f>HYPERLINK("https://klasma.github.io/Logging_0382/knärot/A 22800-2019 karta knärot.png", "A 22800-2019")</f>
        <v/>
      </c>
      <c r="V201">
        <f>HYPERLINK("https://klasma.github.io/Logging_0382/klagomål/A 22800-2019 FSC-klagomål.docx", "A 22800-2019")</f>
        <v/>
      </c>
      <c r="W201">
        <f>HYPERLINK("https://klasma.github.io/Logging_0382/klagomålsmail/A 22800-2019 FSC-klagomål mail.docx", "A 22800-2019")</f>
        <v/>
      </c>
      <c r="X201">
        <f>HYPERLINK("https://klasma.github.io/Logging_0382/tillsyn/A 22800-2019 tillsynsbegäran.docx", "A 22800-2019")</f>
        <v/>
      </c>
      <c r="Y201">
        <f>HYPERLINK("https://klasma.github.io/Logging_0382/tillsynsmail/A 22800-2019 tillsynsbegäran mail.docx", "A 22800-2019")</f>
        <v/>
      </c>
    </row>
    <row r="202" ht="15" customHeight="1">
      <c r="A202" t="inlineStr">
        <is>
          <t>A 22801-2019</t>
        </is>
      </c>
      <c r="B202" s="1" t="n">
        <v>43590</v>
      </c>
      <c r="C202" s="1" t="n">
        <v>45829</v>
      </c>
      <c r="D202" t="inlineStr">
        <is>
          <t>UPPSALA LÄN</t>
        </is>
      </c>
      <c r="E202" t="inlineStr">
        <is>
          <t>ÖSTHAMMAR</t>
        </is>
      </c>
      <c r="G202" t="n">
        <v>2.2</v>
      </c>
      <c r="H202" t="n">
        <v>0</v>
      </c>
      <c r="I202" t="n">
        <v>0</v>
      </c>
      <c r="J202" t="n">
        <v>0</v>
      </c>
      <c r="K202" t="n">
        <v>0</v>
      </c>
      <c r="L202" t="n">
        <v>0</v>
      </c>
      <c r="M202" t="n">
        <v>0</v>
      </c>
      <c r="N202" t="n">
        <v>0</v>
      </c>
      <c r="O202" t="n">
        <v>0</v>
      </c>
      <c r="P202" t="n">
        <v>0</v>
      </c>
      <c r="Q202" t="n">
        <v>0</v>
      </c>
      <c r="R202" s="2" t="inlineStr"/>
    </row>
    <row r="203" ht="15" customHeight="1">
      <c r="A203" t="inlineStr">
        <is>
          <t>A 23008-2019</t>
        </is>
      </c>
      <c r="B203" s="1" t="n">
        <v>43591</v>
      </c>
      <c r="C203" s="1" t="n">
        <v>45829</v>
      </c>
      <c r="D203" t="inlineStr">
        <is>
          <t>UPPSALA LÄN</t>
        </is>
      </c>
      <c r="E203" t="inlineStr">
        <is>
          <t>ÖSTHAMMAR</t>
        </is>
      </c>
      <c r="G203" t="n">
        <v>4.5</v>
      </c>
      <c r="H203" t="n">
        <v>0</v>
      </c>
      <c r="I203" t="n">
        <v>0</v>
      </c>
      <c r="J203" t="n">
        <v>0</v>
      </c>
      <c r="K203" t="n">
        <v>0</v>
      </c>
      <c r="L203" t="n">
        <v>0</v>
      </c>
      <c r="M203" t="n">
        <v>0</v>
      </c>
      <c r="N203" t="n">
        <v>0</v>
      </c>
      <c r="O203" t="n">
        <v>0</v>
      </c>
      <c r="P203" t="n">
        <v>0</v>
      </c>
      <c r="Q203" t="n">
        <v>0</v>
      </c>
      <c r="R203" s="2" t="inlineStr"/>
    </row>
    <row r="204" ht="15" customHeight="1">
      <c r="A204" t="inlineStr">
        <is>
          <t>A 25874-2019</t>
        </is>
      </c>
      <c r="B204" s="1" t="n">
        <v>43605</v>
      </c>
      <c r="C204" s="1" t="n">
        <v>45829</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25703-2019</t>
        </is>
      </c>
      <c r="B205" s="1" t="n">
        <v>43607</v>
      </c>
      <c r="C205" s="1" t="n">
        <v>45829</v>
      </c>
      <c r="D205" t="inlineStr">
        <is>
          <t>UPPSALA LÄN</t>
        </is>
      </c>
      <c r="E205" t="inlineStr">
        <is>
          <t>ÖSTHAMMAR</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25708-2019</t>
        </is>
      </c>
      <c r="B206" s="1" t="n">
        <v>43607</v>
      </c>
      <c r="C206" s="1" t="n">
        <v>45829</v>
      </c>
      <c r="D206" t="inlineStr">
        <is>
          <t>UPPSALA LÄN</t>
        </is>
      </c>
      <c r="E206" t="inlineStr">
        <is>
          <t>ÖSTHAMMAR</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25706-2019</t>
        </is>
      </c>
      <c r="B207" s="1" t="n">
        <v>43607</v>
      </c>
      <c r="C207" s="1" t="n">
        <v>45829</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26562-2019</t>
        </is>
      </c>
      <c r="B208" s="1" t="n">
        <v>43612</v>
      </c>
      <c r="C208" s="1" t="n">
        <v>45829</v>
      </c>
      <c r="D208" t="inlineStr">
        <is>
          <t>UPPSALA LÄN</t>
        </is>
      </c>
      <c r="E208" t="inlineStr">
        <is>
          <t>ÖSTHAMMAR</t>
        </is>
      </c>
      <c r="G208" t="n">
        <v>3.2</v>
      </c>
      <c r="H208" t="n">
        <v>0</v>
      </c>
      <c r="I208" t="n">
        <v>0</v>
      </c>
      <c r="J208" t="n">
        <v>0</v>
      </c>
      <c r="K208" t="n">
        <v>0</v>
      </c>
      <c r="L208" t="n">
        <v>0</v>
      </c>
      <c r="M208" t="n">
        <v>0</v>
      </c>
      <c r="N208" t="n">
        <v>0</v>
      </c>
      <c r="O208" t="n">
        <v>0</v>
      </c>
      <c r="P208" t="n">
        <v>0</v>
      </c>
      <c r="Q208" t="n">
        <v>0</v>
      </c>
      <c r="R208" s="2" t="inlineStr"/>
    </row>
    <row r="209" ht="15" customHeight="1">
      <c r="A209" t="inlineStr">
        <is>
          <t>A 26724-2019</t>
        </is>
      </c>
      <c r="B209" s="1" t="n">
        <v>43613</v>
      </c>
      <c r="C209" s="1" t="n">
        <v>45829</v>
      </c>
      <c r="D209" t="inlineStr">
        <is>
          <t>UPPSALA LÄN</t>
        </is>
      </c>
      <c r="E209" t="inlineStr">
        <is>
          <t>ÖSTHAMMAR</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26796-2019</t>
        </is>
      </c>
      <c r="B210" s="1" t="n">
        <v>43613</v>
      </c>
      <c r="C210" s="1" t="n">
        <v>45829</v>
      </c>
      <c r="D210" t="inlineStr">
        <is>
          <t>UPPSALA LÄN</t>
        </is>
      </c>
      <c r="E210" t="inlineStr">
        <is>
          <t>ÖSTHAMMAR</t>
        </is>
      </c>
      <c r="F210" t="inlineStr">
        <is>
          <t>Bergvik skog öst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27458-2019</t>
        </is>
      </c>
      <c r="B211" s="1" t="n">
        <v>43618</v>
      </c>
      <c r="C211" s="1" t="n">
        <v>45829</v>
      </c>
      <c r="D211" t="inlineStr">
        <is>
          <t>UPPSALA LÄN</t>
        </is>
      </c>
      <c r="E211" t="inlineStr">
        <is>
          <t>ÖSTHAMMAR</t>
        </is>
      </c>
      <c r="F211" t="inlineStr">
        <is>
          <t>Bergvik skog öst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29204-2019</t>
        </is>
      </c>
      <c r="B212" s="1" t="n">
        <v>43623</v>
      </c>
      <c r="C212" s="1" t="n">
        <v>45829</v>
      </c>
      <c r="D212" t="inlineStr">
        <is>
          <t>UPPSALA LÄN</t>
        </is>
      </c>
      <c r="E212" t="inlineStr">
        <is>
          <t>ÖSTHAMMAR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31106-2019</t>
        </is>
      </c>
      <c r="B213" s="1" t="n">
        <v>43635</v>
      </c>
      <c r="C213" s="1" t="n">
        <v>45829</v>
      </c>
      <c r="D213" t="inlineStr">
        <is>
          <t>UPPSALA LÄN</t>
        </is>
      </c>
      <c r="E213" t="inlineStr">
        <is>
          <t>ÖSTHAMMAR</t>
        </is>
      </c>
      <c r="F213" t="inlineStr">
        <is>
          <t>Övriga statliga verk och myndigheter</t>
        </is>
      </c>
      <c r="G213" t="n">
        <v>1.5</v>
      </c>
      <c r="H213" t="n">
        <v>0</v>
      </c>
      <c r="I213" t="n">
        <v>0</v>
      </c>
      <c r="J213" t="n">
        <v>0</v>
      </c>
      <c r="K213" t="n">
        <v>0</v>
      </c>
      <c r="L213" t="n">
        <v>0</v>
      </c>
      <c r="M213" t="n">
        <v>0</v>
      </c>
      <c r="N213" t="n">
        <v>0</v>
      </c>
      <c r="O213" t="n">
        <v>0</v>
      </c>
      <c r="P213" t="n">
        <v>0</v>
      </c>
      <c r="Q213" t="n">
        <v>0</v>
      </c>
      <c r="R213" s="2" t="inlineStr"/>
    </row>
    <row r="214" ht="15" customHeight="1">
      <c r="A214" t="inlineStr">
        <is>
          <t>A 31716-2019</t>
        </is>
      </c>
      <c r="B214" s="1" t="n">
        <v>43642</v>
      </c>
      <c r="C214" s="1" t="n">
        <v>45829</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31882-2019</t>
        </is>
      </c>
      <c r="B215" s="1" t="n">
        <v>43642</v>
      </c>
      <c r="C215" s="1" t="n">
        <v>45829</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32718-2019</t>
        </is>
      </c>
      <c r="B216" s="1" t="n">
        <v>43647</v>
      </c>
      <c r="C216" s="1" t="n">
        <v>45829</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33532-2019</t>
        </is>
      </c>
      <c r="B217" s="1" t="n">
        <v>43651</v>
      </c>
      <c r="C217" s="1" t="n">
        <v>45829</v>
      </c>
      <c r="D217" t="inlineStr">
        <is>
          <t>UPPSALA LÄN</t>
        </is>
      </c>
      <c r="E217" t="inlineStr">
        <is>
          <t>ÖSTHAMMAR</t>
        </is>
      </c>
      <c r="G217" t="n">
        <v>1.6</v>
      </c>
      <c r="H217" t="n">
        <v>0</v>
      </c>
      <c r="I217" t="n">
        <v>0</v>
      </c>
      <c r="J217" t="n">
        <v>0</v>
      </c>
      <c r="K217" t="n">
        <v>0</v>
      </c>
      <c r="L217" t="n">
        <v>0</v>
      </c>
      <c r="M217" t="n">
        <v>0</v>
      </c>
      <c r="N217" t="n">
        <v>0</v>
      </c>
      <c r="O217" t="n">
        <v>0</v>
      </c>
      <c r="P217" t="n">
        <v>0</v>
      </c>
      <c r="Q217" t="n">
        <v>0</v>
      </c>
      <c r="R217" s="2" t="inlineStr"/>
    </row>
    <row r="218" ht="15" customHeight="1">
      <c r="A218" t="inlineStr">
        <is>
          <t>A 33544-2019</t>
        </is>
      </c>
      <c r="B218" s="1" t="n">
        <v>43651</v>
      </c>
      <c r="C218" s="1" t="n">
        <v>45829</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33539-2019</t>
        </is>
      </c>
      <c r="B219" s="1" t="n">
        <v>43651</v>
      </c>
      <c r="C219" s="1" t="n">
        <v>45829</v>
      </c>
      <c r="D219" t="inlineStr">
        <is>
          <t>UPPSALA LÄN</t>
        </is>
      </c>
      <c r="E219" t="inlineStr">
        <is>
          <t>ÖSTHAMMAR</t>
        </is>
      </c>
      <c r="G219" t="n">
        <v>4.6</v>
      </c>
      <c r="H219" t="n">
        <v>0</v>
      </c>
      <c r="I219" t="n">
        <v>0</v>
      </c>
      <c r="J219" t="n">
        <v>0</v>
      </c>
      <c r="K219" t="n">
        <v>0</v>
      </c>
      <c r="L219" t="n">
        <v>0</v>
      </c>
      <c r="M219" t="n">
        <v>0</v>
      </c>
      <c r="N219" t="n">
        <v>0</v>
      </c>
      <c r="O219" t="n">
        <v>0</v>
      </c>
      <c r="P219" t="n">
        <v>0</v>
      </c>
      <c r="Q219" t="n">
        <v>0</v>
      </c>
      <c r="R219" s="2" t="inlineStr"/>
    </row>
    <row r="220" ht="15" customHeight="1">
      <c r="A220" t="inlineStr">
        <is>
          <t>A 33551-2019</t>
        </is>
      </c>
      <c r="B220" s="1" t="n">
        <v>43651</v>
      </c>
      <c r="C220" s="1" t="n">
        <v>45829</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33784-2019</t>
        </is>
      </c>
      <c r="B221" s="1" t="n">
        <v>43651</v>
      </c>
      <c r="C221" s="1" t="n">
        <v>45829</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39582-2019</t>
        </is>
      </c>
      <c r="B222" s="1" t="n">
        <v>43686</v>
      </c>
      <c r="C222" s="1" t="n">
        <v>45829</v>
      </c>
      <c r="D222" t="inlineStr">
        <is>
          <t>UPPSALA LÄN</t>
        </is>
      </c>
      <c r="E222" t="inlineStr">
        <is>
          <t>ÖSTHAMMAR</t>
        </is>
      </c>
      <c r="G222" t="n">
        <v>12.2</v>
      </c>
      <c r="H222" t="n">
        <v>0</v>
      </c>
      <c r="I222" t="n">
        <v>0</v>
      </c>
      <c r="J222" t="n">
        <v>0</v>
      </c>
      <c r="K222" t="n">
        <v>0</v>
      </c>
      <c r="L222" t="n">
        <v>0</v>
      </c>
      <c r="M222" t="n">
        <v>0</v>
      </c>
      <c r="N222" t="n">
        <v>0</v>
      </c>
      <c r="O222" t="n">
        <v>0</v>
      </c>
      <c r="P222" t="n">
        <v>0</v>
      </c>
      <c r="Q222" t="n">
        <v>0</v>
      </c>
      <c r="R222" s="2" t="inlineStr"/>
    </row>
    <row r="223" ht="15" customHeight="1">
      <c r="A223" t="inlineStr">
        <is>
          <t>A 39910-2019</t>
        </is>
      </c>
      <c r="B223" s="1" t="n">
        <v>43692</v>
      </c>
      <c r="C223" s="1" t="n">
        <v>45829</v>
      </c>
      <c r="D223" t="inlineStr">
        <is>
          <t>UPPSALA LÄN</t>
        </is>
      </c>
      <c r="E223" t="inlineStr">
        <is>
          <t>ÖSTHAMMAR</t>
        </is>
      </c>
      <c r="G223" t="n">
        <v>3.9</v>
      </c>
      <c r="H223" t="n">
        <v>0</v>
      </c>
      <c r="I223" t="n">
        <v>0</v>
      </c>
      <c r="J223" t="n">
        <v>0</v>
      </c>
      <c r="K223" t="n">
        <v>0</v>
      </c>
      <c r="L223" t="n">
        <v>0</v>
      </c>
      <c r="M223" t="n">
        <v>0</v>
      </c>
      <c r="N223" t="n">
        <v>0</v>
      </c>
      <c r="O223" t="n">
        <v>0</v>
      </c>
      <c r="P223" t="n">
        <v>0</v>
      </c>
      <c r="Q223" t="n">
        <v>0</v>
      </c>
      <c r="R223" s="2" t="inlineStr"/>
    </row>
    <row r="224" ht="15" customHeight="1">
      <c r="A224" t="inlineStr">
        <is>
          <t>A 41697-2019</t>
        </is>
      </c>
      <c r="B224" s="1" t="n">
        <v>43699</v>
      </c>
      <c r="C224" s="1" t="n">
        <v>45829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41539-2019</t>
        </is>
      </c>
      <c r="B225" s="1" t="n">
        <v>43699</v>
      </c>
      <c r="C225" s="1" t="n">
        <v>45829</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43426-2019</t>
        </is>
      </c>
      <c r="B226" s="1" t="n">
        <v>43706</v>
      </c>
      <c r="C226" s="1" t="n">
        <v>45829</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45140-2019</t>
        </is>
      </c>
      <c r="B227" s="1" t="n">
        <v>43713</v>
      </c>
      <c r="C227" s="1" t="n">
        <v>45829</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45681-2019</t>
        </is>
      </c>
      <c r="B228" s="1" t="n">
        <v>43717</v>
      </c>
      <c r="C228" s="1" t="n">
        <v>45829</v>
      </c>
      <c r="D228" t="inlineStr">
        <is>
          <t>UPPSALA LÄN</t>
        </is>
      </c>
      <c r="E228" t="inlineStr">
        <is>
          <t>ÖSTHAMMAR</t>
        </is>
      </c>
      <c r="F228" t="inlineStr">
        <is>
          <t>Bergvik skog öst AB</t>
        </is>
      </c>
      <c r="G228" t="n">
        <v>3</v>
      </c>
      <c r="H228" t="n">
        <v>0</v>
      </c>
      <c r="I228" t="n">
        <v>0</v>
      </c>
      <c r="J228" t="n">
        <v>0</v>
      </c>
      <c r="K228" t="n">
        <v>0</v>
      </c>
      <c r="L228" t="n">
        <v>0</v>
      </c>
      <c r="M228" t="n">
        <v>0</v>
      </c>
      <c r="N228" t="n">
        <v>0</v>
      </c>
      <c r="O228" t="n">
        <v>0</v>
      </c>
      <c r="P228" t="n">
        <v>0</v>
      </c>
      <c r="Q228" t="n">
        <v>0</v>
      </c>
      <c r="R228" s="2" t="inlineStr"/>
    </row>
    <row r="229" ht="15" customHeight="1">
      <c r="A229" t="inlineStr">
        <is>
          <t>A 47440-2019</t>
        </is>
      </c>
      <c r="B229" s="1" t="n">
        <v>43723</v>
      </c>
      <c r="C229" s="1" t="n">
        <v>45829</v>
      </c>
      <c r="D229" t="inlineStr">
        <is>
          <t>UPPSALA LÄN</t>
        </is>
      </c>
      <c r="E229" t="inlineStr">
        <is>
          <t>ÖSTHAMMAR</t>
        </is>
      </c>
      <c r="G229" t="n">
        <v>0.1</v>
      </c>
      <c r="H229" t="n">
        <v>0</v>
      </c>
      <c r="I229" t="n">
        <v>0</v>
      </c>
      <c r="J229" t="n">
        <v>0</v>
      </c>
      <c r="K229" t="n">
        <v>0</v>
      </c>
      <c r="L229" t="n">
        <v>0</v>
      </c>
      <c r="M229" t="n">
        <v>0</v>
      </c>
      <c r="N229" t="n">
        <v>0</v>
      </c>
      <c r="O229" t="n">
        <v>0</v>
      </c>
      <c r="P229" t="n">
        <v>0</v>
      </c>
      <c r="Q229" t="n">
        <v>0</v>
      </c>
      <c r="R229" s="2" t="inlineStr"/>
    </row>
    <row r="230" ht="15" customHeight="1">
      <c r="A230" t="inlineStr">
        <is>
          <t>A 47436-2019</t>
        </is>
      </c>
      <c r="B230" s="1" t="n">
        <v>43723</v>
      </c>
      <c r="C230" s="1" t="n">
        <v>45829</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51025-2019</t>
        </is>
      </c>
      <c r="B231" s="1" t="n">
        <v>43739</v>
      </c>
      <c r="C231" s="1" t="n">
        <v>45829</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53442-2019</t>
        </is>
      </c>
      <c r="B232" s="1" t="n">
        <v>43748</v>
      </c>
      <c r="C232" s="1" t="n">
        <v>45829</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55382-2019</t>
        </is>
      </c>
      <c r="B233" s="1" t="n">
        <v>43755</v>
      </c>
      <c r="C233" s="1" t="n">
        <v>45829</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57686-2019</t>
        </is>
      </c>
      <c r="B234" s="1" t="n">
        <v>43761</v>
      </c>
      <c r="C234" s="1" t="n">
        <v>45829</v>
      </c>
      <c r="D234" t="inlineStr">
        <is>
          <t>UPPSALA LÄN</t>
        </is>
      </c>
      <c r="E234" t="inlineStr">
        <is>
          <t>ÖSTHAMMAR</t>
        </is>
      </c>
      <c r="G234" t="n">
        <v>5.7</v>
      </c>
      <c r="H234" t="n">
        <v>0</v>
      </c>
      <c r="I234" t="n">
        <v>0</v>
      </c>
      <c r="J234" t="n">
        <v>0</v>
      </c>
      <c r="K234" t="n">
        <v>0</v>
      </c>
      <c r="L234" t="n">
        <v>0</v>
      </c>
      <c r="M234" t="n">
        <v>0</v>
      </c>
      <c r="N234" t="n">
        <v>0</v>
      </c>
      <c r="O234" t="n">
        <v>0</v>
      </c>
      <c r="P234" t="n">
        <v>0</v>
      </c>
      <c r="Q234" t="n">
        <v>0</v>
      </c>
      <c r="R234" s="2" t="inlineStr"/>
    </row>
    <row r="235" ht="15" customHeight="1">
      <c r="A235" t="inlineStr">
        <is>
          <t>A 57304-2019</t>
        </is>
      </c>
      <c r="B235" s="1" t="n">
        <v>43767</v>
      </c>
      <c r="C235" s="1" t="n">
        <v>45829</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58665-2019</t>
        </is>
      </c>
      <c r="B236" s="1" t="n">
        <v>43773</v>
      </c>
      <c r="C236" s="1" t="n">
        <v>45829</v>
      </c>
      <c r="D236" t="inlineStr">
        <is>
          <t>UPPSALA LÄN</t>
        </is>
      </c>
      <c r="E236" t="inlineStr">
        <is>
          <t>ÖSTHAMMAR</t>
        </is>
      </c>
      <c r="G236" t="n">
        <v>2</v>
      </c>
      <c r="H236" t="n">
        <v>0</v>
      </c>
      <c r="I236" t="n">
        <v>0</v>
      </c>
      <c r="J236" t="n">
        <v>0</v>
      </c>
      <c r="K236" t="n">
        <v>0</v>
      </c>
      <c r="L236" t="n">
        <v>0</v>
      </c>
      <c r="M236" t="n">
        <v>0</v>
      </c>
      <c r="N236" t="n">
        <v>0</v>
      </c>
      <c r="O236" t="n">
        <v>0</v>
      </c>
      <c r="P236" t="n">
        <v>0</v>
      </c>
      <c r="Q236" t="n">
        <v>0</v>
      </c>
      <c r="R236" s="2" t="inlineStr"/>
    </row>
    <row r="237" ht="15" customHeight="1">
      <c r="A237" t="inlineStr">
        <is>
          <t>A 60977-2019</t>
        </is>
      </c>
      <c r="B237" s="1" t="n">
        <v>43782</v>
      </c>
      <c r="C237" s="1" t="n">
        <v>45829</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61866-2019</t>
        </is>
      </c>
      <c r="B238" s="1" t="n">
        <v>43787</v>
      </c>
      <c r="C238" s="1" t="n">
        <v>45829</v>
      </c>
      <c r="D238" t="inlineStr">
        <is>
          <t>UPPSALA LÄN</t>
        </is>
      </c>
      <c r="E238" t="inlineStr">
        <is>
          <t>ÖSTHAMMAR</t>
        </is>
      </c>
      <c r="F238" t="inlineStr">
        <is>
          <t>Bergvik skog öst AB</t>
        </is>
      </c>
      <c r="G238" t="n">
        <v>6.6</v>
      </c>
      <c r="H238" t="n">
        <v>0</v>
      </c>
      <c r="I238" t="n">
        <v>0</v>
      </c>
      <c r="J238" t="n">
        <v>0</v>
      </c>
      <c r="K238" t="n">
        <v>0</v>
      </c>
      <c r="L238" t="n">
        <v>0</v>
      </c>
      <c r="M238" t="n">
        <v>0</v>
      </c>
      <c r="N238" t="n">
        <v>0</v>
      </c>
      <c r="O238" t="n">
        <v>0</v>
      </c>
      <c r="P238" t="n">
        <v>0</v>
      </c>
      <c r="Q238" t="n">
        <v>0</v>
      </c>
      <c r="R238" s="2" t="inlineStr"/>
    </row>
    <row r="239" ht="15" customHeight="1">
      <c r="A239" t="inlineStr">
        <is>
          <t>A 62808-2019</t>
        </is>
      </c>
      <c r="B239" s="1" t="n">
        <v>43790</v>
      </c>
      <c r="C239" s="1" t="n">
        <v>45829</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63564-2019</t>
        </is>
      </c>
      <c r="B240" s="1" t="n">
        <v>43795</v>
      </c>
      <c r="C240" s="1" t="n">
        <v>45829</v>
      </c>
      <c r="D240" t="inlineStr">
        <is>
          <t>UPPSALA LÄN</t>
        </is>
      </c>
      <c r="E240" t="inlineStr">
        <is>
          <t>ÖSTHAMMAR</t>
        </is>
      </c>
      <c r="F240" t="inlineStr">
        <is>
          <t>Övriga Aktiebolag</t>
        </is>
      </c>
      <c r="G240" t="n">
        <v>4.7</v>
      </c>
      <c r="H240" t="n">
        <v>0</v>
      </c>
      <c r="I240" t="n">
        <v>0</v>
      </c>
      <c r="J240" t="n">
        <v>0</v>
      </c>
      <c r="K240" t="n">
        <v>0</v>
      </c>
      <c r="L240" t="n">
        <v>0</v>
      </c>
      <c r="M240" t="n">
        <v>0</v>
      </c>
      <c r="N240" t="n">
        <v>0</v>
      </c>
      <c r="O240" t="n">
        <v>0</v>
      </c>
      <c r="P240" t="n">
        <v>0</v>
      </c>
      <c r="Q240" t="n">
        <v>0</v>
      </c>
      <c r="R240" s="2" t="inlineStr"/>
    </row>
    <row r="241" ht="15" customHeight="1">
      <c r="A241" t="inlineStr">
        <is>
          <t>A 64344-2019</t>
        </is>
      </c>
      <c r="B241" s="1" t="n">
        <v>43797</v>
      </c>
      <c r="C241" s="1" t="n">
        <v>45829</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65107-2019</t>
        </is>
      </c>
      <c r="B242" s="1" t="n">
        <v>43802</v>
      </c>
      <c r="C242" s="1" t="n">
        <v>45829</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67647-2019</t>
        </is>
      </c>
      <c r="B243" s="1" t="n">
        <v>43808</v>
      </c>
      <c r="C243" s="1" t="n">
        <v>45829</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66802-2019</t>
        </is>
      </c>
      <c r="B244" s="1" t="n">
        <v>43810</v>
      </c>
      <c r="C244" s="1" t="n">
        <v>45829</v>
      </c>
      <c r="D244" t="inlineStr">
        <is>
          <t>UPPSALA LÄN</t>
        </is>
      </c>
      <c r="E244" t="inlineStr">
        <is>
          <t>ÖSTHAMMAR</t>
        </is>
      </c>
      <c r="F244" t="inlineStr">
        <is>
          <t>Bergvik skog öst AB</t>
        </is>
      </c>
      <c r="G244" t="n">
        <v>34.8</v>
      </c>
      <c r="H244" t="n">
        <v>0</v>
      </c>
      <c r="I244" t="n">
        <v>0</v>
      </c>
      <c r="J244" t="n">
        <v>0</v>
      </c>
      <c r="K244" t="n">
        <v>0</v>
      </c>
      <c r="L244" t="n">
        <v>0</v>
      </c>
      <c r="M244" t="n">
        <v>0</v>
      </c>
      <c r="N244" t="n">
        <v>0</v>
      </c>
      <c r="O244" t="n">
        <v>0</v>
      </c>
      <c r="P244" t="n">
        <v>0</v>
      </c>
      <c r="Q244" t="n">
        <v>0</v>
      </c>
      <c r="R244" s="2" t="inlineStr"/>
    </row>
    <row r="245" ht="15" customHeight="1">
      <c r="A245" t="inlineStr">
        <is>
          <t>A 67254-2019</t>
        </is>
      </c>
      <c r="B245" s="1" t="n">
        <v>43812</v>
      </c>
      <c r="C245" s="1" t="n">
        <v>45829</v>
      </c>
      <c r="D245" t="inlineStr">
        <is>
          <t>UPPSALA LÄN</t>
        </is>
      </c>
      <c r="E245" t="inlineStr">
        <is>
          <t>ÖSTHAMMAR</t>
        </is>
      </c>
      <c r="F245" t="inlineStr">
        <is>
          <t>Allmännings- och besparingsskogar</t>
        </is>
      </c>
      <c r="G245" t="n">
        <v>0.8</v>
      </c>
      <c r="H245" t="n">
        <v>0</v>
      </c>
      <c r="I245" t="n">
        <v>0</v>
      </c>
      <c r="J245" t="n">
        <v>0</v>
      </c>
      <c r="K245" t="n">
        <v>0</v>
      </c>
      <c r="L245" t="n">
        <v>0</v>
      </c>
      <c r="M245" t="n">
        <v>0</v>
      </c>
      <c r="N245" t="n">
        <v>0</v>
      </c>
      <c r="O245" t="n">
        <v>0</v>
      </c>
      <c r="P245" t="n">
        <v>0</v>
      </c>
      <c r="Q245" t="n">
        <v>0</v>
      </c>
      <c r="R245" s="2" t="inlineStr"/>
    </row>
    <row r="246" ht="15" customHeight="1">
      <c r="A246" t="inlineStr">
        <is>
          <t>A 618-2020</t>
        </is>
      </c>
      <c r="B246" s="1" t="n">
        <v>43817</v>
      </c>
      <c r="C246" s="1" t="n">
        <v>45829</v>
      </c>
      <c r="D246" t="inlineStr">
        <is>
          <t>UPPSALA LÄN</t>
        </is>
      </c>
      <c r="E246" t="inlineStr">
        <is>
          <t>ÖSTHAMMAR</t>
        </is>
      </c>
      <c r="G246" t="n">
        <v>3.2</v>
      </c>
      <c r="H246" t="n">
        <v>0</v>
      </c>
      <c r="I246" t="n">
        <v>0</v>
      </c>
      <c r="J246" t="n">
        <v>0</v>
      </c>
      <c r="K246" t="n">
        <v>0</v>
      </c>
      <c r="L246" t="n">
        <v>0</v>
      </c>
      <c r="M246" t="n">
        <v>0</v>
      </c>
      <c r="N246" t="n">
        <v>0</v>
      </c>
      <c r="O246" t="n">
        <v>0</v>
      </c>
      <c r="P246" t="n">
        <v>0</v>
      </c>
      <c r="Q246" t="n">
        <v>0</v>
      </c>
      <c r="R246" s="2" t="inlineStr"/>
    </row>
    <row r="247" ht="15" customHeight="1">
      <c r="A247" t="inlineStr">
        <is>
          <t>A 68870-2019</t>
        </is>
      </c>
      <c r="B247" s="1" t="n">
        <v>43821</v>
      </c>
      <c r="C247" s="1" t="n">
        <v>45829</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68871-2019</t>
        </is>
      </c>
      <c r="B248" s="1" t="n">
        <v>43821</v>
      </c>
      <c r="C248" s="1" t="n">
        <v>45829</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68868-2019</t>
        </is>
      </c>
      <c r="B249" s="1" t="n">
        <v>43821</v>
      </c>
      <c r="C249" s="1" t="n">
        <v>45829</v>
      </c>
      <c r="D249" t="inlineStr">
        <is>
          <t>UPPSALA LÄN</t>
        </is>
      </c>
      <c r="E249" t="inlineStr">
        <is>
          <t>ÖSTHAMMAR</t>
        </is>
      </c>
      <c r="F249" t="inlineStr">
        <is>
          <t>Bergvik skog öst AB</t>
        </is>
      </c>
      <c r="G249" t="n">
        <v>1.7</v>
      </c>
      <c r="H249" t="n">
        <v>0</v>
      </c>
      <c r="I249" t="n">
        <v>0</v>
      </c>
      <c r="J249" t="n">
        <v>0</v>
      </c>
      <c r="K249" t="n">
        <v>0</v>
      </c>
      <c r="L249" t="n">
        <v>0</v>
      </c>
      <c r="M249" t="n">
        <v>0</v>
      </c>
      <c r="N249" t="n">
        <v>0</v>
      </c>
      <c r="O249" t="n">
        <v>0</v>
      </c>
      <c r="P249" t="n">
        <v>0</v>
      </c>
      <c r="Q249" t="n">
        <v>0</v>
      </c>
      <c r="R249" s="2" t="inlineStr"/>
    </row>
    <row r="250" ht="15" customHeight="1">
      <c r="A250" t="inlineStr">
        <is>
          <t>A 685-2020</t>
        </is>
      </c>
      <c r="B250" s="1" t="n">
        <v>43838</v>
      </c>
      <c r="C250" s="1" t="n">
        <v>45829</v>
      </c>
      <c r="D250" t="inlineStr">
        <is>
          <t>UPPSALA LÄN</t>
        </is>
      </c>
      <c r="E250" t="inlineStr">
        <is>
          <t>ÖSTHAMMAR</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1685-2020</t>
        </is>
      </c>
      <c r="B251" s="1" t="n">
        <v>43844</v>
      </c>
      <c r="C251" s="1" t="n">
        <v>45829</v>
      </c>
      <c r="D251" t="inlineStr">
        <is>
          <t>UPPSALA LÄN</t>
        </is>
      </c>
      <c r="E251" t="inlineStr">
        <is>
          <t>ÖSTHAMMAR</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1681-2020</t>
        </is>
      </c>
      <c r="B252" s="1" t="n">
        <v>43844</v>
      </c>
      <c r="C252" s="1" t="n">
        <v>45829</v>
      </c>
      <c r="D252" t="inlineStr">
        <is>
          <t>UPPSALA LÄN</t>
        </is>
      </c>
      <c r="E252" t="inlineStr">
        <is>
          <t>ÖSTHAMMAR</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4473-2020</t>
        </is>
      </c>
      <c r="B253" s="1" t="n">
        <v>43850</v>
      </c>
      <c r="C253" s="1" t="n">
        <v>45829</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3334-2020</t>
        </is>
      </c>
      <c r="B254" s="1" t="n">
        <v>43852</v>
      </c>
      <c r="C254" s="1" t="n">
        <v>45829</v>
      </c>
      <c r="D254" t="inlineStr">
        <is>
          <t>UPPSALA LÄN</t>
        </is>
      </c>
      <c r="E254" t="inlineStr">
        <is>
          <t>ÖSTHAMMAR</t>
        </is>
      </c>
      <c r="G254" t="n">
        <v>2.5</v>
      </c>
      <c r="H254" t="n">
        <v>0</v>
      </c>
      <c r="I254" t="n">
        <v>0</v>
      </c>
      <c r="J254" t="n">
        <v>0</v>
      </c>
      <c r="K254" t="n">
        <v>0</v>
      </c>
      <c r="L254" t="n">
        <v>0</v>
      </c>
      <c r="M254" t="n">
        <v>0</v>
      </c>
      <c r="N254" t="n">
        <v>0</v>
      </c>
      <c r="O254" t="n">
        <v>0</v>
      </c>
      <c r="P254" t="n">
        <v>0</v>
      </c>
      <c r="Q254" t="n">
        <v>0</v>
      </c>
      <c r="R254" s="2" t="inlineStr"/>
    </row>
    <row r="255" ht="15" customHeight="1">
      <c r="A255" t="inlineStr">
        <is>
          <t>A 3984-2020</t>
        </is>
      </c>
      <c r="B255" s="1" t="n">
        <v>43855</v>
      </c>
      <c r="C255" s="1" t="n">
        <v>45829</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6052-2020</t>
        </is>
      </c>
      <c r="B256" s="1" t="n">
        <v>43864</v>
      </c>
      <c r="C256" s="1" t="n">
        <v>45829</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6026-2020</t>
        </is>
      </c>
      <c r="B257" s="1" t="n">
        <v>43865</v>
      </c>
      <c r="C257" s="1" t="n">
        <v>45829</v>
      </c>
      <c r="D257" t="inlineStr">
        <is>
          <t>UPPSALA LÄN</t>
        </is>
      </c>
      <c r="E257" t="inlineStr">
        <is>
          <t>ÖSTHAMMAR</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6791-2020</t>
        </is>
      </c>
      <c r="B258" s="1" t="n">
        <v>43867</v>
      </c>
      <c r="C258" s="1" t="n">
        <v>45829</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7847-2020</t>
        </is>
      </c>
      <c r="B259" s="1" t="n">
        <v>43873</v>
      </c>
      <c r="C259" s="1" t="n">
        <v>45829</v>
      </c>
      <c r="D259" t="inlineStr">
        <is>
          <t>UPPSALA LÄN</t>
        </is>
      </c>
      <c r="E259" t="inlineStr">
        <is>
          <t>ÖSTHAMMAR</t>
        </is>
      </c>
      <c r="F259" t="inlineStr">
        <is>
          <t>Övriga Aktiebolag</t>
        </is>
      </c>
      <c r="G259" t="n">
        <v>15.3</v>
      </c>
      <c r="H259" t="n">
        <v>0</v>
      </c>
      <c r="I259" t="n">
        <v>0</v>
      </c>
      <c r="J259" t="n">
        <v>0</v>
      </c>
      <c r="K259" t="n">
        <v>0</v>
      </c>
      <c r="L259" t="n">
        <v>0</v>
      </c>
      <c r="M259" t="n">
        <v>0</v>
      </c>
      <c r="N259" t="n">
        <v>0</v>
      </c>
      <c r="O259" t="n">
        <v>0</v>
      </c>
      <c r="P259" t="n">
        <v>0</v>
      </c>
      <c r="Q259" t="n">
        <v>0</v>
      </c>
      <c r="R259" s="2" t="inlineStr"/>
    </row>
    <row r="260" ht="15" customHeight="1">
      <c r="A260" t="inlineStr">
        <is>
          <t>A 10008-2020</t>
        </is>
      </c>
      <c r="B260" s="1" t="n">
        <v>43882</v>
      </c>
      <c r="C260" s="1" t="n">
        <v>45829</v>
      </c>
      <c r="D260" t="inlineStr">
        <is>
          <t>UPPSALA LÄN</t>
        </is>
      </c>
      <c r="E260" t="inlineStr">
        <is>
          <t>ÖSTHAMMAR</t>
        </is>
      </c>
      <c r="G260" t="n">
        <v>1</v>
      </c>
      <c r="H260" t="n">
        <v>0</v>
      </c>
      <c r="I260" t="n">
        <v>0</v>
      </c>
      <c r="J260" t="n">
        <v>0</v>
      </c>
      <c r="K260" t="n">
        <v>0</v>
      </c>
      <c r="L260" t="n">
        <v>0</v>
      </c>
      <c r="M260" t="n">
        <v>0</v>
      </c>
      <c r="N260" t="n">
        <v>0</v>
      </c>
      <c r="O260" t="n">
        <v>0</v>
      </c>
      <c r="P260" t="n">
        <v>0</v>
      </c>
      <c r="Q260" t="n">
        <v>0</v>
      </c>
      <c r="R260" s="2" t="inlineStr"/>
    </row>
    <row r="261" ht="15" customHeight="1">
      <c r="A261" t="inlineStr">
        <is>
          <t>A 10345-2020</t>
        </is>
      </c>
      <c r="B261" s="1" t="n">
        <v>43885</v>
      </c>
      <c r="C261" s="1" t="n">
        <v>45829</v>
      </c>
      <c r="D261" t="inlineStr">
        <is>
          <t>UPPSALA LÄN</t>
        </is>
      </c>
      <c r="E261" t="inlineStr">
        <is>
          <t>ÖSTHAMMAR</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10347-2020</t>
        </is>
      </c>
      <c r="B262" s="1" t="n">
        <v>43885</v>
      </c>
      <c r="C262" s="1" t="n">
        <v>45829</v>
      </c>
      <c r="D262" t="inlineStr">
        <is>
          <t>UPPSALA LÄN</t>
        </is>
      </c>
      <c r="E262" t="inlineStr">
        <is>
          <t>ÖSTHAMMAR</t>
        </is>
      </c>
      <c r="F262" t="inlineStr">
        <is>
          <t>Allmännings- och besparingsskogar</t>
        </is>
      </c>
      <c r="G262" t="n">
        <v>1.2</v>
      </c>
      <c r="H262" t="n">
        <v>0</v>
      </c>
      <c r="I262" t="n">
        <v>0</v>
      </c>
      <c r="J262" t="n">
        <v>0</v>
      </c>
      <c r="K262" t="n">
        <v>0</v>
      </c>
      <c r="L262" t="n">
        <v>0</v>
      </c>
      <c r="M262" t="n">
        <v>0</v>
      </c>
      <c r="N262" t="n">
        <v>0</v>
      </c>
      <c r="O262" t="n">
        <v>0</v>
      </c>
      <c r="P262" t="n">
        <v>0</v>
      </c>
      <c r="Q262" t="n">
        <v>0</v>
      </c>
      <c r="R262" s="2" t="inlineStr"/>
    </row>
    <row r="263" ht="15" customHeight="1">
      <c r="A263" t="inlineStr">
        <is>
          <t>A 12080-2020</t>
        </is>
      </c>
      <c r="B263" s="1" t="n">
        <v>43895</v>
      </c>
      <c r="C263" s="1" t="n">
        <v>45829</v>
      </c>
      <c r="D263" t="inlineStr">
        <is>
          <t>UPPSALA LÄN</t>
        </is>
      </c>
      <c r="E263" t="inlineStr">
        <is>
          <t>ÖSTHAMMAR</t>
        </is>
      </c>
      <c r="F263" t="inlineStr">
        <is>
          <t>Övriga Aktiebolag</t>
        </is>
      </c>
      <c r="G263" t="n">
        <v>13.9</v>
      </c>
      <c r="H263" t="n">
        <v>0</v>
      </c>
      <c r="I263" t="n">
        <v>0</v>
      </c>
      <c r="J263" t="n">
        <v>0</v>
      </c>
      <c r="K263" t="n">
        <v>0</v>
      </c>
      <c r="L263" t="n">
        <v>0</v>
      </c>
      <c r="M263" t="n">
        <v>0</v>
      </c>
      <c r="N263" t="n">
        <v>0</v>
      </c>
      <c r="O263" t="n">
        <v>0</v>
      </c>
      <c r="P263" t="n">
        <v>0</v>
      </c>
      <c r="Q263" t="n">
        <v>0</v>
      </c>
      <c r="R263" s="2" t="inlineStr"/>
    </row>
    <row r="264" ht="15" customHeight="1">
      <c r="A264" t="inlineStr">
        <is>
          <t>A 13112-2020</t>
        </is>
      </c>
      <c r="B264" s="1" t="n">
        <v>43901</v>
      </c>
      <c r="C264" s="1" t="n">
        <v>45829</v>
      </c>
      <c r="D264" t="inlineStr">
        <is>
          <t>UPPSALA LÄN</t>
        </is>
      </c>
      <c r="E264" t="inlineStr">
        <is>
          <t>ÖSTHAMMAR</t>
        </is>
      </c>
      <c r="F264" t="inlineStr">
        <is>
          <t>Övriga Aktiebolag</t>
        </is>
      </c>
      <c r="G264" t="n">
        <v>6.5</v>
      </c>
      <c r="H264" t="n">
        <v>0</v>
      </c>
      <c r="I264" t="n">
        <v>0</v>
      </c>
      <c r="J264" t="n">
        <v>0</v>
      </c>
      <c r="K264" t="n">
        <v>0</v>
      </c>
      <c r="L264" t="n">
        <v>0</v>
      </c>
      <c r="M264" t="n">
        <v>0</v>
      </c>
      <c r="N264" t="n">
        <v>0</v>
      </c>
      <c r="O264" t="n">
        <v>0</v>
      </c>
      <c r="P264" t="n">
        <v>0</v>
      </c>
      <c r="Q264" t="n">
        <v>0</v>
      </c>
      <c r="R264" s="2" t="inlineStr"/>
    </row>
    <row r="265" ht="15" customHeight="1">
      <c r="A265" t="inlineStr">
        <is>
          <t>A 13310-2020</t>
        </is>
      </c>
      <c r="B265" s="1" t="n">
        <v>43902</v>
      </c>
      <c r="C265" s="1" t="n">
        <v>45829</v>
      </c>
      <c r="D265" t="inlineStr">
        <is>
          <t>UPPSALA LÄN</t>
        </is>
      </c>
      <c r="E265" t="inlineStr">
        <is>
          <t>ÖSTHAMMAR</t>
        </is>
      </c>
      <c r="F265" t="inlineStr">
        <is>
          <t>Bergvik skog öst AB</t>
        </is>
      </c>
      <c r="G265" t="n">
        <v>14.4</v>
      </c>
      <c r="H265" t="n">
        <v>0</v>
      </c>
      <c r="I265" t="n">
        <v>0</v>
      </c>
      <c r="J265" t="n">
        <v>0</v>
      </c>
      <c r="K265" t="n">
        <v>0</v>
      </c>
      <c r="L265" t="n">
        <v>0</v>
      </c>
      <c r="M265" t="n">
        <v>0</v>
      </c>
      <c r="N265" t="n">
        <v>0</v>
      </c>
      <c r="O265" t="n">
        <v>0</v>
      </c>
      <c r="P265" t="n">
        <v>0</v>
      </c>
      <c r="Q265" t="n">
        <v>0</v>
      </c>
      <c r="R265" s="2" t="inlineStr"/>
    </row>
    <row r="266" ht="15" customHeight="1">
      <c r="A266" t="inlineStr">
        <is>
          <t>A 13595-2020</t>
        </is>
      </c>
      <c r="B266" s="1" t="n">
        <v>43903</v>
      </c>
      <c r="C266" s="1" t="n">
        <v>45829</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13945-2020</t>
        </is>
      </c>
      <c r="B267" s="1" t="n">
        <v>43906</v>
      </c>
      <c r="C267" s="1" t="n">
        <v>45829</v>
      </c>
      <c r="D267" t="inlineStr">
        <is>
          <t>UPPSALA LÄN</t>
        </is>
      </c>
      <c r="E267" t="inlineStr">
        <is>
          <t>ÖSTHAMMAR</t>
        </is>
      </c>
      <c r="G267" t="n">
        <v>3.5</v>
      </c>
      <c r="H267" t="n">
        <v>0</v>
      </c>
      <c r="I267" t="n">
        <v>0</v>
      </c>
      <c r="J267" t="n">
        <v>0</v>
      </c>
      <c r="K267" t="n">
        <v>0</v>
      </c>
      <c r="L267" t="n">
        <v>0</v>
      </c>
      <c r="M267" t="n">
        <v>0</v>
      </c>
      <c r="N267" t="n">
        <v>0</v>
      </c>
      <c r="O267" t="n">
        <v>0</v>
      </c>
      <c r="P267" t="n">
        <v>0</v>
      </c>
      <c r="Q267" t="n">
        <v>0</v>
      </c>
      <c r="R267" s="2" t="inlineStr"/>
    </row>
    <row r="268" ht="15" customHeight="1">
      <c r="A268" t="inlineStr">
        <is>
          <t>A 14802-2020</t>
        </is>
      </c>
      <c r="B268" s="1" t="n">
        <v>43909</v>
      </c>
      <c r="C268" s="1" t="n">
        <v>45829</v>
      </c>
      <c r="D268" t="inlineStr">
        <is>
          <t>UPPSALA LÄN</t>
        </is>
      </c>
      <c r="E268" t="inlineStr">
        <is>
          <t>ÖSTHAMMAR</t>
        </is>
      </c>
      <c r="F268" t="inlineStr">
        <is>
          <t>Allmännings- och besparingsskogar</t>
        </is>
      </c>
      <c r="G268" t="n">
        <v>0.9</v>
      </c>
      <c r="H268" t="n">
        <v>0</v>
      </c>
      <c r="I268" t="n">
        <v>0</v>
      </c>
      <c r="J268" t="n">
        <v>0</v>
      </c>
      <c r="K268" t="n">
        <v>0</v>
      </c>
      <c r="L268" t="n">
        <v>0</v>
      </c>
      <c r="M268" t="n">
        <v>0</v>
      </c>
      <c r="N268" t="n">
        <v>0</v>
      </c>
      <c r="O268" t="n">
        <v>0</v>
      </c>
      <c r="P268" t="n">
        <v>0</v>
      </c>
      <c r="Q268" t="n">
        <v>0</v>
      </c>
      <c r="R268" s="2" t="inlineStr"/>
    </row>
    <row r="269" ht="15" customHeight="1">
      <c r="A269" t="inlineStr">
        <is>
          <t>A 14817-2020</t>
        </is>
      </c>
      <c r="B269" s="1" t="n">
        <v>43909</v>
      </c>
      <c r="C269" s="1" t="n">
        <v>45829</v>
      </c>
      <c r="D269" t="inlineStr">
        <is>
          <t>UPPSALA LÄN</t>
        </is>
      </c>
      <c r="E269" t="inlineStr">
        <is>
          <t>ÖSTHAMMAR</t>
        </is>
      </c>
      <c r="F269" t="inlineStr">
        <is>
          <t>Bergvik skog öst AB</t>
        </is>
      </c>
      <c r="G269" t="n">
        <v>3.1</v>
      </c>
      <c r="H269" t="n">
        <v>0</v>
      </c>
      <c r="I269" t="n">
        <v>0</v>
      </c>
      <c r="J269" t="n">
        <v>0</v>
      </c>
      <c r="K269" t="n">
        <v>0</v>
      </c>
      <c r="L269" t="n">
        <v>0</v>
      </c>
      <c r="M269" t="n">
        <v>0</v>
      </c>
      <c r="N269" t="n">
        <v>0</v>
      </c>
      <c r="O269" t="n">
        <v>0</v>
      </c>
      <c r="P269" t="n">
        <v>0</v>
      </c>
      <c r="Q269" t="n">
        <v>0</v>
      </c>
      <c r="R269" s="2" t="inlineStr"/>
    </row>
    <row r="270" ht="15" customHeight="1">
      <c r="A270" t="inlineStr">
        <is>
          <t>A 15067-2020</t>
        </is>
      </c>
      <c r="B270" s="1" t="n">
        <v>43910</v>
      </c>
      <c r="C270" s="1" t="n">
        <v>45829</v>
      </c>
      <c r="D270" t="inlineStr">
        <is>
          <t>UPPSALA LÄN</t>
        </is>
      </c>
      <c r="E270" t="inlineStr">
        <is>
          <t>ÖSTHAMMAR</t>
        </is>
      </c>
      <c r="F270" t="inlineStr">
        <is>
          <t>Bergvik skog öst AB</t>
        </is>
      </c>
      <c r="G270" t="n">
        <v>20.5</v>
      </c>
      <c r="H270" t="n">
        <v>0</v>
      </c>
      <c r="I270" t="n">
        <v>0</v>
      </c>
      <c r="J270" t="n">
        <v>0</v>
      </c>
      <c r="K270" t="n">
        <v>0</v>
      </c>
      <c r="L270" t="n">
        <v>0</v>
      </c>
      <c r="M270" t="n">
        <v>0</v>
      </c>
      <c r="N270" t="n">
        <v>0</v>
      </c>
      <c r="O270" t="n">
        <v>0</v>
      </c>
      <c r="P270" t="n">
        <v>0</v>
      </c>
      <c r="Q270" t="n">
        <v>0</v>
      </c>
      <c r="R270" s="2" t="inlineStr"/>
    </row>
    <row r="271" ht="15" customHeight="1">
      <c r="A271" t="inlineStr">
        <is>
          <t>A 17549-2020</t>
        </is>
      </c>
      <c r="B271" s="1" t="n">
        <v>43920</v>
      </c>
      <c r="C271" s="1" t="n">
        <v>45829</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19556-2020</t>
        </is>
      </c>
      <c r="B272" s="1" t="n">
        <v>43936</v>
      </c>
      <c r="C272" s="1" t="n">
        <v>45829</v>
      </c>
      <c r="D272" t="inlineStr">
        <is>
          <t>UPPSALA LÄN</t>
        </is>
      </c>
      <c r="E272" t="inlineStr">
        <is>
          <t>ÖSTHAMMAR</t>
        </is>
      </c>
      <c r="G272" t="n">
        <v>6.3</v>
      </c>
      <c r="H272" t="n">
        <v>0</v>
      </c>
      <c r="I272" t="n">
        <v>0</v>
      </c>
      <c r="J272" t="n">
        <v>0</v>
      </c>
      <c r="K272" t="n">
        <v>0</v>
      </c>
      <c r="L272" t="n">
        <v>0</v>
      </c>
      <c r="M272" t="n">
        <v>0</v>
      </c>
      <c r="N272" t="n">
        <v>0</v>
      </c>
      <c r="O272" t="n">
        <v>0</v>
      </c>
      <c r="P272" t="n">
        <v>0</v>
      </c>
      <c r="Q272" t="n">
        <v>0</v>
      </c>
      <c r="R272" s="2" t="inlineStr"/>
    </row>
    <row r="273" ht="15" customHeight="1">
      <c r="A273" t="inlineStr">
        <is>
          <t>A 23621-2020</t>
        </is>
      </c>
      <c r="B273" s="1" t="n">
        <v>43969</v>
      </c>
      <c r="C273" s="1" t="n">
        <v>45829</v>
      </c>
      <c r="D273" t="inlineStr">
        <is>
          <t>UPPSALA LÄN</t>
        </is>
      </c>
      <c r="E273" t="inlineStr">
        <is>
          <t>ÖSTHAMMAR</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26198-2020</t>
        </is>
      </c>
      <c r="B274" s="1" t="n">
        <v>43986</v>
      </c>
      <c r="C274" s="1" t="n">
        <v>45829</v>
      </c>
      <c r="D274" t="inlineStr">
        <is>
          <t>UPPSALA LÄN</t>
        </is>
      </c>
      <c r="E274" t="inlineStr">
        <is>
          <t>ÖSTHAMMAR</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30338-2020</t>
        </is>
      </c>
      <c r="B275" s="1" t="n">
        <v>44007</v>
      </c>
      <c r="C275" s="1" t="n">
        <v>45829</v>
      </c>
      <c r="D275" t="inlineStr">
        <is>
          <t>UPPSALA LÄN</t>
        </is>
      </c>
      <c r="E275" t="inlineStr">
        <is>
          <t>ÖSTHAMMAR</t>
        </is>
      </c>
      <c r="G275" t="n">
        <v>2.1</v>
      </c>
      <c r="H275" t="n">
        <v>0</v>
      </c>
      <c r="I275" t="n">
        <v>0</v>
      </c>
      <c r="J275" t="n">
        <v>0</v>
      </c>
      <c r="K275" t="n">
        <v>0</v>
      </c>
      <c r="L275" t="n">
        <v>0</v>
      </c>
      <c r="M275" t="n">
        <v>0</v>
      </c>
      <c r="N275" t="n">
        <v>0</v>
      </c>
      <c r="O275" t="n">
        <v>0</v>
      </c>
      <c r="P275" t="n">
        <v>0</v>
      </c>
      <c r="Q275" t="n">
        <v>0</v>
      </c>
      <c r="R275" s="2" t="inlineStr"/>
    </row>
    <row r="276" ht="15" customHeight="1">
      <c r="A276" t="inlineStr">
        <is>
          <t>A 30419-2020</t>
        </is>
      </c>
      <c r="B276" s="1" t="n">
        <v>44007</v>
      </c>
      <c r="C276" s="1" t="n">
        <v>45829</v>
      </c>
      <c r="D276" t="inlineStr">
        <is>
          <t>UPPSALA LÄN</t>
        </is>
      </c>
      <c r="E276" t="inlineStr">
        <is>
          <t>ÖSTHAMMAR</t>
        </is>
      </c>
      <c r="G276" t="n">
        <v>5.6</v>
      </c>
      <c r="H276" t="n">
        <v>0</v>
      </c>
      <c r="I276" t="n">
        <v>0</v>
      </c>
      <c r="J276" t="n">
        <v>0</v>
      </c>
      <c r="K276" t="n">
        <v>0</v>
      </c>
      <c r="L276" t="n">
        <v>0</v>
      </c>
      <c r="M276" t="n">
        <v>0</v>
      </c>
      <c r="N276" t="n">
        <v>0</v>
      </c>
      <c r="O276" t="n">
        <v>0</v>
      </c>
      <c r="P276" t="n">
        <v>0</v>
      </c>
      <c r="Q276" t="n">
        <v>0</v>
      </c>
      <c r="R276" s="2" t="inlineStr"/>
    </row>
    <row r="277" ht="15" customHeight="1">
      <c r="A277" t="inlineStr">
        <is>
          <t>A 32192-2020</t>
        </is>
      </c>
      <c r="B277" s="1" t="n">
        <v>44015</v>
      </c>
      <c r="C277" s="1" t="n">
        <v>45829</v>
      </c>
      <c r="D277" t="inlineStr">
        <is>
          <t>UPPSALA LÄN</t>
        </is>
      </c>
      <c r="E277" t="inlineStr">
        <is>
          <t>ÖSTHAMMAR</t>
        </is>
      </c>
      <c r="G277" t="n">
        <v>1.6</v>
      </c>
      <c r="H277" t="n">
        <v>0</v>
      </c>
      <c r="I277" t="n">
        <v>0</v>
      </c>
      <c r="J277" t="n">
        <v>0</v>
      </c>
      <c r="K277" t="n">
        <v>0</v>
      </c>
      <c r="L277" t="n">
        <v>0</v>
      </c>
      <c r="M277" t="n">
        <v>0</v>
      </c>
      <c r="N277" t="n">
        <v>0</v>
      </c>
      <c r="O277" t="n">
        <v>0</v>
      </c>
      <c r="P277" t="n">
        <v>0</v>
      </c>
      <c r="Q277" t="n">
        <v>0</v>
      </c>
      <c r="R277" s="2" t="inlineStr"/>
    </row>
    <row r="278" ht="15" customHeight="1">
      <c r="A278" t="inlineStr">
        <is>
          <t>A 33098-2020</t>
        </is>
      </c>
      <c r="B278" s="1" t="n">
        <v>44021</v>
      </c>
      <c r="C278" s="1" t="n">
        <v>45829</v>
      </c>
      <c r="D278" t="inlineStr">
        <is>
          <t>UPPSALA LÄN</t>
        </is>
      </c>
      <c r="E278" t="inlineStr">
        <is>
          <t>ÖSTHAMMAR</t>
        </is>
      </c>
      <c r="G278" t="n">
        <v>3.8</v>
      </c>
      <c r="H278" t="n">
        <v>0</v>
      </c>
      <c r="I278" t="n">
        <v>0</v>
      </c>
      <c r="J278" t="n">
        <v>0</v>
      </c>
      <c r="K278" t="n">
        <v>0</v>
      </c>
      <c r="L278" t="n">
        <v>0</v>
      </c>
      <c r="M278" t="n">
        <v>0</v>
      </c>
      <c r="N278" t="n">
        <v>0</v>
      </c>
      <c r="O278" t="n">
        <v>0</v>
      </c>
      <c r="P278" t="n">
        <v>0</v>
      </c>
      <c r="Q278" t="n">
        <v>0</v>
      </c>
      <c r="R278" s="2" t="inlineStr"/>
    </row>
    <row r="279" ht="15" customHeight="1">
      <c r="A279" t="inlineStr">
        <is>
          <t>A 34943-2020</t>
        </is>
      </c>
      <c r="B279" s="1" t="n">
        <v>44038</v>
      </c>
      <c r="C279" s="1" t="n">
        <v>45829</v>
      </c>
      <c r="D279" t="inlineStr">
        <is>
          <t>UPPSALA LÄN</t>
        </is>
      </c>
      <c r="E279" t="inlineStr">
        <is>
          <t>ÖSTHAMMAR</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34941-2020</t>
        </is>
      </c>
      <c r="B280" s="1" t="n">
        <v>44038</v>
      </c>
      <c r="C280" s="1" t="n">
        <v>45829</v>
      </c>
      <c r="D280" t="inlineStr">
        <is>
          <t>UPPSALA LÄN</t>
        </is>
      </c>
      <c r="E280" t="inlineStr">
        <is>
          <t>ÖSTHAMMAR</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34940-2020</t>
        </is>
      </c>
      <c r="B281" s="1" t="n">
        <v>44038</v>
      </c>
      <c r="C281" s="1" t="n">
        <v>45829</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35094-2020</t>
        </is>
      </c>
      <c r="B282" s="1" t="n">
        <v>44040</v>
      </c>
      <c r="C282" s="1" t="n">
        <v>45829</v>
      </c>
      <c r="D282" t="inlineStr">
        <is>
          <t>UPPSALA LÄN</t>
        </is>
      </c>
      <c r="E282" t="inlineStr">
        <is>
          <t>ÖSTHAMMAR</t>
        </is>
      </c>
      <c r="F282" t="inlineStr">
        <is>
          <t>Bergvik skog öst AB</t>
        </is>
      </c>
      <c r="G282" t="n">
        <v>14.5</v>
      </c>
      <c r="H282" t="n">
        <v>0</v>
      </c>
      <c r="I282" t="n">
        <v>0</v>
      </c>
      <c r="J282" t="n">
        <v>0</v>
      </c>
      <c r="K282" t="n">
        <v>0</v>
      </c>
      <c r="L282" t="n">
        <v>0</v>
      </c>
      <c r="M282" t="n">
        <v>0</v>
      </c>
      <c r="N282" t="n">
        <v>0</v>
      </c>
      <c r="O282" t="n">
        <v>0</v>
      </c>
      <c r="P282" t="n">
        <v>0</v>
      </c>
      <c r="Q282" t="n">
        <v>0</v>
      </c>
      <c r="R282" s="2" t="inlineStr"/>
    </row>
    <row r="283" ht="15" customHeight="1">
      <c r="A283" t="inlineStr">
        <is>
          <t>A 35096-2020</t>
        </is>
      </c>
      <c r="B283" s="1" t="n">
        <v>44040</v>
      </c>
      <c r="C283" s="1" t="n">
        <v>45829</v>
      </c>
      <c r="D283" t="inlineStr">
        <is>
          <t>UPPSALA LÄN</t>
        </is>
      </c>
      <c r="E283" t="inlineStr">
        <is>
          <t>ÖSTHAMMAR</t>
        </is>
      </c>
      <c r="F283" t="inlineStr">
        <is>
          <t>Bergvik skog öst AB</t>
        </is>
      </c>
      <c r="G283" t="n">
        <v>7.6</v>
      </c>
      <c r="H283" t="n">
        <v>0</v>
      </c>
      <c r="I283" t="n">
        <v>0</v>
      </c>
      <c r="J283" t="n">
        <v>0</v>
      </c>
      <c r="K283" t="n">
        <v>0</v>
      </c>
      <c r="L283" t="n">
        <v>0</v>
      </c>
      <c r="M283" t="n">
        <v>0</v>
      </c>
      <c r="N283" t="n">
        <v>0</v>
      </c>
      <c r="O283" t="n">
        <v>0</v>
      </c>
      <c r="P283" t="n">
        <v>0</v>
      </c>
      <c r="Q283" t="n">
        <v>0</v>
      </c>
      <c r="R283" s="2" t="inlineStr"/>
    </row>
    <row r="284" ht="15" customHeight="1">
      <c r="A284" t="inlineStr">
        <is>
          <t>A 38285-2020</t>
        </is>
      </c>
      <c r="B284" s="1" t="n">
        <v>44060</v>
      </c>
      <c r="C284" s="1" t="n">
        <v>45829</v>
      </c>
      <c r="D284" t="inlineStr">
        <is>
          <t>UPPSALA LÄN</t>
        </is>
      </c>
      <c r="E284" t="inlineStr">
        <is>
          <t>ÖSTHAMMAR</t>
        </is>
      </c>
      <c r="G284" t="n">
        <v>4.7</v>
      </c>
      <c r="H284" t="n">
        <v>0</v>
      </c>
      <c r="I284" t="n">
        <v>0</v>
      </c>
      <c r="J284" t="n">
        <v>0</v>
      </c>
      <c r="K284" t="n">
        <v>0</v>
      </c>
      <c r="L284" t="n">
        <v>0</v>
      </c>
      <c r="M284" t="n">
        <v>0</v>
      </c>
      <c r="N284" t="n">
        <v>0</v>
      </c>
      <c r="O284" t="n">
        <v>0</v>
      </c>
      <c r="P284" t="n">
        <v>0</v>
      </c>
      <c r="Q284" t="n">
        <v>0</v>
      </c>
      <c r="R284" s="2" t="inlineStr"/>
    </row>
    <row r="285" ht="15" customHeight="1">
      <c r="A285" t="inlineStr">
        <is>
          <t>A 38630-2020</t>
        </is>
      </c>
      <c r="B285" s="1" t="n">
        <v>44061</v>
      </c>
      <c r="C285" s="1" t="n">
        <v>45829</v>
      </c>
      <c r="D285" t="inlineStr">
        <is>
          <t>UPPSALA LÄN</t>
        </is>
      </c>
      <c r="E285" t="inlineStr">
        <is>
          <t>ÖSTHAMMAR</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39640-2020</t>
        </is>
      </c>
      <c r="B286" s="1" t="n">
        <v>44064</v>
      </c>
      <c r="C286" s="1" t="n">
        <v>45829</v>
      </c>
      <c r="D286" t="inlineStr">
        <is>
          <t>UPPSALA LÄN</t>
        </is>
      </c>
      <c r="E286" t="inlineStr">
        <is>
          <t>ÖSTHAMMAR</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41849-2020</t>
        </is>
      </c>
      <c r="B287" s="1" t="n">
        <v>44074</v>
      </c>
      <c r="C287" s="1" t="n">
        <v>45829</v>
      </c>
      <c r="D287" t="inlineStr">
        <is>
          <t>UPPSALA LÄN</t>
        </is>
      </c>
      <c r="E287" t="inlineStr">
        <is>
          <t>ÖSTHAMMAR</t>
        </is>
      </c>
      <c r="F287" t="inlineStr">
        <is>
          <t>Bergvik skog öst AB</t>
        </is>
      </c>
      <c r="G287" t="n">
        <v>2.5</v>
      </c>
      <c r="H287" t="n">
        <v>0</v>
      </c>
      <c r="I287" t="n">
        <v>0</v>
      </c>
      <c r="J287" t="n">
        <v>0</v>
      </c>
      <c r="K287" t="n">
        <v>0</v>
      </c>
      <c r="L287" t="n">
        <v>0</v>
      </c>
      <c r="M287" t="n">
        <v>0</v>
      </c>
      <c r="N287" t="n">
        <v>0</v>
      </c>
      <c r="O287" t="n">
        <v>0</v>
      </c>
      <c r="P287" t="n">
        <v>0</v>
      </c>
      <c r="Q287" t="n">
        <v>0</v>
      </c>
      <c r="R287" s="2" t="inlineStr"/>
    </row>
    <row r="288" ht="15" customHeight="1">
      <c r="A288" t="inlineStr">
        <is>
          <t>A 42549-2020</t>
        </is>
      </c>
      <c r="B288" s="1" t="n">
        <v>44077</v>
      </c>
      <c r="C288" s="1" t="n">
        <v>45829</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46311-2020</t>
        </is>
      </c>
      <c r="B289" s="1" t="n">
        <v>44092</v>
      </c>
      <c r="C289" s="1" t="n">
        <v>45829</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46423-2020</t>
        </is>
      </c>
      <c r="B290" s="1" t="n">
        <v>44095</v>
      </c>
      <c r="C290" s="1" t="n">
        <v>45829</v>
      </c>
      <c r="D290" t="inlineStr">
        <is>
          <t>UPPSALA LÄN</t>
        </is>
      </c>
      <c r="E290" t="inlineStr">
        <is>
          <t>ÖSTHAMMAR</t>
        </is>
      </c>
      <c r="G290" t="n">
        <v>3</v>
      </c>
      <c r="H290" t="n">
        <v>0</v>
      </c>
      <c r="I290" t="n">
        <v>0</v>
      </c>
      <c r="J290" t="n">
        <v>0</v>
      </c>
      <c r="K290" t="n">
        <v>0</v>
      </c>
      <c r="L290" t="n">
        <v>0</v>
      </c>
      <c r="M290" t="n">
        <v>0</v>
      </c>
      <c r="N290" t="n">
        <v>0</v>
      </c>
      <c r="O290" t="n">
        <v>0</v>
      </c>
      <c r="P290" t="n">
        <v>0</v>
      </c>
      <c r="Q290" t="n">
        <v>0</v>
      </c>
      <c r="R290" s="2" t="inlineStr"/>
    </row>
    <row r="291" ht="15" customHeight="1">
      <c r="A291" t="inlineStr">
        <is>
          <t>A 47481-2020</t>
        </is>
      </c>
      <c r="B291" s="1" t="n">
        <v>44098</v>
      </c>
      <c r="C291" s="1" t="n">
        <v>45829</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49206-2020</t>
        </is>
      </c>
      <c r="B292" s="1" t="n">
        <v>44105</v>
      </c>
      <c r="C292" s="1" t="n">
        <v>45829</v>
      </c>
      <c r="D292" t="inlineStr">
        <is>
          <t>UPPSALA LÄN</t>
        </is>
      </c>
      <c r="E292" t="inlineStr">
        <is>
          <t>ÖSTHAMMAR</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49336-2020</t>
        </is>
      </c>
      <c r="B293" s="1" t="n">
        <v>44105</v>
      </c>
      <c r="C293" s="1" t="n">
        <v>45829</v>
      </c>
      <c r="D293" t="inlineStr">
        <is>
          <t>UPPSALA LÄN</t>
        </is>
      </c>
      <c r="E293" t="inlineStr">
        <is>
          <t>ÖSTHAMMAR</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52432-2020</t>
        </is>
      </c>
      <c r="B294" s="1" t="n">
        <v>44118</v>
      </c>
      <c r="C294" s="1" t="n">
        <v>45829</v>
      </c>
      <c r="D294" t="inlineStr">
        <is>
          <t>UPPSALA LÄN</t>
        </is>
      </c>
      <c r="E294" t="inlineStr">
        <is>
          <t>ÖSTHAMMAR</t>
        </is>
      </c>
      <c r="G294" t="n">
        <v>2.7</v>
      </c>
      <c r="H294" t="n">
        <v>0</v>
      </c>
      <c r="I294" t="n">
        <v>0</v>
      </c>
      <c r="J294" t="n">
        <v>0</v>
      </c>
      <c r="K294" t="n">
        <v>0</v>
      </c>
      <c r="L294" t="n">
        <v>0</v>
      </c>
      <c r="M294" t="n">
        <v>0</v>
      </c>
      <c r="N294" t="n">
        <v>0</v>
      </c>
      <c r="O294" t="n">
        <v>0</v>
      </c>
      <c r="P294" t="n">
        <v>0</v>
      </c>
      <c r="Q294" t="n">
        <v>0</v>
      </c>
      <c r="R294" s="2" t="inlineStr"/>
    </row>
    <row r="295" ht="15" customHeight="1">
      <c r="A295" t="inlineStr">
        <is>
          <t>A 52434-2020</t>
        </is>
      </c>
      <c r="B295" s="1" t="n">
        <v>44118</v>
      </c>
      <c r="C295" s="1" t="n">
        <v>45829</v>
      </c>
      <c r="D295" t="inlineStr">
        <is>
          <t>UPPSALA LÄN</t>
        </is>
      </c>
      <c r="E295" t="inlineStr">
        <is>
          <t>ÖSTHAMMAR</t>
        </is>
      </c>
      <c r="G295" t="n">
        <v>2.8</v>
      </c>
      <c r="H295" t="n">
        <v>0</v>
      </c>
      <c r="I295" t="n">
        <v>0</v>
      </c>
      <c r="J295" t="n">
        <v>0</v>
      </c>
      <c r="K295" t="n">
        <v>0</v>
      </c>
      <c r="L295" t="n">
        <v>0</v>
      </c>
      <c r="M295" t="n">
        <v>0</v>
      </c>
      <c r="N295" t="n">
        <v>0</v>
      </c>
      <c r="O295" t="n">
        <v>0</v>
      </c>
      <c r="P295" t="n">
        <v>0</v>
      </c>
      <c r="Q295" t="n">
        <v>0</v>
      </c>
      <c r="R295" s="2" t="inlineStr"/>
    </row>
    <row r="296" ht="15" customHeight="1">
      <c r="A296" t="inlineStr">
        <is>
          <t>A 53137-2020</t>
        </is>
      </c>
      <c r="B296" s="1" t="n">
        <v>44120</v>
      </c>
      <c r="C296" s="1" t="n">
        <v>45829</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55389-2020</t>
        </is>
      </c>
      <c r="B297" s="1" t="n">
        <v>44131</v>
      </c>
      <c r="C297" s="1" t="n">
        <v>45829</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56041-2020</t>
        </is>
      </c>
      <c r="B298" s="1" t="n">
        <v>44133</v>
      </c>
      <c r="C298" s="1" t="n">
        <v>45829</v>
      </c>
      <c r="D298" t="inlineStr">
        <is>
          <t>UPPSALA LÄN</t>
        </is>
      </c>
      <c r="E298" t="inlineStr">
        <is>
          <t>ÖSTHAMMAR</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56079-2020</t>
        </is>
      </c>
      <c r="B299" s="1" t="n">
        <v>44133</v>
      </c>
      <c r="C299" s="1" t="n">
        <v>45829</v>
      </c>
      <c r="D299" t="inlineStr">
        <is>
          <t>UPPSALA LÄN</t>
        </is>
      </c>
      <c r="E299" t="inlineStr">
        <is>
          <t>ÖSTHAMMAR</t>
        </is>
      </c>
      <c r="F299" t="inlineStr">
        <is>
          <t>Bergvik skog öst AB</t>
        </is>
      </c>
      <c r="G299" t="n">
        <v>2.9</v>
      </c>
      <c r="H299" t="n">
        <v>0</v>
      </c>
      <c r="I299" t="n">
        <v>0</v>
      </c>
      <c r="J299" t="n">
        <v>0</v>
      </c>
      <c r="K299" t="n">
        <v>0</v>
      </c>
      <c r="L299" t="n">
        <v>0</v>
      </c>
      <c r="M299" t="n">
        <v>0</v>
      </c>
      <c r="N299" t="n">
        <v>0</v>
      </c>
      <c r="O299" t="n">
        <v>0</v>
      </c>
      <c r="P299" t="n">
        <v>0</v>
      </c>
      <c r="Q299" t="n">
        <v>0</v>
      </c>
      <c r="R299" s="2" t="inlineStr"/>
    </row>
    <row r="300" ht="15" customHeight="1">
      <c r="A300" t="inlineStr">
        <is>
          <t>A 56089-2020</t>
        </is>
      </c>
      <c r="B300" s="1" t="n">
        <v>44133</v>
      </c>
      <c r="C300" s="1" t="n">
        <v>45829</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57408-2020</t>
        </is>
      </c>
      <c r="B301" s="1" t="n">
        <v>44140</v>
      </c>
      <c r="C301" s="1" t="n">
        <v>45829</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59432-2020</t>
        </is>
      </c>
      <c r="B302" s="1" t="n">
        <v>44148</v>
      </c>
      <c r="C302" s="1" t="n">
        <v>45829</v>
      </c>
      <c r="D302" t="inlineStr">
        <is>
          <t>UPPSALA LÄN</t>
        </is>
      </c>
      <c r="E302" t="inlineStr">
        <is>
          <t>ÖSTHAMMAR</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59414-2020</t>
        </is>
      </c>
      <c r="B303" s="1" t="n">
        <v>44148</v>
      </c>
      <c r="C303" s="1" t="n">
        <v>45829</v>
      </c>
      <c r="D303" t="inlineStr">
        <is>
          <t>UPPSALA LÄN</t>
        </is>
      </c>
      <c r="E303" t="inlineStr">
        <is>
          <t>ÖSTHAMMAR</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59417-2020</t>
        </is>
      </c>
      <c r="B304" s="1" t="n">
        <v>44148</v>
      </c>
      <c r="C304" s="1" t="n">
        <v>45829</v>
      </c>
      <c r="D304" t="inlineStr">
        <is>
          <t>UPPSALA LÄN</t>
        </is>
      </c>
      <c r="E304" t="inlineStr">
        <is>
          <t>ÖSTHAMMAR</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59714-2020</t>
        </is>
      </c>
      <c r="B305" s="1" t="n">
        <v>44151</v>
      </c>
      <c r="C305" s="1" t="n">
        <v>45829</v>
      </c>
      <c r="D305" t="inlineStr">
        <is>
          <t>UPPSALA LÄN</t>
        </is>
      </c>
      <c r="E305" t="inlineStr">
        <is>
          <t>ÖSTHAMMAR</t>
        </is>
      </c>
      <c r="F305" t="inlineStr">
        <is>
          <t>Bergvik skog öst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59807-2020</t>
        </is>
      </c>
      <c r="B306" s="1" t="n">
        <v>44151</v>
      </c>
      <c r="C306" s="1" t="n">
        <v>45829</v>
      </c>
      <c r="D306" t="inlineStr">
        <is>
          <t>UPPSALA LÄN</t>
        </is>
      </c>
      <c r="E306" t="inlineStr">
        <is>
          <t>ÖSTHAMMAR</t>
        </is>
      </c>
      <c r="G306" t="n">
        <v>3.4</v>
      </c>
      <c r="H306" t="n">
        <v>0</v>
      </c>
      <c r="I306" t="n">
        <v>0</v>
      </c>
      <c r="J306" t="n">
        <v>0</v>
      </c>
      <c r="K306" t="n">
        <v>0</v>
      </c>
      <c r="L306" t="n">
        <v>0</v>
      </c>
      <c r="M306" t="n">
        <v>0</v>
      </c>
      <c r="N306" t="n">
        <v>0</v>
      </c>
      <c r="O306" t="n">
        <v>0</v>
      </c>
      <c r="P306" t="n">
        <v>0</v>
      </c>
      <c r="Q306" t="n">
        <v>0</v>
      </c>
      <c r="R306" s="2" t="inlineStr"/>
    </row>
    <row r="307" ht="15" customHeight="1">
      <c r="A307" t="inlineStr">
        <is>
          <t>A 61193-2020</t>
        </is>
      </c>
      <c r="B307" s="1" t="n">
        <v>44155</v>
      </c>
      <c r="C307" s="1" t="n">
        <v>45829</v>
      </c>
      <c r="D307" t="inlineStr">
        <is>
          <t>UPPSALA LÄN</t>
        </is>
      </c>
      <c r="E307" t="inlineStr">
        <is>
          <t>ÖSTHAMMAR</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62484-2020</t>
        </is>
      </c>
      <c r="B308" s="1" t="n">
        <v>44160</v>
      </c>
      <c r="C308" s="1" t="n">
        <v>45829</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63637-2020</t>
        </is>
      </c>
      <c r="B309" s="1" t="n">
        <v>44162</v>
      </c>
      <c r="C309" s="1" t="n">
        <v>45829</v>
      </c>
      <c r="D309" t="inlineStr">
        <is>
          <t>UPPSALA LÄN</t>
        </is>
      </c>
      <c r="E309" t="inlineStr">
        <is>
          <t>ÖSTHAMMAR</t>
        </is>
      </c>
      <c r="G309" t="n">
        <v>4</v>
      </c>
      <c r="H309" t="n">
        <v>0</v>
      </c>
      <c r="I309" t="n">
        <v>0</v>
      </c>
      <c r="J309" t="n">
        <v>0</v>
      </c>
      <c r="K309" t="n">
        <v>0</v>
      </c>
      <c r="L309" t="n">
        <v>0</v>
      </c>
      <c r="M309" t="n">
        <v>0</v>
      </c>
      <c r="N309" t="n">
        <v>0</v>
      </c>
      <c r="O309" t="n">
        <v>0</v>
      </c>
      <c r="P309" t="n">
        <v>0</v>
      </c>
      <c r="Q309" t="n">
        <v>0</v>
      </c>
      <c r="R309" s="2" t="inlineStr"/>
    </row>
    <row r="310" ht="15" customHeight="1">
      <c r="A310" t="inlineStr">
        <is>
          <t>A 63577-2020</t>
        </is>
      </c>
      <c r="B310" s="1" t="n">
        <v>44165</v>
      </c>
      <c r="C310" s="1" t="n">
        <v>45829</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63987-2020</t>
        </is>
      </c>
      <c r="B311" s="1" t="n">
        <v>44167</v>
      </c>
      <c r="C311" s="1" t="n">
        <v>45829</v>
      </c>
      <c r="D311" t="inlineStr">
        <is>
          <t>UPPSALA LÄN</t>
        </is>
      </c>
      <c r="E311" t="inlineStr">
        <is>
          <t>ÖSTHAMMAR</t>
        </is>
      </c>
      <c r="G311" t="n">
        <v>5.9</v>
      </c>
      <c r="H311" t="n">
        <v>0</v>
      </c>
      <c r="I311" t="n">
        <v>0</v>
      </c>
      <c r="J311" t="n">
        <v>0</v>
      </c>
      <c r="K311" t="n">
        <v>0</v>
      </c>
      <c r="L311" t="n">
        <v>0</v>
      </c>
      <c r="M311" t="n">
        <v>0</v>
      </c>
      <c r="N311" t="n">
        <v>0</v>
      </c>
      <c r="O311" t="n">
        <v>0</v>
      </c>
      <c r="P311" t="n">
        <v>0</v>
      </c>
      <c r="Q311" t="n">
        <v>0</v>
      </c>
      <c r="R311" s="2" t="inlineStr"/>
    </row>
    <row r="312" ht="15" customHeight="1">
      <c r="A312" t="inlineStr">
        <is>
          <t>A 65361-2020</t>
        </is>
      </c>
      <c r="B312" s="1" t="n">
        <v>44173</v>
      </c>
      <c r="C312" s="1" t="n">
        <v>45829</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68243-2020</t>
        </is>
      </c>
      <c r="B313" s="1" t="n">
        <v>44183</v>
      </c>
      <c r="C313" s="1" t="n">
        <v>45829</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68828-2020</t>
        </is>
      </c>
      <c r="B314" s="1" t="n">
        <v>44186</v>
      </c>
      <c r="C314" s="1" t="n">
        <v>45829</v>
      </c>
      <c r="D314" t="inlineStr">
        <is>
          <t>UPPSALA LÄN</t>
        </is>
      </c>
      <c r="E314" t="inlineStr">
        <is>
          <t>ÖSTHAMMAR</t>
        </is>
      </c>
      <c r="G314" t="n">
        <v>1.5</v>
      </c>
      <c r="H314" t="n">
        <v>0</v>
      </c>
      <c r="I314" t="n">
        <v>0</v>
      </c>
      <c r="J314" t="n">
        <v>0</v>
      </c>
      <c r="K314" t="n">
        <v>0</v>
      </c>
      <c r="L314" t="n">
        <v>0</v>
      </c>
      <c r="M314" t="n">
        <v>0</v>
      </c>
      <c r="N314" t="n">
        <v>0</v>
      </c>
      <c r="O314" t="n">
        <v>0</v>
      </c>
      <c r="P314" t="n">
        <v>0</v>
      </c>
      <c r="Q314" t="n">
        <v>0</v>
      </c>
      <c r="R314" s="2" t="inlineStr"/>
    </row>
    <row r="315" ht="15" customHeight="1">
      <c r="A315" t="inlineStr">
        <is>
          <t>A 69681-2020</t>
        </is>
      </c>
      <c r="B315" s="1" t="n">
        <v>44196</v>
      </c>
      <c r="C315" s="1" t="n">
        <v>45829</v>
      </c>
      <c r="D315" t="inlineStr">
        <is>
          <t>UPPSALA LÄN</t>
        </is>
      </c>
      <c r="E315" t="inlineStr">
        <is>
          <t>ÖSTHAMMAR</t>
        </is>
      </c>
      <c r="F315" t="inlineStr">
        <is>
          <t>Bergvik skog öst AB</t>
        </is>
      </c>
      <c r="G315" t="n">
        <v>21.9</v>
      </c>
      <c r="H315" t="n">
        <v>0</v>
      </c>
      <c r="I315" t="n">
        <v>0</v>
      </c>
      <c r="J315" t="n">
        <v>0</v>
      </c>
      <c r="K315" t="n">
        <v>0</v>
      </c>
      <c r="L315" t="n">
        <v>0</v>
      </c>
      <c r="M315" t="n">
        <v>0</v>
      </c>
      <c r="N315" t="n">
        <v>0</v>
      </c>
      <c r="O315" t="n">
        <v>0</v>
      </c>
      <c r="P315" t="n">
        <v>0</v>
      </c>
      <c r="Q315" t="n">
        <v>0</v>
      </c>
      <c r="R315" s="2" t="inlineStr"/>
    </row>
    <row r="316" ht="15" customHeight="1">
      <c r="A316" t="inlineStr">
        <is>
          <t>A 3693-2021</t>
        </is>
      </c>
      <c r="B316" s="1" t="n">
        <v>44221</v>
      </c>
      <c r="C316" s="1" t="n">
        <v>45829</v>
      </c>
      <c r="D316" t="inlineStr">
        <is>
          <t>UPPSALA LÄN</t>
        </is>
      </c>
      <c r="E316" t="inlineStr">
        <is>
          <t>ÖSTHAMMAR</t>
        </is>
      </c>
      <c r="G316" t="n">
        <v>0.3</v>
      </c>
      <c r="H316" t="n">
        <v>0</v>
      </c>
      <c r="I316" t="n">
        <v>0</v>
      </c>
      <c r="J316" t="n">
        <v>0</v>
      </c>
      <c r="K316" t="n">
        <v>0</v>
      </c>
      <c r="L316" t="n">
        <v>0</v>
      </c>
      <c r="M316" t="n">
        <v>0</v>
      </c>
      <c r="N316" t="n">
        <v>0</v>
      </c>
      <c r="O316" t="n">
        <v>0</v>
      </c>
      <c r="P316" t="n">
        <v>0</v>
      </c>
      <c r="Q316" t="n">
        <v>0</v>
      </c>
      <c r="R316" s="2" t="inlineStr"/>
    </row>
    <row r="317" ht="15" customHeight="1">
      <c r="A317" t="inlineStr">
        <is>
          <t>A 4151-2021</t>
        </is>
      </c>
      <c r="B317" s="1" t="n">
        <v>44221</v>
      </c>
      <c r="C317" s="1" t="n">
        <v>45829</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4590-2021</t>
        </is>
      </c>
      <c r="B318" s="1" t="n">
        <v>44224</v>
      </c>
      <c r="C318" s="1" t="n">
        <v>45829</v>
      </c>
      <c r="D318" t="inlineStr">
        <is>
          <t>UPPSALA LÄN</t>
        </is>
      </c>
      <c r="E318" t="inlineStr">
        <is>
          <t>ÖSTHAMMAR</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6221-2021</t>
        </is>
      </c>
      <c r="B319" s="1" t="n">
        <v>44235</v>
      </c>
      <c r="C319" s="1" t="n">
        <v>45829</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7113-2021</t>
        </is>
      </c>
      <c r="B320" s="1" t="n">
        <v>44238</v>
      </c>
      <c r="C320" s="1" t="n">
        <v>45829</v>
      </c>
      <c r="D320" t="inlineStr">
        <is>
          <t>UPPSALA LÄN</t>
        </is>
      </c>
      <c r="E320" t="inlineStr">
        <is>
          <t>ÖSTHAMMAR</t>
        </is>
      </c>
      <c r="F320" t="inlineStr">
        <is>
          <t>Bergvik skog öst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8009-2021</t>
        </is>
      </c>
      <c r="B321" s="1" t="n">
        <v>44243</v>
      </c>
      <c r="C321" s="1" t="n">
        <v>45829</v>
      </c>
      <c r="D321" t="inlineStr">
        <is>
          <t>UPPSALA LÄN</t>
        </is>
      </c>
      <c r="E321" t="inlineStr">
        <is>
          <t>ÖSTHAMMAR</t>
        </is>
      </c>
      <c r="G321" t="n">
        <v>9.9</v>
      </c>
      <c r="H321" t="n">
        <v>0</v>
      </c>
      <c r="I321" t="n">
        <v>0</v>
      </c>
      <c r="J321" t="n">
        <v>0</v>
      </c>
      <c r="K321" t="n">
        <v>0</v>
      </c>
      <c r="L321" t="n">
        <v>0</v>
      </c>
      <c r="M321" t="n">
        <v>0</v>
      </c>
      <c r="N321" t="n">
        <v>0</v>
      </c>
      <c r="O321" t="n">
        <v>0</v>
      </c>
      <c r="P321" t="n">
        <v>0</v>
      </c>
      <c r="Q321" t="n">
        <v>0</v>
      </c>
      <c r="R321" s="2" t="inlineStr"/>
    </row>
    <row r="322" ht="15" customHeight="1">
      <c r="A322" t="inlineStr">
        <is>
          <t>A 10316-2021</t>
        </is>
      </c>
      <c r="B322" s="1" t="n">
        <v>44257</v>
      </c>
      <c r="C322" s="1" t="n">
        <v>45829</v>
      </c>
      <c r="D322" t="inlineStr">
        <is>
          <t>UPPSALA LÄN</t>
        </is>
      </c>
      <c r="E322" t="inlineStr">
        <is>
          <t>ÖSTHAMMAR</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10498-2021</t>
        </is>
      </c>
      <c r="B323" s="1" t="n">
        <v>44258</v>
      </c>
      <c r="C323" s="1" t="n">
        <v>45829</v>
      </c>
      <c r="D323" t="inlineStr">
        <is>
          <t>UPPSALA LÄN</t>
        </is>
      </c>
      <c r="E323" t="inlineStr">
        <is>
          <t>ÖSTHAMMAR</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14248-2021</t>
        </is>
      </c>
      <c r="B324" s="1" t="n">
        <v>44278</v>
      </c>
      <c r="C324" s="1" t="n">
        <v>45829</v>
      </c>
      <c r="D324" t="inlineStr">
        <is>
          <t>UPPSALA LÄN</t>
        </is>
      </c>
      <c r="E324" t="inlineStr">
        <is>
          <t>ÖSTHAMMAR</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14525-2021</t>
        </is>
      </c>
      <c r="B325" s="1" t="n">
        <v>44279</v>
      </c>
      <c r="C325" s="1" t="n">
        <v>45829</v>
      </c>
      <c r="D325" t="inlineStr">
        <is>
          <t>UPPSALA LÄN</t>
        </is>
      </c>
      <c r="E325" t="inlineStr">
        <is>
          <t>ÖSTHAMMAR</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16212-2021</t>
        </is>
      </c>
      <c r="B326" s="1" t="n">
        <v>44287</v>
      </c>
      <c r="C326" s="1" t="n">
        <v>45829</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16209-2021</t>
        </is>
      </c>
      <c r="B327" s="1" t="n">
        <v>44287</v>
      </c>
      <c r="C327" s="1" t="n">
        <v>45829</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17009-2021</t>
        </is>
      </c>
      <c r="B328" s="1" t="n">
        <v>44295</v>
      </c>
      <c r="C328" s="1" t="n">
        <v>45829</v>
      </c>
      <c r="D328" t="inlineStr">
        <is>
          <t>UPPSALA LÄN</t>
        </is>
      </c>
      <c r="E328" t="inlineStr">
        <is>
          <t>ÖSTHAMMAR</t>
        </is>
      </c>
      <c r="F328" t="inlineStr">
        <is>
          <t>Bergvik skog öst AB</t>
        </is>
      </c>
      <c r="G328" t="n">
        <v>3.2</v>
      </c>
      <c r="H328" t="n">
        <v>0</v>
      </c>
      <c r="I328" t="n">
        <v>0</v>
      </c>
      <c r="J328" t="n">
        <v>0</v>
      </c>
      <c r="K328" t="n">
        <v>0</v>
      </c>
      <c r="L328" t="n">
        <v>0</v>
      </c>
      <c r="M328" t="n">
        <v>0</v>
      </c>
      <c r="N328" t="n">
        <v>0</v>
      </c>
      <c r="O328" t="n">
        <v>0</v>
      </c>
      <c r="P328" t="n">
        <v>0</v>
      </c>
      <c r="Q328" t="n">
        <v>0</v>
      </c>
      <c r="R328" s="2" t="inlineStr"/>
    </row>
    <row r="329" ht="15" customHeight="1">
      <c r="A329" t="inlineStr">
        <is>
          <t>A 17022-2021</t>
        </is>
      </c>
      <c r="B329" s="1" t="n">
        <v>44295</v>
      </c>
      <c r="C329" s="1" t="n">
        <v>45829</v>
      </c>
      <c r="D329" t="inlineStr">
        <is>
          <t>UPPSALA LÄN</t>
        </is>
      </c>
      <c r="E329" t="inlineStr">
        <is>
          <t>ÖSTHAMMAR</t>
        </is>
      </c>
      <c r="F329" t="inlineStr">
        <is>
          <t>Bergvik skog öst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17033-2021</t>
        </is>
      </c>
      <c r="B330" s="1" t="n">
        <v>44295</v>
      </c>
      <c r="C330" s="1" t="n">
        <v>45829</v>
      </c>
      <c r="D330" t="inlineStr">
        <is>
          <t>UPPSALA LÄN</t>
        </is>
      </c>
      <c r="E330" t="inlineStr">
        <is>
          <t>ÖSTHAMMAR</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17349-2021</t>
        </is>
      </c>
      <c r="B331" s="1" t="n">
        <v>44298</v>
      </c>
      <c r="C331" s="1" t="n">
        <v>45829</v>
      </c>
      <c r="D331" t="inlineStr">
        <is>
          <t>UPPSALA LÄN</t>
        </is>
      </c>
      <c r="E331" t="inlineStr">
        <is>
          <t>ÖSTHAMMAR</t>
        </is>
      </c>
      <c r="F331" t="inlineStr">
        <is>
          <t>Bergvik skog öst AB</t>
        </is>
      </c>
      <c r="G331" t="n">
        <v>4.2</v>
      </c>
      <c r="H331" t="n">
        <v>0</v>
      </c>
      <c r="I331" t="n">
        <v>0</v>
      </c>
      <c r="J331" t="n">
        <v>0</v>
      </c>
      <c r="K331" t="n">
        <v>0</v>
      </c>
      <c r="L331" t="n">
        <v>0</v>
      </c>
      <c r="M331" t="n">
        <v>0</v>
      </c>
      <c r="N331" t="n">
        <v>0</v>
      </c>
      <c r="O331" t="n">
        <v>0</v>
      </c>
      <c r="P331" t="n">
        <v>0</v>
      </c>
      <c r="Q331" t="n">
        <v>0</v>
      </c>
      <c r="R331" s="2" t="inlineStr"/>
    </row>
    <row r="332" ht="15" customHeight="1">
      <c r="A332" t="inlineStr">
        <is>
          <t>A 18944-2021</t>
        </is>
      </c>
      <c r="B332" s="1" t="n">
        <v>44308</v>
      </c>
      <c r="C332" s="1" t="n">
        <v>45829</v>
      </c>
      <c r="D332" t="inlineStr">
        <is>
          <t>UPPSALA LÄN</t>
        </is>
      </c>
      <c r="E332" t="inlineStr">
        <is>
          <t>ÖSTHAMMAR</t>
        </is>
      </c>
      <c r="F332" t="inlineStr">
        <is>
          <t>Bergvik skog öst AB</t>
        </is>
      </c>
      <c r="G332" t="n">
        <v>12.5</v>
      </c>
      <c r="H332" t="n">
        <v>0</v>
      </c>
      <c r="I332" t="n">
        <v>0</v>
      </c>
      <c r="J332" t="n">
        <v>0</v>
      </c>
      <c r="K332" t="n">
        <v>0</v>
      </c>
      <c r="L332" t="n">
        <v>0</v>
      </c>
      <c r="M332" t="n">
        <v>0</v>
      </c>
      <c r="N332" t="n">
        <v>0</v>
      </c>
      <c r="O332" t="n">
        <v>0</v>
      </c>
      <c r="P332" t="n">
        <v>0</v>
      </c>
      <c r="Q332" t="n">
        <v>0</v>
      </c>
      <c r="R332" s="2" t="inlineStr"/>
    </row>
    <row r="333" ht="15" customHeight="1">
      <c r="A333" t="inlineStr">
        <is>
          <t>A 20326-2021</t>
        </is>
      </c>
      <c r="B333" s="1" t="n">
        <v>44308</v>
      </c>
      <c r="C333" s="1" t="n">
        <v>45829</v>
      </c>
      <c r="D333" t="inlineStr">
        <is>
          <t>UPPSALA LÄN</t>
        </is>
      </c>
      <c r="E333" t="inlineStr">
        <is>
          <t>ÖSTHAMMAR</t>
        </is>
      </c>
      <c r="G333" t="n">
        <v>7.8</v>
      </c>
      <c r="H333" t="n">
        <v>0</v>
      </c>
      <c r="I333" t="n">
        <v>0</v>
      </c>
      <c r="J333" t="n">
        <v>0</v>
      </c>
      <c r="K333" t="n">
        <v>0</v>
      </c>
      <c r="L333" t="n">
        <v>0</v>
      </c>
      <c r="M333" t="n">
        <v>0</v>
      </c>
      <c r="N333" t="n">
        <v>0</v>
      </c>
      <c r="O333" t="n">
        <v>0</v>
      </c>
      <c r="P333" t="n">
        <v>0</v>
      </c>
      <c r="Q333" t="n">
        <v>0</v>
      </c>
      <c r="R333" s="2" t="inlineStr"/>
    </row>
    <row r="334" ht="15" customHeight="1">
      <c r="A334" t="inlineStr">
        <is>
          <t>A 20325-2021</t>
        </is>
      </c>
      <c r="B334" s="1" t="n">
        <v>44308</v>
      </c>
      <c r="C334" s="1" t="n">
        <v>45829</v>
      </c>
      <c r="D334" t="inlineStr">
        <is>
          <t>UPPSALA LÄN</t>
        </is>
      </c>
      <c r="E334" t="inlineStr">
        <is>
          <t>ÖSTHAMMAR</t>
        </is>
      </c>
      <c r="G334" t="n">
        <v>5</v>
      </c>
      <c r="H334" t="n">
        <v>0</v>
      </c>
      <c r="I334" t="n">
        <v>0</v>
      </c>
      <c r="J334" t="n">
        <v>0</v>
      </c>
      <c r="K334" t="n">
        <v>0</v>
      </c>
      <c r="L334" t="n">
        <v>0</v>
      </c>
      <c r="M334" t="n">
        <v>0</v>
      </c>
      <c r="N334" t="n">
        <v>0</v>
      </c>
      <c r="O334" t="n">
        <v>0</v>
      </c>
      <c r="P334" t="n">
        <v>0</v>
      </c>
      <c r="Q334" t="n">
        <v>0</v>
      </c>
      <c r="R334" s="2" t="inlineStr"/>
    </row>
    <row r="335" ht="15" customHeight="1">
      <c r="A335" t="inlineStr">
        <is>
          <t>A 20324-2021</t>
        </is>
      </c>
      <c r="B335" s="1" t="n">
        <v>44308</v>
      </c>
      <c r="C335" s="1" t="n">
        <v>45829</v>
      </c>
      <c r="D335" t="inlineStr">
        <is>
          <t>UPPSALA LÄN</t>
        </is>
      </c>
      <c r="E335" t="inlineStr">
        <is>
          <t>ÖSTHAMMAR</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19214-2021</t>
        </is>
      </c>
      <c r="B336" s="1" t="n">
        <v>44309</v>
      </c>
      <c r="C336" s="1" t="n">
        <v>45829</v>
      </c>
      <c r="D336" t="inlineStr">
        <is>
          <t>UPPSALA LÄN</t>
        </is>
      </c>
      <c r="E336" t="inlineStr">
        <is>
          <t>ÖSTHAMMAR</t>
        </is>
      </c>
      <c r="F336" t="inlineStr">
        <is>
          <t>Bergvik skog öst AB</t>
        </is>
      </c>
      <c r="G336" t="n">
        <v>6</v>
      </c>
      <c r="H336" t="n">
        <v>0</v>
      </c>
      <c r="I336" t="n">
        <v>0</v>
      </c>
      <c r="J336" t="n">
        <v>0</v>
      </c>
      <c r="K336" t="n">
        <v>0</v>
      </c>
      <c r="L336" t="n">
        <v>0</v>
      </c>
      <c r="M336" t="n">
        <v>0</v>
      </c>
      <c r="N336" t="n">
        <v>0</v>
      </c>
      <c r="O336" t="n">
        <v>0</v>
      </c>
      <c r="P336" t="n">
        <v>0</v>
      </c>
      <c r="Q336" t="n">
        <v>0</v>
      </c>
      <c r="R336" s="2" t="inlineStr"/>
    </row>
    <row r="337" ht="15" customHeight="1">
      <c r="A337" t="inlineStr">
        <is>
          <t>A 19552-2021</t>
        </is>
      </c>
      <c r="B337" s="1" t="n">
        <v>44312</v>
      </c>
      <c r="C337" s="1" t="n">
        <v>45829</v>
      </c>
      <c r="D337" t="inlineStr">
        <is>
          <t>UPPSALA LÄN</t>
        </is>
      </c>
      <c r="E337" t="inlineStr">
        <is>
          <t>ÖSTHAMMAR</t>
        </is>
      </c>
      <c r="G337" t="n">
        <v>4.5</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v>
      </c>
      <c r="C338" s="1" t="n">
        <v>45829</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23120-2021</t>
        </is>
      </c>
      <c r="B339" s="1" t="n">
        <v>44330</v>
      </c>
      <c r="C339" s="1" t="n">
        <v>45829</v>
      </c>
      <c r="D339" t="inlineStr">
        <is>
          <t>UPPSALA LÄN</t>
        </is>
      </c>
      <c r="E339" t="inlineStr">
        <is>
          <t>ÖSTHAMMAR</t>
        </is>
      </c>
      <c r="G339" t="n">
        <v>0.5</v>
      </c>
      <c r="H339" t="n">
        <v>0</v>
      </c>
      <c r="I339" t="n">
        <v>0</v>
      </c>
      <c r="J339" t="n">
        <v>0</v>
      </c>
      <c r="K339" t="n">
        <v>0</v>
      </c>
      <c r="L339" t="n">
        <v>0</v>
      </c>
      <c r="M339" t="n">
        <v>0</v>
      </c>
      <c r="N339" t="n">
        <v>0</v>
      </c>
      <c r="O339" t="n">
        <v>0</v>
      </c>
      <c r="P339" t="n">
        <v>0</v>
      </c>
      <c r="Q339" t="n">
        <v>0</v>
      </c>
      <c r="R339" s="2" t="inlineStr"/>
    </row>
    <row r="340" ht="15" customHeight="1">
      <c r="A340" t="inlineStr">
        <is>
          <t>A 24062-2021</t>
        </is>
      </c>
      <c r="B340" s="1" t="n">
        <v>44336</v>
      </c>
      <c r="C340" s="1" t="n">
        <v>45829</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24316-2021</t>
        </is>
      </c>
      <c r="B341" s="1" t="n">
        <v>44337</v>
      </c>
      <c r="C341" s="1" t="n">
        <v>45829</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25033-2021</t>
        </is>
      </c>
      <c r="B342" s="1" t="n">
        <v>44341</v>
      </c>
      <c r="C342" s="1" t="n">
        <v>45829</v>
      </c>
      <c r="D342" t="inlineStr">
        <is>
          <t>UPPSALA LÄN</t>
        </is>
      </c>
      <c r="E342" t="inlineStr">
        <is>
          <t>ÖSTHAMMAR</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25378-2021</t>
        </is>
      </c>
      <c r="B343" s="1" t="n">
        <v>44342</v>
      </c>
      <c r="C343" s="1" t="n">
        <v>45829</v>
      </c>
      <c r="D343" t="inlineStr">
        <is>
          <t>UPPSALA LÄN</t>
        </is>
      </c>
      <c r="E343" t="inlineStr">
        <is>
          <t>ÖSTHAMMAR</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25395-2021</t>
        </is>
      </c>
      <c r="B344" s="1" t="n">
        <v>44342</v>
      </c>
      <c r="C344" s="1" t="n">
        <v>45829</v>
      </c>
      <c r="D344" t="inlineStr">
        <is>
          <t>UPPSALA LÄN</t>
        </is>
      </c>
      <c r="E344" t="inlineStr">
        <is>
          <t>ÖSTHAMMAR</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26257-2021</t>
        </is>
      </c>
      <c r="B345" s="1" t="n">
        <v>44347</v>
      </c>
      <c r="C345" s="1" t="n">
        <v>45829</v>
      </c>
      <c r="D345" t="inlineStr">
        <is>
          <t>UPPSALA LÄN</t>
        </is>
      </c>
      <c r="E345" t="inlineStr">
        <is>
          <t>ÖSTHAMMAR</t>
        </is>
      </c>
      <c r="G345" t="n">
        <v>3.2</v>
      </c>
      <c r="H345" t="n">
        <v>0</v>
      </c>
      <c r="I345" t="n">
        <v>0</v>
      </c>
      <c r="J345" t="n">
        <v>0</v>
      </c>
      <c r="K345" t="n">
        <v>0</v>
      </c>
      <c r="L345" t="n">
        <v>0</v>
      </c>
      <c r="M345" t="n">
        <v>0</v>
      </c>
      <c r="N345" t="n">
        <v>0</v>
      </c>
      <c r="O345" t="n">
        <v>0</v>
      </c>
      <c r="P345" t="n">
        <v>0</v>
      </c>
      <c r="Q345" t="n">
        <v>0</v>
      </c>
      <c r="R345" s="2" t="inlineStr"/>
    </row>
    <row r="346" ht="15" customHeight="1">
      <c r="A346" t="inlineStr">
        <is>
          <t>A 27939-2021</t>
        </is>
      </c>
      <c r="B346" s="1" t="n">
        <v>44354</v>
      </c>
      <c r="C346" s="1" t="n">
        <v>45829</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27940-2021</t>
        </is>
      </c>
      <c r="B347" s="1" t="n">
        <v>44354</v>
      </c>
      <c r="C347" s="1" t="n">
        <v>45829</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29282-2021</t>
        </is>
      </c>
      <c r="B348" s="1" t="n">
        <v>44361</v>
      </c>
      <c r="C348" s="1" t="n">
        <v>45829</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30927-2021</t>
        </is>
      </c>
      <c r="B349" s="1" t="n">
        <v>44365</v>
      </c>
      <c r="C349" s="1" t="n">
        <v>45829</v>
      </c>
      <c r="D349" t="inlineStr">
        <is>
          <t>UPPSALA LÄN</t>
        </is>
      </c>
      <c r="E349" t="inlineStr">
        <is>
          <t>ÖSTHAMMAR</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30931-2021</t>
        </is>
      </c>
      <c r="B350" s="1" t="n">
        <v>44365</v>
      </c>
      <c r="C350" s="1" t="n">
        <v>45829</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31263-2021</t>
        </is>
      </c>
      <c r="B351" s="1" t="n">
        <v>44368</v>
      </c>
      <c r="C351" s="1" t="n">
        <v>45829</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32244-2021</t>
        </is>
      </c>
      <c r="B352" s="1" t="n">
        <v>44371</v>
      </c>
      <c r="C352" s="1" t="n">
        <v>45829</v>
      </c>
      <c r="D352" t="inlineStr">
        <is>
          <t>UPPSALA LÄN</t>
        </is>
      </c>
      <c r="E352" t="inlineStr">
        <is>
          <t>ÖSTHAMMAR</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32939-2021</t>
        </is>
      </c>
      <c r="B353" s="1" t="n">
        <v>44376</v>
      </c>
      <c r="C353" s="1" t="n">
        <v>45829</v>
      </c>
      <c r="D353" t="inlineStr">
        <is>
          <t>UPPSALA LÄN</t>
        </is>
      </c>
      <c r="E353" t="inlineStr">
        <is>
          <t>ÖSTHAMMAR</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32948-2021</t>
        </is>
      </c>
      <c r="B354" s="1" t="n">
        <v>44376</v>
      </c>
      <c r="C354" s="1" t="n">
        <v>45829</v>
      </c>
      <c r="D354" t="inlineStr">
        <is>
          <t>UPPSALA LÄN</t>
        </is>
      </c>
      <c r="E354" t="inlineStr">
        <is>
          <t>ÖSTHAMMAR</t>
        </is>
      </c>
      <c r="F354" t="inlineStr">
        <is>
          <t>Bergvik skog öst AB</t>
        </is>
      </c>
      <c r="G354" t="n">
        <v>13.5</v>
      </c>
      <c r="H354" t="n">
        <v>0</v>
      </c>
      <c r="I354" t="n">
        <v>0</v>
      </c>
      <c r="J354" t="n">
        <v>0</v>
      </c>
      <c r="K354" t="n">
        <v>0</v>
      </c>
      <c r="L354" t="n">
        <v>0</v>
      </c>
      <c r="M354" t="n">
        <v>0</v>
      </c>
      <c r="N354" t="n">
        <v>0</v>
      </c>
      <c r="O354" t="n">
        <v>0</v>
      </c>
      <c r="P354" t="n">
        <v>0</v>
      </c>
      <c r="Q354" t="n">
        <v>0</v>
      </c>
      <c r="R354" s="2" t="inlineStr"/>
    </row>
    <row r="355" ht="15" customHeight="1">
      <c r="A355" t="inlineStr">
        <is>
          <t>A 33062-2021</t>
        </is>
      </c>
      <c r="B355" s="1" t="n">
        <v>44376</v>
      </c>
      <c r="C355" s="1" t="n">
        <v>45829</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v>
      </c>
      <c r="C356" s="1" t="n">
        <v>45829</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33271-2021</t>
        </is>
      </c>
      <c r="B357" s="1" t="n">
        <v>44377</v>
      </c>
      <c r="C357" s="1" t="n">
        <v>45829</v>
      </c>
      <c r="D357" t="inlineStr">
        <is>
          <t>UPPSALA LÄN</t>
        </is>
      </c>
      <c r="E357" t="inlineStr">
        <is>
          <t>ÖSTHAMMAR</t>
        </is>
      </c>
      <c r="F357" t="inlineStr">
        <is>
          <t>Bergvik skog öst AB</t>
        </is>
      </c>
      <c r="G357" t="n">
        <v>3.9</v>
      </c>
      <c r="H357" t="n">
        <v>0</v>
      </c>
      <c r="I357" t="n">
        <v>0</v>
      </c>
      <c r="J357" t="n">
        <v>0</v>
      </c>
      <c r="K357" t="n">
        <v>0</v>
      </c>
      <c r="L357" t="n">
        <v>0</v>
      </c>
      <c r="M357" t="n">
        <v>0</v>
      </c>
      <c r="N357" t="n">
        <v>0</v>
      </c>
      <c r="O357" t="n">
        <v>0</v>
      </c>
      <c r="P357" t="n">
        <v>0</v>
      </c>
      <c r="Q357" t="n">
        <v>0</v>
      </c>
      <c r="R357" s="2" t="inlineStr"/>
    </row>
    <row r="358" ht="15" customHeight="1">
      <c r="A358" t="inlineStr">
        <is>
          <t>A 38411-2021</t>
        </is>
      </c>
      <c r="B358" s="1" t="n">
        <v>44406</v>
      </c>
      <c r="C358" s="1" t="n">
        <v>45829</v>
      </c>
      <c r="D358" t="inlineStr">
        <is>
          <t>UPPSALA LÄN</t>
        </is>
      </c>
      <c r="E358" t="inlineStr">
        <is>
          <t>ÖSTHAMMAR</t>
        </is>
      </c>
      <c r="F358" t="inlineStr">
        <is>
          <t>Bergvik skog öst AB</t>
        </is>
      </c>
      <c r="G358" t="n">
        <v>20.6</v>
      </c>
      <c r="H358" t="n">
        <v>0</v>
      </c>
      <c r="I358" t="n">
        <v>0</v>
      </c>
      <c r="J358" t="n">
        <v>0</v>
      </c>
      <c r="K358" t="n">
        <v>0</v>
      </c>
      <c r="L358" t="n">
        <v>0</v>
      </c>
      <c r="M358" t="n">
        <v>0</v>
      </c>
      <c r="N358" t="n">
        <v>0</v>
      </c>
      <c r="O358" t="n">
        <v>0</v>
      </c>
      <c r="P358" t="n">
        <v>0</v>
      </c>
      <c r="Q358" t="n">
        <v>0</v>
      </c>
      <c r="R358" s="2" t="inlineStr"/>
    </row>
    <row r="359" ht="15" customHeight="1">
      <c r="A359" t="inlineStr">
        <is>
          <t>A 40606-2021</t>
        </is>
      </c>
      <c r="B359" s="1" t="n">
        <v>44420</v>
      </c>
      <c r="C359" s="1" t="n">
        <v>45829</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row>
    <row r="360" ht="15" customHeight="1">
      <c r="A360" t="inlineStr">
        <is>
          <t>A 41531-2021</t>
        </is>
      </c>
      <c r="B360" s="1" t="n">
        <v>44425</v>
      </c>
      <c r="C360" s="1" t="n">
        <v>45829</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41558-2021</t>
        </is>
      </c>
      <c r="B361" s="1" t="n">
        <v>44425</v>
      </c>
      <c r="C361" s="1" t="n">
        <v>45829</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41538-2021</t>
        </is>
      </c>
      <c r="B362" s="1" t="n">
        <v>44425</v>
      </c>
      <c r="C362" s="1" t="n">
        <v>45829</v>
      </c>
      <c r="D362" t="inlineStr">
        <is>
          <t>UPPSALA LÄN</t>
        </is>
      </c>
      <c r="E362" t="inlineStr">
        <is>
          <t>ÖSTHAMMAR</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41744-2021</t>
        </is>
      </c>
      <c r="B363" s="1" t="n">
        <v>44425</v>
      </c>
      <c r="C363" s="1" t="n">
        <v>45829</v>
      </c>
      <c r="D363" t="inlineStr">
        <is>
          <t>UPPSALA LÄN</t>
        </is>
      </c>
      <c r="E363" t="inlineStr">
        <is>
          <t>ÖSTHAMMAR</t>
        </is>
      </c>
      <c r="F363" t="inlineStr">
        <is>
          <t>Bergvik skog öst AB</t>
        </is>
      </c>
      <c r="G363" t="n">
        <v>2.7</v>
      </c>
      <c r="H363" t="n">
        <v>0</v>
      </c>
      <c r="I363" t="n">
        <v>0</v>
      </c>
      <c r="J363" t="n">
        <v>0</v>
      </c>
      <c r="K363" t="n">
        <v>0</v>
      </c>
      <c r="L363" t="n">
        <v>0</v>
      </c>
      <c r="M363" t="n">
        <v>0</v>
      </c>
      <c r="N363" t="n">
        <v>0</v>
      </c>
      <c r="O363" t="n">
        <v>0</v>
      </c>
      <c r="P363" t="n">
        <v>0</v>
      </c>
      <c r="Q363" t="n">
        <v>0</v>
      </c>
      <c r="R363" s="2" t="inlineStr"/>
    </row>
    <row r="364" ht="15" customHeight="1">
      <c r="A364" t="inlineStr">
        <is>
          <t>A 43469-2021</t>
        </is>
      </c>
      <c r="B364" s="1" t="n">
        <v>44432</v>
      </c>
      <c r="C364" s="1" t="n">
        <v>45829</v>
      </c>
      <c r="D364" t="inlineStr">
        <is>
          <t>UPPSALA LÄN</t>
        </is>
      </c>
      <c r="E364" t="inlineStr">
        <is>
          <t>ÖSTHAMMAR</t>
        </is>
      </c>
      <c r="G364" t="n">
        <v>3.9</v>
      </c>
      <c r="H364" t="n">
        <v>0</v>
      </c>
      <c r="I364" t="n">
        <v>0</v>
      </c>
      <c r="J364" t="n">
        <v>0</v>
      </c>
      <c r="K364" t="n">
        <v>0</v>
      </c>
      <c r="L364" t="n">
        <v>0</v>
      </c>
      <c r="M364" t="n">
        <v>0</v>
      </c>
      <c r="N364" t="n">
        <v>0</v>
      </c>
      <c r="O364" t="n">
        <v>0</v>
      </c>
      <c r="P364" t="n">
        <v>0</v>
      </c>
      <c r="Q364" t="n">
        <v>0</v>
      </c>
      <c r="R364" s="2" t="inlineStr"/>
    </row>
    <row r="365" ht="15" customHeight="1">
      <c r="A365" t="inlineStr">
        <is>
          <t>A 48308-2021</t>
        </is>
      </c>
      <c r="B365" s="1" t="n">
        <v>44450</v>
      </c>
      <c r="C365" s="1" t="n">
        <v>45829</v>
      </c>
      <c r="D365" t="inlineStr">
        <is>
          <t>UPPSALA LÄN</t>
        </is>
      </c>
      <c r="E365" t="inlineStr">
        <is>
          <t>ÖSTHAMMAR</t>
        </is>
      </c>
      <c r="G365" t="n">
        <v>3.5</v>
      </c>
      <c r="H365" t="n">
        <v>0</v>
      </c>
      <c r="I365" t="n">
        <v>0</v>
      </c>
      <c r="J365" t="n">
        <v>0</v>
      </c>
      <c r="K365" t="n">
        <v>0</v>
      </c>
      <c r="L365" t="n">
        <v>0</v>
      </c>
      <c r="M365" t="n">
        <v>0</v>
      </c>
      <c r="N365" t="n">
        <v>0</v>
      </c>
      <c r="O365" t="n">
        <v>0</v>
      </c>
      <c r="P365" t="n">
        <v>0</v>
      </c>
      <c r="Q365" t="n">
        <v>0</v>
      </c>
      <c r="R365" s="2" t="inlineStr"/>
    </row>
    <row r="366" ht="15" customHeight="1">
      <c r="A366" t="inlineStr">
        <is>
          <t>A 51010-2021</t>
        </is>
      </c>
      <c r="B366" s="1" t="n">
        <v>44460</v>
      </c>
      <c r="C366" s="1" t="n">
        <v>45829</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51412-2021</t>
        </is>
      </c>
      <c r="B367" s="1" t="n">
        <v>44461</v>
      </c>
      <c r="C367" s="1" t="n">
        <v>45829</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51364-2021</t>
        </is>
      </c>
      <c r="B368" s="1" t="n">
        <v>44461</v>
      </c>
      <c r="C368" s="1" t="n">
        <v>45829</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51612-2021</t>
        </is>
      </c>
      <c r="B369" s="1" t="n">
        <v>44462</v>
      </c>
      <c r="C369" s="1" t="n">
        <v>45829</v>
      </c>
      <c r="D369" t="inlineStr">
        <is>
          <t>UPPSALA LÄN</t>
        </is>
      </c>
      <c r="E369" t="inlineStr">
        <is>
          <t>ÖSTHAMMAR</t>
        </is>
      </c>
      <c r="G369" t="n">
        <v>2.7</v>
      </c>
      <c r="H369" t="n">
        <v>0</v>
      </c>
      <c r="I369" t="n">
        <v>0</v>
      </c>
      <c r="J369" t="n">
        <v>0</v>
      </c>
      <c r="K369" t="n">
        <v>0</v>
      </c>
      <c r="L369" t="n">
        <v>0</v>
      </c>
      <c r="M369" t="n">
        <v>0</v>
      </c>
      <c r="N369" t="n">
        <v>0</v>
      </c>
      <c r="O369" t="n">
        <v>0</v>
      </c>
      <c r="P369" t="n">
        <v>0</v>
      </c>
      <c r="Q369" t="n">
        <v>0</v>
      </c>
      <c r="R369" s="2" t="inlineStr"/>
    </row>
    <row r="370" ht="15" customHeight="1">
      <c r="A370" t="inlineStr">
        <is>
          <t>A 52659-2021</t>
        </is>
      </c>
      <c r="B370" s="1" t="n">
        <v>44466</v>
      </c>
      <c r="C370" s="1" t="n">
        <v>45829</v>
      </c>
      <c r="D370" t="inlineStr">
        <is>
          <t>UPPSALA LÄN</t>
        </is>
      </c>
      <c r="E370" t="inlineStr">
        <is>
          <t>ÖSTHAMMAR</t>
        </is>
      </c>
      <c r="G370" t="n">
        <v>13</v>
      </c>
      <c r="H370" t="n">
        <v>0</v>
      </c>
      <c r="I370" t="n">
        <v>0</v>
      </c>
      <c r="J370" t="n">
        <v>0</v>
      </c>
      <c r="K370" t="n">
        <v>0</v>
      </c>
      <c r="L370" t="n">
        <v>0</v>
      </c>
      <c r="M370" t="n">
        <v>0</v>
      </c>
      <c r="N370" t="n">
        <v>0</v>
      </c>
      <c r="O370" t="n">
        <v>0</v>
      </c>
      <c r="P370" t="n">
        <v>0</v>
      </c>
      <c r="Q370" t="n">
        <v>0</v>
      </c>
      <c r="R370" s="2" t="inlineStr"/>
    </row>
    <row r="371" ht="15" customHeight="1">
      <c r="A371" t="inlineStr">
        <is>
          <t>A 52544-2021</t>
        </is>
      </c>
      <c r="B371" s="1" t="n">
        <v>44466</v>
      </c>
      <c r="C371" s="1" t="n">
        <v>45829</v>
      </c>
      <c r="D371" t="inlineStr">
        <is>
          <t>UPPSALA LÄN</t>
        </is>
      </c>
      <c r="E371" t="inlineStr">
        <is>
          <t>ÖSTHAMMAR</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52898-2021</t>
        </is>
      </c>
      <c r="B372" s="1" t="n">
        <v>44467</v>
      </c>
      <c r="C372" s="1" t="n">
        <v>45829</v>
      </c>
      <c r="D372" t="inlineStr">
        <is>
          <t>UPPSALA LÄN</t>
        </is>
      </c>
      <c r="E372" t="inlineStr">
        <is>
          <t>ÖSTHAMMAR</t>
        </is>
      </c>
      <c r="G372" t="n">
        <v>2.3</v>
      </c>
      <c r="H372" t="n">
        <v>0</v>
      </c>
      <c r="I372" t="n">
        <v>0</v>
      </c>
      <c r="J372" t="n">
        <v>0</v>
      </c>
      <c r="K372" t="n">
        <v>0</v>
      </c>
      <c r="L372" t="n">
        <v>0</v>
      </c>
      <c r="M372" t="n">
        <v>0</v>
      </c>
      <c r="N372" t="n">
        <v>0</v>
      </c>
      <c r="O372" t="n">
        <v>0</v>
      </c>
      <c r="P372" t="n">
        <v>0</v>
      </c>
      <c r="Q372" t="n">
        <v>0</v>
      </c>
      <c r="R372" s="2" t="inlineStr"/>
    </row>
    <row r="373" ht="15" customHeight="1">
      <c r="A373" t="inlineStr">
        <is>
          <t>A 55646-2021</t>
        </is>
      </c>
      <c r="B373" s="1" t="n">
        <v>44476</v>
      </c>
      <c r="C373" s="1" t="n">
        <v>45829</v>
      </c>
      <c r="D373" t="inlineStr">
        <is>
          <t>UPPSALA LÄN</t>
        </is>
      </c>
      <c r="E373" t="inlineStr">
        <is>
          <t>ÖSTHAMMAR</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55872-2021</t>
        </is>
      </c>
      <c r="B374" s="1" t="n">
        <v>44476</v>
      </c>
      <c r="C374" s="1" t="n">
        <v>45829</v>
      </c>
      <c r="D374" t="inlineStr">
        <is>
          <t>UPPSALA LÄN</t>
        </is>
      </c>
      <c r="E374" t="inlineStr">
        <is>
          <t>ÖSTHAMMAR</t>
        </is>
      </c>
      <c r="F374" t="inlineStr">
        <is>
          <t>Bergvik skog öst AB</t>
        </is>
      </c>
      <c r="G374" t="n">
        <v>13.7</v>
      </c>
      <c r="H374" t="n">
        <v>0</v>
      </c>
      <c r="I374" t="n">
        <v>0</v>
      </c>
      <c r="J374" t="n">
        <v>0</v>
      </c>
      <c r="K374" t="n">
        <v>0</v>
      </c>
      <c r="L374" t="n">
        <v>0</v>
      </c>
      <c r="M374" t="n">
        <v>0</v>
      </c>
      <c r="N374" t="n">
        <v>0</v>
      </c>
      <c r="O374" t="n">
        <v>0</v>
      </c>
      <c r="P374" t="n">
        <v>0</v>
      </c>
      <c r="Q374" t="n">
        <v>0</v>
      </c>
      <c r="R374" s="2" t="inlineStr"/>
    </row>
    <row r="375" ht="15" customHeight="1">
      <c r="A375" t="inlineStr">
        <is>
          <t>A 57003-2021</t>
        </is>
      </c>
      <c r="B375" s="1" t="n">
        <v>44482</v>
      </c>
      <c r="C375" s="1" t="n">
        <v>45829</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57080-2021</t>
        </is>
      </c>
      <c r="B376" s="1" t="n">
        <v>44482</v>
      </c>
      <c r="C376" s="1" t="n">
        <v>45829</v>
      </c>
      <c r="D376" t="inlineStr">
        <is>
          <t>UPPSALA LÄN</t>
        </is>
      </c>
      <c r="E376" t="inlineStr">
        <is>
          <t>ÖSTHAMMAR</t>
        </is>
      </c>
      <c r="F376" t="inlineStr">
        <is>
          <t>Bergvik skog öst AB</t>
        </is>
      </c>
      <c r="G376" t="n">
        <v>13.4</v>
      </c>
      <c r="H376" t="n">
        <v>0</v>
      </c>
      <c r="I376" t="n">
        <v>0</v>
      </c>
      <c r="J376" t="n">
        <v>0</v>
      </c>
      <c r="K376" t="n">
        <v>0</v>
      </c>
      <c r="L376" t="n">
        <v>0</v>
      </c>
      <c r="M376" t="n">
        <v>0</v>
      </c>
      <c r="N376" t="n">
        <v>0</v>
      </c>
      <c r="O376" t="n">
        <v>0</v>
      </c>
      <c r="P376" t="n">
        <v>0</v>
      </c>
      <c r="Q376" t="n">
        <v>0</v>
      </c>
      <c r="R376" s="2" t="inlineStr"/>
    </row>
    <row r="377" ht="15" customHeight="1">
      <c r="A377" t="inlineStr">
        <is>
          <t>A 58334-2021</t>
        </is>
      </c>
      <c r="B377" s="1" t="n">
        <v>44488</v>
      </c>
      <c r="C377" s="1" t="n">
        <v>45829</v>
      </c>
      <c r="D377" t="inlineStr">
        <is>
          <t>UPPSALA LÄN</t>
        </is>
      </c>
      <c r="E377" t="inlineStr">
        <is>
          <t>ÖSTHAMMAR</t>
        </is>
      </c>
      <c r="G377" t="n">
        <v>5.7</v>
      </c>
      <c r="H377" t="n">
        <v>0</v>
      </c>
      <c r="I377" t="n">
        <v>0</v>
      </c>
      <c r="J377" t="n">
        <v>0</v>
      </c>
      <c r="K377" t="n">
        <v>0</v>
      </c>
      <c r="L377" t="n">
        <v>0</v>
      </c>
      <c r="M377" t="n">
        <v>0</v>
      </c>
      <c r="N377" t="n">
        <v>0</v>
      </c>
      <c r="O377" t="n">
        <v>0</v>
      </c>
      <c r="P377" t="n">
        <v>0</v>
      </c>
      <c r="Q377" t="n">
        <v>0</v>
      </c>
      <c r="R377" s="2" t="inlineStr"/>
    </row>
    <row r="378" ht="15" customHeight="1">
      <c r="A378" t="inlineStr">
        <is>
          <t>A 59360-2021</t>
        </is>
      </c>
      <c r="B378" s="1" t="n">
        <v>44491</v>
      </c>
      <c r="C378" s="1" t="n">
        <v>45829</v>
      </c>
      <c r="D378" t="inlineStr">
        <is>
          <t>UPPSALA LÄN</t>
        </is>
      </c>
      <c r="E378" t="inlineStr">
        <is>
          <t>ÖSTHAMMAR</t>
        </is>
      </c>
      <c r="F378" t="inlineStr">
        <is>
          <t>Bergvik skog öst AB</t>
        </is>
      </c>
      <c r="G378" t="n">
        <v>8</v>
      </c>
      <c r="H378" t="n">
        <v>0</v>
      </c>
      <c r="I378" t="n">
        <v>0</v>
      </c>
      <c r="J378" t="n">
        <v>0</v>
      </c>
      <c r="K378" t="n">
        <v>0</v>
      </c>
      <c r="L378" t="n">
        <v>0</v>
      </c>
      <c r="M378" t="n">
        <v>0</v>
      </c>
      <c r="N378" t="n">
        <v>0</v>
      </c>
      <c r="O378" t="n">
        <v>0</v>
      </c>
      <c r="P378" t="n">
        <v>0</v>
      </c>
      <c r="Q378" t="n">
        <v>0</v>
      </c>
      <c r="R378" s="2" t="inlineStr"/>
    </row>
    <row r="379" ht="15" customHeight="1">
      <c r="A379" t="inlineStr">
        <is>
          <t>A 59498-2021</t>
        </is>
      </c>
      <c r="B379" s="1" t="n">
        <v>44491</v>
      </c>
      <c r="C379" s="1" t="n">
        <v>45829</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60047-2021</t>
        </is>
      </c>
      <c r="B380" s="1" t="n">
        <v>44495</v>
      </c>
      <c r="C380" s="1" t="n">
        <v>45829</v>
      </c>
      <c r="D380" t="inlineStr">
        <is>
          <t>UPPSALA LÄN</t>
        </is>
      </c>
      <c r="E380" t="inlineStr">
        <is>
          <t>ÖSTHAMMAR</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v>
      </c>
      <c r="C381" s="1" t="n">
        <v>45829</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60584-2021</t>
        </is>
      </c>
      <c r="B382" s="1" t="n">
        <v>44496</v>
      </c>
      <c r="C382" s="1" t="n">
        <v>45829</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61746-2021</t>
        </is>
      </c>
      <c r="B383" s="1" t="n">
        <v>44498</v>
      </c>
      <c r="C383" s="1" t="n">
        <v>45829</v>
      </c>
      <c r="D383" t="inlineStr">
        <is>
          <t>UPPSALA LÄN</t>
        </is>
      </c>
      <c r="E383" t="inlineStr">
        <is>
          <t>ÖSTHAMMAR</t>
        </is>
      </c>
      <c r="G383" t="n">
        <v>5.6</v>
      </c>
      <c r="H383" t="n">
        <v>0</v>
      </c>
      <c r="I383" t="n">
        <v>0</v>
      </c>
      <c r="J383" t="n">
        <v>0</v>
      </c>
      <c r="K383" t="n">
        <v>0</v>
      </c>
      <c r="L383" t="n">
        <v>0</v>
      </c>
      <c r="M383" t="n">
        <v>0</v>
      </c>
      <c r="N383" t="n">
        <v>0</v>
      </c>
      <c r="O383" t="n">
        <v>0</v>
      </c>
      <c r="P383" t="n">
        <v>0</v>
      </c>
      <c r="Q383" t="n">
        <v>0</v>
      </c>
      <c r="R383" s="2" t="inlineStr"/>
    </row>
    <row r="384" ht="15" customHeight="1">
      <c r="A384" t="inlineStr">
        <is>
          <t>A 61555-2021</t>
        </is>
      </c>
      <c r="B384" s="1" t="n">
        <v>44501</v>
      </c>
      <c r="C384" s="1" t="n">
        <v>45829</v>
      </c>
      <c r="D384" t="inlineStr">
        <is>
          <t>UPPSALA LÄN</t>
        </is>
      </c>
      <c r="E384" t="inlineStr">
        <is>
          <t>ÖSTHAMMAR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61560-2021</t>
        </is>
      </c>
      <c r="B385" s="1" t="n">
        <v>44501</v>
      </c>
      <c r="C385" s="1" t="n">
        <v>45829</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61817-2021</t>
        </is>
      </c>
      <c r="B386" s="1" t="n">
        <v>44501</v>
      </c>
      <c r="C386" s="1" t="n">
        <v>45829</v>
      </c>
      <c r="D386" t="inlineStr">
        <is>
          <t>UPPSALA LÄN</t>
        </is>
      </c>
      <c r="E386" t="inlineStr">
        <is>
          <t>ÖSTHAMMAR</t>
        </is>
      </c>
      <c r="F386" t="inlineStr">
        <is>
          <t>Bergvik skog öst AB</t>
        </is>
      </c>
      <c r="G386" t="n">
        <v>2.3</v>
      </c>
      <c r="H386" t="n">
        <v>0</v>
      </c>
      <c r="I386" t="n">
        <v>0</v>
      </c>
      <c r="J386" t="n">
        <v>0</v>
      </c>
      <c r="K386" t="n">
        <v>0</v>
      </c>
      <c r="L386" t="n">
        <v>0</v>
      </c>
      <c r="M386" t="n">
        <v>0</v>
      </c>
      <c r="N386" t="n">
        <v>0</v>
      </c>
      <c r="O386" t="n">
        <v>0</v>
      </c>
      <c r="P386" t="n">
        <v>0</v>
      </c>
      <c r="Q386" t="n">
        <v>0</v>
      </c>
      <c r="R386" s="2" t="inlineStr"/>
    </row>
    <row r="387" ht="15" customHeight="1">
      <c r="A387" t="inlineStr">
        <is>
          <t>A 62854-2021</t>
        </is>
      </c>
      <c r="B387" s="1" t="n">
        <v>44504</v>
      </c>
      <c r="C387" s="1" t="n">
        <v>45829</v>
      </c>
      <c r="D387" t="inlineStr">
        <is>
          <t>UPPSALA LÄN</t>
        </is>
      </c>
      <c r="E387" t="inlineStr">
        <is>
          <t>ÖSTHAMMAR</t>
        </is>
      </c>
      <c r="F387" t="inlineStr">
        <is>
          <t>Bergvik skog öst AB</t>
        </is>
      </c>
      <c r="G387" t="n">
        <v>10.3</v>
      </c>
      <c r="H387" t="n">
        <v>0</v>
      </c>
      <c r="I387" t="n">
        <v>0</v>
      </c>
      <c r="J387" t="n">
        <v>0</v>
      </c>
      <c r="K387" t="n">
        <v>0</v>
      </c>
      <c r="L387" t="n">
        <v>0</v>
      </c>
      <c r="M387" t="n">
        <v>0</v>
      </c>
      <c r="N387" t="n">
        <v>0</v>
      </c>
      <c r="O387" t="n">
        <v>0</v>
      </c>
      <c r="P387" t="n">
        <v>0</v>
      </c>
      <c r="Q387" t="n">
        <v>0</v>
      </c>
      <c r="R387" s="2" t="inlineStr"/>
    </row>
    <row r="388" ht="15" customHeight="1">
      <c r="A388" t="inlineStr">
        <is>
          <t>A 62782-2021</t>
        </is>
      </c>
      <c r="B388" s="1" t="n">
        <v>44504</v>
      </c>
      <c r="C388" s="1" t="n">
        <v>45829</v>
      </c>
      <c r="D388" t="inlineStr">
        <is>
          <t>UPPSALA LÄN</t>
        </is>
      </c>
      <c r="E388" t="inlineStr">
        <is>
          <t>ÖSTHAMMAR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64586-2021</t>
        </is>
      </c>
      <c r="B389" s="1" t="n">
        <v>44511</v>
      </c>
      <c r="C389" s="1" t="n">
        <v>45829</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64811-2021</t>
        </is>
      </c>
      <c r="B390" s="1" t="n">
        <v>44512</v>
      </c>
      <c r="C390" s="1" t="n">
        <v>45829</v>
      </c>
      <c r="D390" t="inlineStr">
        <is>
          <t>UPPSALA LÄN</t>
        </is>
      </c>
      <c r="E390" t="inlineStr">
        <is>
          <t>ÖSTHAMMAR</t>
        </is>
      </c>
      <c r="G390" t="n">
        <v>4.2</v>
      </c>
      <c r="H390" t="n">
        <v>0</v>
      </c>
      <c r="I390" t="n">
        <v>0</v>
      </c>
      <c r="J390" t="n">
        <v>0</v>
      </c>
      <c r="K390" t="n">
        <v>0</v>
      </c>
      <c r="L390" t="n">
        <v>0</v>
      </c>
      <c r="M390" t="n">
        <v>0</v>
      </c>
      <c r="N390" t="n">
        <v>0</v>
      </c>
      <c r="O390" t="n">
        <v>0</v>
      </c>
      <c r="P390" t="n">
        <v>0</v>
      </c>
      <c r="Q390" t="n">
        <v>0</v>
      </c>
      <c r="R390" s="2" t="inlineStr"/>
    </row>
    <row r="391" ht="15" customHeight="1">
      <c r="A391" t="inlineStr">
        <is>
          <t>A 64872-2021</t>
        </is>
      </c>
      <c r="B391" s="1" t="n">
        <v>44512</v>
      </c>
      <c r="C391" s="1" t="n">
        <v>45829</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64885-2021</t>
        </is>
      </c>
      <c r="B392" s="1" t="n">
        <v>44512</v>
      </c>
      <c r="C392" s="1" t="n">
        <v>45829</v>
      </c>
      <c r="D392" t="inlineStr">
        <is>
          <t>UPPSALA LÄN</t>
        </is>
      </c>
      <c r="E392" t="inlineStr">
        <is>
          <t>ÖSTHAMMAR</t>
        </is>
      </c>
      <c r="G392" t="n">
        <v>2.1</v>
      </c>
      <c r="H392" t="n">
        <v>0</v>
      </c>
      <c r="I392" t="n">
        <v>0</v>
      </c>
      <c r="J392" t="n">
        <v>0</v>
      </c>
      <c r="K392" t="n">
        <v>0</v>
      </c>
      <c r="L392" t="n">
        <v>0</v>
      </c>
      <c r="M392" t="n">
        <v>0</v>
      </c>
      <c r="N392" t="n">
        <v>0</v>
      </c>
      <c r="O392" t="n">
        <v>0</v>
      </c>
      <c r="P392" t="n">
        <v>0</v>
      </c>
      <c r="Q392" t="n">
        <v>0</v>
      </c>
      <c r="R392" s="2" t="inlineStr"/>
    </row>
    <row r="393" ht="15" customHeight="1">
      <c r="A393" t="inlineStr">
        <is>
          <t>A 65020-2021</t>
        </is>
      </c>
      <c r="B393" s="1" t="n">
        <v>44515</v>
      </c>
      <c r="C393" s="1" t="n">
        <v>45829</v>
      </c>
      <c r="D393" t="inlineStr">
        <is>
          <t>UPPSALA LÄN</t>
        </is>
      </c>
      <c r="E393" t="inlineStr">
        <is>
          <t>ÖSTHAMMAR</t>
        </is>
      </c>
      <c r="F393" t="inlineStr">
        <is>
          <t>Sveaskog</t>
        </is>
      </c>
      <c r="G393" t="n">
        <v>4.7</v>
      </c>
      <c r="H393" t="n">
        <v>0</v>
      </c>
      <c r="I393" t="n">
        <v>0</v>
      </c>
      <c r="J393" t="n">
        <v>0</v>
      </c>
      <c r="K393" t="n">
        <v>0</v>
      </c>
      <c r="L393" t="n">
        <v>0</v>
      </c>
      <c r="M393" t="n">
        <v>0</v>
      </c>
      <c r="N393" t="n">
        <v>0</v>
      </c>
      <c r="O393" t="n">
        <v>0</v>
      </c>
      <c r="P393" t="n">
        <v>0</v>
      </c>
      <c r="Q393" t="n">
        <v>0</v>
      </c>
      <c r="R393" s="2" t="inlineStr"/>
    </row>
    <row r="394" ht="15" customHeight="1">
      <c r="A394" t="inlineStr">
        <is>
          <t>A 65104-2021</t>
        </is>
      </c>
      <c r="B394" s="1" t="n">
        <v>44515</v>
      </c>
      <c r="C394" s="1" t="n">
        <v>45829</v>
      </c>
      <c r="D394" t="inlineStr">
        <is>
          <t>UPPSALA LÄN</t>
        </is>
      </c>
      <c r="E394" t="inlineStr">
        <is>
          <t>ÖSTHAMMAR</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65028-2021</t>
        </is>
      </c>
      <c r="B395" s="1" t="n">
        <v>44515</v>
      </c>
      <c r="C395" s="1" t="n">
        <v>45829</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66549-2021</t>
        </is>
      </c>
      <c r="B396" s="1" t="n">
        <v>44519</v>
      </c>
      <c r="C396" s="1" t="n">
        <v>45829</v>
      </c>
      <c r="D396" t="inlineStr">
        <is>
          <t>UPPSALA LÄN</t>
        </is>
      </c>
      <c r="E396" t="inlineStr">
        <is>
          <t>ÖSTHAMMAR</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66779-2021</t>
        </is>
      </c>
      <c r="B397" s="1" t="n">
        <v>44522</v>
      </c>
      <c r="C397" s="1" t="n">
        <v>45829</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67033-2021</t>
        </is>
      </c>
      <c r="B398" s="1" t="n">
        <v>44522</v>
      </c>
      <c r="C398" s="1" t="n">
        <v>45829</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67030-2021</t>
        </is>
      </c>
      <c r="B399" s="1" t="n">
        <v>44522</v>
      </c>
      <c r="C399" s="1" t="n">
        <v>45829</v>
      </c>
      <c r="D399" t="inlineStr">
        <is>
          <t>UPPSALA LÄN</t>
        </is>
      </c>
      <c r="E399" t="inlineStr">
        <is>
          <t>ÖSTHAMMAR</t>
        </is>
      </c>
      <c r="G399" t="n">
        <v>8.6</v>
      </c>
      <c r="H399" t="n">
        <v>0</v>
      </c>
      <c r="I399" t="n">
        <v>0</v>
      </c>
      <c r="J399" t="n">
        <v>0</v>
      </c>
      <c r="K399" t="n">
        <v>0</v>
      </c>
      <c r="L399" t="n">
        <v>0</v>
      </c>
      <c r="M399" t="n">
        <v>0</v>
      </c>
      <c r="N399" t="n">
        <v>0</v>
      </c>
      <c r="O399" t="n">
        <v>0</v>
      </c>
      <c r="P399" t="n">
        <v>0</v>
      </c>
      <c r="Q399" t="n">
        <v>0</v>
      </c>
      <c r="R399" s="2" t="inlineStr"/>
    </row>
    <row r="400" ht="15" customHeight="1">
      <c r="A400" t="inlineStr">
        <is>
          <t>A 67151-2021</t>
        </is>
      </c>
      <c r="B400" s="1" t="n">
        <v>44523</v>
      </c>
      <c r="C400" s="1" t="n">
        <v>45829</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67199-2021</t>
        </is>
      </c>
      <c r="B401" s="1" t="n">
        <v>44523</v>
      </c>
      <c r="C401" s="1" t="n">
        <v>45829</v>
      </c>
      <c r="D401" t="inlineStr">
        <is>
          <t>UPPSALA LÄN</t>
        </is>
      </c>
      <c r="E401" t="inlineStr">
        <is>
          <t>ÖSTHAMMAR</t>
        </is>
      </c>
      <c r="G401" t="n">
        <v>2.3</v>
      </c>
      <c r="H401" t="n">
        <v>0</v>
      </c>
      <c r="I401" t="n">
        <v>0</v>
      </c>
      <c r="J401" t="n">
        <v>0</v>
      </c>
      <c r="K401" t="n">
        <v>0</v>
      </c>
      <c r="L401" t="n">
        <v>0</v>
      </c>
      <c r="M401" t="n">
        <v>0</v>
      </c>
      <c r="N401" t="n">
        <v>0</v>
      </c>
      <c r="O401" t="n">
        <v>0</v>
      </c>
      <c r="P401" t="n">
        <v>0</v>
      </c>
      <c r="Q401" t="n">
        <v>0</v>
      </c>
      <c r="R401" s="2" t="inlineStr"/>
    </row>
    <row r="402" ht="15" customHeight="1">
      <c r="A402" t="inlineStr">
        <is>
          <t>A 67217-2021</t>
        </is>
      </c>
      <c r="B402" s="1" t="n">
        <v>44523</v>
      </c>
      <c r="C402" s="1" t="n">
        <v>45829</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67859-2021</t>
        </is>
      </c>
      <c r="B403" s="1" t="n">
        <v>44525</v>
      </c>
      <c r="C403" s="1" t="n">
        <v>45829</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67848-2021</t>
        </is>
      </c>
      <c r="B404" s="1" t="n">
        <v>44525</v>
      </c>
      <c r="C404" s="1" t="n">
        <v>45829</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69505-2021</t>
        </is>
      </c>
      <c r="B405" s="1" t="n">
        <v>44531</v>
      </c>
      <c r="C405" s="1" t="n">
        <v>45829</v>
      </c>
      <c r="D405" t="inlineStr">
        <is>
          <t>UPPSALA LÄN</t>
        </is>
      </c>
      <c r="E405" t="inlineStr">
        <is>
          <t>ÖSTHAMMAR</t>
        </is>
      </c>
      <c r="F405" t="inlineStr">
        <is>
          <t>Bergvik skog öst AB</t>
        </is>
      </c>
      <c r="G405" t="n">
        <v>5.4</v>
      </c>
      <c r="H405" t="n">
        <v>0</v>
      </c>
      <c r="I405" t="n">
        <v>0</v>
      </c>
      <c r="J405" t="n">
        <v>0</v>
      </c>
      <c r="K405" t="n">
        <v>0</v>
      </c>
      <c r="L405" t="n">
        <v>0</v>
      </c>
      <c r="M405" t="n">
        <v>0</v>
      </c>
      <c r="N405" t="n">
        <v>0</v>
      </c>
      <c r="O405" t="n">
        <v>0</v>
      </c>
      <c r="P405" t="n">
        <v>0</v>
      </c>
      <c r="Q405" t="n">
        <v>0</v>
      </c>
      <c r="R405" s="2" t="inlineStr"/>
    </row>
    <row r="406" ht="15" customHeight="1">
      <c r="A406" t="inlineStr">
        <is>
          <t>A 69411-2021</t>
        </is>
      </c>
      <c r="B406" s="1" t="n">
        <v>44531</v>
      </c>
      <c r="C406" s="1" t="n">
        <v>45829</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69518-2021</t>
        </is>
      </c>
      <c r="B407" s="1" t="n">
        <v>44531</v>
      </c>
      <c r="C407" s="1" t="n">
        <v>45829</v>
      </c>
      <c r="D407" t="inlineStr">
        <is>
          <t>UPPSALA LÄN</t>
        </is>
      </c>
      <c r="E407" t="inlineStr">
        <is>
          <t>ÖSTHAMMAR</t>
        </is>
      </c>
      <c r="G407" t="n">
        <v>4.5</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v>
      </c>
      <c r="C408" s="1" t="n">
        <v>45829</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70408-2021</t>
        </is>
      </c>
      <c r="B409" s="1" t="n">
        <v>44536</v>
      </c>
      <c r="C409" s="1" t="n">
        <v>45829</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72627-2021</t>
        </is>
      </c>
      <c r="B410" s="1" t="n">
        <v>44546</v>
      </c>
      <c r="C410" s="1" t="n">
        <v>45829</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72637-2021</t>
        </is>
      </c>
      <c r="B411" s="1" t="n">
        <v>44546</v>
      </c>
      <c r="C411" s="1" t="n">
        <v>45829</v>
      </c>
      <c r="D411" t="inlineStr">
        <is>
          <t>UPPSALA LÄN</t>
        </is>
      </c>
      <c r="E411" t="inlineStr">
        <is>
          <t>ÖSTHAMMAR</t>
        </is>
      </c>
      <c r="G411" t="n">
        <v>2.5</v>
      </c>
      <c r="H411" t="n">
        <v>0</v>
      </c>
      <c r="I411" t="n">
        <v>0</v>
      </c>
      <c r="J411" t="n">
        <v>0</v>
      </c>
      <c r="K411" t="n">
        <v>0</v>
      </c>
      <c r="L411" t="n">
        <v>0</v>
      </c>
      <c r="M411" t="n">
        <v>0</v>
      </c>
      <c r="N411" t="n">
        <v>0</v>
      </c>
      <c r="O411" t="n">
        <v>0</v>
      </c>
      <c r="P411" t="n">
        <v>0</v>
      </c>
      <c r="Q411" t="n">
        <v>0</v>
      </c>
      <c r="R411" s="2" t="inlineStr"/>
    </row>
    <row r="412" ht="15" customHeight="1">
      <c r="A412" t="inlineStr">
        <is>
          <t>A 72969-2021</t>
        </is>
      </c>
      <c r="B412" s="1" t="n">
        <v>44548</v>
      </c>
      <c r="C412" s="1" t="n">
        <v>45829</v>
      </c>
      <c r="D412" t="inlineStr">
        <is>
          <t>UPPSALA LÄN</t>
        </is>
      </c>
      <c r="E412" t="inlineStr">
        <is>
          <t>ÖSTHAMMAR</t>
        </is>
      </c>
      <c r="F412" t="inlineStr">
        <is>
          <t>Bergvik skog öst AB</t>
        </is>
      </c>
      <c r="G412" t="n">
        <v>8</v>
      </c>
      <c r="H412" t="n">
        <v>0</v>
      </c>
      <c r="I412" t="n">
        <v>0</v>
      </c>
      <c r="J412" t="n">
        <v>0</v>
      </c>
      <c r="K412" t="n">
        <v>0</v>
      </c>
      <c r="L412" t="n">
        <v>0</v>
      </c>
      <c r="M412" t="n">
        <v>0</v>
      </c>
      <c r="N412" t="n">
        <v>0</v>
      </c>
      <c r="O412" t="n">
        <v>0</v>
      </c>
      <c r="P412" t="n">
        <v>0</v>
      </c>
      <c r="Q412" t="n">
        <v>0</v>
      </c>
      <c r="R412" s="2" t="inlineStr"/>
    </row>
    <row r="413" ht="15" customHeight="1">
      <c r="A413" t="inlineStr">
        <is>
          <t>A 73483-2021</t>
        </is>
      </c>
      <c r="B413" s="1" t="n">
        <v>44550</v>
      </c>
      <c r="C413" s="1" t="n">
        <v>45829</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73592-2021</t>
        </is>
      </c>
      <c r="B414" s="1" t="n">
        <v>44552</v>
      </c>
      <c r="C414" s="1" t="n">
        <v>45829</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73965-2021</t>
        </is>
      </c>
      <c r="B415" s="1" t="n">
        <v>44553</v>
      </c>
      <c r="C415" s="1" t="n">
        <v>45829</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73982-2021</t>
        </is>
      </c>
      <c r="B416" s="1" t="n">
        <v>44555</v>
      </c>
      <c r="C416" s="1" t="n">
        <v>45829</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73983-2021</t>
        </is>
      </c>
      <c r="B417" s="1" t="n">
        <v>44555</v>
      </c>
      <c r="C417" s="1" t="n">
        <v>45829</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74429-2021</t>
        </is>
      </c>
      <c r="B418" s="1" t="n">
        <v>44560</v>
      </c>
      <c r="C418" s="1" t="n">
        <v>45829</v>
      </c>
      <c r="D418" t="inlineStr">
        <is>
          <t>UPPSALA LÄN</t>
        </is>
      </c>
      <c r="E418" t="inlineStr">
        <is>
          <t>ÖSTHAMMAR</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74467-2021</t>
        </is>
      </c>
      <c r="B419" s="1" t="n">
        <v>44560</v>
      </c>
      <c r="C419" s="1" t="n">
        <v>45829</v>
      </c>
      <c r="D419" t="inlineStr">
        <is>
          <t>UPPSALA LÄN</t>
        </is>
      </c>
      <c r="E419" t="inlineStr">
        <is>
          <t>ÖSTHAMMAR</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74428-2021</t>
        </is>
      </c>
      <c r="B420" s="1" t="n">
        <v>44560</v>
      </c>
      <c r="C420" s="1" t="n">
        <v>45829</v>
      </c>
      <c r="D420" t="inlineStr">
        <is>
          <t>UPPSALA LÄN</t>
        </is>
      </c>
      <c r="E420" t="inlineStr">
        <is>
          <t>ÖSTHAMMAR</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74436-2021</t>
        </is>
      </c>
      <c r="B421" s="1" t="n">
        <v>44560</v>
      </c>
      <c r="C421" s="1" t="n">
        <v>45829</v>
      </c>
      <c r="D421" t="inlineStr">
        <is>
          <t>UPPSALA LÄN</t>
        </is>
      </c>
      <c r="E421" t="inlineStr">
        <is>
          <t>ÖSTHAMMAR</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1238-2022</t>
        </is>
      </c>
      <c r="B422" s="1" t="n">
        <v>44572</v>
      </c>
      <c r="C422" s="1" t="n">
        <v>45829</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1609-2022</t>
        </is>
      </c>
      <c r="B423" s="1" t="n">
        <v>44573</v>
      </c>
      <c r="C423" s="1" t="n">
        <v>45829</v>
      </c>
      <c r="D423" t="inlineStr">
        <is>
          <t>UPPSALA LÄN</t>
        </is>
      </c>
      <c r="E423" t="inlineStr">
        <is>
          <t>ÖSTHAMMAR</t>
        </is>
      </c>
      <c r="G423" t="n">
        <v>5.3</v>
      </c>
      <c r="H423" t="n">
        <v>0</v>
      </c>
      <c r="I423" t="n">
        <v>0</v>
      </c>
      <c r="J423" t="n">
        <v>0</v>
      </c>
      <c r="K423" t="n">
        <v>0</v>
      </c>
      <c r="L423" t="n">
        <v>0</v>
      </c>
      <c r="M423" t="n">
        <v>0</v>
      </c>
      <c r="N423" t="n">
        <v>0</v>
      </c>
      <c r="O423" t="n">
        <v>0</v>
      </c>
      <c r="P423" t="n">
        <v>0</v>
      </c>
      <c r="Q423" t="n">
        <v>0</v>
      </c>
      <c r="R423" s="2" t="inlineStr"/>
    </row>
    <row r="424" ht="15" customHeight="1">
      <c r="A424" t="inlineStr">
        <is>
          <t>A 2085-2022</t>
        </is>
      </c>
      <c r="B424" s="1" t="n">
        <v>44576</v>
      </c>
      <c r="C424" s="1" t="n">
        <v>45829</v>
      </c>
      <c r="D424" t="inlineStr">
        <is>
          <t>UPPSALA LÄN</t>
        </is>
      </c>
      <c r="E424" t="inlineStr">
        <is>
          <t>ÖSTHAMMAR</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2108-2022</t>
        </is>
      </c>
      <c r="B425" s="1" t="n">
        <v>44577</v>
      </c>
      <c r="C425" s="1" t="n">
        <v>45829</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2168-2022</t>
        </is>
      </c>
      <c r="B426" s="1" t="n">
        <v>44578</v>
      </c>
      <c r="C426" s="1" t="n">
        <v>45829</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3638-2022</t>
        </is>
      </c>
      <c r="B427" s="1" t="n">
        <v>44578</v>
      </c>
      <c r="C427" s="1" t="n">
        <v>45829</v>
      </c>
      <c r="D427" t="inlineStr">
        <is>
          <t>UPPSALA LÄN</t>
        </is>
      </c>
      <c r="E427" t="inlineStr">
        <is>
          <t>ÖSTHAMMAR</t>
        </is>
      </c>
      <c r="G427" t="n">
        <v>1.7</v>
      </c>
      <c r="H427" t="n">
        <v>0</v>
      </c>
      <c r="I427" t="n">
        <v>0</v>
      </c>
      <c r="J427" t="n">
        <v>0</v>
      </c>
      <c r="K427" t="n">
        <v>0</v>
      </c>
      <c r="L427" t="n">
        <v>0</v>
      </c>
      <c r="M427" t="n">
        <v>0</v>
      </c>
      <c r="N427" t="n">
        <v>0</v>
      </c>
      <c r="O427" t="n">
        <v>0</v>
      </c>
      <c r="P427" t="n">
        <v>0</v>
      </c>
      <c r="Q427" t="n">
        <v>0</v>
      </c>
      <c r="R427" s="2" t="inlineStr"/>
    </row>
    <row r="428" ht="15" customHeight="1">
      <c r="A428" t="inlineStr">
        <is>
          <t>A 3725-2022</t>
        </is>
      </c>
      <c r="B428" s="1" t="n">
        <v>44586</v>
      </c>
      <c r="C428" s="1" t="n">
        <v>45829</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3732-2022</t>
        </is>
      </c>
      <c r="B429" s="1" t="n">
        <v>44586</v>
      </c>
      <c r="C429" s="1" t="n">
        <v>45829</v>
      </c>
      <c r="D429" t="inlineStr">
        <is>
          <t>UPPSALA LÄN</t>
        </is>
      </c>
      <c r="E429" t="inlineStr">
        <is>
          <t>ÖSTHAMMAR</t>
        </is>
      </c>
      <c r="F429" t="inlineStr">
        <is>
          <t>Bergvik skog öst AB</t>
        </is>
      </c>
      <c r="G429" t="n">
        <v>3.6</v>
      </c>
      <c r="H429" t="n">
        <v>0</v>
      </c>
      <c r="I429" t="n">
        <v>0</v>
      </c>
      <c r="J429" t="n">
        <v>0</v>
      </c>
      <c r="K429" t="n">
        <v>0</v>
      </c>
      <c r="L429" t="n">
        <v>0</v>
      </c>
      <c r="M429" t="n">
        <v>0</v>
      </c>
      <c r="N429" t="n">
        <v>0</v>
      </c>
      <c r="O429" t="n">
        <v>0</v>
      </c>
      <c r="P429" t="n">
        <v>0</v>
      </c>
      <c r="Q429" t="n">
        <v>0</v>
      </c>
      <c r="R429" s="2" t="inlineStr"/>
    </row>
    <row r="430" ht="15" customHeight="1">
      <c r="A430" t="inlineStr">
        <is>
          <t>A 3740-2022</t>
        </is>
      </c>
      <c r="B430" s="1" t="n">
        <v>44586</v>
      </c>
      <c r="C430" s="1" t="n">
        <v>45829</v>
      </c>
      <c r="D430" t="inlineStr">
        <is>
          <t>UPPSALA LÄN</t>
        </is>
      </c>
      <c r="E430" t="inlineStr">
        <is>
          <t>ÖSTHAMMAR</t>
        </is>
      </c>
      <c r="F430" t="inlineStr">
        <is>
          <t>Bergvik skog öst AB</t>
        </is>
      </c>
      <c r="G430" t="n">
        <v>7.7</v>
      </c>
      <c r="H430" t="n">
        <v>0</v>
      </c>
      <c r="I430" t="n">
        <v>0</v>
      </c>
      <c r="J430" t="n">
        <v>0</v>
      </c>
      <c r="K430" t="n">
        <v>0</v>
      </c>
      <c r="L430" t="n">
        <v>0</v>
      </c>
      <c r="M430" t="n">
        <v>0</v>
      </c>
      <c r="N430" t="n">
        <v>0</v>
      </c>
      <c r="O430" t="n">
        <v>0</v>
      </c>
      <c r="P430" t="n">
        <v>0</v>
      </c>
      <c r="Q430" t="n">
        <v>0</v>
      </c>
      <c r="R430" s="2" t="inlineStr"/>
    </row>
    <row r="431" ht="15" customHeight="1">
      <c r="A431" t="inlineStr">
        <is>
          <t>A 3991-2022</t>
        </is>
      </c>
      <c r="B431" s="1" t="n">
        <v>44587</v>
      </c>
      <c r="C431" s="1" t="n">
        <v>45829</v>
      </c>
      <c r="D431" t="inlineStr">
        <is>
          <t>UPPSALA LÄN</t>
        </is>
      </c>
      <c r="E431" t="inlineStr">
        <is>
          <t>ÖSTHAMMAR</t>
        </is>
      </c>
      <c r="F431" t="inlineStr">
        <is>
          <t>Bergvik skog öst AB</t>
        </is>
      </c>
      <c r="G431" t="n">
        <v>3.7</v>
      </c>
      <c r="H431" t="n">
        <v>0</v>
      </c>
      <c r="I431" t="n">
        <v>0</v>
      </c>
      <c r="J431" t="n">
        <v>0</v>
      </c>
      <c r="K431" t="n">
        <v>0</v>
      </c>
      <c r="L431" t="n">
        <v>0</v>
      </c>
      <c r="M431" t="n">
        <v>0</v>
      </c>
      <c r="N431" t="n">
        <v>0</v>
      </c>
      <c r="O431" t="n">
        <v>0</v>
      </c>
      <c r="P431" t="n">
        <v>0</v>
      </c>
      <c r="Q431" t="n">
        <v>0</v>
      </c>
      <c r="R431" s="2" t="inlineStr"/>
    </row>
    <row r="432" ht="15" customHeight="1">
      <c r="A432" t="inlineStr">
        <is>
          <t>A 4101-2022</t>
        </is>
      </c>
      <c r="B432" s="1" t="n">
        <v>44588</v>
      </c>
      <c r="C432" s="1" t="n">
        <v>45829</v>
      </c>
      <c r="D432" t="inlineStr">
        <is>
          <t>UPPSALA LÄN</t>
        </is>
      </c>
      <c r="E432" t="inlineStr">
        <is>
          <t>ÖSTHAMMAR</t>
        </is>
      </c>
      <c r="G432" t="n">
        <v>4.4</v>
      </c>
      <c r="H432" t="n">
        <v>0</v>
      </c>
      <c r="I432" t="n">
        <v>0</v>
      </c>
      <c r="J432" t="n">
        <v>0</v>
      </c>
      <c r="K432" t="n">
        <v>0</v>
      </c>
      <c r="L432" t="n">
        <v>0</v>
      </c>
      <c r="M432" t="n">
        <v>0</v>
      </c>
      <c r="N432" t="n">
        <v>0</v>
      </c>
      <c r="O432" t="n">
        <v>0</v>
      </c>
      <c r="P432" t="n">
        <v>0</v>
      </c>
      <c r="Q432" t="n">
        <v>0</v>
      </c>
      <c r="R432" s="2" t="inlineStr"/>
    </row>
    <row r="433" ht="15" customHeight="1">
      <c r="A433" t="inlineStr">
        <is>
          <t>A 4318-2022</t>
        </is>
      </c>
      <c r="B433" s="1" t="n">
        <v>44588</v>
      </c>
      <c r="C433" s="1" t="n">
        <v>45829</v>
      </c>
      <c r="D433" t="inlineStr">
        <is>
          <t>UPPSALA LÄN</t>
        </is>
      </c>
      <c r="E433" t="inlineStr">
        <is>
          <t>ÖSTHAMMAR</t>
        </is>
      </c>
      <c r="F433" t="inlineStr">
        <is>
          <t>Bergvik skog öst AB</t>
        </is>
      </c>
      <c r="G433" t="n">
        <v>9.6</v>
      </c>
      <c r="H433" t="n">
        <v>0</v>
      </c>
      <c r="I433" t="n">
        <v>0</v>
      </c>
      <c r="J433" t="n">
        <v>0</v>
      </c>
      <c r="K433" t="n">
        <v>0</v>
      </c>
      <c r="L433" t="n">
        <v>0</v>
      </c>
      <c r="M433" t="n">
        <v>0</v>
      </c>
      <c r="N433" t="n">
        <v>0</v>
      </c>
      <c r="O433" t="n">
        <v>0</v>
      </c>
      <c r="P433" t="n">
        <v>0</v>
      </c>
      <c r="Q433" t="n">
        <v>0</v>
      </c>
      <c r="R433" s="2" t="inlineStr"/>
    </row>
    <row r="434" ht="15" customHeight="1">
      <c r="A434" t="inlineStr">
        <is>
          <t>A 4315-2022</t>
        </is>
      </c>
      <c r="B434" s="1" t="n">
        <v>44588</v>
      </c>
      <c r="C434" s="1" t="n">
        <v>45829</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4491-2022</t>
        </is>
      </c>
      <c r="B435" s="1" t="n">
        <v>44589</v>
      </c>
      <c r="C435" s="1" t="n">
        <v>45829</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4357-2022</t>
        </is>
      </c>
      <c r="B436" s="1" t="n">
        <v>44589</v>
      </c>
      <c r="C436" s="1" t="n">
        <v>45829</v>
      </c>
      <c r="D436" t="inlineStr">
        <is>
          <t>UPPSALA LÄN</t>
        </is>
      </c>
      <c r="E436" t="inlineStr">
        <is>
          <t>ÖSTHAMMAR</t>
        </is>
      </c>
      <c r="G436" t="n">
        <v>0.7</v>
      </c>
      <c r="H436" t="n">
        <v>0</v>
      </c>
      <c r="I436" t="n">
        <v>0</v>
      </c>
      <c r="J436" t="n">
        <v>0</v>
      </c>
      <c r="K436" t="n">
        <v>0</v>
      </c>
      <c r="L436" t="n">
        <v>0</v>
      </c>
      <c r="M436" t="n">
        <v>0</v>
      </c>
      <c r="N436" t="n">
        <v>0</v>
      </c>
      <c r="O436" t="n">
        <v>0</v>
      </c>
      <c r="P436" t="n">
        <v>0</v>
      </c>
      <c r="Q436" t="n">
        <v>0</v>
      </c>
      <c r="R436" s="2" t="inlineStr"/>
    </row>
    <row r="437" ht="15" customHeight="1">
      <c r="A437" t="inlineStr">
        <is>
          <t>A 4563-2022</t>
        </is>
      </c>
      <c r="B437" s="1" t="n">
        <v>44591</v>
      </c>
      <c r="C437" s="1" t="n">
        <v>45829</v>
      </c>
      <c r="D437" t="inlineStr">
        <is>
          <t>UPPSALA LÄN</t>
        </is>
      </c>
      <c r="E437" t="inlineStr">
        <is>
          <t>ÖSTHAMMAR</t>
        </is>
      </c>
      <c r="F437" t="inlineStr">
        <is>
          <t>Bergvik skog öst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4562-2022</t>
        </is>
      </c>
      <c r="B438" s="1" t="n">
        <v>44591</v>
      </c>
      <c r="C438" s="1" t="n">
        <v>45829</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4561-2022</t>
        </is>
      </c>
      <c r="B439" s="1" t="n">
        <v>44591</v>
      </c>
      <c r="C439" s="1" t="n">
        <v>45829</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4559-2022</t>
        </is>
      </c>
      <c r="B440" s="1" t="n">
        <v>44591</v>
      </c>
      <c r="C440" s="1" t="n">
        <v>45829</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4565-2022</t>
        </is>
      </c>
      <c r="B441" s="1" t="n">
        <v>44591</v>
      </c>
      <c r="C441" s="1" t="n">
        <v>45829</v>
      </c>
      <c r="D441" t="inlineStr">
        <is>
          <t>UPPSALA LÄN</t>
        </is>
      </c>
      <c r="E441" t="inlineStr">
        <is>
          <t>ÖSTHAMMAR</t>
        </is>
      </c>
      <c r="F441" t="inlineStr">
        <is>
          <t>Bergvik skog öst AB</t>
        </is>
      </c>
      <c r="G441" t="n">
        <v>5.3</v>
      </c>
      <c r="H441" t="n">
        <v>0</v>
      </c>
      <c r="I441" t="n">
        <v>0</v>
      </c>
      <c r="J441" t="n">
        <v>0</v>
      </c>
      <c r="K441" t="n">
        <v>0</v>
      </c>
      <c r="L441" t="n">
        <v>0</v>
      </c>
      <c r="M441" t="n">
        <v>0</v>
      </c>
      <c r="N441" t="n">
        <v>0</v>
      </c>
      <c r="O441" t="n">
        <v>0</v>
      </c>
      <c r="P441" t="n">
        <v>0</v>
      </c>
      <c r="Q441" t="n">
        <v>0</v>
      </c>
      <c r="R441" s="2" t="inlineStr"/>
    </row>
    <row r="442" ht="15" customHeight="1">
      <c r="A442" t="inlineStr">
        <is>
          <t>A 5855-2022</t>
        </is>
      </c>
      <c r="B442" s="1" t="n">
        <v>44596</v>
      </c>
      <c r="C442" s="1" t="n">
        <v>45829</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5974-2022</t>
        </is>
      </c>
      <c r="B443" s="1" t="n">
        <v>44597</v>
      </c>
      <c r="C443" s="1" t="n">
        <v>45829</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5933-2022</t>
        </is>
      </c>
      <c r="B444" s="1" t="n">
        <v>44598</v>
      </c>
      <c r="C444" s="1" t="n">
        <v>45829</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5934-2022</t>
        </is>
      </c>
      <c r="B445" s="1" t="n">
        <v>44598</v>
      </c>
      <c r="C445" s="1" t="n">
        <v>45829</v>
      </c>
      <c r="D445" t="inlineStr">
        <is>
          <t>UPPSALA LÄN</t>
        </is>
      </c>
      <c r="E445" t="inlineStr">
        <is>
          <t>ÖSTHAMMAR</t>
        </is>
      </c>
      <c r="F445" t="inlineStr">
        <is>
          <t>Bergvik skog öst AB</t>
        </is>
      </c>
      <c r="G445" t="n">
        <v>2.4</v>
      </c>
      <c r="H445" t="n">
        <v>0</v>
      </c>
      <c r="I445" t="n">
        <v>0</v>
      </c>
      <c r="J445" t="n">
        <v>0</v>
      </c>
      <c r="K445" t="n">
        <v>0</v>
      </c>
      <c r="L445" t="n">
        <v>0</v>
      </c>
      <c r="M445" t="n">
        <v>0</v>
      </c>
      <c r="N445" t="n">
        <v>0</v>
      </c>
      <c r="O445" t="n">
        <v>0</v>
      </c>
      <c r="P445" t="n">
        <v>0</v>
      </c>
      <c r="Q445" t="n">
        <v>0</v>
      </c>
      <c r="R445" s="2" t="inlineStr"/>
    </row>
    <row r="446" ht="15" customHeight="1">
      <c r="A446" t="inlineStr">
        <is>
          <t>A 5932-2022</t>
        </is>
      </c>
      <c r="B446" s="1" t="n">
        <v>44598</v>
      </c>
      <c r="C446" s="1" t="n">
        <v>45829</v>
      </c>
      <c r="D446" t="inlineStr">
        <is>
          <t>UPPSALA LÄN</t>
        </is>
      </c>
      <c r="E446" t="inlineStr">
        <is>
          <t>ÖSTHAMMAR</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5931-2022</t>
        </is>
      </c>
      <c r="B447" s="1" t="n">
        <v>44598</v>
      </c>
      <c r="C447" s="1" t="n">
        <v>45829</v>
      </c>
      <c r="D447" t="inlineStr">
        <is>
          <t>UPPSALA LÄN</t>
        </is>
      </c>
      <c r="E447" t="inlineStr">
        <is>
          <t>ÖSTHAMMAR</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6143-2022</t>
        </is>
      </c>
      <c r="B448" s="1" t="n">
        <v>44599</v>
      </c>
      <c r="C448" s="1" t="n">
        <v>45829</v>
      </c>
      <c r="D448" t="inlineStr">
        <is>
          <t>UPPSALA LÄN</t>
        </is>
      </c>
      <c r="E448" t="inlineStr">
        <is>
          <t>ÖSTHAMMAR</t>
        </is>
      </c>
      <c r="G448" t="n">
        <v>3.4</v>
      </c>
      <c r="H448" t="n">
        <v>0</v>
      </c>
      <c r="I448" t="n">
        <v>0</v>
      </c>
      <c r="J448" t="n">
        <v>0</v>
      </c>
      <c r="K448" t="n">
        <v>0</v>
      </c>
      <c r="L448" t="n">
        <v>0</v>
      </c>
      <c r="M448" t="n">
        <v>0</v>
      </c>
      <c r="N448" t="n">
        <v>0</v>
      </c>
      <c r="O448" t="n">
        <v>0</v>
      </c>
      <c r="P448" t="n">
        <v>0</v>
      </c>
      <c r="Q448" t="n">
        <v>0</v>
      </c>
      <c r="R448" s="2" t="inlineStr"/>
    </row>
    <row r="449" ht="15" customHeight="1">
      <c r="A449" t="inlineStr">
        <is>
          <t>A 6153-2022</t>
        </is>
      </c>
      <c r="B449" s="1" t="n">
        <v>44599</v>
      </c>
      <c r="C449" s="1" t="n">
        <v>45829</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6206-2022</t>
        </is>
      </c>
      <c r="B450" s="1" t="n">
        <v>44600</v>
      </c>
      <c r="C450" s="1" t="n">
        <v>45829</v>
      </c>
      <c r="D450" t="inlineStr">
        <is>
          <t>UPPSALA LÄN</t>
        </is>
      </c>
      <c r="E450" t="inlineStr">
        <is>
          <t>ÖSTHAMMAR</t>
        </is>
      </c>
      <c r="G450" t="n">
        <v>7.4</v>
      </c>
      <c r="H450" t="n">
        <v>0</v>
      </c>
      <c r="I450" t="n">
        <v>0</v>
      </c>
      <c r="J450" t="n">
        <v>0</v>
      </c>
      <c r="K450" t="n">
        <v>0</v>
      </c>
      <c r="L450" t="n">
        <v>0</v>
      </c>
      <c r="M450" t="n">
        <v>0</v>
      </c>
      <c r="N450" t="n">
        <v>0</v>
      </c>
      <c r="O450" t="n">
        <v>0</v>
      </c>
      <c r="P450" t="n">
        <v>0</v>
      </c>
      <c r="Q450" t="n">
        <v>0</v>
      </c>
      <c r="R450" s="2" t="inlineStr"/>
    </row>
    <row r="451" ht="15" customHeight="1">
      <c r="A451" t="inlineStr">
        <is>
          <t>A 6313-2022</t>
        </is>
      </c>
      <c r="B451" s="1" t="n">
        <v>44600</v>
      </c>
      <c r="C451" s="1" t="n">
        <v>45829</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6892-2022</t>
        </is>
      </c>
      <c r="B452" s="1" t="n">
        <v>44602</v>
      </c>
      <c r="C452" s="1" t="n">
        <v>45829</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7181-2022</t>
        </is>
      </c>
      <c r="B453" s="1" t="n">
        <v>44605</v>
      </c>
      <c r="C453" s="1" t="n">
        <v>45829</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7302-2022</t>
        </is>
      </c>
      <c r="B454" s="1" t="n">
        <v>44606</v>
      </c>
      <c r="C454" s="1" t="n">
        <v>45829</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7475-2022</t>
        </is>
      </c>
      <c r="B455" s="1" t="n">
        <v>44607</v>
      </c>
      <c r="C455" s="1" t="n">
        <v>45829</v>
      </c>
      <c r="D455" t="inlineStr">
        <is>
          <t>UPPSALA LÄN</t>
        </is>
      </c>
      <c r="E455" t="inlineStr">
        <is>
          <t>ÖSTHAMMAR</t>
        </is>
      </c>
      <c r="G455" t="n">
        <v>2.2</v>
      </c>
      <c r="H455" t="n">
        <v>0</v>
      </c>
      <c r="I455" t="n">
        <v>0</v>
      </c>
      <c r="J455" t="n">
        <v>0</v>
      </c>
      <c r="K455" t="n">
        <v>0</v>
      </c>
      <c r="L455" t="n">
        <v>0</v>
      </c>
      <c r="M455" t="n">
        <v>0</v>
      </c>
      <c r="N455" t="n">
        <v>0</v>
      </c>
      <c r="O455" t="n">
        <v>0</v>
      </c>
      <c r="P455" t="n">
        <v>0</v>
      </c>
      <c r="Q455" t="n">
        <v>0</v>
      </c>
      <c r="R455" s="2" t="inlineStr"/>
    </row>
    <row r="456" ht="15" customHeight="1">
      <c r="A456" t="inlineStr">
        <is>
          <t>A 7488-2022</t>
        </is>
      </c>
      <c r="B456" s="1" t="n">
        <v>44607</v>
      </c>
      <c r="C456" s="1" t="n">
        <v>45829</v>
      </c>
      <c r="D456" t="inlineStr">
        <is>
          <t>UPPSALA LÄN</t>
        </is>
      </c>
      <c r="E456" t="inlineStr">
        <is>
          <t>ÖSTHAMMAR</t>
        </is>
      </c>
      <c r="G456" t="n">
        <v>2.3</v>
      </c>
      <c r="H456" t="n">
        <v>0</v>
      </c>
      <c r="I456" t="n">
        <v>0</v>
      </c>
      <c r="J456" t="n">
        <v>0</v>
      </c>
      <c r="K456" t="n">
        <v>0</v>
      </c>
      <c r="L456" t="n">
        <v>0</v>
      </c>
      <c r="M456" t="n">
        <v>0</v>
      </c>
      <c r="N456" t="n">
        <v>0</v>
      </c>
      <c r="O456" t="n">
        <v>0</v>
      </c>
      <c r="P456" t="n">
        <v>0</v>
      </c>
      <c r="Q456" t="n">
        <v>0</v>
      </c>
      <c r="R456" s="2" t="inlineStr"/>
    </row>
    <row r="457" ht="15" customHeight="1">
      <c r="A457" t="inlineStr">
        <is>
          <t>A 7858-2022</t>
        </is>
      </c>
      <c r="B457" s="1" t="n">
        <v>44608</v>
      </c>
      <c r="C457" s="1" t="n">
        <v>45829</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7871-2022</t>
        </is>
      </c>
      <c r="B458" s="1" t="n">
        <v>44608</v>
      </c>
      <c r="C458" s="1" t="n">
        <v>45829</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7997-2022</t>
        </is>
      </c>
      <c r="B459" s="1" t="n">
        <v>44609</v>
      </c>
      <c r="C459" s="1" t="n">
        <v>45829</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8283-2022</t>
        </is>
      </c>
      <c r="B460" s="1" t="n">
        <v>44610</v>
      </c>
      <c r="C460" s="1" t="n">
        <v>45829</v>
      </c>
      <c r="D460" t="inlineStr">
        <is>
          <t>UPPSALA LÄN</t>
        </is>
      </c>
      <c r="E460" t="inlineStr">
        <is>
          <t>ÖSTHAMMAR</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8592-2022</t>
        </is>
      </c>
      <c r="B461" s="1" t="n">
        <v>44613</v>
      </c>
      <c r="C461" s="1" t="n">
        <v>45829</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8708-2022</t>
        </is>
      </c>
      <c r="B462" s="1" t="n">
        <v>44613</v>
      </c>
      <c r="C462" s="1" t="n">
        <v>45829</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8710-2022</t>
        </is>
      </c>
      <c r="B463" s="1" t="n">
        <v>44613</v>
      </c>
      <c r="C463" s="1" t="n">
        <v>45829</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8537-2022</t>
        </is>
      </c>
      <c r="B464" s="1" t="n">
        <v>44613</v>
      </c>
      <c r="C464" s="1" t="n">
        <v>45829</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8554-2022</t>
        </is>
      </c>
      <c r="B465" s="1" t="n">
        <v>44613</v>
      </c>
      <c r="C465" s="1" t="n">
        <v>45829</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8556-2022</t>
        </is>
      </c>
      <c r="B466" s="1" t="n">
        <v>44613</v>
      </c>
      <c r="C466" s="1" t="n">
        <v>45829</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45829</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8750-2022</t>
        </is>
      </c>
      <c r="B468" s="1" t="n">
        <v>44614</v>
      </c>
      <c r="C468" s="1" t="n">
        <v>45829</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9755-2022</t>
        </is>
      </c>
      <c r="B469" s="1" t="n">
        <v>44618</v>
      </c>
      <c r="C469" s="1" t="n">
        <v>45829</v>
      </c>
      <c r="D469" t="inlineStr">
        <is>
          <t>UPPSALA LÄN</t>
        </is>
      </c>
      <c r="E469" t="inlineStr">
        <is>
          <t>ÖSTHAMMAR</t>
        </is>
      </c>
      <c r="F469" t="inlineStr">
        <is>
          <t>Bergvik skog öst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9789-2022</t>
        </is>
      </c>
      <c r="B470" s="1" t="n">
        <v>44620</v>
      </c>
      <c r="C470" s="1" t="n">
        <v>45829</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9795-2022</t>
        </is>
      </c>
      <c r="B471" s="1" t="n">
        <v>44620</v>
      </c>
      <c r="C471" s="1" t="n">
        <v>45829</v>
      </c>
      <c r="D471" t="inlineStr">
        <is>
          <t>UPPSALA LÄN</t>
        </is>
      </c>
      <c r="E471" t="inlineStr">
        <is>
          <t>ÖSTHAMMAR</t>
        </is>
      </c>
      <c r="G471" t="n">
        <v>1.3</v>
      </c>
      <c r="H471" t="n">
        <v>0</v>
      </c>
      <c r="I471" t="n">
        <v>0</v>
      </c>
      <c r="J471" t="n">
        <v>0</v>
      </c>
      <c r="K471" t="n">
        <v>0</v>
      </c>
      <c r="L471" t="n">
        <v>0</v>
      </c>
      <c r="M471" t="n">
        <v>0</v>
      </c>
      <c r="N471" t="n">
        <v>0</v>
      </c>
      <c r="O471" t="n">
        <v>0</v>
      </c>
      <c r="P471" t="n">
        <v>0</v>
      </c>
      <c r="Q471" t="n">
        <v>0</v>
      </c>
      <c r="R471" s="2" t="inlineStr"/>
    </row>
    <row r="472" ht="15" customHeight="1">
      <c r="A472" t="inlineStr">
        <is>
          <t>A 10287-2022</t>
        </is>
      </c>
      <c r="B472" s="1" t="n">
        <v>44622</v>
      </c>
      <c r="C472" s="1" t="n">
        <v>45829</v>
      </c>
      <c r="D472" t="inlineStr">
        <is>
          <t>UPPSALA LÄN</t>
        </is>
      </c>
      <c r="E472" t="inlineStr">
        <is>
          <t>ÖSTHAMMAR</t>
        </is>
      </c>
      <c r="F472" t="inlineStr">
        <is>
          <t>Bergvik skog öst AB</t>
        </is>
      </c>
      <c r="G472" t="n">
        <v>0.2</v>
      </c>
      <c r="H472" t="n">
        <v>0</v>
      </c>
      <c r="I472" t="n">
        <v>0</v>
      </c>
      <c r="J472" t="n">
        <v>0</v>
      </c>
      <c r="K472" t="n">
        <v>0</v>
      </c>
      <c r="L472" t="n">
        <v>0</v>
      </c>
      <c r="M472" t="n">
        <v>0</v>
      </c>
      <c r="N472" t="n">
        <v>0</v>
      </c>
      <c r="O472" t="n">
        <v>0</v>
      </c>
      <c r="P472" t="n">
        <v>0</v>
      </c>
      <c r="Q472" t="n">
        <v>0</v>
      </c>
      <c r="R472" s="2" t="inlineStr"/>
    </row>
    <row r="473" ht="15" customHeight="1">
      <c r="A473" t="inlineStr">
        <is>
          <t>A 10294-2022</t>
        </is>
      </c>
      <c r="B473" s="1" t="n">
        <v>44622</v>
      </c>
      <c r="C473" s="1" t="n">
        <v>45829</v>
      </c>
      <c r="D473" t="inlineStr">
        <is>
          <t>UPPSALA LÄN</t>
        </is>
      </c>
      <c r="E473" t="inlineStr">
        <is>
          <t>ÖSTHAMMAR</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10288-2022</t>
        </is>
      </c>
      <c r="B474" s="1" t="n">
        <v>44622</v>
      </c>
      <c r="C474" s="1" t="n">
        <v>45829</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10298-2022</t>
        </is>
      </c>
      <c r="B475" s="1" t="n">
        <v>44622</v>
      </c>
      <c r="C475" s="1" t="n">
        <v>45829</v>
      </c>
      <c r="D475" t="inlineStr">
        <is>
          <t>UPPSALA LÄN</t>
        </is>
      </c>
      <c r="E475" t="inlineStr">
        <is>
          <t>ÖSTHAMMAR</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10980-2022</t>
        </is>
      </c>
      <c r="B476" s="1" t="n">
        <v>44628</v>
      </c>
      <c r="C476" s="1" t="n">
        <v>45829</v>
      </c>
      <c r="D476" t="inlineStr">
        <is>
          <t>UPPSALA LÄN</t>
        </is>
      </c>
      <c r="E476" t="inlineStr">
        <is>
          <t>ÖSTHAMMAR</t>
        </is>
      </c>
      <c r="G476" t="n">
        <v>7.4</v>
      </c>
      <c r="H476" t="n">
        <v>0</v>
      </c>
      <c r="I476" t="n">
        <v>0</v>
      </c>
      <c r="J476" t="n">
        <v>0</v>
      </c>
      <c r="K476" t="n">
        <v>0</v>
      </c>
      <c r="L476" t="n">
        <v>0</v>
      </c>
      <c r="M476" t="n">
        <v>0</v>
      </c>
      <c r="N476" t="n">
        <v>0</v>
      </c>
      <c r="O476" t="n">
        <v>0</v>
      </c>
      <c r="P476" t="n">
        <v>0</v>
      </c>
      <c r="Q476" t="n">
        <v>0</v>
      </c>
      <c r="R476" s="2" t="inlineStr"/>
    </row>
    <row r="477" ht="15" customHeight="1">
      <c r="A477" t="inlineStr">
        <is>
          <t>A 11547-2022</t>
        </is>
      </c>
      <c r="B477" s="1" t="n">
        <v>44631</v>
      </c>
      <c r="C477" s="1" t="n">
        <v>45829</v>
      </c>
      <c r="D477" t="inlineStr">
        <is>
          <t>UPPSALA LÄN</t>
        </is>
      </c>
      <c r="E477" t="inlineStr">
        <is>
          <t>ÖSTHAMMAR</t>
        </is>
      </c>
      <c r="G477" t="n">
        <v>4.4</v>
      </c>
      <c r="H477" t="n">
        <v>0</v>
      </c>
      <c r="I477" t="n">
        <v>0</v>
      </c>
      <c r="J477" t="n">
        <v>0</v>
      </c>
      <c r="K477" t="n">
        <v>0</v>
      </c>
      <c r="L477" t="n">
        <v>0</v>
      </c>
      <c r="M477" t="n">
        <v>0</v>
      </c>
      <c r="N477" t="n">
        <v>0</v>
      </c>
      <c r="O477" t="n">
        <v>0</v>
      </c>
      <c r="P477" t="n">
        <v>0</v>
      </c>
      <c r="Q477" t="n">
        <v>0</v>
      </c>
      <c r="R477" s="2" t="inlineStr"/>
    </row>
    <row r="478" ht="15" customHeight="1">
      <c r="A478" t="inlineStr">
        <is>
          <t>A 11643-2022</t>
        </is>
      </c>
      <c r="B478" s="1" t="n">
        <v>44631</v>
      </c>
      <c r="C478" s="1" t="n">
        <v>45829</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11884-2022</t>
        </is>
      </c>
      <c r="B479" s="1" t="n">
        <v>44635</v>
      </c>
      <c r="C479" s="1" t="n">
        <v>45829</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11987-2022</t>
        </is>
      </c>
      <c r="B480" s="1" t="n">
        <v>44635</v>
      </c>
      <c r="C480" s="1" t="n">
        <v>45829</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11986-2022</t>
        </is>
      </c>
      <c r="B481" s="1" t="n">
        <v>44635</v>
      </c>
      <c r="C481" s="1" t="n">
        <v>45829</v>
      </c>
      <c r="D481" t="inlineStr">
        <is>
          <t>UPPSALA LÄN</t>
        </is>
      </c>
      <c r="E481" t="inlineStr">
        <is>
          <t>ÖSTHAMMAR</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12176-2022</t>
        </is>
      </c>
      <c r="B482" s="1" t="n">
        <v>44636</v>
      </c>
      <c r="C482" s="1" t="n">
        <v>45829</v>
      </c>
      <c r="D482" t="inlineStr">
        <is>
          <t>UPPSALA LÄN</t>
        </is>
      </c>
      <c r="E482" t="inlineStr">
        <is>
          <t>ÖSTHAMMAR</t>
        </is>
      </c>
      <c r="G482" t="n">
        <v>3.5</v>
      </c>
      <c r="H482" t="n">
        <v>0</v>
      </c>
      <c r="I482" t="n">
        <v>0</v>
      </c>
      <c r="J482" t="n">
        <v>0</v>
      </c>
      <c r="K482" t="n">
        <v>0</v>
      </c>
      <c r="L482" t="n">
        <v>0</v>
      </c>
      <c r="M482" t="n">
        <v>0</v>
      </c>
      <c r="N482" t="n">
        <v>0</v>
      </c>
      <c r="O482" t="n">
        <v>0</v>
      </c>
      <c r="P482" t="n">
        <v>0</v>
      </c>
      <c r="Q482" t="n">
        <v>0</v>
      </c>
      <c r="R482" s="2" t="inlineStr"/>
    </row>
    <row r="483" ht="15" customHeight="1">
      <c r="A483" t="inlineStr">
        <is>
          <t>A 12999-2022</t>
        </is>
      </c>
      <c r="B483" s="1" t="n">
        <v>44643</v>
      </c>
      <c r="C483" s="1" t="n">
        <v>45829</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13044-2022</t>
        </is>
      </c>
      <c r="B484" s="1" t="n">
        <v>44643</v>
      </c>
      <c r="C484" s="1" t="n">
        <v>45829</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13093-2022</t>
        </is>
      </c>
      <c r="B485" s="1" t="n">
        <v>44643</v>
      </c>
      <c r="C485" s="1" t="n">
        <v>45829</v>
      </c>
      <c r="D485" t="inlineStr">
        <is>
          <t>UPPSALA LÄN</t>
        </is>
      </c>
      <c r="E485" t="inlineStr">
        <is>
          <t>ÖSTHAMMAR</t>
        </is>
      </c>
      <c r="F485" t="inlineStr">
        <is>
          <t>Bergvik skog öst AB</t>
        </is>
      </c>
      <c r="G485" t="n">
        <v>3.2</v>
      </c>
      <c r="H485" t="n">
        <v>0</v>
      </c>
      <c r="I485" t="n">
        <v>0</v>
      </c>
      <c r="J485" t="n">
        <v>0</v>
      </c>
      <c r="K485" t="n">
        <v>0</v>
      </c>
      <c r="L485" t="n">
        <v>0</v>
      </c>
      <c r="M485" t="n">
        <v>0</v>
      </c>
      <c r="N485" t="n">
        <v>0</v>
      </c>
      <c r="O485" t="n">
        <v>0</v>
      </c>
      <c r="P485" t="n">
        <v>0</v>
      </c>
      <c r="Q485" t="n">
        <v>0</v>
      </c>
      <c r="R485" s="2" t="inlineStr"/>
    </row>
    <row r="486" ht="15" customHeight="1">
      <c r="A486" t="inlineStr">
        <is>
          <t>A 13238-2022</t>
        </is>
      </c>
      <c r="B486" s="1" t="n">
        <v>44644</v>
      </c>
      <c r="C486" s="1" t="n">
        <v>45829</v>
      </c>
      <c r="D486" t="inlineStr">
        <is>
          <t>UPPSALA LÄN</t>
        </is>
      </c>
      <c r="E486" t="inlineStr">
        <is>
          <t>ÖSTHAMMAR</t>
        </is>
      </c>
      <c r="G486" t="n">
        <v>6.5</v>
      </c>
      <c r="H486" t="n">
        <v>0</v>
      </c>
      <c r="I486" t="n">
        <v>0</v>
      </c>
      <c r="J486" t="n">
        <v>0</v>
      </c>
      <c r="K486" t="n">
        <v>0</v>
      </c>
      <c r="L486" t="n">
        <v>0</v>
      </c>
      <c r="M486" t="n">
        <v>0</v>
      </c>
      <c r="N486" t="n">
        <v>0</v>
      </c>
      <c r="O486" t="n">
        <v>0</v>
      </c>
      <c r="P486" t="n">
        <v>0</v>
      </c>
      <c r="Q486" t="n">
        <v>0</v>
      </c>
      <c r="R486" s="2" t="inlineStr"/>
    </row>
    <row r="487" ht="15" customHeight="1">
      <c r="A487" t="inlineStr">
        <is>
          <t>A 13279-2022</t>
        </is>
      </c>
      <c r="B487" s="1" t="n">
        <v>44644</v>
      </c>
      <c r="C487" s="1" t="n">
        <v>45829</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13867-2022</t>
        </is>
      </c>
      <c r="B488" s="1" t="n">
        <v>44649</v>
      </c>
      <c r="C488" s="1" t="n">
        <v>45829</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14272-2022</t>
        </is>
      </c>
      <c r="B489" s="1" t="n">
        <v>44651</v>
      </c>
      <c r="C489" s="1" t="n">
        <v>45829</v>
      </c>
      <c r="D489" t="inlineStr">
        <is>
          <t>UPPSALA LÄN</t>
        </is>
      </c>
      <c r="E489" t="inlineStr">
        <is>
          <t>ÖSTHAMMAR</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14124-2022</t>
        </is>
      </c>
      <c r="B490" s="1" t="n">
        <v>44651</v>
      </c>
      <c r="C490" s="1" t="n">
        <v>45829</v>
      </c>
      <c r="D490" t="inlineStr">
        <is>
          <t>UPPSALA LÄN</t>
        </is>
      </c>
      <c r="E490" t="inlineStr">
        <is>
          <t>ÖSTHAMMAR</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14187-2022</t>
        </is>
      </c>
      <c r="B491" s="1" t="n">
        <v>44651</v>
      </c>
      <c r="C491" s="1" t="n">
        <v>45829</v>
      </c>
      <c r="D491" t="inlineStr">
        <is>
          <t>UPPSALA LÄN</t>
        </is>
      </c>
      <c r="E491" t="inlineStr">
        <is>
          <t>ÖSTHAMMAR</t>
        </is>
      </c>
      <c r="F491" t="inlineStr">
        <is>
          <t>Övriga Aktiebolag</t>
        </is>
      </c>
      <c r="G491" t="n">
        <v>14.1</v>
      </c>
      <c r="H491" t="n">
        <v>0</v>
      </c>
      <c r="I491" t="n">
        <v>0</v>
      </c>
      <c r="J491" t="n">
        <v>0</v>
      </c>
      <c r="K491" t="n">
        <v>0</v>
      </c>
      <c r="L491" t="n">
        <v>0</v>
      </c>
      <c r="M491" t="n">
        <v>0</v>
      </c>
      <c r="N491" t="n">
        <v>0</v>
      </c>
      <c r="O491" t="n">
        <v>0</v>
      </c>
      <c r="P491" t="n">
        <v>0</v>
      </c>
      <c r="Q491" t="n">
        <v>0</v>
      </c>
      <c r="R491" s="2" t="inlineStr"/>
    </row>
    <row r="492" ht="15" customHeight="1">
      <c r="A492" t="inlineStr">
        <is>
          <t>A 14271-2022</t>
        </is>
      </c>
      <c r="B492" s="1" t="n">
        <v>44651</v>
      </c>
      <c r="C492" s="1" t="n">
        <v>45829</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14671-2022</t>
        </is>
      </c>
      <c r="B493" s="1" t="n">
        <v>44655</v>
      </c>
      <c r="C493" s="1" t="n">
        <v>45829</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15064-2022</t>
        </is>
      </c>
      <c r="B494" s="1" t="n">
        <v>44657</v>
      </c>
      <c r="C494" s="1" t="n">
        <v>45829</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15311-2022</t>
        </is>
      </c>
      <c r="B495" s="1" t="n">
        <v>44659</v>
      </c>
      <c r="C495" s="1" t="n">
        <v>45829</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15334-2022</t>
        </is>
      </c>
      <c r="B496" s="1" t="n">
        <v>44659</v>
      </c>
      <c r="C496" s="1" t="n">
        <v>45829</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15447-2022</t>
        </is>
      </c>
      <c r="B497" s="1" t="n">
        <v>44660</v>
      </c>
      <c r="C497" s="1" t="n">
        <v>45829</v>
      </c>
      <c r="D497" t="inlineStr">
        <is>
          <t>UPPSALA LÄN</t>
        </is>
      </c>
      <c r="E497" t="inlineStr">
        <is>
          <t>ÖSTHAMMAR</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15445-2022</t>
        </is>
      </c>
      <c r="B498" s="1" t="n">
        <v>44660</v>
      </c>
      <c r="C498" s="1" t="n">
        <v>45829</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15449-2022</t>
        </is>
      </c>
      <c r="B499" s="1" t="n">
        <v>44660</v>
      </c>
      <c r="C499" s="1" t="n">
        <v>45829</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15456-2022</t>
        </is>
      </c>
      <c r="B500" s="1" t="n">
        <v>44661</v>
      </c>
      <c r="C500" s="1" t="n">
        <v>45829</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15457-2022</t>
        </is>
      </c>
      <c r="B501" s="1" t="n">
        <v>44661</v>
      </c>
      <c r="C501" s="1" t="n">
        <v>45829</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45829</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15845-2022</t>
        </is>
      </c>
      <c r="B503" s="1" t="n">
        <v>44664</v>
      </c>
      <c r="C503" s="1" t="n">
        <v>45829</v>
      </c>
      <c r="D503" t="inlineStr">
        <is>
          <t>UPPSALA LÄN</t>
        </is>
      </c>
      <c r="E503" t="inlineStr">
        <is>
          <t>ÖSTHAMMAR</t>
        </is>
      </c>
      <c r="G503" t="n">
        <v>4.5</v>
      </c>
      <c r="H503" t="n">
        <v>0</v>
      </c>
      <c r="I503" t="n">
        <v>0</v>
      </c>
      <c r="J503" t="n">
        <v>0</v>
      </c>
      <c r="K503" t="n">
        <v>0</v>
      </c>
      <c r="L503" t="n">
        <v>0</v>
      </c>
      <c r="M503" t="n">
        <v>0</v>
      </c>
      <c r="N503" t="n">
        <v>0</v>
      </c>
      <c r="O503" t="n">
        <v>0</v>
      </c>
      <c r="P503" t="n">
        <v>0</v>
      </c>
      <c r="Q503" t="n">
        <v>0</v>
      </c>
      <c r="R503" s="2" t="inlineStr"/>
    </row>
    <row r="504" ht="15" customHeight="1">
      <c r="A504" t="inlineStr">
        <is>
          <t>A 15928-2022</t>
        </is>
      </c>
      <c r="B504" s="1" t="n">
        <v>44664</v>
      </c>
      <c r="C504" s="1" t="n">
        <v>45829</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16141-2022</t>
        </is>
      </c>
      <c r="B505" s="1" t="n">
        <v>44665</v>
      </c>
      <c r="C505" s="1" t="n">
        <v>45829</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16142-2022</t>
        </is>
      </c>
      <c r="B506" s="1" t="n">
        <v>44665</v>
      </c>
      <c r="C506" s="1" t="n">
        <v>45829</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16167-2022</t>
        </is>
      </c>
      <c r="B507" s="1" t="n">
        <v>44667</v>
      </c>
      <c r="C507" s="1" t="n">
        <v>45829</v>
      </c>
      <c r="D507" t="inlineStr">
        <is>
          <t>UPPSALA LÄN</t>
        </is>
      </c>
      <c r="E507" t="inlineStr">
        <is>
          <t>ÖSTHAMMAR</t>
        </is>
      </c>
      <c r="F507" t="inlineStr">
        <is>
          <t>Bergvik skog öst AB</t>
        </is>
      </c>
      <c r="G507" t="n">
        <v>18.7</v>
      </c>
      <c r="H507" t="n">
        <v>0</v>
      </c>
      <c r="I507" t="n">
        <v>0</v>
      </c>
      <c r="J507" t="n">
        <v>0</v>
      </c>
      <c r="K507" t="n">
        <v>0</v>
      </c>
      <c r="L507" t="n">
        <v>0</v>
      </c>
      <c r="M507" t="n">
        <v>0</v>
      </c>
      <c r="N507" t="n">
        <v>0</v>
      </c>
      <c r="O507" t="n">
        <v>0</v>
      </c>
      <c r="P507" t="n">
        <v>0</v>
      </c>
      <c r="Q507" t="n">
        <v>0</v>
      </c>
      <c r="R507" s="2" t="inlineStr"/>
    </row>
    <row r="508" ht="15" customHeight="1">
      <c r="A508" t="inlineStr">
        <is>
          <t>A 16185-2022</t>
        </is>
      </c>
      <c r="B508" s="1" t="n">
        <v>44669</v>
      </c>
      <c r="C508" s="1" t="n">
        <v>45829</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16184-2022</t>
        </is>
      </c>
      <c r="B509" s="1" t="n">
        <v>44669</v>
      </c>
      <c r="C509" s="1" t="n">
        <v>45829</v>
      </c>
      <c r="D509" t="inlineStr">
        <is>
          <t>UPPSALA LÄN</t>
        </is>
      </c>
      <c r="E509" t="inlineStr">
        <is>
          <t>ÖSTHAMMAR</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16254-2022</t>
        </is>
      </c>
      <c r="B510" s="1" t="n">
        <v>44670</v>
      </c>
      <c r="C510" s="1" t="n">
        <v>45829</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16933-2022</t>
        </is>
      </c>
      <c r="B511" s="1" t="n">
        <v>44676</v>
      </c>
      <c r="C511" s="1" t="n">
        <v>45829</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17013-2022</t>
        </is>
      </c>
      <c r="B512" s="1" t="n">
        <v>44676</v>
      </c>
      <c r="C512" s="1" t="n">
        <v>45829</v>
      </c>
      <c r="D512" t="inlineStr">
        <is>
          <t>UPPSALA LÄN</t>
        </is>
      </c>
      <c r="E512" t="inlineStr">
        <is>
          <t>ÖSTHAMMAR</t>
        </is>
      </c>
      <c r="F512" t="inlineStr">
        <is>
          <t>Bergvik skog öst AB</t>
        </is>
      </c>
      <c r="G512" t="n">
        <v>0.2</v>
      </c>
      <c r="H512" t="n">
        <v>0</v>
      </c>
      <c r="I512" t="n">
        <v>0</v>
      </c>
      <c r="J512" t="n">
        <v>0</v>
      </c>
      <c r="K512" t="n">
        <v>0</v>
      </c>
      <c r="L512" t="n">
        <v>0</v>
      </c>
      <c r="M512" t="n">
        <v>0</v>
      </c>
      <c r="N512" t="n">
        <v>0</v>
      </c>
      <c r="O512" t="n">
        <v>0</v>
      </c>
      <c r="P512" t="n">
        <v>0</v>
      </c>
      <c r="Q512" t="n">
        <v>0</v>
      </c>
      <c r="R512" s="2" t="inlineStr"/>
    </row>
    <row r="513" ht="15" customHeight="1">
      <c r="A513" t="inlineStr">
        <is>
          <t>A 17947-2022</t>
        </is>
      </c>
      <c r="B513" s="1" t="n">
        <v>44683</v>
      </c>
      <c r="C513" s="1" t="n">
        <v>45829</v>
      </c>
      <c r="D513" t="inlineStr">
        <is>
          <t>UPPSALA LÄN</t>
        </is>
      </c>
      <c r="E513" t="inlineStr">
        <is>
          <t>ÖSTHAMMAR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18183-2022</t>
        </is>
      </c>
      <c r="B514" s="1" t="n">
        <v>44684</v>
      </c>
      <c r="C514" s="1" t="n">
        <v>45829</v>
      </c>
      <c r="D514" t="inlineStr">
        <is>
          <t>UPPSALA LÄN</t>
        </is>
      </c>
      <c r="E514" t="inlineStr">
        <is>
          <t>ÖSTHAMMAR</t>
        </is>
      </c>
      <c r="G514" t="n">
        <v>0.2</v>
      </c>
      <c r="H514" t="n">
        <v>0</v>
      </c>
      <c r="I514" t="n">
        <v>0</v>
      </c>
      <c r="J514" t="n">
        <v>0</v>
      </c>
      <c r="K514" t="n">
        <v>0</v>
      </c>
      <c r="L514" t="n">
        <v>0</v>
      </c>
      <c r="M514" t="n">
        <v>0</v>
      </c>
      <c r="N514" t="n">
        <v>0</v>
      </c>
      <c r="O514" t="n">
        <v>0</v>
      </c>
      <c r="P514" t="n">
        <v>0</v>
      </c>
      <c r="Q514" t="n">
        <v>0</v>
      </c>
      <c r="R514" s="2" t="inlineStr"/>
    </row>
    <row r="515" ht="15" customHeight="1">
      <c r="A515" t="inlineStr">
        <is>
          <t>A 18732-2022</t>
        </is>
      </c>
      <c r="B515" s="1" t="n">
        <v>44687</v>
      </c>
      <c r="C515" s="1" t="n">
        <v>45829</v>
      </c>
      <c r="D515" t="inlineStr">
        <is>
          <t>UPPSALA LÄN</t>
        </is>
      </c>
      <c r="E515" t="inlineStr">
        <is>
          <t>ÖSTHAMMAR</t>
        </is>
      </c>
      <c r="G515" t="n">
        <v>10.5</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v>
      </c>
      <c r="C516" s="1" t="n">
        <v>45829</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18728-2022</t>
        </is>
      </c>
      <c r="B517" s="1" t="n">
        <v>44687</v>
      </c>
      <c r="C517" s="1" t="n">
        <v>45829</v>
      </c>
      <c r="D517" t="inlineStr">
        <is>
          <t>UPPSALA LÄN</t>
        </is>
      </c>
      <c r="E517" t="inlineStr">
        <is>
          <t>ÖSTHAMMAR</t>
        </is>
      </c>
      <c r="G517" t="n">
        <v>8.1</v>
      </c>
      <c r="H517" t="n">
        <v>0</v>
      </c>
      <c r="I517" t="n">
        <v>0</v>
      </c>
      <c r="J517" t="n">
        <v>0</v>
      </c>
      <c r="K517" t="n">
        <v>0</v>
      </c>
      <c r="L517" t="n">
        <v>0</v>
      </c>
      <c r="M517" t="n">
        <v>0</v>
      </c>
      <c r="N517" t="n">
        <v>0</v>
      </c>
      <c r="O517" t="n">
        <v>0</v>
      </c>
      <c r="P517" t="n">
        <v>0</v>
      </c>
      <c r="Q517" t="n">
        <v>0</v>
      </c>
      <c r="R517" s="2" t="inlineStr"/>
    </row>
    <row r="518" ht="15" customHeight="1">
      <c r="A518" t="inlineStr">
        <is>
          <t>A 18734-2022</t>
        </is>
      </c>
      <c r="B518" s="1" t="n">
        <v>44687</v>
      </c>
      <c r="C518" s="1" t="n">
        <v>45829</v>
      </c>
      <c r="D518" t="inlineStr">
        <is>
          <t>UPPSALA LÄN</t>
        </is>
      </c>
      <c r="E518" t="inlineStr">
        <is>
          <t>ÖSTHAMMAR</t>
        </is>
      </c>
      <c r="F518" t="inlineStr">
        <is>
          <t>Bergvik skog öst AB</t>
        </is>
      </c>
      <c r="G518" t="n">
        <v>0.3</v>
      </c>
      <c r="H518" t="n">
        <v>0</v>
      </c>
      <c r="I518" t="n">
        <v>0</v>
      </c>
      <c r="J518" t="n">
        <v>0</v>
      </c>
      <c r="K518" t="n">
        <v>0</v>
      </c>
      <c r="L518" t="n">
        <v>0</v>
      </c>
      <c r="M518" t="n">
        <v>0</v>
      </c>
      <c r="N518" t="n">
        <v>0</v>
      </c>
      <c r="O518" t="n">
        <v>0</v>
      </c>
      <c r="P518" t="n">
        <v>0</v>
      </c>
      <c r="Q518" t="n">
        <v>0</v>
      </c>
      <c r="R518" s="2" t="inlineStr"/>
    </row>
    <row r="519" ht="15" customHeight="1">
      <c r="A519" t="inlineStr">
        <is>
          <t>A 18731-2022</t>
        </is>
      </c>
      <c r="B519" s="1" t="n">
        <v>44687</v>
      </c>
      <c r="C519" s="1" t="n">
        <v>45829</v>
      </c>
      <c r="D519" t="inlineStr">
        <is>
          <t>UPPSALA LÄN</t>
        </is>
      </c>
      <c r="E519" t="inlineStr">
        <is>
          <t>ÖSTHAMMAR</t>
        </is>
      </c>
      <c r="G519" t="n">
        <v>4.9</v>
      </c>
      <c r="H519" t="n">
        <v>0</v>
      </c>
      <c r="I519" t="n">
        <v>0</v>
      </c>
      <c r="J519" t="n">
        <v>0</v>
      </c>
      <c r="K519" t="n">
        <v>0</v>
      </c>
      <c r="L519" t="n">
        <v>0</v>
      </c>
      <c r="M519" t="n">
        <v>0</v>
      </c>
      <c r="N519" t="n">
        <v>0</v>
      </c>
      <c r="O519" t="n">
        <v>0</v>
      </c>
      <c r="P519" t="n">
        <v>0</v>
      </c>
      <c r="Q519" t="n">
        <v>0</v>
      </c>
      <c r="R519" s="2" t="inlineStr"/>
    </row>
    <row r="520" ht="15" customHeight="1">
      <c r="A520" t="inlineStr">
        <is>
          <t>A 18736-2022</t>
        </is>
      </c>
      <c r="B520" s="1" t="n">
        <v>44687</v>
      </c>
      <c r="C520" s="1" t="n">
        <v>45829</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45829</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19181-2022</t>
        </is>
      </c>
      <c r="B522" s="1" t="n">
        <v>44691</v>
      </c>
      <c r="C522" s="1" t="n">
        <v>45829</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19287-2022</t>
        </is>
      </c>
      <c r="B523" s="1" t="n">
        <v>44692</v>
      </c>
      <c r="C523" s="1" t="n">
        <v>45829</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19707-2022</t>
        </is>
      </c>
      <c r="B524" s="1" t="n">
        <v>44694</v>
      </c>
      <c r="C524" s="1" t="n">
        <v>45829</v>
      </c>
      <c r="D524" t="inlineStr">
        <is>
          <t>UPPSALA LÄN</t>
        </is>
      </c>
      <c r="E524" t="inlineStr">
        <is>
          <t>ÖSTHAMMAR</t>
        </is>
      </c>
      <c r="F524" t="inlineStr">
        <is>
          <t>Allmännings- och besparingsskogar</t>
        </is>
      </c>
      <c r="G524" t="n">
        <v>0.5</v>
      </c>
      <c r="H524" t="n">
        <v>0</v>
      </c>
      <c r="I524" t="n">
        <v>0</v>
      </c>
      <c r="J524" t="n">
        <v>0</v>
      </c>
      <c r="K524" t="n">
        <v>0</v>
      </c>
      <c r="L524" t="n">
        <v>0</v>
      </c>
      <c r="M524" t="n">
        <v>0</v>
      </c>
      <c r="N524" t="n">
        <v>0</v>
      </c>
      <c r="O524" t="n">
        <v>0</v>
      </c>
      <c r="P524" t="n">
        <v>0</v>
      </c>
      <c r="Q524" t="n">
        <v>0</v>
      </c>
      <c r="R524" s="2" t="inlineStr"/>
    </row>
    <row r="525" ht="15" customHeight="1">
      <c r="A525" t="inlineStr">
        <is>
          <t>A 20468-2022</t>
        </is>
      </c>
      <c r="B525" s="1" t="n">
        <v>44699</v>
      </c>
      <c r="C525" s="1" t="n">
        <v>45829</v>
      </c>
      <c r="D525" t="inlineStr">
        <is>
          <t>UPPSALA LÄN</t>
        </is>
      </c>
      <c r="E525" t="inlineStr">
        <is>
          <t>ÖSTHAMMAR</t>
        </is>
      </c>
      <c r="G525" t="n">
        <v>3.7</v>
      </c>
      <c r="H525" t="n">
        <v>0</v>
      </c>
      <c r="I525" t="n">
        <v>0</v>
      </c>
      <c r="J525" t="n">
        <v>0</v>
      </c>
      <c r="K525" t="n">
        <v>0</v>
      </c>
      <c r="L525" t="n">
        <v>0</v>
      </c>
      <c r="M525" t="n">
        <v>0</v>
      </c>
      <c r="N525" t="n">
        <v>0</v>
      </c>
      <c r="O525" t="n">
        <v>0</v>
      </c>
      <c r="P525" t="n">
        <v>0</v>
      </c>
      <c r="Q525" t="n">
        <v>0</v>
      </c>
      <c r="R525" s="2" t="inlineStr"/>
    </row>
    <row r="526" ht="15" customHeight="1">
      <c r="A526" t="inlineStr">
        <is>
          <t>A 21522-2022</t>
        </is>
      </c>
      <c r="B526" s="1" t="n">
        <v>44706</v>
      </c>
      <c r="C526" s="1" t="n">
        <v>45829</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21830-2022</t>
        </is>
      </c>
      <c r="B527" s="1" t="n">
        <v>44710</v>
      </c>
      <c r="C527" s="1" t="n">
        <v>45829</v>
      </c>
      <c r="D527" t="inlineStr">
        <is>
          <t>UPPSALA LÄN</t>
        </is>
      </c>
      <c r="E527" t="inlineStr">
        <is>
          <t>ÖSTHAMMAR</t>
        </is>
      </c>
      <c r="F527" t="inlineStr">
        <is>
          <t>Bergvik skog öst AB</t>
        </is>
      </c>
      <c r="G527" t="n">
        <v>3.6</v>
      </c>
      <c r="H527" t="n">
        <v>0</v>
      </c>
      <c r="I527" t="n">
        <v>0</v>
      </c>
      <c r="J527" t="n">
        <v>0</v>
      </c>
      <c r="K527" t="n">
        <v>0</v>
      </c>
      <c r="L527" t="n">
        <v>0</v>
      </c>
      <c r="M527" t="n">
        <v>0</v>
      </c>
      <c r="N527" t="n">
        <v>0</v>
      </c>
      <c r="O527" t="n">
        <v>0</v>
      </c>
      <c r="P527" t="n">
        <v>0</v>
      </c>
      <c r="Q527" t="n">
        <v>0</v>
      </c>
      <c r="R527" s="2" t="inlineStr"/>
    </row>
    <row r="528" ht="15" customHeight="1">
      <c r="A528" t="inlineStr">
        <is>
          <t>A 21829-2022</t>
        </is>
      </c>
      <c r="B528" s="1" t="n">
        <v>44710</v>
      </c>
      <c r="C528" s="1" t="n">
        <v>45829</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22207-2022</t>
        </is>
      </c>
      <c r="B529" s="1" t="n">
        <v>44712</v>
      </c>
      <c r="C529" s="1" t="n">
        <v>45829</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22619-2022</t>
        </is>
      </c>
      <c r="B530" s="1" t="n">
        <v>44714</v>
      </c>
      <c r="C530" s="1" t="n">
        <v>45829</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22804-2022</t>
        </is>
      </c>
      <c r="B531" s="1" t="n">
        <v>44715</v>
      </c>
      <c r="C531" s="1" t="n">
        <v>45829</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22887-2022</t>
        </is>
      </c>
      <c r="B532" s="1" t="n">
        <v>44715</v>
      </c>
      <c r="C532" s="1" t="n">
        <v>45829</v>
      </c>
      <c r="D532" t="inlineStr">
        <is>
          <t>UPPSALA LÄN</t>
        </is>
      </c>
      <c r="E532" t="inlineStr">
        <is>
          <t>ÖSTHAMMAR</t>
        </is>
      </c>
      <c r="G532" t="n">
        <v>0.2</v>
      </c>
      <c r="H532" t="n">
        <v>0</v>
      </c>
      <c r="I532" t="n">
        <v>0</v>
      </c>
      <c r="J532" t="n">
        <v>0</v>
      </c>
      <c r="K532" t="n">
        <v>0</v>
      </c>
      <c r="L532" t="n">
        <v>0</v>
      </c>
      <c r="M532" t="n">
        <v>0</v>
      </c>
      <c r="N532" t="n">
        <v>0</v>
      </c>
      <c r="O532" t="n">
        <v>0</v>
      </c>
      <c r="P532" t="n">
        <v>0</v>
      </c>
      <c r="Q532" t="n">
        <v>0</v>
      </c>
      <c r="R532" s="2" t="inlineStr"/>
    </row>
    <row r="533" ht="15" customHeight="1">
      <c r="A533" t="inlineStr">
        <is>
          <t>A 22945-2022</t>
        </is>
      </c>
      <c r="B533" s="1" t="n">
        <v>44715</v>
      </c>
      <c r="C533" s="1" t="n">
        <v>45829</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22993-2022</t>
        </is>
      </c>
      <c r="B534" s="1" t="n">
        <v>44718</v>
      </c>
      <c r="C534" s="1" t="n">
        <v>45829</v>
      </c>
      <c r="D534" t="inlineStr">
        <is>
          <t>UPPSALA LÄN</t>
        </is>
      </c>
      <c r="E534" t="inlineStr">
        <is>
          <t>ÖSTHAMMAR</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22994-2022</t>
        </is>
      </c>
      <c r="B535" s="1" t="n">
        <v>44718</v>
      </c>
      <c r="C535" s="1" t="n">
        <v>45829</v>
      </c>
      <c r="D535" t="inlineStr">
        <is>
          <t>UPPSALA LÄN</t>
        </is>
      </c>
      <c r="E535" t="inlineStr">
        <is>
          <t>ÖSTHAMMAR</t>
        </is>
      </c>
      <c r="F535" t="inlineStr">
        <is>
          <t>Bergvik skog öst AB</t>
        </is>
      </c>
      <c r="G535" t="n">
        <v>29.9</v>
      </c>
      <c r="H535" t="n">
        <v>0</v>
      </c>
      <c r="I535" t="n">
        <v>0</v>
      </c>
      <c r="J535" t="n">
        <v>0</v>
      </c>
      <c r="K535" t="n">
        <v>0</v>
      </c>
      <c r="L535" t="n">
        <v>0</v>
      </c>
      <c r="M535" t="n">
        <v>0</v>
      </c>
      <c r="N535" t="n">
        <v>0</v>
      </c>
      <c r="O535" t="n">
        <v>0</v>
      </c>
      <c r="P535" t="n">
        <v>0</v>
      </c>
      <c r="Q535" t="n">
        <v>0</v>
      </c>
      <c r="R535" s="2" t="inlineStr"/>
    </row>
    <row r="536" ht="15" customHeight="1">
      <c r="A536" t="inlineStr">
        <is>
          <t>A 23603-2022</t>
        </is>
      </c>
      <c r="B536" s="1" t="n">
        <v>44721</v>
      </c>
      <c r="C536" s="1" t="n">
        <v>45829</v>
      </c>
      <c r="D536" t="inlineStr">
        <is>
          <t>UPPSALA LÄN</t>
        </is>
      </c>
      <c r="E536" t="inlineStr">
        <is>
          <t>ÖSTHAMMAR</t>
        </is>
      </c>
      <c r="F536" t="inlineStr">
        <is>
          <t>Övriga Aktiebolag</t>
        </is>
      </c>
      <c r="G536" t="n">
        <v>1.2</v>
      </c>
      <c r="H536" t="n">
        <v>0</v>
      </c>
      <c r="I536" t="n">
        <v>0</v>
      </c>
      <c r="J536" t="n">
        <v>0</v>
      </c>
      <c r="K536" t="n">
        <v>0</v>
      </c>
      <c r="L536" t="n">
        <v>0</v>
      </c>
      <c r="M536" t="n">
        <v>0</v>
      </c>
      <c r="N536" t="n">
        <v>0</v>
      </c>
      <c r="O536" t="n">
        <v>0</v>
      </c>
      <c r="P536" t="n">
        <v>0</v>
      </c>
      <c r="Q536" t="n">
        <v>0</v>
      </c>
      <c r="R536" s="2" t="inlineStr"/>
    </row>
    <row r="537" ht="15" customHeight="1">
      <c r="A537" t="inlineStr">
        <is>
          <t>A 24138-2022</t>
        </is>
      </c>
      <c r="B537" s="1" t="n">
        <v>44725</v>
      </c>
      <c r="C537" s="1" t="n">
        <v>45829</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24149-2022</t>
        </is>
      </c>
      <c r="B538" s="1" t="n">
        <v>44725</v>
      </c>
      <c r="C538" s="1" t="n">
        <v>45829</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24181-2022</t>
        </is>
      </c>
      <c r="B539" s="1" t="n">
        <v>44725</v>
      </c>
      <c r="C539" s="1" t="n">
        <v>45829</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24259-2022</t>
        </is>
      </c>
      <c r="B540" s="1" t="n">
        <v>44725</v>
      </c>
      <c r="C540" s="1" t="n">
        <v>45829</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24447-2022</t>
        </is>
      </c>
      <c r="B541" s="1" t="n">
        <v>44726</v>
      </c>
      <c r="C541" s="1" t="n">
        <v>45829</v>
      </c>
      <c r="D541" t="inlineStr">
        <is>
          <t>UPPSALA LÄN</t>
        </is>
      </c>
      <c r="E541" t="inlineStr">
        <is>
          <t>ÖSTHAMMAR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24367-2022</t>
        </is>
      </c>
      <c r="B542" s="1" t="n">
        <v>44726</v>
      </c>
      <c r="C542" s="1" t="n">
        <v>45829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24817-2022</t>
        </is>
      </c>
      <c r="B543" s="1" t="n">
        <v>44728</v>
      </c>
      <c r="C543" s="1" t="n">
        <v>45829</v>
      </c>
      <c r="D543" t="inlineStr">
        <is>
          <t>UPPSALA LÄN</t>
        </is>
      </c>
      <c r="E543" t="inlineStr">
        <is>
          <t>ÖSTHAMMAR</t>
        </is>
      </c>
      <c r="F543" t="inlineStr">
        <is>
          <t>Sveaskog</t>
        </is>
      </c>
      <c r="G543" t="n">
        <v>0.2</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45829</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25418-2022</t>
        </is>
      </c>
      <c r="B545" s="1" t="n">
        <v>44732</v>
      </c>
      <c r="C545" s="1" t="n">
        <v>45829</v>
      </c>
      <c r="D545" t="inlineStr">
        <is>
          <t>UPPSALA LÄN</t>
        </is>
      </c>
      <c r="E545" t="inlineStr">
        <is>
          <t>ÖSTHAMMAR</t>
        </is>
      </c>
      <c r="G545" t="n">
        <v>2.8</v>
      </c>
      <c r="H545" t="n">
        <v>0</v>
      </c>
      <c r="I545" t="n">
        <v>0</v>
      </c>
      <c r="J545" t="n">
        <v>0</v>
      </c>
      <c r="K545" t="n">
        <v>0</v>
      </c>
      <c r="L545" t="n">
        <v>0</v>
      </c>
      <c r="M545" t="n">
        <v>0</v>
      </c>
      <c r="N545" t="n">
        <v>0</v>
      </c>
      <c r="O545" t="n">
        <v>0</v>
      </c>
      <c r="P545" t="n">
        <v>0</v>
      </c>
      <c r="Q545" t="n">
        <v>0</v>
      </c>
      <c r="R545" s="2" t="inlineStr"/>
    </row>
    <row r="546" ht="15" customHeight="1">
      <c r="A546" t="inlineStr">
        <is>
          <t>A 25434-2022</t>
        </is>
      </c>
      <c r="B546" s="1" t="n">
        <v>44732</v>
      </c>
      <c r="C546" s="1" t="n">
        <v>45829</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26008-2022</t>
        </is>
      </c>
      <c r="B547" s="1" t="n">
        <v>44734</v>
      </c>
      <c r="C547" s="1" t="n">
        <v>45829</v>
      </c>
      <c r="D547" t="inlineStr">
        <is>
          <t>UPPSALA LÄN</t>
        </is>
      </c>
      <c r="E547" t="inlineStr">
        <is>
          <t>ÖSTHAMMAR</t>
        </is>
      </c>
      <c r="F547" t="inlineStr">
        <is>
          <t>Bergvik skog öst AB</t>
        </is>
      </c>
      <c r="G547" t="n">
        <v>8.4</v>
      </c>
      <c r="H547" t="n">
        <v>0</v>
      </c>
      <c r="I547" t="n">
        <v>0</v>
      </c>
      <c r="J547" t="n">
        <v>0</v>
      </c>
      <c r="K547" t="n">
        <v>0</v>
      </c>
      <c r="L547" t="n">
        <v>0</v>
      </c>
      <c r="M547" t="n">
        <v>0</v>
      </c>
      <c r="N547" t="n">
        <v>0</v>
      </c>
      <c r="O547" t="n">
        <v>0</v>
      </c>
      <c r="P547" t="n">
        <v>0</v>
      </c>
      <c r="Q547" t="n">
        <v>0</v>
      </c>
      <c r="R547" s="2" t="inlineStr"/>
    </row>
    <row r="548" ht="15" customHeight="1">
      <c r="A548" t="inlineStr">
        <is>
          <t>A 25987-2022</t>
        </is>
      </c>
      <c r="B548" s="1" t="n">
        <v>44734</v>
      </c>
      <c r="C548" s="1" t="n">
        <v>45829</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25983-2022</t>
        </is>
      </c>
      <c r="B549" s="1" t="n">
        <v>44734</v>
      </c>
      <c r="C549" s="1" t="n">
        <v>45829</v>
      </c>
      <c r="D549" t="inlineStr">
        <is>
          <t>UPPSALA LÄN</t>
        </is>
      </c>
      <c r="E549" t="inlineStr">
        <is>
          <t>ÖSTHAMMAR</t>
        </is>
      </c>
      <c r="G549" t="n">
        <v>4.7</v>
      </c>
      <c r="H549" t="n">
        <v>0</v>
      </c>
      <c r="I549" t="n">
        <v>0</v>
      </c>
      <c r="J549" t="n">
        <v>0</v>
      </c>
      <c r="K549" t="n">
        <v>0</v>
      </c>
      <c r="L549" t="n">
        <v>0</v>
      </c>
      <c r="M549" t="n">
        <v>0</v>
      </c>
      <c r="N549" t="n">
        <v>0</v>
      </c>
      <c r="O549" t="n">
        <v>0</v>
      </c>
      <c r="P549" t="n">
        <v>0</v>
      </c>
      <c r="Q549" t="n">
        <v>0</v>
      </c>
      <c r="R549" s="2" t="inlineStr"/>
    </row>
    <row r="550" ht="15" customHeight="1">
      <c r="A550" t="inlineStr">
        <is>
          <t>A 26004-2022</t>
        </is>
      </c>
      <c r="B550" s="1" t="n">
        <v>44734</v>
      </c>
      <c r="C550" s="1" t="n">
        <v>45829</v>
      </c>
      <c r="D550" t="inlineStr">
        <is>
          <t>UPPSALA LÄN</t>
        </is>
      </c>
      <c r="E550" t="inlineStr">
        <is>
          <t>ÖSTHAMMAR</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26534-2022</t>
        </is>
      </c>
      <c r="B551" s="1" t="n">
        <v>44739</v>
      </c>
      <c r="C551" s="1" t="n">
        <v>45829</v>
      </c>
      <c r="D551" t="inlineStr">
        <is>
          <t>UPPSALA LÄN</t>
        </is>
      </c>
      <c r="E551" t="inlineStr">
        <is>
          <t>ÖSTHAMMAR</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26552-2022</t>
        </is>
      </c>
      <c r="B552" s="1" t="n">
        <v>44739</v>
      </c>
      <c r="C552" s="1" t="n">
        <v>45829</v>
      </c>
      <c r="D552" t="inlineStr">
        <is>
          <t>UPPSALA LÄN</t>
        </is>
      </c>
      <c r="E552" t="inlineStr">
        <is>
          <t>ÖSTHAMMAR</t>
        </is>
      </c>
      <c r="G552" t="n">
        <v>2.2</v>
      </c>
      <c r="H552" t="n">
        <v>0</v>
      </c>
      <c r="I552" t="n">
        <v>0</v>
      </c>
      <c r="J552" t="n">
        <v>0</v>
      </c>
      <c r="K552" t="n">
        <v>0</v>
      </c>
      <c r="L552" t="n">
        <v>0</v>
      </c>
      <c r="M552" t="n">
        <v>0</v>
      </c>
      <c r="N552" t="n">
        <v>0</v>
      </c>
      <c r="O552" t="n">
        <v>0</v>
      </c>
      <c r="P552" t="n">
        <v>0</v>
      </c>
      <c r="Q552" t="n">
        <v>0</v>
      </c>
      <c r="R552" s="2" t="inlineStr"/>
    </row>
    <row r="553" ht="15" customHeight="1">
      <c r="A553" t="inlineStr">
        <is>
          <t>A 26561-2022</t>
        </is>
      </c>
      <c r="B553" s="1" t="n">
        <v>44739</v>
      </c>
      <c r="C553" s="1" t="n">
        <v>45829</v>
      </c>
      <c r="D553" t="inlineStr">
        <is>
          <t>UPPSALA LÄN</t>
        </is>
      </c>
      <c r="E553" t="inlineStr">
        <is>
          <t>ÖSTHAMMAR</t>
        </is>
      </c>
      <c r="G553" t="n">
        <v>3.7</v>
      </c>
      <c r="H553" t="n">
        <v>0</v>
      </c>
      <c r="I553" t="n">
        <v>0</v>
      </c>
      <c r="J553" t="n">
        <v>0</v>
      </c>
      <c r="K553" t="n">
        <v>0</v>
      </c>
      <c r="L553" t="n">
        <v>0</v>
      </c>
      <c r="M553" t="n">
        <v>0</v>
      </c>
      <c r="N553" t="n">
        <v>0</v>
      </c>
      <c r="O553" t="n">
        <v>0</v>
      </c>
      <c r="P553" t="n">
        <v>0</v>
      </c>
      <c r="Q553" t="n">
        <v>0</v>
      </c>
      <c r="R553" s="2" t="inlineStr"/>
    </row>
    <row r="554" ht="15" customHeight="1">
      <c r="A554" t="inlineStr">
        <is>
          <t>A 28228-2022</t>
        </is>
      </c>
      <c r="B554" s="1" t="n">
        <v>44746</v>
      </c>
      <c r="C554" s="1" t="n">
        <v>45829</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29753-2022</t>
        </is>
      </c>
      <c r="B555" s="1" t="n">
        <v>44755</v>
      </c>
      <c r="C555" s="1" t="n">
        <v>45829</v>
      </c>
      <c r="D555" t="inlineStr">
        <is>
          <t>UPPSALA LÄN</t>
        </is>
      </c>
      <c r="E555" t="inlineStr">
        <is>
          <t>ÖSTHAMMAR</t>
        </is>
      </c>
      <c r="G555" t="n">
        <v>9.4</v>
      </c>
      <c r="H555" t="n">
        <v>0</v>
      </c>
      <c r="I555" t="n">
        <v>0</v>
      </c>
      <c r="J555" t="n">
        <v>0</v>
      </c>
      <c r="K555" t="n">
        <v>0</v>
      </c>
      <c r="L555" t="n">
        <v>0</v>
      </c>
      <c r="M555" t="n">
        <v>0</v>
      </c>
      <c r="N555" t="n">
        <v>0</v>
      </c>
      <c r="O555" t="n">
        <v>0</v>
      </c>
      <c r="P555" t="n">
        <v>0</v>
      </c>
      <c r="Q555" t="n">
        <v>0</v>
      </c>
      <c r="R555" s="2" t="inlineStr"/>
    </row>
    <row r="556" ht="15" customHeight="1">
      <c r="A556" t="inlineStr">
        <is>
          <t>A 30212-2022</t>
        </is>
      </c>
      <c r="B556" s="1" t="n">
        <v>44757</v>
      </c>
      <c r="C556" s="1" t="n">
        <v>45829</v>
      </c>
      <c r="D556" t="inlineStr">
        <is>
          <t>UPPSALA LÄN</t>
        </is>
      </c>
      <c r="E556" t="inlineStr">
        <is>
          <t>ÖSTHAMMAR</t>
        </is>
      </c>
      <c r="F556" t="inlineStr">
        <is>
          <t>Bergvik skog öst AB</t>
        </is>
      </c>
      <c r="G556" t="n">
        <v>13.6</v>
      </c>
      <c r="H556" t="n">
        <v>0</v>
      </c>
      <c r="I556" t="n">
        <v>0</v>
      </c>
      <c r="J556" t="n">
        <v>0</v>
      </c>
      <c r="K556" t="n">
        <v>0</v>
      </c>
      <c r="L556" t="n">
        <v>0</v>
      </c>
      <c r="M556" t="n">
        <v>0</v>
      </c>
      <c r="N556" t="n">
        <v>0</v>
      </c>
      <c r="O556" t="n">
        <v>0</v>
      </c>
      <c r="P556" t="n">
        <v>0</v>
      </c>
      <c r="Q556" t="n">
        <v>0</v>
      </c>
      <c r="R556" s="2" t="inlineStr"/>
    </row>
    <row r="557" ht="15" customHeight="1">
      <c r="A557" t="inlineStr">
        <is>
          <t>A 30209-2022</t>
        </is>
      </c>
      <c r="B557" s="1" t="n">
        <v>44757</v>
      </c>
      <c r="C557" s="1" t="n">
        <v>45829</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30549-2022</t>
        </is>
      </c>
      <c r="B558" s="1" t="n">
        <v>44762</v>
      </c>
      <c r="C558" s="1" t="n">
        <v>45829</v>
      </c>
      <c r="D558" t="inlineStr">
        <is>
          <t>UPPSALA LÄN</t>
        </is>
      </c>
      <c r="E558" t="inlineStr">
        <is>
          <t>ÖSTHAMMAR</t>
        </is>
      </c>
      <c r="F558" t="inlineStr">
        <is>
          <t>Bergvik skog öst AB</t>
        </is>
      </c>
      <c r="G558" t="n">
        <v>6.2</v>
      </c>
      <c r="H558" t="n">
        <v>0</v>
      </c>
      <c r="I558" t="n">
        <v>0</v>
      </c>
      <c r="J558" t="n">
        <v>0</v>
      </c>
      <c r="K558" t="n">
        <v>0</v>
      </c>
      <c r="L558" t="n">
        <v>0</v>
      </c>
      <c r="M558" t="n">
        <v>0</v>
      </c>
      <c r="N558" t="n">
        <v>0</v>
      </c>
      <c r="O558" t="n">
        <v>0</v>
      </c>
      <c r="P558" t="n">
        <v>0</v>
      </c>
      <c r="Q558" t="n">
        <v>0</v>
      </c>
      <c r="R558" s="2" t="inlineStr"/>
    </row>
    <row r="559" ht="15" customHeight="1">
      <c r="A559" t="inlineStr">
        <is>
          <t>A 31027-2022</t>
        </is>
      </c>
      <c r="B559" s="1" t="n">
        <v>44768</v>
      </c>
      <c r="C559" s="1" t="n">
        <v>45829</v>
      </c>
      <c r="D559" t="inlineStr">
        <is>
          <t>UPPSALA LÄN</t>
        </is>
      </c>
      <c r="E559" t="inlineStr">
        <is>
          <t>ÖSTHAMMAR</t>
        </is>
      </c>
      <c r="F559" t="inlineStr">
        <is>
          <t>Bergvik skog öst AB</t>
        </is>
      </c>
      <c r="G559" t="n">
        <v>2.4</v>
      </c>
      <c r="H559" t="n">
        <v>0</v>
      </c>
      <c r="I559" t="n">
        <v>0</v>
      </c>
      <c r="J559" t="n">
        <v>0</v>
      </c>
      <c r="K559" t="n">
        <v>0</v>
      </c>
      <c r="L559" t="n">
        <v>0</v>
      </c>
      <c r="M559" t="n">
        <v>0</v>
      </c>
      <c r="N559" t="n">
        <v>0</v>
      </c>
      <c r="O559" t="n">
        <v>0</v>
      </c>
      <c r="P559" t="n">
        <v>0</v>
      </c>
      <c r="Q559" t="n">
        <v>0</v>
      </c>
      <c r="R559" s="2" t="inlineStr"/>
    </row>
    <row r="560" ht="15" customHeight="1">
      <c r="A560" t="inlineStr">
        <is>
          <t>A 31035-2022</t>
        </is>
      </c>
      <c r="B560" s="1" t="n">
        <v>44768</v>
      </c>
      <c r="C560" s="1" t="n">
        <v>45829</v>
      </c>
      <c r="D560" t="inlineStr">
        <is>
          <t>UPPSALA LÄN</t>
        </is>
      </c>
      <c r="E560" t="inlineStr">
        <is>
          <t>ÖSTHAMMAR</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31026-2022</t>
        </is>
      </c>
      <c r="B561" s="1" t="n">
        <v>44768</v>
      </c>
      <c r="C561" s="1" t="n">
        <v>45829</v>
      </c>
      <c r="D561" t="inlineStr">
        <is>
          <t>UPPSALA LÄN</t>
        </is>
      </c>
      <c r="E561" t="inlineStr">
        <is>
          <t>ÖSTHAMMAR</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31182-2022</t>
        </is>
      </c>
      <c r="B562" s="1" t="n">
        <v>44770</v>
      </c>
      <c r="C562" s="1" t="n">
        <v>45829</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31140-2022</t>
        </is>
      </c>
      <c r="B563" s="1" t="n">
        <v>44770</v>
      </c>
      <c r="C563" s="1" t="n">
        <v>45829</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31137-2022</t>
        </is>
      </c>
      <c r="B564" s="1" t="n">
        <v>44770</v>
      </c>
      <c r="C564" s="1" t="n">
        <v>45829</v>
      </c>
      <c r="D564" t="inlineStr">
        <is>
          <t>UPPSALA LÄN</t>
        </is>
      </c>
      <c r="E564" t="inlineStr">
        <is>
          <t>ÖSTHAMMAR</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31282-2022</t>
        </is>
      </c>
      <c r="B565" s="1" t="n">
        <v>44771</v>
      </c>
      <c r="C565" s="1" t="n">
        <v>45829</v>
      </c>
      <c r="D565" t="inlineStr">
        <is>
          <t>UPPSALA LÄN</t>
        </is>
      </c>
      <c r="E565" t="inlineStr">
        <is>
          <t>ÖSTHAMMAR</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31574-2022</t>
        </is>
      </c>
      <c r="B566" s="1" t="n">
        <v>44775</v>
      </c>
      <c r="C566" s="1" t="n">
        <v>45829</v>
      </c>
      <c r="D566" t="inlineStr">
        <is>
          <t>UPPSALA LÄN</t>
        </is>
      </c>
      <c r="E566" t="inlineStr">
        <is>
          <t>ÖSTHAMMAR</t>
        </is>
      </c>
      <c r="G566" t="n">
        <v>29.7</v>
      </c>
      <c r="H566" t="n">
        <v>0</v>
      </c>
      <c r="I566" t="n">
        <v>0</v>
      </c>
      <c r="J566" t="n">
        <v>0</v>
      </c>
      <c r="K566" t="n">
        <v>0</v>
      </c>
      <c r="L566" t="n">
        <v>0</v>
      </c>
      <c r="M566" t="n">
        <v>0</v>
      </c>
      <c r="N566" t="n">
        <v>0</v>
      </c>
      <c r="O566" t="n">
        <v>0</v>
      </c>
      <c r="P566" t="n">
        <v>0</v>
      </c>
      <c r="Q566" t="n">
        <v>0</v>
      </c>
      <c r="R566" s="2" t="inlineStr"/>
    </row>
    <row r="567" ht="15" customHeight="1">
      <c r="A567" t="inlineStr">
        <is>
          <t>A 31549-2022</t>
        </is>
      </c>
      <c r="B567" s="1" t="n">
        <v>44775</v>
      </c>
      <c r="C567" s="1" t="n">
        <v>45829</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31669-2022</t>
        </is>
      </c>
      <c r="B568" s="1" t="n">
        <v>44775</v>
      </c>
      <c r="C568" s="1" t="n">
        <v>45829</v>
      </c>
      <c r="D568" t="inlineStr">
        <is>
          <t>UPPSALA LÄN</t>
        </is>
      </c>
      <c r="E568" t="inlineStr">
        <is>
          <t>ÖSTHAMMAR</t>
        </is>
      </c>
      <c r="G568" t="n">
        <v>6</v>
      </c>
      <c r="H568" t="n">
        <v>0</v>
      </c>
      <c r="I568" t="n">
        <v>0</v>
      </c>
      <c r="J568" t="n">
        <v>0</v>
      </c>
      <c r="K568" t="n">
        <v>0</v>
      </c>
      <c r="L568" t="n">
        <v>0</v>
      </c>
      <c r="M568" t="n">
        <v>0</v>
      </c>
      <c r="N568" t="n">
        <v>0</v>
      </c>
      <c r="O568" t="n">
        <v>0</v>
      </c>
      <c r="P568" t="n">
        <v>0</v>
      </c>
      <c r="Q568" t="n">
        <v>0</v>
      </c>
      <c r="R568" s="2" t="inlineStr"/>
    </row>
    <row r="569" ht="15" customHeight="1">
      <c r="A569" t="inlineStr">
        <is>
          <t>A 32678-2022</t>
        </is>
      </c>
      <c r="B569" s="1" t="n">
        <v>44783</v>
      </c>
      <c r="C569" s="1" t="n">
        <v>45829</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v>
      </c>
      <c r="C570" s="1" t="n">
        <v>45829</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32744-2022</t>
        </is>
      </c>
      <c r="B571" s="1" t="n">
        <v>44783</v>
      </c>
      <c r="C571" s="1" t="n">
        <v>45829</v>
      </c>
      <c r="D571" t="inlineStr">
        <is>
          <t>UPPSALA LÄN</t>
        </is>
      </c>
      <c r="E571" t="inlineStr">
        <is>
          <t>ÖSTHAMMAR</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34418-2022</t>
        </is>
      </c>
      <c r="B572" s="1" t="n">
        <v>44792</v>
      </c>
      <c r="C572" s="1" t="n">
        <v>45829</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34742-2022</t>
        </is>
      </c>
      <c r="B573" s="1" t="n">
        <v>44795</v>
      </c>
      <c r="C573" s="1" t="n">
        <v>45829</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34971-2022</t>
        </is>
      </c>
      <c r="B574" s="1" t="n">
        <v>44796</v>
      </c>
      <c r="C574" s="1" t="n">
        <v>45829</v>
      </c>
      <c r="D574" t="inlineStr">
        <is>
          <t>UPPSALA LÄN</t>
        </is>
      </c>
      <c r="E574" t="inlineStr">
        <is>
          <t>ÖSTHAMMAR</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34994-2022</t>
        </is>
      </c>
      <c r="B575" s="1" t="n">
        <v>44796</v>
      </c>
      <c r="C575" s="1" t="n">
        <v>45829</v>
      </c>
      <c r="D575" t="inlineStr">
        <is>
          <t>UPPSALA LÄN</t>
        </is>
      </c>
      <c r="E575" t="inlineStr">
        <is>
          <t>ÖSTHAMMAR</t>
        </is>
      </c>
      <c r="F575" t="inlineStr">
        <is>
          <t>Bergvik skog öst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36343-2022</t>
        </is>
      </c>
      <c r="B576" s="1" t="n">
        <v>44803</v>
      </c>
      <c r="C576" s="1" t="n">
        <v>45829</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36873-2022</t>
        </is>
      </c>
      <c r="B577" s="1" t="n">
        <v>44805</v>
      </c>
      <c r="C577" s="1" t="n">
        <v>45829</v>
      </c>
      <c r="D577" t="inlineStr">
        <is>
          <t>UPPSALA LÄN</t>
        </is>
      </c>
      <c r="E577" t="inlineStr">
        <is>
          <t>ÖSTHAMMAR</t>
        </is>
      </c>
      <c r="G577" t="n">
        <v>2.5</v>
      </c>
      <c r="H577" t="n">
        <v>0</v>
      </c>
      <c r="I577" t="n">
        <v>0</v>
      </c>
      <c r="J577" t="n">
        <v>0</v>
      </c>
      <c r="K577" t="n">
        <v>0</v>
      </c>
      <c r="L577" t="n">
        <v>0</v>
      </c>
      <c r="M577" t="n">
        <v>0</v>
      </c>
      <c r="N577" t="n">
        <v>0</v>
      </c>
      <c r="O577" t="n">
        <v>0</v>
      </c>
      <c r="P577" t="n">
        <v>0</v>
      </c>
      <c r="Q577" t="n">
        <v>0</v>
      </c>
      <c r="R577" s="2" t="inlineStr"/>
    </row>
    <row r="578" ht="15" customHeight="1">
      <c r="A578" t="inlineStr">
        <is>
          <t>A 37545-2022</t>
        </is>
      </c>
      <c r="B578" s="1" t="n">
        <v>44809</v>
      </c>
      <c r="C578" s="1" t="n">
        <v>45829</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37570-2022</t>
        </is>
      </c>
      <c r="B579" s="1" t="n">
        <v>44809</v>
      </c>
      <c r="C579" s="1" t="n">
        <v>45829</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37813-2022</t>
        </is>
      </c>
      <c r="B580" s="1" t="n">
        <v>44810</v>
      </c>
      <c r="C580" s="1" t="n">
        <v>45829</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37812-2022</t>
        </is>
      </c>
      <c r="B581" s="1" t="n">
        <v>44810</v>
      </c>
      <c r="C581" s="1" t="n">
        <v>45829</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38501-2022</t>
        </is>
      </c>
      <c r="B582" s="1" t="n">
        <v>44813</v>
      </c>
      <c r="C582" s="1" t="n">
        <v>45829</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38702-2022</t>
        </is>
      </c>
      <c r="B583" s="1" t="n">
        <v>44814</v>
      </c>
      <c r="C583" s="1" t="n">
        <v>45829</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39480-2022</t>
        </is>
      </c>
      <c r="B584" s="1" t="n">
        <v>44818</v>
      </c>
      <c r="C584" s="1" t="n">
        <v>45829</v>
      </c>
      <c r="D584" t="inlineStr">
        <is>
          <t>UPPSALA LÄN</t>
        </is>
      </c>
      <c r="E584" t="inlineStr">
        <is>
          <t>ÖSTHAMMAR</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40336-2022</t>
        </is>
      </c>
      <c r="B585" s="1" t="n">
        <v>44823</v>
      </c>
      <c r="C585" s="1" t="n">
        <v>45829</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40637-2022</t>
        </is>
      </c>
      <c r="B586" s="1" t="n">
        <v>44824</v>
      </c>
      <c r="C586" s="1" t="n">
        <v>45829</v>
      </c>
      <c r="D586" t="inlineStr">
        <is>
          <t>UPPSALA LÄN</t>
        </is>
      </c>
      <c r="E586" t="inlineStr">
        <is>
          <t>ÖSTHAMMAR</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40681-2022</t>
        </is>
      </c>
      <c r="B587" s="1" t="n">
        <v>44824</v>
      </c>
      <c r="C587" s="1" t="n">
        <v>45829</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41033-2022</t>
        </is>
      </c>
      <c r="B588" s="1" t="n">
        <v>44825</v>
      </c>
      <c r="C588" s="1" t="n">
        <v>45829</v>
      </c>
      <c r="D588" t="inlineStr">
        <is>
          <t>UPPSALA LÄN</t>
        </is>
      </c>
      <c r="E588" t="inlineStr">
        <is>
          <t>ÖSTHAMMAR</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41423-2022</t>
        </is>
      </c>
      <c r="B589" s="1" t="n">
        <v>44826</v>
      </c>
      <c r="C589" s="1" t="n">
        <v>45829</v>
      </c>
      <c r="D589" t="inlineStr">
        <is>
          <t>UPPSALA LÄN</t>
        </is>
      </c>
      <c r="E589" t="inlineStr">
        <is>
          <t>ÖSTHAMMAR</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44020-2022</t>
        </is>
      </c>
      <c r="B590" s="1" t="n">
        <v>44838</v>
      </c>
      <c r="C590" s="1" t="n">
        <v>45829</v>
      </c>
      <c r="D590" t="inlineStr">
        <is>
          <t>UPPSALA LÄN</t>
        </is>
      </c>
      <c r="E590" t="inlineStr">
        <is>
          <t>ÖSTHAMMAR</t>
        </is>
      </c>
      <c r="F590" t="inlineStr">
        <is>
          <t>Bergvik skog öst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44019-2022</t>
        </is>
      </c>
      <c r="B591" s="1" t="n">
        <v>44838</v>
      </c>
      <c r="C591" s="1" t="n">
        <v>45829</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44354-2022</t>
        </is>
      </c>
      <c r="B592" s="1" t="n">
        <v>44839</v>
      </c>
      <c r="C592" s="1" t="n">
        <v>45829</v>
      </c>
      <c r="D592" t="inlineStr">
        <is>
          <t>UPPSALA LÄN</t>
        </is>
      </c>
      <c r="E592" t="inlineStr">
        <is>
          <t>ÖSTHAMMAR</t>
        </is>
      </c>
      <c r="G592" t="n">
        <v>5.4</v>
      </c>
      <c r="H592" t="n">
        <v>0</v>
      </c>
      <c r="I592" t="n">
        <v>0</v>
      </c>
      <c r="J592" t="n">
        <v>0</v>
      </c>
      <c r="K592" t="n">
        <v>0</v>
      </c>
      <c r="L592" t="n">
        <v>0</v>
      </c>
      <c r="M592" t="n">
        <v>0</v>
      </c>
      <c r="N592" t="n">
        <v>0</v>
      </c>
      <c r="O592" t="n">
        <v>0</v>
      </c>
      <c r="P592" t="n">
        <v>0</v>
      </c>
      <c r="Q592" t="n">
        <v>0</v>
      </c>
      <c r="R592" s="2" t="inlineStr"/>
    </row>
    <row r="593" ht="15" customHeight="1">
      <c r="A593" t="inlineStr">
        <is>
          <t>A 44366-2022</t>
        </is>
      </c>
      <c r="B593" s="1" t="n">
        <v>44839</v>
      </c>
      <c r="C593" s="1" t="n">
        <v>45829</v>
      </c>
      <c r="D593" t="inlineStr">
        <is>
          <t>UPPSALA LÄN</t>
        </is>
      </c>
      <c r="E593" t="inlineStr">
        <is>
          <t>ÖSTHAMMAR</t>
        </is>
      </c>
      <c r="G593" t="n">
        <v>8.1</v>
      </c>
      <c r="H593" t="n">
        <v>0</v>
      </c>
      <c r="I593" t="n">
        <v>0</v>
      </c>
      <c r="J593" t="n">
        <v>0</v>
      </c>
      <c r="K593" t="n">
        <v>0</v>
      </c>
      <c r="L593" t="n">
        <v>0</v>
      </c>
      <c r="M593" t="n">
        <v>0</v>
      </c>
      <c r="N593" t="n">
        <v>0</v>
      </c>
      <c r="O593" t="n">
        <v>0</v>
      </c>
      <c r="P593" t="n">
        <v>0</v>
      </c>
      <c r="Q593" t="n">
        <v>0</v>
      </c>
      <c r="R593" s="2" t="inlineStr"/>
    </row>
    <row r="594" ht="15" customHeight="1">
      <c r="A594" t="inlineStr">
        <is>
          <t>A 44184-2022</t>
        </is>
      </c>
      <c r="B594" s="1" t="n">
        <v>44839</v>
      </c>
      <c r="C594" s="1" t="n">
        <v>45829</v>
      </c>
      <c r="D594" t="inlineStr">
        <is>
          <t>UPPSALA LÄN</t>
        </is>
      </c>
      <c r="E594" t="inlineStr">
        <is>
          <t>ÖSTHAMMAR</t>
        </is>
      </c>
      <c r="G594" t="n">
        <v>4.2</v>
      </c>
      <c r="H594" t="n">
        <v>0</v>
      </c>
      <c r="I594" t="n">
        <v>0</v>
      </c>
      <c r="J594" t="n">
        <v>0</v>
      </c>
      <c r="K594" t="n">
        <v>0</v>
      </c>
      <c r="L594" t="n">
        <v>0</v>
      </c>
      <c r="M594" t="n">
        <v>0</v>
      </c>
      <c r="N594" t="n">
        <v>0</v>
      </c>
      <c r="O594" t="n">
        <v>0</v>
      </c>
      <c r="P594" t="n">
        <v>0</v>
      </c>
      <c r="Q594" t="n">
        <v>0</v>
      </c>
      <c r="R594" s="2" t="inlineStr"/>
    </row>
    <row r="595" ht="15" customHeight="1">
      <c r="A595" t="inlineStr">
        <is>
          <t>A 44617-2022</t>
        </is>
      </c>
      <c r="B595" s="1" t="n">
        <v>44840</v>
      </c>
      <c r="C595" s="1" t="n">
        <v>45829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44945-2022</t>
        </is>
      </c>
      <c r="B596" s="1" t="n">
        <v>44841</v>
      </c>
      <c r="C596" s="1" t="n">
        <v>45829</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44815-2022</t>
        </is>
      </c>
      <c r="B597" s="1" t="n">
        <v>44841</v>
      </c>
      <c r="C597" s="1" t="n">
        <v>45829</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45788-2022</t>
        </is>
      </c>
      <c r="B598" s="1" t="n">
        <v>44846</v>
      </c>
      <c r="C598" s="1" t="n">
        <v>45829</v>
      </c>
      <c r="D598" t="inlineStr">
        <is>
          <t>UPPSALA LÄN</t>
        </is>
      </c>
      <c r="E598" t="inlineStr">
        <is>
          <t>ÖSTHAMMAR</t>
        </is>
      </c>
      <c r="F598" t="inlineStr">
        <is>
          <t>Övriga Aktiebolag</t>
        </is>
      </c>
      <c r="G598" t="n">
        <v>3.3</v>
      </c>
      <c r="H598" t="n">
        <v>0</v>
      </c>
      <c r="I598" t="n">
        <v>0</v>
      </c>
      <c r="J598" t="n">
        <v>0</v>
      </c>
      <c r="K598" t="n">
        <v>0</v>
      </c>
      <c r="L598" t="n">
        <v>0</v>
      </c>
      <c r="M598" t="n">
        <v>0</v>
      </c>
      <c r="N598" t="n">
        <v>0</v>
      </c>
      <c r="O598" t="n">
        <v>0</v>
      </c>
      <c r="P598" t="n">
        <v>0</v>
      </c>
      <c r="Q598" t="n">
        <v>0</v>
      </c>
      <c r="R598" s="2" t="inlineStr"/>
    </row>
    <row r="599" ht="15" customHeight="1">
      <c r="A599" t="inlineStr">
        <is>
          <t>A 46448-2022</t>
        </is>
      </c>
      <c r="B599" s="1" t="n">
        <v>44848</v>
      </c>
      <c r="C599" s="1" t="n">
        <v>45829</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46915-2022</t>
        </is>
      </c>
      <c r="B600" s="1" t="n">
        <v>44851</v>
      </c>
      <c r="C600" s="1" t="n">
        <v>45829</v>
      </c>
      <c r="D600" t="inlineStr">
        <is>
          <t>UPPSALA LÄN</t>
        </is>
      </c>
      <c r="E600" t="inlineStr">
        <is>
          <t>ÖSTHAMMAR</t>
        </is>
      </c>
      <c r="F600" t="inlineStr">
        <is>
          <t>Bergvik skog öst AB</t>
        </is>
      </c>
      <c r="G600" t="n">
        <v>7.9</v>
      </c>
      <c r="H600" t="n">
        <v>0</v>
      </c>
      <c r="I600" t="n">
        <v>0</v>
      </c>
      <c r="J600" t="n">
        <v>0</v>
      </c>
      <c r="K600" t="n">
        <v>0</v>
      </c>
      <c r="L600" t="n">
        <v>0</v>
      </c>
      <c r="M600" t="n">
        <v>0</v>
      </c>
      <c r="N600" t="n">
        <v>0</v>
      </c>
      <c r="O600" t="n">
        <v>0</v>
      </c>
      <c r="P600" t="n">
        <v>0</v>
      </c>
      <c r="Q600" t="n">
        <v>0</v>
      </c>
      <c r="R600" s="2" t="inlineStr"/>
    </row>
    <row r="601" ht="15" customHeight="1">
      <c r="A601" t="inlineStr">
        <is>
          <t>A 47163-2022</t>
        </is>
      </c>
      <c r="B601" s="1" t="n">
        <v>44852</v>
      </c>
      <c r="C601" s="1" t="n">
        <v>45829</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48191-2022</t>
        </is>
      </c>
      <c r="B602" s="1" t="n">
        <v>44858</v>
      </c>
      <c r="C602" s="1" t="n">
        <v>45829</v>
      </c>
      <c r="D602" t="inlineStr">
        <is>
          <t>UPPSALA LÄN</t>
        </is>
      </c>
      <c r="E602" t="inlineStr">
        <is>
          <t>ÖSTHAMMAR</t>
        </is>
      </c>
      <c r="G602" t="n">
        <v>3.4</v>
      </c>
      <c r="H602" t="n">
        <v>0</v>
      </c>
      <c r="I602" t="n">
        <v>0</v>
      </c>
      <c r="J602" t="n">
        <v>0</v>
      </c>
      <c r="K602" t="n">
        <v>0</v>
      </c>
      <c r="L602" t="n">
        <v>0</v>
      </c>
      <c r="M602" t="n">
        <v>0</v>
      </c>
      <c r="N602" t="n">
        <v>0</v>
      </c>
      <c r="O602" t="n">
        <v>0</v>
      </c>
      <c r="P602" t="n">
        <v>0</v>
      </c>
      <c r="Q602" t="n">
        <v>0</v>
      </c>
      <c r="R602" s="2" t="inlineStr"/>
    </row>
    <row r="603" ht="15" customHeight="1">
      <c r="A603" t="inlineStr">
        <is>
          <t>A 48231-2022</t>
        </is>
      </c>
      <c r="B603" s="1" t="n">
        <v>44858</v>
      </c>
      <c r="C603" s="1" t="n">
        <v>45829</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49097-2022</t>
        </is>
      </c>
      <c r="B604" s="1" t="n">
        <v>44860</v>
      </c>
      <c r="C604" s="1" t="n">
        <v>45829</v>
      </c>
      <c r="D604" t="inlineStr">
        <is>
          <t>UPPSALA LÄN</t>
        </is>
      </c>
      <c r="E604" t="inlineStr">
        <is>
          <t>ÖSTHAMMAR</t>
        </is>
      </c>
      <c r="G604" t="n">
        <v>6.9</v>
      </c>
      <c r="H604" t="n">
        <v>0</v>
      </c>
      <c r="I604" t="n">
        <v>0</v>
      </c>
      <c r="J604" t="n">
        <v>0</v>
      </c>
      <c r="K604" t="n">
        <v>0</v>
      </c>
      <c r="L604" t="n">
        <v>0</v>
      </c>
      <c r="M604" t="n">
        <v>0</v>
      </c>
      <c r="N604" t="n">
        <v>0</v>
      </c>
      <c r="O604" t="n">
        <v>0</v>
      </c>
      <c r="P604" t="n">
        <v>0</v>
      </c>
      <c r="Q604" t="n">
        <v>0</v>
      </c>
      <c r="R604" s="2" t="inlineStr"/>
    </row>
    <row r="605" ht="15" customHeight="1">
      <c r="A605" t="inlineStr">
        <is>
          <t>A 49334-2022</t>
        </is>
      </c>
      <c r="B605" s="1" t="n">
        <v>44861</v>
      </c>
      <c r="C605" s="1" t="n">
        <v>45829</v>
      </c>
      <c r="D605" t="inlineStr">
        <is>
          <t>UPPSALA LÄN</t>
        </is>
      </c>
      <c r="E605" t="inlineStr">
        <is>
          <t>ÖSTHAMMAR</t>
        </is>
      </c>
      <c r="G605" t="n">
        <v>3.5</v>
      </c>
      <c r="H605" t="n">
        <v>0</v>
      </c>
      <c r="I605" t="n">
        <v>0</v>
      </c>
      <c r="J605" t="n">
        <v>0</v>
      </c>
      <c r="K605" t="n">
        <v>0</v>
      </c>
      <c r="L605" t="n">
        <v>0</v>
      </c>
      <c r="M605" t="n">
        <v>0</v>
      </c>
      <c r="N605" t="n">
        <v>0</v>
      </c>
      <c r="O605" t="n">
        <v>0</v>
      </c>
      <c r="P605" t="n">
        <v>0</v>
      </c>
      <c r="Q605" t="n">
        <v>0</v>
      </c>
      <c r="R605" s="2" t="inlineStr"/>
    </row>
    <row r="606" ht="15" customHeight="1">
      <c r="A606" t="inlineStr">
        <is>
          <t>A 49914-2022</t>
        </is>
      </c>
      <c r="B606" s="1" t="n">
        <v>44865</v>
      </c>
      <c r="C606" s="1" t="n">
        <v>45829</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50576-2022</t>
        </is>
      </c>
      <c r="B607" s="1" t="n">
        <v>44866</v>
      </c>
      <c r="C607" s="1" t="n">
        <v>45829</v>
      </c>
      <c r="D607" t="inlineStr">
        <is>
          <t>UPPSALA LÄN</t>
        </is>
      </c>
      <c r="E607" t="inlineStr">
        <is>
          <t>ÖSTHAMMAR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51055-2022</t>
        </is>
      </c>
      <c r="B608" s="1" t="n">
        <v>44868</v>
      </c>
      <c r="C608" s="1" t="n">
        <v>45829</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51696-2022</t>
        </is>
      </c>
      <c r="B609" s="1" t="n">
        <v>44872</v>
      </c>
      <c r="C609" s="1" t="n">
        <v>45829</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51906-2022</t>
        </is>
      </c>
      <c r="B610" s="1" t="n">
        <v>44872</v>
      </c>
      <c r="C610" s="1" t="n">
        <v>45829</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52265-2022</t>
        </is>
      </c>
      <c r="B611" s="1" t="n">
        <v>44873</v>
      </c>
      <c r="C611" s="1" t="n">
        <v>45829</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52255-2022</t>
        </is>
      </c>
      <c r="B612" s="1" t="n">
        <v>44873</v>
      </c>
      <c r="C612" s="1" t="n">
        <v>45829</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52295-2022</t>
        </is>
      </c>
      <c r="B613" s="1" t="n">
        <v>44873</v>
      </c>
      <c r="C613" s="1" t="n">
        <v>45829</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52652-2022</t>
        </is>
      </c>
      <c r="B614" s="1" t="n">
        <v>44874</v>
      </c>
      <c r="C614" s="1" t="n">
        <v>45829</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52389-2022</t>
        </is>
      </c>
      <c r="B615" s="1" t="n">
        <v>44874</v>
      </c>
      <c r="C615" s="1" t="n">
        <v>45829</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52663-2022</t>
        </is>
      </c>
      <c r="B616" s="1" t="n">
        <v>44874</v>
      </c>
      <c r="C616" s="1" t="n">
        <v>45829</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52650-2022</t>
        </is>
      </c>
      <c r="B617" s="1" t="n">
        <v>44874</v>
      </c>
      <c r="C617" s="1" t="n">
        <v>45829</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52661-2022</t>
        </is>
      </c>
      <c r="B618" s="1" t="n">
        <v>44874</v>
      </c>
      <c r="C618" s="1" t="n">
        <v>45829</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53180-2022</t>
        </is>
      </c>
      <c r="B619" s="1" t="n">
        <v>44876</v>
      </c>
      <c r="C619" s="1" t="n">
        <v>45829</v>
      </c>
      <c r="D619" t="inlineStr">
        <is>
          <t>UPPSALA LÄN</t>
        </is>
      </c>
      <c r="E619" t="inlineStr">
        <is>
          <t>ÖSTHAMMAR</t>
        </is>
      </c>
      <c r="G619" t="n">
        <v>0.9</v>
      </c>
      <c r="H619" t="n">
        <v>0</v>
      </c>
      <c r="I619" t="n">
        <v>0</v>
      </c>
      <c r="J619" t="n">
        <v>0</v>
      </c>
      <c r="K619" t="n">
        <v>0</v>
      </c>
      <c r="L619" t="n">
        <v>0</v>
      </c>
      <c r="M619" t="n">
        <v>0</v>
      </c>
      <c r="N619" t="n">
        <v>0</v>
      </c>
      <c r="O619" t="n">
        <v>0</v>
      </c>
      <c r="P619" t="n">
        <v>0</v>
      </c>
      <c r="Q619" t="n">
        <v>0</v>
      </c>
      <c r="R619" s="2" t="inlineStr"/>
    </row>
    <row r="620" ht="15" customHeight="1">
      <c r="A620" t="inlineStr">
        <is>
          <t>A 54666-2022</t>
        </is>
      </c>
      <c r="B620" s="1" t="n">
        <v>44883</v>
      </c>
      <c r="C620" s="1" t="n">
        <v>45829</v>
      </c>
      <c r="D620" t="inlineStr">
        <is>
          <t>UPPSALA LÄN</t>
        </is>
      </c>
      <c r="E620" t="inlineStr">
        <is>
          <t>ÖSTHAMMAR</t>
        </is>
      </c>
      <c r="G620" t="n">
        <v>14.3</v>
      </c>
      <c r="H620" t="n">
        <v>0</v>
      </c>
      <c r="I620" t="n">
        <v>0</v>
      </c>
      <c r="J620" t="n">
        <v>0</v>
      </c>
      <c r="K620" t="n">
        <v>0</v>
      </c>
      <c r="L620" t="n">
        <v>0</v>
      </c>
      <c r="M620" t="n">
        <v>0</v>
      </c>
      <c r="N620" t="n">
        <v>0</v>
      </c>
      <c r="O620" t="n">
        <v>0</v>
      </c>
      <c r="P620" t="n">
        <v>0</v>
      </c>
      <c r="Q620" t="n">
        <v>0</v>
      </c>
      <c r="R620" s="2" t="inlineStr"/>
    </row>
    <row r="621" ht="15" customHeight="1">
      <c r="A621" t="inlineStr">
        <is>
          <t>A 56260-2022</t>
        </is>
      </c>
      <c r="B621" s="1" t="n">
        <v>44890</v>
      </c>
      <c r="C621" s="1" t="n">
        <v>45829</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56969-2022</t>
        </is>
      </c>
      <c r="B622" s="1" t="n">
        <v>44894</v>
      </c>
      <c r="C622" s="1" t="n">
        <v>45829</v>
      </c>
      <c r="D622" t="inlineStr">
        <is>
          <t>UPPSALA LÄN</t>
        </is>
      </c>
      <c r="E622" t="inlineStr">
        <is>
          <t>ÖSTHAMMAR</t>
        </is>
      </c>
      <c r="G622" t="n">
        <v>5.5</v>
      </c>
      <c r="H622" t="n">
        <v>0</v>
      </c>
      <c r="I622" t="n">
        <v>0</v>
      </c>
      <c r="J622" t="n">
        <v>0</v>
      </c>
      <c r="K622" t="n">
        <v>0</v>
      </c>
      <c r="L622" t="n">
        <v>0</v>
      </c>
      <c r="M622" t="n">
        <v>0</v>
      </c>
      <c r="N622" t="n">
        <v>0</v>
      </c>
      <c r="O622" t="n">
        <v>0</v>
      </c>
      <c r="P622" t="n">
        <v>0</v>
      </c>
      <c r="Q622" t="n">
        <v>0</v>
      </c>
      <c r="R622" s="2" t="inlineStr"/>
    </row>
    <row r="623" ht="15" customHeight="1">
      <c r="A623" t="inlineStr">
        <is>
          <t>A 57462-2022</t>
        </is>
      </c>
      <c r="B623" s="1" t="n">
        <v>44896</v>
      </c>
      <c r="C623" s="1" t="n">
        <v>45829</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57453-2022</t>
        </is>
      </c>
      <c r="B624" s="1" t="n">
        <v>44896</v>
      </c>
      <c r="C624" s="1" t="n">
        <v>45829</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58127-2022</t>
        </is>
      </c>
      <c r="B625" s="1" t="n">
        <v>44900</v>
      </c>
      <c r="C625" s="1" t="n">
        <v>45829</v>
      </c>
      <c r="D625" t="inlineStr">
        <is>
          <t>UPPSALA LÄN</t>
        </is>
      </c>
      <c r="E625" t="inlineStr">
        <is>
          <t>ÖSTHAMMAR</t>
        </is>
      </c>
      <c r="F625" t="inlineStr">
        <is>
          <t>Bergvik skog öst AB</t>
        </is>
      </c>
      <c r="G625" t="n">
        <v>6.4</v>
      </c>
      <c r="H625" t="n">
        <v>0</v>
      </c>
      <c r="I625" t="n">
        <v>0</v>
      </c>
      <c r="J625" t="n">
        <v>0</v>
      </c>
      <c r="K625" t="n">
        <v>0</v>
      </c>
      <c r="L625" t="n">
        <v>0</v>
      </c>
      <c r="M625" t="n">
        <v>0</v>
      </c>
      <c r="N625" t="n">
        <v>0</v>
      </c>
      <c r="O625" t="n">
        <v>0</v>
      </c>
      <c r="P625" t="n">
        <v>0</v>
      </c>
      <c r="Q625" t="n">
        <v>0</v>
      </c>
      <c r="R625" s="2" t="inlineStr"/>
    </row>
    <row r="626" ht="15" customHeight="1">
      <c r="A626" t="inlineStr">
        <is>
          <t>A 58367-2022</t>
        </is>
      </c>
      <c r="B626" s="1" t="n">
        <v>44901</v>
      </c>
      <c r="C626" s="1" t="n">
        <v>45829</v>
      </c>
      <c r="D626" t="inlineStr">
        <is>
          <t>UPPSALA LÄN</t>
        </is>
      </c>
      <c r="E626" t="inlineStr">
        <is>
          <t>ÖSTHAMMAR</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58878-2022</t>
        </is>
      </c>
      <c r="B627" s="1" t="n">
        <v>44903</v>
      </c>
      <c r="C627" s="1" t="n">
        <v>45829</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60258-2022</t>
        </is>
      </c>
      <c r="B628" s="1" t="n">
        <v>44903</v>
      </c>
      <c r="C628" s="1" t="n">
        <v>45829</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59382-2022</t>
        </is>
      </c>
      <c r="B629" s="1" t="n">
        <v>44905</v>
      </c>
      <c r="C629" s="1" t="n">
        <v>45829</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59563-2022</t>
        </is>
      </c>
      <c r="B630" s="1" t="n">
        <v>44907</v>
      </c>
      <c r="C630" s="1" t="n">
        <v>45829</v>
      </c>
      <c r="D630" t="inlineStr">
        <is>
          <t>UPPSALA LÄN</t>
        </is>
      </c>
      <c r="E630" t="inlineStr">
        <is>
          <t>ÖSTHAMMAR</t>
        </is>
      </c>
      <c r="G630" t="n">
        <v>2.8</v>
      </c>
      <c r="H630" t="n">
        <v>0</v>
      </c>
      <c r="I630" t="n">
        <v>0</v>
      </c>
      <c r="J630" t="n">
        <v>0</v>
      </c>
      <c r="K630" t="n">
        <v>0</v>
      </c>
      <c r="L630" t="n">
        <v>0</v>
      </c>
      <c r="M630" t="n">
        <v>0</v>
      </c>
      <c r="N630" t="n">
        <v>0</v>
      </c>
      <c r="O630" t="n">
        <v>0</v>
      </c>
      <c r="P630" t="n">
        <v>0</v>
      </c>
      <c r="Q630" t="n">
        <v>0</v>
      </c>
      <c r="R630" s="2" t="inlineStr"/>
    </row>
    <row r="631" ht="15" customHeight="1">
      <c r="A631" t="inlineStr">
        <is>
          <t>A 59880-2022</t>
        </is>
      </c>
      <c r="B631" s="1" t="n">
        <v>44908</v>
      </c>
      <c r="C631" s="1" t="n">
        <v>45829</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60079-2022</t>
        </is>
      </c>
      <c r="B632" s="1" t="n">
        <v>44909</v>
      </c>
      <c r="C632" s="1" t="n">
        <v>45829</v>
      </c>
      <c r="D632" t="inlineStr">
        <is>
          <t>UPPSALA LÄN</t>
        </is>
      </c>
      <c r="E632" t="inlineStr">
        <is>
          <t>ÖSTHAMMAR</t>
        </is>
      </c>
      <c r="G632" t="n">
        <v>9.6</v>
      </c>
      <c r="H632" t="n">
        <v>0</v>
      </c>
      <c r="I632" t="n">
        <v>0</v>
      </c>
      <c r="J632" t="n">
        <v>0</v>
      </c>
      <c r="K632" t="n">
        <v>0</v>
      </c>
      <c r="L632" t="n">
        <v>0</v>
      </c>
      <c r="M632" t="n">
        <v>0</v>
      </c>
      <c r="N632" t="n">
        <v>0</v>
      </c>
      <c r="O632" t="n">
        <v>0</v>
      </c>
      <c r="P632" t="n">
        <v>0</v>
      </c>
      <c r="Q632" t="n">
        <v>0</v>
      </c>
      <c r="R632" s="2" t="inlineStr"/>
    </row>
    <row r="633" ht="15" customHeight="1">
      <c r="A633" t="inlineStr">
        <is>
          <t>A 60597-2022</t>
        </is>
      </c>
      <c r="B633" s="1" t="n">
        <v>44911</v>
      </c>
      <c r="C633" s="1" t="n">
        <v>45829</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61261-2022</t>
        </is>
      </c>
      <c r="B634" s="1" t="n">
        <v>44915</v>
      </c>
      <c r="C634" s="1" t="n">
        <v>45829</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61216-2022</t>
        </is>
      </c>
      <c r="B635" s="1" t="n">
        <v>44915</v>
      </c>
      <c r="C635" s="1" t="n">
        <v>45829</v>
      </c>
      <c r="D635" t="inlineStr">
        <is>
          <t>UPPSALA LÄN</t>
        </is>
      </c>
      <c r="E635" t="inlineStr">
        <is>
          <t>ÖSTHAMMAR</t>
        </is>
      </c>
      <c r="G635" t="n">
        <v>2.9</v>
      </c>
      <c r="H635" t="n">
        <v>0</v>
      </c>
      <c r="I635" t="n">
        <v>0</v>
      </c>
      <c r="J635" t="n">
        <v>0</v>
      </c>
      <c r="K635" t="n">
        <v>0</v>
      </c>
      <c r="L635" t="n">
        <v>0</v>
      </c>
      <c r="M635" t="n">
        <v>0</v>
      </c>
      <c r="N635" t="n">
        <v>0</v>
      </c>
      <c r="O635" t="n">
        <v>0</v>
      </c>
      <c r="P635" t="n">
        <v>0</v>
      </c>
      <c r="Q635" t="n">
        <v>0</v>
      </c>
      <c r="R635" s="2" t="inlineStr"/>
    </row>
    <row r="636" ht="15" customHeight="1">
      <c r="A636" t="inlineStr">
        <is>
          <t>A 61257-2022</t>
        </is>
      </c>
      <c r="B636" s="1" t="n">
        <v>44915</v>
      </c>
      <c r="C636" s="1" t="n">
        <v>45829</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62295-2022</t>
        </is>
      </c>
      <c r="B637" s="1" t="n">
        <v>44916</v>
      </c>
      <c r="C637" s="1" t="n">
        <v>45829</v>
      </c>
      <c r="D637" t="inlineStr">
        <is>
          <t>UPPSALA LÄN</t>
        </is>
      </c>
      <c r="E637" t="inlineStr">
        <is>
          <t>ÖSTHAMMAR</t>
        </is>
      </c>
      <c r="G637" t="n">
        <v>3.3</v>
      </c>
      <c r="H637" t="n">
        <v>0</v>
      </c>
      <c r="I637" t="n">
        <v>0</v>
      </c>
      <c r="J637" t="n">
        <v>0</v>
      </c>
      <c r="K637" t="n">
        <v>0</v>
      </c>
      <c r="L637" t="n">
        <v>0</v>
      </c>
      <c r="M637" t="n">
        <v>0</v>
      </c>
      <c r="N637" t="n">
        <v>0</v>
      </c>
      <c r="O637" t="n">
        <v>0</v>
      </c>
      <c r="P637" t="n">
        <v>0</v>
      </c>
      <c r="Q637" t="n">
        <v>0</v>
      </c>
      <c r="R637" s="2" t="inlineStr"/>
    </row>
    <row r="638" ht="15" customHeight="1">
      <c r="A638" t="inlineStr">
        <is>
          <t>A 62394-2022</t>
        </is>
      </c>
      <c r="B638" s="1" t="n">
        <v>44923</v>
      </c>
      <c r="C638" s="1" t="n">
        <v>45829</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62393-2022</t>
        </is>
      </c>
      <c r="B639" s="1" t="n">
        <v>44923</v>
      </c>
      <c r="C639" s="1" t="n">
        <v>45829</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62392-2022</t>
        </is>
      </c>
      <c r="B640" s="1" t="n">
        <v>44923</v>
      </c>
      <c r="C640" s="1" t="n">
        <v>45829</v>
      </c>
      <c r="D640" t="inlineStr">
        <is>
          <t>UPPSALA LÄN</t>
        </is>
      </c>
      <c r="E640" t="inlineStr">
        <is>
          <t>ÖSTHAMMAR</t>
        </is>
      </c>
      <c r="F640" t="inlineStr">
        <is>
          <t>Bergvik skog öst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62391-2022</t>
        </is>
      </c>
      <c r="B641" s="1" t="n">
        <v>44923</v>
      </c>
      <c r="C641" s="1" t="n">
        <v>45829</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57-2023</t>
        </is>
      </c>
      <c r="B642" s="1" t="n">
        <v>44928</v>
      </c>
      <c r="C642" s="1" t="n">
        <v>45829</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59-2023</t>
        </is>
      </c>
      <c r="B643" s="1" t="n">
        <v>44928</v>
      </c>
      <c r="C643" s="1" t="n">
        <v>45829</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390-2023</t>
        </is>
      </c>
      <c r="B644" s="1" t="n">
        <v>44929</v>
      </c>
      <c r="C644" s="1" t="n">
        <v>45829</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1791-2023</t>
        </is>
      </c>
      <c r="B645" s="1" t="n">
        <v>44938</v>
      </c>
      <c r="C645" s="1" t="n">
        <v>45829</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1800-2023</t>
        </is>
      </c>
      <c r="B646" s="1" t="n">
        <v>44938</v>
      </c>
      <c r="C646" s="1" t="n">
        <v>45829</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1796-2023</t>
        </is>
      </c>
      <c r="B647" s="1" t="n">
        <v>44938</v>
      </c>
      <c r="C647" s="1" t="n">
        <v>45829</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2733-2023</t>
        </is>
      </c>
      <c r="B648" s="1" t="n">
        <v>44943</v>
      </c>
      <c r="C648" s="1" t="n">
        <v>45829</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2967-2023</t>
        </is>
      </c>
      <c r="B649" s="1" t="n">
        <v>44945</v>
      </c>
      <c r="C649" s="1" t="n">
        <v>45829</v>
      </c>
      <c r="D649" t="inlineStr">
        <is>
          <t>UPPSALA LÄN</t>
        </is>
      </c>
      <c r="E649" t="inlineStr">
        <is>
          <t>ÖSTHAMMAR</t>
        </is>
      </c>
      <c r="F649" t="inlineStr">
        <is>
          <t>Övriga Aktiebolag</t>
        </is>
      </c>
      <c r="G649" t="n">
        <v>3.1</v>
      </c>
      <c r="H649" t="n">
        <v>0</v>
      </c>
      <c r="I649" t="n">
        <v>0</v>
      </c>
      <c r="J649" t="n">
        <v>0</v>
      </c>
      <c r="K649" t="n">
        <v>0</v>
      </c>
      <c r="L649" t="n">
        <v>0</v>
      </c>
      <c r="M649" t="n">
        <v>0</v>
      </c>
      <c r="N649" t="n">
        <v>0</v>
      </c>
      <c r="O649" t="n">
        <v>0</v>
      </c>
      <c r="P649" t="n">
        <v>0</v>
      </c>
      <c r="Q649" t="n">
        <v>0</v>
      </c>
      <c r="R649" s="2" t="inlineStr"/>
    </row>
    <row r="650" ht="15" customHeight="1">
      <c r="A650" t="inlineStr">
        <is>
          <t>A 3005-2023</t>
        </is>
      </c>
      <c r="B650" s="1" t="n">
        <v>44945</v>
      </c>
      <c r="C650" s="1" t="n">
        <v>45829</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3743-2023</t>
        </is>
      </c>
      <c r="B651" s="1" t="n">
        <v>44948</v>
      </c>
      <c r="C651" s="1" t="n">
        <v>45829</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3327-2023</t>
        </is>
      </c>
      <c r="B652" s="1" t="n">
        <v>44949</v>
      </c>
      <c r="C652" s="1" t="n">
        <v>45829</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3514-2023</t>
        </is>
      </c>
      <c r="B653" s="1" t="n">
        <v>44950</v>
      </c>
      <c r="C653" s="1" t="n">
        <v>45829</v>
      </c>
      <c r="D653" t="inlineStr">
        <is>
          <t>UPPSALA LÄN</t>
        </is>
      </c>
      <c r="E653" t="inlineStr">
        <is>
          <t>ÖSTHAMMAR</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4004-2023</t>
        </is>
      </c>
      <c r="B654" s="1" t="n">
        <v>44952</v>
      </c>
      <c r="C654" s="1" t="n">
        <v>45829</v>
      </c>
      <c r="D654" t="inlineStr">
        <is>
          <t>UPPSALA LÄN</t>
        </is>
      </c>
      <c r="E654" t="inlineStr">
        <is>
          <t>ÖSTHAMMAR</t>
        </is>
      </c>
      <c r="G654" t="n">
        <v>4.1</v>
      </c>
      <c r="H654" t="n">
        <v>0</v>
      </c>
      <c r="I654" t="n">
        <v>0</v>
      </c>
      <c r="J654" t="n">
        <v>0</v>
      </c>
      <c r="K654" t="n">
        <v>0</v>
      </c>
      <c r="L654" t="n">
        <v>0</v>
      </c>
      <c r="M654" t="n">
        <v>0</v>
      </c>
      <c r="N654" t="n">
        <v>0</v>
      </c>
      <c r="O654" t="n">
        <v>0</v>
      </c>
      <c r="P654" t="n">
        <v>0</v>
      </c>
      <c r="Q654" t="n">
        <v>0</v>
      </c>
      <c r="R654" s="2" t="inlineStr"/>
    </row>
    <row r="655" ht="15" customHeight="1">
      <c r="A655" t="inlineStr">
        <is>
          <t>A 4054-2023</t>
        </is>
      </c>
      <c r="B655" s="1" t="n">
        <v>44952</v>
      </c>
      <c r="C655" s="1" t="n">
        <v>45829</v>
      </c>
      <c r="D655" t="inlineStr">
        <is>
          <t>UPPSALA LÄN</t>
        </is>
      </c>
      <c r="E655" t="inlineStr">
        <is>
          <t>ÖSTHAMMAR</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4233-2023</t>
        </is>
      </c>
      <c r="B656" s="1" t="n">
        <v>44953</v>
      </c>
      <c r="C656" s="1" t="n">
        <v>45829</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4228-2023</t>
        </is>
      </c>
      <c r="B657" s="1" t="n">
        <v>44953</v>
      </c>
      <c r="C657" s="1" t="n">
        <v>45829</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4361-2023</t>
        </is>
      </c>
      <c r="B658" s="1" t="n">
        <v>44954</v>
      </c>
      <c r="C658" s="1" t="n">
        <v>45829</v>
      </c>
      <c r="D658" t="inlineStr">
        <is>
          <t>UPPSALA LÄN</t>
        </is>
      </c>
      <c r="E658" t="inlineStr">
        <is>
          <t>ÖSTHAMMAR</t>
        </is>
      </c>
      <c r="F658" t="inlineStr">
        <is>
          <t>Bergvik skog öst AB</t>
        </is>
      </c>
      <c r="G658" t="n">
        <v>18.3</v>
      </c>
      <c r="H658" t="n">
        <v>0</v>
      </c>
      <c r="I658" t="n">
        <v>0</v>
      </c>
      <c r="J658" t="n">
        <v>0</v>
      </c>
      <c r="K658" t="n">
        <v>0</v>
      </c>
      <c r="L658" t="n">
        <v>0</v>
      </c>
      <c r="M658" t="n">
        <v>0</v>
      </c>
      <c r="N658" t="n">
        <v>0</v>
      </c>
      <c r="O658" t="n">
        <v>0</v>
      </c>
      <c r="P658" t="n">
        <v>0</v>
      </c>
      <c r="Q658" t="n">
        <v>0</v>
      </c>
      <c r="R658" s="2" t="inlineStr"/>
    </row>
    <row r="659" ht="15" customHeight="1">
      <c r="A659" t="inlineStr">
        <is>
          <t>A 5404-2023</t>
        </is>
      </c>
      <c r="B659" s="1" t="n">
        <v>44957</v>
      </c>
      <c r="C659" s="1" t="n">
        <v>45829</v>
      </c>
      <c r="D659" t="inlineStr">
        <is>
          <t>UPPSALA LÄN</t>
        </is>
      </c>
      <c r="E659" t="inlineStr">
        <is>
          <t>ÖSTHAMMAR</t>
        </is>
      </c>
      <c r="G659" t="n">
        <v>2.5</v>
      </c>
      <c r="H659" t="n">
        <v>0</v>
      </c>
      <c r="I659" t="n">
        <v>0</v>
      </c>
      <c r="J659" t="n">
        <v>0</v>
      </c>
      <c r="K659" t="n">
        <v>0</v>
      </c>
      <c r="L659" t="n">
        <v>0</v>
      </c>
      <c r="M659" t="n">
        <v>0</v>
      </c>
      <c r="N659" t="n">
        <v>0</v>
      </c>
      <c r="O659" t="n">
        <v>0</v>
      </c>
      <c r="P659" t="n">
        <v>0</v>
      </c>
      <c r="Q659" t="n">
        <v>0</v>
      </c>
      <c r="R659" s="2" t="inlineStr"/>
    </row>
    <row r="660" ht="15" customHeight="1">
      <c r="A660" t="inlineStr">
        <is>
          <t>A 5429-2023</t>
        </is>
      </c>
      <c r="B660" s="1" t="n">
        <v>44959</v>
      </c>
      <c r="C660" s="1" t="n">
        <v>45829</v>
      </c>
      <c r="D660" t="inlineStr">
        <is>
          <t>UPPSALA LÄN</t>
        </is>
      </c>
      <c r="E660" t="inlineStr">
        <is>
          <t>ÖSTHAMMAR</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5430-2023</t>
        </is>
      </c>
      <c r="B661" s="1" t="n">
        <v>44959</v>
      </c>
      <c r="C661" s="1" t="n">
        <v>45829</v>
      </c>
      <c r="D661" t="inlineStr">
        <is>
          <t>UPPSALA LÄN</t>
        </is>
      </c>
      <c r="E661" t="inlineStr">
        <is>
          <t>ÖSTHAMMAR</t>
        </is>
      </c>
      <c r="F661" t="inlineStr">
        <is>
          <t>Bergvik skog öst AB</t>
        </is>
      </c>
      <c r="G661" t="n">
        <v>18.4</v>
      </c>
      <c r="H661" t="n">
        <v>0</v>
      </c>
      <c r="I661" t="n">
        <v>0</v>
      </c>
      <c r="J661" t="n">
        <v>0</v>
      </c>
      <c r="K661" t="n">
        <v>0</v>
      </c>
      <c r="L661" t="n">
        <v>0</v>
      </c>
      <c r="M661" t="n">
        <v>0</v>
      </c>
      <c r="N661" t="n">
        <v>0</v>
      </c>
      <c r="O661" t="n">
        <v>0</v>
      </c>
      <c r="P661" t="n">
        <v>0</v>
      </c>
      <c r="Q661" t="n">
        <v>0</v>
      </c>
      <c r="R661" s="2" t="inlineStr"/>
    </row>
    <row r="662" ht="15" customHeight="1">
      <c r="A662" t="inlineStr">
        <is>
          <t>A 5643-2023</t>
        </is>
      </c>
      <c r="B662" s="1" t="n">
        <v>44960</v>
      </c>
      <c r="C662" s="1" t="n">
        <v>45829</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6629-2023</t>
        </is>
      </c>
      <c r="B663" s="1" t="n">
        <v>44960</v>
      </c>
      <c r="C663" s="1" t="n">
        <v>45829</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6635-2023</t>
        </is>
      </c>
      <c r="B664" s="1" t="n">
        <v>44960</v>
      </c>
      <c r="C664" s="1" t="n">
        <v>45829</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5832-2023</t>
        </is>
      </c>
      <c r="B665" s="1" t="n">
        <v>44963</v>
      </c>
      <c r="C665" s="1" t="n">
        <v>45829</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5836-2023</t>
        </is>
      </c>
      <c r="B666" s="1" t="n">
        <v>44963</v>
      </c>
      <c r="C666" s="1" t="n">
        <v>45829</v>
      </c>
      <c r="D666" t="inlineStr">
        <is>
          <t>UPPSALA LÄN</t>
        </is>
      </c>
      <c r="E666" t="inlineStr">
        <is>
          <t>ÖSTHAMMAR</t>
        </is>
      </c>
      <c r="G666" t="n">
        <v>1.7</v>
      </c>
      <c r="H666" t="n">
        <v>0</v>
      </c>
      <c r="I666" t="n">
        <v>0</v>
      </c>
      <c r="J666" t="n">
        <v>0</v>
      </c>
      <c r="K666" t="n">
        <v>0</v>
      </c>
      <c r="L666" t="n">
        <v>0</v>
      </c>
      <c r="M666" t="n">
        <v>0</v>
      </c>
      <c r="N666" t="n">
        <v>0</v>
      </c>
      <c r="O666" t="n">
        <v>0</v>
      </c>
      <c r="P666" t="n">
        <v>0</v>
      </c>
      <c r="Q666" t="n">
        <v>0</v>
      </c>
      <c r="R666" s="2" t="inlineStr"/>
    </row>
    <row r="667" ht="15" customHeight="1">
      <c r="A667" t="inlineStr">
        <is>
          <t>A 5831-2023</t>
        </is>
      </c>
      <c r="B667" s="1" t="n">
        <v>44963</v>
      </c>
      <c r="C667" s="1" t="n">
        <v>45829</v>
      </c>
      <c r="D667" t="inlineStr">
        <is>
          <t>UPPSALA LÄN</t>
        </is>
      </c>
      <c r="E667" t="inlineStr">
        <is>
          <t>ÖSTHAMMAR</t>
        </is>
      </c>
      <c r="G667" t="n">
        <v>8.1</v>
      </c>
      <c r="H667" t="n">
        <v>0</v>
      </c>
      <c r="I667" t="n">
        <v>0</v>
      </c>
      <c r="J667" t="n">
        <v>0</v>
      </c>
      <c r="K667" t="n">
        <v>0</v>
      </c>
      <c r="L667" t="n">
        <v>0</v>
      </c>
      <c r="M667" t="n">
        <v>0</v>
      </c>
      <c r="N667" t="n">
        <v>0</v>
      </c>
      <c r="O667" t="n">
        <v>0</v>
      </c>
      <c r="P667" t="n">
        <v>0</v>
      </c>
      <c r="Q667" t="n">
        <v>0</v>
      </c>
      <c r="R667" s="2" t="inlineStr"/>
    </row>
    <row r="668" ht="15" customHeight="1">
      <c r="A668" t="inlineStr">
        <is>
          <t>A 5857-2023</t>
        </is>
      </c>
      <c r="B668" s="1" t="n">
        <v>44963</v>
      </c>
      <c r="C668" s="1" t="n">
        <v>45829</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5884-2023</t>
        </is>
      </c>
      <c r="B669" s="1" t="n">
        <v>44963</v>
      </c>
      <c r="C669" s="1" t="n">
        <v>45829</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5877-2023</t>
        </is>
      </c>
      <c r="B670" s="1" t="n">
        <v>44963</v>
      </c>
      <c r="C670" s="1" t="n">
        <v>45829</v>
      </c>
      <c r="D670" t="inlineStr">
        <is>
          <t>UPPSALA LÄN</t>
        </is>
      </c>
      <c r="E670" t="inlineStr">
        <is>
          <t>ÖSTHAMMAR</t>
        </is>
      </c>
      <c r="G670" t="n">
        <v>0.7</v>
      </c>
      <c r="H670" t="n">
        <v>0</v>
      </c>
      <c r="I670" t="n">
        <v>0</v>
      </c>
      <c r="J670" t="n">
        <v>0</v>
      </c>
      <c r="K670" t="n">
        <v>0</v>
      </c>
      <c r="L670" t="n">
        <v>0</v>
      </c>
      <c r="M670" t="n">
        <v>0</v>
      </c>
      <c r="N670" t="n">
        <v>0</v>
      </c>
      <c r="O670" t="n">
        <v>0</v>
      </c>
      <c r="P670" t="n">
        <v>0</v>
      </c>
      <c r="Q670" t="n">
        <v>0</v>
      </c>
      <c r="R670" s="2" t="inlineStr"/>
    </row>
    <row r="671" ht="15" customHeight="1">
      <c r="A671" t="inlineStr">
        <is>
          <t>A 7195-2023</t>
        </is>
      </c>
      <c r="B671" s="1" t="n">
        <v>44970</v>
      </c>
      <c r="C671" s="1" t="n">
        <v>45829</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7206-2023</t>
        </is>
      </c>
      <c r="B672" s="1" t="n">
        <v>44970</v>
      </c>
      <c r="C672" s="1" t="n">
        <v>45829</v>
      </c>
      <c r="D672" t="inlineStr">
        <is>
          <t>UPPSALA LÄN</t>
        </is>
      </c>
      <c r="E672" t="inlineStr">
        <is>
          <t>ÖSTHAMMAR</t>
        </is>
      </c>
      <c r="G672" t="n">
        <v>1</v>
      </c>
      <c r="H672" t="n">
        <v>0</v>
      </c>
      <c r="I672" t="n">
        <v>0</v>
      </c>
      <c r="J672" t="n">
        <v>0</v>
      </c>
      <c r="K672" t="n">
        <v>0</v>
      </c>
      <c r="L672" t="n">
        <v>0</v>
      </c>
      <c r="M672" t="n">
        <v>0</v>
      </c>
      <c r="N672" t="n">
        <v>0</v>
      </c>
      <c r="O672" t="n">
        <v>0</v>
      </c>
      <c r="P672" t="n">
        <v>0</v>
      </c>
      <c r="Q672" t="n">
        <v>0</v>
      </c>
      <c r="R672" s="2" t="inlineStr"/>
    </row>
    <row r="673" ht="15" customHeight="1">
      <c r="A673" t="inlineStr">
        <is>
          <t>A 7118-2023</t>
        </is>
      </c>
      <c r="B673" s="1" t="n">
        <v>44970</v>
      </c>
      <c r="C673" s="1" t="n">
        <v>45829</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7546-2023</t>
        </is>
      </c>
      <c r="B674" s="1" t="n">
        <v>44972</v>
      </c>
      <c r="C674" s="1" t="n">
        <v>45829</v>
      </c>
      <c r="D674" t="inlineStr">
        <is>
          <t>UPPSALA LÄN</t>
        </is>
      </c>
      <c r="E674" t="inlineStr">
        <is>
          <t>ÖSTHAMMAR</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7543-2023</t>
        </is>
      </c>
      <c r="B675" s="1" t="n">
        <v>44972</v>
      </c>
      <c r="C675" s="1" t="n">
        <v>45829</v>
      </c>
      <c r="D675" t="inlineStr">
        <is>
          <t>UPPSALA LÄN</t>
        </is>
      </c>
      <c r="E675" t="inlineStr">
        <is>
          <t>ÖSTHAMMAR</t>
        </is>
      </c>
      <c r="F675" t="inlineStr">
        <is>
          <t>Bergvik skog öst AB</t>
        </is>
      </c>
      <c r="G675" t="n">
        <v>13.3</v>
      </c>
      <c r="H675" t="n">
        <v>0</v>
      </c>
      <c r="I675" t="n">
        <v>0</v>
      </c>
      <c r="J675" t="n">
        <v>0</v>
      </c>
      <c r="K675" t="n">
        <v>0</v>
      </c>
      <c r="L675" t="n">
        <v>0</v>
      </c>
      <c r="M675" t="n">
        <v>0</v>
      </c>
      <c r="N675" t="n">
        <v>0</v>
      </c>
      <c r="O675" t="n">
        <v>0</v>
      </c>
      <c r="P675" t="n">
        <v>0</v>
      </c>
      <c r="Q675" t="n">
        <v>0</v>
      </c>
      <c r="R675" s="2" t="inlineStr"/>
    </row>
    <row r="676" ht="15" customHeight="1">
      <c r="A676" t="inlineStr">
        <is>
          <t>A 7560-2023</t>
        </is>
      </c>
      <c r="B676" s="1" t="n">
        <v>44972</v>
      </c>
      <c r="C676" s="1" t="n">
        <v>45829</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7876-2023</t>
        </is>
      </c>
      <c r="B677" s="1" t="n">
        <v>44973</v>
      </c>
      <c r="C677" s="1" t="n">
        <v>45829</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7944-2023</t>
        </is>
      </c>
      <c r="B678" s="1" t="n">
        <v>44973</v>
      </c>
      <c r="C678" s="1" t="n">
        <v>45829</v>
      </c>
      <c r="D678" t="inlineStr">
        <is>
          <t>UPPSALA LÄN</t>
        </is>
      </c>
      <c r="E678" t="inlineStr">
        <is>
          <t>ÖSTHAMMAR</t>
        </is>
      </c>
      <c r="G678" t="n">
        <v>4.6</v>
      </c>
      <c r="H678" t="n">
        <v>0</v>
      </c>
      <c r="I678" t="n">
        <v>0</v>
      </c>
      <c r="J678" t="n">
        <v>0</v>
      </c>
      <c r="K678" t="n">
        <v>0</v>
      </c>
      <c r="L678" t="n">
        <v>0</v>
      </c>
      <c r="M678" t="n">
        <v>0</v>
      </c>
      <c r="N678" t="n">
        <v>0</v>
      </c>
      <c r="O678" t="n">
        <v>0</v>
      </c>
      <c r="P678" t="n">
        <v>0</v>
      </c>
      <c r="Q678" t="n">
        <v>0</v>
      </c>
      <c r="R678" s="2" t="inlineStr"/>
    </row>
    <row r="679" ht="15" customHeight="1">
      <c r="A679" t="inlineStr">
        <is>
          <t>A 7975-2023</t>
        </is>
      </c>
      <c r="B679" s="1" t="n">
        <v>44973</v>
      </c>
      <c r="C679" s="1" t="n">
        <v>45829</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8006-2023</t>
        </is>
      </c>
      <c r="B680" s="1" t="n">
        <v>44973</v>
      </c>
      <c r="C680" s="1" t="n">
        <v>45829</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8616-2023</t>
        </is>
      </c>
      <c r="B681" s="1" t="n">
        <v>44977</v>
      </c>
      <c r="C681" s="1" t="n">
        <v>45829</v>
      </c>
      <c r="D681" t="inlineStr">
        <is>
          <t>UPPSALA LÄN</t>
        </is>
      </c>
      <c r="E681" t="inlineStr">
        <is>
          <t>ÖSTHAMMAR</t>
        </is>
      </c>
      <c r="F681" t="inlineStr">
        <is>
          <t>Bergvik skog öst AB</t>
        </is>
      </c>
      <c r="G681" t="n">
        <v>0.2</v>
      </c>
      <c r="H681" t="n">
        <v>0</v>
      </c>
      <c r="I681" t="n">
        <v>0</v>
      </c>
      <c r="J681" t="n">
        <v>0</v>
      </c>
      <c r="K681" t="n">
        <v>0</v>
      </c>
      <c r="L681" t="n">
        <v>0</v>
      </c>
      <c r="M681" t="n">
        <v>0</v>
      </c>
      <c r="N681" t="n">
        <v>0</v>
      </c>
      <c r="O681" t="n">
        <v>0</v>
      </c>
      <c r="P681" t="n">
        <v>0</v>
      </c>
      <c r="Q681" t="n">
        <v>0</v>
      </c>
      <c r="R681" s="2" t="inlineStr"/>
    </row>
    <row r="682" ht="15" customHeight="1">
      <c r="A682" t="inlineStr">
        <is>
          <t>A 8826-2023</t>
        </is>
      </c>
      <c r="B682" s="1" t="n">
        <v>44978</v>
      </c>
      <c r="C682" s="1" t="n">
        <v>45829</v>
      </c>
      <c r="D682" t="inlineStr">
        <is>
          <t>UPPSALA LÄN</t>
        </is>
      </c>
      <c r="E682" t="inlineStr">
        <is>
          <t>ÖSTHAMMAR</t>
        </is>
      </c>
      <c r="F682" t="inlineStr">
        <is>
          <t>Bergvik skog öst AB</t>
        </is>
      </c>
      <c r="G682" t="n">
        <v>4.3</v>
      </c>
      <c r="H682" t="n">
        <v>0</v>
      </c>
      <c r="I682" t="n">
        <v>0</v>
      </c>
      <c r="J682" t="n">
        <v>0</v>
      </c>
      <c r="K682" t="n">
        <v>0</v>
      </c>
      <c r="L682" t="n">
        <v>0</v>
      </c>
      <c r="M682" t="n">
        <v>0</v>
      </c>
      <c r="N682" t="n">
        <v>0</v>
      </c>
      <c r="O682" t="n">
        <v>0</v>
      </c>
      <c r="P682" t="n">
        <v>0</v>
      </c>
      <c r="Q682" t="n">
        <v>0</v>
      </c>
      <c r="R682" s="2" t="inlineStr"/>
    </row>
    <row r="683" ht="15" customHeight="1">
      <c r="A683" t="inlineStr">
        <is>
          <t>A 8830-2023</t>
        </is>
      </c>
      <c r="B683" s="1" t="n">
        <v>44978</v>
      </c>
      <c r="C683" s="1" t="n">
        <v>45829</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9052-2023</t>
        </is>
      </c>
      <c r="B684" s="1" t="n">
        <v>44979</v>
      </c>
      <c r="C684" s="1" t="n">
        <v>45829</v>
      </c>
      <c r="D684" t="inlineStr">
        <is>
          <t>UPPSALA LÄN</t>
        </is>
      </c>
      <c r="E684" t="inlineStr">
        <is>
          <t>ÖSTHAMMAR</t>
        </is>
      </c>
      <c r="F684" t="inlineStr">
        <is>
          <t>Kyrkan</t>
        </is>
      </c>
      <c r="G684" t="n">
        <v>0.2</v>
      </c>
      <c r="H684" t="n">
        <v>0</v>
      </c>
      <c r="I684" t="n">
        <v>0</v>
      </c>
      <c r="J684" t="n">
        <v>0</v>
      </c>
      <c r="K684" t="n">
        <v>0</v>
      </c>
      <c r="L684" t="n">
        <v>0</v>
      </c>
      <c r="M684" t="n">
        <v>0</v>
      </c>
      <c r="N684" t="n">
        <v>0</v>
      </c>
      <c r="O684" t="n">
        <v>0</v>
      </c>
      <c r="P684" t="n">
        <v>0</v>
      </c>
      <c r="Q684" t="n">
        <v>0</v>
      </c>
      <c r="R684" s="2" t="inlineStr"/>
    </row>
    <row r="685" ht="15" customHeight="1">
      <c r="A685" t="inlineStr">
        <is>
          <t>A 9543-2023</t>
        </is>
      </c>
      <c r="B685" s="1" t="n">
        <v>44981</v>
      </c>
      <c r="C685" s="1" t="n">
        <v>45829</v>
      </c>
      <c r="D685" t="inlineStr">
        <is>
          <t>UPPSALA LÄN</t>
        </is>
      </c>
      <c r="E685" t="inlineStr">
        <is>
          <t>ÖSTHAMMAR</t>
        </is>
      </c>
      <c r="F685" t="inlineStr">
        <is>
          <t>Bergvik skog öst AB</t>
        </is>
      </c>
      <c r="G685" t="n">
        <v>5.9</v>
      </c>
      <c r="H685" t="n">
        <v>0</v>
      </c>
      <c r="I685" t="n">
        <v>0</v>
      </c>
      <c r="J685" t="n">
        <v>0</v>
      </c>
      <c r="K685" t="n">
        <v>0</v>
      </c>
      <c r="L685" t="n">
        <v>0</v>
      </c>
      <c r="M685" t="n">
        <v>0</v>
      </c>
      <c r="N685" t="n">
        <v>0</v>
      </c>
      <c r="O685" t="n">
        <v>0</v>
      </c>
      <c r="P685" t="n">
        <v>0</v>
      </c>
      <c r="Q685" t="n">
        <v>0</v>
      </c>
      <c r="R685" s="2" t="inlineStr"/>
    </row>
    <row r="686" ht="15" customHeight="1">
      <c r="A686" t="inlineStr">
        <is>
          <t>A 9542-2023</t>
        </is>
      </c>
      <c r="B686" s="1" t="n">
        <v>44981</v>
      </c>
      <c r="C686" s="1" t="n">
        <v>45829</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10449-2023</t>
        </is>
      </c>
      <c r="B687" s="1" t="n">
        <v>44987</v>
      </c>
      <c r="C687" s="1" t="n">
        <v>45829</v>
      </c>
      <c r="D687" t="inlineStr">
        <is>
          <t>UPPSALA LÄN</t>
        </is>
      </c>
      <c r="E687" t="inlineStr">
        <is>
          <t>ÖSTHAMMAR</t>
        </is>
      </c>
      <c r="G687" t="n">
        <v>3.1</v>
      </c>
      <c r="H687" t="n">
        <v>0</v>
      </c>
      <c r="I687" t="n">
        <v>0</v>
      </c>
      <c r="J687" t="n">
        <v>0</v>
      </c>
      <c r="K687" t="n">
        <v>0</v>
      </c>
      <c r="L687" t="n">
        <v>0</v>
      </c>
      <c r="M687" t="n">
        <v>0</v>
      </c>
      <c r="N687" t="n">
        <v>0</v>
      </c>
      <c r="O687" t="n">
        <v>0</v>
      </c>
      <c r="P687" t="n">
        <v>0</v>
      </c>
      <c r="Q687" t="n">
        <v>0</v>
      </c>
      <c r="R687" s="2" t="inlineStr"/>
    </row>
    <row r="688" ht="15" customHeight="1">
      <c r="A688" t="inlineStr">
        <is>
          <t>A 10982-2023</t>
        </is>
      </c>
      <c r="B688" s="1" t="n">
        <v>44991</v>
      </c>
      <c r="C688" s="1" t="n">
        <v>45829</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11008-2023</t>
        </is>
      </c>
      <c r="B689" s="1" t="n">
        <v>44991</v>
      </c>
      <c r="C689" s="1" t="n">
        <v>45829</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11015-2023</t>
        </is>
      </c>
      <c r="B690" s="1" t="n">
        <v>44991</v>
      </c>
      <c r="C690" s="1" t="n">
        <v>45829</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11036-2023</t>
        </is>
      </c>
      <c r="B691" s="1" t="n">
        <v>44991</v>
      </c>
      <c r="C691" s="1" t="n">
        <v>45829</v>
      </c>
      <c r="D691" t="inlineStr">
        <is>
          <t>UPPSALA LÄN</t>
        </is>
      </c>
      <c r="E691" t="inlineStr">
        <is>
          <t>ÖSTHAMMAR</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11009-2023</t>
        </is>
      </c>
      <c r="B692" s="1" t="n">
        <v>44991</v>
      </c>
      <c r="C692" s="1" t="n">
        <v>45829</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11033-2023</t>
        </is>
      </c>
      <c r="B693" s="1" t="n">
        <v>44991</v>
      </c>
      <c r="C693" s="1" t="n">
        <v>45829</v>
      </c>
      <c r="D693" t="inlineStr">
        <is>
          <t>UPPSALA LÄN</t>
        </is>
      </c>
      <c r="E693" t="inlineStr">
        <is>
          <t>ÖSTHAMMAR</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11282-2023</t>
        </is>
      </c>
      <c r="B694" s="1" t="n">
        <v>44992</v>
      </c>
      <c r="C694" s="1" t="n">
        <v>45829</v>
      </c>
      <c r="D694" t="inlineStr">
        <is>
          <t>UPPSALA LÄN</t>
        </is>
      </c>
      <c r="E694" t="inlineStr">
        <is>
          <t>ÖSTHAMMAR</t>
        </is>
      </c>
      <c r="F694" t="inlineStr">
        <is>
          <t>Bergvik skog öst AB</t>
        </is>
      </c>
      <c r="G694" t="n">
        <v>12.3</v>
      </c>
      <c r="H694" t="n">
        <v>0</v>
      </c>
      <c r="I694" t="n">
        <v>0</v>
      </c>
      <c r="J694" t="n">
        <v>0</v>
      </c>
      <c r="K694" t="n">
        <v>0</v>
      </c>
      <c r="L694" t="n">
        <v>0</v>
      </c>
      <c r="M694" t="n">
        <v>0</v>
      </c>
      <c r="N694" t="n">
        <v>0</v>
      </c>
      <c r="O694" t="n">
        <v>0</v>
      </c>
      <c r="P694" t="n">
        <v>0</v>
      </c>
      <c r="Q694" t="n">
        <v>0</v>
      </c>
      <c r="R694" s="2" t="inlineStr"/>
    </row>
    <row r="695" ht="15" customHeight="1">
      <c r="A695" t="inlineStr">
        <is>
          <t>A 11281-2023</t>
        </is>
      </c>
      <c r="B695" s="1" t="n">
        <v>44992</v>
      </c>
      <c r="C695" s="1" t="n">
        <v>45829</v>
      </c>
      <c r="D695" t="inlineStr">
        <is>
          <t>UPPSALA LÄN</t>
        </is>
      </c>
      <c r="E695" t="inlineStr">
        <is>
          <t>ÖSTHAMMAR</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11469-2023</t>
        </is>
      </c>
      <c r="B696" s="1" t="n">
        <v>44993</v>
      </c>
      <c r="C696" s="1" t="n">
        <v>45829</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12190-2023</t>
        </is>
      </c>
      <c r="B697" s="1" t="n">
        <v>44995</v>
      </c>
      <c r="C697" s="1" t="n">
        <v>45829</v>
      </c>
      <c r="D697" t="inlineStr">
        <is>
          <t>UPPSALA LÄN</t>
        </is>
      </c>
      <c r="E697" t="inlineStr">
        <is>
          <t>ÖSTHAMMAR</t>
        </is>
      </c>
      <c r="G697" t="n">
        <v>1.6</v>
      </c>
      <c r="H697" t="n">
        <v>0</v>
      </c>
      <c r="I697" t="n">
        <v>0</v>
      </c>
      <c r="J697" t="n">
        <v>0</v>
      </c>
      <c r="K697" t="n">
        <v>0</v>
      </c>
      <c r="L697" t="n">
        <v>0</v>
      </c>
      <c r="M697" t="n">
        <v>0</v>
      </c>
      <c r="N697" t="n">
        <v>0</v>
      </c>
      <c r="O697" t="n">
        <v>0</v>
      </c>
      <c r="P697" t="n">
        <v>0</v>
      </c>
      <c r="Q697" t="n">
        <v>0</v>
      </c>
      <c r="R697" s="2" t="inlineStr"/>
    </row>
    <row r="698" ht="15" customHeight="1">
      <c r="A698" t="inlineStr">
        <is>
          <t>A 12186-2023</t>
        </is>
      </c>
      <c r="B698" s="1" t="n">
        <v>44995</v>
      </c>
      <c r="C698" s="1" t="n">
        <v>45829</v>
      </c>
      <c r="D698" t="inlineStr">
        <is>
          <t>UPPSALA LÄN</t>
        </is>
      </c>
      <c r="E698" t="inlineStr">
        <is>
          <t>ÖSTHAMMAR</t>
        </is>
      </c>
      <c r="G698" t="n">
        <v>5.7</v>
      </c>
      <c r="H698" t="n">
        <v>0</v>
      </c>
      <c r="I698" t="n">
        <v>0</v>
      </c>
      <c r="J698" t="n">
        <v>0</v>
      </c>
      <c r="K698" t="n">
        <v>0</v>
      </c>
      <c r="L698" t="n">
        <v>0</v>
      </c>
      <c r="M698" t="n">
        <v>0</v>
      </c>
      <c r="N698" t="n">
        <v>0</v>
      </c>
      <c r="O698" t="n">
        <v>0</v>
      </c>
      <c r="P698" t="n">
        <v>0</v>
      </c>
      <c r="Q698" t="n">
        <v>0</v>
      </c>
      <c r="R698" s="2" t="inlineStr"/>
    </row>
    <row r="699" ht="15" customHeight="1">
      <c r="A699" t="inlineStr">
        <is>
          <t>A 12262-2023</t>
        </is>
      </c>
      <c r="B699" s="1" t="n">
        <v>44998</v>
      </c>
      <c r="C699" s="1" t="n">
        <v>45829</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12215-2023</t>
        </is>
      </c>
      <c r="B700" s="1" t="n">
        <v>44998</v>
      </c>
      <c r="C700" s="1" t="n">
        <v>45829</v>
      </c>
      <c r="D700" t="inlineStr">
        <is>
          <t>UPPSALA LÄN</t>
        </is>
      </c>
      <c r="E700" t="inlineStr">
        <is>
          <t>ÖSTHAMMAR</t>
        </is>
      </c>
      <c r="G700" t="n">
        <v>5.1</v>
      </c>
      <c r="H700" t="n">
        <v>0</v>
      </c>
      <c r="I700" t="n">
        <v>0</v>
      </c>
      <c r="J700" t="n">
        <v>0</v>
      </c>
      <c r="K700" t="n">
        <v>0</v>
      </c>
      <c r="L700" t="n">
        <v>0</v>
      </c>
      <c r="M700" t="n">
        <v>0</v>
      </c>
      <c r="N700" t="n">
        <v>0</v>
      </c>
      <c r="O700" t="n">
        <v>0</v>
      </c>
      <c r="P700" t="n">
        <v>0</v>
      </c>
      <c r="Q700" t="n">
        <v>0</v>
      </c>
      <c r="R700" s="2" t="inlineStr"/>
    </row>
    <row r="701" ht="15" customHeight="1">
      <c r="A701" t="inlineStr">
        <is>
          <t>A 12497-2023</t>
        </is>
      </c>
      <c r="B701" s="1" t="n">
        <v>44999</v>
      </c>
      <c r="C701" s="1" t="n">
        <v>45829</v>
      </c>
      <c r="D701" t="inlineStr">
        <is>
          <t>UPPSALA LÄN</t>
        </is>
      </c>
      <c r="E701" t="inlineStr">
        <is>
          <t>ÖSTHAMMAR</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13336-2023</t>
        </is>
      </c>
      <c r="B702" s="1" t="n">
        <v>45005</v>
      </c>
      <c r="C702" s="1" t="n">
        <v>45829</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13352-2023</t>
        </is>
      </c>
      <c r="B703" s="1" t="n">
        <v>45005</v>
      </c>
      <c r="C703" s="1" t="n">
        <v>45829</v>
      </c>
      <c r="D703" t="inlineStr">
        <is>
          <t>UPPSALA LÄN</t>
        </is>
      </c>
      <c r="E703" t="inlineStr">
        <is>
          <t>ÖSTHAMMAR</t>
        </is>
      </c>
      <c r="G703" t="n">
        <v>1.8</v>
      </c>
      <c r="H703" t="n">
        <v>0</v>
      </c>
      <c r="I703" t="n">
        <v>0</v>
      </c>
      <c r="J703" t="n">
        <v>0</v>
      </c>
      <c r="K703" t="n">
        <v>0</v>
      </c>
      <c r="L703" t="n">
        <v>0</v>
      </c>
      <c r="M703" t="n">
        <v>0</v>
      </c>
      <c r="N703" t="n">
        <v>0</v>
      </c>
      <c r="O703" t="n">
        <v>0</v>
      </c>
      <c r="P703" t="n">
        <v>0</v>
      </c>
      <c r="Q703" t="n">
        <v>0</v>
      </c>
      <c r="R703" s="2" t="inlineStr"/>
    </row>
    <row r="704" ht="15" customHeight="1">
      <c r="A704" t="inlineStr">
        <is>
          <t>A 13643-2023</t>
        </is>
      </c>
      <c r="B704" s="1" t="n">
        <v>45006</v>
      </c>
      <c r="C704" s="1" t="n">
        <v>45829</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13580-2023</t>
        </is>
      </c>
      <c r="B705" s="1" t="n">
        <v>45006</v>
      </c>
      <c r="C705" s="1" t="n">
        <v>45829</v>
      </c>
      <c r="D705" t="inlineStr">
        <is>
          <t>UPPSALA LÄN</t>
        </is>
      </c>
      <c r="E705" t="inlineStr">
        <is>
          <t>ÖSTHAMMAR</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13584-2023</t>
        </is>
      </c>
      <c r="B706" s="1" t="n">
        <v>45006</v>
      </c>
      <c r="C706" s="1" t="n">
        <v>45829</v>
      </c>
      <c r="D706" t="inlineStr">
        <is>
          <t>UPPSALA LÄN</t>
        </is>
      </c>
      <c r="E706" t="inlineStr">
        <is>
          <t>ÖSTHAMMAR</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13738-2023</t>
        </is>
      </c>
      <c r="B707" s="1" t="n">
        <v>45007</v>
      </c>
      <c r="C707" s="1" t="n">
        <v>45829</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13767-2023</t>
        </is>
      </c>
      <c r="B708" s="1" t="n">
        <v>45007</v>
      </c>
      <c r="C708" s="1" t="n">
        <v>45829</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13755-2023</t>
        </is>
      </c>
      <c r="B709" s="1" t="n">
        <v>45007</v>
      </c>
      <c r="C709" s="1" t="n">
        <v>45829</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13771-2023</t>
        </is>
      </c>
      <c r="B710" s="1" t="n">
        <v>45007</v>
      </c>
      <c r="C710" s="1" t="n">
        <v>45829</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13736-2023</t>
        </is>
      </c>
      <c r="B711" s="1" t="n">
        <v>45007</v>
      </c>
      <c r="C711" s="1" t="n">
        <v>45829</v>
      </c>
      <c r="D711" t="inlineStr">
        <is>
          <t>UPPSALA LÄN</t>
        </is>
      </c>
      <c r="E711" t="inlineStr">
        <is>
          <t>ÖSTHAMMAR</t>
        </is>
      </c>
      <c r="G711" t="n">
        <v>3.7</v>
      </c>
      <c r="H711" t="n">
        <v>0</v>
      </c>
      <c r="I711" t="n">
        <v>0</v>
      </c>
      <c r="J711" t="n">
        <v>0</v>
      </c>
      <c r="K711" t="n">
        <v>0</v>
      </c>
      <c r="L711" t="n">
        <v>0</v>
      </c>
      <c r="M711" t="n">
        <v>0</v>
      </c>
      <c r="N711" t="n">
        <v>0</v>
      </c>
      <c r="O711" t="n">
        <v>0</v>
      </c>
      <c r="P711" t="n">
        <v>0</v>
      </c>
      <c r="Q711" t="n">
        <v>0</v>
      </c>
      <c r="R711" s="2" t="inlineStr"/>
    </row>
    <row r="712" ht="15" customHeight="1">
      <c r="A712" t="inlineStr">
        <is>
          <t>A 14505-2023</t>
        </is>
      </c>
      <c r="B712" s="1" t="n">
        <v>45012</v>
      </c>
      <c r="C712" s="1" t="n">
        <v>45829</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14510-2023</t>
        </is>
      </c>
      <c r="B713" s="1" t="n">
        <v>45012</v>
      </c>
      <c r="C713" s="1" t="n">
        <v>45829</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14595-2023</t>
        </is>
      </c>
      <c r="B714" s="1" t="n">
        <v>45013</v>
      </c>
      <c r="C714" s="1" t="n">
        <v>45829</v>
      </c>
      <c r="D714" t="inlineStr">
        <is>
          <t>UPPSALA LÄN</t>
        </is>
      </c>
      <c r="E714" t="inlineStr">
        <is>
          <t>ÖSTHAMMAR</t>
        </is>
      </c>
      <c r="G714" t="n">
        <v>5</v>
      </c>
      <c r="H714" t="n">
        <v>0</v>
      </c>
      <c r="I714" t="n">
        <v>0</v>
      </c>
      <c r="J714" t="n">
        <v>0</v>
      </c>
      <c r="K714" t="n">
        <v>0</v>
      </c>
      <c r="L714" t="n">
        <v>0</v>
      </c>
      <c r="M714" t="n">
        <v>0</v>
      </c>
      <c r="N714" t="n">
        <v>0</v>
      </c>
      <c r="O714" t="n">
        <v>0</v>
      </c>
      <c r="P714" t="n">
        <v>0</v>
      </c>
      <c r="Q714" t="n">
        <v>0</v>
      </c>
      <c r="R714" s="2" t="inlineStr"/>
    </row>
    <row r="715" ht="15" customHeight="1">
      <c r="A715" t="inlineStr">
        <is>
          <t>A 14822-2023</t>
        </is>
      </c>
      <c r="B715" s="1" t="n">
        <v>45014</v>
      </c>
      <c r="C715" s="1" t="n">
        <v>45829</v>
      </c>
      <c r="D715" t="inlineStr">
        <is>
          <t>UPPSALA LÄN</t>
        </is>
      </c>
      <c r="E715" t="inlineStr">
        <is>
          <t>ÖSTHAMMAR</t>
        </is>
      </c>
      <c r="G715" t="n">
        <v>6.2</v>
      </c>
      <c r="H715" t="n">
        <v>0</v>
      </c>
      <c r="I715" t="n">
        <v>0</v>
      </c>
      <c r="J715" t="n">
        <v>0</v>
      </c>
      <c r="K715" t="n">
        <v>0</v>
      </c>
      <c r="L715" t="n">
        <v>0</v>
      </c>
      <c r="M715" t="n">
        <v>0</v>
      </c>
      <c r="N715" t="n">
        <v>0</v>
      </c>
      <c r="O715" t="n">
        <v>0</v>
      </c>
      <c r="P715" t="n">
        <v>0</v>
      </c>
      <c r="Q715" t="n">
        <v>0</v>
      </c>
      <c r="R715" s="2" t="inlineStr"/>
    </row>
    <row r="716" ht="15" customHeight="1">
      <c r="A716" t="inlineStr">
        <is>
          <t>A 14835-2023</t>
        </is>
      </c>
      <c r="B716" s="1" t="n">
        <v>45014</v>
      </c>
      <c r="C716" s="1" t="n">
        <v>45829</v>
      </c>
      <c r="D716" t="inlineStr">
        <is>
          <t>UPPSALA LÄN</t>
        </is>
      </c>
      <c r="E716" t="inlineStr">
        <is>
          <t>ÖSTHAMMAR</t>
        </is>
      </c>
      <c r="G716" t="n">
        <v>9.5</v>
      </c>
      <c r="H716" t="n">
        <v>0</v>
      </c>
      <c r="I716" t="n">
        <v>0</v>
      </c>
      <c r="J716" t="n">
        <v>0</v>
      </c>
      <c r="K716" t="n">
        <v>0</v>
      </c>
      <c r="L716" t="n">
        <v>0</v>
      </c>
      <c r="M716" t="n">
        <v>0</v>
      </c>
      <c r="N716" t="n">
        <v>0</v>
      </c>
      <c r="O716" t="n">
        <v>0</v>
      </c>
      <c r="P716" t="n">
        <v>0</v>
      </c>
      <c r="Q716" t="n">
        <v>0</v>
      </c>
      <c r="R716" s="2" t="inlineStr"/>
    </row>
    <row r="717" ht="15" customHeight="1">
      <c r="A717" t="inlineStr">
        <is>
          <t>A 14889-2023</t>
        </is>
      </c>
      <c r="B717" s="1" t="n">
        <v>45015</v>
      </c>
      <c r="C717" s="1" t="n">
        <v>45829</v>
      </c>
      <c r="D717" t="inlineStr">
        <is>
          <t>UPPSALA LÄN</t>
        </is>
      </c>
      <c r="E717" t="inlineStr">
        <is>
          <t>ÖSTHAMMAR</t>
        </is>
      </c>
      <c r="F717" t="inlineStr">
        <is>
          <t>Bergvik skog öst AB</t>
        </is>
      </c>
      <c r="G717" t="n">
        <v>7.6</v>
      </c>
      <c r="H717" t="n">
        <v>0</v>
      </c>
      <c r="I717" t="n">
        <v>0</v>
      </c>
      <c r="J717" t="n">
        <v>0</v>
      </c>
      <c r="K717" t="n">
        <v>0</v>
      </c>
      <c r="L717" t="n">
        <v>0</v>
      </c>
      <c r="M717" t="n">
        <v>0</v>
      </c>
      <c r="N717" t="n">
        <v>0</v>
      </c>
      <c r="O717" t="n">
        <v>0</v>
      </c>
      <c r="P717" t="n">
        <v>0</v>
      </c>
      <c r="Q717" t="n">
        <v>0</v>
      </c>
      <c r="R717" s="2" t="inlineStr"/>
    </row>
    <row r="718" ht="15" customHeight="1">
      <c r="A718" t="inlineStr">
        <is>
          <t>A 14888-2023</t>
        </is>
      </c>
      <c r="B718" s="1" t="n">
        <v>45015</v>
      </c>
      <c r="C718" s="1" t="n">
        <v>45829</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14976-2023</t>
        </is>
      </c>
      <c r="B719" s="1" t="n">
        <v>45015</v>
      </c>
      <c r="C719" s="1" t="n">
        <v>45829</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15554-2023</t>
        </is>
      </c>
      <c r="B720" s="1" t="n">
        <v>45019</v>
      </c>
      <c r="C720" s="1" t="n">
        <v>45829</v>
      </c>
      <c r="D720" t="inlineStr">
        <is>
          <t>UPPSALA LÄN</t>
        </is>
      </c>
      <c r="E720" t="inlineStr">
        <is>
          <t>ÖSTHAMMAR</t>
        </is>
      </c>
      <c r="G720" t="n">
        <v>5.3</v>
      </c>
      <c r="H720" t="n">
        <v>0</v>
      </c>
      <c r="I720" t="n">
        <v>0</v>
      </c>
      <c r="J720" t="n">
        <v>0</v>
      </c>
      <c r="K720" t="n">
        <v>0</v>
      </c>
      <c r="L720" t="n">
        <v>0</v>
      </c>
      <c r="M720" t="n">
        <v>0</v>
      </c>
      <c r="N720" t="n">
        <v>0</v>
      </c>
      <c r="O720" t="n">
        <v>0</v>
      </c>
      <c r="P720" t="n">
        <v>0</v>
      </c>
      <c r="Q720" t="n">
        <v>0</v>
      </c>
      <c r="R720" s="2" t="inlineStr"/>
    </row>
    <row r="721" ht="15" customHeight="1">
      <c r="A721" t="inlineStr">
        <is>
          <t>A 16112-2023</t>
        </is>
      </c>
      <c r="B721" s="1" t="n">
        <v>45027</v>
      </c>
      <c r="C721" s="1" t="n">
        <v>45829</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16345-2023</t>
        </is>
      </c>
      <c r="B722" s="1" t="n">
        <v>45028</v>
      </c>
      <c r="C722" s="1" t="n">
        <v>45829</v>
      </c>
      <c r="D722" t="inlineStr">
        <is>
          <t>UPPSALA LÄN</t>
        </is>
      </c>
      <c r="E722" t="inlineStr">
        <is>
          <t>ÖSTHAMMAR</t>
        </is>
      </c>
      <c r="F722" t="inlineStr">
        <is>
          <t>Övriga Aktiebolag</t>
        </is>
      </c>
      <c r="G722" t="n">
        <v>10.1</v>
      </c>
      <c r="H722" t="n">
        <v>0</v>
      </c>
      <c r="I722" t="n">
        <v>0</v>
      </c>
      <c r="J722" t="n">
        <v>0</v>
      </c>
      <c r="K722" t="n">
        <v>0</v>
      </c>
      <c r="L722" t="n">
        <v>0</v>
      </c>
      <c r="M722" t="n">
        <v>0</v>
      </c>
      <c r="N722" t="n">
        <v>0</v>
      </c>
      <c r="O722" t="n">
        <v>0</v>
      </c>
      <c r="P722" t="n">
        <v>0</v>
      </c>
      <c r="Q722" t="n">
        <v>0</v>
      </c>
      <c r="R722" s="2" t="inlineStr"/>
    </row>
    <row r="723" ht="15" customHeight="1">
      <c r="A723" t="inlineStr">
        <is>
          <t>A 16701-2023</t>
        </is>
      </c>
      <c r="B723" s="1" t="n">
        <v>45030</v>
      </c>
      <c r="C723" s="1" t="n">
        <v>45829</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16954-2023</t>
        </is>
      </c>
      <c r="B724" s="1" t="n">
        <v>45033</v>
      </c>
      <c r="C724" s="1" t="n">
        <v>45829</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16948-2023</t>
        </is>
      </c>
      <c r="B725" s="1" t="n">
        <v>45033</v>
      </c>
      <c r="C725" s="1" t="n">
        <v>45829</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16966-2023</t>
        </is>
      </c>
      <c r="B726" s="1" t="n">
        <v>45033</v>
      </c>
      <c r="C726" s="1" t="n">
        <v>45829</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17028-2023</t>
        </is>
      </c>
      <c r="B727" s="1" t="n">
        <v>45034</v>
      </c>
      <c r="C727" s="1" t="n">
        <v>45829</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17631-2023</t>
        </is>
      </c>
      <c r="B728" s="1" t="n">
        <v>45036</v>
      </c>
      <c r="C728" s="1" t="n">
        <v>45829</v>
      </c>
      <c r="D728" t="inlineStr">
        <is>
          <t>UPPSALA LÄN</t>
        </is>
      </c>
      <c r="E728" t="inlineStr">
        <is>
          <t>ÖSTHAMMAR</t>
        </is>
      </c>
      <c r="G728" t="n">
        <v>5.1</v>
      </c>
      <c r="H728" t="n">
        <v>0</v>
      </c>
      <c r="I728" t="n">
        <v>0</v>
      </c>
      <c r="J728" t="n">
        <v>0</v>
      </c>
      <c r="K728" t="n">
        <v>0</v>
      </c>
      <c r="L728" t="n">
        <v>0</v>
      </c>
      <c r="M728" t="n">
        <v>0</v>
      </c>
      <c r="N728" t="n">
        <v>0</v>
      </c>
      <c r="O728" t="n">
        <v>0</v>
      </c>
      <c r="P728" t="n">
        <v>0</v>
      </c>
      <c r="Q728" t="n">
        <v>0</v>
      </c>
      <c r="R728" s="2" t="inlineStr"/>
    </row>
    <row r="729" ht="15" customHeight="1">
      <c r="A729" t="inlineStr">
        <is>
          <t>A 17850-2023</t>
        </is>
      </c>
      <c r="B729" s="1" t="n">
        <v>45037</v>
      </c>
      <c r="C729" s="1" t="n">
        <v>45829</v>
      </c>
      <c r="D729" t="inlineStr">
        <is>
          <t>UPPSALA LÄN</t>
        </is>
      </c>
      <c r="E729" t="inlineStr">
        <is>
          <t>ÖSTHAMMAR</t>
        </is>
      </c>
      <c r="G729" t="n">
        <v>3.2</v>
      </c>
      <c r="H729" t="n">
        <v>0</v>
      </c>
      <c r="I729" t="n">
        <v>0</v>
      </c>
      <c r="J729" t="n">
        <v>0</v>
      </c>
      <c r="K729" t="n">
        <v>0</v>
      </c>
      <c r="L729" t="n">
        <v>0</v>
      </c>
      <c r="M729" t="n">
        <v>0</v>
      </c>
      <c r="N729" t="n">
        <v>0</v>
      </c>
      <c r="O729" t="n">
        <v>0</v>
      </c>
      <c r="P729" t="n">
        <v>0</v>
      </c>
      <c r="Q729" t="n">
        <v>0</v>
      </c>
      <c r="R729" s="2" t="inlineStr"/>
    </row>
    <row r="730" ht="15" customHeight="1">
      <c r="A730" t="inlineStr">
        <is>
          <t>A 17851-2023</t>
        </is>
      </c>
      <c r="B730" s="1" t="n">
        <v>45037</v>
      </c>
      <c r="C730" s="1" t="n">
        <v>45829</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17854-2023</t>
        </is>
      </c>
      <c r="B731" s="1" t="n">
        <v>45037</v>
      </c>
      <c r="C731" s="1" t="n">
        <v>45829</v>
      </c>
      <c r="D731" t="inlineStr">
        <is>
          <t>UPPSALA LÄN</t>
        </is>
      </c>
      <c r="E731" t="inlineStr">
        <is>
          <t>ÖSTHAMMAR</t>
        </is>
      </c>
      <c r="G731" t="n">
        <v>5.6</v>
      </c>
      <c r="H731" t="n">
        <v>0</v>
      </c>
      <c r="I731" t="n">
        <v>0</v>
      </c>
      <c r="J731" t="n">
        <v>0</v>
      </c>
      <c r="K731" t="n">
        <v>0</v>
      </c>
      <c r="L731" t="n">
        <v>0</v>
      </c>
      <c r="M731" t="n">
        <v>0</v>
      </c>
      <c r="N731" t="n">
        <v>0</v>
      </c>
      <c r="O731" t="n">
        <v>0</v>
      </c>
      <c r="P731" t="n">
        <v>0</v>
      </c>
      <c r="Q731" t="n">
        <v>0</v>
      </c>
      <c r="R731" s="2" t="inlineStr"/>
    </row>
    <row r="732" ht="15" customHeight="1">
      <c r="A732" t="inlineStr">
        <is>
          <t>A 18091-2023</t>
        </is>
      </c>
      <c r="B732" s="1" t="n">
        <v>45040</v>
      </c>
      <c r="C732" s="1" t="n">
        <v>45829</v>
      </c>
      <c r="D732" t="inlineStr">
        <is>
          <t>UPPSALA LÄN</t>
        </is>
      </c>
      <c r="E732" t="inlineStr">
        <is>
          <t>ÖSTHAMMAR</t>
        </is>
      </c>
      <c r="G732" t="n">
        <v>2.4</v>
      </c>
      <c r="H732" t="n">
        <v>0</v>
      </c>
      <c r="I732" t="n">
        <v>0</v>
      </c>
      <c r="J732" t="n">
        <v>0</v>
      </c>
      <c r="K732" t="n">
        <v>0</v>
      </c>
      <c r="L732" t="n">
        <v>0</v>
      </c>
      <c r="M732" t="n">
        <v>0</v>
      </c>
      <c r="N732" t="n">
        <v>0</v>
      </c>
      <c r="O732" t="n">
        <v>0</v>
      </c>
      <c r="P732" t="n">
        <v>0</v>
      </c>
      <c r="Q732" t="n">
        <v>0</v>
      </c>
      <c r="R732" s="2" t="inlineStr"/>
    </row>
    <row r="733" ht="15" customHeight="1">
      <c r="A733" t="inlineStr">
        <is>
          <t>A 17970-2023</t>
        </is>
      </c>
      <c r="B733" s="1" t="n">
        <v>45040</v>
      </c>
      <c r="C733" s="1" t="n">
        <v>45829</v>
      </c>
      <c r="D733" t="inlineStr">
        <is>
          <t>UPPSALA LÄN</t>
        </is>
      </c>
      <c r="E733" t="inlineStr">
        <is>
          <t>ÖSTHAMMAR</t>
        </is>
      </c>
      <c r="G733" t="n">
        <v>3.3</v>
      </c>
      <c r="H733" t="n">
        <v>0</v>
      </c>
      <c r="I733" t="n">
        <v>0</v>
      </c>
      <c r="J733" t="n">
        <v>0</v>
      </c>
      <c r="K733" t="n">
        <v>0</v>
      </c>
      <c r="L733" t="n">
        <v>0</v>
      </c>
      <c r="M733" t="n">
        <v>0</v>
      </c>
      <c r="N733" t="n">
        <v>0</v>
      </c>
      <c r="O733" t="n">
        <v>0</v>
      </c>
      <c r="P733" t="n">
        <v>0</v>
      </c>
      <c r="Q733" t="n">
        <v>0</v>
      </c>
      <c r="R733" s="2" t="inlineStr"/>
    </row>
    <row r="734" ht="15" customHeight="1">
      <c r="A734" t="inlineStr">
        <is>
          <t>A 18074-2023</t>
        </is>
      </c>
      <c r="B734" s="1" t="n">
        <v>45040</v>
      </c>
      <c r="C734" s="1" t="n">
        <v>45829</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18113-2023</t>
        </is>
      </c>
      <c r="B735" s="1" t="n">
        <v>45040</v>
      </c>
      <c r="C735" s="1" t="n">
        <v>45829</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17969-2023</t>
        </is>
      </c>
      <c r="B736" s="1" t="n">
        <v>45040</v>
      </c>
      <c r="C736" s="1" t="n">
        <v>45829</v>
      </c>
      <c r="D736" t="inlineStr">
        <is>
          <t>UPPSALA LÄN</t>
        </is>
      </c>
      <c r="E736" t="inlineStr">
        <is>
          <t>ÖSTHAMMAR</t>
        </is>
      </c>
      <c r="G736" t="n">
        <v>5.4</v>
      </c>
      <c r="H736" t="n">
        <v>0</v>
      </c>
      <c r="I736" t="n">
        <v>0</v>
      </c>
      <c r="J736" t="n">
        <v>0</v>
      </c>
      <c r="K736" t="n">
        <v>0</v>
      </c>
      <c r="L736" t="n">
        <v>0</v>
      </c>
      <c r="M736" t="n">
        <v>0</v>
      </c>
      <c r="N736" t="n">
        <v>0</v>
      </c>
      <c r="O736" t="n">
        <v>0</v>
      </c>
      <c r="P736" t="n">
        <v>0</v>
      </c>
      <c r="Q736" t="n">
        <v>0</v>
      </c>
      <c r="R736" s="2" t="inlineStr"/>
    </row>
    <row r="737" ht="15" customHeight="1">
      <c r="A737" t="inlineStr">
        <is>
          <t>A 18219-2023</t>
        </is>
      </c>
      <c r="B737" s="1" t="n">
        <v>45041</v>
      </c>
      <c r="C737" s="1" t="n">
        <v>45829</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18536-2023</t>
        </is>
      </c>
      <c r="B738" s="1" t="n">
        <v>45042</v>
      </c>
      <c r="C738" s="1" t="n">
        <v>45829</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18386-2023</t>
        </is>
      </c>
      <c r="B739" s="1" t="n">
        <v>45042</v>
      </c>
      <c r="C739" s="1" t="n">
        <v>45829</v>
      </c>
      <c r="D739" t="inlineStr">
        <is>
          <t>UPPSALA LÄN</t>
        </is>
      </c>
      <c r="E739" t="inlineStr">
        <is>
          <t>ÖSTHAMMAR</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18535-2023</t>
        </is>
      </c>
      <c r="B740" s="1" t="n">
        <v>45042</v>
      </c>
      <c r="C740" s="1" t="n">
        <v>45829</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18534-2023</t>
        </is>
      </c>
      <c r="B741" s="1" t="n">
        <v>45042</v>
      </c>
      <c r="C741" s="1" t="n">
        <v>45829</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18538-2023</t>
        </is>
      </c>
      <c r="B742" s="1" t="n">
        <v>45042</v>
      </c>
      <c r="C742" s="1" t="n">
        <v>45829</v>
      </c>
      <c r="D742" t="inlineStr">
        <is>
          <t>UPPSALA LÄN</t>
        </is>
      </c>
      <c r="E742" t="inlineStr">
        <is>
          <t>ÖSTHAMMAR</t>
        </is>
      </c>
      <c r="F742" t="inlineStr">
        <is>
          <t>Bergvik skog öst AB</t>
        </is>
      </c>
      <c r="G742" t="n">
        <v>2.4</v>
      </c>
      <c r="H742" t="n">
        <v>0</v>
      </c>
      <c r="I742" t="n">
        <v>0</v>
      </c>
      <c r="J742" t="n">
        <v>0</v>
      </c>
      <c r="K742" t="n">
        <v>0</v>
      </c>
      <c r="L742" t="n">
        <v>0</v>
      </c>
      <c r="M742" t="n">
        <v>0</v>
      </c>
      <c r="N742" t="n">
        <v>0</v>
      </c>
      <c r="O742" t="n">
        <v>0</v>
      </c>
      <c r="P742" t="n">
        <v>0</v>
      </c>
      <c r="Q742" t="n">
        <v>0</v>
      </c>
      <c r="R742" s="2" t="inlineStr"/>
    </row>
    <row r="743" ht="15" customHeight="1">
      <c r="A743" t="inlineStr">
        <is>
          <t>A 18838-2023</t>
        </is>
      </c>
      <c r="B743" s="1" t="n">
        <v>45044</v>
      </c>
      <c r="C743" s="1" t="n">
        <v>45829</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18839-2023</t>
        </is>
      </c>
      <c r="B744" s="1" t="n">
        <v>45044</v>
      </c>
      <c r="C744" s="1" t="n">
        <v>45829</v>
      </c>
      <c r="D744" t="inlineStr">
        <is>
          <t>UPPSALA LÄN</t>
        </is>
      </c>
      <c r="E744" t="inlineStr">
        <is>
          <t>ÖSTHAMMAR</t>
        </is>
      </c>
      <c r="G744" t="n">
        <v>2.5</v>
      </c>
      <c r="H744" t="n">
        <v>0</v>
      </c>
      <c r="I744" t="n">
        <v>0</v>
      </c>
      <c r="J744" t="n">
        <v>0</v>
      </c>
      <c r="K744" t="n">
        <v>0</v>
      </c>
      <c r="L744" t="n">
        <v>0</v>
      </c>
      <c r="M744" t="n">
        <v>0</v>
      </c>
      <c r="N744" t="n">
        <v>0</v>
      </c>
      <c r="O744" t="n">
        <v>0</v>
      </c>
      <c r="P744" t="n">
        <v>0</v>
      </c>
      <c r="Q744" t="n">
        <v>0</v>
      </c>
      <c r="R744" s="2" t="inlineStr"/>
    </row>
    <row r="745" ht="15" customHeight="1">
      <c r="A745" t="inlineStr">
        <is>
          <t>A 18841-2023</t>
        </is>
      </c>
      <c r="B745" s="1" t="n">
        <v>45044</v>
      </c>
      <c r="C745" s="1" t="n">
        <v>45829</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18945-2023</t>
        </is>
      </c>
      <c r="B746" s="1" t="n">
        <v>45044</v>
      </c>
      <c r="C746" s="1" t="n">
        <v>45829</v>
      </c>
      <c r="D746" t="inlineStr">
        <is>
          <t>UPPSALA LÄN</t>
        </is>
      </c>
      <c r="E746" t="inlineStr">
        <is>
          <t>ÖSTHAMMAR</t>
        </is>
      </c>
      <c r="G746" t="n">
        <v>3.7</v>
      </c>
      <c r="H746" t="n">
        <v>0</v>
      </c>
      <c r="I746" t="n">
        <v>0</v>
      </c>
      <c r="J746" t="n">
        <v>0</v>
      </c>
      <c r="K746" t="n">
        <v>0</v>
      </c>
      <c r="L746" t="n">
        <v>0</v>
      </c>
      <c r="M746" t="n">
        <v>0</v>
      </c>
      <c r="N746" t="n">
        <v>0</v>
      </c>
      <c r="O746" t="n">
        <v>0</v>
      </c>
      <c r="P746" t="n">
        <v>0</v>
      </c>
      <c r="Q746" t="n">
        <v>0</v>
      </c>
      <c r="R746" s="2" t="inlineStr"/>
    </row>
    <row r="747" ht="15" customHeight="1">
      <c r="A747" t="inlineStr">
        <is>
          <t>A 18946-2023</t>
        </is>
      </c>
      <c r="B747" s="1" t="n">
        <v>45044</v>
      </c>
      <c r="C747" s="1" t="n">
        <v>45829</v>
      </c>
      <c r="D747" t="inlineStr">
        <is>
          <t>UPPSALA LÄN</t>
        </is>
      </c>
      <c r="E747" t="inlineStr">
        <is>
          <t>ÖSTHAMMAR</t>
        </is>
      </c>
      <c r="G747" t="n">
        <v>4.9</v>
      </c>
      <c r="H747" t="n">
        <v>0</v>
      </c>
      <c r="I747" t="n">
        <v>0</v>
      </c>
      <c r="J747" t="n">
        <v>0</v>
      </c>
      <c r="K747" t="n">
        <v>0</v>
      </c>
      <c r="L747" t="n">
        <v>0</v>
      </c>
      <c r="M747" t="n">
        <v>0</v>
      </c>
      <c r="N747" t="n">
        <v>0</v>
      </c>
      <c r="O747" t="n">
        <v>0</v>
      </c>
      <c r="P747" t="n">
        <v>0</v>
      </c>
      <c r="Q747" t="n">
        <v>0</v>
      </c>
      <c r="R747" s="2" t="inlineStr"/>
    </row>
    <row r="748" ht="15" customHeight="1">
      <c r="A748" t="inlineStr">
        <is>
          <t>A 19012-2023</t>
        </is>
      </c>
      <c r="B748" s="1" t="n">
        <v>45045</v>
      </c>
      <c r="C748" s="1" t="n">
        <v>45829</v>
      </c>
      <c r="D748" t="inlineStr">
        <is>
          <t>UPPSALA LÄN</t>
        </is>
      </c>
      <c r="E748" t="inlineStr">
        <is>
          <t>ÖSTHAMMAR</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19015-2023</t>
        </is>
      </c>
      <c r="B749" s="1" t="n">
        <v>45045</v>
      </c>
      <c r="C749" s="1" t="n">
        <v>45829</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19010-2023</t>
        </is>
      </c>
      <c r="B750" s="1" t="n">
        <v>45045</v>
      </c>
      <c r="C750" s="1" t="n">
        <v>45829</v>
      </c>
      <c r="D750" t="inlineStr">
        <is>
          <t>UPPSALA LÄN</t>
        </is>
      </c>
      <c r="E750" t="inlineStr">
        <is>
          <t>ÖSTHAMMAR</t>
        </is>
      </c>
      <c r="F750" t="inlineStr">
        <is>
          <t>Bergvik skog öst AB</t>
        </is>
      </c>
      <c r="G750" t="n">
        <v>3.7</v>
      </c>
      <c r="H750" t="n">
        <v>0</v>
      </c>
      <c r="I750" t="n">
        <v>0</v>
      </c>
      <c r="J750" t="n">
        <v>0</v>
      </c>
      <c r="K750" t="n">
        <v>0</v>
      </c>
      <c r="L750" t="n">
        <v>0</v>
      </c>
      <c r="M750" t="n">
        <v>0</v>
      </c>
      <c r="N750" t="n">
        <v>0</v>
      </c>
      <c r="O750" t="n">
        <v>0</v>
      </c>
      <c r="P750" t="n">
        <v>0</v>
      </c>
      <c r="Q750" t="n">
        <v>0</v>
      </c>
      <c r="R750" s="2" t="inlineStr"/>
    </row>
    <row r="751" ht="15" customHeight="1">
      <c r="A751" t="inlineStr">
        <is>
          <t>A 19014-2023</t>
        </is>
      </c>
      <c r="B751" s="1" t="n">
        <v>45045</v>
      </c>
      <c r="C751" s="1" t="n">
        <v>45829</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19009-2023</t>
        </is>
      </c>
      <c r="B752" s="1" t="n">
        <v>45045</v>
      </c>
      <c r="C752" s="1" t="n">
        <v>45829</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19041-2023</t>
        </is>
      </c>
      <c r="B753" s="1" t="n">
        <v>45047</v>
      </c>
      <c r="C753" s="1" t="n">
        <v>45829</v>
      </c>
      <c r="D753" t="inlineStr">
        <is>
          <t>UPPSALA LÄN</t>
        </is>
      </c>
      <c r="E753" t="inlineStr">
        <is>
          <t>ÖSTHAMMAR</t>
        </is>
      </c>
      <c r="F753" t="inlineStr">
        <is>
          <t>Bergvik skog öst AB</t>
        </is>
      </c>
      <c r="G753" t="n">
        <v>3.9</v>
      </c>
      <c r="H753" t="n">
        <v>0</v>
      </c>
      <c r="I753" t="n">
        <v>0</v>
      </c>
      <c r="J753" t="n">
        <v>0</v>
      </c>
      <c r="K753" t="n">
        <v>0</v>
      </c>
      <c r="L753" t="n">
        <v>0</v>
      </c>
      <c r="M753" t="n">
        <v>0</v>
      </c>
      <c r="N753" t="n">
        <v>0</v>
      </c>
      <c r="O753" t="n">
        <v>0</v>
      </c>
      <c r="P753" t="n">
        <v>0</v>
      </c>
      <c r="Q753" t="n">
        <v>0</v>
      </c>
      <c r="R753" s="2" t="inlineStr"/>
    </row>
    <row r="754" ht="15" customHeight="1">
      <c r="A754" t="inlineStr">
        <is>
          <t>A 19040-2023</t>
        </is>
      </c>
      <c r="B754" s="1" t="n">
        <v>45047</v>
      </c>
      <c r="C754" s="1" t="n">
        <v>45829</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19102-2023</t>
        </is>
      </c>
      <c r="B755" s="1" t="n">
        <v>45048</v>
      </c>
      <c r="C755" s="1" t="n">
        <v>45829</v>
      </c>
      <c r="D755" t="inlineStr">
        <is>
          <t>UPPSALA LÄN</t>
        </is>
      </c>
      <c r="E755" t="inlineStr">
        <is>
          <t>ÖSTHAMMAR</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19099-2023</t>
        </is>
      </c>
      <c r="B756" s="1" t="n">
        <v>45048</v>
      </c>
      <c r="C756" s="1" t="n">
        <v>45829</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19097-2023</t>
        </is>
      </c>
      <c r="B757" s="1" t="n">
        <v>45048</v>
      </c>
      <c r="C757" s="1" t="n">
        <v>45829</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19215-2023</t>
        </is>
      </c>
      <c r="B758" s="1" t="n">
        <v>45048</v>
      </c>
      <c r="C758" s="1" t="n">
        <v>45829</v>
      </c>
      <c r="D758" t="inlineStr">
        <is>
          <t>UPPSALA LÄN</t>
        </is>
      </c>
      <c r="E758" t="inlineStr">
        <is>
          <t>ÖSTHAMMAR</t>
        </is>
      </c>
      <c r="G758" t="n">
        <v>2.3</v>
      </c>
      <c r="H758" t="n">
        <v>0</v>
      </c>
      <c r="I758" t="n">
        <v>0</v>
      </c>
      <c r="J758" t="n">
        <v>0</v>
      </c>
      <c r="K758" t="n">
        <v>0</v>
      </c>
      <c r="L758" t="n">
        <v>0</v>
      </c>
      <c r="M758" t="n">
        <v>0</v>
      </c>
      <c r="N758" t="n">
        <v>0</v>
      </c>
      <c r="O758" t="n">
        <v>0</v>
      </c>
      <c r="P758" t="n">
        <v>0</v>
      </c>
      <c r="Q758" t="n">
        <v>0</v>
      </c>
      <c r="R758" s="2" t="inlineStr"/>
    </row>
    <row r="759" ht="15" customHeight="1">
      <c r="A759" t="inlineStr">
        <is>
          <t>A 19216-2023</t>
        </is>
      </c>
      <c r="B759" s="1" t="n">
        <v>45048</v>
      </c>
      <c r="C759" s="1" t="n">
        <v>45829</v>
      </c>
      <c r="D759" t="inlineStr">
        <is>
          <t>UPPSALA LÄN</t>
        </is>
      </c>
      <c r="E759" t="inlineStr">
        <is>
          <t>ÖSTHAMMAR</t>
        </is>
      </c>
      <c r="G759" t="n">
        <v>11.3</v>
      </c>
      <c r="H759" t="n">
        <v>0</v>
      </c>
      <c r="I759" t="n">
        <v>0</v>
      </c>
      <c r="J759" t="n">
        <v>0</v>
      </c>
      <c r="K759" t="n">
        <v>0</v>
      </c>
      <c r="L759" t="n">
        <v>0</v>
      </c>
      <c r="M759" t="n">
        <v>0</v>
      </c>
      <c r="N759" t="n">
        <v>0</v>
      </c>
      <c r="O759" t="n">
        <v>0</v>
      </c>
      <c r="P759" t="n">
        <v>0</v>
      </c>
      <c r="Q759" t="n">
        <v>0</v>
      </c>
      <c r="R759" s="2" t="inlineStr"/>
    </row>
    <row r="760" ht="15" customHeight="1">
      <c r="A760" t="inlineStr">
        <is>
          <t>A 19784-2023</t>
        </is>
      </c>
      <c r="B760" s="1" t="n">
        <v>45051</v>
      </c>
      <c r="C760" s="1" t="n">
        <v>45829</v>
      </c>
      <c r="D760" t="inlineStr">
        <is>
          <t>UPPSALA LÄN</t>
        </is>
      </c>
      <c r="E760" t="inlineStr">
        <is>
          <t>ÖSTHAMMAR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19801-2023</t>
        </is>
      </c>
      <c r="B761" s="1" t="n">
        <v>45051</v>
      </c>
      <c r="C761" s="1" t="n">
        <v>45829</v>
      </c>
      <c r="D761" t="inlineStr">
        <is>
          <t>UPPSALA LÄN</t>
        </is>
      </c>
      <c r="E761" t="inlineStr">
        <is>
          <t>ÖSTHAMMAR</t>
        </is>
      </c>
      <c r="G761" t="n">
        <v>1.3</v>
      </c>
      <c r="H761" t="n">
        <v>0</v>
      </c>
      <c r="I761" t="n">
        <v>0</v>
      </c>
      <c r="J761" t="n">
        <v>0</v>
      </c>
      <c r="K761" t="n">
        <v>0</v>
      </c>
      <c r="L761" t="n">
        <v>0</v>
      </c>
      <c r="M761" t="n">
        <v>0</v>
      </c>
      <c r="N761" t="n">
        <v>0</v>
      </c>
      <c r="O761" t="n">
        <v>0</v>
      </c>
      <c r="P761" t="n">
        <v>0</v>
      </c>
      <c r="Q761" t="n">
        <v>0</v>
      </c>
      <c r="R761" s="2" t="inlineStr"/>
    </row>
    <row r="762" ht="15" customHeight="1">
      <c r="A762" t="inlineStr">
        <is>
          <t>A 19968-2023</t>
        </is>
      </c>
      <c r="B762" s="1" t="n">
        <v>45054</v>
      </c>
      <c r="C762" s="1" t="n">
        <v>45829</v>
      </c>
      <c r="D762" t="inlineStr">
        <is>
          <t>UPPSALA LÄN</t>
        </is>
      </c>
      <c r="E762" t="inlineStr">
        <is>
          <t>ÖSTHAMMAR</t>
        </is>
      </c>
      <c r="G762" t="n">
        <v>5.8</v>
      </c>
      <c r="H762" t="n">
        <v>0</v>
      </c>
      <c r="I762" t="n">
        <v>0</v>
      </c>
      <c r="J762" t="n">
        <v>0</v>
      </c>
      <c r="K762" t="n">
        <v>0</v>
      </c>
      <c r="L762" t="n">
        <v>0</v>
      </c>
      <c r="M762" t="n">
        <v>0</v>
      </c>
      <c r="N762" t="n">
        <v>0</v>
      </c>
      <c r="O762" t="n">
        <v>0</v>
      </c>
      <c r="P762" t="n">
        <v>0</v>
      </c>
      <c r="Q762" t="n">
        <v>0</v>
      </c>
      <c r="R762" s="2" t="inlineStr"/>
    </row>
    <row r="763" ht="15" customHeight="1">
      <c r="A763" t="inlineStr">
        <is>
          <t>A 20038-2023</t>
        </is>
      </c>
      <c r="B763" s="1" t="n">
        <v>45054</v>
      </c>
      <c r="C763" s="1" t="n">
        <v>45829</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20046-2023</t>
        </is>
      </c>
      <c r="B764" s="1" t="n">
        <v>45054</v>
      </c>
      <c r="C764" s="1" t="n">
        <v>45829</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20029-2023</t>
        </is>
      </c>
      <c r="B765" s="1" t="n">
        <v>45054</v>
      </c>
      <c r="C765" s="1" t="n">
        <v>45829</v>
      </c>
      <c r="D765" t="inlineStr">
        <is>
          <t>UPPSALA LÄN</t>
        </is>
      </c>
      <c r="E765" t="inlineStr">
        <is>
          <t>ÖSTHAMMAR</t>
        </is>
      </c>
      <c r="G765" t="n">
        <v>4.8</v>
      </c>
      <c r="H765" t="n">
        <v>0</v>
      </c>
      <c r="I765" t="n">
        <v>0</v>
      </c>
      <c r="J765" t="n">
        <v>0</v>
      </c>
      <c r="K765" t="n">
        <v>0</v>
      </c>
      <c r="L765" t="n">
        <v>0</v>
      </c>
      <c r="M765" t="n">
        <v>0</v>
      </c>
      <c r="N765" t="n">
        <v>0</v>
      </c>
      <c r="O765" t="n">
        <v>0</v>
      </c>
      <c r="P765" t="n">
        <v>0</v>
      </c>
      <c r="Q765" t="n">
        <v>0</v>
      </c>
      <c r="R765" s="2" t="inlineStr"/>
    </row>
    <row r="766" ht="15" customHeight="1">
      <c r="A766" t="inlineStr">
        <is>
          <t>A 20366-2023</t>
        </is>
      </c>
      <c r="B766" s="1" t="n">
        <v>45056</v>
      </c>
      <c r="C766" s="1" t="n">
        <v>45829</v>
      </c>
      <c r="D766" t="inlineStr">
        <is>
          <t>UPPSALA LÄN</t>
        </is>
      </c>
      <c r="E766" t="inlineStr">
        <is>
          <t>ÖSTHAMMAR</t>
        </is>
      </c>
      <c r="G766" t="n">
        <v>1.6</v>
      </c>
      <c r="H766" t="n">
        <v>0</v>
      </c>
      <c r="I766" t="n">
        <v>0</v>
      </c>
      <c r="J766" t="n">
        <v>0</v>
      </c>
      <c r="K766" t="n">
        <v>0</v>
      </c>
      <c r="L766" t="n">
        <v>0</v>
      </c>
      <c r="M766" t="n">
        <v>0</v>
      </c>
      <c r="N766" t="n">
        <v>0</v>
      </c>
      <c r="O766" t="n">
        <v>0</v>
      </c>
      <c r="P766" t="n">
        <v>0</v>
      </c>
      <c r="Q766" t="n">
        <v>0</v>
      </c>
      <c r="R766" s="2" t="inlineStr"/>
    </row>
    <row r="767" ht="15" customHeight="1">
      <c r="A767" t="inlineStr">
        <is>
          <t>A 20572-2023</t>
        </is>
      </c>
      <c r="B767" s="1" t="n">
        <v>45057</v>
      </c>
      <c r="C767" s="1" t="n">
        <v>45829</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20657-2023</t>
        </is>
      </c>
      <c r="B768" s="1" t="n">
        <v>45058</v>
      </c>
      <c r="C768" s="1" t="n">
        <v>45829</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20664-2023</t>
        </is>
      </c>
      <c r="B769" s="1" t="n">
        <v>45058</v>
      </c>
      <c r="C769" s="1" t="n">
        <v>45829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20680-2023</t>
        </is>
      </c>
      <c r="B770" s="1" t="n">
        <v>45058</v>
      </c>
      <c r="C770" s="1" t="n">
        <v>45829</v>
      </c>
      <c r="D770" t="inlineStr">
        <is>
          <t>UPPSALA LÄN</t>
        </is>
      </c>
      <c r="E770" t="inlineStr">
        <is>
          <t>ÖSTHAMMAR</t>
        </is>
      </c>
      <c r="F770" t="inlineStr">
        <is>
          <t>Bergvik skog öst AB</t>
        </is>
      </c>
      <c r="G770" t="n">
        <v>10.5</v>
      </c>
      <c r="H770" t="n">
        <v>0</v>
      </c>
      <c r="I770" t="n">
        <v>0</v>
      </c>
      <c r="J770" t="n">
        <v>0</v>
      </c>
      <c r="K770" t="n">
        <v>0</v>
      </c>
      <c r="L770" t="n">
        <v>0</v>
      </c>
      <c r="M770" t="n">
        <v>0</v>
      </c>
      <c r="N770" t="n">
        <v>0</v>
      </c>
      <c r="O770" t="n">
        <v>0</v>
      </c>
      <c r="P770" t="n">
        <v>0</v>
      </c>
      <c r="Q770" t="n">
        <v>0</v>
      </c>
      <c r="R770" s="2" t="inlineStr"/>
    </row>
    <row r="771" ht="15" customHeight="1">
      <c r="A771" t="inlineStr">
        <is>
          <t>A 20677-2023</t>
        </is>
      </c>
      <c r="B771" s="1" t="n">
        <v>45058</v>
      </c>
      <c r="C771" s="1" t="n">
        <v>45829</v>
      </c>
      <c r="D771" t="inlineStr">
        <is>
          <t>UPPSALA LÄN</t>
        </is>
      </c>
      <c r="E771" t="inlineStr">
        <is>
          <t>ÖSTHAMMAR</t>
        </is>
      </c>
      <c r="F771" t="inlineStr">
        <is>
          <t>Bergvik skog öst AB</t>
        </is>
      </c>
      <c r="G771" t="n">
        <v>4</v>
      </c>
      <c r="H771" t="n">
        <v>0</v>
      </c>
      <c r="I771" t="n">
        <v>0</v>
      </c>
      <c r="J771" t="n">
        <v>0</v>
      </c>
      <c r="K771" t="n">
        <v>0</v>
      </c>
      <c r="L771" t="n">
        <v>0</v>
      </c>
      <c r="M771" t="n">
        <v>0</v>
      </c>
      <c r="N771" t="n">
        <v>0</v>
      </c>
      <c r="O771" t="n">
        <v>0</v>
      </c>
      <c r="P771" t="n">
        <v>0</v>
      </c>
      <c r="Q771" t="n">
        <v>0</v>
      </c>
      <c r="R771" s="2" t="inlineStr"/>
    </row>
    <row r="772" ht="15" customHeight="1">
      <c r="A772" t="inlineStr">
        <is>
          <t>A 21478-2023</t>
        </is>
      </c>
      <c r="B772" s="1" t="n">
        <v>45063</v>
      </c>
      <c r="C772" s="1" t="n">
        <v>45829</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21615-2023</t>
        </is>
      </c>
      <c r="B773" s="1" t="n">
        <v>45063</v>
      </c>
      <c r="C773" s="1" t="n">
        <v>45829</v>
      </c>
      <c r="D773" t="inlineStr">
        <is>
          <t>UPPSALA LÄN</t>
        </is>
      </c>
      <c r="E773" t="inlineStr">
        <is>
          <t>ÖSTHAMMAR</t>
        </is>
      </c>
      <c r="G773" t="n">
        <v>3.3</v>
      </c>
      <c r="H773" t="n">
        <v>0</v>
      </c>
      <c r="I773" t="n">
        <v>0</v>
      </c>
      <c r="J773" t="n">
        <v>0</v>
      </c>
      <c r="K773" t="n">
        <v>0</v>
      </c>
      <c r="L773" t="n">
        <v>0</v>
      </c>
      <c r="M773" t="n">
        <v>0</v>
      </c>
      <c r="N773" t="n">
        <v>0</v>
      </c>
      <c r="O773" t="n">
        <v>0</v>
      </c>
      <c r="P773" t="n">
        <v>0</v>
      </c>
      <c r="Q773" t="n">
        <v>0</v>
      </c>
      <c r="R773" s="2" t="inlineStr"/>
    </row>
    <row r="774" ht="15" customHeight="1">
      <c r="A774" t="inlineStr">
        <is>
          <t>A 21624-2023</t>
        </is>
      </c>
      <c r="B774" s="1" t="n">
        <v>45063</v>
      </c>
      <c r="C774" s="1" t="n">
        <v>45829</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21862-2023</t>
        </is>
      </c>
      <c r="B775" s="1" t="n">
        <v>45068</v>
      </c>
      <c r="C775" s="1" t="n">
        <v>45829</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22405-2023</t>
        </is>
      </c>
      <c r="B776" s="1" t="n">
        <v>45070</v>
      </c>
      <c r="C776" s="1" t="n">
        <v>45829</v>
      </c>
      <c r="D776" t="inlineStr">
        <is>
          <t>UPPSALA LÄN</t>
        </is>
      </c>
      <c r="E776" t="inlineStr">
        <is>
          <t>ÖSTHAMMAR</t>
        </is>
      </c>
      <c r="F776" t="inlineStr">
        <is>
          <t>Bergvik skog öst AB</t>
        </is>
      </c>
      <c r="G776" t="n">
        <v>0.4</v>
      </c>
      <c r="H776" t="n">
        <v>0</v>
      </c>
      <c r="I776" t="n">
        <v>0</v>
      </c>
      <c r="J776" t="n">
        <v>0</v>
      </c>
      <c r="K776" t="n">
        <v>0</v>
      </c>
      <c r="L776" t="n">
        <v>0</v>
      </c>
      <c r="M776" t="n">
        <v>0</v>
      </c>
      <c r="N776" t="n">
        <v>0</v>
      </c>
      <c r="O776" t="n">
        <v>0</v>
      </c>
      <c r="P776" t="n">
        <v>0</v>
      </c>
      <c r="Q776" t="n">
        <v>0</v>
      </c>
      <c r="R776" s="2" t="inlineStr"/>
    </row>
    <row r="777" ht="15" customHeight="1">
      <c r="A777" t="inlineStr">
        <is>
          <t>A 22413-2023</t>
        </is>
      </c>
      <c r="B777" s="1" t="n">
        <v>45070</v>
      </c>
      <c r="C777" s="1" t="n">
        <v>45829</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22322-2023</t>
        </is>
      </c>
      <c r="B778" s="1" t="n">
        <v>45070</v>
      </c>
      <c r="C778" s="1" t="n">
        <v>45829</v>
      </c>
      <c r="D778" t="inlineStr">
        <is>
          <t>UPPSALA LÄN</t>
        </is>
      </c>
      <c r="E778" t="inlineStr">
        <is>
          <t>ÖSTHAMMAR</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22701-2023</t>
        </is>
      </c>
      <c r="B779" s="1" t="n">
        <v>45071</v>
      </c>
      <c r="C779" s="1" t="n">
        <v>45829</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22794-2023</t>
        </is>
      </c>
      <c r="B780" s="1" t="n">
        <v>45072</v>
      </c>
      <c r="C780" s="1" t="n">
        <v>45829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22798-2023</t>
        </is>
      </c>
      <c r="B781" s="1" t="n">
        <v>45072</v>
      </c>
      <c r="C781" s="1" t="n">
        <v>45829</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22796-2023</t>
        </is>
      </c>
      <c r="B782" s="1" t="n">
        <v>45072</v>
      </c>
      <c r="C782" s="1" t="n">
        <v>45829</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23083-2023</t>
        </is>
      </c>
      <c r="B783" s="1" t="n">
        <v>45075</v>
      </c>
      <c r="C783" s="1" t="n">
        <v>45829</v>
      </c>
      <c r="D783" t="inlineStr">
        <is>
          <t>UPPSALA LÄN</t>
        </is>
      </c>
      <c r="E783" t="inlineStr">
        <is>
          <t>ÖSTHAMMAR</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23064-2023</t>
        </is>
      </c>
      <c r="B784" s="1" t="n">
        <v>45075</v>
      </c>
      <c r="C784" s="1" t="n">
        <v>45829</v>
      </c>
      <c r="D784" t="inlineStr">
        <is>
          <t>UPPSALA LÄN</t>
        </is>
      </c>
      <c r="E784" t="inlineStr">
        <is>
          <t>ÖSTHAMMAR</t>
        </is>
      </c>
      <c r="F784" t="inlineStr">
        <is>
          <t>Kyrkan</t>
        </is>
      </c>
      <c r="G784" t="n">
        <v>16.6</v>
      </c>
      <c r="H784" t="n">
        <v>0</v>
      </c>
      <c r="I784" t="n">
        <v>0</v>
      </c>
      <c r="J784" t="n">
        <v>0</v>
      </c>
      <c r="K784" t="n">
        <v>0</v>
      </c>
      <c r="L784" t="n">
        <v>0</v>
      </c>
      <c r="M784" t="n">
        <v>0</v>
      </c>
      <c r="N784" t="n">
        <v>0</v>
      </c>
      <c r="O784" t="n">
        <v>0</v>
      </c>
      <c r="P784" t="n">
        <v>0</v>
      </c>
      <c r="Q784" t="n">
        <v>0</v>
      </c>
      <c r="R784" s="2" t="inlineStr"/>
    </row>
    <row r="785" ht="15" customHeight="1">
      <c r="A785" t="inlineStr">
        <is>
          <t>A 23197-2023</t>
        </is>
      </c>
      <c r="B785" s="1" t="n">
        <v>45075</v>
      </c>
      <c r="C785" s="1" t="n">
        <v>45829</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23142-2023</t>
        </is>
      </c>
      <c r="B786" s="1" t="n">
        <v>45075</v>
      </c>
      <c r="C786" s="1" t="n">
        <v>45829</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23059-2023</t>
        </is>
      </c>
      <c r="B787" s="1" t="n">
        <v>45075</v>
      </c>
      <c r="C787" s="1" t="n">
        <v>45829</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23363-2023</t>
        </is>
      </c>
      <c r="B788" s="1" t="n">
        <v>45076</v>
      </c>
      <c r="C788" s="1" t="n">
        <v>45829</v>
      </c>
      <c r="D788" t="inlineStr">
        <is>
          <t>UPPSALA LÄN</t>
        </is>
      </c>
      <c r="E788" t="inlineStr">
        <is>
          <t>ÖSTHAMMAR</t>
        </is>
      </c>
      <c r="G788" t="n">
        <v>3</v>
      </c>
      <c r="H788" t="n">
        <v>0</v>
      </c>
      <c r="I788" t="n">
        <v>0</v>
      </c>
      <c r="J788" t="n">
        <v>0</v>
      </c>
      <c r="K788" t="n">
        <v>0</v>
      </c>
      <c r="L788" t="n">
        <v>0</v>
      </c>
      <c r="M788" t="n">
        <v>0</v>
      </c>
      <c r="N788" t="n">
        <v>0</v>
      </c>
      <c r="O788" t="n">
        <v>0</v>
      </c>
      <c r="P788" t="n">
        <v>0</v>
      </c>
      <c r="Q788" t="n">
        <v>0</v>
      </c>
      <c r="R788" s="2" t="inlineStr"/>
    </row>
    <row r="789" ht="15" customHeight="1">
      <c r="A789" t="inlineStr">
        <is>
          <t>A 23495-2023</t>
        </is>
      </c>
      <c r="B789" s="1" t="n">
        <v>45076</v>
      </c>
      <c r="C789" s="1" t="n">
        <v>45829</v>
      </c>
      <c r="D789" t="inlineStr">
        <is>
          <t>UPPSALA LÄN</t>
        </is>
      </c>
      <c r="E789" t="inlineStr">
        <is>
          <t>ÖSTHAMMAR</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24033-2023</t>
        </is>
      </c>
      <c r="B790" s="1" t="n">
        <v>45078</v>
      </c>
      <c r="C790" s="1" t="n">
        <v>45829</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24128-2023</t>
        </is>
      </c>
      <c r="B791" s="1" t="n">
        <v>45079</v>
      </c>
      <c r="C791" s="1" t="n">
        <v>45829</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24325-2023</t>
        </is>
      </c>
      <c r="B792" s="1" t="n">
        <v>45080</v>
      </c>
      <c r="C792" s="1" t="n">
        <v>45829</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24324-2023</t>
        </is>
      </c>
      <c r="B793" s="1" t="n">
        <v>45080</v>
      </c>
      <c r="C793" s="1" t="n">
        <v>45829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24428-2023</t>
        </is>
      </c>
      <c r="B794" s="1" t="n">
        <v>45082</v>
      </c>
      <c r="C794" s="1" t="n">
        <v>45829</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24493-2023</t>
        </is>
      </c>
      <c r="B795" s="1" t="n">
        <v>45082</v>
      </c>
      <c r="C795" s="1" t="n">
        <v>45829</v>
      </c>
      <c r="D795" t="inlineStr">
        <is>
          <t>UPPSALA LÄN</t>
        </is>
      </c>
      <c r="E795" t="inlineStr">
        <is>
          <t>ÖSTHAMMAR</t>
        </is>
      </c>
      <c r="G795" t="n">
        <v>1.9</v>
      </c>
      <c r="H795" t="n">
        <v>0</v>
      </c>
      <c r="I795" t="n">
        <v>0</v>
      </c>
      <c r="J795" t="n">
        <v>0</v>
      </c>
      <c r="K795" t="n">
        <v>0</v>
      </c>
      <c r="L795" t="n">
        <v>0</v>
      </c>
      <c r="M795" t="n">
        <v>0</v>
      </c>
      <c r="N795" t="n">
        <v>0</v>
      </c>
      <c r="O795" t="n">
        <v>0</v>
      </c>
      <c r="P795" t="n">
        <v>0</v>
      </c>
      <c r="Q795" t="n">
        <v>0</v>
      </c>
      <c r="R795" s="2" t="inlineStr"/>
    </row>
    <row r="796" ht="15" customHeight="1">
      <c r="A796" t="inlineStr">
        <is>
          <t>A 24491-2023</t>
        </is>
      </c>
      <c r="B796" s="1" t="n">
        <v>45082</v>
      </c>
      <c r="C796" s="1" t="n">
        <v>45829</v>
      </c>
      <c r="D796" t="inlineStr">
        <is>
          <t>UPPSALA LÄN</t>
        </is>
      </c>
      <c r="E796" t="inlineStr">
        <is>
          <t>ÖSTHAMMAR</t>
        </is>
      </c>
      <c r="G796" t="n">
        <v>5.3</v>
      </c>
      <c r="H796" t="n">
        <v>0</v>
      </c>
      <c r="I796" t="n">
        <v>0</v>
      </c>
      <c r="J796" t="n">
        <v>0</v>
      </c>
      <c r="K796" t="n">
        <v>0</v>
      </c>
      <c r="L796" t="n">
        <v>0</v>
      </c>
      <c r="M796" t="n">
        <v>0</v>
      </c>
      <c r="N796" t="n">
        <v>0</v>
      </c>
      <c r="O796" t="n">
        <v>0</v>
      </c>
      <c r="P796" t="n">
        <v>0</v>
      </c>
      <c r="Q796" t="n">
        <v>0</v>
      </c>
      <c r="R796" s="2" t="inlineStr"/>
    </row>
    <row r="797" ht="15" customHeight="1">
      <c r="A797" t="inlineStr">
        <is>
          <t>A 24587-2023</t>
        </is>
      </c>
      <c r="B797" s="1" t="n">
        <v>45083</v>
      </c>
      <c r="C797" s="1" t="n">
        <v>45829</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24642-2023</t>
        </is>
      </c>
      <c r="B798" s="1" t="n">
        <v>45084</v>
      </c>
      <c r="C798" s="1" t="n">
        <v>45829</v>
      </c>
      <c r="D798" t="inlineStr">
        <is>
          <t>UPPSALA LÄN</t>
        </is>
      </c>
      <c r="E798" t="inlineStr">
        <is>
          <t>ÖSTHAMMAR</t>
        </is>
      </c>
      <c r="F798" t="inlineStr">
        <is>
          <t>Bergvik skog öst AB</t>
        </is>
      </c>
      <c r="G798" t="n">
        <v>7.2</v>
      </c>
      <c r="H798" t="n">
        <v>0</v>
      </c>
      <c r="I798" t="n">
        <v>0</v>
      </c>
      <c r="J798" t="n">
        <v>0</v>
      </c>
      <c r="K798" t="n">
        <v>0</v>
      </c>
      <c r="L798" t="n">
        <v>0</v>
      </c>
      <c r="M798" t="n">
        <v>0</v>
      </c>
      <c r="N798" t="n">
        <v>0</v>
      </c>
      <c r="O798" t="n">
        <v>0</v>
      </c>
      <c r="P798" t="n">
        <v>0</v>
      </c>
      <c r="Q798" t="n">
        <v>0</v>
      </c>
      <c r="R798" s="2" t="inlineStr"/>
    </row>
    <row r="799" ht="15" customHeight="1">
      <c r="A799" t="inlineStr">
        <is>
          <t>A 24648-2023</t>
        </is>
      </c>
      <c r="B799" s="1" t="n">
        <v>45084</v>
      </c>
      <c r="C799" s="1" t="n">
        <v>45829</v>
      </c>
      <c r="D799" t="inlineStr">
        <is>
          <t>UPPSALA LÄN</t>
        </is>
      </c>
      <c r="E799" t="inlineStr">
        <is>
          <t>ÖSTHAMMAR</t>
        </is>
      </c>
      <c r="F799" t="inlineStr">
        <is>
          <t>Bergvik skog öst AB</t>
        </is>
      </c>
      <c r="G799" t="n">
        <v>12.5</v>
      </c>
      <c r="H799" t="n">
        <v>0</v>
      </c>
      <c r="I799" t="n">
        <v>0</v>
      </c>
      <c r="J799" t="n">
        <v>0</v>
      </c>
      <c r="K799" t="n">
        <v>0</v>
      </c>
      <c r="L799" t="n">
        <v>0</v>
      </c>
      <c r="M799" t="n">
        <v>0</v>
      </c>
      <c r="N799" t="n">
        <v>0</v>
      </c>
      <c r="O799" t="n">
        <v>0</v>
      </c>
      <c r="P799" t="n">
        <v>0</v>
      </c>
      <c r="Q799" t="n">
        <v>0</v>
      </c>
      <c r="R799" s="2" t="inlineStr"/>
    </row>
    <row r="800" ht="15" customHeight="1">
      <c r="A800" t="inlineStr">
        <is>
          <t>A 24751-2023</t>
        </is>
      </c>
      <c r="B800" s="1" t="n">
        <v>45084</v>
      </c>
      <c r="C800" s="1" t="n">
        <v>45829</v>
      </c>
      <c r="D800" t="inlineStr">
        <is>
          <t>UPPSALA LÄN</t>
        </is>
      </c>
      <c r="E800" t="inlineStr">
        <is>
          <t>ÖSTHAMMAR</t>
        </is>
      </c>
      <c r="F800" t="inlineStr">
        <is>
          <t>Bergvik skog öst AB</t>
        </is>
      </c>
      <c r="G800" t="n">
        <v>6.2</v>
      </c>
      <c r="H800" t="n">
        <v>0</v>
      </c>
      <c r="I800" t="n">
        <v>0</v>
      </c>
      <c r="J800" t="n">
        <v>0</v>
      </c>
      <c r="K800" t="n">
        <v>0</v>
      </c>
      <c r="L800" t="n">
        <v>0</v>
      </c>
      <c r="M800" t="n">
        <v>0</v>
      </c>
      <c r="N800" t="n">
        <v>0</v>
      </c>
      <c r="O800" t="n">
        <v>0</v>
      </c>
      <c r="P800" t="n">
        <v>0</v>
      </c>
      <c r="Q800" t="n">
        <v>0</v>
      </c>
      <c r="R800" s="2" t="inlineStr"/>
    </row>
    <row r="801" ht="15" customHeight="1">
      <c r="A801" t="inlineStr">
        <is>
          <t>A 25194-2023</t>
        </is>
      </c>
      <c r="B801" s="1" t="n">
        <v>45086</v>
      </c>
      <c r="C801" s="1" t="n">
        <v>45829</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26612-2023</t>
        </is>
      </c>
      <c r="B802" s="1" t="n">
        <v>45089</v>
      </c>
      <c r="C802" s="1" t="n">
        <v>45829</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26610-2023</t>
        </is>
      </c>
      <c r="B803" s="1" t="n">
        <v>45089</v>
      </c>
      <c r="C803" s="1" t="n">
        <v>45829</v>
      </c>
      <c r="D803" t="inlineStr">
        <is>
          <t>UPPSALA LÄN</t>
        </is>
      </c>
      <c r="E803" t="inlineStr">
        <is>
          <t>ÖSTHAMMAR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25897-2023</t>
        </is>
      </c>
      <c r="B804" s="1" t="n">
        <v>45090</v>
      </c>
      <c r="C804" s="1" t="n">
        <v>45829</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25903-2023</t>
        </is>
      </c>
      <c r="B805" s="1" t="n">
        <v>45090</v>
      </c>
      <c r="C805" s="1" t="n">
        <v>45829</v>
      </c>
      <c r="D805" t="inlineStr">
        <is>
          <t>UPPSALA LÄN</t>
        </is>
      </c>
      <c r="E805" t="inlineStr">
        <is>
          <t>ÖSTHAMMAR</t>
        </is>
      </c>
      <c r="F805" t="inlineStr">
        <is>
          <t>Bergvik skog öst AB</t>
        </is>
      </c>
      <c r="G805" t="n">
        <v>29.2</v>
      </c>
      <c r="H805" t="n">
        <v>0</v>
      </c>
      <c r="I805" t="n">
        <v>0</v>
      </c>
      <c r="J805" t="n">
        <v>0</v>
      </c>
      <c r="K805" t="n">
        <v>0</v>
      </c>
      <c r="L805" t="n">
        <v>0</v>
      </c>
      <c r="M805" t="n">
        <v>0</v>
      </c>
      <c r="N805" t="n">
        <v>0</v>
      </c>
      <c r="O805" t="n">
        <v>0</v>
      </c>
      <c r="P805" t="n">
        <v>0</v>
      </c>
      <c r="Q805" t="n">
        <v>0</v>
      </c>
      <c r="R805" s="2" t="inlineStr"/>
    </row>
    <row r="806" ht="15" customHeight="1">
      <c r="A806" t="inlineStr">
        <is>
          <t>A 25970-2023</t>
        </is>
      </c>
      <c r="B806" s="1" t="n">
        <v>45090</v>
      </c>
      <c r="C806" s="1" t="n">
        <v>45829</v>
      </c>
      <c r="D806" t="inlineStr">
        <is>
          <t>UPPSALA LÄN</t>
        </is>
      </c>
      <c r="E806" t="inlineStr">
        <is>
          <t>ÖSTHAMMAR</t>
        </is>
      </c>
      <c r="F806" t="inlineStr">
        <is>
          <t>Sveaskog</t>
        </is>
      </c>
      <c r="G806" t="n">
        <v>5.2</v>
      </c>
      <c r="H806" t="n">
        <v>0</v>
      </c>
      <c r="I806" t="n">
        <v>0</v>
      </c>
      <c r="J806" t="n">
        <v>0</v>
      </c>
      <c r="K806" t="n">
        <v>0</v>
      </c>
      <c r="L806" t="n">
        <v>0</v>
      </c>
      <c r="M806" t="n">
        <v>0</v>
      </c>
      <c r="N806" t="n">
        <v>0</v>
      </c>
      <c r="O806" t="n">
        <v>0</v>
      </c>
      <c r="P806" t="n">
        <v>0</v>
      </c>
      <c r="Q806" t="n">
        <v>0</v>
      </c>
      <c r="R806" s="2" t="inlineStr"/>
    </row>
    <row r="807" ht="15" customHeight="1">
      <c r="A807" t="inlineStr">
        <is>
          <t>A 25968-2023</t>
        </is>
      </c>
      <c r="B807" s="1" t="n">
        <v>45090</v>
      </c>
      <c r="C807" s="1" t="n">
        <v>45829</v>
      </c>
      <c r="D807" t="inlineStr">
        <is>
          <t>UPPSALA LÄN</t>
        </is>
      </c>
      <c r="E807" t="inlineStr">
        <is>
          <t>ÖSTHAMMAR</t>
        </is>
      </c>
      <c r="F807" t="inlineStr">
        <is>
          <t>Sveaskog</t>
        </is>
      </c>
      <c r="G807" t="n">
        <v>3.8</v>
      </c>
      <c r="H807" t="n">
        <v>0</v>
      </c>
      <c r="I807" t="n">
        <v>0</v>
      </c>
      <c r="J807" t="n">
        <v>0</v>
      </c>
      <c r="K807" t="n">
        <v>0</v>
      </c>
      <c r="L807" t="n">
        <v>0</v>
      </c>
      <c r="M807" t="n">
        <v>0</v>
      </c>
      <c r="N807" t="n">
        <v>0</v>
      </c>
      <c r="O807" t="n">
        <v>0</v>
      </c>
      <c r="P807" t="n">
        <v>0</v>
      </c>
      <c r="Q807" t="n">
        <v>0</v>
      </c>
      <c r="R807" s="2" t="inlineStr"/>
    </row>
    <row r="808" ht="15" customHeight="1">
      <c r="A808" t="inlineStr">
        <is>
          <t>A 25969-2023</t>
        </is>
      </c>
      <c r="B808" s="1" t="n">
        <v>45090</v>
      </c>
      <c r="C808" s="1" t="n">
        <v>45829</v>
      </c>
      <c r="D808" t="inlineStr">
        <is>
          <t>UPPSALA LÄN</t>
        </is>
      </c>
      <c r="E808" t="inlineStr">
        <is>
          <t>ÖSTHAMMAR</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26774-2023</t>
        </is>
      </c>
      <c r="B809" s="1" t="n">
        <v>45093</v>
      </c>
      <c r="C809" s="1" t="n">
        <v>45829</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26734-2023</t>
        </is>
      </c>
      <c r="B810" s="1" t="n">
        <v>45093</v>
      </c>
      <c r="C810" s="1" t="n">
        <v>45829</v>
      </c>
      <c r="D810" t="inlineStr">
        <is>
          <t>UPPSALA LÄN</t>
        </is>
      </c>
      <c r="E810" t="inlineStr">
        <is>
          <t>ÖSTHAMMAR</t>
        </is>
      </c>
      <c r="F810" t="inlineStr">
        <is>
          <t>Bergvik skog öst AB</t>
        </is>
      </c>
      <c r="G810" t="n">
        <v>25.5</v>
      </c>
      <c r="H810" t="n">
        <v>0</v>
      </c>
      <c r="I810" t="n">
        <v>0</v>
      </c>
      <c r="J810" t="n">
        <v>0</v>
      </c>
      <c r="K810" t="n">
        <v>0</v>
      </c>
      <c r="L810" t="n">
        <v>0</v>
      </c>
      <c r="M810" t="n">
        <v>0</v>
      </c>
      <c r="N810" t="n">
        <v>0</v>
      </c>
      <c r="O810" t="n">
        <v>0</v>
      </c>
      <c r="P810" t="n">
        <v>0</v>
      </c>
      <c r="Q810" t="n">
        <v>0</v>
      </c>
      <c r="R810" s="2" t="inlineStr"/>
    </row>
    <row r="811" ht="15" customHeight="1">
      <c r="A811" t="inlineStr">
        <is>
          <t>A 28170-2023</t>
        </is>
      </c>
      <c r="B811" s="1" t="n">
        <v>45093</v>
      </c>
      <c r="C811" s="1" t="n">
        <v>45829</v>
      </c>
      <c r="D811" t="inlineStr">
        <is>
          <t>UPPSALA LÄN</t>
        </is>
      </c>
      <c r="E811" t="inlineStr">
        <is>
          <t>ÖSTHAMMAR</t>
        </is>
      </c>
      <c r="G811" t="n">
        <v>7.2</v>
      </c>
      <c r="H811" t="n">
        <v>0</v>
      </c>
      <c r="I811" t="n">
        <v>0</v>
      </c>
      <c r="J811" t="n">
        <v>0</v>
      </c>
      <c r="K811" t="n">
        <v>0</v>
      </c>
      <c r="L811" t="n">
        <v>0</v>
      </c>
      <c r="M811" t="n">
        <v>0</v>
      </c>
      <c r="N811" t="n">
        <v>0</v>
      </c>
      <c r="O811" t="n">
        <v>0</v>
      </c>
      <c r="P811" t="n">
        <v>0</v>
      </c>
      <c r="Q811" t="n">
        <v>0</v>
      </c>
      <c r="R811" s="2" t="inlineStr"/>
    </row>
    <row r="812" ht="15" customHeight="1">
      <c r="A812" t="inlineStr">
        <is>
          <t>A 27150-2023</t>
        </is>
      </c>
      <c r="B812" s="1" t="n">
        <v>45096</v>
      </c>
      <c r="C812" s="1" t="n">
        <v>45829</v>
      </c>
      <c r="D812" t="inlineStr">
        <is>
          <t>UPPSALA LÄN</t>
        </is>
      </c>
      <c r="E812" t="inlineStr">
        <is>
          <t>ÖSTHAMMAR</t>
        </is>
      </c>
      <c r="F812" t="inlineStr">
        <is>
          <t>Bergvik skog öst AB</t>
        </is>
      </c>
      <c r="G812" t="n">
        <v>5</v>
      </c>
      <c r="H812" t="n">
        <v>0</v>
      </c>
      <c r="I812" t="n">
        <v>0</v>
      </c>
      <c r="J812" t="n">
        <v>0</v>
      </c>
      <c r="K812" t="n">
        <v>0</v>
      </c>
      <c r="L812" t="n">
        <v>0</v>
      </c>
      <c r="M812" t="n">
        <v>0</v>
      </c>
      <c r="N812" t="n">
        <v>0</v>
      </c>
      <c r="O812" t="n">
        <v>0</v>
      </c>
      <c r="P812" t="n">
        <v>0</v>
      </c>
      <c r="Q812" t="n">
        <v>0</v>
      </c>
      <c r="R812" s="2" t="inlineStr"/>
    </row>
    <row r="813" ht="15" customHeight="1">
      <c r="A813" t="inlineStr">
        <is>
          <t>A 27154-2023</t>
        </is>
      </c>
      <c r="B813" s="1" t="n">
        <v>45096</v>
      </c>
      <c r="C813" s="1" t="n">
        <v>45829</v>
      </c>
      <c r="D813" t="inlineStr">
        <is>
          <t>UPPSALA LÄN</t>
        </is>
      </c>
      <c r="E813" t="inlineStr">
        <is>
          <t>ÖSTHAMMAR</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27308-2023</t>
        </is>
      </c>
      <c r="B814" s="1" t="n">
        <v>45096</v>
      </c>
      <c r="C814" s="1" t="n">
        <v>45829</v>
      </c>
      <c r="D814" t="inlineStr">
        <is>
          <t>UPPSALA LÄN</t>
        </is>
      </c>
      <c r="E814" t="inlineStr">
        <is>
          <t>ÖSTHAMMAR</t>
        </is>
      </c>
      <c r="F814" t="inlineStr">
        <is>
          <t>Bergvik skog öst AB</t>
        </is>
      </c>
      <c r="G814" t="n">
        <v>2.4</v>
      </c>
      <c r="H814" t="n">
        <v>0</v>
      </c>
      <c r="I814" t="n">
        <v>0</v>
      </c>
      <c r="J814" t="n">
        <v>0</v>
      </c>
      <c r="K814" t="n">
        <v>0</v>
      </c>
      <c r="L814" t="n">
        <v>0</v>
      </c>
      <c r="M814" t="n">
        <v>0</v>
      </c>
      <c r="N814" t="n">
        <v>0</v>
      </c>
      <c r="O814" t="n">
        <v>0</v>
      </c>
      <c r="P814" t="n">
        <v>0</v>
      </c>
      <c r="Q814" t="n">
        <v>0</v>
      </c>
      <c r="R814" s="2" t="inlineStr"/>
    </row>
    <row r="815" ht="15" customHeight="1">
      <c r="A815" t="inlineStr">
        <is>
          <t>A 27660-2023</t>
        </is>
      </c>
      <c r="B815" s="1" t="n">
        <v>45097</v>
      </c>
      <c r="C815" s="1" t="n">
        <v>45829</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27659-2023</t>
        </is>
      </c>
      <c r="B816" s="1" t="n">
        <v>45097</v>
      </c>
      <c r="C816" s="1" t="n">
        <v>45829</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27801-2023</t>
        </is>
      </c>
      <c r="B817" s="1" t="n">
        <v>45098</v>
      </c>
      <c r="C817" s="1" t="n">
        <v>45829</v>
      </c>
      <c r="D817" t="inlineStr">
        <is>
          <t>UPPSALA LÄN</t>
        </is>
      </c>
      <c r="E817" t="inlineStr">
        <is>
          <t>ÖSTHAMMAR</t>
        </is>
      </c>
      <c r="F817" t="inlineStr">
        <is>
          <t>Kyrkan</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28422-2023</t>
        </is>
      </c>
      <c r="B818" s="1" t="n">
        <v>45102</v>
      </c>
      <c r="C818" s="1" t="n">
        <v>45829</v>
      </c>
      <c r="D818" t="inlineStr">
        <is>
          <t>UPPSALA LÄN</t>
        </is>
      </c>
      <c r="E818" t="inlineStr">
        <is>
          <t>ÖSTHAMMAR</t>
        </is>
      </c>
      <c r="F818" t="inlineStr">
        <is>
          <t>Bergvik skog öst AB</t>
        </is>
      </c>
      <c r="G818" t="n">
        <v>3.1</v>
      </c>
      <c r="H818" t="n">
        <v>0</v>
      </c>
      <c r="I818" t="n">
        <v>0</v>
      </c>
      <c r="J818" t="n">
        <v>0</v>
      </c>
      <c r="K818" t="n">
        <v>0</v>
      </c>
      <c r="L818" t="n">
        <v>0</v>
      </c>
      <c r="M818" t="n">
        <v>0</v>
      </c>
      <c r="N818" t="n">
        <v>0</v>
      </c>
      <c r="O818" t="n">
        <v>0</v>
      </c>
      <c r="P818" t="n">
        <v>0</v>
      </c>
      <c r="Q818" t="n">
        <v>0</v>
      </c>
      <c r="R818" s="2" t="inlineStr"/>
    </row>
    <row r="819" ht="15" customHeight="1">
      <c r="A819" t="inlineStr">
        <is>
          <t>A 28430-2023</t>
        </is>
      </c>
      <c r="B819" s="1" t="n">
        <v>45102</v>
      </c>
      <c r="C819" s="1" t="n">
        <v>45829</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28434-2023</t>
        </is>
      </c>
      <c r="B820" s="1" t="n">
        <v>45102</v>
      </c>
      <c r="C820" s="1" t="n">
        <v>45829</v>
      </c>
      <c r="D820" t="inlineStr">
        <is>
          <t>UPPSALA LÄN</t>
        </is>
      </c>
      <c r="E820" t="inlineStr">
        <is>
          <t>ÖSTHAMMAR</t>
        </is>
      </c>
      <c r="F820" t="inlineStr">
        <is>
          <t>Bergvik skog öst AB</t>
        </is>
      </c>
      <c r="G820" t="n">
        <v>8.9</v>
      </c>
      <c r="H820" t="n">
        <v>0</v>
      </c>
      <c r="I820" t="n">
        <v>0</v>
      </c>
      <c r="J820" t="n">
        <v>0</v>
      </c>
      <c r="K820" t="n">
        <v>0</v>
      </c>
      <c r="L820" t="n">
        <v>0</v>
      </c>
      <c r="M820" t="n">
        <v>0</v>
      </c>
      <c r="N820" t="n">
        <v>0</v>
      </c>
      <c r="O820" t="n">
        <v>0</v>
      </c>
      <c r="P820" t="n">
        <v>0</v>
      </c>
      <c r="Q820" t="n">
        <v>0</v>
      </c>
      <c r="R820" s="2" t="inlineStr"/>
    </row>
    <row r="821" ht="15" customHeight="1">
      <c r="A821" t="inlineStr">
        <is>
          <t>A 28420-2023</t>
        </is>
      </c>
      <c r="B821" s="1" t="n">
        <v>45102</v>
      </c>
      <c r="C821" s="1" t="n">
        <v>45829</v>
      </c>
      <c r="D821" t="inlineStr">
        <is>
          <t>UPPSALA LÄN</t>
        </is>
      </c>
      <c r="E821" t="inlineStr">
        <is>
          <t>ÖSTHAMMAR</t>
        </is>
      </c>
      <c r="F821" t="inlineStr">
        <is>
          <t>Bergvik skog öst AB</t>
        </is>
      </c>
      <c r="G821" t="n">
        <v>3.2</v>
      </c>
      <c r="H821" t="n">
        <v>0</v>
      </c>
      <c r="I821" t="n">
        <v>0</v>
      </c>
      <c r="J821" t="n">
        <v>0</v>
      </c>
      <c r="K821" t="n">
        <v>0</v>
      </c>
      <c r="L821" t="n">
        <v>0</v>
      </c>
      <c r="M821" t="n">
        <v>0</v>
      </c>
      <c r="N821" t="n">
        <v>0</v>
      </c>
      <c r="O821" t="n">
        <v>0</v>
      </c>
      <c r="P821" t="n">
        <v>0</v>
      </c>
      <c r="Q821" t="n">
        <v>0</v>
      </c>
      <c r="R821" s="2" t="inlineStr"/>
    </row>
    <row r="822" ht="15" customHeight="1">
      <c r="A822" t="inlineStr">
        <is>
          <t>A 28432-2023</t>
        </is>
      </c>
      <c r="B822" s="1" t="n">
        <v>45102</v>
      </c>
      <c r="C822" s="1" t="n">
        <v>45829</v>
      </c>
      <c r="D822" t="inlineStr">
        <is>
          <t>UPPSALA LÄN</t>
        </is>
      </c>
      <c r="E822" t="inlineStr">
        <is>
          <t>ÖSTHAMMAR</t>
        </is>
      </c>
      <c r="F822" t="inlineStr">
        <is>
          <t>Bergvik skog öst AB</t>
        </is>
      </c>
      <c r="G822" t="n">
        <v>3.9</v>
      </c>
      <c r="H822" t="n">
        <v>0</v>
      </c>
      <c r="I822" t="n">
        <v>0</v>
      </c>
      <c r="J822" t="n">
        <v>0</v>
      </c>
      <c r="K822" t="n">
        <v>0</v>
      </c>
      <c r="L822" t="n">
        <v>0</v>
      </c>
      <c r="M822" t="n">
        <v>0</v>
      </c>
      <c r="N822" t="n">
        <v>0</v>
      </c>
      <c r="O822" t="n">
        <v>0</v>
      </c>
      <c r="P822" t="n">
        <v>0</v>
      </c>
      <c r="Q822" t="n">
        <v>0</v>
      </c>
      <c r="R822" s="2" t="inlineStr"/>
    </row>
    <row r="823" ht="15" customHeight="1">
      <c r="A823" t="inlineStr">
        <is>
          <t>A 28421-2023</t>
        </is>
      </c>
      <c r="B823" s="1" t="n">
        <v>45102</v>
      </c>
      <c r="C823" s="1" t="n">
        <v>45829</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28429-2023</t>
        </is>
      </c>
      <c r="B824" s="1" t="n">
        <v>45102</v>
      </c>
      <c r="C824" s="1" t="n">
        <v>45829</v>
      </c>
      <c r="D824" t="inlineStr">
        <is>
          <t>UPPSALA LÄN</t>
        </is>
      </c>
      <c r="E824" t="inlineStr">
        <is>
          <t>ÖSTHAMMAR</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28482-2023</t>
        </is>
      </c>
      <c r="B825" s="1" t="n">
        <v>45103</v>
      </c>
      <c r="C825" s="1" t="n">
        <v>45829</v>
      </c>
      <c r="D825" t="inlineStr">
        <is>
          <t>UPPSALA LÄN</t>
        </is>
      </c>
      <c r="E825" t="inlineStr">
        <is>
          <t>ÖSTHAMMAR</t>
        </is>
      </c>
      <c r="F825" t="inlineStr">
        <is>
          <t>Naturvårdsverket</t>
        </is>
      </c>
      <c r="G825" t="n">
        <v>8.9</v>
      </c>
      <c r="H825" t="n">
        <v>0</v>
      </c>
      <c r="I825" t="n">
        <v>0</v>
      </c>
      <c r="J825" t="n">
        <v>0</v>
      </c>
      <c r="K825" t="n">
        <v>0</v>
      </c>
      <c r="L825" t="n">
        <v>0</v>
      </c>
      <c r="M825" t="n">
        <v>0</v>
      </c>
      <c r="N825" t="n">
        <v>0</v>
      </c>
      <c r="O825" t="n">
        <v>0</v>
      </c>
      <c r="P825" t="n">
        <v>0</v>
      </c>
      <c r="Q825" t="n">
        <v>0</v>
      </c>
      <c r="R825" s="2" t="inlineStr"/>
    </row>
    <row r="826" ht="15" customHeight="1">
      <c r="A826" t="inlineStr">
        <is>
          <t>A 29873-2023</t>
        </is>
      </c>
      <c r="B826" s="1" t="n">
        <v>45107</v>
      </c>
      <c r="C826" s="1" t="n">
        <v>45829</v>
      </c>
      <c r="D826" t="inlineStr">
        <is>
          <t>UPPSALA LÄN</t>
        </is>
      </c>
      <c r="E826" t="inlineStr">
        <is>
          <t>ÖSTHAMMAR</t>
        </is>
      </c>
      <c r="F826" t="inlineStr">
        <is>
          <t>Naturvårdsverket</t>
        </is>
      </c>
      <c r="G826" t="n">
        <v>7.8</v>
      </c>
      <c r="H826" t="n">
        <v>0</v>
      </c>
      <c r="I826" t="n">
        <v>0</v>
      </c>
      <c r="J826" t="n">
        <v>0</v>
      </c>
      <c r="K826" t="n">
        <v>0</v>
      </c>
      <c r="L826" t="n">
        <v>0</v>
      </c>
      <c r="M826" t="n">
        <v>0</v>
      </c>
      <c r="N826" t="n">
        <v>0</v>
      </c>
      <c r="O826" t="n">
        <v>0</v>
      </c>
      <c r="P826" t="n">
        <v>0</v>
      </c>
      <c r="Q826" t="n">
        <v>0</v>
      </c>
      <c r="R826" s="2" t="inlineStr"/>
    </row>
    <row r="827" ht="15" customHeight="1">
      <c r="A827" t="inlineStr">
        <is>
          <t>A 29824-2023</t>
        </is>
      </c>
      <c r="B827" s="1" t="n">
        <v>45107</v>
      </c>
      <c r="C827" s="1" t="n">
        <v>45829</v>
      </c>
      <c r="D827" t="inlineStr">
        <is>
          <t>UPPSALA LÄN</t>
        </is>
      </c>
      <c r="E827" t="inlineStr">
        <is>
          <t>ÖSTHAMMAR</t>
        </is>
      </c>
      <c r="F827" t="inlineStr">
        <is>
          <t>Naturvårdsverket</t>
        </is>
      </c>
      <c r="G827" t="n">
        <v>1.6</v>
      </c>
      <c r="H827" t="n">
        <v>0</v>
      </c>
      <c r="I827" t="n">
        <v>0</v>
      </c>
      <c r="J827" t="n">
        <v>0</v>
      </c>
      <c r="K827" t="n">
        <v>0</v>
      </c>
      <c r="L827" t="n">
        <v>0</v>
      </c>
      <c r="M827" t="n">
        <v>0</v>
      </c>
      <c r="N827" t="n">
        <v>0</v>
      </c>
      <c r="O827" t="n">
        <v>0</v>
      </c>
      <c r="P827" t="n">
        <v>0</v>
      </c>
      <c r="Q827" t="n">
        <v>0</v>
      </c>
      <c r="R827" s="2" t="inlineStr"/>
    </row>
    <row r="828" ht="15" customHeight="1">
      <c r="A828" t="inlineStr">
        <is>
          <t>A 30086-2023</t>
        </is>
      </c>
      <c r="B828" s="1" t="n">
        <v>45110</v>
      </c>
      <c r="C828" s="1" t="n">
        <v>45829</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30470-2023</t>
        </is>
      </c>
      <c r="B829" s="1" t="n">
        <v>45111</v>
      </c>
      <c r="C829" s="1" t="n">
        <v>45829</v>
      </c>
      <c r="D829" t="inlineStr">
        <is>
          <t>UPPSALA LÄN</t>
        </is>
      </c>
      <c r="E829" t="inlineStr">
        <is>
          <t>ÖSTHAMMAR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30498-2023</t>
        </is>
      </c>
      <c r="B830" s="1" t="n">
        <v>45111</v>
      </c>
      <c r="C830" s="1" t="n">
        <v>45829</v>
      </c>
      <c r="D830" t="inlineStr">
        <is>
          <t>UPPSALA LÄN</t>
        </is>
      </c>
      <c r="E830" t="inlineStr">
        <is>
          <t>ÖSTHAMMAR</t>
        </is>
      </c>
      <c r="G830" t="n">
        <v>0.7</v>
      </c>
      <c r="H830" t="n">
        <v>0</v>
      </c>
      <c r="I830" t="n">
        <v>0</v>
      </c>
      <c r="J830" t="n">
        <v>0</v>
      </c>
      <c r="K830" t="n">
        <v>0</v>
      </c>
      <c r="L830" t="n">
        <v>0</v>
      </c>
      <c r="M830" t="n">
        <v>0</v>
      </c>
      <c r="N830" t="n">
        <v>0</v>
      </c>
      <c r="O830" t="n">
        <v>0</v>
      </c>
      <c r="P830" t="n">
        <v>0</v>
      </c>
      <c r="Q830" t="n">
        <v>0</v>
      </c>
      <c r="R830" s="2" t="inlineStr"/>
    </row>
    <row r="831" ht="15" customHeight="1">
      <c r="A831" t="inlineStr">
        <is>
          <t>A 30809-2023</t>
        </is>
      </c>
      <c r="B831" s="1" t="n">
        <v>45112</v>
      </c>
      <c r="C831" s="1" t="n">
        <v>45829</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30808-2023</t>
        </is>
      </c>
      <c r="B832" s="1" t="n">
        <v>45112</v>
      </c>
      <c r="C832" s="1" t="n">
        <v>45829</v>
      </c>
      <c r="D832" t="inlineStr">
        <is>
          <t>UPPSALA LÄN</t>
        </is>
      </c>
      <c r="E832" t="inlineStr">
        <is>
          <t>ÖSTHAMMAR</t>
        </is>
      </c>
      <c r="F832" t="inlineStr">
        <is>
          <t>Bergvik skog öst AB</t>
        </is>
      </c>
      <c r="G832" t="n">
        <v>3.3</v>
      </c>
      <c r="H832" t="n">
        <v>0</v>
      </c>
      <c r="I832" t="n">
        <v>0</v>
      </c>
      <c r="J832" t="n">
        <v>0</v>
      </c>
      <c r="K832" t="n">
        <v>0</v>
      </c>
      <c r="L832" t="n">
        <v>0</v>
      </c>
      <c r="M832" t="n">
        <v>0</v>
      </c>
      <c r="N832" t="n">
        <v>0</v>
      </c>
      <c r="O832" t="n">
        <v>0</v>
      </c>
      <c r="P832" t="n">
        <v>0</v>
      </c>
      <c r="Q832" t="n">
        <v>0</v>
      </c>
      <c r="R832" s="2" t="inlineStr"/>
    </row>
    <row r="833" ht="15" customHeight="1">
      <c r="A833" t="inlineStr">
        <is>
          <t>A 30812-2023</t>
        </is>
      </c>
      <c r="B833" s="1" t="n">
        <v>45112</v>
      </c>
      <c r="C833" s="1" t="n">
        <v>45829</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30810-2023</t>
        </is>
      </c>
      <c r="B834" s="1" t="n">
        <v>45112</v>
      </c>
      <c r="C834" s="1" t="n">
        <v>45829</v>
      </c>
      <c r="D834" t="inlineStr">
        <is>
          <t>UPPSALA LÄN</t>
        </is>
      </c>
      <c r="E834" t="inlineStr">
        <is>
          <t>ÖSTHAMMAR</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30811-2023</t>
        </is>
      </c>
      <c r="B835" s="1" t="n">
        <v>45112</v>
      </c>
      <c r="C835" s="1" t="n">
        <v>45829</v>
      </c>
      <c r="D835" t="inlineStr">
        <is>
          <t>UPPSALA LÄN</t>
        </is>
      </c>
      <c r="E835" t="inlineStr">
        <is>
          <t>ÖSTHAMMAR</t>
        </is>
      </c>
      <c r="F835" t="inlineStr">
        <is>
          <t>Bergvik skog öst AB</t>
        </is>
      </c>
      <c r="G835" t="n">
        <v>0.7</v>
      </c>
      <c r="H835" t="n">
        <v>0</v>
      </c>
      <c r="I835" t="n">
        <v>0</v>
      </c>
      <c r="J835" t="n">
        <v>0</v>
      </c>
      <c r="K835" t="n">
        <v>0</v>
      </c>
      <c r="L835" t="n">
        <v>0</v>
      </c>
      <c r="M835" t="n">
        <v>0</v>
      </c>
      <c r="N835" t="n">
        <v>0</v>
      </c>
      <c r="O835" t="n">
        <v>0</v>
      </c>
      <c r="P835" t="n">
        <v>0</v>
      </c>
      <c r="Q835" t="n">
        <v>0</v>
      </c>
      <c r="R835" s="2" t="inlineStr"/>
    </row>
    <row r="836" ht="15" customHeight="1">
      <c r="A836" t="inlineStr">
        <is>
          <t>A 31480-2023</t>
        </is>
      </c>
      <c r="B836" s="1" t="n">
        <v>45114</v>
      </c>
      <c r="C836" s="1" t="n">
        <v>45829</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31484-2023</t>
        </is>
      </c>
      <c r="B837" s="1" t="n">
        <v>45114</v>
      </c>
      <c r="C837" s="1" t="n">
        <v>45829</v>
      </c>
      <c r="D837" t="inlineStr">
        <is>
          <t>UPPSALA LÄN</t>
        </is>
      </c>
      <c r="E837" t="inlineStr">
        <is>
          <t>ÖSTHAMMAR</t>
        </is>
      </c>
      <c r="F837" t="inlineStr">
        <is>
          <t>Bergvik skog öst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31479-2023</t>
        </is>
      </c>
      <c r="B838" s="1" t="n">
        <v>45114</v>
      </c>
      <c r="C838" s="1" t="n">
        <v>45829</v>
      </c>
      <c r="D838" t="inlineStr">
        <is>
          <t>UPPSALA LÄN</t>
        </is>
      </c>
      <c r="E838" t="inlineStr">
        <is>
          <t>ÖSTHAMMAR</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31483-2023</t>
        </is>
      </c>
      <c r="B839" s="1" t="n">
        <v>45114</v>
      </c>
      <c r="C839" s="1" t="n">
        <v>45829</v>
      </c>
      <c r="D839" t="inlineStr">
        <is>
          <t>UPPSALA LÄN</t>
        </is>
      </c>
      <c r="E839" t="inlineStr">
        <is>
          <t>ÖSTHAMMAR</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31482-2023</t>
        </is>
      </c>
      <c r="B840" s="1" t="n">
        <v>45114</v>
      </c>
      <c r="C840" s="1" t="n">
        <v>45829</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31486-2023</t>
        </is>
      </c>
      <c r="B841" s="1" t="n">
        <v>45114</v>
      </c>
      <c r="C841" s="1" t="n">
        <v>45829</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31481-2023</t>
        </is>
      </c>
      <c r="B842" s="1" t="n">
        <v>45114</v>
      </c>
      <c r="C842" s="1" t="n">
        <v>45829</v>
      </c>
      <c r="D842" t="inlineStr">
        <is>
          <t>UPPSALA LÄN</t>
        </is>
      </c>
      <c r="E842" t="inlineStr">
        <is>
          <t>ÖSTHAMMAR</t>
        </is>
      </c>
      <c r="F842" t="inlineStr">
        <is>
          <t>Bergvik skog öst AB</t>
        </is>
      </c>
      <c r="G842" t="n">
        <v>2.3</v>
      </c>
      <c r="H842" t="n">
        <v>0</v>
      </c>
      <c r="I842" t="n">
        <v>0</v>
      </c>
      <c r="J842" t="n">
        <v>0</v>
      </c>
      <c r="K842" t="n">
        <v>0</v>
      </c>
      <c r="L842" t="n">
        <v>0</v>
      </c>
      <c r="M842" t="n">
        <v>0</v>
      </c>
      <c r="N842" t="n">
        <v>0</v>
      </c>
      <c r="O842" t="n">
        <v>0</v>
      </c>
      <c r="P842" t="n">
        <v>0</v>
      </c>
      <c r="Q842" t="n">
        <v>0</v>
      </c>
      <c r="R842" s="2" t="inlineStr"/>
    </row>
    <row r="843" ht="15" customHeight="1">
      <c r="A843" t="inlineStr">
        <is>
          <t>A 31485-2023</t>
        </is>
      </c>
      <c r="B843" s="1" t="n">
        <v>45114</v>
      </c>
      <c r="C843" s="1" t="n">
        <v>45829</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31688-2023</t>
        </is>
      </c>
      <c r="B844" s="1" t="n">
        <v>45117</v>
      </c>
      <c r="C844" s="1" t="n">
        <v>45829</v>
      </c>
      <c r="D844" t="inlineStr">
        <is>
          <t>UPPSALA LÄN</t>
        </is>
      </c>
      <c r="E844" t="inlineStr">
        <is>
          <t>ÖSTHAMMAR</t>
        </is>
      </c>
      <c r="F844" t="inlineStr">
        <is>
          <t>Bergvik skog öst AB</t>
        </is>
      </c>
      <c r="G844" t="n">
        <v>4.9</v>
      </c>
      <c r="H844" t="n">
        <v>0</v>
      </c>
      <c r="I844" t="n">
        <v>0</v>
      </c>
      <c r="J844" t="n">
        <v>0</v>
      </c>
      <c r="K844" t="n">
        <v>0</v>
      </c>
      <c r="L844" t="n">
        <v>0</v>
      </c>
      <c r="M844" t="n">
        <v>0</v>
      </c>
      <c r="N844" t="n">
        <v>0</v>
      </c>
      <c r="O844" t="n">
        <v>0</v>
      </c>
      <c r="P844" t="n">
        <v>0</v>
      </c>
      <c r="Q844" t="n">
        <v>0</v>
      </c>
      <c r="R844" s="2" t="inlineStr"/>
    </row>
    <row r="845" ht="15" customHeight="1">
      <c r="A845" t="inlineStr">
        <is>
          <t>A 32194-2023</t>
        </is>
      </c>
      <c r="B845" s="1" t="n">
        <v>45119</v>
      </c>
      <c r="C845" s="1" t="n">
        <v>45829</v>
      </c>
      <c r="D845" t="inlineStr">
        <is>
          <t>UPPSALA LÄN</t>
        </is>
      </c>
      <c r="E845" t="inlineStr">
        <is>
          <t>ÖSTHAMMAR</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32195-2023</t>
        </is>
      </c>
      <c r="B846" s="1" t="n">
        <v>45119</v>
      </c>
      <c r="C846" s="1" t="n">
        <v>45829</v>
      </c>
      <c r="D846" t="inlineStr">
        <is>
          <t>UPPSALA LÄN</t>
        </is>
      </c>
      <c r="E846" t="inlineStr">
        <is>
          <t>ÖSTHAMMAR</t>
        </is>
      </c>
      <c r="F846" t="inlineStr">
        <is>
          <t>Bergvik skog öst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32197-2023</t>
        </is>
      </c>
      <c r="B847" s="1" t="n">
        <v>45119</v>
      </c>
      <c r="C847" s="1" t="n">
        <v>45829</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32196-2023</t>
        </is>
      </c>
      <c r="B848" s="1" t="n">
        <v>45119</v>
      </c>
      <c r="C848" s="1" t="n">
        <v>45829</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32390-2023</t>
        </is>
      </c>
      <c r="B849" s="1" t="n">
        <v>45120</v>
      </c>
      <c r="C849" s="1" t="n">
        <v>45829</v>
      </c>
      <c r="D849" t="inlineStr">
        <is>
          <t>UPPSALA LÄN</t>
        </is>
      </c>
      <c r="E849" t="inlineStr">
        <is>
          <t>ÖSTHAMMAR</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32693-2023</t>
        </is>
      </c>
      <c r="B850" s="1" t="n">
        <v>45121</v>
      </c>
      <c r="C850" s="1" t="n">
        <v>45829</v>
      </c>
      <c r="D850" t="inlineStr">
        <is>
          <t>UPPSALA LÄN</t>
        </is>
      </c>
      <c r="E850" t="inlineStr">
        <is>
          <t>ÖSTHAMMAR</t>
        </is>
      </c>
      <c r="F850" t="inlineStr">
        <is>
          <t>Bergvik skog öst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32691-2023</t>
        </is>
      </c>
      <c r="B851" s="1" t="n">
        <v>45121</v>
      </c>
      <c r="C851" s="1" t="n">
        <v>45829</v>
      </c>
      <c r="D851" t="inlineStr">
        <is>
          <t>UPPSALA LÄN</t>
        </is>
      </c>
      <c r="E851" t="inlineStr">
        <is>
          <t>ÖSTHAMMAR</t>
        </is>
      </c>
      <c r="F851" t="inlineStr">
        <is>
          <t>Bergvik skog öst AB</t>
        </is>
      </c>
      <c r="G851" t="n">
        <v>20.2</v>
      </c>
      <c r="H851" t="n">
        <v>0</v>
      </c>
      <c r="I851" t="n">
        <v>0</v>
      </c>
      <c r="J851" t="n">
        <v>0</v>
      </c>
      <c r="K851" t="n">
        <v>0</v>
      </c>
      <c r="L851" t="n">
        <v>0</v>
      </c>
      <c r="M851" t="n">
        <v>0</v>
      </c>
      <c r="N851" t="n">
        <v>0</v>
      </c>
      <c r="O851" t="n">
        <v>0</v>
      </c>
      <c r="P851" t="n">
        <v>0</v>
      </c>
      <c r="Q851" t="n">
        <v>0</v>
      </c>
      <c r="R851" s="2" t="inlineStr"/>
    </row>
    <row r="852" ht="15" customHeight="1">
      <c r="A852" t="inlineStr">
        <is>
          <t>A 32752-2023</t>
        </is>
      </c>
      <c r="B852" s="1" t="n">
        <v>45122</v>
      </c>
      <c r="C852" s="1" t="n">
        <v>45829</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32779-2023</t>
        </is>
      </c>
      <c r="B853" s="1" t="n">
        <v>45123</v>
      </c>
      <c r="C853" s="1" t="n">
        <v>45829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32778-2023</t>
        </is>
      </c>
      <c r="B854" s="1" t="n">
        <v>45123</v>
      </c>
      <c r="C854" s="1" t="n">
        <v>45829</v>
      </c>
      <c r="D854" t="inlineStr">
        <is>
          <t>UPPSALA LÄN</t>
        </is>
      </c>
      <c r="E854" t="inlineStr">
        <is>
          <t>ÖSTHAMMAR</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32895-2023</t>
        </is>
      </c>
      <c r="B855" s="1" t="n">
        <v>45124</v>
      </c>
      <c r="C855" s="1" t="n">
        <v>45829</v>
      </c>
      <c r="D855" t="inlineStr">
        <is>
          <t>UPPSALA LÄN</t>
        </is>
      </c>
      <c r="E855" t="inlineStr">
        <is>
          <t>ÖSTHAMMAR</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34108-2023</t>
        </is>
      </c>
      <c r="B856" s="1" t="n">
        <v>45135</v>
      </c>
      <c r="C856" s="1" t="n">
        <v>45829</v>
      </c>
      <c r="D856" t="inlineStr">
        <is>
          <t>UPPSALA LÄN</t>
        </is>
      </c>
      <c r="E856" t="inlineStr">
        <is>
          <t>ÖSTHAMMAR</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34607-2023</t>
        </is>
      </c>
      <c r="B857" s="1" t="n">
        <v>45138</v>
      </c>
      <c r="C857" s="1" t="n">
        <v>45829</v>
      </c>
      <c r="D857" t="inlineStr">
        <is>
          <t>UPPSALA LÄN</t>
        </is>
      </c>
      <c r="E857" t="inlineStr">
        <is>
          <t>ÖSTHAMMAR</t>
        </is>
      </c>
      <c r="G857" t="n">
        <v>4.7</v>
      </c>
      <c r="H857" t="n">
        <v>0</v>
      </c>
      <c r="I857" t="n">
        <v>0</v>
      </c>
      <c r="J857" t="n">
        <v>0</v>
      </c>
      <c r="K857" t="n">
        <v>0</v>
      </c>
      <c r="L857" t="n">
        <v>0</v>
      </c>
      <c r="M857" t="n">
        <v>0</v>
      </c>
      <c r="N857" t="n">
        <v>0</v>
      </c>
      <c r="O857" t="n">
        <v>0</v>
      </c>
      <c r="P857" t="n">
        <v>0</v>
      </c>
      <c r="Q857" t="n">
        <v>0</v>
      </c>
      <c r="R857" s="2" t="inlineStr"/>
    </row>
    <row r="858" ht="15" customHeight="1">
      <c r="A858" t="inlineStr">
        <is>
          <t>A 34412-2023</t>
        </is>
      </c>
      <c r="B858" s="1" t="n">
        <v>45139</v>
      </c>
      <c r="C858" s="1" t="n">
        <v>45829</v>
      </c>
      <c r="D858" t="inlineStr">
        <is>
          <t>UPPSALA LÄN</t>
        </is>
      </c>
      <c r="E858" t="inlineStr">
        <is>
          <t>ÖSTHAMMAR</t>
        </is>
      </c>
      <c r="F858" t="inlineStr">
        <is>
          <t>Bergvik skog öst AB</t>
        </is>
      </c>
      <c r="G858" t="n">
        <v>4</v>
      </c>
      <c r="H858" t="n">
        <v>0</v>
      </c>
      <c r="I858" t="n">
        <v>0</v>
      </c>
      <c r="J858" t="n">
        <v>0</v>
      </c>
      <c r="K858" t="n">
        <v>0</v>
      </c>
      <c r="L858" t="n">
        <v>0</v>
      </c>
      <c r="M858" t="n">
        <v>0</v>
      </c>
      <c r="N858" t="n">
        <v>0</v>
      </c>
      <c r="O858" t="n">
        <v>0</v>
      </c>
      <c r="P858" t="n">
        <v>0</v>
      </c>
      <c r="Q858" t="n">
        <v>0</v>
      </c>
      <c r="R858" s="2" t="inlineStr"/>
    </row>
    <row r="859" ht="15" customHeight="1">
      <c r="A859" t="inlineStr">
        <is>
          <t>A 34471-2023</t>
        </is>
      </c>
      <c r="B859" s="1" t="n">
        <v>45139</v>
      </c>
      <c r="C859" s="1" t="n">
        <v>45829</v>
      </c>
      <c r="D859" t="inlineStr">
        <is>
          <t>UPPSALA LÄN</t>
        </is>
      </c>
      <c r="E859" t="inlineStr">
        <is>
          <t>ÖSTHAMMAR</t>
        </is>
      </c>
      <c r="F859" t="inlineStr">
        <is>
          <t>Bergvik skog öst AB</t>
        </is>
      </c>
      <c r="G859" t="n">
        <v>4.5</v>
      </c>
      <c r="H859" t="n">
        <v>0</v>
      </c>
      <c r="I859" t="n">
        <v>0</v>
      </c>
      <c r="J859" t="n">
        <v>0</v>
      </c>
      <c r="K859" t="n">
        <v>0</v>
      </c>
      <c r="L859" t="n">
        <v>0</v>
      </c>
      <c r="M859" t="n">
        <v>0</v>
      </c>
      <c r="N859" t="n">
        <v>0</v>
      </c>
      <c r="O859" t="n">
        <v>0</v>
      </c>
      <c r="P859" t="n">
        <v>0</v>
      </c>
      <c r="Q859" t="n">
        <v>0</v>
      </c>
      <c r="R859" s="2" t="inlineStr"/>
    </row>
    <row r="860" ht="15" customHeight="1">
      <c r="A860" t="inlineStr">
        <is>
          <t>A 34920-2023</t>
        </is>
      </c>
      <c r="B860" s="1" t="n">
        <v>45142</v>
      </c>
      <c r="C860" s="1" t="n">
        <v>45829</v>
      </c>
      <c r="D860" t="inlineStr">
        <is>
          <t>UPPSALA LÄN</t>
        </is>
      </c>
      <c r="E860" t="inlineStr">
        <is>
          <t>ÖSTHAMMAR</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34923-2023</t>
        </is>
      </c>
      <c r="B861" s="1" t="n">
        <v>45142</v>
      </c>
      <c r="C861" s="1" t="n">
        <v>45829</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34951-2023</t>
        </is>
      </c>
      <c r="B862" s="1" t="n">
        <v>45142</v>
      </c>
      <c r="C862" s="1" t="n">
        <v>45829</v>
      </c>
      <c r="D862" t="inlineStr">
        <is>
          <t>UPPSALA LÄN</t>
        </is>
      </c>
      <c r="E862" t="inlineStr">
        <is>
          <t>ÖSTHAMMAR</t>
        </is>
      </c>
      <c r="F862" t="inlineStr">
        <is>
          <t>Naturvårdsverket</t>
        </is>
      </c>
      <c r="G862" t="n">
        <v>4.8</v>
      </c>
      <c r="H862" t="n">
        <v>0</v>
      </c>
      <c r="I862" t="n">
        <v>0</v>
      </c>
      <c r="J862" t="n">
        <v>0</v>
      </c>
      <c r="K862" t="n">
        <v>0</v>
      </c>
      <c r="L862" t="n">
        <v>0</v>
      </c>
      <c r="M862" t="n">
        <v>0</v>
      </c>
      <c r="N862" t="n">
        <v>0</v>
      </c>
      <c r="O862" t="n">
        <v>0</v>
      </c>
      <c r="P862" t="n">
        <v>0</v>
      </c>
      <c r="Q862" t="n">
        <v>0</v>
      </c>
      <c r="R862" s="2" t="inlineStr"/>
    </row>
    <row r="863" ht="15" customHeight="1">
      <c r="A863" t="inlineStr">
        <is>
          <t>A 34922-2023</t>
        </is>
      </c>
      <c r="B863" s="1" t="n">
        <v>45142</v>
      </c>
      <c r="C863" s="1" t="n">
        <v>45829</v>
      </c>
      <c r="D863" t="inlineStr">
        <is>
          <t>UPPSALA LÄN</t>
        </is>
      </c>
      <c r="E863" t="inlineStr">
        <is>
          <t>ÖSTHAMMAR</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35403-2023</t>
        </is>
      </c>
      <c r="B864" s="1" t="n">
        <v>45146</v>
      </c>
      <c r="C864" s="1" t="n">
        <v>45829</v>
      </c>
      <c r="D864" t="inlineStr">
        <is>
          <t>UPPSALA LÄN</t>
        </is>
      </c>
      <c r="E864" t="inlineStr">
        <is>
          <t>ÖSTHAMMAR</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45829</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35413-2023</t>
        </is>
      </c>
      <c r="B866" s="1" t="n">
        <v>45146</v>
      </c>
      <c r="C866" s="1" t="n">
        <v>45829</v>
      </c>
      <c r="D866" t="inlineStr">
        <is>
          <t>UPPSALA LÄN</t>
        </is>
      </c>
      <c r="E866" t="inlineStr">
        <is>
          <t>ÖSTHAMMAR</t>
        </is>
      </c>
      <c r="F866" t="inlineStr">
        <is>
          <t>Bergvik skog öst AB</t>
        </is>
      </c>
      <c r="G866" t="n">
        <v>26.1</v>
      </c>
      <c r="H866" t="n">
        <v>0</v>
      </c>
      <c r="I866" t="n">
        <v>0</v>
      </c>
      <c r="J866" t="n">
        <v>0</v>
      </c>
      <c r="K866" t="n">
        <v>0</v>
      </c>
      <c r="L866" t="n">
        <v>0</v>
      </c>
      <c r="M866" t="n">
        <v>0</v>
      </c>
      <c r="N866" t="n">
        <v>0</v>
      </c>
      <c r="O866" t="n">
        <v>0</v>
      </c>
      <c r="P866" t="n">
        <v>0</v>
      </c>
      <c r="Q866" t="n">
        <v>0</v>
      </c>
      <c r="R866" s="2" t="inlineStr"/>
    </row>
    <row r="867" ht="15" customHeight="1">
      <c r="A867" t="inlineStr">
        <is>
          <t>A 35406-2023</t>
        </is>
      </c>
      <c r="B867" s="1" t="n">
        <v>45146</v>
      </c>
      <c r="C867" s="1" t="n">
        <v>45829</v>
      </c>
      <c r="D867" t="inlineStr">
        <is>
          <t>UPPSALA LÄN</t>
        </is>
      </c>
      <c r="E867" t="inlineStr">
        <is>
          <t>ÖSTHAMMAR</t>
        </is>
      </c>
      <c r="F867" t="inlineStr">
        <is>
          <t>Bergvik skog öst AB</t>
        </is>
      </c>
      <c r="G867" t="n">
        <v>1.7</v>
      </c>
      <c r="H867" t="n">
        <v>0</v>
      </c>
      <c r="I867" t="n">
        <v>0</v>
      </c>
      <c r="J867" t="n">
        <v>0</v>
      </c>
      <c r="K867" t="n">
        <v>0</v>
      </c>
      <c r="L867" t="n">
        <v>0</v>
      </c>
      <c r="M867" t="n">
        <v>0</v>
      </c>
      <c r="N867" t="n">
        <v>0</v>
      </c>
      <c r="O867" t="n">
        <v>0</v>
      </c>
      <c r="P867" t="n">
        <v>0</v>
      </c>
      <c r="Q867" t="n">
        <v>0</v>
      </c>
      <c r="R867" s="2" t="inlineStr"/>
    </row>
    <row r="868" ht="15" customHeight="1">
      <c r="A868" t="inlineStr">
        <is>
          <t>A 35410-2023</t>
        </is>
      </c>
      <c r="B868" s="1" t="n">
        <v>45146</v>
      </c>
      <c r="C868" s="1" t="n">
        <v>45829</v>
      </c>
      <c r="D868" t="inlineStr">
        <is>
          <t>UPPSALA LÄN</t>
        </is>
      </c>
      <c r="E868" t="inlineStr">
        <is>
          <t>ÖSTHAMMAR</t>
        </is>
      </c>
      <c r="F868" t="inlineStr">
        <is>
          <t>Bergvik skog öst AB</t>
        </is>
      </c>
      <c r="G868" t="n">
        <v>2.4</v>
      </c>
      <c r="H868" t="n">
        <v>0</v>
      </c>
      <c r="I868" t="n">
        <v>0</v>
      </c>
      <c r="J868" t="n">
        <v>0</v>
      </c>
      <c r="K868" t="n">
        <v>0</v>
      </c>
      <c r="L868" t="n">
        <v>0</v>
      </c>
      <c r="M868" t="n">
        <v>0</v>
      </c>
      <c r="N868" t="n">
        <v>0</v>
      </c>
      <c r="O868" t="n">
        <v>0</v>
      </c>
      <c r="P868" t="n">
        <v>0</v>
      </c>
      <c r="Q868" t="n">
        <v>0</v>
      </c>
      <c r="R868" s="2" t="inlineStr"/>
    </row>
    <row r="869" ht="15" customHeight="1">
      <c r="A869" t="inlineStr">
        <is>
          <t>A 35474-2023</t>
        </is>
      </c>
      <c r="B869" s="1" t="n">
        <v>45146</v>
      </c>
      <c r="C869" s="1" t="n">
        <v>45829</v>
      </c>
      <c r="D869" t="inlineStr">
        <is>
          <t>UPPSALA LÄN</t>
        </is>
      </c>
      <c r="E869" t="inlineStr">
        <is>
          <t>ÖSTHAMMAR</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35476-2023</t>
        </is>
      </c>
      <c r="B870" s="1" t="n">
        <v>45146</v>
      </c>
      <c r="C870" s="1" t="n">
        <v>45829</v>
      </c>
      <c r="D870" t="inlineStr">
        <is>
          <t>UPPSALA LÄN</t>
        </is>
      </c>
      <c r="E870" t="inlineStr">
        <is>
          <t>ÖSTHAMMAR</t>
        </is>
      </c>
      <c r="G870" t="n">
        <v>2.4</v>
      </c>
      <c r="H870" t="n">
        <v>0</v>
      </c>
      <c r="I870" t="n">
        <v>0</v>
      </c>
      <c r="J870" t="n">
        <v>0</v>
      </c>
      <c r="K870" t="n">
        <v>0</v>
      </c>
      <c r="L870" t="n">
        <v>0</v>
      </c>
      <c r="M870" t="n">
        <v>0</v>
      </c>
      <c r="N870" t="n">
        <v>0</v>
      </c>
      <c r="O870" t="n">
        <v>0</v>
      </c>
      <c r="P870" t="n">
        <v>0</v>
      </c>
      <c r="Q870" t="n">
        <v>0</v>
      </c>
      <c r="R870" s="2" t="inlineStr"/>
    </row>
    <row r="871" ht="15" customHeight="1">
      <c r="A871" t="inlineStr">
        <is>
          <t>A 35539-2023</t>
        </is>
      </c>
      <c r="B871" s="1" t="n">
        <v>45147</v>
      </c>
      <c r="C871" s="1" t="n">
        <v>45829</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35918-2023</t>
        </is>
      </c>
      <c r="B872" s="1" t="n">
        <v>45148</v>
      </c>
      <c r="C872" s="1" t="n">
        <v>45829</v>
      </c>
      <c r="D872" t="inlineStr">
        <is>
          <t>UPPSALA LÄN</t>
        </is>
      </c>
      <c r="E872" t="inlineStr">
        <is>
          <t>ÖSTHAMMAR</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36020-2023</t>
        </is>
      </c>
      <c r="B873" s="1" t="n">
        <v>45149</v>
      </c>
      <c r="C873" s="1" t="n">
        <v>45829</v>
      </c>
      <c r="D873" t="inlineStr">
        <is>
          <t>UPPSALA LÄN</t>
        </is>
      </c>
      <c r="E873" t="inlineStr">
        <is>
          <t>ÖSTHAMMAR</t>
        </is>
      </c>
      <c r="F873" t="inlineStr">
        <is>
          <t>Bergvik skog öst AB</t>
        </is>
      </c>
      <c r="G873" t="n">
        <v>6.8</v>
      </c>
      <c r="H873" t="n">
        <v>0</v>
      </c>
      <c r="I873" t="n">
        <v>0</v>
      </c>
      <c r="J873" t="n">
        <v>0</v>
      </c>
      <c r="K873" t="n">
        <v>0</v>
      </c>
      <c r="L873" t="n">
        <v>0</v>
      </c>
      <c r="M873" t="n">
        <v>0</v>
      </c>
      <c r="N873" t="n">
        <v>0</v>
      </c>
      <c r="O873" t="n">
        <v>0</v>
      </c>
      <c r="P873" t="n">
        <v>0</v>
      </c>
      <c r="Q873" t="n">
        <v>0</v>
      </c>
      <c r="R873" s="2" t="inlineStr"/>
    </row>
    <row r="874" ht="15" customHeight="1">
      <c r="A874" t="inlineStr">
        <is>
          <t>A 36301-2023</t>
        </is>
      </c>
      <c r="B874" s="1" t="n">
        <v>45152</v>
      </c>
      <c r="C874" s="1" t="n">
        <v>45829</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36447-2023</t>
        </is>
      </c>
      <c r="B875" s="1" t="n">
        <v>45152</v>
      </c>
      <c r="C875" s="1" t="n">
        <v>45829</v>
      </c>
      <c r="D875" t="inlineStr">
        <is>
          <t>UPPSALA LÄN</t>
        </is>
      </c>
      <c r="E875" t="inlineStr">
        <is>
          <t>ÖSTHAMMAR</t>
        </is>
      </c>
      <c r="F875" t="inlineStr">
        <is>
          <t>Bergvik skog öst AB</t>
        </is>
      </c>
      <c r="G875" t="n">
        <v>6.5</v>
      </c>
      <c r="H875" t="n">
        <v>0</v>
      </c>
      <c r="I875" t="n">
        <v>0</v>
      </c>
      <c r="J875" t="n">
        <v>0</v>
      </c>
      <c r="K875" t="n">
        <v>0</v>
      </c>
      <c r="L875" t="n">
        <v>0</v>
      </c>
      <c r="M875" t="n">
        <v>0</v>
      </c>
      <c r="N875" t="n">
        <v>0</v>
      </c>
      <c r="O875" t="n">
        <v>0</v>
      </c>
      <c r="P875" t="n">
        <v>0</v>
      </c>
      <c r="Q875" t="n">
        <v>0</v>
      </c>
      <c r="R875" s="2" t="inlineStr"/>
    </row>
    <row r="876" ht="15" customHeight="1">
      <c r="A876" t="inlineStr">
        <is>
          <t>A 36861-2023</t>
        </is>
      </c>
      <c r="B876" s="1" t="n">
        <v>45154</v>
      </c>
      <c r="C876" s="1" t="n">
        <v>45829</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36857-2023</t>
        </is>
      </c>
      <c r="B877" s="1" t="n">
        <v>45154</v>
      </c>
      <c r="C877" s="1" t="n">
        <v>45829</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36904-2023</t>
        </is>
      </c>
      <c r="B878" s="1" t="n">
        <v>45154</v>
      </c>
      <c r="C878" s="1" t="n">
        <v>45829</v>
      </c>
      <c r="D878" t="inlineStr">
        <is>
          <t>UPPSALA LÄN</t>
        </is>
      </c>
      <c r="E878" t="inlineStr">
        <is>
          <t>ÖSTHAMMAR</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37021-2023</t>
        </is>
      </c>
      <c r="B879" s="1" t="n">
        <v>45155</v>
      </c>
      <c r="C879" s="1" t="n">
        <v>45829</v>
      </c>
      <c r="D879" t="inlineStr">
        <is>
          <t>UPPSALA LÄN</t>
        </is>
      </c>
      <c r="E879" t="inlineStr">
        <is>
          <t>ÖSTHAMMAR</t>
        </is>
      </c>
      <c r="F879" t="inlineStr">
        <is>
          <t>Övriga Aktiebolag</t>
        </is>
      </c>
      <c r="G879" t="n">
        <v>3.8</v>
      </c>
      <c r="H879" t="n">
        <v>0</v>
      </c>
      <c r="I879" t="n">
        <v>0</v>
      </c>
      <c r="J879" t="n">
        <v>0</v>
      </c>
      <c r="K879" t="n">
        <v>0</v>
      </c>
      <c r="L879" t="n">
        <v>0</v>
      </c>
      <c r="M879" t="n">
        <v>0</v>
      </c>
      <c r="N879" t="n">
        <v>0</v>
      </c>
      <c r="O879" t="n">
        <v>0</v>
      </c>
      <c r="P879" t="n">
        <v>0</v>
      </c>
      <c r="Q879" t="n">
        <v>0</v>
      </c>
      <c r="R879" s="2" t="inlineStr"/>
    </row>
    <row r="880" ht="15" customHeight="1">
      <c r="A880" t="inlineStr">
        <is>
          <t>A 37478-2023</t>
        </is>
      </c>
      <c r="B880" s="1" t="n">
        <v>45157</v>
      </c>
      <c r="C880" s="1" t="n">
        <v>45829</v>
      </c>
      <c r="D880" t="inlineStr">
        <is>
          <t>UPPSALA LÄN</t>
        </is>
      </c>
      <c r="E880" t="inlineStr">
        <is>
          <t>ÖSTHAMMAR</t>
        </is>
      </c>
      <c r="F880" t="inlineStr">
        <is>
          <t>Bergvik skog öst AB</t>
        </is>
      </c>
      <c r="G880" t="n">
        <v>2</v>
      </c>
      <c r="H880" t="n">
        <v>0</v>
      </c>
      <c r="I880" t="n">
        <v>0</v>
      </c>
      <c r="J880" t="n">
        <v>0</v>
      </c>
      <c r="K880" t="n">
        <v>0</v>
      </c>
      <c r="L880" t="n">
        <v>0</v>
      </c>
      <c r="M880" t="n">
        <v>0</v>
      </c>
      <c r="N880" t="n">
        <v>0</v>
      </c>
      <c r="O880" t="n">
        <v>0</v>
      </c>
      <c r="P880" t="n">
        <v>0</v>
      </c>
      <c r="Q880" t="n">
        <v>0</v>
      </c>
      <c r="R880" s="2" t="inlineStr"/>
    </row>
    <row r="881" ht="15" customHeight="1">
      <c r="A881" t="inlineStr">
        <is>
          <t>A 37493-2023</t>
        </is>
      </c>
      <c r="B881" s="1" t="n">
        <v>45157</v>
      </c>
      <c r="C881" s="1" t="n">
        <v>45829</v>
      </c>
      <c r="D881" t="inlineStr">
        <is>
          <t>UPPSALA LÄN</t>
        </is>
      </c>
      <c r="E881" t="inlineStr">
        <is>
          <t>ÖSTHAMMAR</t>
        </is>
      </c>
      <c r="F881" t="inlineStr">
        <is>
          <t>Bergvik skog öst AB</t>
        </is>
      </c>
      <c r="G881" t="n">
        <v>3.3</v>
      </c>
      <c r="H881" t="n">
        <v>0</v>
      </c>
      <c r="I881" t="n">
        <v>0</v>
      </c>
      <c r="J881" t="n">
        <v>0</v>
      </c>
      <c r="K881" t="n">
        <v>0</v>
      </c>
      <c r="L881" t="n">
        <v>0</v>
      </c>
      <c r="M881" t="n">
        <v>0</v>
      </c>
      <c r="N881" t="n">
        <v>0</v>
      </c>
      <c r="O881" t="n">
        <v>0</v>
      </c>
      <c r="P881" t="n">
        <v>0</v>
      </c>
      <c r="Q881" t="n">
        <v>0</v>
      </c>
      <c r="R881" s="2" t="inlineStr"/>
    </row>
    <row r="882" ht="15" customHeight="1">
      <c r="A882" t="inlineStr">
        <is>
          <t>A 37494-2023</t>
        </is>
      </c>
      <c r="B882" s="1" t="n">
        <v>45157</v>
      </c>
      <c r="C882" s="1" t="n">
        <v>45829</v>
      </c>
      <c r="D882" t="inlineStr">
        <is>
          <t>UPPSALA LÄN</t>
        </is>
      </c>
      <c r="E882" t="inlineStr">
        <is>
          <t>ÖSTHAMMAR</t>
        </is>
      </c>
      <c r="F882" t="inlineStr">
        <is>
          <t>Bergvik skog öst AB</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37863-2023</t>
        </is>
      </c>
      <c r="B883" s="1" t="n">
        <v>45160</v>
      </c>
      <c r="C883" s="1" t="n">
        <v>45829</v>
      </c>
      <c r="D883" t="inlineStr">
        <is>
          <t>UPPSALA LÄN</t>
        </is>
      </c>
      <c r="E883" t="inlineStr">
        <is>
          <t>ÖSTHAMMAR</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37865-2023</t>
        </is>
      </c>
      <c r="B884" s="1" t="n">
        <v>45160</v>
      </c>
      <c r="C884" s="1" t="n">
        <v>45829</v>
      </c>
      <c r="D884" t="inlineStr">
        <is>
          <t>UPPSALA LÄN</t>
        </is>
      </c>
      <c r="E884" t="inlineStr">
        <is>
          <t>ÖSTHAMMAR</t>
        </is>
      </c>
      <c r="G884" t="n">
        <v>1.4</v>
      </c>
      <c r="H884" t="n">
        <v>0</v>
      </c>
      <c r="I884" t="n">
        <v>0</v>
      </c>
      <c r="J884" t="n">
        <v>0</v>
      </c>
      <c r="K884" t="n">
        <v>0</v>
      </c>
      <c r="L884" t="n">
        <v>0</v>
      </c>
      <c r="M884" t="n">
        <v>0</v>
      </c>
      <c r="N884" t="n">
        <v>0</v>
      </c>
      <c r="O884" t="n">
        <v>0</v>
      </c>
      <c r="P884" t="n">
        <v>0</v>
      </c>
      <c r="Q884" t="n">
        <v>0</v>
      </c>
      <c r="R884" s="2" t="inlineStr"/>
    </row>
    <row r="885" ht="15" customHeight="1">
      <c r="A885" t="inlineStr">
        <is>
          <t>A 38039-2023</t>
        </is>
      </c>
      <c r="B885" s="1" t="n">
        <v>45160</v>
      </c>
      <c r="C885" s="1" t="n">
        <v>45829</v>
      </c>
      <c r="D885" t="inlineStr">
        <is>
          <t>UPPSALA LÄN</t>
        </is>
      </c>
      <c r="E885" t="inlineStr">
        <is>
          <t>ÖSTHAMMAR</t>
        </is>
      </c>
      <c r="F885" t="inlineStr">
        <is>
          <t>Bergvik skog öst AB</t>
        </is>
      </c>
      <c r="G885" t="n">
        <v>6.2</v>
      </c>
      <c r="H885" t="n">
        <v>0</v>
      </c>
      <c r="I885" t="n">
        <v>0</v>
      </c>
      <c r="J885" t="n">
        <v>0</v>
      </c>
      <c r="K885" t="n">
        <v>0</v>
      </c>
      <c r="L885" t="n">
        <v>0</v>
      </c>
      <c r="M885" t="n">
        <v>0</v>
      </c>
      <c r="N885" t="n">
        <v>0</v>
      </c>
      <c r="O885" t="n">
        <v>0</v>
      </c>
      <c r="P885" t="n">
        <v>0</v>
      </c>
      <c r="Q885" t="n">
        <v>0</v>
      </c>
      <c r="R885" s="2" t="inlineStr"/>
    </row>
    <row r="886" ht="15" customHeight="1">
      <c r="A886" t="inlineStr">
        <is>
          <t>A 38228-2023</t>
        </is>
      </c>
      <c r="B886" s="1" t="n">
        <v>45160</v>
      </c>
      <c r="C886" s="1" t="n">
        <v>45829</v>
      </c>
      <c r="D886" t="inlineStr">
        <is>
          <t>UPPSALA LÄN</t>
        </is>
      </c>
      <c r="E886" t="inlineStr">
        <is>
          <t>ÖSTHAMMAR</t>
        </is>
      </c>
      <c r="G886" t="n">
        <v>19.2</v>
      </c>
      <c r="H886" t="n">
        <v>0</v>
      </c>
      <c r="I886" t="n">
        <v>0</v>
      </c>
      <c r="J886" t="n">
        <v>0</v>
      </c>
      <c r="K886" t="n">
        <v>0</v>
      </c>
      <c r="L886" t="n">
        <v>0</v>
      </c>
      <c r="M886" t="n">
        <v>0</v>
      </c>
      <c r="N886" t="n">
        <v>0</v>
      </c>
      <c r="O886" t="n">
        <v>0</v>
      </c>
      <c r="P886" t="n">
        <v>0</v>
      </c>
      <c r="Q886" t="n">
        <v>0</v>
      </c>
      <c r="R886" s="2" t="inlineStr"/>
    </row>
    <row r="887" ht="15" customHeight="1">
      <c r="A887" t="inlineStr">
        <is>
          <t>A 38127-2023</t>
        </is>
      </c>
      <c r="B887" s="1" t="n">
        <v>45161</v>
      </c>
      <c r="C887" s="1" t="n">
        <v>45829</v>
      </c>
      <c r="D887" t="inlineStr">
        <is>
          <t>UPPSALA LÄN</t>
        </is>
      </c>
      <c r="E887" t="inlineStr">
        <is>
          <t>ÖSTHAMMAR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38162-2023</t>
        </is>
      </c>
      <c r="B888" s="1" t="n">
        <v>45161</v>
      </c>
      <c r="C888" s="1" t="n">
        <v>45829</v>
      </c>
      <c r="D888" t="inlineStr">
        <is>
          <t>UPPSALA LÄN</t>
        </is>
      </c>
      <c r="E888" t="inlineStr">
        <is>
          <t>ÖSTHAMMAR</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38128-2023</t>
        </is>
      </c>
      <c r="B889" s="1" t="n">
        <v>45161</v>
      </c>
      <c r="C889" s="1" t="n">
        <v>45829</v>
      </c>
      <c r="D889" t="inlineStr">
        <is>
          <t>UPPSALA LÄN</t>
        </is>
      </c>
      <c r="E889" t="inlineStr">
        <is>
          <t>ÖSTHAMMAR</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38600-2023</t>
        </is>
      </c>
      <c r="B890" s="1" t="n">
        <v>45162</v>
      </c>
      <c r="C890" s="1" t="n">
        <v>45829</v>
      </c>
      <c r="D890" t="inlineStr">
        <is>
          <t>UPPSALA LÄN</t>
        </is>
      </c>
      <c r="E890" t="inlineStr">
        <is>
          <t>ÖSTHAMMAR</t>
        </is>
      </c>
      <c r="F890" t="inlineStr">
        <is>
          <t>Bergvik skog väst AB</t>
        </is>
      </c>
      <c r="G890" t="n">
        <v>0.1</v>
      </c>
      <c r="H890" t="n">
        <v>0</v>
      </c>
      <c r="I890" t="n">
        <v>0</v>
      </c>
      <c r="J890" t="n">
        <v>0</v>
      </c>
      <c r="K890" t="n">
        <v>0</v>
      </c>
      <c r="L890" t="n">
        <v>0</v>
      </c>
      <c r="M890" t="n">
        <v>0</v>
      </c>
      <c r="N890" t="n">
        <v>0</v>
      </c>
      <c r="O890" t="n">
        <v>0</v>
      </c>
      <c r="P890" t="n">
        <v>0</v>
      </c>
      <c r="Q890" t="n">
        <v>0</v>
      </c>
      <c r="R890" s="2" t="inlineStr"/>
    </row>
    <row r="891" ht="15" customHeight="1">
      <c r="A891" t="inlineStr">
        <is>
          <t>A 38610-2023</t>
        </is>
      </c>
      <c r="B891" s="1" t="n">
        <v>45162</v>
      </c>
      <c r="C891" s="1" t="n">
        <v>45829</v>
      </c>
      <c r="D891" t="inlineStr">
        <is>
          <t>UPPSALA LÄN</t>
        </is>
      </c>
      <c r="E891" t="inlineStr">
        <is>
          <t>ÖSTHAMMAR</t>
        </is>
      </c>
      <c r="F891" t="inlineStr">
        <is>
          <t>Bergvik skog öst AB</t>
        </is>
      </c>
      <c r="G891" t="n">
        <v>3.5</v>
      </c>
      <c r="H891" t="n">
        <v>0</v>
      </c>
      <c r="I891" t="n">
        <v>0</v>
      </c>
      <c r="J891" t="n">
        <v>0</v>
      </c>
      <c r="K891" t="n">
        <v>0</v>
      </c>
      <c r="L891" t="n">
        <v>0</v>
      </c>
      <c r="M891" t="n">
        <v>0</v>
      </c>
      <c r="N891" t="n">
        <v>0</v>
      </c>
      <c r="O891" t="n">
        <v>0</v>
      </c>
      <c r="P891" t="n">
        <v>0</v>
      </c>
      <c r="Q891" t="n">
        <v>0</v>
      </c>
      <c r="R891" s="2" t="inlineStr"/>
    </row>
    <row r="892" ht="15" customHeight="1">
      <c r="A892" t="inlineStr">
        <is>
          <t>A 38571-2023</t>
        </is>
      </c>
      <c r="B892" s="1" t="n">
        <v>45162</v>
      </c>
      <c r="C892" s="1" t="n">
        <v>45829</v>
      </c>
      <c r="D892" t="inlineStr">
        <is>
          <t>UPPSALA LÄN</t>
        </is>
      </c>
      <c r="E892" t="inlineStr">
        <is>
          <t>ÖSTHAMMAR</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38711-2023</t>
        </is>
      </c>
      <c r="B893" s="1" t="n">
        <v>45163</v>
      </c>
      <c r="C893" s="1" t="n">
        <v>45829</v>
      </c>
      <c r="D893" t="inlineStr">
        <is>
          <t>UPPSALA LÄN</t>
        </is>
      </c>
      <c r="E893" t="inlineStr">
        <is>
          <t>ÖSTHAMMAR</t>
        </is>
      </c>
      <c r="G893" t="n">
        <v>5.4</v>
      </c>
      <c r="H893" t="n">
        <v>0</v>
      </c>
      <c r="I893" t="n">
        <v>0</v>
      </c>
      <c r="J893" t="n">
        <v>0</v>
      </c>
      <c r="K893" t="n">
        <v>0</v>
      </c>
      <c r="L893" t="n">
        <v>0</v>
      </c>
      <c r="M893" t="n">
        <v>0</v>
      </c>
      <c r="N893" t="n">
        <v>0</v>
      </c>
      <c r="O893" t="n">
        <v>0</v>
      </c>
      <c r="P893" t="n">
        <v>0</v>
      </c>
      <c r="Q893" t="n">
        <v>0</v>
      </c>
      <c r="R893" s="2" t="inlineStr"/>
    </row>
    <row r="894" ht="15" customHeight="1">
      <c r="A894" t="inlineStr">
        <is>
          <t>A 40176-2023</t>
        </is>
      </c>
      <c r="B894" s="1" t="n">
        <v>45169</v>
      </c>
      <c r="C894" s="1" t="n">
        <v>45829</v>
      </c>
      <c r="D894" t="inlineStr">
        <is>
          <t>UPPSALA LÄN</t>
        </is>
      </c>
      <c r="E894" t="inlineStr">
        <is>
          <t>ÖSTHAMMAR</t>
        </is>
      </c>
      <c r="F894" t="inlineStr">
        <is>
          <t>Bergvik skog öst AB</t>
        </is>
      </c>
      <c r="G894" t="n">
        <v>29.9</v>
      </c>
      <c r="H894" t="n">
        <v>0</v>
      </c>
      <c r="I894" t="n">
        <v>0</v>
      </c>
      <c r="J894" t="n">
        <v>0</v>
      </c>
      <c r="K894" t="n">
        <v>0</v>
      </c>
      <c r="L894" t="n">
        <v>0</v>
      </c>
      <c r="M894" t="n">
        <v>0</v>
      </c>
      <c r="N894" t="n">
        <v>0</v>
      </c>
      <c r="O894" t="n">
        <v>0</v>
      </c>
      <c r="P894" t="n">
        <v>0</v>
      </c>
      <c r="Q894" t="n">
        <v>0</v>
      </c>
      <c r="R894" s="2" t="inlineStr"/>
    </row>
    <row r="895" ht="15" customHeight="1">
      <c r="A895" t="inlineStr">
        <is>
          <t>A 40547-2023</t>
        </is>
      </c>
      <c r="B895" s="1" t="n">
        <v>45170</v>
      </c>
      <c r="C895" s="1" t="n">
        <v>45829</v>
      </c>
      <c r="D895" t="inlineStr">
        <is>
          <t>UPPSALA LÄN</t>
        </is>
      </c>
      <c r="E895" t="inlineStr">
        <is>
          <t>ÖSTHAMMAR</t>
        </is>
      </c>
      <c r="G895" t="n">
        <v>2.1</v>
      </c>
      <c r="H895" t="n">
        <v>0</v>
      </c>
      <c r="I895" t="n">
        <v>0</v>
      </c>
      <c r="J895" t="n">
        <v>0</v>
      </c>
      <c r="K895" t="n">
        <v>0</v>
      </c>
      <c r="L895" t="n">
        <v>0</v>
      </c>
      <c r="M895" t="n">
        <v>0</v>
      </c>
      <c r="N895" t="n">
        <v>0</v>
      </c>
      <c r="O895" t="n">
        <v>0</v>
      </c>
      <c r="P895" t="n">
        <v>0</v>
      </c>
      <c r="Q895" t="n">
        <v>0</v>
      </c>
      <c r="R895" s="2" t="inlineStr"/>
    </row>
    <row r="896" ht="15" customHeight="1">
      <c r="A896" t="inlineStr">
        <is>
          <t>A 40837-2023</t>
        </is>
      </c>
      <c r="B896" s="1" t="n">
        <v>45172</v>
      </c>
      <c r="C896" s="1" t="n">
        <v>45829</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40938-2023</t>
        </is>
      </c>
      <c r="B897" s="1" t="n">
        <v>45173</v>
      </c>
      <c r="C897" s="1" t="n">
        <v>45829</v>
      </c>
      <c r="D897" t="inlineStr">
        <is>
          <t>UPPSALA LÄN</t>
        </is>
      </c>
      <c r="E897" t="inlineStr">
        <is>
          <t>ÖSTHAMMAR</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40946-2023</t>
        </is>
      </c>
      <c r="B898" s="1" t="n">
        <v>45173</v>
      </c>
      <c r="C898" s="1" t="n">
        <v>45829</v>
      </c>
      <c r="D898" t="inlineStr">
        <is>
          <t>UPPSALA LÄN</t>
        </is>
      </c>
      <c r="E898" t="inlineStr">
        <is>
          <t>ÖSTHAMMAR</t>
        </is>
      </c>
      <c r="F898" t="inlineStr">
        <is>
          <t>Bergvik skog öst AB</t>
        </is>
      </c>
      <c r="G898" t="n">
        <v>4</v>
      </c>
      <c r="H898" t="n">
        <v>0</v>
      </c>
      <c r="I898" t="n">
        <v>0</v>
      </c>
      <c r="J898" t="n">
        <v>0</v>
      </c>
      <c r="K898" t="n">
        <v>0</v>
      </c>
      <c r="L898" t="n">
        <v>0</v>
      </c>
      <c r="M898" t="n">
        <v>0</v>
      </c>
      <c r="N898" t="n">
        <v>0</v>
      </c>
      <c r="O898" t="n">
        <v>0</v>
      </c>
      <c r="P898" t="n">
        <v>0</v>
      </c>
      <c r="Q898" t="n">
        <v>0</v>
      </c>
      <c r="R898" s="2" t="inlineStr"/>
    </row>
    <row r="899" ht="15" customHeight="1">
      <c r="A899" t="inlineStr">
        <is>
          <t>A 40952-2023</t>
        </is>
      </c>
      <c r="B899" s="1" t="n">
        <v>45173</v>
      </c>
      <c r="C899" s="1" t="n">
        <v>45829</v>
      </c>
      <c r="D899" t="inlineStr">
        <is>
          <t>UPPSALA LÄN</t>
        </is>
      </c>
      <c r="E899" t="inlineStr">
        <is>
          <t>ÖSTHAMMAR</t>
        </is>
      </c>
      <c r="F899" t="inlineStr">
        <is>
          <t>Bergvik skog öst AB</t>
        </is>
      </c>
      <c r="G899" t="n">
        <v>4.4</v>
      </c>
      <c r="H899" t="n">
        <v>0</v>
      </c>
      <c r="I899" t="n">
        <v>0</v>
      </c>
      <c r="J899" t="n">
        <v>0</v>
      </c>
      <c r="K899" t="n">
        <v>0</v>
      </c>
      <c r="L899" t="n">
        <v>0</v>
      </c>
      <c r="M899" t="n">
        <v>0</v>
      </c>
      <c r="N899" t="n">
        <v>0</v>
      </c>
      <c r="O899" t="n">
        <v>0</v>
      </c>
      <c r="P899" t="n">
        <v>0</v>
      </c>
      <c r="Q899" t="n">
        <v>0</v>
      </c>
      <c r="R899" s="2" t="inlineStr"/>
    </row>
    <row r="900" ht="15" customHeight="1">
      <c r="A900" t="inlineStr">
        <is>
          <t>A 41308-2023</t>
        </is>
      </c>
      <c r="B900" s="1" t="n">
        <v>45174</v>
      </c>
      <c r="C900" s="1" t="n">
        <v>45829</v>
      </c>
      <c r="D900" t="inlineStr">
        <is>
          <t>UPPSALA LÄN</t>
        </is>
      </c>
      <c r="E900" t="inlineStr">
        <is>
          <t>ÖSTHAMMAR</t>
        </is>
      </c>
      <c r="F900" t="inlineStr">
        <is>
          <t>Övriga Aktiebolag</t>
        </is>
      </c>
      <c r="G900" t="n">
        <v>2.8</v>
      </c>
      <c r="H900" t="n">
        <v>0</v>
      </c>
      <c r="I900" t="n">
        <v>0</v>
      </c>
      <c r="J900" t="n">
        <v>0</v>
      </c>
      <c r="K900" t="n">
        <v>0</v>
      </c>
      <c r="L900" t="n">
        <v>0</v>
      </c>
      <c r="M900" t="n">
        <v>0</v>
      </c>
      <c r="N900" t="n">
        <v>0</v>
      </c>
      <c r="O900" t="n">
        <v>0</v>
      </c>
      <c r="P900" t="n">
        <v>0</v>
      </c>
      <c r="Q900" t="n">
        <v>0</v>
      </c>
      <c r="R900" s="2" t="inlineStr"/>
    </row>
    <row r="901" ht="15" customHeight="1">
      <c r="A901" t="inlineStr">
        <is>
          <t>A 41489-2023</t>
        </is>
      </c>
      <c r="B901" s="1" t="n">
        <v>45175</v>
      </c>
      <c r="C901" s="1" t="n">
        <v>45829</v>
      </c>
      <c r="D901" t="inlineStr">
        <is>
          <t>UPPSALA LÄN</t>
        </is>
      </c>
      <c r="E901" t="inlineStr">
        <is>
          <t>ÖSTHAMMAR</t>
        </is>
      </c>
      <c r="F901" t="inlineStr">
        <is>
          <t>Bergvik skog öst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41821-2023</t>
        </is>
      </c>
      <c r="B902" s="1" t="n">
        <v>45176</v>
      </c>
      <c r="C902" s="1" t="n">
        <v>45829</v>
      </c>
      <c r="D902" t="inlineStr">
        <is>
          <t>UPPSALA LÄN</t>
        </is>
      </c>
      <c r="E902" t="inlineStr">
        <is>
          <t>ÖSTHAMMAR</t>
        </is>
      </c>
      <c r="G902" t="n">
        <v>0.9</v>
      </c>
      <c r="H902" t="n">
        <v>0</v>
      </c>
      <c r="I902" t="n">
        <v>0</v>
      </c>
      <c r="J902" t="n">
        <v>0</v>
      </c>
      <c r="K902" t="n">
        <v>0</v>
      </c>
      <c r="L902" t="n">
        <v>0</v>
      </c>
      <c r="M902" t="n">
        <v>0</v>
      </c>
      <c r="N902" t="n">
        <v>0</v>
      </c>
      <c r="O902" t="n">
        <v>0</v>
      </c>
      <c r="P902" t="n">
        <v>0</v>
      </c>
      <c r="Q902" t="n">
        <v>0</v>
      </c>
      <c r="R902" s="2" t="inlineStr"/>
    </row>
    <row r="903" ht="15" customHeight="1">
      <c r="A903" t="inlineStr">
        <is>
          <t>A 41829-2023</t>
        </is>
      </c>
      <c r="B903" s="1" t="n">
        <v>45176</v>
      </c>
      <c r="C903" s="1" t="n">
        <v>45829</v>
      </c>
      <c r="D903" t="inlineStr">
        <is>
          <t>UPPSALA LÄN</t>
        </is>
      </c>
      <c r="E903" t="inlineStr">
        <is>
          <t>ÖSTHAMMAR</t>
        </is>
      </c>
      <c r="G903" t="n">
        <v>1.3</v>
      </c>
      <c r="H903" t="n">
        <v>0</v>
      </c>
      <c r="I903" t="n">
        <v>0</v>
      </c>
      <c r="J903" t="n">
        <v>0</v>
      </c>
      <c r="K903" t="n">
        <v>0</v>
      </c>
      <c r="L903" t="n">
        <v>0</v>
      </c>
      <c r="M903" t="n">
        <v>0</v>
      </c>
      <c r="N903" t="n">
        <v>0</v>
      </c>
      <c r="O903" t="n">
        <v>0</v>
      </c>
      <c r="P903" t="n">
        <v>0</v>
      </c>
      <c r="Q903" t="n">
        <v>0</v>
      </c>
      <c r="R903" s="2" t="inlineStr"/>
    </row>
    <row r="904" ht="15" customHeight="1">
      <c r="A904" t="inlineStr">
        <is>
          <t>A 43732-2023</t>
        </is>
      </c>
      <c r="B904" s="1" t="n">
        <v>45187</v>
      </c>
      <c r="C904" s="1" t="n">
        <v>45829</v>
      </c>
      <c r="D904" t="inlineStr">
        <is>
          <t>UPPSALA LÄN</t>
        </is>
      </c>
      <c r="E904" t="inlineStr">
        <is>
          <t>ÖSTHAMMAR</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43925-2023</t>
        </is>
      </c>
      <c r="B905" s="1" t="n">
        <v>45187</v>
      </c>
      <c r="C905" s="1" t="n">
        <v>45829</v>
      </c>
      <c r="D905" t="inlineStr">
        <is>
          <t>UPPSALA LÄN</t>
        </is>
      </c>
      <c r="E905" t="inlineStr">
        <is>
          <t>ÖSTHAMMAR</t>
        </is>
      </c>
      <c r="F905" t="inlineStr">
        <is>
          <t>Allmännings- och besparingsskogar</t>
        </is>
      </c>
      <c r="G905" t="n">
        <v>20.8</v>
      </c>
      <c r="H905" t="n">
        <v>0</v>
      </c>
      <c r="I905" t="n">
        <v>0</v>
      </c>
      <c r="J905" t="n">
        <v>0</v>
      </c>
      <c r="K905" t="n">
        <v>0</v>
      </c>
      <c r="L905" t="n">
        <v>0</v>
      </c>
      <c r="M905" t="n">
        <v>0</v>
      </c>
      <c r="N905" t="n">
        <v>0</v>
      </c>
      <c r="O905" t="n">
        <v>0</v>
      </c>
      <c r="P905" t="n">
        <v>0</v>
      </c>
      <c r="Q905" t="n">
        <v>0</v>
      </c>
      <c r="R905" s="2" t="inlineStr"/>
    </row>
    <row r="906" ht="15" customHeight="1">
      <c r="A906" t="inlineStr">
        <is>
          <t>A 43915-2023</t>
        </is>
      </c>
      <c r="B906" s="1" t="n">
        <v>45187</v>
      </c>
      <c r="C906" s="1" t="n">
        <v>45829</v>
      </c>
      <c r="D906" t="inlineStr">
        <is>
          <t>UPPSALA LÄN</t>
        </is>
      </c>
      <c r="E906" t="inlineStr">
        <is>
          <t>ÖSTHAMMAR</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43838-2023</t>
        </is>
      </c>
      <c r="B907" s="1" t="n">
        <v>45187</v>
      </c>
      <c r="C907" s="1" t="n">
        <v>45829</v>
      </c>
      <c r="D907" t="inlineStr">
        <is>
          <t>UPPSALA LÄN</t>
        </is>
      </c>
      <c r="E907" t="inlineStr">
        <is>
          <t>ÖSTHAMMAR</t>
        </is>
      </c>
      <c r="G907" t="n">
        <v>1.5</v>
      </c>
      <c r="H907" t="n">
        <v>0</v>
      </c>
      <c r="I907" t="n">
        <v>0</v>
      </c>
      <c r="J907" t="n">
        <v>0</v>
      </c>
      <c r="K907" t="n">
        <v>0</v>
      </c>
      <c r="L907" t="n">
        <v>0</v>
      </c>
      <c r="M907" t="n">
        <v>0</v>
      </c>
      <c r="N907" t="n">
        <v>0</v>
      </c>
      <c r="O907" t="n">
        <v>0</v>
      </c>
      <c r="P907" t="n">
        <v>0</v>
      </c>
      <c r="Q907" t="n">
        <v>0</v>
      </c>
      <c r="R907" s="2" t="inlineStr"/>
    </row>
    <row r="908" ht="15" customHeight="1">
      <c r="A908" t="inlineStr">
        <is>
          <t>A 44636-2023</t>
        </is>
      </c>
      <c r="B908" s="1" t="n">
        <v>45189</v>
      </c>
      <c r="C908" s="1" t="n">
        <v>45829</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44614-2023</t>
        </is>
      </c>
      <c r="B909" s="1" t="n">
        <v>45189</v>
      </c>
      <c r="C909" s="1" t="n">
        <v>45829</v>
      </c>
      <c r="D909" t="inlineStr">
        <is>
          <t>UPPSALA LÄN</t>
        </is>
      </c>
      <c r="E909" t="inlineStr">
        <is>
          <t>ÖSTHAMMAR</t>
        </is>
      </c>
      <c r="F909" t="inlineStr">
        <is>
          <t>Övriga Aktiebolag</t>
        </is>
      </c>
      <c r="G909" t="n">
        <v>17.8</v>
      </c>
      <c r="H909" t="n">
        <v>0</v>
      </c>
      <c r="I909" t="n">
        <v>0</v>
      </c>
      <c r="J909" t="n">
        <v>0</v>
      </c>
      <c r="K909" t="n">
        <v>0</v>
      </c>
      <c r="L909" t="n">
        <v>0</v>
      </c>
      <c r="M909" t="n">
        <v>0</v>
      </c>
      <c r="N909" t="n">
        <v>0</v>
      </c>
      <c r="O909" t="n">
        <v>0</v>
      </c>
      <c r="P909" t="n">
        <v>0</v>
      </c>
      <c r="Q909" t="n">
        <v>0</v>
      </c>
      <c r="R909" s="2" t="inlineStr"/>
    </row>
    <row r="910" ht="15" customHeight="1">
      <c r="A910" t="inlineStr">
        <is>
          <t>A 45307-2023</t>
        </is>
      </c>
      <c r="B910" s="1" t="n">
        <v>45191</v>
      </c>
      <c r="C910" s="1" t="n">
        <v>45829</v>
      </c>
      <c r="D910" t="inlineStr">
        <is>
          <t>UPPSALA LÄN</t>
        </is>
      </c>
      <c r="E910" t="inlineStr">
        <is>
          <t>ÖSTHAMMAR</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45550-2023</t>
        </is>
      </c>
      <c r="B911" s="1" t="n">
        <v>45194</v>
      </c>
      <c r="C911" s="1" t="n">
        <v>45829</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45580-2023</t>
        </is>
      </c>
      <c r="B912" s="1" t="n">
        <v>45194</v>
      </c>
      <c r="C912" s="1" t="n">
        <v>45829</v>
      </c>
      <c r="D912" t="inlineStr">
        <is>
          <t>UPPSALA LÄN</t>
        </is>
      </c>
      <c r="E912" t="inlineStr">
        <is>
          <t>ÖSTHAMMAR</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45655-2023</t>
        </is>
      </c>
      <c r="B913" s="1" t="n">
        <v>45194</v>
      </c>
      <c r="C913" s="1" t="n">
        <v>45829</v>
      </c>
      <c r="D913" t="inlineStr">
        <is>
          <t>UPPSALA LÄN</t>
        </is>
      </c>
      <c r="E913" t="inlineStr">
        <is>
          <t>ÖSTHAMMAR</t>
        </is>
      </c>
      <c r="F913" t="inlineStr">
        <is>
          <t>Bergvik skog öst AB</t>
        </is>
      </c>
      <c r="G913" t="n">
        <v>6.4</v>
      </c>
      <c r="H913" t="n">
        <v>0</v>
      </c>
      <c r="I913" t="n">
        <v>0</v>
      </c>
      <c r="J913" t="n">
        <v>0</v>
      </c>
      <c r="K913" t="n">
        <v>0</v>
      </c>
      <c r="L913" t="n">
        <v>0</v>
      </c>
      <c r="M913" t="n">
        <v>0</v>
      </c>
      <c r="N913" t="n">
        <v>0</v>
      </c>
      <c r="O913" t="n">
        <v>0</v>
      </c>
      <c r="P913" t="n">
        <v>0</v>
      </c>
      <c r="Q913" t="n">
        <v>0</v>
      </c>
      <c r="R913" s="2" t="inlineStr"/>
    </row>
    <row r="914" ht="15" customHeight="1">
      <c r="A914" t="inlineStr">
        <is>
          <t>A 45561-2023</t>
        </is>
      </c>
      <c r="B914" s="1" t="n">
        <v>45194</v>
      </c>
      <c r="C914" s="1" t="n">
        <v>45829</v>
      </c>
      <c r="D914" t="inlineStr">
        <is>
          <t>UPPSALA LÄN</t>
        </is>
      </c>
      <c r="E914" t="inlineStr">
        <is>
          <t>ÖSTHAMMAR</t>
        </is>
      </c>
      <c r="F914" t="inlineStr">
        <is>
          <t>Bergvik skog öst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45618-2023</t>
        </is>
      </c>
      <c r="B915" s="1" t="n">
        <v>45194</v>
      </c>
      <c r="C915" s="1" t="n">
        <v>45829</v>
      </c>
      <c r="D915" t="inlineStr">
        <is>
          <t>UPPSALA LÄN</t>
        </is>
      </c>
      <c r="E915" t="inlineStr">
        <is>
          <t>ÖSTHAMMAR</t>
        </is>
      </c>
      <c r="F915" t="inlineStr">
        <is>
          <t>Bergvik skog öst AB</t>
        </is>
      </c>
      <c r="G915" t="n">
        <v>1.8</v>
      </c>
      <c r="H915" t="n">
        <v>0</v>
      </c>
      <c r="I915" t="n">
        <v>0</v>
      </c>
      <c r="J915" t="n">
        <v>0</v>
      </c>
      <c r="K915" t="n">
        <v>0</v>
      </c>
      <c r="L915" t="n">
        <v>0</v>
      </c>
      <c r="M915" t="n">
        <v>0</v>
      </c>
      <c r="N915" t="n">
        <v>0</v>
      </c>
      <c r="O915" t="n">
        <v>0</v>
      </c>
      <c r="P915" t="n">
        <v>0</v>
      </c>
      <c r="Q915" t="n">
        <v>0</v>
      </c>
      <c r="R915" s="2" t="inlineStr"/>
    </row>
    <row r="916" ht="15" customHeight="1">
      <c r="A916" t="inlineStr">
        <is>
          <t>A 45635-2023</t>
        </is>
      </c>
      <c r="B916" s="1" t="n">
        <v>45194</v>
      </c>
      <c r="C916" s="1" t="n">
        <v>45829</v>
      </c>
      <c r="D916" t="inlineStr">
        <is>
          <t>UPPSALA LÄN</t>
        </is>
      </c>
      <c r="E916" t="inlineStr">
        <is>
          <t>ÖSTHAMMAR</t>
        </is>
      </c>
      <c r="F916" t="inlineStr">
        <is>
          <t>Bergvik skog öst AB</t>
        </is>
      </c>
      <c r="G916" t="n">
        <v>2.3</v>
      </c>
      <c r="H916" t="n">
        <v>0</v>
      </c>
      <c r="I916" t="n">
        <v>0</v>
      </c>
      <c r="J916" t="n">
        <v>0</v>
      </c>
      <c r="K916" t="n">
        <v>0</v>
      </c>
      <c r="L916" t="n">
        <v>0</v>
      </c>
      <c r="M916" t="n">
        <v>0</v>
      </c>
      <c r="N916" t="n">
        <v>0</v>
      </c>
      <c r="O916" t="n">
        <v>0</v>
      </c>
      <c r="P916" t="n">
        <v>0</v>
      </c>
      <c r="Q916" t="n">
        <v>0</v>
      </c>
      <c r="R916" s="2" t="inlineStr"/>
    </row>
    <row r="917" ht="15" customHeight="1">
      <c r="A917" t="inlineStr">
        <is>
          <t>A 45646-2023</t>
        </is>
      </c>
      <c r="B917" s="1" t="n">
        <v>45194</v>
      </c>
      <c r="C917" s="1" t="n">
        <v>45829</v>
      </c>
      <c r="D917" t="inlineStr">
        <is>
          <t>UPPSALA LÄN</t>
        </is>
      </c>
      <c r="E917" t="inlineStr">
        <is>
          <t>ÖSTHAMMAR</t>
        </is>
      </c>
      <c r="F917" t="inlineStr">
        <is>
          <t>Bergvik skog öst AB</t>
        </is>
      </c>
      <c r="G917" t="n">
        <v>3.5</v>
      </c>
      <c r="H917" t="n">
        <v>0</v>
      </c>
      <c r="I917" t="n">
        <v>0</v>
      </c>
      <c r="J917" t="n">
        <v>0</v>
      </c>
      <c r="K917" t="n">
        <v>0</v>
      </c>
      <c r="L917" t="n">
        <v>0</v>
      </c>
      <c r="M917" t="n">
        <v>0</v>
      </c>
      <c r="N917" t="n">
        <v>0</v>
      </c>
      <c r="O917" t="n">
        <v>0</v>
      </c>
      <c r="P917" t="n">
        <v>0</v>
      </c>
      <c r="Q917" t="n">
        <v>0</v>
      </c>
      <c r="R917" s="2" t="inlineStr"/>
    </row>
    <row r="918" ht="15" customHeight="1">
      <c r="A918" t="inlineStr">
        <is>
          <t>A 46485-2023</t>
        </is>
      </c>
      <c r="B918" s="1" t="n">
        <v>45194</v>
      </c>
      <c r="C918" s="1" t="n">
        <v>45829</v>
      </c>
      <c r="D918" t="inlineStr">
        <is>
          <t>UPPSALA LÄN</t>
        </is>
      </c>
      <c r="E918" t="inlineStr">
        <is>
          <t>ÖSTHAMMAR</t>
        </is>
      </c>
      <c r="G918" t="n">
        <v>1</v>
      </c>
      <c r="H918" t="n">
        <v>0</v>
      </c>
      <c r="I918" t="n">
        <v>0</v>
      </c>
      <c r="J918" t="n">
        <v>0</v>
      </c>
      <c r="K918" t="n">
        <v>0</v>
      </c>
      <c r="L918" t="n">
        <v>0</v>
      </c>
      <c r="M918" t="n">
        <v>0</v>
      </c>
      <c r="N918" t="n">
        <v>0</v>
      </c>
      <c r="O918" t="n">
        <v>0</v>
      </c>
      <c r="P918" t="n">
        <v>0</v>
      </c>
      <c r="Q918" t="n">
        <v>0</v>
      </c>
      <c r="R918" s="2" t="inlineStr"/>
    </row>
    <row r="919" ht="15" customHeight="1">
      <c r="A919" t="inlineStr">
        <is>
          <t>A 45795-2023</t>
        </is>
      </c>
      <c r="B919" s="1" t="n">
        <v>45195</v>
      </c>
      <c r="C919" s="1" t="n">
        <v>45829</v>
      </c>
      <c r="D919" t="inlineStr">
        <is>
          <t>UPPSALA LÄN</t>
        </is>
      </c>
      <c r="E919" t="inlineStr">
        <is>
          <t>ÖSTHAMMAR</t>
        </is>
      </c>
      <c r="G919" t="n">
        <v>4</v>
      </c>
      <c r="H919" t="n">
        <v>0</v>
      </c>
      <c r="I919" t="n">
        <v>0</v>
      </c>
      <c r="J919" t="n">
        <v>0</v>
      </c>
      <c r="K919" t="n">
        <v>0</v>
      </c>
      <c r="L919" t="n">
        <v>0</v>
      </c>
      <c r="M919" t="n">
        <v>0</v>
      </c>
      <c r="N919" t="n">
        <v>0</v>
      </c>
      <c r="O919" t="n">
        <v>0</v>
      </c>
      <c r="P919" t="n">
        <v>0</v>
      </c>
      <c r="Q919" t="n">
        <v>0</v>
      </c>
      <c r="R919" s="2" t="inlineStr"/>
    </row>
    <row r="920" ht="15" customHeight="1">
      <c r="A920" t="inlineStr">
        <is>
          <t>A 46005-2023</t>
        </is>
      </c>
      <c r="B920" s="1" t="n">
        <v>45196</v>
      </c>
      <c r="C920" s="1" t="n">
        <v>45829</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46157-2023</t>
        </is>
      </c>
      <c r="B921" s="1" t="n">
        <v>45196</v>
      </c>
      <c r="C921" s="1" t="n">
        <v>45829</v>
      </c>
      <c r="D921" t="inlineStr">
        <is>
          <t>UPPSALA LÄN</t>
        </is>
      </c>
      <c r="E921" t="inlineStr">
        <is>
          <t>ÖSTHAMMAR</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46399-2023</t>
        </is>
      </c>
      <c r="B922" s="1" t="n">
        <v>45197</v>
      </c>
      <c r="C922" s="1" t="n">
        <v>45829</v>
      </c>
      <c r="D922" t="inlineStr">
        <is>
          <t>UPPSALA LÄN</t>
        </is>
      </c>
      <c r="E922" t="inlineStr">
        <is>
          <t>ÖSTHAMMAR</t>
        </is>
      </c>
      <c r="G922" t="n">
        <v>5.8</v>
      </c>
      <c r="H922" t="n">
        <v>0</v>
      </c>
      <c r="I922" t="n">
        <v>0</v>
      </c>
      <c r="J922" t="n">
        <v>0</v>
      </c>
      <c r="K922" t="n">
        <v>0</v>
      </c>
      <c r="L922" t="n">
        <v>0</v>
      </c>
      <c r="M922" t="n">
        <v>0</v>
      </c>
      <c r="N922" t="n">
        <v>0</v>
      </c>
      <c r="O922" t="n">
        <v>0</v>
      </c>
      <c r="P922" t="n">
        <v>0</v>
      </c>
      <c r="Q922" t="n">
        <v>0</v>
      </c>
      <c r="R922" s="2" t="inlineStr"/>
    </row>
    <row r="923" ht="15" customHeight="1">
      <c r="A923" t="inlineStr">
        <is>
          <t>A 46785-2023</t>
        </is>
      </c>
      <c r="B923" s="1" t="n">
        <v>45198</v>
      </c>
      <c r="C923" s="1" t="n">
        <v>45829</v>
      </c>
      <c r="D923" t="inlineStr">
        <is>
          <t>UPPSALA LÄN</t>
        </is>
      </c>
      <c r="E923" t="inlineStr">
        <is>
          <t>ÖSTHAMMAR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47114-2023</t>
        </is>
      </c>
      <c r="B924" s="1" t="n">
        <v>45201</v>
      </c>
      <c r="C924" s="1" t="n">
        <v>45829</v>
      </c>
      <c r="D924" t="inlineStr">
        <is>
          <t>UPPSALA LÄN</t>
        </is>
      </c>
      <c r="E924" t="inlineStr">
        <is>
          <t>ÖSTHAMMAR</t>
        </is>
      </c>
      <c r="F924" t="inlineStr">
        <is>
          <t>Bergvik skog öst AB</t>
        </is>
      </c>
      <c r="G924" t="n">
        <v>7</v>
      </c>
      <c r="H924" t="n">
        <v>0</v>
      </c>
      <c r="I924" t="n">
        <v>0</v>
      </c>
      <c r="J924" t="n">
        <v>0</v>
      </c>
      <c r="K924" t="n">
        <v>0</v>
      </c>
      <c r="L924" t="n">
        <v>0</v>
      </c>
      <c r="M924" t="n">
        <v>0</v>
      </c>
      <c r="N924" t="n">
        <v>0</v>
      </c>
      <c r="O924" t="n">
        <v>0</v>
      </c>
      <c r="P924" t="n">
        <v>0</v>
      </c>
      <c r="Q924" t="n">
        <v>0</v>
      </c>
      <c r="R924" s="2" t="inlineStr"/>
    </row>
    <row r="925" ht="15" customHeight="1">
      <c r="A925" t="inlineStr">
        <is>
          <t>A 48515-2023</t>
        </is>
      </c>
      <c r="B925" s="1" t="n">
        <v>45201</v>
      </c>
      <c r="C925" s="1" t="n">
        <v>45829</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47390-2023</t>
        </is>
      </c>
      <c r="B926" s="1" t="n">
        <v>45202</v>
      </c>
      <c r="C926" s="1" t="n">
        <v>45829</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47374-2023</t>
        </is>
      </c>
      <c r="B927" s="1" t="n">
        <v>45202</v>
      </c>
      <c r="C927" s="1" t="n">
        <v>45829</v>
      </c>
      <c r="D927" t="inlineStr">
        <is>
          <t>UPPSALA LÄN</t>
        </is>
      </c>
      <c r="E927" t="inlineStr">
        <is>
          <t>ÖSTHAMMAR</t>
        </is>
      </c>
      <c r="F927" t="inlineStr">
        <is>
          <t>Bergvik skog öst AB</t>
        </is>
      </c>
      <c r="G927" t="n">
        <v>2</v>
      </c>
      <c r="H927" t="n">
        <v>0</v>
      </c>
      <c r="I927" t="n">
        <v>0</v>
      </c>
      <c r="J927" t="n">
        <v>0</v>
      </c>
      <c r="K927" t="n">
        <v>0</v>
      </c>
      <c r="L927" t="n">
        <v>0</v>
      </c>
      <c r="M927" t="n">
        <v>0</v>
      </c>
      <c r="N927" t="n">
        <v>0</v>
      </c>
      <c r="O927" t="n">
        <v>0</v>
      </c>
      <c r="P927" t="n">
        <v>0</v>
      </c>
      <c r="Q927" t="n">
        <v>0</v>
      </c>
      <c r="R927" s="2" t="inlineStr"/>
    </row>
    <row r="928" ht="15" customHeight="1">
      <c r="A928" t="inlineStr">
        <is>
          <t>A 47341-2023</t>
        </is>
      </c>
      <c r="B928" s="1" t="n">
        <v>45202</v>
      </c>
      <c r="C928" s="1" t="n">
        <v>45829</v>
      </c>
      <c r="D928" t="inlineStr">
        <is>
          <t>UPPSALA LÄN</t>
        </is>
      </c>
      <c r="E928" t="inlineStr">
        <is>
          <t>ÖSTHAMMAR</t>
        </is>
      </c>
      <c r="G928" t="n">
        <v>4.9</v>
      </c>
      <c r="H928" t="n">
        <v>0</v>
      </c>
      <c r="I928" t="n">
        <v>0</v>
      </c>
      <c r="J928" t="n">
        <v>0</v>
      </c>
      <c r="K928" t="n">
        <v>0</v>
      </c>
      <c r="L928" t="n">
        <v>0</v>
      </c>
      <c r="M928" t="n">
        <v>0</v>
      </c>
      <c r="N928" t="n">
        <v>0</v>
      </c>
      <c r="O928" t="n">
        <v>0</v>
      </c>
      <c r="P928" t="n">
        <v>0</v>
      </c>
      <c r="Q928" t="n">
        <v>0</v>
      </c>
      <c r="R928" s="2" t="inlineStr"/>
    </row>
    <row r="929" ht="15" customHeight="1">
      <c r="A929" t="inlineStr">
        <is>
          <t>A 47522-2023</t>
        </is>
      </c>
      <c r="B929" s="1" t="n">
        <v>45203</v>
      </c>
      <c r="C929" s="1" t="n">
        <v>45829</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48032-2023</t>
        </is>
      </c>
      <c r="B930" s="1" t="n">
        <v>45204</v>
      </c>
      <c r="C930" s="1" t="n">
        <v>45829</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48171-2023</t>
        </is>
      </c>
      <c r="B931" s="1" t="n">
        <v>45205</v>
      </c>
      <c r="C931" s="1" t="n">
        <v>45829</v>
      </c>
      <c r="D931" t="inlineStr">
        <is>
          <t>UPPSALA LÄN</t>
        </is>
      </c>
      <c r="E931" t="inlineStr">
        <is>
          <t>ÖSTHAMMAR</t>
        </is>
      </c>
      <c r="F931" t="inlineStr">
        <is>
          <t>Bergvik skog öst AB</t>
        </is>
      </c>
      <c r="G931" t="n">
        <v>5.3</v>
      </c>
      <c r="H931" t="n">
        <v>0</v>
      </c>
      <c r="I931" t="n">
        <v>0</v>
      </c>
      <c r="J931" t="n">
        <v>0</v>
      </c>
      <c r="K931" t="n">
        <v>0</v>
      </c>
      <c r="L931" t="n">
        <v>0</v>
      </c>
      <c r="M931" t="n">
        <v>0</v>
      </c>
      <c r="N931" t="n">
        <v>0</v>
      </c>
      <c r="O931" t="n">
        <v>0</v>
      </c>
      <c r="P931" t="n">
        <v>0</v>
      </c>
      <c r="Q931" t="n">
        <v>0</v>
      </c>
      <c r="R931" s="2" t="inlineStr"/>
    </row>
    <row r="932" ht="15" customHeight="1">
      <c r="A932" t="inlineStr">
        <is>
          <t>A 48719-2023</t>
        </is>
      </c>
      <c r="B932" s="1" t="n">
        <v>45208</v>
      </c>
      <c r="C932" s="1" t="n">
        <v>45829</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48989-2023</t>
        </is>
      </c>
      <c r="B933" s="1" t="n">
        <v>45209</v>
      </c>
      <c r="C933" s="1" t="n">
        <v>45829</v>
      </c>
      <c r="D933" t="inlineStr">
        <is>
          <t>UPPSALA LÄN</t>
        </is>
      </c>
      <c r="E933" t="inlineStr">
        <is>
          <t>ÖSTHAMMAR</t>
        </is>
      </c>
      <c r="F933" t="inlineStr">
        <is>
          <t>Övriga Aktiebolag</t>
        </is>
      </c>
      <c r="G933" t="n">
        <v>3.2</v>
      </c>
      <c r="H933" t="n">
        <v>0</v>
      </c>
      <c r="I933" t="n">
        <v>0</v>
      </c>
      <c r="J933" t="n">
        <v>0</v>
      </c>
      <c r="K933" t="n">
        <v>0</v>
      </c>
      <c r="L933" t="n">
        <v>0</v>
      </c>
      <c r="M933" t="n">
        <v>0</v>
      </c>
      <c r="N933" t="n">
        <v>0</v>
      </c>
      <c r="O933" t="n">
        <v>0</v>
      </c>
      <c r="P933" t="n">
        <v>0</v>
      </c>
      <c r="Q933" t="n">
        <v>0</v>
      </c>
      <c r="R933" s="2" t="inlineStr"/>
    </row>
    <row r="934" ht="15" customHeight="1">
      <c r="A934" t="inlineStr">
        <is>
          <t>A 49248-2023</t>
        </is>
      </c>
      <c r="B934" s="1" t="n">
        <v>45210</v>
      </c>
      <c r="C934" s="1" t="n">
        <v>45829</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49066-2023</t>
        </is>
      </c>
      <c r="B935" s="1" t="n">
        <v>45210</v>
      </c>
      <c r="C935" s="1" t="n">
        <v>45829</v>
      </c>
      <c r="D935" t="inlineStr">
        <is>
          <t>UPPSALA LÄN</t>
        </is>
      </c>
      <c r="E935" t="inlineStr">
        <is>
          <t>ÖSTHAMMAR</t>
        </is>
      </c>
      <c r="F935" t="inlineStr">
        <is>
          <t>Bergvik skog öst AB</t>
        </is>
      </c>
      <c r="G935" t="n">
        <v>13.1</v>
      </c>
      <c r="H935" t="n">
        <v>0</v>
      </c>
      <c r="I935" t="n">
        <v>0</v>
      </c>
      <c r="J935" t="n">
        <v>0</v>
      </c>
      <c r="K935" t="n">
        <v>0</v>
      </c>
      <c r="L935" t="n">
        <v>0</v>
      </c>
      <c r="M935" t="n">
        <v>0</v>
      </c>
      <c r="N935" t="n">
        <v>0</v>
      </c>
      <c r="O935" t="n">
        <v>0</v>
      </c>
      <c r="P935" t="n">
        <v>0</v>
      </c>
      <c r="Q935" t="n">
        <v>0</v>
      </c>
      <c r="R935" s="2" t="inlineStr"/>
    </row>
    <row r="936" ht="15" customHeight="1">
      <c r="A936" t="inlineStr">
        <is>
          <t>A 49172-2023</t>
        </is>
      </c>
      <c r="B936" s="1" t="n">
        <v>45210</v>
      </c>
      <c r="C936" s="1" t="n">
        <v>45829</v>
      </c>
      <c r="D936" t="inlineStr">
        <is>
          <t>UPPSALA LÄN</t>
        </is>
      </c>
      <c r="E936" t="inlineStr">
        <is>
          <t>ÖSTHAMMAR</t>
        </is>
      </c>
      <c r="F936" t="inlineStr">
        <is>
          <t>Övriga Aktiebolag</t>
        </is>
      </c>
      <c r="G936" t="n">
        <v>13.1</v>
      </c>
      <c r="H936" t="n">
        <v>0</v>
      </c>
      <c r="I936" t="n">
        <v>0</v>
      </c>
      <c r="J936" t="n">
        <v>0</v>
      </c>
      <c r="K936" t="n">
        <v>0</v>
      </c>
      <c r="L936" t="n">
        <v>0</v>
      </c>
      <c r="M936" t="n">
        <v>0</v>
      </c>
      <c r="N936" t="n">
        <v>0</v>
      </c>
      <c r="O936" t="n">
        <v>0</v>
      </c>
      <c r="P936" t="n">
        <v>0</v>
      </c>
      <c r="Q936" t="n">
        <v>0</v>
      </c>
      <c r="R936" s="2" t="inlineStr"/>
    </row>
    <row r="937" ht="15" customHeight="1">
      <c r="A937" t="inlineStr">
        <is>
          <t>A 49266-2023</t>
        </is>
      </c>
      <c r="B937" s="1" t="n">
        <v>45210</v>
      </c>
      <c r="C937" s="1" t="n">
        <v>45829</v>
      </c>
      <c r="D937" t="inlineStr">
        <is>
          <t>UPPSALA LÄN</t>
        </is>
      </c>
      <c r="E937" t="inlineStr">
        <is>
          <t>ÖSTHAMMAR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49829-2023</t>
        </is>
      </c>
      <c r="B938" s="1" t="n">
        <v>45212</v>
      </c>
      <c r="C938" s="1" t="n">
        <v>45829</v>
      </c>
      <c r="D938" t="inlineStr">
        <is>
          <t>UPPSALA LÄN</t>
        </is>
      </c>
      <c r="E938" t="inlineStr">
        <is>
          <t>ÖSTHAMMAR</t>
        </is>
      </c>
      <c r="F938" t="inlineStr">
        <is>
          <t>Bergvik skog öst AB</t>
        </is>
      </c>
      <c r="G938" t="n">
        <v>13.8</v>
      </c>
      <c r="H938" t="n">
        <v>0</v>
      </c>
      <c r="I938" t="n">
        <v>0</v>
      </c>
      <c r="J938" t="n">
        <v>0</v>
      </c>
      <c r="K938" t="n">
        <v>0</v>
      </c>
      <c r="L938" t="n">
        <v>0</v>
      </c>
      <c r="M938" t="n">
        <v>0</v>
      </c>
      <c r="N938" t="n">
        <v>0</v>
      </c>
      <c r="O938" t="n">
        <v>0</v>
      </c>
      <c r="P938" t="n">
        <v>0</v>
      </c>
      <c r="Q938" t="n">
        <v>0</v>
      </c>
      <c r="R938" s="2" t="inlineStr"/>
    </row>
    <row r="939" ht="15" customHeight="1">
      <c r="A939" t="inlineStr">
        <is>
          <t>A 49833-2023</t>
        </is>
      </c>
      <c r="B939" s="1" t="n">
        <v>45212</v>
      </c>
      <c r="C939" s="1" t="n">
        <v>45829</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49831-2023</t>
        </is>
      </c>
      <c r="B940" s="1" t="n">
        <v>45212</v>
      </c>
      <c r="C940" s="1" t="n">
        <v>45829</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49897-2023</t>
        </is>
      </c>
      <c r="B941" s="1" t="n">
        <v>45213</v>
      </c>
      <c r="C941" s="1" t="n">
        <v>45829</v>
      </c>
      <c r="D941" t="inlineStr">
        <is>
          <t>UPPSALA LÄN</t>
        </is>
      </c>
      <c r="E941" t="inlineStr">
        <is>
          <t>ÖSTHAMMAR</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49899-2023</t>
        </is>
      </c>
      <c r="B942" s="1" t="n">
        <v>45213</v>
      </c>
      <c r="C942" s="1" t="n">
        <v>45829</v>
      </c>
      <c r="D942" t="inlineStr">
        <is>
          <t>UPPSALA LÄN</t>
        </is>
      </c>
      <c r="E942" t="inlineStr">
        <is>
          <t>ÖSTHAMMAR</t>
        </is>
      </c>
      <c r="G942" t="n">
        <v>6.2</v>
      </c>
      <c r="H942" t="n">
        <v>0</v>
      </c>
      <c r="I942" t="n">
        <v>0</v>
      </c>
      <c r="J942" t="n">
        <v>0</v>
      </c>
      <c r="K942" t="n">
        <v>0</v>
      </c>
      <c r="L942" t="n">
        <v>0</v>
      </c>
      <c r="M942" t="n">
        <v>0</v>
      </c>
      <c r="N942" t="n">
        <v>0</v>
      </c>
      <c r="O942" t="n">
        <v>0</v>
      </c>
      <c r="P942" t="n">
        <v>0</v>
      </c>
      <c r="Q942" t="n">
        <v>0</v>
      </c>
      <c r="R942" s="2" t="inlineStr"/>
    </row>
    <row r="943" ht="15" customHeight="1">
      <c r="A943" t="inlineStr">
        <is>
          <t>A 49892-2023</t>
        </is>
      </c>
      <c r="B943" s="1" t="n">
        <v>45213</v>
      </c>
      <c r="C943" s="1" t="n">
        <v>45829</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50128-2023</t>
        </is>
      </c>
      <c r="B944" s="1" t="n">
        <v>45215</v>
      </c>
      <c r="C944" s="1" t="n">
        <v>45829</v>
      </c>
      <c r="D944" t="inlineStr">
        <is>
          <t>UPPSALA LÄN</t>
        </is>
      </c>
      <c r="E944" t="inlineStr">
        <is>
          <t>ÖSTHAMMAR</t>
        </is>
      </c>
      <c r="G944" t="n">
        <v>7.8</v>
      </c>
      <c r="H944" t="n">
        <v>0</v>
      </c>
      <c r="I944" t="n">
        <v>0</v>
      </c>
      <c r="J944" t="n">
        <v>0</v>
      </c>
      <c r="K944" t="n">
        <v>0</v>
      </c>
      <c r="L944" t="n">
        <v>0</v>
      </c>
      <c r="M944" t="n">
        <v>0</v>
      </c>
      <c r="N944" t="n">
        <v>0</v>
      </c>
      <c r="O944" t="n">
        <v>0</v>
      </c>
      <c r="P944" t="n">
        <v>0</v>
      </c>
      <c r="Q944" t="n">
        <v>0</v>
      </c>
      <c r="R944" s="2" t="inlineStr"/>
    </row>
    <row r="945" ht="15" customHeight="1">
      <c r="A945" t="inlineStr">
        <is>
          <t>A 50189-2023</t>
        </is>
      </c>
      <c r="B945" s="1" t="n">
        <v>45215</v>
      </c>
      <c r="C945" s="1" t="n">
        <v>45829</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50120-2023</t>
        </is>
      </c>
      <c r="B946" s="1" t="n">
        <v>45215</v>
      </c>
      <c r="C946" s="1" t="n">
        <v>45829</v>
      </c>
      <c r="D946" t="inlineStr">
        <is>
          <t>UPPSALA LÄN</t>
        </is>
      </c>
      <c r="E946" t="inlineStr">
        <is>
          <t>ÖSTHAMMAR</t>
        </is>
      </c>
      <c r="F946" t="inlineStr">
        <is>
          <t>Övriga Aktiebolag</t>
        </is>
      </c>
      <c r="G946" t="n">
        <v>14.2</v>
      </c>
      <c r="H946" t="n">
        <v>0</v>
      </c>
      <c r="I946" t="n">
        <v>0</v>
      </c>
      <c r="J946" t="n">
        <v>0</v>
      </c>
      <c r="K946" t="n">
        <v>0</v>
      </c>
      <c r="L946" t="n">
        <v>0</v>
      </c>
      <c r="M946" t="n">
        <v>0</v>
      </c>
      <c r="N946" t="n">
        <v>0</v>
      </c>
      <c r="O946" t="n">
        <v>0</v>
      </c>
      <c r="P946" t="n">
        <v>0</v>
      </c>
      <c r="Q946" t="n">
        <v>0</v>
      </c>
      <c r="R946" s="2" t="inlineStr"/>
    </row>
    <row r="947" ht="15" customHeight="1">
      <c r="A947" t="inlineStr">
        <is>
          <t>A 50188-2023</t>
        </is>
      </c>
      <c r="B947" s="1" t="n">
        <v>45215</v>
      </c>
      <c r="C947" s="1" t="n">
        <v>45829</v>
      </c>
      <c r="D947" t="inlineStr">
        <is>
          <t>UPPSALA LÄN</t>
        </is>
      </c>
      <c r="E947" t="inlineStr">
        <is>
          <t>ÖSTHAMMAR</t>
        </is>
      </c>
      <c r="F947" t="inlineStr">
        <is>
          <t>Bergvik skog öst AB</t>
        </is>
      </c>
      <c r="G947" t="n">
        <v>8.4</v>
      </c>
      <c r="H947" t="n">
        <v>0</v>
      </c>
      <c r="I947" t="n">
        <v>0</v>
      </c>
      <c r="J947" t="n">
        <v>0</v>
      </c>
      <c r="K947" t="n">
        <v>0</v>
      </c>
      <c r="L947" t="n">
        <v>0</v>
      </c>
      <c r="M947" t="n">
        <v>0</v>
      </c>
      <c r="N947" t="n">
        <v>0</v>
      </c>
      <c r="O947" t="n">
        <v>0</v>
      </c>
      <c r="P947" t="n">
        <v>0</v>
      </c>
      <c r="Q947" t="n">
        <v>0</v>
      </c>
      <c r="R947" s="2" t="inlineStr"/>
    </row>
    <row r="948" ht="15" customHeight="1">
      <c r="A948" t="inlineStr">
        <is>
          <t>A 50998-2023</t>
        </is>
      </c>
      <c r="B948" s="1" t="n">
        <v>45218</v>
      </c>
      <c r="C948" s="1" t="n">
        <v>45829</v>
      </c>
      <c r="D948" t="inlineStr">
        <is>
          <t>UPPSALA LÄN</t>
        </is>
      </c>
      <c r="E948" t="inlineStr">
        <is>
          <t>ÖSTHAMMAR</t>
        </is>
      </c>
      <c r="G948" t="n">
        <v>3.6</v>
      </c>
      <c r="H948" t="n">
        <v>0</v>
      </c>
      <c r="I948" t="n">
        <v>0</v>
      </c>
      <c r="J948" t="n">
        <v>0</v>
      </c>
      <c r="K948" t="n">
        <v>0</v>
      </c>
      <c r="L948" t="n">
        <v>0</v>
      </c>
      <c r="M948" t="n">
        <v>0</v>
      </c>
      <c r="N948" t="n">
        <v>0</v>
      </c>
      <c r="O948" t="n">
        <v>0</v>
      </c>
      <c r="P948" t="n">
        <v>0</v>
      </c>
      <c r="Q948" t="n">
        <v>0</v>
      </c>
      <c r="R948" s="2" t="inlineStr"/>
    </row>
    <row r="949" ht="15" customHeight="1">
      <c r="A949" t="inlineStr">
        <is>
          <t>A 52695-2023</t>
        </is>
      </c>
      <c r="B949" s="1" t="n">
        <v>45225</v>
      </c>
      <c r="C949" s="1" t="n">
        <v>45829</v>
      </c>
      <c r="D949" t="inlineStr">
        <is>
          <t>UPPSALA LÄN</t>
        </is>
      </c>
      <c r="E949" t="inlineStr">
        <is>
          <t>ÖSTHAMMAR</t>
        </is>
      </c>
      <c r="G949" t="n">
        <v>1.7</v>
      </c>
      <c r="H949" t="n">
        <v>0</v>
      </c>
      <c r="I949" t="n">
        <v>0</v>
      </c>
      <c r="J949" t="n">
        <v>0</v>
      </c>
      <c r="K949" t="n">
        <v>0</v>
      </c>
      <c r="L949" t="n">
        <v>0</v>
      </c>
      <c r="M949" t="n">
        <v>0</v>
      </c>
      <c r="N949" t="n">
        <v>0</v>
      </c>
      <c r="O949" t="n">
        <v>0</v>
      </c>
      <c r="P949" t="n">
        <v>0</v>
      </c>
      <c r="Q949" t="n">
        <v>0</v>
      </c>
      <c r="R949" s="2" t="inlineStr"/>
    </row>
    <row r="950" ht="15" customHeight="1">
      <c r="A950" t="inlineStr">
        <is>
          <t>A 52629-2023</t>
        </is>
      </c>
      <c r="B950" s="1" t="n">
        <v>45225</v>
      </c>
      <c r="C950" s="1" t="n">
        <v>45829</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52698-2023</t>
        </is>
      </c>
      <c r="B951" s="1" t="n">
        <v>45225</v>
      </c>
      <c r="C951" s="1" t="n">
        <v>45829</v>
      </c>
      <c r="D951" t="inlineStr">
        <is>
          <t>UPPSALA LÄN</t>
        </is>
      </c>
      <c r="E951" t="inlineStr">
        <is>
          <t>ÖSTHAMMAR</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52694-2023</t>
        </is>
      </c>
      <c r="B952" s="1" t="n">
        <v>45225</v>
      </c>
      <c r="C952" s="1" t="n">
        <v>45829</v>
      </c>
      <c r="D952" t="inlineStr">
        <is>
          <t>UPPSALA LÄN</t>
        </is>
      </c>
      <c r="E952" t="inlineStr">
        <is>
          <t>ÖSTHAMMAR</t>
        </is>
      </c>
      <c r="G952" t="n">
        <v>0.8</v>
      </c>
      <c r="H952" t="n">
        <v>0</v>
      </c>
      <c r="I952" t="n">
        <v>0</v>
      </c>
      <c r="J952" t="n">
        <v>0</v>
      </c>
      <c r="K952" t="n">
        <v>0</v>
      </c>
      <c r="L952" t="n">
        <v>0</v>
      </c>
      <c r="M952" t="n">
        <v>0</v>
      </c>
      <c r="N952" t="n">
        <v>0</v>
      </c>
      <c r="O952" t="n">
        <v>0</v>
      </c>
      <c r="P952" t="n">
        <v>0</v>
      </c>
      <c r="Q952" t="n">
        <v>0</v>
      </c>
      <c r="R952" s="2" t="inlineStr"/>
    </row>
    <row r="953" ht="15" customHeight="1">
      <c r="A953" t="inlineStr">
        <is>
          <t>A 52699-2023</t>
        </is>
      </c>
      <c r="B953" s="1" t="n">
        <v>45225</v>
      </c>
      <c r="C953" s="1" t="n">
        <v>45829</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54314-2023</t>
        </is>
      </c>
      <c r="B954" s="1" t="n">
        <v>45225</v>
      </c>
      <c r="C954" s="1" t="n">
        <v>45829</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53467-2023</t>
        </is>
      </c>
      <c r="B955" s="1" t="n">
        <v>45229</v>
      </c>
      <c r="C955" s="1" t="n">
        <v>45829</v>
      </c>
      <c r="D955" t="inlineStr">
        <is>
          <t>UPPSALA LÄN</t>
        </is>
      </c>
      <c r="E955" t="inlineStr">
        <is>
          <t>ÖSTHAMMAR</t>
        </is>
      </c>
      <c r="G955" t="n">
        <v>26.1</v>
      </c>
      <c r="H955" t="n">
        <v>0</v>
      </c>
      <c r="I955" t="n">
        <v>0</v>
      </c>
      <c r="J955" t="n">
        <v>0</v>
      </c>
      <c r="K955" t="n">
        <v>0</v>
      </c>
      <c r="L955" t="n">
        <v>0</v>
      </c>
      <c r="M955" t="n">
        <v>0</v>
      </c>
      <c r="N955" t="n">
        <v>0</v>
      </c>
      <c r="O955" t="n">
        <v>0</v>
      </c>
      <c r="P955" t="n">
        <v>0</v>
      </c>
      <c r="Q955" t="n">
        <v>0</v>
      </c>
      <c r="R955" s="2" t="inlineStr"/>
    </row>
    <row r="956" ht="15" customHeight="1">
      <c r="A956" t="inlineStr">
        <is>
          <t>A 53360-2023</t>
        </is>
      </c>
      <c r="B956" s="1" t="n">
        <v>45229</v>
      </c>
      <c r="C956" s="1" t="n">
        <v>45829</v>
      </c>
      <c r="D956" t="inlineStr">
        <is>
          <t>UPPSALA LÄN</t>
        </is>
      </c>
      <c r="E956" t="inlineStr">
        <is>
          <t>ÖSTHAMMAR</t>
        </is>
      </c>
      <c r="G956" t="n">
        <v>4.8</v>
      </c>
      <c r="H956" t="n">
        <v>0</v>
      </c>
      <c r="I956" t="n">
        <v>0</v>
      </c>
      <c r="J956" t="n">
        <v>0</v>
      </c>
      <c r="K956" t="n">
        <v>0</v>
      </c>
      <c r="L956" t="n">
        <v>0</v>
      </c>
      <c r="M956" t="n">
        <v>0</v>
      </c>
      <c r="N956" t="n">
        <v>0</v>
      </c>
      <c r="O956" t="n">
        <v>0</v>
      </c>
      <c r="P956" t="n">
        <v>0</v>
      </c>
      <c r="Q956" t="n">
        <v>0</v>
      </c>
      <c r="R956" s="2" t="inlineStr"/>
    </row>
    <row r="957" ht="15" customHeight="1">
      <c r="A957" t="inlineStr">
        <is>
          <t>A 53735-2023</t>
        </is>
      </c>
      <c r="B957" s="1" t="n">
        <v>45230</v>
      </c>
      <c r="C957" s="1" t="n">
        <v>45829</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53732-2023</t>
        </is>
      </c>
      <c r="B958" s="1" t="n">
        <v>45230</v>
      </c>
      <c r="C958" s="1" t="n">
        <v>45829</v>
      </c>
      <c r="D958" t="inlineStr">
        <is>
          <t>UPPSALA LÄN</t>
        </is>
      </c>
      <c r="E958" t="inlineStr">
        <is>
          <t>ÖSTHAMMAR</t>
        </is>
      </c>
      <c r="G958" t="n">
        <v>1.5</v>
      </c>
      <c r="H958" t="n">
        <v>0</v>
      </c>
      <c r="I958" t="n">
        <v>0</v>
      </c>
      <c r="J958" t="n">
        <v>0</v>
      </c>
      <c r="K958" t="n">
        <v>0</v>
      </c>
      <c r="L958" t="n">
        <v>0</v>
      </c>
      <c r="M958" t="n">
        <v>0</v>
      </c>
      <c r="N958" t="n">
        <v>0</v>
      </c>
      <c r="O958" t="n">
        <v>0</v>
      </c>
      <c r="P958" t="n">
        <v>0</v>
      </c>
      <c r="Q958" t="n">
        <v>0</v>
      </c>
      <c r="R958" s="2" t="inlineStr"/>
    </row>
    <row r="959" ht="15" customHeight="1">
      <c r="A959" t="inlineStr">
        <is>
          <t>A 53670-2023</t>
        </is>
      </c>
      <c r="B959" s="1" t="n">
        <v>45230</v>
      </c>
      <c r="C959" s="1" t="n">
        <v>45829</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53733-2023</t>
        </is>
      </c>
      <c r="B960" s="1" t="n">
        <v>45230</v>
      </c>
      <c r="C960" s="1" t="n">
        <v>45829</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53737-2023</t>
        </is>
      </c>
      <c r="B961" s="1" t="n">
        <v>45230</v>
      </c>
      <c r="C961" s="1" t="n">
        <v>45829</v>
      </c>
      <c r="D961" t="inlineStr">
        <is>
          <t>UPPSALA LÄN</t>
        </is>
      </c>
      <c r="E961" t="inlineStr">
        <is>
          <t>ÖSTHAMMAR</t>
        </is>
      </c>
      <c r="G961" t="n">
        <v>1.4</v>
      </c>
      <c r="H961" t="n">
        <v>0</v>
      </c>
      <c r="I961" t="n">
        <v>0</v>
      </c>
      <c r="J961" t="n">
        <v>0</v>
      </c>
      <c r="K961" t="n">
        <v>0</v>
      </c>
      <c r="L961" t="n">
        <v>0</v>
      </c>
      <c r="M961" t="n">
        <v>0</v>
      </c>
      <c r="N961" t="n">
        <v>0</v>
      </c>
      <c r="O961" t="n">
        <v>0</v>
      </c>
      <c r="P961" t="n">
        <v>0</v>
      </c>
      <c r="Q961" t="n">
        <v>0</v>
      </c>
      <c r="R961" s="2" t="inlineStr"/>
    </row>
    <row r="962" ht="15" customHeight="1">
      <c r="A962" t="inlineStr">
        <is>
          <t>A 53702-2023</t>
        </is>
      </c>
      <c r="B962" s="1" t="n">
        <v>45230</v>
      </c>
      <c r="C962" s="1" t="n">
        <v>45829</v>
      </c>
      <c r="D962" t="inlineStr">
        <is>
          <t>UPPSALA LÄN</t>
        </is>
      </c>
      <c r="E962" t="inlineStr">
        <is>
          <t>ÖSTHAMMAR</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53676-2023</t>
        </is>
      </c>
      <c r="B963" s="1" t="n">
        <v>45230</v>
      </c>
      <c r="C963" s="1" t="n">
        <v>45829</v>
      </c>
      <c r="D963" t="inlineStr">
        <is>
          <t>UPPSALA LÄN</t>
        </is>
      </c>
      <c r="E963" t="inlineStr">
        <is>
          <t>ÖSTHAMMAR</t>
        </is>
      </c>
      <c r="F963" t="inlineStr">
        <is>
          <t>Bergvik skog öst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54228-2023</t>
        </is>
      </c>
      <c r="B964" s="1" t="n">
        <v>45232</v>
      </c>
      <c r="C964" s="1" t="n">
        <v>45829</v>
      </c>
      <c r="D964" t="inlineStr">
        <is>
          <t>UPPSALA LÄN</t>
        </is>
      </c>
      <c r="E964" t="inlineStr">
        <is>
          <t>ÖSTHAMMAR</t>
        </is>
      </c>
      <c r="G964" t="n">
        <v>4</v>
      </c>
      <c r="H964" t="n">
        <v>0</v>
      </c>
      <c r="I964" t="n">
        <v>0</v>
      </c>
      <c r="J964" t="n">
        <v>0</v>
      </c>
      <c r="K964" t="n">
        <v>0</v>
      </c>
      <c r="L964" t="n">
        <v>0</v>
      </c>
      <c r="M964" t="n">
        <v>0</v>
      </c>
      <c r="N964" t="n">
        <v>0</v>
      </c>
      <c r="O964" t="n">
        <v>0</v>
      </c>
      <c r="P964" t="n">
        <v>0</v>
      </c>
      <c r="Q964" t="n">
        <v>0</v>
      </c>
      <c r="R964" s="2" t="inlineStr"/>
    </row>
    <row r="965" ht="15" customHeight="1">
      <c r="A965" t="inlineStr">
        <is>
          <t>A 54366-2023</t>
        </is>
      </c>
      <c r="B965" s="1" t="n">
        <v>45233</v>
      </c>
      <c r="C965" s="1" t="n">
        <v>45829</v>
      </c>
      <c r="D965" t="inlineStr">
        <is>
          <t>UPPSALA LÄN</t>
        </is>
      </c>
      <c r="E965" t="inlineStr">
        <is>
          <t>ÖSTHAMMAR</t>
        </is>
      </c>
      <c r="F965" t="inlineStr">
        <is>
          <t>Bergvik skog öst AB</t>
        </is>
      </c>
      <c r="G965" t="n">
        <v>2.9</v>
      </c>
      <c r="H965" t="n">
        <v>0</v>
      </c>
      <c r="I965" t="n">
        <v>0</v>
      </c>
      <c r="J965" t="n">
        <v>0</v>
      </c>
      <c r="K965" t="n">
        <v>0</v>
      </c>
      <c r="L965" t="n">
        <v>0</v>
      </c>
      <c r="M965" t="n">
        <v>0</v>
      </c>
      <c r="N965" t="n">
        <v>0</v>
      </c>
      <c r="O965" t="n">
        <v>0</v>
      </c>
      <c r="P965" t="n">
        <v>0</v>
      </c>
      <c r="Q965" t="n">
        <v>0</v>
      </c>
      <c r="R965" s="2" t="inlineStr"/>
    </row>
    <row r="966" ht="15" customHeight="1">
      <c r="A966" t="inlineStr">
        <is>
          <t>A 54369-2023</t>
        </is>
      </c>
      <c r="B966" s="1" t="n">
        <v>45233</v>
      </c>
      <c r="C966" s="1" t="n">
        <v>45829</v>
      </c>
      <c r="D966" t="inlineStr">
        <is>
          <t>UPPSALA LÄN</t>
        </is>
      </c>
      <c r="E966" t="inlineStr">
        <is>
          <t>ÖSTHAMMAR</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54368-2023</t>
        </is>
      </c>
      <c r="B967" s="1" t="n">
        <v>45233</v>
      </c>
      <c r="C967" s="1" t="n">
        <v>45829</v>
      </c>
      <c r="D967" t="inlineStr">
        <is>
          <t>UPPSALA LÄN</t>
        </is>
      </c>
      <c r="E967" t="inlineStr">
        <is>
          <t>ÖSTHAMMAR</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55230-2023</t>
        </is>
      </c>
      <c r="B968" s="1" t="n">
        <v>45237</v>
      </c>
      <c r="C968" s="1" t="n">
        <v>45829</v>
      </c>
      <c r="D968" t="inlineStr">
        <is>
          <t>UPPSALA LÄN</t>
        </is>
      </c>
      <c r="E968" t="inlineStr">
        <is>
          <t>ÖSTHAMMAR</t>
        </is>
      </c>
      <c r="F968" t="inlineStr">
        <is>
          <t>Övriga Aktiebolag</t>
        </is>
      </c>
      <c r="G968" t="n">
        <v>19.7</v>
      </c>
      <c r="H968" t="n">
        <v>0</v>
      </c>
      <c r="I968" t="n">
        <v>0</v>
      </c>
      <c r="J968" t="n">
        <v>0</v>
      </c>
      <c r="K968" t="n">
        <v>0</v>
      </c>
      <c r="L968" t="n">
        <v>0</v>
      </c>
      <c r="M968" t="n">
        <v>0</v>
      </c>
      <c r="N968" t="n">
        <v>0</v>
      </c>
      <c r="O968" t="n">
        <v>0</v>
      </c>
      <c r="P968" t="n">
        <v>0</v>
      </c>
      <c r="Q968" t="n">
        <v>0</v>
      </c>
      <c r="R968" s="2" t="inlineStr"/>
    </row>
    <row r="969" ht="15" customHeight="1">
      <c r="A969" t="inlineStr">
        <is>
          <t>A 55387-2023</t>
        </is>
      </c>
      <c r="B969" s="1" t="n">
        <v>45238</v>
      </c>
      <c r="C969" s="1" t="n">
        <v>45829</v>
      </c>
      <c r="D969" t="inlineStr">
        <is>
          <t>UPPSALA LÄN</t>
        </is>
      </c>
      <c r="E969" t="inlineStr">
        <is>
          <t>ÖSTHAMMAR</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55837-2023</t>
        </is>
      </c>
      <c r="B970" s="1" t="n">
        <v>45239</v>
      </c>
      <c r="C970" s="1" t="n">
        <v>45829</v>
      </c>
      <c r="D970" t="inlineStr">
        <is>
          <t>UPPSALA LÄN</t>
        </is>
      </c>
      <c r="E970" t="inlineStr">
        <is>
          <t>ÖSTHAMMAR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56102-2023</t>
        </is>
      </c>
      <c r="B971" s="1" t="n">
        <v>45240</v>
      </c>
      <c r="C971" s="1" t="n">
        <v>45829</v>
      </c>
      <c r="D971" t="inlineStr">
        <is>
          <t>UPPSALA LÄN</t>
        </is>
      </c>
      <c r="E971" t="inlineStr">
        <is>
          <t>ÖSTHAMMAR</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56418-2023</t>
        </is>
      </c>
      <c r="B972" s="1" t="n">
        <v>45243</v>
      </c>
      <c r="C972" s="1" t="n">
        <v>45829</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56434-2023</t>
        </is>
      </c>
      <c r="B973" s="1" t="n">
        <v>45243</v>
      </c>
      <c r="C973" s="1" t="n">
        <v>45829</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56790-2023</t>
        </is>
      </c>
      <c r="B974" s="1" t="n">
        <v>45244</v>
      </c>
      <c r="C974" s="1" t="n">
        <v>45829</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56798-2023</t>
        </is>
      </c>
      <c r="B975" s="1" t="n">
        <v>45244</v>
      </c>
      <c r="C975" s="1" t="n">
        <v>45829</v>
      </c>
      <c r="D975" t="inlineStr">
        <is>
          <t>UPPSALA LÄN</t>
        </is>
      </c>
      <c r="E975" t="inlineStr">
        <is>
          <t>ÖSTHAMMAR</t>
        </is>
      </c>
      <c r="G975" t="n">
        <v>2.6</v>
      </c>
      <c r="H975" t="n">
        <v>0</v>
      </c>
      <c r="I975" t="n">
        <v>0</v>
      </c>
      <c r="J975" t="n">
        <v>0</v>
      </c>
      <c r="K975" t="n">
        <v>0</v>
      </c>
      <c r="L975" t="n">
        <v>0</v>
      </c>
      <c r="M975" t="n">
        <v>0</v>
      </c>
      <c r="N975" t="n">
        <v>0</v>
      </c>
      <c r="O975" t="n">
        <v>0</v>
      </c>
      <c r="P975" t="n">
        <v>0</v>
      </c>
      <c r="Q975" t="n">
        <v>0</v>
      </c>
      <c r="R975" s="2" t="inlineStr"/>
    </row>
    <row r="976" ht="15" customHeight="1">
      <c r="A976" t="inlineStr">
        <is>
          <t>A 56903-2023</t>
        </is>
      </c>
      <c r="B976" s="1" t="n">
        <v>45244</v>
      </c>
      <c r="C976" s="1" t="n">
        <v>45829</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56920-2023</t>
        </is>
      </c>
      <c r="B977" s="1" t="n">
        <v>45244</v>
      </c>
      <c r="C977" s="1" t="n">
        <v>45829</v>
      </c>
      <c r="D977" t="inlineStr">
        <is>
          <t>UPPSALA LÄN</t>
        </is>
      </c>
      <c r="E977" t="inlineStr">
        <is>
          <t>ÖSTHAMMAR</t>
        </is>
      </c>
      <c r="G977" t="n">
        <v>2</v>
      </c>
      <c r="H977" t="n">
        <v>0</v>
      </c>
      <c r="I977" t="n">
        <v>0</v>
      </c>
      <c r="J977" t="n">
        <v>0</v>
      </c>
      <c r="K977" t="n">
        <v>0</v>
      </c>
      <c r="L977" t="n">
        <v>0</v>
      </c>
      <c r="M977" t="n">
        <v>0</v>
      </c>
      <c r="N977" t="n">
        <v>0</v>
      </c>
      <c r="O977" t="n">
        <v>0</v>
      </c>
      <c r="P977" t="n">
        <v>0</v>
      </c>
      <c r="Q977" t="n">
        <v>0</v>
      </c>
      <c r="R977" s="2" t="inlineStr"/>
    </row>
    <row r="978" ht="15" customHeight="1">
      <c r="A978" t="inlineStr">
        <is>
          <t>A 56959-2023</t>
        </is>
      </c>
      <c r="B978" s="1" t="n">
        <v>45244</v>
      </c>
      <c r="C978" s="1" t="n">
        <v>45829</v>
      </c>
      <c r="D978" t="inlineStr">
        <is>
          <t>UPPSALA LÄN</t>
        </is>
      </c>
      <c r="E978" t="inlineStr">
        <is>
          <t>ÖSTHAMMAR</t>
        </is>
      </c>
      <c r="G978" t="n">
        <v>5</v>
      </c>
      <c r="H978" t="n">
        <v>0</v>
      </c>
      <c r="I978" t="n">
        <v>0</v>
      </c>
      <c r="J978" t="n">
        <v>0</v>
      </c>
      <c r="K978" t="n">
        <v>0</v>
      </c>
      <c r="L978" t="n">
        <v>0</v>
      </c>
      <c r="M978" t="n">
        <v>0</v>
      </c>
      <c r="N978" t="n">
        <v>0</v>
      </c>
      <c r="O978" t="n">
        <v>0</v>
      </c>
      <c r="P978" t="n">
        <v>0</v>
      </c>
      <c r="Q978" t="n">
        <v>0</v>
      </c>
      <c r="R978" s="2" t="inlineStr"/>
    </row>
    <row r="979" ht="15" customHeight="1">
      <c r="A979" t="inlineStr">
        <is>
          <t>A 58176-2023</t>
        </is>
      </c>
      <c r="B979" s="1" t="n">
        <v>45250</v>
      </c>
      <c r="C979" s="1" t="n">
        <v>45829</v>
      </c>
      <c r="D979" t="inlineStr">
        <is>
          <t>UPPSALA LÄN</t>
        </is>
      </c>
      <c r="E979" t="inlineStr">
        <is>
          <t>ÖSTHAMMAR</t>
        </is>
      </c>
      <c r="F979" t="inlineStr">
        <is>
          <t>Allmännings- och besparingsskogar</t>
        </is>
      </c>
      <c r="G979" t="n">
        <v>0.9</v>
      </c>
      <c r="H979" t="n">
        <v>0</v>
      </c>
      <c r="I979" t="n">
        <v>0</v>
      </c>
      <c r="J979" t="n">
        <v>0</v>
      </c>
      <c r="K979" t="n">
        <v>0</v>
      </c>
      <c r="L979" t="n">
        <v>0</v>
      </c>
      <c r="M979" t="n">
        <v>0</v>
      </c>
      <c r="N979" t="n">
        <v>0</v>
      </c>
      <c r="O979" t="n">
        <v>0</v>
      </c>
      <c r="P979" t="n">
        <v>0</v>
      </c>
      <c r="Q979" t="n">
        <v>0</v>
      </c>
      <c r="R979" s="2" t="inlineStr"/>
    </row>
    <row r="980" ht="15" customHeight="1">
      <c r="A980" t="inlineStr">
        <is>
          <t>A 58295-2023</t>
        </is>
      </c>
      <c r="B980" s="1" t="n">
        <v>45250</v>
      </c>
      <c r="C980" s="1" t="n">
        <v>45829</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58270-2023</t>
        </is>
      </c>
      <c r="B981" s="1" t="n">
        <v>45250</v>
      </c>
      <c r="C981" s="1" t="n">
        <v>45829</v>
      </c>
      <c r="D981" t="inlineStr">
        <is>
          <t>UPPSALA LÄN</t>
        </is>
      </c>
      <c r="E981" t="inlineStr">
        <is>
          <t>ÖSTHAMMAR</t>
        </is>
      </c>
      <c r="G981" t="n">
        <v>1.3</v>
      </c>
      <c r="H981" t="n">
        <v>0</v>
      </c>
      <c r="I981" t="n">
        <v>0</v>
      </c>
      <c r="J981" t="n">
        <v>0</v>
      </c>
      <c r="K981" t="n">
        <v>0</v>
      </c>
      <c r="L981" t="n">
        <v>0</v>
      </c>
      <c r="M981" t="n">
        <v>0</v>
      </c>
      <c r="N981" t="n">
        <v>0</v>
      </c>
      <c r="O981" t="n">
        <v>0</v>
      </c>
      <c r="P981" t="n">
        <v>0</v>
      </c>
      <c r="Q981" t="n">
        <v>0</v>
      </c>
      <c r="R981" s="2" t="inlineStr"/>
    </row>
    <row r="982" ht="15" customHeight="1">
      <c r="A982" t="inlineStr">
        <is>
          <t>A 58301-2023</t>
        </is>
      </c>
      <c r="B982" s="1" t="n">
        <v>45250</v>
      </c>
      <c r="C982" s="1" t="n">
        <v>45829</v>
      </c>
      <c r="D982" t="inlineStr">
        <is>
          <t>UPPSALA LÄN</t>
        </is>
      </c>
      <c r="E982" t="inlineStr">
        <is>
          <t>ÖSTHAMMAR</t>
        </is>
      </c>
      <c r="G982" t="n">
        <v>5.9</v>
      </c>
      <c r="H982" t="n">
        <v>0</v>
      </c>
      <c r="I982" t="n">
        <v>0</v>
      </c>
      <c r="J982" t="n">
        <v>0</v>
      </c>
      <c r="K982" t="n">
        <v>0</v>
      </c>
      <c r="L982" t="n">
        <v>0</v>
      </c>
      <c r="M982" t="n">
        <v>0</v>
      </c>
      <c r="N982" t="n">
        <v>0</v>
      </c>
      <c r="O982" t="n">
        <v>0</v>
      </c>
      <c r="P982" t="n">
        <v>0</v>
      </c>
      <c r="Q982" t="n">
        <v>0</v>
      </c>
      <c r="R982" s="2" t="inlineStr"/>
    </row>
    <row r="983" ht="15" customHeight="1">
      <c r="A983" t="inlineStr">
        <is>
          <t>A 58324-2023</t>
        </is>
      </c>
      <c r="B983" s="1" t="n">
        <v>45250</v>
      </c>
      <c r="C983" s="1" t="n">
        <v>45829</v>
      </c>
      <c r="D983" t="inlineStr">
        <is>
          <t>UPPSALA LÄN</t>
        </is>
      </c>
      <c r="E983" t="inlineStr">
        <is>
          <t>ÖSTHAMMAR</t>
        </is>
      </c>
      <c r="G983" t="n">
        <v>5.1</v>
      </c>
      <c r="H983" t="n">
        <v>0</v>
      </c>
      <c r="I983" t="n">
        <v>0</v>
      </c>
      <c r="J983" t="n">
        <v>0</v>
      </c>
      <c r="K983" t="n">
        <v>0</v>
      </c>
      <c r="L983" t="n">
        <v>0</v>
      </c>
      <c r="M983" t="n">
        <v>0</v>
      </c>
      <c r="N983" t="n">
        <v>0</v>
      </c>
      <c r="O983" t="n">
        <v>0</v>
      </c>
      <c r="P983" t="n">
        <v>0</v>
      </c>
      <c r="Q983" t="n">
        <v>0</v>
      </c>
      <c r="R983" s="2" t="inlineStr"/>
    </row>
    <row r="984" ht="15" customHeight="1">
      <c r="A984" t="inlineStr">
        <is>
          <t>A 58431-2023</t>
        </is>
      </c>
      <c r="B984" s="1" t="n">
        <v>45250</v>
      </c>
      <c r="C984" s="1" t="n">
        <v>45829</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58855-2023</t>
        </is>
      </c>
      <c r="B985" s="1" t="n">
        <v>45252</v>
      </c>
      <c r="C985" s="1" t="n">
        <v>45829</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58854-2023</t>
        </is>
      </c>
      <c r="B986" s="1" t="n">
        <v>45252</v>
      </c>
      <c r="C986" s="1" t="n">
        <v>45829</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58859-2023</t>
        </is>
      </c>
      <c r="B987" s="1" t="n">
        <v>45252</v>
      </c>
      <c r="C987" s="1" t="n">
        <v>45829</v>
      </c>
      <c r="D987" t="inlineStr">
        <is>
          <t>UPPSALA LÄN</t>
        </is>
      </c>
      <c r="E987" t="inlineStr">
        <is>
          <t>ÖSTHAMMAR</t>
        </is>
      </c>
      <c r="G987" t="n">
        <v>0.9</v>
      </c>
      <c r="H987" t="n">
        <v>0</v>
      </c>
      <c r="I987" t="n">
        <v>0</v>
      </c>
      <c r="J987" t="n">
        <v>0</v>
      </c>
      <c r="K987" t="n">
        <v>0</v>
      </c>
      <c r="L987" t="n">
        <v>0</v>
      </c>
      <c r="M987" t="n">
        <v>0</v>
      </c>
      <c r="N987" t="n">
        <v>0</v>
      </c>
      <c r="O987" t="n">
        <v>0</v>
      </c>
      <c r="P987" t="n">
        <v>0</v>
      </c>
      <c r="Q987" t="n">
        <v>0</v>
      </c>
      <c r="R987" s="2" t="inlineStr"/>
    </row>
    <row r="988" ht="15" customHeight="1">
      <c r="A988" t="inlineStr">
        <is>
          <t>A 59244-2023</t>
        </is>
      </c>
      <c r="B988" s="1" t="n">
        <v>45253</v>
      </c>
      <c r="C988" s="1" t="n">
        <v>45829</v>
      </c>
      <c r="D988" t="inlineStr">
        <is>
          <t>UPPSALA LÄN</t>
        </is>
      </c>
      <c r="E988" t="inlineStr">
        <is>
          <t>ÖSTHAMMAR</t>
        </is>
      </c>
      <c r="G988" t="n">
        <v>12.9</v>
      </c>
      <c r="H988" t="n">
        <v>0</v>
      </c>
      <c r="I988" t="n">
        <v>0</v>
      </c>
      <c r="J988" t="n">
        <v>0</v>
      </c>
      <c r="K988" t="n">
        <v>0</v>
      </c>
      <c r="L988" t="n">
        <v>0</v>
      </c>
      <c r="M988" t="n">
        <v>0</v>
      </c>
      <c r="N988" t="n">
        <v>0</v>
      </c>
      <c r="O988" t="n">
        <v>0</v>
      </c>
      <c r="P988" t="n">
        <v>0</v>
      </c>
      <c r="Q988" t="n">
        <v>0</v>
      </c>
      <c r="R988" s="2" t="inlineStr"/>
    </row>
    <row r="989" ht="15" customHeight="1">
      <c r="A989" t="inlineStr">
        <is>
          <t>A 59288-2023</t>
        </is>
      </c>
      <c r="B989" s="1" t="n">
        <v>45253</v>
      </c>
      <c r="C989" s="1" t="n">
        <v>45829</v>
      </c>
      <c r="D989" t="inlineStr">
        <is>
          <t>UPPSALA LÄN</t>
        </is>
      </c>
      <c r="E989" t="inlineStr">
        <is>
          <t>ÖSTHAMMAR</t>
        </is>
      </c>
      <c r="G989" t="n">
        <v>7</v>
      </c>
      <c r="H989" t="n">
        <v>0</v>
      </c>
      <c r="I989" t="n">
        <v>0</v>
      </c>
      <c r="J989" t="n">
        <v>0</v>
      </c>
      <c r="K989" t="n">
        <v>0</v>
      </c>
      <c r="L989" t="n">
        <v>0</v>
      </c>
      <c r="M989" t="n">
        <v>0</v>
      </c>
      <c r="N989" t="n">
        <v>0</v>
      </c>
      <c r="O989" t="n">
        <v>0</v>
      </c>
      <c r="P989" t="n">
        <v>0</v>
      </c>
      <c r="Q989" t="n">
        <v>0</v>
      </c>
      <c r="R989" s="2" t="inlineStr"/>
    </row>
    <row r="990" ht="15" customHeight="1">
      <c r="A990" t="inlineStr">
        <is>
          <t>A 59314-2023</t>
        </is>
      </c>
      <c r="B990" s="1" t="n">
        <v>45253</v>
      </c>
      <c r="C990" s="1" t="n">
        <v>45829</v>
      </c>
      <c r="D990" t="inlineStr">
        <is>
          <t>UPPSALA LÄN</t>
        </is>
      </c>
      <c r="E990" t="inlineStr">
        <is>
          <t>ÖSTHAMMAR</t>
        </is>
      </c>
      <c r="G990" t="n">
        <v>1</v>
      </c>
      <c r="H990" t="n">
        <v>0</v>
      </c>
      <c r="I990" t="n">
        <v>0</v>
      </c>
      <c r="J990" t="n">
        <v>0</v>
      </c>
      <c r="K990" t="n">
        <v>0</v>
      </c>
      <c r="L990" t="n">
        <v>0</v>
      </c>
      <c r="M990" t="n">
        <v>0</v>
      </c>
      <c r="N990" t="n">
        <v>0</v>
      </c>
      <c r="O990" t="n">
        <v>0</v>
      </c>
      <c r="P990" t="n">
        <v>0</v>
      </c>
      <c r="Q990" t="n">
        <v>0</v>
      </c>
      <c r="R990" s="2" t="inlineStr"/>
    </row>
    <row r="991" ht="15" customHeight="1">
      <c r="A991" t="inlineStr">
        <is>
          <t>A 59318-2023</t>
        </is>
      </c>
      <c r="B991" s="1" t="n">
        <v>45253</v>
      </c>
      <c r="C991" s="1" t="n">
        <v>45829</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59327-2023</t>
        </is>
      </c>
      <c r="B992" s="1" t="n">
        <v>45253</v>
      </c>
      <c r="C992" s="1" t="n">
        <v>45829</v>
      </c>
      <c r="D992" t="inlineStr">
        <is>
          <t>UPPSALA LÄN</t>
        </is>
      </c>
      <c r="E992" t="inlineStr">
        <is>
          <t>ÖSTHAMMAR</t>
        </is>
      </c>
      <c r="G992" t="n">
        <v>3.1</v>
      </c>
      <c r="H992" t="n">
        <v>0</v>
      </c>
      <c r="I992" t="n">
        <v>0</v>
      </c>
      <c r="J992" t="n">
        <v>0</v>
      </c>
      <c r="K992" t="n">
        <v>0</v>
      </c>
      <c r="L992" t="n">
        <v>0</v>
      </c>
      <c r="M992" t="n">
        <v>0</v>
      </c>
      <c r="N992" t="n">
        <v>0</v>
      </c>
      <c r="O992" t="n">
        <v>0</v>
      </c>
      <c r="P992" t="n">
        <v>0</v>
      </c>
      <c r="Q992" t="n">
        <v>0</v>
      </c>
      <c r="R992" s="2" t="inlineStr"/>
    </row>
    <row r="993" ht="15" customHeight="1">
      <c r="A993" t="inlineStr">
        <is>
          <t>A 59291-2023</t>
        </is>
      </c>
      <c r="B993" s="1" t="n">
        <v>45253</v>
      </c>
      <c r="C993" s="1" t="n">
        <v>45829</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59731-2023</t>
        </is>
      </c>
      <c r="B994" s="1" t="n">
        <v>45257</v>
      </c>
      <c r="C994" s="1" t="n">
        <v>45829</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60303-2023</t>
        </is>
      </c>
      <c r="B995" s="1" t="n">
        <v>45258</v>
      </c>
      <c r="C995" s="1" t="n">
        <v>45829</v>
      </c>
      <c r="D995" t="inlineStr">
        <is>
          <t>UPPSALA LÄN</t>
        </is>
      </c>
      <c r="E995" t="inlineStr">
        <is>
          <t>ÖSTHAMMAR</t>
        </is>
      </c>
      <c r="F995" t="inlineStr">
        <is>
          <t>Bergvik skog öst AB</t>
        </is>
      </c>
      <c r="G995" t="n">
        <v>10.8</v>
      </c>
      <c r="H995" t="n">
        <v>0</v>
      </c>
      <c r="I995" t="n">
        <v>0</v>
      </c>
      <c r="J995" t="n">
        <v>0</v>
      </c>
      <c r="K995" t="n">
        <v>0</v>
      </c>
      <c r="L995" t="n">
        <v>0</v>
      </c>
      <c r="M995" t="n">
        <v>0</v>
      </c>
      <c r="N995" t="n">
        <v>0</v>
      </c>
      <c r="O995" t="n">
        <v>0</v>
      </c>
      <c r="P995" t="n">
        <v>0</v>
      </c>
      <c r="Q995" t="n">
        <v>0</v>
      </c>
      <c r="R995" s="2" t="inlineStr"/>
    </row>
    <row r="996" ht="15" customHeight="1">
      <c r="A996" t="inlineStr">
        <is>
          <t>A 60555-2023</t>
        </is>
      </c>
      <c r="B996" s="1" t="n">
        <v>45259</v>
      </c>
      <c r="C996" s="1" t="n">
        <v>45829</v>
      </c>
      <c r="D996" t="inlineStr">
        <is>
          <t>UPPSALA LÄN</t>
        </is>
      </c>
      <c r="E996" t="inlineStr">
        <is>
          <t>ÖSTHAMMAR</t>
        </is>
      </c>
      <c r="G996" t="n">
        <v>2</v>
      </c>
      <c r="H996" t="n">
        <v>0</v>
      </c>
      <c r="I996" t="n">
        <v>0</v>
      </c>
      <c r="J996" t="n">
        <v>0</v>
      </c>
      <c r="K996" t="n">
        <v>0</v>
      </c>
      <c r="L996" t="n">
        <v>0</v>
      </c>
      <c r="M996" t="n">
        <v>0</v>
      </c>
      <c r="N996" t="n">
        <v>0</v>
      </c>
      <c r="O996" t="n">
        <v>0</v>
      </c>
      <c r="P996" t="n">
        <v>0</v>
      </c>
      <c r="Q996" t="n">
        <v>0</v>
      </c>
      <c r="R996" s="2" t="inlineStr"/>
    </row>
    <row r="997" ht="15" customHeight="1">
      <c r="A997" t="inlineStr">
        <is>
          <t>A 61062-2023</t>
        </is>
      </c>
      <c r="B997" s="1" t="n">
        <v>45259</v>
      </c>
      <c r="C997" s="1" t="n">
        <v>45829</v>
      </c>
      <c r="D997" t="inlineStr">
        <is>
          <t>UPPSALA LÄN</t>
        </is>
      </c>
      <c r="E997" t="inlineStr">
        <is>
          <t>ÖSTHAMMAR</t>
        </is>
      </c>
      <c r="G997" t="n">
        <v>5.3</v>
      </c>
      <c r="H997" t="n">
        <v>0</v>
      </c>
      <c r="I997" t="n">
        <v>0</v>
      </c>
      <c r="J997" t="n">
        <v>0</v>
      </c>
      <c r="K997" t="n">
        <v>0</v>
      </c>
      <c r="L997" t="n">
        <v>0</v>
      </c>
      <c r="M997" t="n">
        <v>0</v>
      </c>
      <c r="N997" t="n">
        <v>0</v>
      </c>
      <c r="O997" t="n">
        <v>0</v>
      </c>
      <c r="P997" t="n">
        <v>0</v>
      </c>
      <c r="Q997" t="n">
        <v>0</v>
      </c>
      <c r="R997" s="2" t="inlineStr"/>
    </row>
    <row r="998" ht="15" customHeight="1">
      <c r="A998" t="inlineStr">
        <is>
          <t>A 61063-2023</t>
        </is>
      </c>
      <c r="B998" s="1" t="n">
        <v>45259</v>
      </c>
      <c r="C998" s="1" t="n">
        <v>45829</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60722-2023</t>
        </is>
      </c>
      <c r="B999" s="1" t="n">
        <v>45260</v>
      </c>
      <c r="C999" s="1" t="n">
        <v>45829</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61109-2023</t>
        </is>
      </c>
      <c r="B1000" s="1" t="n">
        <v>45261</v>
      </c>
      <c r="C1000" s="1" t="n">
        <v>45829</v>
      </c>
      <c r="D1000" t="inlineStr">
        <is>
          <t>UPPSALA LÄN</t>
        </is>
      </c>
      <c r="E1000" t="inlineStr">
        <is>
          <t>ÖSTHAMMAR</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61246-2023</t>
        </is>
      </c>
      <c r="B1001" s="1" t="n">
        <v>45264</v>
      </c>
      <c r="C1001" s="1" t="n">
        <v>45829</v>
      </c>
      <c r="D1001" t="inlineStr">
        <is>
          <t>UPPSALA LÄN</t>
        </is>
      </c>
      <c r="E1001" t="inlineStr">
        <is>
          <t>ÖSTHAMMAR</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61428-2023</t>
        </is>
      </c>
      <c r="B1002" s="1" t="n">
        <v>45264</v>
      </c>
      <c r="C1002" s="1" t="n">
        <v>45829</v>
      </c>
      <c r="D1002" t="inlineStr">
        <is>
          <t>UPPSALA LÄN</t>
        </is>
      </c>
      <c r="E1002" t="inlineStr">
        <is>
          <t>ÖSTHAMMAR</t>
        </is>
      </c>
      <c r="F1002" t="inlineStr">
        <is>
          <t>Allmännings- och besparingsskogar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45829</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64774-2023</t>
        </is>
      </c>
      <c r="B1004" s="1" t="n">
        <v>45282</v>
      </c>
      <c r="C1004" s="1" t="n">
        <v>45829</v>
      </c>
      <c r="D1004" t="inlineStr">
        <is>
          <t>UPPSALA LÄN</t>
        </is>
      </c>
      <c r="E1004" t="inlineStr">
        <is>
          <t>ÖSTHAMMAR</t>
        </is>
      </c>
      <c r="F1004" t="inlineStr">
        <is>
          <t>Övriga Aktiebolag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2462-2024</t>
        </is>
      </c>
      <c r="B1005" s="1" t="n">
        <v>45313</v>
      </c>
      <c r="C1005" s="1" t="n">
        <v>45829</v>
      </c>
      <c r="D1005" t="inlineStr">
        <is>
          <t>UPPSALA LÄN</t>
        </is>
      </c>
      <c r="E1005" t="inlineStr">
        <is>
          <t>ÖSTHAMMAR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2920-2024</t>
        </is>
      </c>
      <c r="B1006" s="1" t="n">
        <v>45315</v>
      </c>
      <c r="C1006" s="1" t="n">
        <v>45829</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4984-2024</t>
        </is>
      </c>
      <c r="B1007" s="1" t="n">
        <v>45329</v>
      </c>
      <c r="C1007" s="1" t="n">
        <v>45829</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5042-2024</t>
        </is>
      </c>
      <c r="B1008" s="1" t="n">
        <v>45329</v>
      </c>
      <c r="C1008" s="1" t="n">
        <v>45829</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5149-2024</t>
        </is>
      </c>
      <c r="B1009" s="1" t="n">
        <v>45330</v>
      </c>
      <c r="C1009" s="1" t="n">
        <v>45829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5198-2024</t>
        </is>
      </c>
      <c r="B1010" s="1" t="n">
        <v>45330</v>
      </c>
      <c r="C1010" s="1" t="n">
        <v>45829</v>
      </c>
      <c r="D1010" t="inlineStr">
        <is>
          <t>UPPSALA LÄN</t>
        </is>
      </c>
      <c r="E1010" t="inlineStr">
        <is>
          <t>ÖSTHAMMAR</t>
        </is>
      </c>
      <c r="F1010" t="inlineStr">
        <is>
          <t>Övriga Aktiebolag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5216-2024</t>
        </is>
      </c>
      <c r="B1011" s="1" t="n">
        <v>45330</v>
      </c>
      <c r="C1011" s="1" t="n">
        <v>45829</v>
      </c>
      <c r="D1011" t="inlineStr">
        <is>
          <t>UPPSALA LÄN</t>
        </is>
      </c>
      <c r="E1011" t="inlineStr">
        <is>
          <t>ÖSTHAMMAR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5161-2024</t>
        </is>
      </c>
      <c r="B1012" s="1" t="n">
        <v>45330</v>
      </c>
      <c r="C1012" s="1" t="n">
        <v>45829</v>
      </c>
      <c r="D1012" t="inlineStr">
        <is>
          <t>UPPSALA LÄN</t>
        </is>
      </c>
      <c r="E1012" t="inlineStr">
        <is>
          <t>ÖSTHAMMAR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5223-2024</t>
        </is>
      </c>
      <c r="B1013" s="1" t="n">
        <v>45330</v>
      </c>
      <c r="C1013" s="1" t="n">
        <v>45829</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5851-2024</t>
        </is>
      </c>
      <c r="B1014" s="1" t="n">
        <v>45335</v>
      </c>
      <c r="C1014" s="1" t="n">
        <v>45829</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5860-2024</t>
        </is>
      </c>
      <c r="B1015" s="1" t="n">
        <v>45335</v>
      </c>
      <c r="C1015" s="1" t="n">
        <v>45829</v>
      </c>
      <c r="D1015" t="inlineStr">
        <is>
          <t>UPPSALA LÄN</t>
        </is>
      </c>
      <c r="E1015" t="inlineStr">
        <is>
          <t>ÖSTHAMMAR</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6120-2024</t>
        </is>
      </c>
      <c r="B1016" s="1" t="n">
        <v>45337</v>
      </c>
      <c r="C1016" s="1" t="n">
        <v>45829</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6102-2024</t>
        </is>
      </c>
      <c r="B1017" s="1" t="n">
        <v>45337</v>
      </c>
      <c r="C1017" s="1" t="n">
        <v>45829</v>
      </c>
      <c r="D1017" t="inlineStr">
        <is>
          <t>UPPSALA LÄN</t>
        </is>
      </c>
      <c r="E1017" t="inlineStr">
        <is>
          <t>ÖSTHAMMAR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6106-2024</t>
        </is>
      </c>
      <c r="B1018" s="1" t="n">
        <v>45337</v>
      </c>
      <c r="C1018" s="1" t="n">
        <v>45829</v>
      </c>
      <c r="D1018" t="inlineStr">
        <is>
          <t>UPPSALA LÄN</t>
        </is>
      </c>
      <c r="E1018" t="inlineStr">
        <is>
          <t>ÖSTHAMMAR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6143-2024</t>
        </is>
      </c>
      <c r="B1019" s="1" t="n">
        <v>45337</v>
      </c>
      <c r="C1019" s="1" t="n">
        <v>45829</v>
      </c>
      <c r="D1019" t="inlineStr">
        <is>
          <t>UPPSALA LÄN</t>
        </is>
      </c>
      <c r="E1019" t="inlineStr">
        <is>
          <t>ÖSTHAMMAR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6121-2024</t>
        </is>
      </c>
      <c r="B1020" s="1" t="n">
        <v>45337</v>
      </c>
      <c r="C1020" s="1" t="n">
        <v>45829</v>
      </c>
      <c r="D1020" t="inlineStr">
        <is>
          <t>UPPSALA LÄN</t>
        </is>
      </c>
      <c r="E1020" t="inlineStr">
        <is>
          <t>ÖSTHAMMAR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6418-2024</t>
        </is>
      </c>
      <c r="B1021" s="1" t="n">
        <v>45338</v>
      </c>
      <c r="C1021" s="1" t="n">
        <v>45829</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6656-2024</t>
        </is>
      </c>
      <c r="B1022" s="1" t="n">
        <v>45341</v>
      </c>
      <c r="C1022" s="1" t="n">
        <v>45829</v>
      </c>
      <c r="D1022" t="inlineStr">
        <is>
          <t>UPPSALA LÄN</t>
        </is>
      </c>
      <c r="E1022" t="inlineStr">
        <is>
          <t>ÖSTHAMMAR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6661-2024</t>
        </is>
      </c>
      <c r="B1023" s="1" t="n">
        <v>45341</v>
      </c>
      <c r="C1023" s="1" t="n">
        <v>45829</v>
      </c>
      <c r="D1023" t="inlineStr">
        <is>
          <t>UPPSALA LÄN</t>
        </is>
      </c>
      <c r="E1023" t="inlineStr">
        <is>
          <t>ÖSTHAMMAR</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8673-2024</t>
        </is>
      </c>
      <c r="B1024" s="1" t="n">
        <v>45356</v>
      </c>
      <c r="C1024" s="1" t="n">
        <v>45829</v>
      </c>
      <c r="D1024" t="inlineStr">
        <is>
          <t>UPPSALA LÄN</t>
        </is>
      </c>
      <c r="E1024" t="inlineStr">
        <is>
          <t>ÖSTHAMMAR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9264-2024</t>
        </is>
      </c>
      <c r="B1025" s="1" t="n">
        <v>45358</v>
      </c>
      <c r="C1025" s="1" t="n">
        <v>45829</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9267-2024</t>
        </is>
      </c>
      <c r="B1026" s="1" t="n">
        <v>45358</v>
      </c>
      <c r="C1026" s="1" t="n">
        <v>45829</v>
      </c>
      <c r="D1026" t="inlineStr">
        <is>
          <t>UPPSALA LÄN</t>
        </is>
      </c>
      <c r="E1026" t="inlineStr">
        <is>
          <t>ÖSTHAMMAR</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9291-2024</t>
        </is>
      </c>
      <c r="B1027" s="1" t="n">
        <v>45358</v>
      </c>
      <c r="C1027" s="1" t="n">
        <v>45829</v>
      </c>
      <c r="D1027" t="inlineStr">
        <is>
          <t>UPPSALA LÄN</t>
        </is>
      </c>
      <c r="E1027" t="inlineStr">
        <is>
          <t>ÖSTHAMMAR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9642-2024</t>
        </is>
      </c>
      <c r="B1028" s="1" t="n">
        <v>45362</v>
      </c>
      <c r="C1028" s="1" t="n">
        <v>45829</v>
      </c>
      <c r="D1028" t="inlineStr">
        <is>
          <t>UPPSALA LÄN</t>
        </is>
      </c>
      <c r="E1028" t="inlineStr">
        <is>
          <t>ÖSTHAMMAR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9927-2024</t>
        </is>
      </c>
      <c r="B1029" s="1" t="n">
        <v>45363</v>
      </c>
      <c r="C1029" s="1" t="n">
        <v>45829</v>
      </c>
      <c r="D1029" t="inlineStr">
        <is>
          <t>UPPSALA LÄN</t>
        </is>
      </c>
      <c r="E1029" t="inlineStr">
        <is>
          <t>ÖSTHAMMAR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10430-2024</t>
        </is>
      </c>
      <c r="B1030" s="1" t="n">
        <v>45365</v>
      </c>
      <c r="C1030" s="1" t="n">
        <v>45829</v>
      </c>
      <c r="D1030" t="inlineStr">
        <is>
          <t>UPPSALA LÄN</t>
        </is>
      </c>
      <c r="E1030" t="inlineStr">
        <is>
          <t>ÖSTHAMMAR</t>
        </is>
      </c>
      <c r="F1030" t="inlineStr">
        <is>
          <t>Bergvik skog öst AB</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10429-2024</t>
        </is>
      </c>
      <c r="B1031" s="1" t="n">
        <v>45365</v>
      </c>
      <c r="C1031" s="1" t="n">
        <v>45829</v>
      </c>
      <c r="D1031" t="inlineStr">
        <is>
          <t>UPPSALA LÄN</t>
        </is>
      </c>
      <c r="E1031" t="inlineStr">
        <is>
          <t>ÖSTHAMMAR</t>
        </is>
      </c>
      <c r="F1031" t="inlineStr">
        <is>
          <t>Bergvik skog öst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10431-2024</t>
        </is>
      </c>
      <c r="B1032" s="1" t="n">
        <v>45365</v>
      </c>
      <c r="C1032" s="1" t="n">
        <v>45829</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10638-2024</t>
        </is>
      </c>
      <c r="B1033" s="1" t="n">
        <v>45367</v>
      </c>
      <c r="C1033" s="1" t="n">
        <v>45829</v>
      </c>
      <c r="D1033" t="inlineStr">
        <is>
          <t>UPPSALA LÄN</t>
        </is>
      </c>
      <c r="E1033" t="inlineStr">
        <is>
          <t>ÖSTHAMMAR</t>
        </is>
      </c>
      <c r="F1033" t="inlineStr">
        <is>
          <t>Bergvik skog öst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10983-2024</t>
        </is>
      </c>
      <c r="B1034" s="1" t="n">
        <v>45370</v>
      </c>
      <c r="C1034" s="1" t="n">
        <v>45829</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10960-2024</t>
        </is>
      </c>
      <c r="B1035" s="1" t="n">
        <v>45370</v>
      </c>
      <c r="C1035" s="1" t="n">
        <v>45829</v>
      </c>
      <c r="D1035" t="inlineStr">
        <is>
          <t>UPPSALA LÄN</t>
        </is>
      </c>
      <c r="E1035" t="inlineStr">
        <is>
          <t>ÖSTHAMMAR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11367-2024</t>
        </is>
      </c>
      <c r="B1036" s="1" t="n">
        <v>45372</v>
      </c>
      <c r="C1036" s="1" t="n">
        <v>45829</v>
      </c>
      <c r="D1036" t="inlineStr">
        <is>
          <t>UPPSALA LÄN</t>
        </is>
      </c>
      <c r="E1036" t="inlineStr">
        <is>
          <t>ÖSTHAMMAR</t>
        </is>
      </c>
      <c r="F1036" t="inlineStr">
        <is>
          <t>Bergvik skog öst AB</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11385-2024</t>
        </is>
      </c>
      <c r="B1037" s="1" t="n">
        <v>45372</v>
      </c>
      <c r="C1037" s="1" t="n">
        <v>45829</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11498-2024</t>
        </is>
      </c>
      <c r="B1038" s="1" t="n">
        <v>45372</v>
      </c>
      <c r="C1038" s="1" t="n">
        <v>45829</v>
      </c>
      <c r="D1038" t="inlineStr">
        <is>
          <t>UPPSALA LÄN</t>
        </is>
      </c>
      <c r="E1038" t="inlineStr">
        <is>
          <t>ÖSTHAMMAR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11472-2024</t>
        </is>
      </c>
      <c r="B1039" s="1" t="n">
        <v>45372</v>
      </c>
      <c r="C1039" s="1" t="n">
        <v>45829</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11656-2024</t>
        </is>
      </c>
      <c r="B1040" s="1" t="n">
        <v>45373</v>
      </c>
      <c r="C1040" s="1" t="n">
        <v>45829</v>
      </c>
      <c r="D1040" t="inlineStr">
        <is>
          <t>UPPSALA LÄN</t>
        </is>
      </c>
      <c r="E1040" t="inlineStr">
        <is>
          <t>ÖSTHAMMAR</t>
        </is>
      </c>
      <c r="F1040" t="inlineStr">
        <is>
          <t>Övriga Aktiebolag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11798-2024</t>
        </is>
      </c>
      <c r="B1041" s="1" t="n">
        <v>45375</v>
      </c>
      <c r="C1041" s="1" t="n">
        <v>45829</v>
      </c>
      <c r="D1041" t="inlineStr">
        <is>
          <t>UPPSALA LÄN</t>
        </is>
      </c>
      <c r="E1041" t="inlineStr">
        <is>
          <t>ÖSTHAMMAR</t>
        </is>
      </c>
      <c r="F1041" t="inlineStr">
        <is>
          <t>Bergvik skog öst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11799-2024</t>
        </is>
      </c>
      <c r="B1042" s="1" t="n">
        <v>45375</v>
      </c>
      <c r="C1042" s="1" t="n">
        <v>45829</v>
      </c>
      <c r="D1042" t="inlineStr">
        <is>
          <t>UPPSALA LÄN</t>
        </is>
      </c>
      <c r="E1042" t="inlineStr">
        <is>
          <t>ÖSTHAMMAR</t>
        </is>
      </c>
      <c r="F1042" t="inlineStr">
        <is>
          <t>Bergvik skog öst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12028-2024</t>
        </is>
      </c>
      <c r="B1043" s="1" t="n">
        <v>45377</v>
      </c>
      <c r="C1043" s="1" t="n">
        <v>45829</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12278-2024</t>
        </is>
      </c>
      <c r="B1044" s="1" t="n">
        <v>45378</v>
      </c>
      <c r="C1044" s="1" t="n">
        <v>45829</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12487-2024</t>
        </is>
      </c>
      <c r="B1045" s="1" t="n">
        <v>45379</v>
      </c>
      <c r="C1045" s="1" t="n">
        <v>45829</v>
      </c>
      <c r="D1045" t="inlineStr">
        <is>
          <t>UPPSALA LÄN</t>
        </is>
      </c>
      <c r="E1045" t="inlineStr">
        <is>
          <t>ÖSTHAMMAR</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12486-2024</t>
        </is>
      </c>
      <c r="B1046" s="1" t="n">
        <v>45379</v>
      </c>
      <c r="C1046" s="1" t="n">
        <v>45829</v>
      </c>
      <c r="D1046" t="inlineStr">
        <is>
          <t>UPPSALA LÄN</t>
        </is>
      </c>
      <c r="E1046" t="inlineStr">
        <is>
          <t>ÖSTHAMMAR</t>
        </is>
      </c>
      <c r="F1046" t="inlineStr">
        <is>
          <t>Bergvik skog öst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12498-2024</t>
        </is>
      </c>
      <c r="B1047" s="1" t="n">
        <v>45379</v>
      </c>
      <c r="C1047" s="1" t="n">
        <v>45829</v>
      </c>
      <c r="D1047" t="inlineStr">
        <is>
          <t>UPPSALA LÄN</t>
        </is>
      </c>
      <c r="E1047" t="inlineStr">
        <is>
          <t>ÖSTHAMMAR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12534-2024</t>
        </is>
      </c>
      <c r="B1048" s="1" t="n">
        <v>45379</v>
      </c>
      <c r="C1048" s="1" t="n">
        <v>45829</v>
      </c>
      <c r="D1048" t="inlineStr">
        <is>
          <t>UPPSALA LÄN</t>
        </is>
      </c>
      <c r="E1048" t="inlineStr">
        <is>
          <t>ÖSTHAMMAR</t>
        </is>
      </c>
      <c r="F1048" t="inlineStr">
        <is>
          <t>Bergvik skog öst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12531-2024</t>
        </is>
      </c>
      <c r="B1049" s="1" t="n">
        <v>45379</v>
      </c>
      <c r="C1049" s="1" t="n">
        <v>45829</v>
      </c>
      <c r="D1049" t="inlineStr">
        <is>
          <t>UPPSALA LÄN</t>
        </is>
      </c>
      <c r="E1049" t="inlineStr">
        <is>
          <t>ÖSTHAMMAR</t>
        </is>
      </c>
      <c r="F1049" t="inlineStr">
        <is>
          <t>Bergvik skog öst AB</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12528-2024</t>
        </is>
      </c>
      <c r="B1050" s="1" t="n">
        <v>45379</v>
      </c>
      <c r="C1050" s="1" t="n">
        <v>45829</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12649-2024</t>
        </is>
      </c>
      <c r="B1051" s="1" t="n">
        <v>45384</v>
      </c>
      <c r="C1051" s="1" t="n">
        <v>45829</v>
      </c>
      <c r="D1051" t="inlineStr">
        <is>
          <t>UPPSALA LÄN</t>
        </is>
      </c>
      <c r="E1051" t="inlineStr">
        <is>
          <t>ÖSTHAMMAR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12676-2024</t>
        </is>
      </c>
      <c r="B1052" s="1" t="n">
        <v>45384</v>
      </c>
      <c r="C1052" s="1" t="n">
        <v>45829</v>
      </c>
      <c r="D1052" t="inlineStr">
        <is>
          <t>UPPSALA LÄN</t>
        </is>
      </c>
      <c r="E1052" t="inlineStr">
        <is>
          <t>ÖSTHAMMAR</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12756-2024</t>
        </is>
      </c>
      <c r="B1053" s="1" t="n">
        <v>45384</v>
      </c>
      <c r="C1053" s="1" t="n">
        <v>45829</v>
      </c>
      <c r="D1053" t="inlineStr">
        <is>
          <t>UPPSALA LÄN</t>
        </is>
      </c>
      <c r="E1053" t="inlineStr">
        <is>
          <t>ÖSTHAMMAR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12812-2024</t>
        </is>
      </c>
      <c r="B1054" s="1" t="n">
        <v>45384</v>
      </c>
      <c r="C1054" s="1" t="n">
        <v>45829</v>
      </c>
      <c r="D1054" t="inlineStr">
        <is>
          <t>UPPSALA LÄN</t>
        </is>
      </c>
      <c r="E1054" t="inlineStr">
        <is>
          <t>ÖSTHAMMAR</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13059-2024</t>
        </is>
      </c>
      <c r="B1055" s="1" t="n">
        <v>45385</v>
      </c>
      <c r="C1055" s="1" t="n">
        <v>45829</v>
      </c>
      <c r="D1055" t="inlineStr">
        <is>
          <t>UPPSALA LÄN</t>
        </is>
      </c>
      <c r="E1055" t="inlineStr">
        <is>
          <t>ÖSTHAMMAR</t>
        </is>
      </c>
      <c r="F1055" t="inlineStr">
        <is>
          <t>Bergvik skog öst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12947-2024</t>
        </is>
      </c>
      <c r="B1056" s="1" t="n">
        <v>45385</v>
      </c>
      <c r="C1056" s="1" t="n">
        <v>45829</v>
      </c>
      <c r="D1056" t="inlineStr">
        <is>
          <t>UPPSALA LÄN</t>
        </is>
      </c>
      <c r="E1056" t="inlineStr">
        <is>
          <t>ÖSTHAMMAR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13113-2024</t>
        </is>
      </c>
      <c r="B1057" s="1" t="n">
        <v>45385</v>
      </c>
      <c r="C1057" s="1" t="n">
        <v>45829</v>
      </c>
      <c r="D1057" t="inlineStr">
        <is>
          <t>UPPSALA LÄN</t>
        </is>
      </c>
      <c r="E1057" t="inlineStr">
        <is>
          <t>ÖSTHAMMAR</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13114-2024</t>
        </is>
      </c>
      <c r="B1058" s="1" t="n">
        <v>45385</v>
      </c>
      <c r="C1058" s="1" t="n">
        <v>45829</v>
      </c>
      <c r="D1058" t="inlineStr">
        <is>
          <t>UPPSALA LÄN</t>
        </is>
      </c>
      <c r="E1058" t="inlineStr">
        <is>
          <t>ÖSTHAMMAR</t>
        </is>
      </c>
      <c r="F1058" t="inlineStr">
        <is>
          <t>Bergvik skog öst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13315-2024</t>
        </is>
      </c>
      <c r="B1059" s="1" t="n">
        <v>45386</v>
      </c>
      <c r="C1059" s="1" t="n">
        <v>45829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13312-2024</t>
        </is>
      </c>
      <c r="B1060" s="1" t="n">
        <v>45386</v>
      </c>
      <c r="C1060" s="1" t="n">
        <v>45829</v>
      </c>
      <c r="D1060" t="inlineStr">
        <is>
          <t>UPPSALA LÄN</t>
        </is>
      </c>
      <c r="E1060" t="inlineStr">
        <is>
          <t>ÖSTHAMMAR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13729-2024</t>
        </is>
      </c>
      <c r="B1061" s="1" t="n">
        <v>45387</v>
      </c>
      <c r="C1061" s="1" t="n">
        <v>45829</v>
      </c>
      <c r="D1061" t="inlineStr">
        <is>
          <t>UPPSALA LÄN</t>
        </is>
      </c>
      <c r="E1061" t="inlineStr">
        <is>
          <t>ÖSTHAMMAR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13358-2024</t>
        </is>
      </c>
      <c r="B1062" s="1" t="n">
        <v>45387</v>
      </c>
      <c r="C1062" s="1" t="n">
        <v>45829</v>
      </c>
      <c r="D1062" t="inlineStr">
        <is>
          <t>UPPSALA LÄN</t>
        </is>
      </c>
      <c r="E1062" t="inlineStr">
        <is>
          <t>ÖSTHAMMAR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13393-2024</t>
        </is>
      </c>
      <c r="B1063" s="1" t="n">
        <v>45387</v>
      </c>
      <c r="C1063" s="1" t="n">
        <v>45829</v>
      </c>
      <c r="D1063" t="inlineStr">
        <is>
          <t>UPPSALA LÄN</t>
        </is>
      </c>
      <c r="E1063" t="inlineStr">
        <is>
          <t>ÖSTHAMMAR</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13613-2024</t>
        </is>
      </c>
      <c r="B1064" s="1" t="n">
        <v>45390</v>
      </c>
      <c r="C1064" s="1" t="n">
        <v>45829</v>
      </c>
      <c r="D1064" t="inlineStr">
        <is>
          <t>UPPSALA LÄN</t>
        </is>
      </c>
      <c r="E1064" t="inlineStr">
        <is>
          <t>ÖSTHAMMAR</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13616-2024</t>
        </is>
      </c>
      <c r="B1065" s="1" t="n">
        <v>45390</v>
      </c>
      <c r="C1065" s="1" t="n">
        <v>45829</v>
      </c>
      <c r="D1065" t="inlineStr">
        <is>
          <t>UPPSALA LÄN</t>
        </is>
      </c>
      <c r="E1065" t="inlineStr">
        <is>
          <t>ÖSTHAMMAR</t>
        </is>
      </c>
      <c r="F1065" t="inlineStr">
        <is>
          <t>Övriga Aktiebolag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13615-2024</t>
        </is>
      </c>
      <c r="B1066" s="1" t="n">
        <v>45390</v>
      </c>
      <c r="C1066" s="1" t="n">
        <v>45829</v>
      </c>
      <c r="D1066" t="inlineStr">
        <is>
          <t>UPPSALA LÄN</t>
        </is>
      </c>
      <c r="E1066" t="inlineStr">
        <is>
          <t>ÖSTHAMMAR</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13618-2024</t>
        </is>
      </c>
      <c r="B1067" s="1" t="n">
        <v>45390</v>
      </c>
      <c r="C1067" s="1" t="n">
        <v>45829</v>
      </c>
      <c r="D1067" t="inlineStr">
        <is>
          <t>UPPSALA LÄN</t>
        </is>
      </c>
      <c r="E1067" t="inlineStr">
        <is>
          <t>ÖSTHAMMAR</t>
        </is>
      </c>
      <c r="F1067" t="inlineStr">
        <is>
          <t>Övriga Aktiebolag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13879-2024</t>
        </is>
      </c>
      <c r="B1068" s="1" t="n">
        <v>45391</v>
      </c>
      <c r="C1068" s="1" t="n">
        <v>45829</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13779-2024</t>
        </is>
      </c>
      <c r="B1069" s="1" t="n">
        <v>45391</v>
      </c>
      <c r="C1069" s="1" t="n">
        <v>45829</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14516-2024</t>
        </is>
      </c>
      <c r="B1070" s="1" t="n">
        <v>45394</v>
      </c>
      <c r="C1070" s="1" t="n">
        <v>45829</v>
      </c>
      <c r="D1070" t="inlineStr">
        <is>
          <t>UPPSALA LÄN</t>
        </is>
      </c>
      <c r="E1070" t="inlineStr">
        <is>
          <t>ÖSTHAMMAR</t>
        </is>
      </c>
      <c r="F1070" t="inlineStr">
        <is>
          <t>Bergvik skog öst AB</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14509-2024</t>
        </is>
      </c>
      <c r="B1071" s="1" t="n">
        <v>45394</v>
      </c>
      <c r="C1071" s="1" t="n">
        <v>45829</v>
      </c>
      <c r="D1071" t="inlineStr">
        <is>
          <t>UPPSALA LÄN</t>
        </is>
      </c>
      <c r="E1071" t="inlineStr">
        <is>
          <t>ÖSTHAMMAR</t>
        </is>
      </c>
      <c r="F1071" t="inlineStr">
        <is>
          <t>Naturvårdsverket</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14433-2024</t>
        </is>
      </c>
      <c r="B1072" s="1" t="n">
        <v>45394</v>
      </c>
      <c r="C1072" s="1" t="n">
        <v>45829</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15165-2024</t>
        </is>
      </c>
      <c r="B1073" s="1" t="n">
        <v>45400</v>
      </c>
      <c r="C1073" s="1" t="n">
        <v>45829</v>
      </c>
      <c r="D1073" t="inlineStr">
        <is>
          <t>UPPSALA LÄN</t>
        </is>
      </c>
      <c r="E1073" t="inlineStr">
        <is>
          <t>ÖSTHAMMAR</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15169-2024</t>
        </is>
      </c>
      <c r="B1074" s="1" t="n">
        <v>45400</v>
      </c>
      <c r="C1074" s="1" t="n">
        <v>45829</v>
      </c>
      <c r="D1074" t="inlineStr">
        <is>
          <t>UPPSALA LÄN</t>
        </is>
      </c>
      <c r="E1074" t="inlineStr">
        <is>
          <t>ÖSTHAMMAR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15166-2024</t>
        </is>
      </c>
      <c r="B1075" s="1" t="n">
        <v>45400</v>
      </c>
      <c r="C1075" s="1" t="n">
        <v>45829</v>
      </c>
      <c r="D1075" t="inlineStr">
        <is>
          <t>UPPSALA LÄN</t>
        </is>
      </c>
      <c r="E1075" t="inlineStr">
        <is>
          <t>ÖSTHAMMAR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15575-2024</t>
        </is>
      </c>
      <c r="B1076" s="1" t="n">
        <v>45401</v>
      </c>
      <c r="C1076" s="1" t="n">
        <v>45829</v>
      </c>
      <c r="D1076" t="inlineStr">
        <is>
          <t>UPPSALA LÄN</t>
        </is>
      </c>
      <c r="E1076" t="inlineStr">
        <is>
          <t>ÖSTHAMMAR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16497-2024</t>
        </is>
      </c>
      <c r="B1077" s="1" t="n">
        <v>45408</v>
      </c>
      <c r="C1077" s="1" t="n">
        <v>45829</v>
      </c>
      <c r="D1077" t="inlineStr">
        <is>
          <t>UPPSALA LÄN</t>
        </is>
      </c>
      <c r="E1077" t="inlineStr">
        <is>
          <t>ÖSTHAMMAR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16736-2024</t>
        </is>
      </c>
      <c r="B1078" s="1" t="n">
        <v>45410</v>
      </c>
      <c r="C1078" s="1" t="n">
        <v>45829</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16737-2024</t>
        </is>
      </c>
      <c r="B1079" s="1" t="n">
        <v>45410</v>
      </c>
      <c r="C1079" s="1" t="n">
        <v>45829</v>
      </c>
      <c r="D1079" t="inlineStr">
        <is>
          <t>UPPSALA LÄN</t>
        </is>
      </c>
      <c r="E1079" t="inlineStr">
        <is>
          <t>ÖSTHAMMAR</t>
        </is>
      </c>
      <c r="F1079" t="inlineStr">
        <is>
          <t>Bergvik skog öst AB</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16735-2024</t>
        </is>
      </c>
      <c r="B1080" s="1" t="n">
        <v>45410</v>
      </c>
      <c r="C1080" s="1" t="n">
        <v>45829</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16734-2024</t>
        </is>
      </c>
      <c r="B1081" s="1" t="n">
        <v>45410</v>
      </c>
      <c r="C1081" s="1" t="n">
        <v>45829</v>
      </c>
      <c r="D1081" t="inlineStr">
        <is>
          <t>UPPSALA LÄN</t>
        </is>
      </c>
      <c r="E1081" t="inlineStr">
        <is>
          <t>ÖSTHAMMAR</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16983-2024</t>
        </is>
      </c>
      <c r="B1082" s="1" t="n">
        <v>45412</v>
      </c>
      <c r="C1082" s="1" t="n">
        <v>45829</v>
      </c>
      <c r="D1082" t="inlineStr">
        <is>
          <t>UPPSALA LÄN</t>
        </is>
      </c>
      <c r="E1082" t="inlineStr">
        <is>
          <t>ÖSTHAMMAR</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17776-2024</t>
        </is>
      </c>
      <c r="B1083" s="1" t="n">
        <v>45418</v>
      </c>
      <c r="C1083" s="1" t="n">
        <v>45829</v>
      </c>
      <c r="D1083" t="inlineStr">
        <is>
          <t>UPPSALA LÄN</t>
        </is>
      </c>
      <c r="E1083" t="inlineStr">
        <is>
          <t>ÖSTHAMMAR</t>
        </is>
      </c>
      <c r="F1083" t="inlineStr">
        <is>
          <t>Bergvik skog öst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17867-2024</t>
        </is>
      </c>
      <c r="B1084" s="1" t="n">
        <v>45419</v>
      </c>
      <c r="C1084" s="1" t="n">
        <v>45829</v>
      </c>
      <c r="D1084" t="inlineStr">
        <is>
          <t>UPPSALA LÄN</t>
        </is>
      </c>
      <c r="E1084" t="inlineStr">
        <is>
          <t>ÖSTHAMMAR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18693-2024</t>
        </is>
      </c>
      <c r="B1085" s="1" t="n">
        <v>45426</v>
      </c>
      <c r="C1085" s="1" t="n">
        <v>45829</v>
      </c>
      <c r="D1085" t="inlineStr">
        <is>
          <t>UPPSALA LÄN</t>
        </is>
      </c>
      <c r="E1085" t="inlineStr">
        <is>
          <t>ÖSTHAMMAR</t>
        </is>
      </c>
      <c r="F1085" t="inlineStr">
        <is>
          <t>Bergvik skog öst AB</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18691-2024</t>
        </is>
      </c>
      <c r="B1086" s="1" t="n">
        <v>45426</v>
      </c>
      <c r="C1086" s="1" t="n">
        <v>45829</v>
      </c>
      <c r="D1086" t="inlineStr">
        <is>
          <t>UPPSALA LÄN</t>
        </is>
      </c>
      <c r="E1086" t="inlineStr">
        <is>
          <t>ÖSTHAMMAR</t>
        </is>
      </c>
      <c r="F1086" t="inlineStr">
        <is>
          <t>Bergvik skog öst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18705-2024</t>
        </is>
      </c>
      <c r="B1087" s="1" t="n">
        <v>45426</v>
      </c>
      <c r="C1087" s="1" t="n">
        <v>45829</v>
      </c>
      <c r="D1087" t="inlineStr">
        <is>
          <t>UPPSALA LÄN</t>
        </is>
      </c>
      <c r="E1087" t="inlineStr">
        <is>
          <t>ÖSTHAMMAR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19056-2024</t>
        </is>
      </c>
      <c r="B1088" s="1" t="n">
        <v>45427</v>
      </c>
      <c r="C1088" s="1" t="n">
        <v>45829</v>
      </c>
      <c r="D1088" t="inlineStr">
        <is>
          <t>UPPSALA LÄN</t>
        </is>
      </c>
      <c r="E1088" t="inlineStr">
        <is>
          <t>ÖSTHAMMAR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18956-2024</t>
        </is>
      </c>
      <c r="B1089" s="1" t="n">
        <v>45427</v>
      </c>
      <c r="C1089" s="1" t="n">
        <v>45829</v>
      </c>
      <c r="D1089" t="inlineStr">
        <is>
          <t>UPPSALA LÄN</t>
        </is>
      </c>
      <c r="E1089" t="inlineStr">
        <is>
          <t>ÖSTHAMMAR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19375-2024</t>
        </is>
      </c>
      <c r="B1090" s="1" t="n">
        <v>45429</v>
      </c>
      <c r="C1090" s="1" t="n">
        <v>45829</v>
      </c>
      <c r="D1090" t="inlineStr">
        <is>
          <t>UPPSALA LÄN</t>
        </is>
      </c>
      <c r="E1090" t="inlineStr">
        <is>
          <t>ÖSTHAMMAR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19662-2024</t>
        </is>
      </c>
      <c r="B1091" s="1" t="n">
        <v>45432</v>
      </c>
      <c r="C1091" s="1" t="n">
        <v>45829</v>
      </c>
      <c r="D1091" t="inlineStr">
        <is>
          <t>UPPSALA LÄN</t>
        </is>
      </c>
      <c r="E1091" t="inlineStr">
        <is>
          <t>ÖSTHAMMAR</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19667-2024</t>
        </is>
      </c>
      <c r="B1092" s="1" t="n">
        <v>45432</v>
      </c>
      <c r="C1092" s="1" t="n">
        <v>45829</v>
      </c>
      <c r="D1092" t="inlineStr">
        <is>
          <t>UPPSALA LÄN</t>
        </is>
      </c>
      <c r="E1092" t="inlineStr">
        <is>
          <t>ÖSTHAMMAR</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19908-2024</t>
        </is>
      </c>
      <c r="B1093" s="1" t="n">
        <v>45433</v>
      </c>
      <c r="C1093" s="1" t="n">
        <v>45829</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19950-2024</t>
        </is>
      </c>
      <c r="B1094" s="1" t="n">
        <v>45433</v>
      </c>
      <c r="C1094" s="1" t="n">
        <v>45829</v>
      </c>
      <c r="D1094" t="inlineStr">
        <is>
          <t>UPPSALA LÄN</t>
        </is>
      </c>
      <c r="E1094" t="inlineStr">
        <is>
          <t>ÖSTHAMMAR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19947-2024</t>
        </is>
      </c>
      <c r="B1095" s="1" t="n">
        <v>45433</v>
      </c>
      <c r="C1095" s="1" t="n">
        <v>45829</v>
      </c>
      <c r="D1095" t="inlineStr">
        <is>
          <t>UPPSALA LÄN</t>
        </is>
      </c>
      <c r="E1095" t="inlineStr">
        <is>
          <t>ÖSTHAMMAR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19945-2024</t>
        </is>
      </c>
      <c r="B1096" s="1" t="n">
        <v>45433</v>
      </c>
      <c r="C1096" s="1" t="n">
        <v>45829</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20316-2024</t>
        </is>
      </c>
      <c r="B1097" s="1" t="n">
        <v>45435</v>
      </c>
      <c r="C1097" s="1" t="n">
        <v>45829</v>
      </c>
      <c r="D1097" t="inlineStr">
        <is>
          <t>UPPSALA LÄN</t>
        </is>
      </c>
      <c r="E1097" t="inlineStr">
        <is>
          <t>ÖSTHAMMAR</t>
        </is>
      </c>
      <c r="F1097" t="inlineStr">
        <is>
          <t>Bergvik skog öst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20419-2024</t>
        </is>
      </c>
      <c r="B1098" s="1" t="n">
        <v>45435</v>
      </c>
      <c r="C1098" s="1" t="n">
        <v>45829</v>
      </c>
      <c r="D1098" t="inlineStr">
        <is>
          <t>UPPSALA LÄN</t>
        </is>
      </c>
      <c r="E1098" t="inlineStr">
        <is>
          <t>ÖSTHAMMAR</t>
        </is>
      </c>
      <c r="F1098" t="inlineStr">
        <is>
          <t>Bergvik skog öst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20634-2024</t>
        </is>
      </c>
      <c r="B1099" s="1" t="n">
        <v>45436</v>
      </c>
      <c r="C1099" s="1" t="n">
        <v>45829</v>
      </c>
      <c r="D1099" t="inlineStr">
        <is>
          <t>UPPSALA LÄN</t>
        </is>
      </c>
      <c r="E1099" t="inlineStr">
        <is>
          <t>ÖSTHAMMAR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21231-2024</t>
        </is>
      </c>
      <c r="B1100" s="1" t="n">
        <v>45440</v>
      </c>
      <c r="C1100" s="1" t="n">
        <v>45829</v>
      </c>
      <c r="D1100" t="inlineStr">
        <is>
          <t>UPPSALA LÄN</t>
        </is>
      </c>
      <c r="E1100" t="inlineStr">
        <is>
          <t>ÖSTHAMMAR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21424-2024</t>
        </is>
      </c>
      <c r="B1101" s="1" t="n">
        <v>45441</v>
      </c>
      <c r="C1101" s="1" t="n">
        <v>45829</v>
      </c>
      <c r="D1101" t="inlineStr">
        <is>
          <t>UPPSALA LÄN</t>
        </is>
      </c>
      <c r="E1101" t="inlineStr">
        <is>
          <t>ÖSTHAMMAR</t>
        </is>
      </c>
      <c r="F1101" t="inlineStr">
        <is>
          <t>Bergvik skog öst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21413-2024</t>
        </is>
      </c>
      <c r="B1102" s="1" t="n">
        <v>45441</v>
      </c>
      <c r="C1102" s="1" t="n">
        <v>45829</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21547-2024</t>
        </is>
      </c>
      <c r="B1103" s="1" t="n">
        <v>45441</v>
      </c>
      <c r="C1103" s="1" t="n">
        <v>45829</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21505-2024</t>
        </is>
      </c>
      <c r="B1104" s="1" t="n">
        <v>45441</v>
      </c>
      <c r="C1104" s="1" t="n">
        <v>45829</v>
      </c>
      <c r="D1104" t="inlineStr">
        <is>
          <t>UPPSALA LÄN</t>
        </is>
      </c>
      <c r="E1104" t="inlineStr">
        <is>
          <t>ÖSTHAMMAR</t>
        </is>
      </c>
      <c r="F1104" t="inlineStr">
        <is>
          <t>Bergvik skog öst AB</t>
        </is>
      </c>
      <c r="G1104" t="n">
        <v>21.7</v>
      </c>
      <c r="H1104" t="n">
        <v>0</v>
      </c>
      <c r="I1104" t="n">
        <v>0</v>
      </c>
      <c r="J1104" t="n">
        <v>0</v>
      </c>
      <c r="K1104" t="n">
        <v>0</v>
      </c>
      <c r="L1104" t="n">
        <v>0</v>
      </c>
      <c r="M1104" t="n">
        <v>0</v>
      </c>
      <c r="N1104" t="n">
        <v>0</v>
      </c>
      <c r="O1104" t="n">
        <v>0</v>
      </c>
      <c r="P1104" t="n">
        <v>0</v>
      </c>
      <c r="Q1104" t="n">
        <v>0</v>
      </c>
      <c r="R1104" s="2" t="inlineStr"/>
    </row>
    <row r="1105" ht="15" customHeight="1">
      <c r="A1105" t="inlineStr">
        <is>
          <t>A 21655-2024</t>
        </is>
      </c>
      <c r="B1105" s="1" t="n">
        <v>45442</v>
      </c>
      <c r="C1105" s="1" t="n">
        <v>45829</v>
      </c>
      <c r="D1105" t="inlineStr">
        <is>
          <t>UPPSALA LÄN</t>
        </is>
      </c>
      <c r="E1105" t="inlineStr">
        <is>
          <t>ÖSTHAMMAR</t>
        </is>
      </c>
      <c r="F1105" t="inlineStr">
        <is>
          <t>Bergvik skog öst AB</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22057-2024</t>
        </is>
      </c>
      <c r="B1106" s="1" t="n">
        <v>45443</v>
      </c>
      <c r="C1106" s="1" t="n">
        <v>45829</v>
      </c>
      <c r="D1106" t="inlineStr">
        <is>
          <t>UPPSALA LÄN</t>
        </is>
      </c>
      <c r="E1106" t="inlineStr">
        <is>
          <t>ÖSTHAMMAR</t>
        </is>
      </c>
      <c r="F1106" t="inlineStr">
        <is>
          <t>Bergvik skog öst AB</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22217-2024</t>
        </is>
      </c>
      <c r="B1107" s="1" t="n">
        <v>45446</v>
      </c>
      <c r="C1107" s="1" t="n">
        <v>45829</v>
      </c>
      <c r="D1107" t="inlineStr">
        <is>
          <t>UPPSALA LÄN</t>
        </is>
      </c>
      <c r="E1107" t="inlineStr">
        <is>
          <t>ÖSTHAMMAR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22372-2024</t>
        </is>
      </c>
      <c r="B1108" s="1" t="n">
        <v>45446</v>
      </c>
      <c r="C1108" s="1" t="n">
        <v>45829</v>
      </c>
      <c r="D1108" t="inlineStr">
        <is>
          <t>UPPSALA LÄN</t>
        </is>
      </c>
      <c r="E1108" t="inlineStr">
        <is>
          <t>ÖSTHAMMAR</t>
        </is>
      </c>
      <c r="F1108" t="inlineStr">
        <is>
          <t>Bergvik skog öst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22373-2024</t>
        </is>
      </c>
      <c r="B1109" s="1" t="n">
        <v>45446</v>
      </c>
      <c r="C1109" s="1" t="n">
        <v>45829</v>
      </c>
      <c r="D1109" t="inlineStr">
        <is>
          <t>UPPSALA LÄN</t>
        </is>
      </c>
      <c r="E1109" t="inlineStr">
        <is>
          <t>ÖSTHAMMAR</t>
        </is>
      </c>
      <c r="F1109" t="inlineStr">
        <is>
          <t>Bergvik skog öst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22371-2024</t>
        </is>
      </c>
      <c r="B1110" s="1" t="n">
        <v>45446</v>
      </c>
      <c r="C1110" s="1" t="n">
        <v>45829</v>
      </c>
      <c r="D1110" t="inlineStr">
        <is>
          <t>UPPSALA LÄN</t>
        </is>
      </c>
      <c r="E1110" t="inlineStr">
        <is>
          <t>ÖSTHAMMAR</t>
        </is>
      </c>
      <c r="F1110" t="inlineStr">
        <is>
          <t>Bergvik skog öst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22884-2024</t>
        </is>
      </c>
      <c r="B1111" s="1" t="n">
        <v>45448</v>
      </c>
      <c r="C1111" s="1" t="n">
        <v>45829</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22725-2024</t>
        </is>
      </c>
      <c r="B1112" s="1" t="n">
        <v>45448</v>
      </c>
      <c r="C1112" s="1" t="n">
        <v>45829</v>
      </c>
      <c r="D1112" t="inlineStr">
        <is>
          <t>UPPSALA LÄN</t>
        </is>
      </c>
      <c r="E1112" t="inlineStr">
        <is>
          <t>ÖSTHAMMAR</t>
        </is>
      </c>
      <c r="F1112" t="inlineStr">
        <is>
          <t>Bergvik skog öst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22915-2024</t>
        </is>
      </c>
      <c r="B1113" s="1" t="n">
        <v>45448</v>
      </c>
      <c r="C1113" s="1" t="n">
        <v>45829</v>
      </c>
      <c r="D1113" t="inlineStr">
        <is>
          <t>UPPSALA LÄN</t>
        </is>
      </c>
      <c r="E1113" t="inlineStr">
        <is>
          <t>ÖSTHAMMAR</t>
        </is>
      </c>
      <c r="F1113" t="inlineStr">
        <is>
          <t>Bergvik skog öst AB</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22919-2024</t>
        </is>
      </c>
      <c r="B1114" s="1" t="n">
        <v>45448</v>
      </c>
      <c r="C1114" s="1" t="n">
        <v>45829</v>
      </c>
      <c r="D1114" t="inlineStr">
        <is>
          <t>UPPSALA LÄN</t>
        </is>
      </c>
      <c r="E1114" t="inlineStr">
        <is>
          <t>ÖSTHAMMAR</t>
        </is>
      </c>
      <c r="F1114" t="inlineStr">
        <is>
          <t>Bergvik skog öst AB</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23652-2024</t>
        </is>
      </c>
      <c r="B1115" s="1" t="n">
        <v>45454</v>
      </c>
      <c r="C1115" s="1" t="n">
        <v>45829</v>
      </c>
      <c r="D1115" t="inlineStr">
        <is>
          <t>UPPSALA LÄN</t>
        </is>
      </c>
      <c r="E1115" t="inlineStr">
        <is>
          <t>ÖSTHAMMAR</t>
        </is>
      </c>
      <c r="F1115" t="inlineStr">
        <is>
          <t>Bergvik skog öst AB</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23740-2024</t>
        </is>
      </c>
      <c r="B1116" s="1" t="n">
        <v>45455</v>
      </c>
      <c r="C1116" s="1" t="n">
        <v>45829</v>
      </c>
      <c r="D1116" t="inlineStr">
        <is>
          <t>UPPSALA LÄN</t>
        </is>
      </c>
      <c r="E1116" t="inlineStr">
        <is>
          <t>ÖSTHAMMAR</t>
        </is>
      </c>
      <c r="F1116" t="inlineStr">
        <is>
          <t>Bergvik skog öst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23742-2024</t>
        </is>
      </c>
      <c r="B1117" s="1" t="n">
        <v>45455</v>
      </c>
      <c r="C1117" s="1" t="n">
        <v>45829</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23741-2024</t>
        </is>
      </c>
      <c r="B1118" s="1" t="n">
        <v>45455</v>
      </c>
      <c r="C1118" s="1" t="n">
        <v>45829</v>
      </c>
      <c r="D1118" t="inlineStr">
        <is>
          <t>UPPSALA LÄN</t>
        </is>
      </c>
      <c r="E1118" t="inlineStr">
        <is>
          <t>ÖSTHAMMAR</t>
        </is>
      </c>
      <c r="F1118" t="inlineStr">
        <is>
          <t>Bergvik skog öst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24160-2024</t>
        </is>
      </c>
      <c r="B1119" s="1" t="n">
        <v>45456</v>
      </c>
      <c r="C1119" s="1" t="n">
        <v>45829</v>
      </c>
      <c r="D1119" t="inlineStr">
        <is>
          <t>UPPSALA LÄN</t>
        </is>
      </c>
      <c r="E1119" t="inlineStr">
        <is>
          <t>ÖSTHAMMAR</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24161-2024</t>
        </is>
      </c>
      <c r="B1120" s="1" t="n">
        <v>45456</v>
      </c>
      <c r="C1120" s="1" t="n">
        <v>45829</v>
      </c>
      <c r="D1120" t="inlineStr">
        <is>
          <t>UPPSALA LÄN</t>
        </is>
      </c>
      <c r="E1120" t="inlineStr">
        <is>
          <t>ÖSTHAMMAR</t>
        </is>
      </c>
      <c r="F1120" t="inlineStr">
        <is>
          <t>Bergvik skog öst AB</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24472-2024</t>
        </is>
      </c>
      <c r="B1121" s="1" t="n">
        <v>45458</v>
      </c>
      <c r="C1121" s="1" t="n">
        <v>45829</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24476-2024</t>
        </is>
      </c>
      <c r="B1122" s="1" t="n">
        <v>45458</v>
      </c>
      <c r="C1122" s="1" t="n">
        <v>45829</v>
      </c>
      <c r="D1122" t="inlineStr">
        <is>
          <t>UPPSALA LÄN</t>
        </is>
      </c>
      <c r="E1122" t="inlineStr">
        <is>
          <t>ÖSTHAMMAR</t>
        </is>
      </c>
      <c r="F1122" t="inlineStr">
        <is>
          <t>Bergvik skog öst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24471-2024</t>
        </is>
      </c>
      <c r="B1123" s="1" t="n">
        <v>45458</v>
      </c>
      <c r="C1123" s="1" t="n">
        <v>45829</v>
      </c>
      <c r="D1123" t="inlineStr">
        <is>
          <t>UPPSALA LÄN</t>
        </is>
      </c>
      <c r="E1123" t="inlineStr">
        <is>
          <t>ÖSTHAMMAR</t>
        </is>
      </c>
      <c r="F1123" t="inlineStr">
        <is>
          <t>Bergvik skog öst AB</t>
        </is>
      </c>
      <c r="G1123" t="n">
        <v>22.7</v>
      </c>
      <c r="H1123" t="n">
        <v>0</v>
      </c>
      <c r="I1123" t="n">
        <v>0</v>
      </c>
      <c r="J1123" t="n">
        <v>0</v>
      </c>
      <c r="K1123" t="n">
        <v>0</v>
      </c>
      <c r="L1123" t="n">
        <v>0</v>
      </c>
      <c r="M1123" t="n">
        <v>0</v>
      </c>
      <c r="N1123" t="n">
        <v>0</v>
      </c>
      <c r="O1123" t="n">
        <v>0</v>
      </c>
      <c r="P1123" t="n">
        <v>0</v>
      </c>
      <c r="Q1123" t="n">
        <v>0</v>
      </c>
      <c r="R1123" s="2" t="inlineStr"/>
    </row>
    <row r="1124" ht="15" customHeight="1">
      <c r="A1124" t="inlineStr">
        <is>
          <t>A 24475-2024</t>
        </is>
      </c>
      <c r="B1124" s="1" t="n">
        <v>45458</v>
      </c>
      <c r="C1124" s="1" t="n">
        <v>45829</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24770-2024</t>
        </is>
      </c>
      <c r="B1125" s="1" t="n">
        <v>45460</v>
      </c>
      <c r="C1125" s="1" t="n">
        <v>45829</v>
      </c>
      <c r="D1125" t="inlineStr">
        <is>
          <t>UPPSALA LÄN</t>
        </is>
      </c>
      <c r="E1125" t="inlineStr">
        <is>
          <t>ÖSTHAMMAR</t>
        </is>
      </c>
      <c r="F1125" t="inlineStr">
        <is>
          <t>Bergvik skog öst AB</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24747-2024</t>
        </is>
      </c>
      <c r="B1126" s="1" t="n">
        <v>45460</v>
      </c>
      <c r="C1126" s="1" t="n">
        <v>45829</v>
      </c>
      <c r="D1126" t="inlineStr">
        <is>
          <t>UPPSALA LÄN</t>
        </is>
      </c>
      <c r="E1126" t="inlineStr">
        <is>
          <t>ÖSTHAMMAR</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24588-2024</t>
        </is>
      </c>
      <c r="B1127" s="1" t="n">
        <v>45460</v>
      </c>
      <c r="C1127" s="1" t="n">
        <v>45829</v>
      </c>
      <c r="D1127" t="inlineStr">
        <is>
          <t>UPPSALA LÄN</t>
        </is>
      </c>
      <c r="E1127" t="inlineStr">
        <is>
          <t>ÖSTHAMMAR</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24606-2024</t>
        </is>
      </c>
      <c r="B1128" s="1" t="n">
        <v>45460</v>
      </c>
      <c r="C1128" s="1" t="n">
        <v>45829</v>
      </c>
      <c r="D1128" t="inlineStr">
        <is>
          <t>UPPSALA LÄN</t>
        </is>
      </c>
      <c r="E1128" t="inlineStr">
        <is>
          <t>ÖSTHAMMAR</t>
        </is>
      </c>
      <c r="F1128" t="inlineStr">
        <is>
          <t>Bergvik skog öst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24560-2024</t>
        </is>
      </c>
      <c r="B1129" s="1" t="n">
        <v>45460</v>
      </c>
      <c r="C1129" s="1" t="n">
        <v>45829</v>
      </c>
      <c r="D1129" t="inlineStr">
        <is>
          <t>UPPSALA LÄN</t>
        </is>
      </c>
      <c r="E1129" t="inlineStr">
        <is>
          <t>ÖSTHAMMAR</t>
        </is>
      </c>
      <c r="F1129" t="inlineStr">
        <is>
          <t>Bergvik skog öst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24589-2024</t>
        </is>
      </c>
      <c r="B1130" s="1" t="n">
        <v>45460</v>
      </c>
      <c r="C1130" s="1" t="n">
        <v>45829</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24853-2024</t>
        </is>
      </c>
      <c r="B1131" s="1" t="n">
        <v>45461</v>
      </c>
      <c r="C1131" s="1" t="n">
        <v>45829</v>
      </c>
      <c r="D1131" t="inlineStr">
        <is>
          <t>UPPSALA LÄN</t>
        </is>
      </c>
      <c r="E1131" t="inlineStr">
        <is>
          <t>ÖSTHAMMAR</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25289-2024</t>
        </is>
      </c>
      <c r="B1132" s="1" t="n">
        <v>45462</v>
      </c>
      <c r="C1132" s="1" t="n">
        <v>45829</v>
      </c>
      <c r="D1132" t="inlineStr">
        <is>
          <t>UPPSALA LÄN</t>
        </is>
      </c>
      <c r="E1132" t="inlineStr">
        <is>
          <t>ÖSTHAMMAR</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25269-2024</t>
        </is>
      </c>
      <c r="B1133" s="1" t="n">
        <v>45462</v>
      </c>
      <c r="C1133" s="1" t="n">
        <v>45829</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25252-2024</t>
        </is>
      </c>
      <c r="B1134" s="1" t="n">
        <v>45462</v>
      </c>
      <c r="C1134" s="1" t="n">
        <v>45829</v>
      </c>
      <c r="D1134" t="inlineStr">
        <is>
          <t>UPPSALA LÄN</t>
        </is>
      </c>
      <c r="E1134" t="inlineStr">
        <is>
          <t>ÖSTHAMMAR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25772-2024</t>
        </is>
      </c>
      <c r="B1135" s="1" t="n">
        <v>45466</v>
      </c>
      <c r="C1135" s="1" t="n">
        <v>45829</v>
      </c>
      <c r="D1135" t="inlineStr">
        <is>
          <t>UPPSALA LÄN</t>
        </is>
      </c>
      <c r="E1135" t="inlineStr">
        <is>
          <t>ÖSTHAMMAR</t>
        </is>
      </c>
      <c r="F1135" t="inlineStr">
        <is>
          <t>Bergvik skog öst AB</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25770-2024</t>
        </is>
      </c>
      <c r="B1136" s="1" t="n">
        <v>45466</v>
      </c>
      <c r="C1136" s="1" t="n">
        <v>45829</v>
      </c>
      <c r="D1136" t="inlineStr">
        <is>
          <t>UPPSALA LÄN</t>
        </is>
      </c>
      <c r="E1136" t="inlineStr">
        <is>
          <t>ÖSTHAMMAR</t>
        </is>
      </c>
      <c r="F1136" t="inlineStr">
        <is>
          <t>Bergvik skog öst AB</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25771-2024</t>
        </is>
      </c>
      <c r="B1137" s="1" t="n">
        <v>45466</v>
      </c>
      <c r="C1137" s="1" t="n">
        <v>45829</v>
      </c>
      <c r="D1137" t="inlineStr">
        <is>
          <t>UPPSALA LÄN</t>
        </is>
      </c>
      <c r="E1137" t="inlineStr">
        <is>
          <t>ÖSTHAMMAR</t>
        </is>
      </c>
      <c r="F1137" t="inlineStr">
        <is>
          <t>Bergvik skog öst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25938-2024</t>
        </is>
      </c>
      <c r="B1138" s="1" t="n">
        <v>45467</v>
      </c>
      <c r="C1138" s="1" t="n">
        <v>45829</v>
      </c>
      <c r="D1138" t="inlineStr">
        <is>
          <t>UPPSALA LÄN</t>
        </is>
      </c>
      <c r="E1138" t="inlineStr">
        <is>
          <t>ÖSTHAMMAR</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25859-2024</t>
        </is>
      </c>
      <c r="B1139" s="1" t="n">
        <v>45467</v>
      </c>
      <c r="C1139" s="1" t="n">
        <v>45829</v>
      </c>
      <c r="D1139" t="inlineStr">
        <is>
          <t>UPPSALA LÄN</t>
        </is>
      </c>
      <c r="E1139" t="inlineStr">
        <is>
          <t>ÖSTHAMMAR</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25953-2024</t>
        </is>
      </c>
      <c r="B1140" s="1" t="n">
        <v>45467</v>
      </c>
      <c r="C1140" s="1" t="n">
        <v>45829</v>
      </c>
      <c r="D1140" t="inlineStr">
        <is>
          <t>UPPSALA LÄN</t>
        </is>
      </c>
      <c r="E1140" t="inlineStr">
        <is>
          <t>ÖSTHAMMAR</t>
        </is>
      </c>
      <c r="F1140" t="inlineStr">
        <is>
          <t>Bergvik skog öst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26303-2024</t>
        </is>
      </c>
      <c r="B1141" s="1" t="n">
        <v>45468</v>
      </c>
      <c r="C1141" s="1" t="n">
        <v>45829</v>
      </c>
      <c r="D1141" t="inlineStr">
        <is>
          <t>UPPSALA LÄN</t>
        </is>
      </c>
      <c r="E1141" t="inlineStr">
        <is>
          <t>ÖSTHAMMAR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26305-2024</t>
        </is>
      </c>
      <c r="B1142" s="1" t="n">
        <v>45468</v>
      </c>
      <c r="C1142" s="1" t="n">
        <v>45829</v>
      </c>
      <c r="D1142" t="inlineStr">
        <is>
          <t>UPPSALA LÄN</t>
        </is>
      </c>
      <c r="E1142" t="inlineStr">
        <is>
          <t>ÖSTHAMMAR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26272-2024</t>
        </is>
      </c>
      <c r="B1143" s="1" t="n">
        <v>45468</v>
      </c>
      <c r="C1143" s="1" t="n">
        <v>45829</v>
      </c>
      <c r="D1143" t="inlineStr">
        <is>
          <t>UPPSALA LÄN</t>
        </is>
      </c>
      <c r="E1143" t="inlineStr">
        <is>
          <t>ÖSTHAMMAR</t>
        </is>
      </c>
      <c r="G1143" t="n">
        <v>11.7</v>
      </c>
      <c r="H1143" t="n">
        <v>0</v>
      </c>
      <c r="I1143" t="n">
        <v>0</v>
      </c>
      <c r="J1143" t="n">
        <v>0</v>
      </c>
      <c r="K1143" t="n">
        <v>0</v>
      </c>
      <c r="L1143" t="n">
        <v>0</v>
      </c>
      <c r="M1143" t="n">
        <v>0</v>
      </c>
      <c r="N1143" t="n">
        <v>0</v>
      </c>
      <c r="O1143" t="n">
        <v>0</v>
      </c>
      <c r="P1143" t="n">
        <v>0</v>
      </c>
      <c r="Q1143" t="n">
        <v>0</v>
      </c>
      <c r="R1143" s="2" t="inlineStr"/>
    </row>
    <row r="1144" ht="15" customHeight="1">
      <c r="A1144" t="inlineStr">
        <is>
          <t>A 26426-2024</t>
        </is>
      </c>
      <c r="B1144" s="1" t="n">
        <v>45469</v>
      </c>
      <c r="C1144" s="1" t="n">
        <v>45829</v>
      </c>
      <c r="D1144" t="inlineStr">
        <is>
          <t>UPPSALA LÄN</t>
        </is>
      </c>
      <c r="E1144" t="inlineStr">
        <is>
          <t>ÖSTHAMMAR</t>
        </is>
      </c>
      <c r="F1144" t="inlineStr">
        <is>
          <t>Bergvik skog öst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26436-2024</t>
        </is>
      </c>
      <c r="B1145" s="1" t="n">
        <v>45469</v>
      </c>
      <c r="C1145" s="1" t="n">
        <v>45829</v>
      </c>
      <c r="D1145" t="inlineStr">
        <is>
          <t>UPPSALA LÄN</t>
        </is>
      </c>
      <c r="E1145" t="inlineStr">
        <is>
          <t>ÖSTHAMMAR</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26983-2024</t>
        </is>
      </c>
      <c r="B1146" s="1" t="n">
        <v>45471</v>
      </c>
      <c r="C1146" s="1" t="n">
        <v>45829</v>
      </c>
      <c r="D1146" t="inlineStr">
        <is>
          <t>UPPSALA LÄN</t>
        </is>
      </c>
      <c r="E1146" t="inlineStr">
        <is>
          <t>ÖSTHAMMAR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27534-2024</t>
        </is>
      </c>
      <c r="B1147" s="1" t="n">
        <v>45474</v>
      </c>
      <c r="C1147" s="1" t="n">
        <v>45829</v>
      </c>
      <c r="D1147" t="inlineStr">
        <is>
          <t>UPPSALA LÄN</t>
        </is>
      </c>
      <c r="E1147" t="inlineStr">
        <is>
          <t>ÖSTHAMMAR</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27748-2024</t>
        </is>
      </c>
      <c r="B1148" s="1" t="n">
        <v>45475</v>
      </c>
      <c r="C1148" s="1" t="n">
        <v>45829</v>
      </c>
      <c r="D1148" t="inlineStr">
        <is>
          <t>UPPSALA LÄN</t>
        </is>
      </c>
      <c r="E1148" t="inlineStr">
        <is>
          <t>ÖSTHAMMAR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28151-2024</t>
        </is>
      </c>
      <c r="B1149" s="1" t="n">
        <v>45476</v>
      </c>
      <c r="C1149" s="1" t="n">
        <v>45829</v>
      </c>
      <c r="D1149" t="inlineStr">
        <is>
          <t>UPPSALA LÄN</t>
        </is>
      </c>
      <c r="E1149" t="inlineStr">
        <is>
          <t>ÖSTHAMMAR</t>
        </is>
      </c>
      <c r="F1149" t="inlineStr">
        <is>
          <t>Bergvik skog öst AB</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28152-2024</t>
        </is>
      </c>
      <c r="B1150" s="1" t="n">
        <v>45476</v>
      </c>
      <c r="C1150" s="1" t="n">
        <v>45829</v>
      </c>
      <c r="D1150" t="inlineStr">
        <is>
          <t>UPPSALA LÄN</t>
        </is>
      </c>
      <c r="E1150" t="inlineStr">
        <is>
          <t>ÖSTHAMMAR</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28154-2024</t>
        </is>
      </c>
      <c r="B1151" s="1" t="n">
        <v>45476</v>
      </c>
      <c r="C1151" s="1" t="n">
        <v>45829</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28153-2024</t>
        </is>
      </c>
      <c r="B1152" s="1" t="n">
        <v>45476</v>
      </c>
      <c r="C1152" s="1" t="n">
        <v>45829</v>
      </c>
      <c r="D1152" t="inlineStr">
        <is>
          <t>UPPSALA LÄN</t>
        </is>
      </c>
      <c r="E1152" t="inlineStr">
        <is>
          <t>ÖSTHAMMAR</t>
        </is>
      </c>
      <c r="F1152" t="inlineStr">
        <is>
          <t>Bergvik skog öst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28914-2024</t>
        </is>
      </c>
      <c r="B1153" s="1" t="n">
        <v>45480</v>
      </c>
      <c r="C1153" s="1" t="n">
        <v>45829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28915-2024</t>
        </is>
      </c>
      <c r="B1154" s="1" t="n">
        <v>45480</v>
      </c>
      <c r="C1154" s="1" t="n">
        <v>45829</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29230-2024</t>
        </is>
      </c>
      <c r="B1155" s="1" t="n">
        <v>45482</v>
      </c>
      <c r="C1155" s="1" t="n">
        <v>45829</v>
      </c>
      <c r="D1155" t="inlineStr">
        <is>
          <t>UPPSALA LÄN</t>
        </is>
      </c>
      <c r="E1155" t="inlineStr">
        <is>
          <t>ÖSTHAMMAR</t>
        </is>
      </c>
      <c r="F1155" t="inlineStr">
        <is>
          <t>Bergvik skog öst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29231-2024</t>
        </is>
      </c>
      <c r="B1156" s="1" t="n">
        <v>45482</v>
      </c>
      <c r="C1156" s="1" t="n">
        <v>45829</v>
      </c>
      <c r="D1156" t="inlineStr">
        <is>
          <t>UPPSALA LÄN</t>
        </is>
      </c>
      <c r="E1156" t="inlineStr">
        <is>
          <t>ÖSTHAMMAR</t>
        </is>
      </c>
      <c r="F1156" t="inlineStr">
        <is>
          <t>Bergvik skog öst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29438-2024</t>
        </is>
      </c>
      <c r="B1157" s="1" t="n">
        <v>45483</v>
      </c>
      <c r="C1157" s="1" t="n">
        <v>45829</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29823-2024</t>
        </is>
      </c>
      <c r="B1158" s="1" t="n">
        <v>45485</v>
      </c>
      <c r="C1158" s="1" t="n">
        <v>45829</v>
      </c>
      <c r="D1158" t="inlineStr">
        <is>
          <t>UPPSALA LÄN</t>
        </is>
      </c>
      <c r="E1158" t="inlineStr">
        <is>
          <t>ÖSTHAMMAR</t>
        </is>
      </c>
      <c r="F1158" t="inlineStr">
        <is>
          <t>Bergvik skog öst AB</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30605-2024</t>
        </is>
      </c>
      <c r="B1159" s="1" t="n">
        <v>45494</v>
      </c>
      <c r="C1159" s="1" t="n">
        <v>45829</v>
      </c>
      <c r="D1159" t="inlineStr">
        <is>
          <t>UPPSALA LÄN</t>
        </is>
      </c>
      <c r="E1159" t="inlineStr">
        <is>
          <t>ÖSTHAMMAR</t>
        </is>
      </c>
      <c r="F1159" t="inlineStr">
        <is>
          <t>Bergvik skog öst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30604-2024</t>
        </is>
      </c>
      <c r="B1160" s="1" t="n">
        <v>45494</v>
      </c>
      <c r="C1160" s="1" t="n">
        <v>45829</v>
      </c>
      <c r="D1160" t="inlineStr">
        <is>
          <t>UPPSALA LÄN</t>
        </is>
      </c>
      <c r="E1160" t="inlineStr">
        <is>
          <t>ÖSTHAMMAR</t>
        </is>
      </c>
      <c r="F1160" t="inlineStr">
        <is>
          <t>Bergvik skog öst AB</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30756-2024</t>
        </is>
      </c>
      <c r="B1161" s="1" t="n">
        <v>45496</v>
      </c>
      <c r="C1161" s="1" t="n">
        <v>45829</v>
      </c>
      <c r="D1161" t="inlineStr">
        <is>
          <t>UPPSALA LÄN</t>
        </is>
      </c>
      <c r="E1161" t="inlineStr">
        <is>
          <t>ÖSTHAMMAR</t>
        </is>
      </c>
      <c r="F1161" t="inlineStr">
        <is>
          <t>Bergvik skog öst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30755-2024</t>
        </is>
      </c>
      <c r="B1162" s="1" t="n">
        <v>45496</v>
      </c>
      <c r="C1162" s="1" t="n">
        <v>45829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v>
      </c>
      <c r="C1163" s="1" t="n">
        <v>45829</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30973-2024</t>
        </is>
      </c>
      <c r="B1164" s="1" t="n">
        <v>45499</v>
      </c>
      <c r="C1164" s="1" t="n">
        <v>45829</v>
      </c>
      <c r="D1164" t="inlineStr">
        <is>
          <t>UPPSALA LÄN</t>
        </is>
      </c>
      <c r="E1164" t="inlineStr">
        <is>
          <t>ÖSTHAMMAR</t>
        </is>
      </c>
      <c r="F1164" t="inlineStr">
        <is>
          <t>Bergvik skog öst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32190-2024</t>
        </is>
      </c>
      <c r="B1165" s="1" t="n">
        <v>45511</v>
      </c>
      <c r="C1165" s="1" t="n">
        <v>45829</v>
      </c>
      <c r="D1165" t="inlineStr">
        <is>
          <t>UPPSALA LÄN</t>
        </is>
      </c>
      <c r="E1165" t="inlineStr">
        <is>
          <t>ÖSTHAMMAR</t>
        </is>
      </c>
      <c r="F1165" t="inlineStr">
        <is>
          <t>Bergvik skog öst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32192-2024</t>
        </is>
      </c>
      <c r="B1166" s="1" t="n">
        <v>45511</v>
      </c>
      <c r="C1166" s="1" t="n">
        <v>45829</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32193-2024</t>
        </is>
      </c>
      <c r="B1167" s="1" t="n">
        <v>45511</v>
      </c>
      <c r="C1167" s="1" t="n">
        <v>45829</v>
      </c>
      <c r="D1167" t="inlineStr">
        <is>
          <t>UPPSALA LÄN</t>
        </is>
      </c>
      <c r="E1167" t="inlineStr">
        <is>
          <t>ÖSTHAMMAR</t>
        </is>
      </c>
      <c r="F1167" t="inlineStr">
        <is>
          <t>Bergvik skog öst AB</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32476-2024</t>
        </is>
      </c>
      <c r="B1168" s="1" t="n">
        <v>45513</v>
      </c>
      <c r="C1168" s="1" t="n">
        <v>45829</v>
      </c>
      <c r="D1168" t="inlineStr">
        <is>
          <t>UPPSALA LÄN</t>
        </is>
      </c>
      <c r="E1168" t="inlineStr">
        <is>
          <t>ÖSTHAMMAR</t>
        </is>
      </c>
      <c r="F1168" t="inlineStr">
        <is>
          <t>Bergvik skog öst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32483-2024</t>
        </is>
      </c>
      <c r="B1169" s="1" t="n">
        <v>45513</v>
      </c>
      <c r="C1169" s="1" t="n">
        <v>45829</v>
      </c>
      <c r="D1169" t="inlineStr">
        <is>
          <t>UPPSALA LÄN</t>
        </is>
      </c>
      <c r="E1169" t="inlineStr">
        <is>
          <t>ÖSTHAMMAR</t>
        </is>
      </c>
      <c r="F1169" t="inlineStr">
        <is>
          <t>Kyrkan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32878-2024</t>
        </is>
      </c>
      <c r="B1170" s="1" t="n">
        <v>45516</v>
      </c>
      <c r="C1170" s="1" t="n">
        <v>45829</v>
      </c>
      <c r="D1170" t="inlineStr">
        <is>
          <t>UPPSALA LÄN</t>
        </is>
      </c>
      <c r="E1170" t="inlineStr">
        <is>
          <t>ÖSTHAMMAR</t>
        </is>
      </c>
      <c r="F1170" t="inlineStr">
        <is>
          <t>Bergvik skog öst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32815-2024</t>
        </is>
      </c>
      <c r="B1171" s="1" t="n">
        <v>45516</v>
      </c>
      <c r="C1171" s="1" t="n">
        <v>45829</v>
      </c>
      <c r="D1171" t="inlineStr">
        <is>
          <t>UPPSALA LÄN</t>
        </is>
      </c>
      <c r="E1171" t="inlineStr">
        <is>
          <t>ÖSTHAMMAR</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32884-2024</t>
        </is>
      </c>
      <c r="B1172" s="1" t="n">
        <v>45516</v>
      </c>
      <c r="C1172" s="1" t="n">
        <v>45829</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32928-2024</t>
        </is>
      </c>
      <c r="B1173" s="1" t="n">
        <v>45517</v>
      </c>
      <c r="C1173" s="1" t="n">
        <v>45829</v>
      </c>
      <c r="D1173" t="inlineStr">
        <is>
          <t>UPPSALA LÄN</t>
        </is>
      </c>
      <c r="E1173" t="inlineStr">
        <is>
          <t>ÖSTHAMMAR</t>
        </is>
      </c>
      <c r="F1173" t="inlineStr">
        <is>
          <t>Bergvik skog öst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32967-2024</t>
        </is>
      </c>
      <c r="B1174" s="1" t="n">
        <v>45517</v>
      </c>
      <c r="C1174" s="1" t="n">
        <v>45829</v>
      </c>
      <c r="D1174" t="inlineStr">
        <is>
          <t>UPPSALA LÄN</t>
        </is>
      </c>
      <c r="E1174" t="inlineStr">
        <is>
          <t>ÖSTHAMMAR</t>
        </is>
      </c>
      <c r="F1174" t="inlineStr">
        <is>
          <t>Kyrkan</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33445-2024</t>
        </is>
      </c>
      <c r="B1175" s="1" t="n">
        <v>45519</v>
      </c>
      <c r="C1175" s="1" t="n">
        <v>45829</v>
      </c>
      <c r="D1175" t="inlineStr">
        <is>
          <t>UPPSALA LÄN</t>
        </is>
      </c>
      <c r="E1175" t="inlineStr">
        <is>
          <t>ÖSTHAMMAR</t>
        </is>
      </c>
      <c r="F1175" t="inlineStr">
        <is>
          <t>Bergvik skog öst AB</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33550-2024</t>
        </is>
      </c>
      <c r="B1176" s="1" t="n">
        <v>45519</v>
      </c>
      <c r="C1176" s="1" t="n">
        <v>45829</v>
      </c>
      <c r="D1176" t="inlineStr">
        <is>
          <t>UPPSALA LÄN</t>
        </is>
      </c>
      <c r="E1176" t="inlineStr">
        <is>
          <t>ÖSTHAMMAR</t>
        </is>
      </c>
      <c r="F1176" t="inlineStr">
        <is>
          <t>Bergvik skog öst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33552-2024</t>
        </is>
      </c>
      <c r="B1177" s="1" t="n">
        <v>45519</v>
      </c>
      <c r="C1177" s="1" t="n">
        <v>45829</v>
      </c>
      <c r="D1177" t="inlineStr">
        <is>
          <t>UPPSALA LÄN</t>
        </is>
      </c>
      <c r="E1177" t="inlineStr">
        <is>
          <t>ÖSTHAMMAR</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33553-2024</t>
        </is>
      </c>
      <c r="B1178" s="1" t="n">
        <v>45519</v>
      </c>
      <c r="C1178" s="1" t="n">
        <v>45829</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33599-2024</t>
        </is>
      </c>
      <c r="B1179" s="1" t="n">
        <v>45520</v>
      </c>
      <c r="C1179" s="1" t="n">
        <v>45829</v>
      </c>
      <c r="D1179" t="inlineStr">
        <is>
          <t>UPPSALA LÄN</t>
        </is>
      </c>
      <c r="E1179" t="inlineStr">
        <is>
          <t>ÖSTHAMMAR</t>
        </is>
      </c>
      <c r="F1179" t="inlineStr">
        <is>
          <t>Övriga Aktiebolag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33603-2024</t>
        </is>
      </c>
      <c r="B1180" s="1" t="n">
        <v>45520</v>
      </c>
      <c r="C1180" s="1" t="n">
        <v>45829</v>
      </c>
      <c r="D1180" t="inlineStr">
        <is>
          <t>UPPSALA LÄN</t>
        </is>
      </c>
      <c r="E1180" t="inlineStr">
        <is>
          <t>ÖSTHAMMAR</t>
        </is>
      </c>
      <c r="F1180" t="inlineStr">
        <is>
          <t>Övriga Aktiebolag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33601-2024</t>
        </is>
      </c>
      <c r="B1181" s="1" t="n">
        <v>45520</v>
      </c>
      <c r="C1181" s="1" t="n">
        <v>45829</v>
      </c>
      <c r="D1181" t="inlineStr">
        <is>
          <t>UPPSALA LÄN</t>
        </is>
      </c>
      <c r="E1181" t="inlineStr">
        <is>
          <t>ÖSTHAMMAR</t>
        </is>
      </c>
      <c r="F1181" t="inlineStr">
        <is>
          <t>Övriga Aktiebolag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33680-2024</t>
        </is>
      </c>
      <c r="B1182" s="1" t="n">
        <v>45520</v>
      </c>
      <c r="C1182" s="1" t="n">
        <v>45829</v>
      </c>
      <c r="D1182" t="inlineStr">
        <is>
          <t>UPPSALA LÄN</t>
        </is>
      </c>
      <c r="E1182" t="inlineStr">
        <is>
          <t>ÖSTHAMMAR</t>
        </is>
      </c>
      <c r="F1182" t="inlineStr">
        <is>
          <t>Bergvik skog öst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33767-2024</t>
        </is>
      </c>
      <c r="B1183" s="1" t="n">
        <v>45520</v>
      </c>
      <c r="C1183" s="1" t="n">
        <v>45829</v>
      </c>
      <c r="D1183" t="inlineStr">
        <is>
          <t>UPPSALA LÄN</t>
        </is>
      </c>
      <c r="E1183" t="inlineStr">
        <is>
          <t>ÖSTHAMMAR</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33688-2024</t>
        </is>
      </c>
      <c r="B1184" s="1" t="n">
        <v>45520</v>
      </c>
      <c r="C1184" s="1" t="n">
        <v>45829</v>
      </c>
      <c r="D1184" t="inlineStr">
        <is>
          <t>UPPSALA LÄN</t>
        </is>
      </c>
      <c r="E1184" t="inlineStr">
        <is>
          <t>ÖSTHAMMAR</t>
        </is>
      </c>
      <c r="F1184" t="inlineStr">
        <is>
          <t>Bergvik skog öst AB</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33681-2024</t>
        </is>
      </c>
      <c r="B1185" s="1" t="n">
        <v>45520</v>
      </c>
      <c r="C1185" s="1" t="n">
        <v>45829</v>
      </c>
      <c r="D1185" t="inlineStr">
        <is>
          <t>UPPSALA LÄN</t>
        </is>
      </c>
      <c r="E1185" t="inlineStr">
        <is>
          <t>ÖSTHAMMAR</t>
        </is>
      </c>
      <c r="F1185" t="inlineStr">
        <is>
          <t>Bergvik skog öst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33685-2024</t>
        </is>
      </c>
      <c r="B1186" s="1" t="n">
        <v>45520</v>
      </c>
      <c r="C1186" s="1" t="n">
        <v>45829</v>
      </c>
      <c r="D1186" t="inlineStr">
        <is>
          <t>UPPSALA LÄN</t>
        </is>
      </c>
      <c r="E1186" t="inlineStr">
        <is>
          <t>ÖSTHAMMAR</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33760-2024</t>
        </is>
      </c>
      <c r="B1187" s="1" t="n">
        <v>45520</v>
      </c>
      <c r="C1187" s="1" t="n">
        <v>45829</v>
      </c>
      <c r="D1187" t="inlineStr">
        <is>
          <t>UPPSALA LÄN</t>
        </is>
      </c>
      <c r="E1187" t="inlineStr">
        <is>
          <t>ÖSTHAMMAR</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33784-2024</t>
        </is>
      </c>
      <c r="B1188" s="1" t="n">
        <v>45520</v>
      </c>
      <c r="C1188" s="1" t="n">
        <v>45829</v>
      </c>
      <c r="D1188" t="inlineStr">
        <is>
          <t>UPPSALA LÄN</t>
        </is>
      </c>
      <c r="E1188" t="inlineStr">
        <is>
          <t>ÖSTHAMMAR</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33754-2024</t>
        </is>
      </c>
      <c r="B1189" s="1" t="n">
        <v>45520</v>
      </c>
      <c r="C1189" s="1" t="n">
        <v>45829</v>
      </c>
      <c r="D1189" t="inlineStr">
        <is>
          <t>UPPSALA LÄN</t>
        </is>
      </c>
      <c r="E1189" t="inlineStr">
        <is>
          <t>ÖSTHAMMAR</t>
        </is>
      </c>
      <c r="F1189" t="inlineStr">
        <is>
          <t>Övriga Aktiebolag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33758-2024</t>
        </is>
      </c>
      <c r="B1190" s="1" t="n">
        <v>45520</v>
      </c>
      <c r="C1190" s="1" t="n">
        <v>45829</v>
      </c>
      <c r="D1190" t="inlineStr">
        <is>
          <t>UPPSALA LÄN</t>
        </is>
      </c>
      <c r="E1190" t="inlineStr">
        <is>
          <t>ÖSTHAMMAR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34185-2024</t>
        </is>
      </c>
      <c r="B1191" s="1" t="n">
        <v>45524</v>
      </c>
      <c r="C1191" s="1" t="n">
        <v>45829</v>
      </c>
      <c r="D1191" t="inlineStr">
        <is>
          <t>UPPSALA LÄN</t>
        </is>
      </c>
      <c r="E1191" t="inlineStr">
        <is>
          <t>ÖSTHAMMAR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34189-2024</t>
        </is>
      </c>
      <c r="B1192" s="1" t="n">
        <v>45524</v>
      </c>
      <c r="C1192" s="1" t="n">
        <v>45829</v>
      </c>
      <c r="D1192" t="inlineStr">
        <is>
          <t>UPPSALA LÄN</t>
        </is>
      </c>
      <c r="E1192" t="inlineStr">
        <is>
          <t>ÖSTHAMMAR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34178-2024</t>
        </is>
      </c>
      <c r="B1193" s="1" t="n">
        <v>45524</v>
      </c>
      <c r="C1193" s="1" t="n">
        <v>45829</v>
      </c>
      <c r="D1193" t="inlineStr">
        <is>
          <t>UPPSALA LÄN</t>
        </is>
      </c>
      <c r="E1193" t="inlineStr">
        <is>
          <t>ÖSTHAMMAR</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34182-2024</t>
        </is>
      </c>
      <c r="B1194" s="1" t="n">
        <v>45524</v>
      </c>
      <c r="C1194" s="1" t="n">
        <v>45829</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35321-2024</t>
        </is>
      </c>
      <c r="B1195" s="1" t="n">
        <v>45530</v>
      </c>
      <c r="C1195" s="1" t="n">
        <v>45829</v>
      </c>
      <c r="D1195" t="inlineStr">
        <is>
          <t>UPPSALA LÄN</t>
        </is>
      </c>
      <c r="E1195" t="inlineStr">
        <is>
          <t>ÖSTHAMMAR</t>
        </is>
      </c>
      <c r="F1195" t="inlineStr">
        <is>
          <t>Bergvik skog öst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35319-2024</t>
        </is>
      </c>
      <c r="B1196" s="1" t="n">
        <v>45530</v>
      </c>
      <c r="C1196" s="1" t="n">
        <v>45829</v>
      </c>
      <c r="D1196" t="inlineStr">
        <is>
          <t>UPPSALA LÄN</t>
        </is>
      </c>
      <c r="E1196" t="inlineStr">
        <is>
          <t>ÖSTHAMMAR</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35300-2024</t>
        </is>
      </c>
      <c r="B1197" s="1" t="n">
        <v>45530</v>
      </c>
      <c r="C1197" s="1" t="n">
        <v>45829</v>
      </c>
      <c r="D1197" t="inlineStr">
        <is>
          <t>UPPSALA LÄN</t>
        </is>
      </c>
      <c r="E1197" t="inlineStr">
        <is>
          <t>ÖSTHAMMAR</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35312-2024</t>
        </is>
      </c>
      <c r="B1198" s="1" t="n">
        <v>45530</v>
      </c>
      <c r="C1198" s="1" t="n">
        <v>45829</v>
      </c>
      <c r="D1198" t="inlineStr">
        <is>
          <t>UPPSALA LÄN</t>
        </is>
      </c>
      <c r="E1198" t="inlineStr">
        <is>
          <t>ÖSTHAMMAR</t>
        </is>
      </c>
      <c r="F1198" t="inlineStr">
        <is>
          <t>Bergvik skog öst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35316-2024</t>
        </is>
      </c>
      <c r="B1199" s="1" t="n">
        <v>45530</v>
      </c>
      <c r="C1199" s="1" t="n">
        <v>45829</v>
      </c>
      <c r="D1199" t="inlineStr">
        <is>
          <t>UPPSALA LÄN</t>
        </is>
      </c>
      <c r="E1199" t="inlineStr">
        <is>
          <t>ÖSTHAMMAR</t>
        </is>
      </c>
      <c r="F1199" t="inlineStr">
        <is>
          <t>Bergvik skog öst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35177-2024</t>
        </is>
      </c>
      <c r="B1200" s="1" t="n">
        <v>45530</v>
      </c>
      <c r="C1200" s="1" t="n">
        <v>45829</v>
      </c>
      <c r="D1200" t="inlineStr">
        <is>
          <t>UPPSALA LÄN</t>
        </is>
      </c>
      <c r="E1200" t="inlineStr">
        <is>
          <t>ÖSTHAMMAR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35306-2024</t>
        </is>
      </c>
      <c r="B1201" s="1" t="n">
        <v>45530</v>
      </c>
      <c r="C1201" s="1" t="n">
        <v>45829</v>
      </c>
      <c r="D1201" t="inlineStr">
        <is>
          <t>UPPSALA LÄN</t>
        </is>
      </c>
      <c r="E1201" t="inlineStr">
        <is>
          <t>ÖSTHAMMAR</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35810-2024</t>
        </is>
      </c>
      <c r="B1202" s="1" t="n">
        <v>45532</v>
      </c>
      <c r="C1202" s="1" t="n">
        <v>45829</v>
      </c>
      <c r="D1202" t="inlineStr">
        <is>
          <t>UPPSALA LÄN</t>
        </is>
      </c>
      <c r="E1202" t="inlineStr">
        <is>
          <t>ÖSTHAMMAR</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35929-2024</t>
        </is>
      </c>
      <c r="B1203" s="1" t="n">
        <v>45533</v>
      </c>
      <c r="C1203" s="1" t="n">
        <v>45829</v>
      </c>
      <c r="D1203" t="inlineStr">
        <is>
          <t>UPPSALA LÄN</t>
        </is>
      </c>
      <c r="E1203" t="inlineStr">
        <is>
          <t>ÖSTHAMMAR</t>
        </is>
      </c>
      <c r="F1203" t="inlineStr">
        <is>
          <t>Övriga Aktiebolag</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35936-2024</t>
        </is>
      </c>
      <c r="B1204" s="1" t="n">
        <v>45533</v>
      </c>
      <c r="C1204" s="1" t="n">
        <v>45829</v>
      </c>
      <c r="D1204" t="inlineStr">
        <is>
          <t>UPPSALA LÄN</t>
        </is>
      </c>
      <c r="E1204" t="inlineStr">
        <is>
          <t>ÖSTHAMMAR</t>
        </is>
      </c>
      <c r="F1204" t="inlineStr">
        <is>
          <t>Övriga Aktiebolag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35933-2024</t>
        </is>
      </c>
      <c r="B1205" s="1" t="n">
        <v>45533</v>
      </c>
      <c r="C1205" s="1" t="n">
        <v>45829</v>
      </c>
      <c r="D1205" t="inlineStr">
        <is>
          <t>UPPSALA LÄN</t>
        </is>
      </c>
      <c r="E1205" t="inlineStr">
        <is>
          <t>ÖSTHAMMAR</t>
        </is>
      </c>
      <c r="F1205" t="inlineStr">
        <is>
          <t>Övriga Aktiebolag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36171-2024</t>
        </is>
      </c>
      <c r="B1206" s="1" t="n">
        <v>45534</v>
      </c>
      <c r="C1206" s="1" t="n">
        <v>45829</v>
      </c>
      <c r="D1206" t="inlineStr">
        <is>
          <t>UPPSALA LÄN</t>
        </is>
      </c>
      <c r="E1206" t="inlineStr">
        <is>
          <t>ÖSTHAMMAR</t>
        </is>
      </c>
      <c r="F1206" t="inlineStr">
        <is>
          <t>Kyrkan</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36866-2024</t>
        </is>
      </c>
      <c r="B1207" s="1" t="n">
        <v>45538</v>
      </c>
      <c r="C1207" s="1" t="n">
        <v>45829</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36847-2024</t>
        </is>
      </c>
      <c r="B1208" s="1" t="n">
        <v>45538</v>
      </c>
      <c r="C1208" s="1" t="n">
        <v>45829</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36869-2024</t>
        </is>
      </c>
      <c r="B1209" s="1" t="n">
        <v>45538</v>
      </c>
      <c r="C1209" s="1" t="n">
        <v>45829</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36863-2024</t>
        </is>
      </c>
      <c r="B1210" s="1" t="n">
        <v>45538</v>
      </c>
      <c r="C1210" s="1" t="n">
        <v>45829</v>
      </c>
      <c r="D1210" t="inlineStr">
        <is>
          <t>UPPSALA LÄN</t>
        </is>
      </c>
      <c r="E1210" t="inlineStr">
        <is>
          <t>ÖSTHAMMAR</t>
        </is>
      </c>
      <c r="F1210" t="inlineStr">
        <is>
          <t>Bergvik skog öst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36897-2024</t>
        </is>
      </c>
      <c r="B1211" s="1" t="n">
        <v>45538</v>
      </c>
      <c r="C1211" s="1" t="n">
        <v>45829</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36846-2024</t>
        </is>
      </c>
      <c r="B1212" s="1" t="n">
        <v>45538</v>
      </c>
      <c r="C1212" s="1" t="n">
        <v>45829</v>
      </c>
      <c r="D1212" t="inlineStr">
        <is>
          <t>UPPSALA LÄN</t>
        </is>
      </c>
      <c r="E1212" t="inlineStr">
        <is>
          <t>ÖSTHAMMAR</t>
        </is>
      </c>
      <c r="F1212" t="inlineStr">
        <is>
          <t>Bergvik skog öst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36868-2024</t>
        </is>
      </c>
      <c r="B1213" s="1" t="n">
        <v>45538</v>
      </c>
      <c r="C1213" s="1" t="n">
        <v>45829</v>
      </c>
      <c r="D1213" t="inlineStr">
        <is>
          <t>UPPSALA LÄN</t>
        </is>
      </c>
      <c r="E1213" t="inlineStr">
        <is>
          <t>ÖSTHAMMAR</t>
        </is>
      </c>
      <c r="F1213" t="inlineStr">
        <is>
          <t>Bergvik skog öst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36898-2024</t>
        </is>
      </c>
      <c r="B1214" s="1" t="n">
        <v>45538</v>
      </c>
      <c r="C1214" s="1" t="n">
        <v>45829</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36951-2024</t>
        </is>
      </c>
      <c r="B1215" s="1" t="n">
        <v>45538</v>
      </c>
      <c r="C1215" s="1" t="n">
        <v>45829</v>
      </c>
      <c r="D1215" t="inlineStr">
        <is>
          <t>UPPSALA LÄN</t>
        </is>
      </c>
      <c r="E1215" t="inlineStr">
        <is>
          <t>ÖSTHAMMAR</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36950-2024</t>
        </is>
      </c>
      <c r="B1216" s="1" t="n">
        <v>45538</v>
      </c>
      <c r="C1216" s="1" t="n">
        <v>45829</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36954-2024</t>
        </is>
      </c>
      <c r="B1217" s="1" t="n">
        <v>45538</v>
      </c>
      <c r="C1217" s="1" t="n">
        <v>45829</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36940-2024</t>
        </is>
      </c>
      <c r="B1218" s="1" t="n">
        <v>45538</v>
      </c>
      <c r="C1218" s="1" t="n">
        <v>45829</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36948-2024</t>
        </is>
      </c>
      <c r="B1219" s="1" t="n">
        <v>45538</v>
      </c>
      <c r="C1219" s="1" t="n">
        <v>45829</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36952-2024</t>
        </is>
      </c>
      <c r="B1220" s="1" t="n">
        <v>45538</v>
      </c>
      <c r="C1220" s="1" t="n">
        <v>45829</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36956-2024</t>
        </is>
      </c>
      <c r="B1221" s="1" t="n">
        <v>45538</v>
      </c>
      <c r="C1221" s="1" t="n">
        <v>45829</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36937-2024</t>
        </is>
      </c>
      <c r="B1222" s="1" t="n">
        <v>45538</v>
      </c>
      <c r="C1222" s="1" t="n">
        <v>45829</v>
      </c>
      <c r="D1222" t="inlineStr">
        <is>
          <t>UPPSALA LÄN</t>
        </is>
      </c>
      <c r="E1222" t="inlineStr">
        <is>
          <t>ÖSTHAMMAR</t>
        </is>
      </c>
      <c r="F1222" t="inlineStr">
        <is>
          <t>Bergvik skog öst AB</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36953-2024</t>
        </is>
      </c>
      <c r="B1223" s="1" t="n">
        <v>45538</v>
      </c>
      <c r="C1223" s="1" t="n">
        <v>45829</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36958-2024</t>
        </is>
      </c>
      <c r="B1224" s="1" t="n">
        <v>45538</v>
      </c>
      <c r="C1224" s="1" t="n">
        <v>45829</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37995-2024</t>
        </is>
      </c>
      <c r="B1225" s="1" t="n">
        <v>45544</v>
      </c>
      <c r="C1225" s="1" t="n">
        <v>45829</v>
      </c>
      <c r="D1225" t="inlineStr">
        <is>
          <t>UPPSALA LÄN</t>
        </is>
      </c>
      <c r="E1225" t="inlineStr">
        <is>
          <t>ÖSTHAMMAR</t>
        </is>
      </c>
      <c r="F1225" t="inlineStr">
        <is>
          <t>Naturvårdsverket</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38003-2024</t>
        </is>
      </c>
      <c r="B1226" s="1" t="n">
        <v>45544</v>
      </c>
      <c r="C1226" s="1" t="n">
        <v>45829</v>
      </c>
      <c r="D1226" t="inlineStr">
        <is>
          <t>UPPSALA LÄN</t>
        </is>
      </c>
      <c r="E1226" t="inlineStr">
        <is>
          <t>ÖSTHAMMAR</t>
        </is>
      </c>
      <c r="F1226" t="inlineStr">
        <is>
          <t>Naturvårdsverket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38233-2024</t>
        </is>
      </c>
      <c r="B1227" s="1" t="n">
        <v>45545</v>
      </c>
      <c r="C1227" s="1" t="n">
        <v>45829</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38572-2024</t>
        </is>
      </c>
      <c r="B1228" s="1" t="n">
        <v>45546</v>
      </c>
      <c r="C1228" s="1" t="n">
        <v>45829</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38575-2024</t>
        </is>
      </c>
      <c r="B1229" s="1" t="n">
        <v>45546</v>
      </c>
      <c r="C1229" s="1" t="n">
        <v>45829</v>
      </c>
      <c r="D1229" t="inlineStr">
        <is>
          <t>UPPSALA LÄN</t>
        </is>
      </c>
      <c r="E1229" t="inlineStr">
        <is>
          <t>ÖSTHAMMAR</t>
        </is>
      </c>
      <c r="F1229" t="inlineStr">
        <is>
          <t>Bergvik skog öst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39341-2024</t>
        </is>
      </c>
      <c r="B1230" s="1" t="n">
        <v>45551</v>
      </c>
      <c r="C1230" s="1" t="n">
        <v>45829</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39357-2024</t>
        </is>
      </c>
      <c r="B1231" s="1" t="n">
        <v>45551</v>
      </c>
      <c r="C1231" s="1" t="n">
        <v>45829</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39491-2024</t>
        </is>
      </c>
      <c r="B1232" s="1" t="n">
        <v>45551</v>
      </c>
      <c r="C1232" s="1" t="n">
        <v>45829</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39490-2024</t>
        </is>
      </c>
      <c r="B1233" s="1" t="n">
        <v>45551</v>
      </c>
      <c r="C1233" s="1" t="n">
        <v>45829</v>
      </c>
      <c r="D1233" t="inlineStr">
        <is>
          <t>UPPSALA LÄN</t>
        </is>
      </c>
      <c r="E1233" t="inlineStr">
        <is>
          <t>ÖSTHAMMAR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39633-2024</t>
        </is>
      </c>
      <c r="B1234" s="1" t="n">
        <v>45552</v>
      </c>
      <c r="C1234" s="1" t="n">
        <v>45829</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39759-2024</t>
        </is>
      </c>
      <c r="B1235" s="1" t="n">
        <v>45552</v>
      </c>
      <c r="C1235" s="1" t="n">
        <v>45829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39632-2024</t>
        </is>
      </c>
      <c r="B1236" s="1" t="n">
        <v>45552</v>
      </c>
      <c r="C1236" s="1" t="n">
        <v>45829</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39758-2024</t>
        </is>
      </c>
      <c r="B1237" s="1" t="n">
        <v>45552</v>
      </c>
      <c r="C1237" s="1" t="n">
        <v>45829</v>
      </c>
      <c r="D1237" t="inlineStr">
        <is>
          <t>UPPSALA LÄN</t>
        </is>
      </c>
      <c r="E1237" t="inlineStr">
        <is>
          <t>ÖSTHAMMAR</t>
        </is>
      </c>
      <c r="F1237" t="inlineStr">
        <is>
          <t>Bergvik skog öst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40434-2024</t>
        </is>
      </c>
      <c r="B1238" s="1" t="n">
        <v>45555</v>
      </c>
      <c r="C1238" s="1" t="n">
        <v>45829</v>
      </c>
      <c r="D1238" t="inlineStr">
        <is>
          <t>UPPSALA LÄN</t>
        </is>
      </c>
      <c r="E1238" t="inlineStr">
        <is>
          <t>ÖSTHAMMAR</t>
        </is>
      </c>
      <c r="F1238" t="inlineStr">
        <is>
          <t>Bergvik skog öst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40454-2024</t>
        </is>
      </c>
      <c r="B1239" s="1" t="n">
        <v>45555</v>
      </c>
      <c r="C1239" s="1" t="n">
        <v>45829</v>
      </c>
      <c r="D1239" t="inlineStr">
        <is>
          <t>UPPSALA LÄN</t>
        </is>
      </c>
      <c r="E1239" t="inlineStr">
        <is>
          <t>ÖSTHAMMAR</t>
        </is>
      </c>
      <c r="F1239" t="inlineStr">
        <is>
          <t>Bergvik skog öst AB</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41341-2024</t>
        </is>
      </c>
      <c r="B1240" s="1" t="n">
        <v>45559</v>
      </c>
      <c r="C1240" s="1" t="n">
        <v>45829</v>
      </c>
      <c r="D1240" t="inlineStr">
        <is>
          <t>UPPSALA LÄN</t>
        </is>
      </c>
      <c r="E1240" t="inlineStr">
        <is>
          <t>ÖSTHAMMAR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41478-2024</t>
        </is>
      </c>
      <c r="B1241" s="1" t="n">
        <v>45560</v>
      </c>
      <c r="C1241" s="1" t="n">
        <v>45829</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41998-2024</t>
        </is>
      </c>
      <c r="B1242" s="1" t="n">
        <v>45561</v>
      </c>
      <c r="C1242" s="1" t="n">
        <v>45829</v>
      </c>
      <c r="D1242" t="inlineStr">
        <is>
          <t>UPPSALA LÄN</t>
        </is>
      </c>
      <c r="E1242" t="inlineStr">
        <is>
          <t>ÖSTHAMMAR</t>
        </is>
      </c>
      <c r="F1242" t="inlineStr">
        <is>
          <t>Bergvik skog öst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41996-2024</t>
        </is>
      </c>
      <c r="B1243" s="1" t="n">
        <v>45561</v>
      </c>
      <c r="C1243" s="1" t="n">
        <v>45829</v>
      </c>
      <c r="D1243" t="inlineStr">
        <is>
          <t>UPPSALA LÄN</t>
        </is>
      </c>
      <c r="E1243" t="inlineStr">
        <is>
          <t>ÖSTHAMMAR</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42225-2024</t>
        </is>
      </c>
      <c r="B1244" s="1" t="n">
        <v>45562</v>
      </c>
      <c r="C1244" s="1" t="n">
        <v>45829</v>
      </c>
      <c r="D1244" t="inlineStr">
        <is>
          <t>UPPSALA LÄN</t>
        </is>
      </c>
      <c r="E1244" t="inlineStr">
        <is>
          <t>ÖSTHAMMAR</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42296-2024</t>
        </is>
      </c>
      <c r="B1245" s="1" t="n">
        <v>45562</v>
      </c>
      <c r="C1245" s="1" t="n">
        <v>45829</v>
      </c>
      <c r="D1245" t="inlineStr">
        <is>
          <t>UPPSALA LÄN</t>
        </is>
      </c>
      <c r="E1245" t="inlineStr">
        <is>
          <t>ÖSTHAMMAR</t>
        </is>
      </c>
      <c r="F1245" t="inlineStr">
        <is>
          <t>Bergvik skog öst AB</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42262-2024</t>
        </is>
      </c>
      <c r="B1246" s="1" t="n">
        <v>45562</v>
      </c>
      <c r="C1246" s="1" t="n">
        <v>45829</v>
      </c>
      <c r="D1246" t="inlineStr">
        <is>
          <t>UPPSALA LÄN</t>
        </is>
      </c>
      <c r="E1246" t="inlineStr">
        <is>
          <t>ÖSTHAMMAR</t>
        </is>
      </c>
      <c r="F1246" t="inlineStr">
        <is>
          <t>Bergvik skog öst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42142-2024</t>
        </is>
      </c>
      <c r="B1247" s="1" t="n">
        <v>45562</v>
      </c>
      <c r="C1247" s="1" t="n">
        <v>45829</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42159-2024</t>
        </is>
      </c>
      <c r="B1248" s="1" t="n">
        <v>45562</v>
      </c>
      <c r="C1248" s="1" t="n">
        <v>45829</v>
      </c>
      <c r="D1248" t="inlineStr">
        <is>
          <t>UPPSALA LÄN</t>
        </is>
      </c>
      <c r="E1248" t="inlineStr">
        <is>
          <t>ÖSTHAMMAR</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43197-2024</t>
        </is>
      </c>
      <c r="B1249" s="1" t="n">
        <v>45567</v>
      </c>
      <c r="C1249" s="1" t="n">
        <v>45829</v>
      </c>
      <c r="D1249" t="inlineStr">
        <is>
          <t>UPPSALA LÄN</t>
        </is>
      </c>
      <c r="E1249" t="inlineStr">
        <is>
          <t>ÖSTHAMMAR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43439-2024</t>
        </is>
      </c>
      <c r="B1250" s="1" t="n">
        <v>45568</v>
      </c>
      <c r="C1250" s="1" t="n">
        <v>45829</v>
      </c>
      <c r="D1250" t="inlineStr">
        <is>
          <t>UPPSALA LÄN</t>
        </is>
      </c>
      <c r="E1250" t="inlineStr">
        <is>
          <t>ÖSTHAMMAR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43655-2024</t>
        </is>
      </c>
      <c r="B1251" s="1" t="n">
        <v>45569</v>
      </c>
      <c r="C1251" s="1" t="n">
        <v>45829</v>
      </c>
      <c r="D1251" t="inlineStr">
        <is>
          <t>UPPSALA LÄN</t>
        </is>
      </c>
      <c r="E1251" t="inlineStr">
        <is>
          <t>ÖSTHAMMAR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43676-2024</t>
        </is>
      </c>
      <c r="B1252" s="1" t="n">
        <v>45569</v>
      </c>
      <c r="C1252" s="1" t="n">
        <v>45829</v>
      </c>
      <c r="D1252" t="inlineStr">
        <is>
          <t>UPPSALA LÄN</t>
        </is>
      </c>
      <c r="E1252" t="inlineStr">
        <is>
          <t>ÖSTHAMMAR</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43685-2024</t>
        </is>
      </c>
      <c r="B1253" s="1" t="n">
        <v>45569</v>
      </c>
      <c r="C1253" s="1" t="n">
        <v>45829</v>
      </c>
      <c r="D1253" t="inlineStr">
        <is>
          <t>UPPSALA LÄN</t>
        </is>
      </c>
      <c r="E1253" t="inlineStr">
        <is>
          <t>ÖSTHAMMAR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43679-2024</t>
        </is>
      </c>
      <c r="B1254" s="1" t="n">
        <v>45569</v>
      </c>
      <c r="C1254" s="1" t="n">
        <v>45829</v>
      </c>
      <c r="D1254" t="inlineStr">
        <is>
          <t>UPPSALA LÄN</t>
        </is>
      </c>
      <c r="E1254" t="inlineStr">
        <is>
          <t>ÖSTHAMMAR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43666-2024</t>
        </is>
      </c>
      <c r="B1255" s="1" t="n">
        <v>45569</v>
      </c>
      <c r="C1255" s="1" t="n">
        <v>45829</v>
      </c>
      <c r="D1255" t="inlineStr">
        <is>
          <t>UPPSALA LÄN</t>
        </is>
      </c>
      <c r="E1255" t="inlineStr">
        <is>
          <t>ÖSTHAMMAR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43683-2024</t>
        </is>
      </c>
      <c r="B1256" s="1" t="n">
        <v>45569</v>
      </c>
      <c r="C1256" s="1" t="n">
        <v>45829</v>
      </c>
      <c r="D1256" t="inlineStr">
        <is>
          <t>UPPSALA LÄN</t>
        </is>
      </c>
      <c r="E1256" t="inlineStr">
        <is>
          <t>ÖSTHAMMAR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44027-2024</t>
        </is>
      </c>
      <c r="B1257" s="1" t="n">
        <v>45572</v>
      </c>
      <c r="C1257" s="1" t="n">
        <v>45829</v>
      </c>
      <c r="D1257" t="inlineStr">
        <is>
          <t>UPPSALA LÄN</t>
        </is>
      </c>
      <c r="E1257" t="inlineStr">
        <is>
          <t>ÖSTHAMMAR</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44031-2024</t>
        </is>
      </c>
      <c r="B1258" s="1" t="n">
        <v>45572</v>
      </c>
      <c r="C1258" s="1" t="n">
        <v>45829</v>
      </c>
      <c r="D1258" t="inlineStr">
        <is>
          <t>UPPSALA LÄN</t>
        </is>
      </c>
      <c r="E1258" t="inlineStr">
        <is>
          <t>ÖSTHAMMAR</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44020-2024</t>
        </is>
      </c>
      <c r="B1259" s="1" t="n">
        <v>45572</v>
      </c>
      <c r="C1259" s="1" t="n">
        <v>45829</v>
      </c>
      <c r="D1259" t="inlineStr">
        <is>
          <t>UPPSALA LÄN</t>
        </is>
      </c>
      <c r="E1259" t="inlineStr">
        <is>
          <t>ÖSTHAMMAR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43993-2024</t>
        </is>
      </c>
      <c r="B1260" s="1" t="n">
        <v>45572</v>
      </c>
      <c r="C1260" s="1" t="n">
        <v>45829</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44184-2024</t>
        </is>
      </c>
      <c r="B1261" s="1" t="n">
        <v>45572</v>
      </c>
      <c r="C1261" s="1" t="n">
        <v>45829</v>
      </c>
      <c r="D1261" t="inlineStr">
        <is>
          <t>UPPSALA LÄN</t>
        </is>
      </c>
      <c r="E1261" t="inlineStr">
        <is>
          <t>ÖSTHAMMAR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44124-2024</t>
        </is>
      </c>
      <c r="B1262" s="1" t="n">
        <v>45572</v>
      </c>
      <c r="C1262" s="1" t="n">
        <v>45829</v>
      </c>
      <c r="D1262" t="inlineStr">
        <is>
          <t>UPPSALA LÄN</t>
        </is>
      </c>
      <c r="E1262" t="inlineStr">
        <is>
          <t>ÖSTHAMMAR</t>
        </is>
      </c>
      <c r="F1262" t="inlineStr">
        <is>
          <t>Bergvik skog öst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44152-2024</t>
        </is>
      </c>
      <c r="B1263" s="1" t="n">
        <v>45572</v>
      </c>
      <c r="C1263" s="1" t="n">
        <v>45829</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44807-2024</t>
        </is>
      </c>
      <c r="B1264" s="1" t="n">
        <v>45574</v>
      </c>
      <c r="C1264" s="1" t="n">
        <v>45829</v>
      </c>
      <c r="D1264" t="inlineStr">
        <is>
          <t>UPPSALA LÄN</t>
        </is>
      </c>
      <c r="E1264" t="inlineStr">
        <is>
          <t>ÖSTHAMMAR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44823-2024</t>
        </is>
      </c>
      <c r="B1265" s="1" t="n">
        <v>45574</v>
      </c>
      <c r="C1265" s="1" t="n">
        <v>45829</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44832-2024</t>
        </is>
      </c>
      <c r="B1266" s="1" t="n">
        <v>45574</v>
      </c>
      <c r="C1266" s="1" t="n">
        <v>45829</v>
      </c>
      <c r="D1266" t="inlineStr">
        <is>
          <t>UPPSALA LÄN</t>
        </is>
      </c>
      <c r="E1266" t="inlineStr">
        <is>
          <t>ÖSTHAMMAR</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44796-2024</t>
        </is>
      </c>
      <c r="B1267" s="1" t="n">
        <v>45574</v>
      </c>
      <c r="C1267" s="1" t="n">
        <v>45829</v>
      </c>
      <c r="D1267" t="inlineStr">
        <is>
          <t>UPPSALA LÄN</t>
        </is>
      </c>
      <c r="E1267" t="inlineStr">
        <is>
          <t>ÖSTHAMMAR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45102-2024</t>
        </is>
      </c>
      <c r="B1268" s="1" t="n">
        <v>45575</v>
      </c>
      <c r="C1268" s="1" t="n">
        <v>45829</v>
      </c>
      <c r="D1268" t="inlineStr">
        <is>
          <t>UPPSALA LÄN</t>
        </is>
      </c>
      <c r="E1268" t="inlineStr">
        <is>
          <t>ÖSTHAMMAR</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45228-2024</t>
        </is>
      </c>
      <c r="B1269" s="1" t="n">
        <v>45575</v>
      </c>
      <c r="C1269" s="1" t="n">
        <v>45829</v>
      </c>
      <c r="D1269" t="inlineStr">
        <is>
          <t>UPPSALA LÄN</t>
        </is>
      </c>
      <c r="E1269" t="inlineStr">
        <is>
          <t>ÖSTHAMMAR</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46488-2024</t>
        </is>
      </c>
      <c r="B1270" s="1" t="n">
        <v>45582</v>
      </c>
      <c r="C1270" s="1" t="n">
        <v>45829</v>
      </c>
      <c r="D1270" t="inlineStr">
        <is>
          <t>UPPSALA LÄN</t>
        </is>
      </c>
      <c r="E1270" t="inlineStr">
        <is>
          <t>ÖSTHAMMAR</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46496-2024</t>
        </is>
      </c>
      <c r="B1271" s="1" t="n">
        <v>45582</v>
      </c>
      <c r="C1271" s="1" t="n">
        <v>45829</v>
      </c>
      <c r="D1271" t="inlineStr">
        <is>
          <t>UPPSALA LÄN</t>
        </is>
      </c>
      <c r="E1271" t="inlineStr">
        <is>
          <t>ÖSTHAMMAR</t>
        </is>
      </c>
      <c r="F1271" t="inlineStr">
        <is>
          <t>Bergvik skog väst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46500-2024</t>
        </is>
      </c>
      <c r="B1272" s="1" t="n">
        <v>45582</v>
      </c>
      <c r="C1272" s="1" t="n">
        <v>45829</v>
      </c>
      <c r="D1272" t="inlineStr">
        <is>
          <t>UPPSALA LÄN</t>
        </is>
      </c>
      <c r="E1272" t="inlineStr">
        <is>
          <t>ÖSTHAMMAR</t>
        </is>
      </c>
      <c r="F1272" t="inlineStr">
        <is>
          <t>Bergvik skog väst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46504-2024</t>
        </is>
      </c>
      <c r="B1273" s="1" t="n">
        <v>45582</v>
      </c>
      <c r="C1273" s="1" t="n">
        <v>45829</v>
      </c>
      <c r="D1273" t="inlineStr">
        <is>
          <t>UPPSALA LÄN</t>
        </is>
      </c>
      <c r="E1273" t="inlineStr">
        <is>
          <t>ÖSTHAMMAR</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46494-2024</t>
        </is>
      </c>
      <c r="B1274" s="1" t="n">
        <v>45582</v>
      </c>
      <c r="C1274" s="1" t="n">
        <v>45829</v>
      </c>
      <c r="D1274" t="inlineStr">
        <is>
          <t>UPPSALA LÄN</t>
        </is>
      </c>
      <c r="E1274" t="inlineStr">
        <is>
          <t>ÖSTHAMMAR</t>
        </is>
      </c>
      <c r="F1274" t="inlineStr">
        <is>
          <t>Bergvik skog väst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46475-2024</t>
        </is>
      </c>
      <c r="B1275" s="1" t="n">
        <v>45582</v>
      </c>
      <c r="C1275" s="1" t="n">
        <v>45829</v>
      </c>
      <c r="D1275" t="inlineStr">
        <is>
          <t>UPPSALA LÄN</t>
        </is>
      </c>
      <c r="E1275" t="inlineStr">
        <is>
          <t>ÖSTHAMMAR</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46491-2024</t>
        </is>
      </c>
      <c r="B1276" s="1" t="n">
        <v>45582</v>
      </c>
      <c r="C1276" s="1" t="n">
        <v>45829</v>
      </c>
      <c r="D1276" t="inlineStr">
        <is>
          <t>UPPSALA LÄN</t>
        </is>
      </c>
      <c r="E1276" t="inlineStr">
        <is>
          <t>ÖSTHAMMAR</t>
        </is>
      </c>
      <c r="F1276" t="inlineStr">
        <is>
          <t>Bergvik skog väst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46624-2024</t>
        </is>
      </c>
      <c r="B1277" s="1" t="n">
        <v>45583</v>
      </c>
      <c r="C1277" s="1" t="n">
        <v>45829</v>
      </c>
      <c r="D1277" t="inlineStr">
        <is>
          <t>UPPSALA LÄN</t>
        </is>
      </c>
      <c r="E1277" t="inlineStr">
        <is>
          <t>ÖSTHAMMAR</t>
        </is>
      </c>
      <c r="F1277" t="inlineStr">
        <is>
          <t>Bergvik skog öst AB</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46818-2024</t>
        </is>
      </c>
      <c r="B1278" s="1" t="n">
        <v>45583</v>
      </c>
      <c r="C1278" s="1" t="n">
        <v>45829</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46810-2024</t>
        </is>
      </c>
      <c r="B1279" s="1" t="n">
        <v>45583</v>
      </c>
      <c r="C1279" s="1" t="n">
        <v>45829</v>
      </c>
      <c r="D1279" t="inlineStr">
        <is>
          <t>UPPSALA LÄN</t>
        </is>
      </c>
      <c r="E1279" t="inlineStr">
        <is>
          <t>ÖSTHAMMAR</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46631-2024</t>
        </is>
      </c>
      <c r="B1280" s="1" t="n">
        <v>45583</v>
      </c>
      <c r="C1280" s="1" t="n">
        <v>45829</v>
      </c>
      <c r="D1280" t="inlineStr">
        <is>
          <t>UPPSALA LÄN</t>
        </is>
      </c>
      <c r="E1280" t="inlineStr">
        <is>
          <t>ÖSTHAMMAR</t>
        </is>
      </c>
      <c r="F1280" t="inlineStr">
        <is>
          <t>Bergvik skog öst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46811-2024</t>
        </is>
      </c>
      <c r="B1281" s="1" t="n">
        <v>45583</v>
      </c>
      <c r="C1281" s="1" t="n">
        <v>45829</v>
      </c>
      <c r="D1281" t="inlineStr">
        <is>
          <t>UPPSALA LÄN</t>
        </is>
      </c>
      <c r="E1281" t="inlineStr">
        <is>
          <t>ÖSTHAMMAR</t>
        </is>
      </c>
      <c r="F1281" t="inlineStr">
        <is>
          <t>Bergvik skog öst AB</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46645-2024</t>
        </is>
      </c>
      <c r="B1282" s="1" t="n">
        <v>45583</v>
      </c>
      <c r="C1282" s="1" t="n">
        <v>45829</v>
      </c>
      <c r="D1282" t="inlineStr">
        <is>
          <t>UPPSALA LÄN</t>
        </is>
      </c>
      <c r="E1282" t="inlineStr">
        <is>
          <t>ÖSTHAMMAR</t>
        </is>
      </c>
      <c r="F1282" t="inlineStr">
        <is>
          <t>Bergvik skog öst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47382-2024</t>
        </is>
      </c>
      <c r="B1283" s="1" t="n">
        <v>45587</v>
      </c>
      <c r="C1283" s="1" t="n">
        <v>45829</v>
      </c>
      <c r="D1283" t="inlineStr">
        <is>
          <t>UPPSALA LÄN</t>
        </is>
      </c>
      <c r="E1283" t="inlineStr">
        <is>
          <t>ÖSTHAMMAR</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48083-2024</t>
        </is>
      </c>
      <c r="B1284" s="1" t="n">
        <v>45589</v>
      </c>
      <c r="C1284" s="1" t="n">
        <v>45829</v>
      </c>
      <c r="D1284" t="inlineStr">
        <is>
          <t>UPPSALA LÄN</t>
        </is>
      </c>
      <c r="E1284" t="inlineStr">
        <is>
          <t>ÖSTHAMMAR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48759-2024</t>
        </is>
      </c>
      <c r="B1285" s="1" t="n">
        <v>45593</v>
      </c>
      <c r="C1285" s="1" t="n">
        <v>45829</v>
      </c>
      <c r="D1285" t="inlineStr">
        <is>
          <t>UPPSALA LÄN</t>
        </is>
      </c>
      <c r="E1285" t="inlineStr">
        <is>
          <t>ÖSTHAMMAR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48856-2024</t>
        </is>
      </c>
      <c r="B1286" s="1" t="n">
        <v>45593</v>
      </c>
      <c r="C1286" s="1" t="n">
        <v>45829</v>
      </c>
      <c r="D1286" t="inlineStr">
        <is>
          <t>UPPSALA LÄN</t>
        </is>
      </c>
      <c r="E1286" t="inlineStr">
        <is>
          <t>ÖSTHAMMAR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49796-2024</t>
        </is>
      </c>
      <c r="B1287" s="1" t="n">
        <v>45597</v>
      </c>
      <c r="C1287" s="1" t="n">
        <v>45829</v>
      </c>
      <c r="D1287" t="inlineStr">
        <is>
          <t>UPPSALA LÄN</t>
        </is>
      </c>
      <c r="E1287" t="inlineStr">
        <is>
          <t>ÖSTHAMMAR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50459-2024</t>
        </is>
      </c>
      <c r="B1288" s="1" t="n">
        <v>45601</v>
      </c>
      <c r="C1288" s="1" t="n">
        <v>45829</v>
      </c>
      <c r="D1288" t="inlineStr">
        <is>
          <t>UPPSALA LÄN</t>
        </is>
      </c>
      <c r="E1288" t="inlineStr">
        <is>
          <t>ÖSTHAMMAR</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50849-2024</t>
        </is>
      </c>
      <c r="B1289" s="1" t="n">
        <v>45602</v>
      </c>
      <c r="C1289" s="1" t="n">
        <v>45829</v>
      </c>
      <c r="D1289" t="inlineStr">
        <is>
          <t>UPPSALA LÄN</t>
        </is>
      </c>
      <c r="E1289" t="inlineStr">
        <is>
          <t>ÖSTHAMMAR</t>
        </is>
      </c>
      <c r="F1289" t="inlineStr">
        <is>
          <t>Övriga Aktiebolag</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50875-2024</t>
        </is>
      </c>
      <c r="B1290" s="1" t="n">
        <v>45602</v>
      </c>
      <c r="C1290" s="1" t="n">
        <v>45829</v>
      </c>
      <c r="D1290" t="inlineStr">
        <is>
          <t>UPPSALA LÄN</t>
        </is>
      </c>
      <c r="E1290" t="inlineStr">
        <is>
          <t>ÖSTHAMMAR</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50927-2024</t>
        </is>
      </c>
      <c r="B1291" s="1" t="n">
        <v>45602</v>
      </c>
      <c r="C1291" s="1" t="n">
        <v>45829</v>
      </c>
      <c r="D1291" t="inlineStr">
        <is>
          <t>UPPSALA LÄN</t>
        </is>
      </c>
      <c r="E1291" t="inlineStr">
        <is>
          <t>ÖSTHAMMAR</t>
        </is>
      </c>
      <c r="F1291" t="inlineStr">
        <is>
          <t>Bergvik skog öst AB</t>
        </is>
      </c>
      <c r="G1291" t="n">
        <v>45.4</v>
      </c>
      <c r="H1291" t="n">
        <v>0</v>
      </c>
      <c r="I1291" t="n">
        <v>0</v>
      </c>
      <c r="J1291" t="n">
        <v>0</v>
      </c>
      <c r="K1291" t="n">
        <v>0</v>
      </c>
      <c r="L1291" t="n">
        <v>0</v>
      </c>
      <c r="M1291" t="n">
        <v>0</v>
      </c>
      <c r="N1291" t="n">
        <v>0</v>
      </c>
      <c r="O1291" t="n">
        <v>0</v>
      </c>
      <c r="P1291" t="n">
        <v>0</v>
      </c>
      <c r="Q1291" t="n">
        <v>0</v>
      </c>
      <c r="R1291" s="2" t="inlineStr"/>
    </row>
    <row r="1292" ht="15" customHeight="1">
      <c r="A1292" t="inlineStr">
        <is>
          <t>A 50924-2024</t>
        </is>
      </c>
      <c r="B1292" s="1" t="n">
        <v>45602</v>
      </c>
      <c r="C1292" s="1" t="n">
        <v>45829</v>
      </c>
      <c r="D1292" t="inlineStr">
        <is>
          <t>UPPSALA LÄN</t>
        </is>
      </c>
      <c r="E1292" t="inlineStr">
        <is>
          <t>ÖSTHAMMAR</t>
        </is>
      </c>
      <c r="F1292" t="inlineStr">
        <is>
          <t>Bergvik skog öst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50844-2024</t>
        </is>
      </c>
      <c r="B1293" s="1" t="n">
        <v>45602</v>
      </c>
      <c r="C1293" s="1" t="n">
        <v>45829</v>
      </c>
      <c r="D1293" t="inlineStr">
        <is>
          <t>UPPSALA LÄN</t>
        </is>
      </c>
      <c r="E1293" t="inlineStr">
        <is>
          <t>ÖSTHAMMAR</t>
        </is>
      </c>
      <c r="F1293" t="inlineStr">
        <is>
          <t>Övriga Aktiebolag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50853-2024</t>
        </is>
      </c>
      <c r="B1294" s="1" t="n">
        <v>45602</v>
      </c>
      <c r="C1294" s="1" t="n">
        <v>45829</v>
      </c>
      <c r="D1294" t="inlineStr">
        <is>
          <t>UPPSALA LÄN</t>
        </is>
      </c>
      <c r="E1294" t="inlineStr">
        <is>
          <t>ÖSTHAMMAR</t>
        </is>
      </c>
      <c r="F1294" t="inlineStr">
        <is>
          <t>Övriga Aktiebolag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52306-2024</t>
        </is>
      </c>
      <c r="B1295" s="1" t="n">
        <v>45608</v>
      </c>
      <c r="C1295" s="1" t="n">
        <v>45829</v>
      </c>
      <c r="D1295" t="inlineStr">
        <is>
          <t>UPPSALA LÄN</t>
        </is>
      </c>
      <c r="E1295" t="inlineStr">
        <is>
          <t>ÖSTHAMMAR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52440-2024</t>
        </is>
      </c>
      <c r="B1296" s="1" t="n">
        <v>45609</v>
      </c>
      <c r="C1296" s="1" t="n">
        <v>45829</v>
      </c>
      <c r="D1296" t="inlineStr">
        <is>
          <t>UPPSALA LÄN</t>
        </is>
      </c>
      <c r="E1296" t="inlineStr">
        <is>
          <t>ÖSTHAMMAR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52468-2024</t>
        </is>
      </c>
      <c r="B1297" s="1" t="n">
        <v>45609</v>
      </c>
      <c r="C1297" s="1" t="n">
        <v>45829</v>
      </c>
      <c r="D1297" t="inlineStr">
        <is>
          <t>UPPSALA LÄN</t>
        </is>
      </c>
      <c r="E1297" t="inlineStr">
        <is>
          <t>ÖSTHAMMAR</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52469-2024</t>
        </is>
      </c>
      <c r="B1298" s="1" t="n">
        <v>45609</v>
      </c>
      <c r="C1298" s="1" t="n">
        <v>45829</v>
      </c>
      <c r="D1298" t="inlineStr">
        <is>
          <t>UPPSALA LÄN</t>
        </is>
      </c>
      <c r="E1298" t="inlineStr">
        <is>
          <t>ÖSTHAMMAR</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52485-2024</t>
        </is>
      </c>
      <c r="B1299" s="1" t="n">
        <v>45609</v>
      </c>
      <c r="C1299" s="1" t="n">
        <v>45829</v>
      </c>
      <c r="D1299" t="inlineStr">
        <is>
          <t>UPPSALA LÄN</t>
        </is>
      </c>
      <c r="E1299" t="inlineStr">
        <is>
          <t>ÖSTHAMMAR</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52470-2024</t>
        </is>
      </c>
      <c r="B1300" s="1" t="n">
        <v>45609</v>
      </c>
      <c r="C1300" s="1" t="n">
        <v>45829</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52478-2024</t>
        </is>
      </c>
      <c r="B1301" s="1" t="n">
        <v>45609</v>
      </c>
      <c r="C1301" s="1" t="n">
        <v>45829</v>
      </c>
      <c r="D1301" t="inlineStr">
        <is>
          <t>UPPSALA LÄN</t>
        </is>
      </c>
      <c r="E1301" t="inlineStr">
        <is>
          <t>ÖSTHAMMAR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52534-2024</t>
        </is>
      </c>
      <c r="B1302" s="1" t="n">
        <v>45609</v>
      </c>
      <c r="C1302" s="1" t="n">
        <v>45829</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52890-2024</t>
        </is>
      </c>
      <c r="B1303" s="1" t="n">
        <v>45610</v>
      </c>
      <c r="C1303" s="1" t="n">
        <v>45829</v>
      </c>
      <c r="D1303" t="inlineStr">
        <is>
          <t>UPPSALA LÄN</t>
        </is>
      </c>
      <c r="E1303" t="inlineStr">
        <is>
          <t>ÖSTHAMMAR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53095-2024</t>
        </is>
      </c>
      <c r="B1304" s="1" t="n">
        <v>45611</v>
      </c>
      <c r="C1304" s="1" t="n">
        <v>45829</v>
      </c>
      <c r="D1304" t="inlineStr">
        <is>
          <t>UPPSALA LÄN</t>
        </is>
      </c>
      <c r="E1304" t="inlineStr">
        <is>
          <t>ÖSTHAMMAR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53913-2024</t>
        </is>
      </c>
      <c r="B1305" s="1" t="n">
        <v>45615</v>
      </c>
      <c r="C1305" s="1" t="n">
        <v>45829</v>
      </c>
      <c r="D1305" t="inlineStr">
        <is>
          <t>UPPSALA LÄN</t>
        </is>
      </c>
      <c r="E1305" t="inlineStr">
        <is>
          <t>ÖSTHAMMAR</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54397-2024</t>
        </is>
      </c>
      <c r="B1306" s="1" t="n">
        <v>45617</v>
      </c>
      <c r="C1306" s="1" t="n">
        <v>45829</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54402-2024</t>
        </is>
      </c>
      <c r="B1307" s="1" t="n">
        <v>45617</v>
      </c>
      <c r="C1307" s="1" t="n">
        <v>45829</v>
      </c>
      <c r="D1307" t="inlineStr">
        <is>
          <t>UPPSALA LÄN</t>
        </is>
      </c>
      <c r="E1307" t="inlineStr">
        <is>
          <t>ÖSTHAMMAR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54437-2024</t>
        </is>
      </c>
      <c r="B1308" s="1" t="n">
        <v>45617</v>
      </c>
      <c r="C1308" s="1" t="n">
        <v>45829</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54759-2024</t>
        </is>
      </c>
      <c r="B1309" s="1" t="n">
        <v>45618</v>
      </c>
      <c r="C1309" s="1" t="n">
        <v>45829</v>
      </c>
      <c r="D1309" t="inlineStr">
        <is>
          <t>UPPSALA LÄN</t>
        </is>
      </c>
      <c r="E1309" t="inlineStr">
        <is>
          <t>ÖSTHAMMAR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54934-2024</t>
        </is>
      </c>
      <c r="B1310" s="1" t="n">
        <v>45618</v>
      </c>
      <c r="C1310" s="1" t="n">
        <v>45829</v>
      </c>
      <c r="D1310" t="inlineStr">
        <is>
          <t>UPPSALA LÄN</t>
        </is>
      </c>
      <c r="E1310" t="inlineStr">
        <is>
          <t>ÖSTHAMMAR</t>
        </is>
      </c>
      <c r="F1310" t="inlineStr">
        <is>
          <t>Bergvik skog öst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54935-2024</t>
        </is>
      </c>
      <c r="B1311" s="1" t="n">
        <v>45618</v>
      </c>
      <c r="C1311" s="1" t="n">
        <v>45829</v>
      </c>
      <c r="D1311" t="inlineStr">
        <is>
          <t>UPPSALA LÄN</t>
        </is>
      </c>
      <c r="E1311" t="inlineStr">
        <is>
          <t>ÖSTHAMMAR</t>
        </is>
      </c>
      <c r="F1311" t="inlineStr">
        <is>
          <t>Bergvik skog öst AB</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55093-2024</t>
        </is>
      </c>
      <c r="B1312" s="1" t="n">
        <v>45621</v>
      </c>
      <c r="C1312" s="1" t="n">
        <v>45829</v>
      </c>
      <c r="D1312" t="inlineStr">
        <is>
          <t>UPPSALA LÄN</t>
        </is>
      </c>
      <c r="E1312" t="inlineStr">
        <is>
          <t>ÖSTHAMMAR</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55097-2024</t>
        </is>
      </c>
      <c r="B1313" s="1" t="n">
        <v>45621</v>
      </c>
      <c r="C1313" s="1" t="n">
        <v>45829</v>
      </c>
      <c r="D1313" t="inlineStr">
        <is>
          <t>UPPSALA LÄN</t>
        </is>
      </c>
      <c r="E1313" t="inlineStr">
        <is>
          <t>ÖSTHAMMAR</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55100-2024</t>
        </is>
      </c>
      <c r="B1314" s="1" t="n">
        <v>45621</v>
      </c>
      <c r="C1314" s="1" t="n">
        <v>45829</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55086-2024</t>
        </is>
      </c>
      <c r="B1315" s="1" t="n">
        <v>45621</v>
      </c>
      <c r="C1315" s="1" t="n">
        <v>45829</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55090-2024</t>
        </is>
      </c>
      <c r="B1316" s="1" t="n">
        <v>45621</v>
      </c>
      <c r="C1316" s="1" t="n">
        <v>45829</v>
      </c>
      <c r="D1316" t="inlineStr">
        <is>
          <t>UPPSALA LÄN</t>
        </is>
      </c>
      <c r="E1316" t="inlineStr">
        <is>
          <t>ÖSTHAMMAR</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55079-2024</t>
        </is>
      </c>
      <c r="B1317" s="1" t="n">
        <v>45621</v>
      </c>
      <c r="C1317" s="1" t="n">
        <v>45829</v>
      </c>
      <c r="D1317" t="inlineStr">
        <is>
          <t>UPPSALA LÄN</t>
        </is>
      </c>
      <c r="E1317" t="inlineStr">
        <is>
          <t>ÖSTHAMMAR</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56759-2024</t>
        </is>
      </c>
      <c r="B1318" s="1" t="n">
        <v>45628</v>
      </c>
      <c r="C1318" s="1" t="n">
        <v>45829</v>
      </c>
      <c r="D1318" t="inlineStr">
        <is>
          <t>UPPSALA LÄN</t>
        </is>
      </c>
      <c r="E1318" t="inlineStr">
        <is>
          <t>ÖSTHAMMAR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57187-2024</t>
        </is>
      </c>
      <c r="B1319" s="1" t="n">
        <v>45629</v>
      </c>
      <c r="C1319" s="1" t="n">
        <v>45829</v>
      </c>
      <c r="D1319" t="inlineStr">
        <is>
          <t>UPPSALA LÄN</t>
        </is>
      </c>
      <c r="E1319" t="inlineStr">
        <is>
          <t>ÖSTHAMMAR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57373-2024</t>
        </is>
      </c>
      <c r="B1320" s="1" t="n">
        <v>45629</v>
      </c>
      <c r="C1320" s="1" t="n">
        <v>45829</v>
      </c>
      <c r="D1320" t="inlineStr">
        <is>
          <t>UPPSALA LÄN</t>
        </is>
      </c>
      <c r="E1320" t="inlineStr">
        <is>
          <t>ÖSTHAMMAR</t>
        </is>
      </c>
      <c r="F1320" t="inlineStr">
        <is>
          <t>Bergvik skog öst AB</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58242-2024</t>
        </is>
      </c>
      <c r="B1321" s="1" t="n">
        <v>45632</v>
      </c>
      <c r="C1321" s="1" t="n">
        <v>45829</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58265-2024</t>
        </is>
      </c>
      <c r="B1322" s="1" t="n">
        <v>45632</v>
      </c>
      <c r="C1322" s="1" t="n">
        <v>45829</v>
      </c>
      <c r="D1322" t="inlineStr">
        <is>
          <t>UPPSALA LÄN</t>
        </is>
      </c>
      <c r="E1322" t="inlineStr">
        <is>
          <t>ÖSTHAMMAR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v>
      </c>
      <c r="C1323" s="1" t="n">
        <v>45829</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58366-2024</t>
        </is>
      </c>
      <c r="B1324" s="1" t="n">
        <v>45632</v>
      </c>
      <c r="C1324" s="1" t="n">
        <v>45829</v>
      </c>
      <c r="D1324" t="inlineStr">
        <is>
          <t>UPPSALA LÄN</t>
        </is>
      </c>
      <c r="E1324" t="inlineStr">
        <is>
          <t>ÖSTHAMMAR</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61235-2024</t>
        </is>
      </c>
      <c r="B1325" s="1" t="n">
        <v>45645</v>
      </c>
      <c r="C1325" s="1" t="n">
        <v>45829</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61443-2024</t>
        </is>
      </c>
      <c r="B1326" s="1" t="n">
        <v>45646</v>
      </c>
      <c r="C1326" s="1" t="n">
        <v>45829</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61455-2024</t>
        </is>
      </c>
      <c r="B1327" s="1" t="n">
        <v>45646</v>
      </c>
      <c r="C1327" s="1" t="n">
        <v>45829</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61461-2024</t>
        </is>
      </c>
      <c r="B1328" s="1" t="n">
        <v>45646</v>
      </c>
      <c r="C1328" s="1" t="n">
        <v>45829</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61464-2024</t>
        </is>
      </c>
      <c r="B1329" s="1" t="n">
        <v>45646</v>
      </c>
      <c r="C1329" s="1" t="n">
        <v>45829</v>
      </c>
      <c r="D1329" t="inlineStr">
        <is>
          <t>UPPSALA LÄN</t>
        </is>
      </c>
      <c r="E1329" t="inlineStr">
        <is>
          <t>ÖSTHAMMAR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61458-2024</t>
        </is>
      </c>
      <c r="B1330" s="1" t="n">
        <v>45646</v>
      </c>
      <c r="C1330" s="1" t="n">
        <v>45829</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357-2025</t>
        </is>
      </c>
      <c r="B1331" s="1" t="n">
        <v>45659</v>
      </c>
      <c r="C1331" s="1" t="n">
        <v>45829</v>
      </c>
      <c r="D1331" t="inlineStr">
        <is>
          <t>UPPSALA LÄN</t>
        </is>
      </c>
      <c r="E1331" t="inlineStr">
        <is>
          <t>ÖSTHAMMAR</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358-2025</t>
        </is>
      </c>
      <c r="B1332" s="1" t="n">
        <v>45659</v>
      </c>
      <c r="C1332" s="1" t="n">
        <v>45829</v>
      </c>
      <c r="D1332" t="inlineStr">
        <is>
          <t>UPPSALA LÄN</t>
        </is>
      </c>
      <c r="E1332" t="inlineStr">
        <is>
          <t>ÖSTHAMMAR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835-2025</t>
        </is>
      </c>
      <c r="B1333" s="1" t="n">
        <v>45665</v>
      </c>
      <c r="C1333" s="1" t="n">
        <v>45829</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1063-2025</t>
        </is>
      </c>
      <c r="B1334" s="1" t="n">
        <v>45666</v>
      </c>
      <c r="C1334" s="1" t="n">
        <v>45829</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1436-2025</t>
        </is>
      </c>
      <c r="B1335" s="1" t="n">
        <v>45669</v>
      </c>
      <c r="C1335" s="1" t="n">
        <v>45829</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1439-2025</t>
        </is>
      </c>
      <c r="B1336" s="1" t="n">
        <v>45669</v>
      </c>
      <c r="C1336" s="1" t="n">
        <v>45829</v>
      </c>
      <c r="D1336" t="inlineStr">
        <is>
          <t>UPPSALA LÄN</t>
        </is>
      </c>
      <c r="E1336" t="inlineStr">
        <is>
          <t>ÖSTHAMMAR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1586-2025</t>
        </is>
      </c>
      <c r="B1337" s="1" t="n">
        <v>45670</v>
      </c>
      <c r="C1337" s="1" t="n">
        <v>45829</v>
      </c>
      <c r="D1337" t="inlineStr">
        <is>
          <t>UPPSALA LÄN</t>
        </is>
      </c>
      <c r="E1337" t="inlineStr">
        <is>
          <t>ÖSTHAMMAR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1525-2025</t>
        </is>
      </c>
      <c r="B1338" s="1" t="n">
        <v>45670</v>
      </c>
      <c r="C1338" s="1" t="n">
        <v>45829</v>
      </c>
      <c r="D1338" t="inlineStr">
        <is>
          <t>UPPSALA LÄN</t>
        </is>
      </c>
      <c r="E1338" t="inlineStr">
        <is>
          <t>ÖSTHAMMAR</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1584-2025</t>
        </is>
      </c>
      <c r="B1339" s="1" t="n">
        <v>45670</v>
      </c>
      <c r="C1339" s="1" t="n">
        <v>45829</v>
      </c>
      <c r="D1339" t="inlineStr">
        <is>
          <t>UPPSALA LÄN</t>
        </is>
      </c>
      <c r="E1339" t="inlineStr">
        <is>
          <t>ÖSTHAMMAR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1575-2025</t>
        </is>
      </c>
      <c r="B1340" s="1" t="n">
        <v>45670</v>
      </c>
      <c r="C1340" s="1" t="n">
        <v>45829</v>
      </c>
      <c r="D1340" t="inlineStr">
        <is>
          <t>UPPSALA LÄN</t>
        </is>
      </c>
      <c r="E1340" t="inlineStr">
        <is>
          <t>ÖSTHAMMAR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1567-2025</t>
        </is>
      </c>
      <c r="B1341" s="1" t="n">
        <v>45670</v>
      </c>
      <c r="C1341" s="1" t="n">
        <v>45829</v>
      </c>
      <c r="D1341" t="inlineStr">
        <is>
          <t>UPPSALA LÄN</t>
        </is>
      </c>
      <c r="E1341" t="inlineStr">
        <is>
          <t>ÖSTHAMMAR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1527-2025</t>
        </is>
      </c>
      <c r="B1342" s="1" t="n">
        <v>45670</v>
      </c>
      <c r="C1342" s="1" t="n">
        <v>45829</v>
      </c>
      <c r="D1342" t="inlineStr">
        <is>
          <t>UPPSALA LÄN</t>
        </is>
      </c>
      <c r="E1342" t="inlineStr">
        <is>
          <t>ÖSTHAMMAR</t>
        </is>
      </c>
      <c r="F1342" t="inlineStr">
        <is>
          <t>Bergvik skog öst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2839-2025</t>
        </is>
      </c>
      <c r="B1343" s="1" t="n">
        <v>45677</v>
      </c>
      <c r="C1343" s="1" t="n">
        <v>45829</v>
      </c>
      <c r="D1343" t="inlineStr">
        <is>
          <t>UPPSALA LÄN</t>
        </is>
      </c>
      <c r="E1343" t="inlineStr">
        <is>
          <t>ÖSTHAMMAR</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2847-2025</t>
        </is>
      </c>
      <c r="B1344" s="1" t="n">
        <v>45677</v>
      </c>
      <c r="C1344" s="1" t="n">
        <v>45829</v>
      </c>
      <c r="D1344" t="inlineStr">
        <is>
          <t>UPPSALA LÄN</t>
        </is>
      </c>
      <c r="E1344" t="inlineStr">
        <is>
          <t>ÖSTHAMMAR</t>
        </is>
      </c>
      <c r="F1344" t="inlineStr">
        <is>
          <t>Övriga Aktiebolag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45829</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45829</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45829</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45829</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45829</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45829</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45829</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45829</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45829</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45829</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45829</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45829</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45829</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45829</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45829</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45829</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45829</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45829</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45829</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45829</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45829</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45829</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45829</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45829</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45829</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45829</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45829</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45829</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45829</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45829</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45829</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45829</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45829</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45829</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45829</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45829</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45829</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45829</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45829</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45829</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45829</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45829</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45829</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45829</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45829</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45829</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45829</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45829</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45829</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45829</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45829</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45829</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45829</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45829</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45829</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45829</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45829</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45829</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45829</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45829</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45829</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45829</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45829</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45829</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45829</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45829</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45829</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45829</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45829</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45829</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45829</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45829</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45829</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45829</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45829</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45829</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45829</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45829</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45829</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45829</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45829</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45829</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45829</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45829</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45829</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45829</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45829</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45829</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45829</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45829</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45829</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45829</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45829</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45829</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45829</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45829</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45829</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45829</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45829</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45829</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45829</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45829</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45829</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45829</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45829</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45829</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45829</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45829</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45829</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45829</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45829</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45829</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45829</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45829</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45829</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45829</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45829</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45829</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45829</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45829</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45829</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45829</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45829</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45829</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45829</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45829</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45829</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45829</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45829</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45829</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45829</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45829</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45829</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45829</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45829</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45829</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45829</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45829</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45829</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45829</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45829</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45829</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45829</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45829</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45829</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45829</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45829</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45829</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45829</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45829</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45829</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45829</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45829</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45829</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45829</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45829</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45829</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45829</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45829</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27395-2025</t>
        </is>
      </c>
      <c r="B1504" s="1" t="n">
        <v>45812</v>
      </c>
      <c r="C1504" s="1" t="n">
        <v>45829</v>
      </c>
      <c r="D1504" t="inlineStr">
        <is>
          <t>UPPSALA LÄN</t>
        </is>
      </c>
      <c r="E1504" t="inlineStr">
        <is>
          <t>ÖSTHAMMAR</t>
        </is>
      </c>
      <c r="F1504" t="inlineStr">
        <is>
          <t>Bergvik skog öst AB</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45829</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27383-2025</t>
        </is>
      </c>
      <c r="B1506" s="1" t="n">
        <v>45812</v>
      </c>
      <c r="C1506" s="1" t="n">
        <v>45829</v>
      </c>
      <c r="D1506" t="inlineStr">
        <is>
          <t>UPPSALA LÄN</t>
        </is>
      </c>
      <c r="E1506" t="inlineStr">
        <is>
          <t>ÖSTHAMMAR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27384-2025</t>
        </is>
      </c>
      <c r="B1507" s="1" t="n">
        <v>45812</v>
      </c>
      <c r="C1507" s="1" t="n">
        <v>45829</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27385-2025</t>
        </is>
      </c>
      <c r="B1508" s="1" t="n">
        <v>45812</v>
      </c>
      <c r="C1508" s="1" t="n">
        <v>45829</v>
      </c>
      <c r="D1508" t="inlineStr">
        <is>
          <t>UPPSALA LÄN</t>
        </is>
      </c>
      <c r="E1508" t="inlineStr">
        <is>
          <t>ÖSTHAMMAR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45829</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27352-2025</t>
        </is>
      </c>
      <c r="B1510" s="1" t="n">
        <v>45812</v>
      </c>
      <c r="C1510" s="1" t="n">
        <v>45829</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27347-2025</t>
        </is>
      </c>
      <c r="B1511" s="1" t="n">
        <v>45812</v>
      </c>
      <c r="C1511" s="1" t="n">
        <v>45829</v>
      </c>
      <c r="D1511" t="inlineStr">
        <is>
          <t>UPPSALA LÄN</t>
        </is>
      </c>
      <c r="E1511" t="inlineStr">
        <is>
          <t>ÖSTHAMMAR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27563-2025</t>
        </is>
      </c>
      <c r="B1512" s="1" t="n">
        <v>45813</v>
      </c>
      <c r="C1512" s="1" t="n">
        <v>45829</v>
      </c>
      <c r="D1512" t="inlineStr">
        <is>
          <t>UPPSALA LÄN</t>
        </is>
      </c>
      <c r="E1512" t="inlineStr">
        <is>
          <t>ÖSTHAMMAR</t>
        </is>
      </c>
      <c r="F1512" t="inlineStr">
        <is>
          <t>Bergvik skog öst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27509-2025</t>
        </is>
      </c>
      <c r="B1513" s="1" t="n">
        <v>45813</v>
      </c>
      <c r="C1513" s="1" t="n">
        <v>45829</v>
      </c>
      <c r="D1513" t="inlineStr">
        <is>
          <t>UPPSALA LÄN</t>
        </is>
      </c>
      <c r="E1513" t="inlineStr">
        <is>
          <t>ÖSTHAMMAR</t>
        </is>
      </c>
      <c r="F1513" t="inlineStr">
        <is>
          <t>Bergvik skog öst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27490-2025</t>
        </is>
      </c>
      <c r="B1514" s="1" t="n">
        <v>45813</v>
      </c>
      <c r="C1514" s="1" t="n">
        <v>45829</v>
      </c>
      <c r="D1514" t="inlineStr">
        <is>
          <t>UPPSALA LÄN</t>
        </is>
      </c>
      <c r="E1514" t="inlineStr">
        <is>
          <t>ÖSTHAMMAR</t>
        </is>
      </c>
      <c r="F1514" t="inlineStr">
        <is>
          <t>Bergvik skog öst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27494-2025</t>
        </is>
      </c>
      <c r="B1515" s="1" t="n">
        <v>45813</v>
      </c>
      <c r="C1515" s="1" t="n">
        <v>45829</v>
      </c>
      <c r="D1515" t="inlineStr">
        <is>
          <t>UPPSALA LÄN</t>
        </is>
      </c>
      <c r="E1515" t="inlineStr">
        <is>
          <t>ÖSTHAMMAR</t>
        </is>
      </c>
      <c r="F1515" t="inlineStr">
        <is>
          <t>Bergvik skog öst AB</t>
        </is>
      </c>
      <c r="G1515" t="n">
        <v>23.4</v>
      </c>
      <c r="H1515" t="n">
        <v>0</v>
      </c>
      <c r="I1515" t="n">
        <v>0</v>
      </c>
      <c r="J1515" t="n">
        <v>0</v>
      </c>
      <c r="K1515" t="n">
        <v>0</v>
      </c>
      <c r="L1515" t="n">
        <v>0</v>
      </c>
      <c r="M1515" t="n">
        <v>0</v>
      </c>
      <c r="N1515" t="n">
        <v>0</v>
      </c>
      <c r="O1515" t="n">
        <v>0</v>
      </c>
      <c r="P1515" t="n">
        <v>0</v>
      </c>
      <c r="Q1515" t="n">
        <v>0</v>
      </c>
      <c r="R1515" s="2" t="inlineStr"/>
    </row>
    <row r="1516" ht="15" customHeight="1">
      <c r="A1516" t="inlineStr">
        <is>
          <t>A 27476-2025</t>
        </is>
      </c>
      <c r="B1516" s="1" t="n">
        <v>45813</v>
      </c>
      <c r="C1516" s="1" t="n">
        <v>45829</v>
      </c>
      <c r="D1516" t="inlineStr">
        <is>
          <t>UPPSALA LÄN</t>
        </is>
      </c>
      <c r="E1516" t="inlineStr">
        <is>
          <t>ÖSTHAMMAR</t>
        </is>
      </c>
      <c r="F1516" t="inlineStr">
        <is>
          <t>Bergvik skog öst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27676-2025</t>
        </is>
      </c>
      <c r="B1517" s="1" t="n">
        <v>45813</v>
      </c>
      <c r="C1517" s="1" t="n">
        <v>45829</v>
      </c>
      <c r="D1517" t="inlineStr">
        <is>
          <t>UPPSALA LÄN</t>
        </is>
      </c>
      <c r="E1517" t="inlineStr">
        <is>
          <t>ÖSTHAMMAR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45829</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45829</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45829</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28099-2025</t>
        </is>
      </c>
      <c r="B1521" s="1" t="n">
        <v>45817</v>
      </c>
      <c r="C1521" s="1" t="n">
        <v>45829</v>
      </c>
      <c r="D1521" t="inlineStr">
        <is>
          <t>UPPSALA LÄN</t>
        </is>
      </c>
      <c r="E1521" t="inlineStr">
        <is>
          <t>ÖSTHAMMAR</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27919-2025</t>
        </is>
      </c>
      <c r="B1522" s="1" t="n">
        <v>45817</v>
      </c>
      <c r="C1522" s="1" t="n">
        <v>45829</v>
      </c>
      <c r="D1522" t="inlineStr">
        <is>
          <t>UPPSALA LÄN</t>
        </is>
      </c>
      <c r="E1522" t="inlineStr">
        <is>
          <t>ÖSTHAMMAR</t>
        </is>
      </c>
      <c r="F1522" t="inlineStr">
        <is>
          <t>Bergvik skog öst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45829</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27812-2025</t>
        </is>
      </c>
      <c r="B1524" s="1" t="n">
        <v>45817</v>
      </c>
      <c r="C1524" s="1" t="n">
        <v>45829</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45829</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45829</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45829</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45829</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45829</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29024-2025</t>
        </is>
      </c>
      <c r="B1530" s="1" t="n">
        <v>45821</v>
      </c>
      <c r="C1530" s="1" t="n">
        <v>45829</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29029-2025</t>
        </is>
      </c>
      <c r="B1531" s="1" t="n">
        <v>45821</v>
      </c>
      <c r="C1531" s="1" t="n">
        <v>45829</v>
      </c>
      <c r="D1531" t="inlineStr">
        <is>
          <t>UPPSALA LÄN</t>
        </is>
      </c>
      <c r="E1531" t="inlineStr">
        <is>
          <t>ÖSTHAMMAR</t>
        </is>
      </c>
      <c r="F1531" t="inlineStr">
        <is>
          <t>Bergvik skog öst AB</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45829</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29384-2025</t>
        </is>
      </c>
      <c r="B1533" s="1" t="n">
        <v>45824</v>
      </c>
      <c r="C1533" s="1" t="n">
        <v>45829</v>
      </c>
      <c r="D1533" t="inlineStr">
        <is>
          <t>UPPSALA LÄN</t>
        </is>
      </c>
      <c r="E1533" t="inlineStr">
        <is>
          <t>ÖSTHAMMAR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29775-2025</t>
        </is>
      </c>
      <c r="B1534" s="1" t="n">
        <v>45825</v>
      </c>
      <c r="C1534" s="1" t="n">
        <v>45829</v>
      </c>
      <c r="D1534" t="inlineStr">
        <is>
          <t>UPPSALA LÄN</t>
        </is>
      </c>
      <c r="E1534" t="inlineStr">
        <is>
          <t>ÖSTHAMMAR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30244-2025</t>
        </is>
      </c>
      <c r="B1535" s="1" t="n">
        <v>45827</v>
      </c>
      <c r="C1535" s="1" t="n">
        <v>45829</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c r="A1536" t="inlineStr">
        <is>
          <t>A 30243-2025</t>
        </is>
      </c>
      <c r="B1536" s="1" t="n">
        <v>45827</v>
      </c>
      <c r="C1536" s="1" t="n">
        <v>45829</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2025-06-21T19:20:00Z</dcterms:created>
  <dcterms:modified xmlns:dcterms="http://purl.org/dc/terms/" xmlns:xsi="http://www.w3.org/2001/XMLSchema-instance" xsi:type="dcterms:W3CDTF">2025-06-21T19:20:02Z</dcterms:modified>
</cp:coreProperties>
</file>