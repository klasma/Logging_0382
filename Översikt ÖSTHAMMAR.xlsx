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46063</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46063</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46063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46063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46063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46063</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46063</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46063</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46063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46063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46063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46063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46063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46063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46063</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46063</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46063</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v>
      </c>
      <c r="C24" s="1" t="n">
        <v>46063</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221-2025</t>
        </is>
      </c>
      <c r="B25" s="1" t="n">
        <v>45660</v>
      </c>
      <c r="C25" s="1" t="n">
        <v>46063</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46063</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46063</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46063</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46063</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46063</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46063</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39763-2022</t>
        </is>
      </c>
      <c r="B32" s="1" t="n">
        <v>44819.44055555556</v>
      </c>
      <c r="C32" s="1" t="n">
        <v>46063</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46063</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46063</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15556-2022</t>
        </is>
      </c>
      <c r="B35" s="1" t="n">
        <v>44662</v>
      </c>
      <c r="C35" s="1" t="n">
        <v>46063</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23498-2023</t>
        </is>
      </c>
      <c r="B36" s="1" t="n">
        <v>45076</v>
      </c>
      <c r="C36" s="1" t="n">
        <v>46063</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51154-2025</t>
        </is>
      </c>
      <c r="B37" s="1" t="n">
        <v>45947.57583333334</v>
      </c>
      <c r="C37" s="1" t="n">
        <v>46063</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43992-2022</t>
        </is>
      </c>
      <c r="B38" s="1" t="n">
        <v>44837</v>
      </c>
      <c r="C38" s="1" t="n">
        <v>46063</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24563-2022</t>
        </is>
      </c>
      <c r="B39" s="1" t="n">
        <v>44727</v>
      </c>
      <c r="C39" s="1" t="n">
        <v>46063</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1101-2026</t>
        </is>
      </c>
      <c r="B40" s="1" t="n">
        <v>46030.66722222222</v>
      </c>
      <c r="C40" s="1" t="n">
        <v>46063</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55492-2023</t>
        </is>
      </c>
      <c r="B41" s="1" t="n">
        <v>45238</v>
      </c>
      <c r="C41" s="1" t="n">
        <v>46063</v>
      </c>
      <c r="D41" t="inlineStr">
        <is>
          <t>UPPSALA LÄN</t>
        </is>
      </c>
      <c r="E41" t="inlineStr">
        <is>
          <t>ÖSTHAMMAR</t>
        </is>
      </c>
      <c r="G41" t="n">
        <v>3.1</v>
      </c>
      <c r="H41" t="n">
        <v>4</v>
      </c>
      <c r="I41" t="n">
        <v>2</v>
      </c>
      <c r="J41" t="n">
        <v>0</v>
      </c>
      <c r="K41" t="n">
        <v>2</v>
      </c>
      <c r="L41" t="n">
        <v>0</v>
      </c>
      <c r="M41" t="n">
        <v>0</v>
      </c>
      <c r="N41" t="n">
        <v>0</v>
      </c>
      <c r="O41" t="n">
        <v>2</v>
      </c>
      <c r="P41" t="n">
        <v>2</v>
      </c>
      <c r="Q41" t="n">
        <v>5</v>
      </c>
      <c r="R41" s="2" t="inlineStr">
        <is>
          <t>Knärot
Violgubbe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26056-2025</t>
        </is>
      </c>
      <c r="B42" s="1" t="n">
        <v>45804.79280092593</v>
      </c>
      <c r="C42" s="1" t="n">
        <v>46063</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52808-2022</t>
        </is>
      </c>
      <c r="B43" s="1" t="n">
        <v>44875</v>
      </c>
      <c r="C43" s="1" t="n">
        <v>46063</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46063</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46063</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46063</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46063</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74364-2021</t>
        </is>
      </c>
      <c r="B48" s="1" t="n">
        <v>44559</v>
      </c>
      <c r="C48" s="1" t="n">
        <v>46063</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60889-2025</t>
        </is>
      </c>
      <c r="B49" s="1" t="n">
        <v>45999.56931712963</v>
      </c>
      <c r="C49" s="1" t="n">
        <v>46063</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46063</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46204-2023</t>
        </is>
      </c>
      <c r="B51" s="1" t="n">
        <v>45190</v>
      </c>
      <c r="C51" s="1" t="n">
        <v>46063</v>
      </c>
      <c r="D51" t="inlineStr">
        <is>
          <t>UPPSALA LÄN</t>
        </is>
      </c>
      <c r="E51" t="inlineStr">
        <is>
          <t>ÖSTHAMMAR</t>
        </is>
      </c>
      <c r="F51" t="inlineStr">
        <is>
          <t>Övriga statliga verk och myndigheter</t>
        </is>
      </c>
      <c r="G51" t="n">
        <v>3.5</v>
      </c>
      <c r="H51" t="n">
        <v>3</v>
      </c>
      <c r="I51" t="n">
        <v>0</v>
      </c>
      <c r="J51" t="n">
        <v>3</v>
      </c>
      <c r="K51" t="n">
        <v>0</v>
      </c>
      <c r="L51" t="n">
        <v>0</v>
      </c>
      <c r="M51" t="n">
        <v>0</v>
      </c>
      <c r="N51" t="n">
        <v>0</v>
      </c>
      <c r="O51" t="n">
        <v>3</v>
      </c>
      <c r="P51" t="n">
        <v>0</v>
      </c>
      <c r="Q51" t="n">
        <v>3</v>
      </c>
      <c r="R51" s="2" t="inlineStr">
        <is>
          <t>Grönsångare
Gulsparv
Ärtsångare</t>
        </is>
      </c>
      <c r="S51">
        <f>HYPERLINK("https://klasma.github.io/Logging_0382/artfynd/A 46204-2023 artfynd.xlsx", "A 46204-2023")</f>
        <v/>
      </c>
      <c r="T51">
        <f>HYPERLINK("https://klasma.github.io/Logging_0382/kartor/A 46204-2023 karta.png", "A 46204-2023")</f>
        <v/>
      </c>
      <c r="V51">
        <f>HYPERLINK("https://klasma.github.io/Logging_0382/klagomål/A 46204-2023 FSC-klagomål.docx", "A 46204-2023")</f>
        <v/>
      </c>
      <c r="W51">
        <f>HYPERLINK("https://klasma.github.io/Logging_0382/klagomålsmail/A 46204-2023 FSC-klagomål mail.docx", "A 46204-2023")</f>
        <v/>
      </c>
      <c r="X51">
        <f>HYPERLINK("https://klasma.github.io/Logging_0382/tillsyn/A 46204-2023 tillsynsbegäran.docx", "A 46204-2023")</f>
        <v/>
      </c>
      <c r="Y51">
        <f>HYPERLINK("https://klasma.github.io/Logging_0382/tillsynsmail/A 46204-2023 tillsynsbegäran mail.docx", "A 46204-2023")</f>
        <v/>
      </c>
      <c r="Z51">
        <f>HYPERLINK("https://klasma.github.io/Logging_0382/fåglar/A 46204-2023 prioriterade fågelarter.docx", "A 46204-2023")</f>
        <v/>
      </c>
    </row>
    <row r="52" ht="15" customHeight="1">
      <c r="A52" t="inlineStr">
        <is>
          <t>A 9715-2024</t>
        </is>
      </c>
      <c r="B52" s="1" t="n">
        <v>45362.53928240741</v>
      </c>
      <c r="C52" s="1" t="n">
        <v>46063</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46063</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6567-2026</t>
        </is>
      </c>
      <c r="B54" s="1" t="n">
        <v>46056.44011574074</v>
      </c>
      <c r="C54" s="1" t="n">
        <v>46063</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33035-2021</t>
        </is>
      </c>
      <c r="B55" s="1" t="n">
        <v>44376</v>
      </c>
      <c r="C55" s="1" t="n">
        <v>46063</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46063</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46063</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46063</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46063</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46063</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46063</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46063</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21422-2023</t>
        </is>
      </c>
      <c r="B63" s="1" t="n">
        <v>45063</v>
      </c>
      <c r="C63" s="1" t="n">
        <v>46063</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46063</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33269-2025</t>
        </is>
      </c>
      <c r="B65" s="1" t="n">
        <v>45840.68208333333</v>
      </c>
      <c r="C65" s="1" t="n">
        <v>46063</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41303-2025</t>
        </is>
      </c>
      <c r="B66" s="1" t="n">
        <v>45898.69215277778</v>
      </c>
      <c r="C66" s="1" t="n">
        <v>46063</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37768-2025</t>
        </is>
      </c>
      <c r="B67" s="1" t="n">
        <v>45880</v>
      </c>
      <c r="C67" s="1" t="n">
        <v>46063</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9646-2024</t>
        </is>
      </c>
      <c r="B68" s="1" t="n">
        <v>45362.37055555556</v>
      </c>
      <c r="C68" s="1" t="n">
        <v>46063</v>
      </c>
      <c r="D68" t="inlineStr">
        <is>
          <t>UPPSALA LÄN</t>
        </is>
      </c>
      <c r="E68" t="inlineStr">
        <is>
          <t>ÖSTHAMMAR</t>
        </is>
      </c>
      <c r="G68" t="n">
        <v>1.6</v>
      </c>
      <c r="H68" t="n">
        <v>0</v>
      </c>
      <c r="I68" t="n">
        <v>0</v>
      </c>
      <c r="J68" t="n">
        <v>1</v>
      </c>
      <c r="K68" t="n">
        <v>1</v>
      </c>
      <c r="L68" t="n">
        <v>0</v>
      </c>
      <c r="M68" t="n">
        <v>0</v>
      </c>
      <c r="N68" t="n">
        <v>0</v>
      </c>
      <c r="O68" t="n">
        <v>2</v>
      </c>
      <c r="P68" t="n">
        <v>1</v>
      </c>
      <c r="Q68" t="n">
        <v>2</v>
      </c>
      <c r="R68" s="2" t="inlineStr">
        <is>
          <t>Violgubbe
Gultoppig fingersvamp</t>
        </is>
      </c>
      <c r="S68">
        <f>HYPERLINK("https://klasma.github.io/Logging_0382/artfynd/A 9646-2024 artfynd.xlsx", "A 9646-2024")</f>
        <v/>
      </c>
      <c r="T68">
        <f>HYPERLINK("https://klasma.github.io/Logging_0382/kartor/A 9646-2024 karta.png", "A 9646-2024")</f>
        <v/>
      </c>
      <c r="V68">
        <f>HYPERLINK("https://klasma.github.io/Logging_0382/klagomål/A 9646-2024 FSC-klagomål.docx", "A 9646-2024")</f>
        <v/>
      </c>
      <c r="W68">
        <f>HYPERLINK("https://klasma.github.io/Logging_0382/klagomålsmail/A 9646-2024 FSC-klagomål mail.docx", "A 9646-2024")</f>
        <v/>
      </c>
      <c r="X68">
        <f>HYPERLINK("https://klasma.github.io/Logging_0382/tillsyn/A 9646-2024 tillsynsbegäran.docx", "A 9646-2024")</f>
        <v/>
      </c>
      <c r="Y68">
        <f>HYPERLINK("https://klasma.github.io/Logging_0382/tillsynsmail/A 9646-2024 tillsynsbegäran mail.docx", "A 9646-2024")</f>
        <v/>
      </c>
    </row>
    <row r="69" ht="15" customHeight="1">
      <c r="A69" t="inlineStr">
        <is>
          <t>A 56669-2025</t>
        </is>
      </c>
      <c r="B69" s="1" t="n">
        <v>45975.69306712963</v>
      </c>
      <c r="C69" s="1" t="n">
        <v>46063</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73981-2021</t>
        </is>
      </c>
      <c r="B70" s="1" t="n">
        <v>44555</v>
      </c>
      <c r="C70" s="1" t="n">
        <v>46063</v>
      </c>
      <c r="D70" t="inlineStr">
        <is>
          <t>UPPSALA LÄN</t>
        </is>
      </c>
      <c r="E70" t="inlineStr">
        <is>
          <t>ÖSTHAMMAR</t>
        </is>
      </c>
      <c r="G70" t="n">
        <v>2.4</v>
      </c>
      <c r="H70" t="n">
        <v>0</v>
      </c>
      <c r="I70" t="n">
        <v>1</v>
      </c>
      <c r="J70" t="n">
        <v>1</v>
      </c>
      <c r="K70" t="n">
        <v>0</v>
      </c>
      <c r="L70" t="n">
        <v>0</v>
      </c>
      <c r="M70" t="n">
        <v>0</v>
      </c>
      <c r="N70" t="n">
        <v>0</v>
      </c>
      <c r="O70" t="n">
        <v>1</v>
      </c>
      <c r="P70" t="n">
        <v>0</v>
      </c>
      <c r="Q70" t="n">
        <v>2</v>
      </c>
      <c r="R70" s="2" t="inlineStr">
        <is>
          <t>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13287-2022</t>
        </is>
      </c>
      <c r="B71" s="1" t="n">
        <v>44644</v>
      </c>
      <c r="C71" s="1" t="n">
        <v>46063</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60898-2025</t>
        </is>
      </c>
      <c r="B72" s="1" t="n">
        <v>45999.58256944444</v>
      </c>
      <c r="C72" s="1" t="n">
        <v>46063</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46063</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25098-2022</t>
        </is>
      </c>
      <c r="B74" s="1" t="n">
        <v>44729.44149305556</v>
      </c>
      <c r="C74" s="1" t="n">
        <v>46063</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46063</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46063</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46063</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46063</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46063</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46063</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38442-2022</t>
        </is>
      </c>
      <c r="B81" s="1" t="n">
        <v>44813</v>
      </c>
      <c r="C81" s="1" t="n">
        <v>46063</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46063</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46063</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46063</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11017-2023</t>
        </is>
      </c>
      <c r="B85" s="1" t="n">
        <v>44991</v>
      </c>
      <c r="C85" s="1" t="n">
        <v>46063</v>
      </c>
      <c r="D85" t="inlineStr">
        <is>
          <t>UPPSALA LÄN</t>
        </is>
      </c>
      <c r="E85" t="inlineStr">
        <is>
          <t>ÖSTHAMMAR</t>
        </is>
      </c>
      <c r="G85" t="n">
        <v>1.9</v>
      </c>
      <c r="H85" t="n">
        <v>1</v>
      </c>
      <c r="I85" t="n">
        <v>0</v>
      </c>
      <c r="J85" t="n">
        <v>1</v>
      </c>
      <c r="K85" t="n">
        <v>0</v>
      </c>
      <c r="L85" t="n">
        <v>0</v>
      </c>
      <c r="M85" t="n">
        <v>0</v>
      </c>
      <c r="N85" t="n">
        <v>0</v>
      </c>
      <c r="O85" t="n">
        <v>1</v>
      </c>
      <c r="P85" t="n">
        <v>0</v>
      </c>
      <c r="Q85" t="n">
        <v>1</v>
      </c>
      <c r="R85" s="2" t="inlineStr">
        <is>
          <t>Kornknarr</t>
        </is>
      </c>
      <c r="S85">
        <f>HYPERLINK("https://klasma.github.io/Logging_0382/artfynd/A 11017-2023 artfynd.xlsx", "A 11017-2023")</f>
        <v/>
      </c>
      <c r="T85">
        <f>HYPERLINK("https://klasma.github.io/Logging_0382/kartor/A 11017-2023 karta.png", "A 11017-2023")</f>
        <v/>
      </c>
      <c r="V85">
        <f>HYPERLINK("https://klasma.github.io/Logging_0382/klagomål/A 11017-2023 FSC-klagomål.docx", "A 11017-2023")</f>
        <v/>
      </c>
      <c r="W85">
        <f>HYPERLINK("https://klasma.github.io/Logging_0382/klagomålsmail/A 11017-2023 FSC-klagomål mail.docx", "A 11017-2023")</f>
        <v/>
      </c>
      <c r="X85">
        <f>HYPERLINK("https://klasma.github.io/Logging_0382/tillsyn/A 11017-2023 tillsynsbegäran.docx", "A 11017-2023")</f>
        <v/>
      </c>
      <c r="Y85">
        <f>HYPERLINK("https://klasma.github.io/Logging_0382/tillsynsmail/A 11017-2023 tillsynsbegäran mail.docx", "A 11017-2023")</f>
        <v/>
      </c>
    </row>
    <row r="86" ht="15" customHeight="1">
      <c r="A86" t="inlineStr">
        <is>
          <t>A 70495-2021</t>
        </is>
      </c>
      <c r="B86" s="1" t="n">
        <v>44536</v>
      </c>
      <c r="C86" s="1" t="n">
        <v>46063</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52818-2022</t>
        </is>
      </c>
      <c r="B87" s="1" t="n">
        <v>44875</v>
      </c>
      <c r="C87" s="1" t="n">
        <v>46063</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10034-2023</t>
        </is>
      </c>
      <c r="B88" s="1" t="n">
        <v>44985</v>
      </c>
      <c r="C88" s="1" t="n">
        <v>46063</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46063</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30605-2025</t>
        </is>
      </c>
      <c r="B90" s="1" t="n">
        <v>45831.45510416666</v>
      </c>
      <c r="C90" s="1" t="n">
        <v>46063</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41220-2025</t>
        </is>
      </c>
      <c r="B91" s="1" t="n">
        <v>45898.58630787037</v>
      </c>
      <c r="C91" s="1" t="n">
        <v>46063</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25179-2023</t>
        </is>
      </c>
      <c r="B92" s="1" t="n">
        <v>45078</v>
      </c>
      <c r="C92" s="1" t="n">
        <v>46063</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22209-2022</t>
        </is>
      </c>
      <c r="B93" s="1" t="n">
        <v>44712</v>
      </c>
      <c r="C93" s="1" t="n">
        <v>46063</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22287-2023</t>
        </is>
      </c>
      <c r="B94" s="1" t="n">
        <v>45070</v>
      </c>
      <c r="C94" s="1" t="n">
        <v>46063</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7470-2022</t>
        </is>
      </c>
      <c r="B95" s="1" t="n">
        <v>44607</v>
      </c>
      <c r="C95" s="1" t="n">
        <v>46063</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33800-2024</t>
        </is>
      </c>
      <c r="B96" s="1" t="n">
        <v>45520</v>
      </c>
      <c r="C96" s="1" t="n">
        <v>46063</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49839-2021</t>
        </is>
      </c>
      <c r="B97" s="1" t="n">
        <v>44455</v>
      </c>
      <c r="C97" s="1" t="n">
        <v>46063</v>
      </c>
      <c r="D97" t="inlineStr">
        <is>
          <t>UPPSALA LÄN</t>
        </is>
      </c>
      <c r="E97" t="inlineStr">
        <is>
          <t>ÖSTHAMMAR</t>
        </is>
      </c>
      <c r="G97" t="n">
        <v>3.6</v>
      </c>
      <c r="H97" t="n">
        <v>0</v>
      </c>
      <c r="I97" t="n">
        <v>0</v>
      </c>
      <c r="J97" t="n">
        <v>0</v>
      </c>
      <c r="K97" t="n">
        <v>1</v>
      </c>
      <c r="L97" t="n">
        <v>0</v>
      </c>
      <c r="M97" t="n">
        <v>0</v>
      </c>
      <c r="N97" t="n">
        <v>0</v>
      </c>
      <c r="O97" t="n">
        <v>1</v>
      </c>
      <c r="P97" t="n">
        <v>1</v>
      </c>
      <c r="Q97" t="n">
        <v>1</v>
      </c>
      <c r="R97" s="2" t="inlineStr">
        <is>
          <t>Violgubbe</t>
        </is>
      </c>
      <c r="S97">
        <f>HYPERLINK("https://klasma.github.io/Logging_0382/artfynd/A 49839-2021 artfynd.xlsx", "A 49839-2021")</f>
        <v/>
      </c>
      <c r="T97">
        <f>HYPERLINK("https://klasma.github.io/Logging_0382/kartor/A 49839-2021 karta.png", "A 49839-2021")</f>
        <v/>
      </c>
      <c r="V97">
        <f>HYPERLINK("https://klasma.github.io/Logging_0382/klagomål/A 49839-2021 FSC-klagomål.docx", "A 49839-2021")</f>
        <v/>
      </c>
      <c r="W97">
        <f>HYPERLINK("https://klasma.github.io/Logging_0382/klagomålsmail/A 49839-2021 FSC-klagomål mail.docx", "A 49839-2021")</f>
        <v/>
      </c>
      <c r="X97">
        <f>HYPERLINK("https://klasma.github.io/Logging_0382/tillsyn/A 49839-2021 tillsynsbegäran.docx", "A 49839-2021")</f>
        <v/>
      </c>
      <c r="Y97">
        <f>HYPERLINK("https://klasma.github.io/Logging_0382/tillsynsmail/A 49839-2021 tillsynsbegäran mail.docx", "A 49839-2021")</f>
        <v/>
      </c>
    </row>
    <row r="98" ht="15" customHeight="1">
      <c r="A98" t="inlineStr">
        <is>
          <t>A 22375-2024</t>
        </is>
      </c>
      <c r="B98" s="1" t="n">
        <v>45446</v>
      </c>
      <c r="C98" s="1" t="n">
        <v>46063</v>
      </c>
      <c r="D98" t="inlineStr">
        <is>
          <t>UPPSALA LÄN</t>
        </is>
      </c>
      <c r="E98" t="inlineStr">
        <is>
          <t>ÖSTHAMMAR</t>
        </is>
      </c>
      <c r="F98" t="inlineStr">
        <is>
          <t>Bergvik skog öst AB</t>
        </is>
      </c>
      <c r="G98" t="n">
        <v>2.2</v>
      </c>
      <c r="H98" t="n">
        <v>0</v>
      </c>
      <c r="I98" t="n">
        <v>0</v>
      </c>
      <c r="J98" t="n">
        <v>1</v>
      </c>
      <c r="K98" t="n">
        <v>0</v>
      </c>
      <c r="L98" t="n">
        <v>0</v>
      </c>
      <c r="M98" t="n">
        <v>0</v>
      </c>
      <c r="N98" t="n">
        <v>0</v>
      </c>
      <c r="O98" t="n">
        <v>1</v>
      </c>
      <c r="P98" t="n">
        <v>0</v>
      </c>
      <c r="Q98" t="n">
        <v>1</v>
      </c>
      <c r="R98" s="2" t="inlineStr">
        <is>
          <t>Slåtterfibbla</t>
        </is>
      </c>
      <c r="S98">
        <f>HYPERLINK("https://klasma.github.io/Logging_0382/artfynd/A 22375-2024 artfynd.xlsx", "A 22375-2024")</f>
        <v/>
      </c>
      <c r="T98">
        <f>HYPERLINK("https://klasma.github.io/Logging_0382/kartor/A 22375-2024 karta.png", "A 22375-2024")</f>
        <v/>
      </c>
      <c r="V98">
        <f>HYPERLINK("https://klasma.github.io/Logging_0382/klagomål/A 22375-2024 FSC-klagomål.docx", "A 22375-2024")</f>
        <v/>
      </c>
      <c r="W98">
        <f>HYPERLINK("https://klasma.github.io/Logging_0382/klagomålsmail/A 22375-2024 FSC-klagomål mail.docx", "A 22375-2024")</f>
        <v/>
      </c>
      <c r="X98">
        <f>HYPERLINK("https://klasma.github.io/Logging_0382/tillsyn/A 22375-2024 tillsynsbegäran.docx", "A 22375-2024")</f>
        <v/>
      </c>
      <c r="Y98">
        <f>HYPERLINK("https://klasma.github.io/Logging_0382/tillsynsmail/A 22375-2024 tillsynsbegäran mail.docx", "A 22375-2024")</f>
        <v/>
      </c>
    </row>
    <row r="99" ht="15" customHeight="1">
      <c r="A99" t="inlineStr">
        <is>
          <t>A 52879-2025</t>
        </is>
      </c>
      <c r="B99" s="1" t="n">
        <v>45957.544375</v>
      </c>
      <c r="C99" s="1" t="n">
        <v>46063</v>
      </c>
      <c r="D99" t="inlineStr">
        <is>
          <t>UPPSALA LÄN</t>
        </is>
      </c>
      <c r="E99" t="inlineStr">
        <is>
          <t>ÖSTHAMMAR</t>
        </is>
      </c>
      <c r="G99" t="n">
        <v>2.2</v>
      </c>
      <c r="H99" t="n">
        <v>1</v>
      </c>
      <c r="I99" t="n">
        <v>0</v>
      </c>
      <c r="J99" t="n">
        <v>0</v>
      </c>
      <c r="K99" t="n">
        <v>0</v>
      </c>
      <c r="L99" t="n">
        <v>0</v>
      </c>
      <c r="M99" t="n">
        <v>0</v>
      </c>
      <c r="N99" t="n">
        <v>0</v>
      </c>
      <c r="O99" t="n">
        <v>0</v>
      </c>
      <c r="P99" t="n">
        <v>0</v>
      </c>
      <c r="Q99" t="n">
        <v>1</v>
      </c>
      <c r="R99" s="2" t="inlineStr">
        <is>
          <t>Blåsippa</t>
        </is>
      </c>
      <c r="S99">
        <f>HYPERLINK("https://klasma.github.io/Logging_0382/artfynd/A 52879-2025 artfynd.xlsx", "A 52879-2025")</f>
        <v/>
      </c>
      <c r="T99">
        <f>HYPERLINK("https://klasma.github.io/Logging_0382/kartor/A 52879-2025 karta.png", "A 52879-2025")</f>
        <v/>
      </c>
      <c r="V99">
        <f>HYPERLINK("https://klasma.github.io/Logging_0382/klagomål/A 52879-2025 FSC-klagomål.docx", "A 52879-2025")</f>
        <v/>
      </c>
      <c r="W99">
        <f>HYPERLINK("https://klasma.github.io/Logging_0382/klagomålsmail/A 52879-2025 FSC-klagomål mail.docx", "A 52879-2025")</f>
        <v/>
      </c>
      <c r="X99">
        <f>HYPERLINK("https://klasma.github.io/Logging_0382/tillsyn/A 52879-2025 tillsynsbegäran.docx", "A 52879-2025")</f>
        <v/>
      </c>
      <c r="Y99">
        <f>HYPERLINK("https://klasma.github.io/Logging_0382/tillsynsmail/A 52879-2025 tillsynsbegäran mail.docx", "A 52879-2025")</f>
        <v/>
      </c>
    </row>
    <row r="100" ht="15" customHeight="1">
      <c r="A100" t="inlineStr">
        <is>
          <t>A 37296-2023</t>
        </is>
      </c>
      <c r="B100" s="1" t="n">
        <v>45156</v>
      </c>
      <c r="C100" s="1" t="n">
        <v>46063</v>
      </c>
      <c r="D100" t="inlineStr">
        <is>
          <t>UPPSALA LÄN</t>
        </is>
      </c>
      <c r="E100" t="inlineStr">
        <is>
          <t>ÖSTHAMMAR</t>
        </is>
      </c>
      <c r="G100" t="n">
        <v>4.7</v>
      </c>
      <c r="H100" t="n">
        <v>1</v>
      </c>
      <c r="I100" t="n">
        <v>0</v>
      </c>
      <c r="J100" t="n">
        <v>0</v>
      </c>
      <c r="K100" t="n">
        <v>1</v>
      </c>
      <c r="L100" t="n">
        <v>0</v>
      </c>
      <c r="M100" t="n">
        <v>0</v>
      </c>
      <c r="N100" t="n">
        <v>0</v>
      </c>
      <c r="O100" t="n">
        <v>1</v>
      </c>
      <c r="P100" t="n">
        <v>1</v>
      </c>
      <c r="Q100" t="n">
        <v>1</v>
      </c>
      <c r="R100" s="2" t="inlineStr">
        <is>
          <t>Backsippa</t>
        </is>
      </c>
      <c r="S100">
        <f>HYPERLINK("https://klasma.github.io/Logging_0382/artfynd/A 37296-2023 artfynd.xlsx", "A 37296-2023")</f>
        <v/>
      </c>
      <c r="T100">
        <f>HYPERLINK("https://klasma.github.io/Logging_0382/kartor/A 37296-2023 karta.png", "A 37296-2023")</f>
        <v/>
      </c>
      <c r="V100">
        <f>HYPERLINK("https://klasma.github.io/Logging_0382/klagomål/A 37296-2023 FSC-klagomål.docx", "A 37296-2023")</f>
        <v/>
      </c>
      <c r="W100">
        <f>HYPERLINK("https://klasma.github.io/Logging_0382/klagomålsmail/A 37296-2023 FSC-klagomål mail.docx", "A 37296-2023")</f>
        <v/>
      </c>
      <c r="X100">
        <f>HYPERLINK("https://klasma.github.io/Logging_0382/tillsyn/A 37296-2023 tillsynsbegäran.docx", "A 37296-2023")</f>
        <v/>
      </c>
      <c r="Y100">
        <f>HYPERLINK("https://klasma.github.io/Logging_0382/tillsynsmail/A 37296-2023 tillsynsbegäran mail.docx", "A 37296-2023")</f>
        <v/>
      </c>
    </row>
    <row r="101" ht="15" customHeight="1">
      <c r="A101" t="inlineStr">
        <is>
          <t>A 65989-2021</t>
        </is>
      </c>
      <c r="B101" s="1" t="n">
        <v>44517</v>
      </c>
      <c r="C101" s="1" t="n">
        <v>46063</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7446-2022</t>
        </is>
      </c>
      <c r="B102" s="1" t="n">
        <v>44606</v>
      </c>
      <c r="C102" s="1" t="n">
        <v>46063</v>
      </c>
      <c r="D102" t="inlineStr">
        <is>
          <t>UPPSALA LÄN</t>
        </is>
      </c>
      <c r="E102" t="inlineStr">
        <is>
          <t>ÖSTHAMMAR</t>
        </is>
      </c>
      <c r="G102" t="n">
        <v>5</v>
      </c>
      <c r="H102" t="n">
        <v>1</v>
      </c>
      <c r="I102" t="n">
        <v>0</v>
      </c>
      <c r="J102" t="n">
        <v>0</v>
      </c>
      <c r="K102" t="n">
        <v>0</v>
      </c>
      <c r="L102" t="n">
        <v>0</v>
      </c>
      <c r="M102" t="n">
        <v>0</v>
      </c>
      <c r="N102" t="n">
        <v>0</v>
      </c>
      <c r="O102" t="n">
        <v>0</v>
      </c>
      <c r="P102" t="n">
        <v>0</v>
      </c>
      <c r="Q102" t="n">
        <v>1</v>
      </c>
      <c r="R102" s="2" t="inlineStr">
        <is>
          <t>Mattlummer</t>
        </is>
      </c>
      <c r="S102">
        <f>HYPERLINK("https://klasma.github.io/Logging_0382/artfynd/A 7446-2022 artfynd.xlsx", "A 7446-2022")</f>
        <v/>
      </c>
      <c r="T102">
        <f>HYPERLINK("https://klasma.github.io/Logging_0382/kartor/A 7446-2022 karta.png", "A 7446-2022")</f>
        <v/>
      </c>
      <c r="V102">
        <f>HYPERLINK("https://klasma.github.io/Logging_0382/klagomål/A 7446-2022 FSC-klagomål.docx", "A 7446-2022")</f>
        <v/>
      </c>
      <c r="W102">
        <f>HYPERLINK("https://klasma.github.io/Logging_0382/klagomålsmail/A 7446-2022 FSC-klagomål mail.docx", "A 7446-2022")</f>
        <v/>
      </c>
      <c r="X102">
        <f>HYPERLINK("https://klasma.github.io/Logging_0382/tillsyn/A 7446-2022 tillsynsbegäran.docx", "A 7446-2022")</f>
        <v/>
      </c>
      <c r="Y102">
        <f>HYPERLINK("https://klasma.github.io/Logging_0382/tillsynsmail/A 7446-2022 tillsynsbegäran mail.docx", "A 7446-2022")</f>
        <v/>
      </c>
    </row>
    <row r="103" ht="15" customHeight="1">
      <c r="A103" t="inlineStr">
        <is>
          <t>A 1227-2022</t>
        </is>
      </c>
      <c r="B103" s="1" t="n">
        <v>44572.57641203704</v>
      </c>
      <c r="C103" s="1" t="n">
        <v>46063</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29679-2023</t>
        </is>
      </c>
      <c r="B104" s="1" t="n">
        <v>45107</v>
      </c>
      <c r="C104" s="1" t="n">
        <v>46063</v>
      </c>
      <c r="D104" t="inlineStr">
        <is>
          <t>UPPSALA LÄN</t>
        </is>
      </c>
      <c r="E104" t="inlineStr">
        <is>
          <t>ÖSTHAMMAR</t>
        </is>
      </c>
      <c r="F104" t="inlineStr">
        <is>
          <t>Övriga Aktiebolag</t>
        </is>
      </c>
      <c r="G104" t="n">
        <v>7.3</v>
      </c>
      <c r="H104" t="n">
        <v>0</v>
      </c>
      <c r="I104" t="n">
        <v>0</v>
      </c>
      <c r="J104" t="n">
        <v>1</v>
      </c>
      <c r="K104" t="n">
        <v>0</v>
      </c>
      <c r="L104" t="n">
        <v>0</v>
      </c>
      <c r="M104" t="n">
        <v>0</v>
      </c>
      <c r="N104" t="n">
        <v>0</v>
      </c>
      <c r="O104" t="n">
        <v>1</v>
      </c>
      <c r="P104" t="n">
        <v>0</v>
      </c>
      <c r="Q104" t="n">
        <v>1</v>
      </c>
      <c r="R104" s="2" t="inlineStr">
        <is>
          <t>Vintertagging</t>
        </is>
      </c>
      <c r="S104">
        <f>HYPERLINK("https://klasma.github.io/Logging_0382/artfynd/A 29679-2023 artfynd.xlsx", "A 29679-2023")</f>
        <v/>
      </c>
      <c r="T104">
        <f>HYPERLINK("https://klasma.github.io/Logging_0382/kartor/A 29679-2023 karta.png", "A 29679-2023")</f>
        <v/>
      </c>
      <c r="V104">
        <f>HYPERLINK("https://klasma.github.io/Logging_0382/klagomål/A 29679-2023 FSC-klagomål.docx", "A 29679-2023")</f>
        <v/>
      </c>
      <c r="W104">
        <f>HYPERLINK("https://klasma.github.io/Logging_0382/klagomålsmail/A 29679-2023 FSC-klagomål mail.docx", "A 29679-2023")</f>
        <v/>
      </c>
      <c r="X104">
        <f>HYPERLINK("https://klasma.github.io/Logging_0382/tillsyn/A 29679-2023 tillsynsbegäran.docx", "A 29679-2023")</f>
        <v/>
      </c>
      <c r="Y104">
        <f>HYPERLINK("https://klasma.github.io/Logging_0382/tillsynsmail/A 29679-2023 tillsynsbegäran mail.docx", "A 29679-2023")</f>
        <v/>
      </c>
    </row>
    <row r="105" ht="15" customHeight="1">
      <c r="A105" t="inlineStr">
        <is>
          <t>A 24797-2022</t>
        </is>
      </c>
      <c r="B105" s="1" t="n">
        <v>44728</v>
      </c>
      <c r="C105" s="1" t="n">
        <v>46063</v>
      </c>
      <c r="D105" t="inlineStr">
        <is>
          <t>UPPSALA LÄN</t>
        </is>
      </c>
      <c r="E105" t="inlineStr">
        <is>
          <t>ÖSTHAMMAR</t>
        </is>
      </c>
      <c r="F105" t="inlineStr">
        <is>
          <t>Sveaskog</t>
        </is>
      </c>
      <c r="G105" t="n">
        <v>1.7</v>
      </c>
      <c r="H105" t="n">
        <v>1</v>
      </c>
      <c r="I105" t="n">
        <v>0</v>
      </c>
      <c r="J105" t="n">
        <v>1</v>
      </c>
      <c r="K105" t="n">
        <v>0</v>
      </c>
      <c r="L105" t="n">
        <v>0</v>
      </c>
      <c r="M105" t="n">
        <v>0</v>
      </c>
      <c r="N105" t="n">
        <v>0</v>
      </c>
      <c r="O105" t="n">
        <v>1</v>
      </c>
      <c r="P105" t="n">
        <v>0</v>
      </c>
      <c r="Q105" t="n">
        <v>1</v>
      </c>
      <c r="R105" s="2" t="inlineStr">
        <is>
          <t>Gulsparv</t>
        </is>
      </c>
      <c r="S105">
        <f>HYPERLINK("https://klasma.github.io/Logging_0382/artfynd/A 24797-2022 artfynd.xlsx", "A 24797-2022")</f>
        <v/>
      </c>
      <c r="T105">
        <f>HYPERLINK("https://klasma.github.io/Logging_0382/kartor/A 24797-2022 karta.png", "A 24797-2022")</f>
        <v/>
      </c>
      <c r="V105">
        <f>HYPERLINK("https://klasma.github.io/Logging_0382/klagomål/A 24797-2022 FSC-klagomål.docx", "A 24797-2022")</f>
        <v/>
      </c>
      <c r="W105">
        <f>HYPERLINK("https://klasma.github.io/Logging_0382/klagomålsmail/A 24797-2022 FSC-klagomål mail.docx", "A 24797-2022")</f>
        <v/>
      </c>
      <c r="X105">
        <f>HYPERLINK("https://klasma.github.io/Logging_0382/tillsyn/A 24797-2022 tillsynsbegäran.docx", "A 24797-2022")</f>
        <v/>
      </c>
      <c r="Y105">
        <f>HYPERLINK("https://klasma.github.io/Logging_0382/tillsynsmail/A 24797-2022 tillsynsbegäran mail.docx", "A 24797-2022")</f>
        <v/>
      </c>
      <c r="Z105">
        <f>HYPERLINK("https://klasma.github.io/Logging_0382/fåglar/A 24797-2022 prioriterade fågelarter.docx", "A 24797-2022")</f>
        <v/>
      </c>
    </row>
    <row r="106" ht="15" customHeight="1">
      <c r="A106" t="inlineStr">
        <is>
          <t>A 61410-2025</t>
        </is>
      </c>
      <c r="B106" s="1" t="n">
        <v>46001.51974537037</v>
      </c>
      <c r="C106" s="1" t="n">
        <v>46063</v>
      </c>
      <c r="D106" t="inlineStr">
        <is>
          <t>UPPSALA LÄN</t>
        </is>
      </c>
      <c r="E106" t="inlineStr">
        <is>
          <t>ÖSTHAMMAR</t>
        </is>
      </c>
      <c r="G106" t="n">
        <v>3.5</v>
      </c>
      <c r="H106" t="n">
        <v>0</v>
      </c>
      <c r="I106" t="n">
        <v>1</v>
      </c>
      <c r="J106" t="n">
        <v>0</v>
      </c>
      <c r="K106" t="n">
        <v>0</v>
      </c>
      <c r="L106" t="n">
        <v>0</v>
      </c>
      <c r="M106" t="n">
        <v>0</v>
      </c>
      <c r="N106" t="n">
        <v>0</v>
      </c>
      <c r="O106" t="n">
        <v>0</v>
      </c>
      <c r="P106" t="n">
        <v>0</v>
      </c>
      <c r="Q106" t="n">
        <v>1</v>
      </c>
      <c r="R106" s="2" t="inlineStr">
        <is>
          <t>Trådticka</t>
        </is>
      </c>
      <c r="S106">
        <f>HYPERLINK("https://klasma.github.io/Logging_0382/artfynd/A 61410-2025 artfynd.xlsx", "A 61410-2025")</f>
        <v/>
      </c>
      <c r="T106">
        <f>HYPERLINK("https://klasma.github.io/Logging_0382/kartor/A 61410-2025 karta.png", "A 61410-2025")</f>
        <v/>
      </c>
      <c r="V106">
        <f>HYPERLINK("https://klasma.github.io/Logging_0382/klagomål/A 61410-2025 FSC-klagomål.docx", "A 61410-2025")</f>
        <v/>
      </c>
      <c r="W106">
        <f>HYPERLINK("https://klasma.github.io/Logging_0382/klagomålsmail/A 61410-2025 FSC-klagomål mail.docx", "A 61410-2025")</f>
        <v/>
      </c>
      <c r="X106">
        <f>HYPERLINK("https://klasma.github.io/Logging_0382/tillsyn/A 61410-2025 tillsynsbegäran.docx", "A 61410-2025")</f>
        <v/>
      </c>
      <c r="Y106">
        <f>HYPERLINK("https://klasma.github.io/Logging_0382/tillsynsmail/A 61410-2025 tillsynsbegäran mail.docx", "A 61410-2025")</f>
        <v/>
      </c>
    </row>
    <row r="107" ht="15" customHeight="1">
      <c r="A107" t="inlineStr">
        <is>
          <t>A 4714-2026</t>
        </is>
      </c>
      <c r="B107" s="1" t="n">
        <v>46048.46175925926</v>
      </c>
      <c r="C107" s="1" t="n">
        <v>46063</v>
      </c>
      <c r="D107" t="inlineStr">
        <is>
          <t>UPPSALA LÄN</t>
        </is>
      </c>
      <c r="E107" t="inlineStr">
        <is>
          <t>ÖSTHAMMAR</t>
        </is>
      </c>
      <c r="G107" t="n">
        <v>6.3</v>
      </c>
      <c r="H107" t="n">
        <v>1</v>
      </c>
      <c r="I107" t="n">
        <v>0</v>
      </c>
      <c r="J107" t="n">
        <v>1</v>
      </c>
      <c r="K107" t="n">
        <v>0</v>
      </c>
      <c r="L107" t="n">
        <v>0</v>
      </c>
      <c r="M107" t="n">
        <v>0</v>
      </c>
      <c r="N107" t="n">
        <v>0</v>
      </c>
      <c r="O107" t="n">
        <v>1</v>
      </c>
      <c r="P107" t="n">
        <v>0</v>
      </c>
      <c r="Q107" t="n">
        <v>1</v>
      </c>
      <c r="R107" s="2" t="inlineStr">
        <is>
          <t>Nordfladdermus</t>
        </is>
      </c>
      <c r="S107">
        <f>HYPERLINK("https://klasma.github.io/Logging_0382/artfynd/A 4714-2026 artfynd.xlsx", "A 4714-2026")</f>
        <v/>
      </c>
      <c r="T107">
        <f>HYPERLINK("https://klasma.github.io/Logging_0382/kartor/A 4714-2026 karta.png", "A 4714-2026")</f>
        <v/>
      </c>
      <c r="V107">
        <f>HYPERLINK("https://klasma.github.io/Logging_0382/klagomål/A 4714-2026 FSC-klagomål.docx", "A 4714-2026")</f>
        <v/>
      </c>
      <c r="W107">
        <f>HYPERLINK("https://klasma.github.io/Logging_0382/klagomålsmail/A 4714-2026 FSC-klagomål mail.docx", "A 4714-2026")</f>
        <v/>
      </c>
      <c r="X107">
        <f>HYPERLINK("https://klasma.github.io/Logging_0382/tillsyn/A 4714-2026 tillsynsbegäran.docx", "A 4714-2026")</f>
        <v/>
      </c>
      <c r="Y107">
        <f>HYPERLINK("https://klasma.github.io/Logging_0382/tillsynsmail/A 4714-2026 tillsynsbegäran mail.docx", "A 4714-2026")</f>
        <v/>
      </c>
    </row>
    <row r="108" ht="15" customHeight="1">
      <c r="A108" t="inlineStr">
        <is>
          <t>A 34090-2023</t>
        </is>
      </c>
      <c r="B108" s="1" t="n">
        <v>45135</v>
      </c>
      <c r="C108" s="1" t="n">
        <v>46063</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61574-2025</t>
        </is>
      </c>
      <c r="B109" s="1" t="n">
        <v>46002</v>
      </c>
      <c r="C109" s="1" t="n">
        <v>46063</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6507-2026</t>
        </is>
      </c>
      <c r="B110" s="1" t="n">
        <v>46056.38474537037</v>
      </c>
      <c r="C110" s="1" t="n">
        <v>46063</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14706-2023</t>
        </is>
      </c>
      <c r="B111" s="1" t="n">
        <v>45013</v>
      </c>
      <c r="C111" s="1" t="n">
        <v>46063</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12753-2024</t>
        </is>
      </c>
      <c r="B112" s="1" t="n">
        <v>45384</v>
      </c>
      <c r="C112" s="1" t="n">
        <v>46063</v>
      </c>
      <c r="D112" t="inlineStr">
        <is>
          <t>UPPSALA LÄN</t>
        </is>
      </c>
      <c r="E112" t="inlineStr">
        <is>
          <t>ÖSTHAMMAR</t>
        </is>
      </c>
      <c r="G112" t="n">
        <v>1.7</v>
      </c>
      <c r="H112" t="n">
        <v>0</v>
      </c>
      <c r="I112" t="n">
        <v>0</v>
      </c>
      <c r="J112" t="n">
        <v>1</v>
      </c>
      <c r="K112" t="n">
        <v>0</v>
      </c>
      <c r="L112" t="n">
        <v>0</v>
      </c>
      <c r="M112" t="n">
        <v>0</v>
      </c>
      <c r="N112" t="n">
        <v>0</v>
      </c>
      <c r="O112" t="n">
        <v>1</v>
      </c>
      <c r="P112" t="n">
        <v>0</v>
      </c>
      <c r="Q112" t="n">
        <v>1</v>
      </c>
      <c r="R112" s="2" t="inlineStr">
        <is>
          <t>Flattoppad klubbsvamp</t>
        </is>
      </c>
      <c r="S112">
        <f>HYPERLINK("https://klasma.github.io/Logging_0382/artfynd/A 12753-2024 artfynd.xlsx", "A 12753-2024")</f>
        <v/>
      </c>
      <c r="T112">
        <f>HYPERLINK("https://klasma.github.io/Logging_0382/kartor/A 12753-2024 karta.png", "A 12753-2024")</f>
        <v/>
      </c>
      <c r="V112">
        <f>HYPERLINK("https://klasma.github.io/Logging_0382/klagomål/A 12753-2024 FSC-klagomål.docx", "A 12753-2024")</f>
        <v/>
      </c>
      <c r="W112">
        <f>HYPERLINK("https://klasma.github.io/Logging_0382/klagomålsmail/A 12753-2024 FSC-klagomål mail.docx", "A 12753-2024")</f>
        <v/>
      </c>
      <c r="X112">
        <f>HYPERLINK("https://klasma.github.io/Logging_0382/tillsyn/A 12753-2024 tillsynsbegäran.docx", "A 12753-2024")</f>
        <v/>
      </c>
      <c r="Y112">
        <f>HYPERLINK("https://klasma.github.io/Logging_0382/tillsynsmail/A 12753-2024 tillsynsbegäran mail.docx", "A 12753-2024")</f>
        <v/>
      </c>
    </row>
    <row r="113" ht="15" customHeight="1">
      <c r="A113" t="inlineStr">
        <is>
          <t>A 14203-2024</t>
        </is>
      </c>
      <c r="B113" s="1" t="n">
        <v>45393</v>
      </c>
      <c r="C113" s="1" t="n">
        <v>46063</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63615-2021</t>
        </is>
      </c>
      <c r="B114" s="1" t="n">
        <v>44509</v>
      </c>
      <c r="C114" s="1" t="n">
        <v>46063</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73983-2021</t>
        </is>
      </c>
      <c r="B115" s="1" t="n">
        <v>44555.80506944445</v>
      </c>
      <c r="C115" s="1" t="n">
        <v>46063</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46063</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46063</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46063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46063</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46063</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46063</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46063</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46063</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46063</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46063</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46063</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46063</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46063</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46063</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46063</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46063</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46063</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46063</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46063</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46063</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46063</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46063</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46063</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46063</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46063</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46063</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46063</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46063</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46063</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46063</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46063</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46063</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46063</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46063</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46063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46063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46063</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46063</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46063</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46063</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46063</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46063</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46063</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46063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46063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46063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46063</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46063</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46063</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46063</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46063</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46063</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46063</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46063</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46063</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46063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46063</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46063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46063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46063</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46063</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46063</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46063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46063</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46063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46063</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46063</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46063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46063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46063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46063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46063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46063</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46063</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46063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46063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46063</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46063</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46063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46063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46063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46063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46063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46063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46063</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46063</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46063</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19040-2023</t>
        </is>
      </c>
      <c r="B203" s="1" t="n">
        <v>45047</v>
      </c>
      <c r="C203" s="1" t="n">
        <v>46063</v>
      </c>
      <c r="D203" t="inlineStr">
        <is>
          <t>UPPSALA LÄN</t>
        </is>
      </c>
      <c r="E203" t="inlineStr">
        <is>
          <t>ÖSTHAMMAR</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46063</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46063</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46063</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46063</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46063</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46063</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46063</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46063</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46063</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19947-2024</t>
        </is>
      </c>
      <c r="B213" s="1" t="n">
        <v>45433</v>
      </c>
      <c r="C213" s="1" t="n">
        <v>46063</v>
      </c>
      <c r="D213" t="inlineStr">
        <is>
          <t>UPPSALA LÄN</t>
        </is>
      </c>
      <c r="E213" t="inlineStr">
        <is>
          <t>ÖSTHAMMAR</t>
        </is>
      </c>
      <c r="G213" t="n">
        <v>0.3</v>
      </c>
      <c r="H213" t="n">
        <v>0</v>
      </c>
      <c r="I213" t="n">
        <v>0</v>
      </c>
      <c r="J213" t="n">
        <v>0</v>
      </c>
      <c r="K213" t="n">
        <v>0</v>
      </c>
      <c r="L213" t="n">
        <v>0</v>
      </c>
      <c r="M213" t="n">
        <v>0</v>
      </c>
      <c r="N213" t="n">
        <v>0</v>
      </c>
      <c r="O213" t="n">
        <v>0</v>
      </c>
      <c r="P213" t="n">
        <v>0</v>
      </c>
      <c r="Q213" t="n">
        <v>0</v>
      </c>
      <c r="R213" s="2" t="inlineStr"/>
    </row>
    <row r="214" ht="15" customHeight="1">
      <c r="A214" t="inlineStr">
        <is>
          <t>A 25252-2024</t>
        </is>
      </c>
      <c r="B214" s="1" t="n">
        <v>45462</v>
      </c>
      <c r="C214" s="1" t="n">
        <v>46063</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11385-2024</t>
        </is>
      </c>
      <c r="B215" s="1" t="n">
        <v>45372</v>
      </c>
      <c r="C215" s="1" t="n">
        <v>46063</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46063</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46063</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25938-2024</t>
        </is>
      </c>
      <c r="B218" s="1" t="n">
        <v>45467.63127314814</v>
      </c>
      <c r="C218" s="1" t="n">
        <v>46063</v>
      </c>
      <c r="D218" t="inlineStr">
        <is>
          <t>UPPSALA LÄN</t>
        </is>
      </c>
      <c r="E218" t="inlineStr">
        <is>
          <t>ÖSTHAMMAR</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5877-2023</t>
        </is>
      </c>
      <c r="B219" s="1" t="n">
        <v>44963.62001157407</v>
      </c>
      <c r="C219" s="1" t="n">
        <v>46063</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46063</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46063</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5429-2023</t>
        </is>
      </c>
      <c r="B222" s="1" t="n">
        <v>44959.83037037037</v>
      </c>
      <c r="C222" s="1" t="n">
        <v>46063</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54666-2022</t>
        </is>
      </c>
      <c r="B223" s="1" t="n">
        <v>44883</v>
      </c>
      <c r="C223" s="1" t="n">
        <v>46063</v>
      </c>
      <c r="D223" t="inlineStr">
        <is>
          <t>UPPSALA LÄN</t>
        </is>
      </c>
      <c r="E223" t="inlineStr">
        <is>
          <t>ÖSTHAMMAR</t>
        </is>
      </c>
      <c r="G223" t="n">
        <v>14.3</v>
      </c>
      <c r="H223" t="n">
        <v>0</v>
      </c>
      <c r="I223" t="n">
        <v>0</v>
      </c>
      <c r="J223" t="n">
        <v>0</v>
      </c>
      <c r="K223" t="n">
        <v>0</v>
      </c>
      <c r="L223" t="n">
        <v>0</v>
      </c>
      <c r="M223" t="n">
        <v>0</v>
      </c>
      <c r="N223" t="n">
        <v>0</v>
      </c>
      <c r="O223" t="n">
        <v>0</v>
      </c>
      <c r="P223" t="n">
        <v>0</v>
      </c>
      <c r="Q223" t="n">
        <v>0</v>
      </c>
      <c r="R223" s="2" t="inlineStr"/>
    </row>
    <row r="224" ht="15" customHeight="1">
      <c r="A224" t="inlineStr">
        <is>
          <t>A 52659-2021</t>
        </is>
      </c>
      <c r="B224" s="1" t="n">
        <v>44466</v>
      </c>
      <c r="C224" s="1" t="n">
        <v>46063</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59731-2023</t>
        </is>
      </c>
      <c r="B225" s="1" t="n">
        <v>45257</v>
      </c>
      <c r="C225" s="1" t="n">
        <v>46063</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34607-2023</t>
        </is>
      </c>
      <c r="B226" s="1" t="n">
        <v>45138</v>
      </c>
      <c r="C226" s="1" t="n">
        <v>46063</v>
      </c>
      <c r="D226" t="inlineStr">
        <is>
          <t>UPPSALA LÄN</t>
        </is>
      </c>
      <c r="E226" t="inlineStr">
        <is>
          <t>ÖSTHAMMAR</t>
        </is>
      </c>
      <c r="G226" t="n">
        <v>4.7</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44894.68043981482</v>
      </c>
      <c r="C227" s="1" t="n">
        <v>46063</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56260-2022</t>
        </is>
      </c>
      <c r="B228" s="1" t="n">
        <v>44890</v>
      </c>
      <c r="C228" s="1" t="n">
        <v>46063</v>
      </c>
      <c r="D228" t="inlineStr">
        <is>
          <t>UPPSALA LÄN</t>
        </is>
      </c>
      <c r="E228" t="inlineStr">
        <is>
          <t>ÖSTHAMMAR</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7876-2023</t>
        </is>
      </c>
      <c r="B229" s="1" t="n">
        <v>44973.57263888889</v>
      </c>
      <c r="C229" s="1" t="n">
        <v>46063</v>
      </c>
      <c r="D229" t="inlineStr">
        <is>
          <t>UPPSALA LÄN</t>
        </is>
      </c>
      <c r="E229" t="inlineStr">
        <is>
          <t>ÖSTHAMMAR</t>
        </is>
      </c>
      <c r="G229" t="n">
        <v>0.9</v>
      </c>
      <c r="H229" t="n">
        <v>0</v>
      </c>
      <c r="I229" t="n">
        <v>0</v>
      </c>
      <c r="J229" t="n">
        <v>0</v>
      </c>
      <c r="K229" t="n">
        <v>0</v>
      </c>
      <c r="L229" t="n">
        <v>0</v>
      </c>
      <c r="M229" t="n">
        <v>0</v>
      </c>
      <c r="N229" t="n">
        <v>0</v>
      </c>
      <c r="O229" t="n">
        <v>0</v>
      </c>
      <c r="P229" t="n">
        <v>0</v>
      </c>
      <c r="Q229" t="n">
        <v>0</v>
      </c>
      <c r="R229" s="2" t="inlineStr"/>
    </row>
    <row r="230" ht="15" customHeight="1">
      <c r="A230" t="inlineStr">
        <is>
          <t>A 36904-2023</t>
        </is>
      </c>
      <c r="B230" s="1" t="n">
        <v>45154</v>
      </c>
      <c r="C230" s="1" t="n">
        <v>46063</v>
      </c>
      <c r="D230" t="inlineStr">
        <is>
          <t>UPPSALA LÄN</t>
        </is>
      </c>
      <c r="E230" t="inlineStr">
        <is>
          <t>ÖSTHAMMAR</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35539-2023</t>
        </is>
      </c>
      <c r="B231" s="1" t="n">
        <v>45147.37006944444</v>
      </c>
      <c r="C231" s="1" t="n">
        <v>46063</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46063</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29231-2024</t>
        </is>
      </c>
      <c r="B233" s="1" t="n">
        <v>45482</v>
      </c>
      <c r="C233" s="1" t="n">
        <v>46063</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46063</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64811-2021</t>
        </is>
      </c>
      <c r="B235" s="1" t="n">
        <v>44512</v>
      </c>
      <c r="C235" s="1" t="n">
        <v>46063</v>
      </c>
      <c r="D235" t="inlineStr">
        <is>
          <t>UPPSALA LÄN</t>
        </is>
      </c>
      <c r="E235" t="inlineStr">
        <is>
          <t>ÖSTHAMMAR</t>
        </is>
      </c>
      <c r="G235" t="n">
        <v>4.2</v>
      </c>
      <c r="H235" t="n">
        <v>0</v>
      </c>
      <c r="I235" t="n">
        <v>0</v>
      </c>
      <c r="J235" t="n">
        <v>0</v>
      </c>
      <c r="K235" t="n">
        <v>0</v>
      </c>
      <c r="L235" t="n">
        <v>0</v>
      </c>
      <c r="M235" t="n">
        <v>0</v>
      </c>
      <c r="N235" t="n">
        <v>0</v>
      </c>
      <c r="O235" t="n">
        <v>0</v>
      </c>
      <c r="P235" t="n">
        <v>0</v>
      </c>
      <c r="Q235" t="n">
        <v>0</v>
      </c>
      <c r="R235" s="2" t="inlineStr"/>
    </row>
    <row r="236" ht="15" customHeight="1">
      <c r="A236" t="inlineStr">
        <is>
          <t>A 8830-2023</t>
        </is>
      </c>
      <c r="B236" s="1" t="n">
        <v>44978</v>
      </c>
      <c r="C236" s="1" t="n">
        <v>46063</v>
      </c>
      <c r="D236" t="inlineStr">
        <is>
          <t>UPPSALA LÄN</t>
        </is>
      </c>
      <c r="E236" t="inlineStr">
        <is>
          <t>ÖSTHAMMAR</t>
        </is>
      </c>
      <c r="F236" t="inlineStr">
        <is>
          <t>Bergvik skog öst AB</t>
        </is>
      </c>
      <c r="G236" t="n">
        <v>1.6</v>
      </c>
      <c r="H236" t="n">
        <v>0</v>
      </c>
      <c r="I236" t="n">
        <v>0</v>
      </c>
      <c r="J236" t="n">
        <v>0</v>
      </c>
      <c r="K236" t="n">
        <v>0</v>
      </c>
      <c r="L236" t="n">
        <v>0</v>
      </c>
      <c r="M236" t="n">
        <v>0</v>
      </c>
      <c r="N236" t="n">
        <v>0</v>
      </c>
      <c r="O236" t="n">
        <v>0</v>
      </c>
      <c r="P236" t="n">
        <v>0</v>
      </c>
      <c r="Q236" t="n">
        <v>0</v>
      </c>
      <c r="R236" s="2" t="inlineStr"/>
    </row>
    <row r="237" ht="15" customHeight="1">
      <c r="A237" t="inlineStr">
        <is>
          <t>A 6106-2024</t>
        </is>
      </c>
      <c r="B237" s="1" t="n">
        <v>45337.36831018519</v>
      </c>
      <c r="C237" s="1" t="n">
        <v>46063</v>
      </c>
      <c r="D237" t="inlineStr">
        <is>
          <t>UPPSALA LÄN</t>
        </is>
      </c>
      <c r="E237" t="inlineStr">
        <is>
          <t>ÖSTHAMMAR</t>
        </is>
      </c>
      <c r="G237" t="n">
        <v>0.6</v>
      </c>
      <c r="H237" t="n">
        <v>0</v>
      </c>
      <c r="I237" t="n">
        <v>0</v>
      </c>
      <c r="J237" t="n">
        <v>0</v>
      </c>
      <c r="K237" t="n">
        <v>0</v>
      </c>
      <c r="L237" t="n">
        <v>0</v>
      </c>
      <c r="M237" t="n">
        <v>0</v>
      </c>
      <c r="N237" t="n">
        <v>0</v>
      </c>
      <c r="O237" t="n">
        <v>0</v>
      </c>
      <c r="P237" t="n">
        <v>0</v>
      </c>
      <c r="Q237" t="n">
        <v>0</v>
      </c>
      <c r="R237" s="2" t="inlineStr"/>
    </row>
    <row r="238" ht="15" customHeight="1">
      <c r="A238" t="inlineStr">
        <is>
          <t>A 62295-2022</t>
        </is>
      </c>
      <c r="B238" s="1" t="n">
        <v>44916</v>
      </c>
      <c r="C238" s="1" t="n">
        <v>46063</v>
      </c>
      <c r="D238" t="inlineStr">
        <is>
          <t>UPPSALA LÄN</t>
        </is>
      </c>
      <c r="E238" t="inlineStr">
        <is>
          <t>ÖSTHAMMAR</t>
        </is>
      </c>
      <c r="G238" t="n">
        <v>3.3</v>
      </c>
      <c r="H238" t="n">
        <v>0</v>
      </c>
      <c r="I238" t="n">
        <v>0</v>
      </c>
      <c r="J238" t="n">
        <v>0</v>
      </c>
      <c r="K238" t="n">
        <v>0</v>
      </c>
      <c r="L238" t="n">
        <v>0</v>
      </c>
      <c r="M238" t="n">
        <v>0</v>
      </c>
      <c r="N238" t="n">
        <v>0</v>
      </c>
      <c r="O238" t="n">
        <v>0</v>
      </c>
      <c r="P238" t="n">
        <v>0</v>
      </c>
      <c r="Q238" t="n">
        <v>0</v>
      </c>
      <c r="R238" s="2" t="inlineStr"/>
    </row>
    <row r="239" ht="15" customHeight="1">
      <c r="A239" t="inlineStr">
        <is>
          <t>A 22709-2021</t>
        </is>
      </c>
      <c r="B239" s="1" t="n">
        <v>44327.61518518518</v>
      </c>
      <c r="C239" s="1" t="n">
        <v>46063</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33550-2024</t>
        </is>
      </c>
      <c r="B240" s="1" t="n">
        <v>45519.81043981481</v>
      </c>
      <c r="C240" s="1" t="n">
        <v>46063</v>
      </c>
      <c r="D240" t="inlineStr">
        <is>
          <t>UPPSALA LÄN</t>
        </is>
      </c>
      <c r="E240" t="inlineStr">
        <is>
          <t>ÖSTHAMMAR</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7543-2023</t>
        </is>
      </c>
      <c r="B241" s="1" t="n">
        <v>44972</v>
      </c>
      <c r="C241" s="1" t="n">
        <v>46063</v>
      </c>
      <c r="D241" t="inlineStr">
        <is>
          <t>UPPSALA LÄN</t>
        </is>
      </c>
      <c r="E241" t="inlineStr">
        <is>
          <t>ÖSTHAMMAR</t>
        </is>
      </c>
      <c r="F241" t="inlineStr">
        <is>
          <t>Bergvik skog öst AB</t>
        </is>
      </c>
      <c r="G241" t="n">
        <v>13.3</v>
      </c>
      <c r="H241" t="n">
        <v>0</v>
      </c>
      <c r="I241" t="n">
        <v>0</v>
      </c>
      <c r="J241" t="n">
        <v>0</v>
      </c>
      <c r="K241" t="n">
        <v>0</v>
      </c>
      <c r="L241" t="n">
        <v>0</v>
      </c>
      <c r="M241" t="n">
        <v>0</v>
      </c>
      <c r="N241" t="n">
        <v>0</v>
      </c>
      <c r="O241" t="n">
        <v>0</v>
      </c>
      <c r="P241" t="n">
        <v>0</v>
      </c>
      <c r="Q241" t="n">
        <v>0</v>
      </c>
      <c r="R241" s="2" t="inlineStr"/>
    </row>
    <row r="242" ht="15" customHeight="1">
      <c r="A242" t="inlineStr">
        <is>
          <t>A 32815-2024</t>
        </is>
      </c>
      <c r="B242" s="1" t="n">
        <v>45516.57682870371</v>
      </c>
      <c r="C242" s="1" t="n">
        <v>46063</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32884-2024</t>
        </is>
      </c>
      <c r="B243" s="1" t="n">
        <v>45516.72097222223</v>
      </c>
      <c r="C243" s="1" t="n">
        <v>46063</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20634-2024</t>
        </is>
      </c>
      <c r="B244" s="1" t="n">
        <v>45436</v>
      </c>
      <c r="C244" s="1" t="n">
        <v>46063</v>
      </c>
      <c r="D244" t="inlineStr">
        <is>
          <t>UPPSALA LÄN</t>
        </is>
      </c>
      <c r="E244" t="inlineStr">
        <is>
          <t>ÖSTHAMMAR</t>
        </is>
      </c>
      <c r="G244" t="n">
        <v>6.5</v>
      </c>
      <c r="H244" t="n">
        <v>0</v>
      </c>
      <c r="I244" t="n">
        <v>0</v>
      </c>
      <c r="J244" t="n">
        <v>0</v>
      </c>
      <c r="K244" t="n">
        <v>0</v>
      </c>
      <c r="L244" t="n">
        <v>0</v>
      </c>
      <c r="M244" t="n">
        <v>0</v>
      </c>
      <c r="N244" t="n">
        <v>0</v>
      </c>
      <c r="O244" t="n">
        <v>0</v>
      </c>
      <c r="P244" t="n">
        <v>0</v>
      </c>
      <c r="Q244" t="n">
        <v>0</v>
      </c>
      <c r="R244" s="2" t="inlineStr"/>
    </row>
    <row r="245" ht="15" customHeight="1">
      <c r="A245" t="inlineStr">
        <is>
          <t>A 61261-2022</t>
        </is>
      </c>
      <c r="B245" s="1" t="n">
        <v>44915.59645833333</v>
      </c>
      <c r="C245" s="1" t="n">
        <v>46063</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4984-2024</t>
        </is>
      </c>
      <c r="B246" s="1" t="n">
        <v>45329</v>
      </c>
      <c r="C246" s="1" t="n">
        <v>46063</v>
      </c>
      <c r="D246" t="inlineStr">
        <is>
          <t>UPPSALA LÄN</t>
        </is>
      </c>
      <c r="E246" t="inlineStr">
        <is>
          <t>ÖSTHAMMAR</t>
        </is>
      </c>
      <c r="G246" t="n">
        <v>2.2</v>
      </c>
      <c r="H246" t="n">
        <v>0</v>
      </c>
      <c r="I246" t="n">
        <v>0</v>
      </c>
      <c r="J246" t="n">
        <v>0</v>
      </c>
      <c r="K246" t="n">
        <v>0</v>
      </c>
      <c r="L246" t="n">
        <v>0</v>
      </c>
      <c r="M246" t="n">
        <v>0</v>
      </c>
      <c r="N246" t="n">
        <v>0</v>
      </c>
      <c r="O246" t="n">
        <v>0</v>
      </c>
      <c r="P246" t="n">
        <v>0</v>
      </c>
      <c r="Q246" t="n">
        <v>0</v>
      </c>
      <c r="R246" s="2" t="inlineStr"/>
    </row>
    <row r="247" ht="15" customHeight="1">
      <c r="A247" t="inlineStr">
        <is>
          <t>A 52650-2022</t>
        </is>
      </c>
      <c r="B247" s="1" t="n">
        <v>44874</v>
      </c>
      <c r="C247" s="1" t="n">
        <v>46063</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52661-2022</t>
        </is>
      </c>
      <c r="B248" s="1" t="n">
        <v>44874</v>
      </c>
      <c r="C248" s="1" t="n">
        <v>46063</v>
      </c>
      <c r="D248" t="inlineStr">
        <is>
          <t>UPPSALA LÄN</t>
        </is>
      </c>
      <c r="E248" t="inlineStr">
        <is>
          <t>ÖSTHAMMAR</t>
        </is>
      </c>
      <c r="F248" t="inlineStr">
        <is>
          <t>Bergvik skog öst AB</t>
        </is>
      </c>
      <c r="G248" t="n">
        <v>0.2</v>
      </c>
      <c r="H248" t="n">
        <v>0</v>
      </c>
      <c r="I248" t="n">
        <v>0</v>
      </c>
      <c r="J248" t="n">
        <v>0</v>
      </c>
      <c r="K248" t="n">
        <v>0</v>
      </c>
      <c r="L248" t="n">
        <v>0</v>
      </c>
      <c r="M248" t="n">
        <v>0</v>
      </c>
      <c r="N248" t="n">
        <v>0</v>
      </c>
      <c r="O248" t="n">
        <v>0</v>
      </c>
      <c r="P248" t="n">
        <v>0</v>
      </c>
      <c r="Q248" t="n">
        <v>0</v>
      </c>
      <c r="R248" s="2" t="inlineStr"/>
    </row>
    <row r="249" ht="15" customHeight="1">
      <c r="A249" t="inlineStr">
        <is>
          <t>A 38003-2024</t>
        </is>
      </c>
      <c r="B249" s="1" t="n">
        <v>45544</v>
      </c>
      <c r="C249" s="1" t="n">
        <v>46063</v>
      </c>
      <c r="D249" t="inlineStr">
        <is>
          <t>UPPSALA LÄN</t>
        </is>
      </c>
      <c r="E249" t="inlineStr">
        <is>
          <t>ÖSTHAMMAR</t>
        </is>
      </c>
      <c r="F249" t="inlineStr">
        <is>
          <t>Naturvårdsverket</t>
        </is>
      </c>
      <c r="G249" t="n">
        <v>4.2</v>
      </c>
      <c r="H249" t="n">
        <v>0</v>
      </c>
      <c r="I249" t="n">
        <v>0</v>
      </c>
      <c r="J249" t="n">
        <v>0</v>
      </c>
      <c r="K249" t="n">
        <v>0</v>
      </c>
      <c r="L249" t="n">
        <v>0</v>
      </c>
      <c r="M249" t="n">
        <v>0</v>
      </c>
      <c r="N249" t="n">
        <v>0</v>
      </c>
      <c r="O249" t="n">
        <v>0</v>
      </c>
      <c r="P249" t="n">
        <v>0</v>
      </c>
      <c r="Q249" t="n">
        <v>0</v>
      </c>
      <c r="R249" s="2" t="inlineStr"/>
    </row>
    <row r="250" ht="15" customHeight="1">
      <c r="A250" t="inlineStr">
        <is>
          <t>A 3732-2022</t>
        </is>
      </c>
      <c r="B250" s="1" t="n">
        <v>44586.64851851852</v>
      </c>
      <c r="C250" s="1" t="n">
        <v>46063</v>
      </c>
      <c r="D250" t="inlineStr">
        <is>
          <t>UPPSALA LÄN</t>
        </is>
      </c>
      <c r="E250" t="inlineStr">
        <is>
          <t>ÖSTHAMMAR</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1575-2025</t>
        </is>
      </c>
      <c r="B251" s="1" t="n">
        <v>45670</v>
      </c>
      <c r="C251" s="1" t="n">
        <v>46063</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16141-2022</t>
        </is>
      </c>
      <c r="B252" s="1" t="n">
        <v>44665</v>
      </c>
      <c r="C252" s="1" t="n">
        <v>46063</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28152-2024</t>
        </is>
      </c>
      <c r="B253" s="1" t="n">
        <v>45476.77056712963</v>
      </c>
      <c r="C253" s="1" t="n">
        <v>46063</v>
      </c>
      <c r="D253" t="inlineStr">
        <is>
          <t>UPPSALA LÄN</t>
        </is>
      </c>
      <c r="E253" t="inlineStr">
        <is>
          <t>ÖSTHAMMAR</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2839-2025</t>
        </is>
      </c>
      <c r="B254" s="1" t="n">
        <v>45677</v>
      </c>
      <c r="C254" s="1" t="n">
        <v>46063</v>
      </c>
      <c r="D254" t="inlineStr">
        <is>
          <t>UPPSALA LÄN</t>
        </is>
      </c>
      <c r="E254" t="inlineStr">
        <is>
          <t>ÖSTHAMMAR</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2947-2025</t>
        </is>
      </c>
      <c r="B255" s="1" t="n">
        <v>45678</v>
      </c>
      <c r="C255" s="1" t="n">
        <v>46063</v>
      </c>
      <c r="D255" t="inlineStr">
        <is>
          <t>UPPSALA LÄN</t>
        </is>
      </c>
      <c r="E255" t="inlineStr">
        <is>
          <t>ÖSTHAMMAR</t>
        </is>
      </c>
      <c r="G255" t="n">
        <v>3.6</v>
      </c>
      <c r="H255" t="n">
        <v>0</v>
      </c>
      <c r="I255" t="n">
        <v>0</v>
      </c>
      <c r="J255" t="n">
        <v>0</v>
      </c>
      <c r="K255" t="n">
        <v>0</v>
      </c>
      <c r="L255" t="n">
        <v>0</v>
      </c>
      <c r="M255" t="n">
        <v>0</v>
      </c>
      <c r="N255" t="n">
        <v>0</v>
      </c>
      <c r="O255" t="n">
        <v>0</v>
      </c>
      <c r="P255" t="n">
        <v>0</v>
      </c>
      <c r="Q255" t="n">
        <v>0</v>
      </c>
      <c r="R255" s="2" t="inlineStr"/>
    </row>
    <row r="256" ht="15" customHeight="1">
      <c r="A256" t="inlineStr">
        <is>
          <t>A 57453-2022</t>
        </is>
      </c>
      <c r="B256" s="1" t="n">
        <v>44896.56266203704</v>
      </c>
      <c r="C256" s="1" t="n">
        <v>46063</v>
      </c>
      <c r="D256" t="inlineStr">
        <is>
          <t>UPPSALA LÄN</t>
        </is>
      </c>
      <c r="E256" t="inlineStr">
        <is>
          <t>ÖSTHAMMAR</t>
        </is>
      </c>
      <c r="G256" t="n">
        <v>1.7</v>
      </c>
      <c r="H256" t="n">
        <v>0</v>
      </c>
      <c r="I256" t="n">
        <v>0</v>
      </c>
      <c r="J256" t="n">
        <v>0</v>
      </c>
      <c r="K256" t="n">
        <v>0</v>
      </c>
      <c r="L256" t="n">
        <v>0</v>
      </c>
      <c r="M256" t="n">
        <v>0</v>
      </c>
      <c r="N256" t="n">
        <v>0</v>
      </c>
      <c r="O256" t="n">
        <v>0</v>
      </c>
      <c r="P256" t="n">
        <v>0</v>
      </c>
      <c r="Q256" t="n">
        <v>0</v>
      </c>
      <c r="R256" s="2" t="inlineStr"/>
    </row>
    <row r="257" ht="15" customHeight="1">
      <c r="A257" t="inlineStr">
        <is>
          <t>A 57462-2022</t>
        </is>
      </c>
      <c r="B257" s="1" t="n">
        <v>44896.57527777777</v>
      </c>
      <c r="C257" s="1" t="n">
        <v>46063</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61817-2021</t>
        </is>
      </c>
      <c r="B258" s="1" t="n">
        <v>44501.76855324074</v>
      </c>
      <c r="C258" s="1" t="n">
        <v>46063</v>
      </c>
      <c r="D258" t="inlineStr">
        <is>
          <t>UPPSALA LÄN</t>
        </is>
      </c>
      <c r="E258" t="inlineStr">
        <is>
          <t>ÖSTHAMMAR</t>
        </is>
      </c>
      <c r="F258" t="inlineStr">
        <is>
          <t>Bergvik skog öst AB</t>
        </is>
      </c>
      <c r="G258" t="n">
        <v>2.3</v>
      </c>
      <c r="H258" t="n">
        <v>0</v>
      </c>
      <c r="I258" t="n">
        <v>0</v>
      </c>
      <c r="J258" t="n">
        <v>0</v>
      </c>
      <c r="K258" t="n">
        <v>0</v>
      </c>
      <c r="L258" t="n">
        <v>0</v>
      </c>
      <c r="M258" t="n">
        <v>0</v>
      </c>
      <c r="N258" t="n">
        <v>0</v>
      </c>
      <c r="O258" t="n">
        <v>0</v>
      </c>
      <c r="P258" t="n">
        <v>0</v>
      </c>
      <c r="Q258" t="n">
        <v>0</v>
      </c>
      <c r="R258" s="2" t="inlineStr"/>
    </row>
    <row r="259" ht="15" customHeight="1">
      <c r="A259" t="inlineStr">
        <is>
          <t>A 73982-2021</t>
        </is>
      </c>
      <c r="B259" s="1" t="n">
        <v>44555.80339120371</v>
      </c>
      <c r="C259" s="1" t="n">
        <v>46063</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14859-2025</t>
        </is>
      </c>
      <c r="B260" s="1" t="n">
        <v>45743.42427083333</v>
      </c>
      <c r="C260" s="1" t="n">
        <v>46063</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14272-2025</t>
        </is>
      </c>
      <c r="B261" s="1" t="n">
        <v>45740.64327546296</v>
      </c>
      <c r="C261" s="1" t="n">
        <v>46063</v>
      </c>
      <c r="D261" t="inlineStr">
        <is>
          <t>UPPSALA LÄN</t>
        </is>
      </c>
      <c r="E261" t="inlineStr">
        <is>
          <t>ÖSTHAMMAR</t>
        </is>
      </c>
      <c r="G261" t="n">
        <v>5.7</v>
      </c>
      <c r="H261" t="n">
        <v>0</v>
      </c>
      <c r="I261" t="n">
        <v>0</v>
      </c>
      <c r="J261" t="n">
        <v>0</v>
      </c>
      <c r="K261" t="n">
        <v>0</v>
      </c>
      <c r="L261" t="n">
        <v>0</v>
      </c>
      <c r="M261" t="n">
        <v>0</v>
      </c>
      <c r="N261" t="n">
        <v>0</v>
      </c>
      <c r="O261" t="n">
        <v>0</v>
      </c>
      <c r="P261" t="n">
        <v>0</v>
      </c>
      <c r="Q261" t="n">
        <v>0</v>
      </c>
      <c r="R261" s="2" t="inlineStr"/>
    </row>
    <row r="262" ht="15" customHeight="1">
      <c r="A262" t="inlineStr">
        <is>
          <t>A 27660-2023</t>
        </is>
      </c>
      <c r="B262" s="1" t="n">
        <v>45097</v>
      </c>
      <c r="C262" s="1" t="n">
        <v>46063</v>
      </c>
      <c r="D262" t="inlineStr">
        <is>
          <t>UPPSALA LÄN</t>
        </is>
      </c>
      <c r="E262" t="inlineStr">
        <is>
          <t>ÖSTHAMMAR</t>
        </is>
      </c>
      <c r="G262" t="n">
        <v>2.8</v>
      </c>
      <c r="H262" t="n">
        <v>0</v>
      </c>
      <c r="I262" t="n">
        <v>0</v>
      </c>
      <c r="J262" t="n">
        <v>0</v>
      </c>
      <c r="K262" t="n">
        <v>0</v>
      </c>
      <c r="L262" t="n">
        <v>0</v>
      </c>
      <c r="M262" t="n">
        <v>0</v>
      </c>
      <c r="N262" t="n">
        <v>0</v>
      </c>
      <c r="O262" t="n">
        <v>0</v>
      </c>
      <c r="P262" t="n">
        <v>0</v>
      </c>
      <c r="Q262" t="n">
        <v>0</v>
      </c>
      <c r="R262" s="2" t="inlineStr"/>
    </row>
    <row r="263" ht="15" customHeight="1">
      <c r="A263" t="inlineStr">
        <is>
          <t>A 27919-2025</t>
        </is>
      </c>
      <c r="B263" s="1" t="n">
        <v>45817.48384259259</v>
      </c>
      <c r="C263" s="1" t="n">
        <v>46063</v>
      </c>
      <c r="D263" t="inlineStr">
        <is>
          <t>UPPSALA LÄN</t>
        </is>
      </c>
      <c r="E263" t="inlineStr">
        <is>
          <t>ÖSTHAMMAR</t>
        </is>
      </c>
      <c r="F263" t="inlineStr">
        <is>
          <t>Bergvik skog öst AB</t>
        </is>
      </c>
      <c r="G263" t="n">
        <v>3.5</v>
      </c>
      <c r="H263" t="n">
        <v>0</v>
      </c>
      <c r="I263" t="n">
        <v>0</v>
      </c>
      <c r="J263" t="n">
        <v>0</v>
      </c>
      <c r="K263" t="n">
        <v>0</v>
      </c>
      <c r="L263" t="n">
        <v>0</v>
      </c>
      <c r="M263" t="n">
        <v>0</v>
      </c>
      <c r="N263" t="n">
        <v>0</v>
      </c>
      <c r="O263" t="n">
        <v>0</v>
      </c>
      <c r="P263" t="n">
        <v>0</v>
      </c>
      <c r="Q263" t="n">
        <v>0</v>
      </c>
      <c r="R263" s="2" t="inlineStr"/>
    </row>
    <row r="264" ht="15" customHeight="1">
      <c r="A264" t="inlineStr">
        <is>
          <t>A 27853-2025</t>
        </is>
      </c>
      <c r="B264" s="1" t="n">
        <v>45817.40178240741</v>
      </c>
      <c r="C264" s="1" t="n">
        <v>46063</v>
      </c>
      <c r="D264" t="inlineStr">
        <is>
          <t>UPPSALA LÄN</t>
        </is>
      </c>
      <c r="E264" t="inlineStr">
        <is>
          <t>ÖSTHAMMAR</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27509-2025</t>
        </is>
      </c>
      <c r="B265" s="1" t="n">
        <v>45813.4278125</v>
      </c>
      <c r="C265" s="1" t="n">
        <v>46063</v>
      </c>
      <c r="D265" t="inlineStr">
        <is>
          <t>UPPSALA LÄN</t>
        </is>
      </c>
      <c r="E265" t="inlineStr">
        <is>
          <t>ÖSTHAMMAR</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28745-2025</t>
        </is>
      </c>
      <c r="B266" s="1" t="n">
        <v>45820.39076388889</v>
      </c>
      <c r="C266" s="1" t="n">
        <v>46063</v>
      </c>
      <c r="D266" t="inlineStr">
        <is>
          <t>UPPSALA LÄN</t>
        </is>
      </c>
      <c r="E266" t="inlineStr">
        <is>
          <t>ÖSTHAMMAR</t>
        </is>
      </c>
      <c r="G266" t="n">
        <v>1.7</v>
      </c>
      <c r="H266" t="n">
        <v>0</v>
      </c>
      <c r="I266" t="n">
        <v>0</v>
      </c>
      <c r="J266" t="n">
        <v>0</v>
      </c>
      <c r="K266" t="n">
        <v>0</v>
      </c>
      <c r="L266" t="n">
        <v>0</v>
      </c>
      <c r="M266" t="n">
        <v>0</v>
      </c>
      <c r="N266" t="n">
        <v>0</v>
      </c>
      <c r="O266" t="n">
        <v>0</v>
      </c>
      <c r="P266" t="n">
        <v>0</v>
      </c>
      <c r="Q266" t="n">
        <v>0</v>
      </c>
      <c r="R266" s="2" t="inlineStr"/>
    </row>
    <row r="267" ht="15" customHeight="1">
      <c r="A267" t="inlineStr">
        <is>
          <t>A 28748-2025</t>
        </is>
      </c>
      <c r="B267" s="1" t="n">
        <v>45820.39540509259</v>
      </c>
      <c r="C267" s="1" t="n">
        <v>46063</v>
      </c>
      <c r="D267" t="inlineStr">
        <is>
          <t>UPPSALA LÄN</t>
        </is>
      </c>
      <c r="E267" t="inlineStr">
        <is>
          <t>ÖSTHAMMAR</t>
        </is>
      </c>
      <c r="G267" t="n">
        <v>2</v>
      </c>
      <c r="H267" t="n">
        <v>0</v>
      </c>
      <c r="I267" t="n">
        <v>0</v>
      </c>
      <c r="J267" t="n">
        <v>0</v>
      </c>
      <c r="K267" t="n">
        <v>0</v>
      </c>
      <c r="L267" t="n">
        <v>0</v>
      </c>
      <c r="M267" t="n">
        <v>0</v>
      </c>
      <c r="N267" t="n">
        <v>0</v>
      </c>
      <c r="O267" t="n">
        <v>0</v>
      </c>
      <c r="P267" t="n">
        <v>0</v>
      </c>
      <c r="Q267" t="n">
        <v>0</v>
      </c>
      <c r="R267" s="2" t="inlineStr"/>
    </row>
    <row r="268" ht="15" customHeight="1">
      <c r="A268" t="inlineStr">
        <is>
          <t>A 74429-2021</t>
        </is>
      </c>
      <c r="B268" s="1" t="n">
        <v>44560.43136574074</v>
      </c>
      <c r="C268" s="1" t="n">
        <v>46063</v>
      </c>
      <c r="D268" t="inlineStr">
        <is>
          <t>UPPSALA LÄN</t>
        </is>
      </c>
      <c r="E268" t="inlineStr">
        <is>
          <t>ÖSTHAMMAR</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62394-2022</t>
        </is>
      </c>
      <c r="B269" s="1" t="n">
        <v>44923.82017361111</v>
      </c>
      <c r="C269" s="1" t="n">
        <v>46063</v>
      </c>
      <c r="D269" t="inlineStr">
        <is>
          <t>UPPSALA LÄN</t>
        </is>
      </c>
      <c r="E269" t="inlineStr">
        <is>
          <t>ÖSTHAMMAR</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28442-2025</t>
        </is>
      </c>
      <c r="B270" s="1" t="n">
        <v>45819</v>
      </c>
      <c r="C270" s="1" t="n">
        <v>46063</v>
      </c>
      <c r="D270" t="inlineStr">
        <is>
          <t>UPPSALA LÄN</t>
        </is>
      </c>
      <c r="E270" t="inlineStr">
        <is>
          <t>ÖSTHAMMAR</t>
        </is>
      </c>
      <c r="F270" t="inlineStr">
        <is>
          <t>Övriga Aktiebolag</t>
        </is>
      </c>
      <c r="G270" t="n">
        <v>1.8</v>
      </c>
      <c r="H270" t="n">
        <v>0</v>
      </c>
      <c r="I270" t="n">
        <v>0</v>
      </c>
      <c r="J270" t="n">
        <v>0</v>
      </c>
      <c r="K270" t="n">
        <v>0</v>
      </c>
      <c r="L270" t="n">
        <v>0</v>
      </c>
      <c r="M270" t="n">
        <v>0</v>
      </c>
      <c r="N270" t="n">
        <v>0</v>
      </c>
      <c r="O270" t="n">
        <v>0</v>
      </c>
      <c r="P270" t="n">
        <v>0</v>
      </c>
      <c r="Q270" t="n">
        <v>0</v>
      </c>
      <c r="R270" s="2" t="inlineStr"/>
    </row>
    <row r="271" ht="15" customHeight="1">
      <c r="A271" t="inlineStr">
        <is>
          <t>A 23728-2025</t>
        </is>
      </c>
      <c r="B271" s="1" t="n">
        <v>45793.41719907407</v>
      </c>
      <c r="C271" s="1" t="n">
        <v>46063</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28739-2025</t>
        </is>
      </c>
      <c r="B272" s="1" t="n">
        <v>45820</v>
      </c>
      <c r="C272" s="1" t="n">
        <v>46063</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27486-2025</t>
        </is>
      </c>
      <c r="B273" s="1" t="n">
        <v>45813.38521990741</v>
      </c>
      <c r="C273" s="1" t="n">
        <v>46063</v>
      </c>
      <c r="D273" t="inlineStr">
        <is>
          <t>UPPSALA LÄN</t>
        </is>
      </c>
      <c r="E273" t="inlineStr">
        <is>
          <t>ÖSTHAMMAR</t>
        </is>
      </c>
      <c r="F273" t="inlineStr">
        <is>
          <t>Bergvik skog öst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29029-2025</t>
        </is>
      </c>
      <c r="B274" s="1" t="n">
        <v>45821.43973379629</v>
      </c>
      <c r="C274" s="1" t="n">
        <v>46063</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29028-2025</t>
        </is>
      </c>
      <c r="B275" s="1" t="n">
        <v>45821.4384375</v>
      </c>
      <c r="C275" s="1" t="n">
        <v>46063</v>
      </c>
      <c r="D275" t="inlineStr">
        <is>
          <t>UPPSALA LÄN</t>
        </is>
      </c>
      <c r="E275" t="inlineStr">
        <is>
          <t>ÖSTHAMMAR</t>
        </is>
      </c>
      <c r="F275" t="inlineStr">
        <is>
          <t>Bergvik skog öst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29031-2025</t>
        </is>
      </c>
      <c r="B276" s="1" t="n">
        <v>45821.44159722222</v>
      </c>
      <c r="C276" s="1" t="n">
        <v>46063</v>
      </c>
      <c r="D276" t="inlineStr">
        <is>
          <t>UPPSALA LÄN</t>
        </is>
      </c>
      <c r="E276" t="inlineStr">
        <is>
          <t>ÖSTHAMMAR</t>
        </is>
      </c>
      <c r="F276" t="inlineStr">
        <is>
          <t>Bergvik skog öst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27490-2025</t>
        </is>
      </c>
      <c r="B277" s="1" t="n">
        <v>45813.39273148148</v>
      </c>
      <c r="C277" s="1" t="n">
        <v>46063</v>
      </c>
      <c r="D277" t="inlineStr">
        <is>
          <t>UPPSALA LÄN</t>
        </is>
      </c>
      <c r="E277" t="inlineStr">
        <is>
          <t>ÖSTHAMMAR</t>
        </is>
      </c>
      <c r="F277" t="inlineStr">
        <is>
          <t>Bergvik skog öst AB</t>
        </is>
      </c>
      <c r="G277" t="n">
        <v>6.1</v>
      </c>
      <c r="H277" t="n">
        <v>0</v>
      </c>
      <c r="I277" t="n">
        <v>0</v>
      </c>
      <c r="J277" t="n">
        <v>0</v>
      </c>
      <c r="K277" t="n">
        <v>0</v>
      </c>
      <c r="L277" t="n">
        <v>0</v>
      </c>
      <c r="M277" t="n">
        <v>0</v>
      </c>
      <c r="N277" t="n">
        <v>0</v>
      </c>
      <c r="O277" t="n">
        <v>0</v>
      </c>
      <c r="P277" t="n">
        <v>0</v>
      </c>
      <c r="Q277" t="n">
        <v>0</v>
      </c>
      <c r="R277" s="2" t="inlineStr"/>
    </row>
    <row r="278" ht="15" customHeight="1">
      <c r="A278" t="inlineStr">
        <is>
          <t>A 27494-2025</t>
        </is>
      </c>
      <c r="B278" s="1" t="n">
        <v>45813.39756944445</v>
      </c>
      <c r="C278" s="1" t="n">
        <v>46063</v>
      </c>
      <c r="D278" t="inlineStr">
        <is>
          <t>UPPSALA LÄN</t>
        </is>
      </c>
      <c r="E278" t="inlineStr">
        <is>
          <t>ÖSTHAMMAR</t>
        </is>
      </c>
      <c r="F278" t="inlineStr">
        <is>
          <t>Bergvik skog öst AB</t>
        </is>
      </c>
      <c r="G278" t="n">
        <v>23.4</v>
      </c>
      <c r="H278" t="n">
        <v>0</v>
      </c>
      <c r="I278" t="n">
        <v>0</v>
      </c>
      <c r="J278" t="n">
        <v>0</v>
      </c>
      <c r="K278" t="n">
        <v>0</v>
      </c>
      <c r="L278" t="n">
        <v>0</v>
      </c>
      <c r="M278" t="n">
        <v>0</v>
      </c>
      <c r="N278" t="n">
        <v>0</v>
      </c>
      <c r="O278" t="n">
        <v>0</v>
      </c>
      <c r="P278" t="n">
        <v>0</v>
      </c>
      <c r="Q278" t="n">
        <v>0</v>
      </c>
      <c r="R278" s="2" t="inlineStr"/>
    </row>
    <row r="279" ht="15" customHeight="1">
      <c r="A279" t="inlineStr">
        <is>
          <t>A 29384-2025</t>
        </is>
      </c>
      <c r="B279" s="1" t="n">
        <v>45824</v>
      </c>
      <c r="C279" s="1" t="n">
        <v>46063</v>
      </c>
      <c r="D279" t="inlineStr">
        <is>
          <t>UPPSALA LÄN</t>
        </is>
      </c>
      <c r="E279" t="inlineStr">
        <is>
          <t>ÖSTHAMMAR</t>
        </is>
      </c>
      <c r="G279" t="n">
        <v>3.1</v>
      </c>
      <c r="H279" t="n">
        <v>0</v>
      </c>
      <c r="I279" t="n">
        <v>0</v>
      </c>
      <c r="J279" t="n">
        <v>0</v>
      </c>
      <c r="K279" t="n">
        <v>0</v>
      </c>
      <c r="L279" t="n">
        <v>0</v>
      </c>
      <c r="M279" t="n">
        <v>0</v>
      </c>
      <c r="N279" t="n">
        <v>0</v>
      </c>
      <c r="O279" t="n">
        <v>0</v>
      </c>
      <c r="P279" t="n">
        <v>0</v>
      </c>
      <c r="Q279" t="n">
        <v>0</v>
      </c>
      <c r="R279" s="2" t="inlineStr"/>
    </row>
    <row r="280" ht="15" customHeight="1">
      <c r="A280" t="inlineStr">
        <is>
          <t>A 29024-2025</t>
        </is>
      </c>
      <c r="B280" s="1" t="n">
        <v>45821.43233796296</v>
      </c>
      <c r="C280" s="1" t="n">
        <v>46063</v>
      </c>
      <c r="D280" t="inlineStr">
        <is>
          <t>UPPSALA LÄN</t>
        </is>
      </c>
      <c r="E280" t="inlineStr">
        <is>
          <t>ÖSTHAMMAR</t>
        </is>
      </c>
      <c r="G280" t="n">
        <v>1</v>
      </c>
      <c r="H280" t="n">
        <v>0</v>
      </c>
      <c r="I280" t="n">
        <v>0</v>
      </c>
      <c r="J280" t="n">
        <v>0</v>
      </c>
      <c r="K280" t="n">
        <v>0</v>
      </c>
      <c r="L280" t="n">
        <v>0</v>
      </c>
      <c r="M280" t="n">
        <v>0</v>
      </c>
      <c r="N280" t="n">
        <v>0</v>
      </c>
      <c r="O280" t="n">
        <v>0</v>
      </c>
      <c r="P280" t="n">
        <v>0</v>
      </c>
      <c r="Q280" t="n">
        <v>0</v>
      </c>
      <c r="R280" s="2" t="inlineStr"/>
    </row>
    <row r="281" ht="15" customHeight="1">
      <c r="A281" t="inlineStr">
        <is>
          <t>A 6153-2022</t>
        </is>
      </c>
      <c r="B281" s="1" t="n">
        <v>44599</v>
      </c>
      <c r="C281" s="1" t="n">
        <v>46063</v>
      </c>
      <c r="D281" t="inlineStr">
        <is>
          <t>UPPSALA LÄN</t>
        </is>
      </c>
      <c r="E281" t="inlineStr">
        <is>
          <t>ÖSTHAMMAR</t>
        </is>
      </c>
      <c r="G281" t="n">
        <v>1.2</v>
      </c>
      <c r="H281" t="n">
        <v>0</v>
      </c>
      <c r="I281" t="n">
        <v>0</v>
      </c>
      <c r="J281" t="n">
        <v>0</v>
      </c>
      <c r="K281" t="n">
        <v>0</v>
      </c>
      <c r="L281" t="n">
        <v>0</v>
      </c>
      <c r="M281" t="n">
        <v>0</v>
      </c>
      <c r="N281" t="n">
        <v>0</v>
      </c>
      <c r="O281" t="n">
        <v>0</v>
      </c>
      <c r="P281" t="n">
        <v>0</v>
      </c>
      <c r="Q281" t="n">
        <v>0</v>
      </c>
      <c r="R281" s="2" t="inlineStr"/>
    </row>
    <row r="282" ht="15" customHeight="1">
      <c r="A282" t="inlineStr">
        <is>
          <t>A 29775-2025</t>
        </is>
      </c>
      <c r="B282" s="1" t="n">
        <v>45825.63803240741</v>
      </c>
      <c r="C282" s="1" t="n">
        <v>46063</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1800-2023</t>
        </is>
      </c>
      <c r="B283" s="1" t="n">
        <v>44938</v>
      </c>
      <c r="C283" s="1" t="n">
        <v>46063</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47341-2023</t>
        </is>
      </c>
      <c r="B284" s="1" t="n">
        <v>45202.55721064815</v>
      </c>
      <c r="C284" s="1" t="n">
        <v>46063</v>
      </c>
      <c r="D284" t="inlineStr">
        <is>
          <t>UPPSALA LÄN</t>
        </is>
      </c>
      <c r="E284" t="inlineStr">
        <is>
          <t>ÖSTHAMMAR</t>
        </is>
      </c>
      <c r="G284" t="n">
        <v>4.9</v>
      </c>
      <c r="H284" t="n">
        <v>0</v>
      </c>
      <c r="I284" t="n">
        <v>0</v>
      </c>
      <c r="J284" t="n">
        <v>0</v>
      </c>
      <c r="K284" t="n">
        <v>0</v>
      </c>
      <c r="L284" t="n">
        <v>0</v>
      </c>
      <c r="M284" t="n">
        <v>0</v>
      </c>
      <c r="N284" t="n">
        <v>0</v>
      </c>
      <c r="O284" t="n">
        <v>0</v>
      </c>
      <c r="P284" t="n">
        <v>0</v>
      </c>
      <c r="Q284" t="n">
        <v>0</v>
      </c>
      <c r="R284" s="2" t="inlineStr"/>
    </row>
    <row r="285" ht="15" customHeight="1">
      <c r="A285" t="inlineStr">
        <is>
          <t>A 61216-2022</t>
        </is>
      </c>
      <c r="B285" s="1" t="n">
        <v>44915.55423611111</v>
      </c>
      <c r="C285" s="1" t="n">
        <v>46063</v>
      </c>
      <c r="D285" t="inlineStr">
        <is>
          <t>UPPSALA LÄN</t>
        </is>
      </c>
      <c r="E285" t="inlineStr">
        <is>
          <t>ÖSTHAMMAR</t>
        </is>
      </c>
      <c r="G285" t="n">
        <v>2.9</v>
      </c>
      <c r="H285" t="n">
        <v>0</v>
      </c>
      <c r="I285" t="n">
        <v>0</v>
      </c>
      <c r="J285" t="n">
        <v>0</v>
      </c>
      <c r="K285" t="n">
        <v>0</v>
      </c>
      <c r="L285" t="n">
        <v>0</v>
      </c>
      <c r="M285" t="n">
        <v>0</v>
      </c>
      <c r="N285" t="n">
        <v>0</v>
      </c>
      <c r="O285" t="n">
        <v>0</v>
      </c>
      <c r="P285" t="n">
        <v>0</v>
      </c>
      <c r="Q285" t="n">
        <v>0</v>
      </c>
      <c r="R285" s="2" t="inlineStr"/>
    </row>
    <row r="286" ht="15" customHeight="1">
      <c r="A286" t="inlineStr">
        <is>
          <t>A 70008-2021</t>
        </is>
      </c>
      <c r="B286" s="1" t="n">
        <v>44533.44887731481</v>
      </c>
      <c r="C286" s="1" t="n">
        <v>46063</v>
      </c>
      <c r="D286" t="inlineStr">
        <is>
          <t>UPPSALA LÄN</t>
        </is>
      </c>
      <c r="E286" t="inlineStr">
        <is>
          <t>ÖSTHAMMAR</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30244-2025</t>
        </is>
      </c>
      <c r="B287" s="1" t="n">
        <v>45827.40902777778</v>
      </c>
      <c r="C287" s="1" t="n">
        <v>46063</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30504-2025</t>
        </is>
      </c>
      <c r="B288" s="1" t="n">
        <v>45830.8558912037</v>
      </c>
      <c r="C288" s="1" t="n">
        <v>46063</v>
      </c>
      <c r="D288" t="inlineStr">
        <is>
          <t>UPPSALA LÄN</t>
        </is>
      </c>
      <c r="E288" t="inlineStr">
        <is>
          <t>ÖSTHAMMAR</t>
        </is>
      </c>
      <c r="G288" t="n">
        <v>0.6</v>
      </c>
      <c r="H288" t="n">
        <v>0</v>
      </c>
      <c r="I288" t="n">
        <v>0</v>
      </c>
      <c r="J288" t="n">
        <v>0</v>
      </c>
      <c r="K288" t="n">
        <v>0</v>
      </c>
      <c r="L288" t="n">
        <v>0</v>
      </c>
      <c r="M288" t="n">
        <v>0</v>
      </c>
      <c r="N288" t="n">
        <v>0</v>
      </c>
      <c r="O288" t="n">
        <v>0</v>
      </c>
      <c r="P288" t="n">
        <v>0</v>
      </c>
      <c r="Q288" t="n">
        <v>0</v>
      </c>
      <c r="R288" s="2" t="inlineStr"/>
    </row>
    <row r="289" ht="15" customHeight="1">
      <c r="A289" t="inlineStr">
        <is>
          <t>A 2733-2023</t>
        </is>
      </c>
      <c r="B289" s="1" t="n">
        <v>44943</v>
      </c>
      <c r="C289" s="1" t="n">
        <v>46063</v>
      </c>
      <c r="D289" t="inlineStr">
        <is>
          <t>UPPSALA LÄN</t>
        </is>
      </c>
      <c r="E289" t="inlineStr">
        <is>
          <t>ÖSTHAMMAR</t>
        </is>
      </c>
      <c r="G289" t="n">
        <v>2.6</v>
      </c>
      <c r="H289" t="n">
        <v>0</v>
      </c>
      <c r="I289" t="n">
        <v>0</v>
      </c>
      <c r="J289" t="n">
        <v>0</v>
      </c>
      <c r="K289" t="n">
        <v>0</v>
      </c>
      <c r="L289" t="n">
        <v>0</v>
      </c>
      <c r="M289" t="n">
        <v>0</v>
      </c>
      <c r="N289" t="n">
        <v>0</v>
      </c>
      <c r="O289" t="n">
        <v>0</v>
      </c>
      <c r="P289" t="n">
        <v>0</v>
      </c>
      <c r="Q289" t="n">
        <v>0</v>
      </c>
      <c r="R289" s="2" t="inlineStr"/>
    </row>
    <row r="290" ht="15" customHeight="1">
      <c r="A290" t="inlineStr">
        <is>
          <t>A 30503-2025</t>
        </is>
      </c>
      <c r="B290" s="1" t="n">
        <v>45830.8500462963</v>
      </c>
      <c r="C290" s="1" t="n">
        <v>46063</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12812-2024</t>
        </is>
      </c>
      <c r="B291" s="1" t="n">
        <v>45384.65465277778</v>
      </c>
      <c r="C291" s="1" t="n">
        <v>46063</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30610-2025</t>
        </is>
      </c>
      <c r="B292" s="1" t="n">
        <v>45831.45965277778</v>
      </c>
      <c r="C292" s="1" t="n">
        <v>46063</v>
      </c>
      <c r="D292" t="inlineStr">
        <is>
          <t>UPPSALA LÄN</t>
        </is>
      </c>
      <c r="E292" t="inlineStr">
        <is>
          <t>ÖSTHAMMAR</t>
        </is>
      </c>
      <c r="G292" t="n">
        <v>0.2</v>
      </c>
      <c r="H292" t="n">
        <v>0</v>
      </c>
      <c r="I292" t="n">
        <v>0</v>
      </c>
      <c r="J292" t="n">
        <v>0</v>
      </c>
      <c r="K292" t="n">
        <v>0</v>
      </c>
      <c r="L292" t="n">
        <v>0</v>
      </c>
      <c r="M292" t="n">
        <v>0</v>
      </c>
      <c r="N292" t="n">
        <v>0</v>
      </c>
      <c r="O292" t="n">
        <v>0</v>
      </c>
      <c r="P292" t="n">
        <v>0</v>
      </c>
      <c r="Q292" t="n">
        <v>0</v>
      </c>
      <c r="R292" s="2" t="inlineStr"/>
    </row>
    <row r="293" ht="15" customHeight="1">
      <c r="A293" t="inlineStr">
        <is>
          <t>A 31579-2025</t>
        </is>
      </c>
      <c r="B293" s="1" t="n">
        <v>45833.68211805556</v>
      </c>
      <c r="C293" s="1" t="n">
        <v>46063</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31360-2025</t>
        </is>
      </c>
      <c r="B294" s="1" t="n">
        <v>45833.43527777777</v>
      </c>
      <c r="C294" s="1" t="n">
        <v>46063</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31249-2025</t>
        </is>
      </c>
      <c r="B295" s="1" t="n">
        <v>45832.89476851852</v>
      </c>
      <c r="C295" s="1" t="n">
        <v>46063</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31896-2025</t>
        </is>
      </c>
      <c r="B296" s="1" t="n">
        <v>45834.67556712963</v>
      </c>
      <c r="C296" s="1" t="n">
        <v>46063</v>
      </c>
      <c r="D296" t="inlineStr">
        <is>
          <t>UPPSALA LÄN</t>
        </is>
      </c>
      <c r="E296" t="inlineStr">
        <is>
          <t>ÖSTHAMMAR</t>
        </is>
      </c>
      <c r="G296" t="n">
        <v>4.1</v>
      </c>
      <c r="H296" t="n">
        <v>0</v>
      </c>
      <c r="I296" t="n">
        <v>0</v>
      </c>
      <c r="J296" t="n">
        <v>0</v>
      </c>
      <c r="K296" t="n">
        <v>0</v>
      </c>
      <c r="L296" t="n">
        <v>0</v>
      </c>
      <c r="M296" t="n">
        <v>0</v>
      </c>
      <c r="N296" t="n">
        <v>0</v>
      </c>
      <c r="O296" t="n">
        <v>0</v>
      </c>
      <c r="P296" t="n">
        <v>0</v>
      </c>
      <c r="Q296" t="n">
        <v>0</v>
      </c>
      <c r="R296" s="2" t="inlineStr"/>
    </row>
    <row r="297" ht="15" customHeight="1">
      <c r="A297" t="inlineStr">
        <is>
          <t>A 38886-2025</t>
        </is>
      </c>
      <c r="B297" s="1" t="n">
        <v>45887.58370370371</v>
      </c>
      <c r="C297" s="1" t="n">
        <v>46063</v>
      </c>
      <c r="D297" t="inlineStr">
        <is>
          <t>UPPSALA LÄN</t>
        </is>
      </c>
      <c r="E297" t="inlineStr">
        <is>
          <t>ÖSTHAMMAR</t>
        </is>
      </c>
      <c r="F297" t="inlineStr">
        <is>
          <t>Bergvik skog öst AB</t>
        </is>
      </c>
      <c r="G297" t="n">
        <v>4.7</v>
      </c>
      <c r="H297" t="n">
        <v>0</v>
      </c>
      <c r="I297" t="n">
        <v>0</v>
      </c>
      <c r="J297" t="n">
        <v>0</v>
      </c>
      <c r="K297" t="n">
        <v>0</v>
      </c>
      <c r="L297" t="n">
        <v>0</v>
      </c>
      <c r="M297" t="n">
        <v>0</v>
      </c>
      <c r="N297" t="n">
        <v>0</v>
      </c>
      <c r="O297" t="n">
        <v>0</v>
      </c>
      <c r="P297" t="n">
        <v>0</v>
      </c>
      <c r="Q297" t="n">
        <v>0</v>
      </c>
      <c r="R297" s="2" t="inlineStr"/>
    </row>
    <row r="298" ht="15" customHeight="1">
      <c r="A298" t="inlineStr">
        <is>
          <t>A 5344-2025</t>
        </is>
      </c>
      <c r="B298" s="1" t="n">
        <v>45692</v>
      </c>
      <c r="C298" s="1" t="n">
        <v>46063</v>
      </c>
      <c r="D298" t="inlineStr">
        <is>
          <t>UPPSALA LÄN</t>
        </is>
      </c>
      <c r="E298" t="inlineStr">
        <is>
          <t>ÖSTHAMMAR</t>
        </is>
      </c>
      <c r="F298" t="inlineStr">
        <is>
          <t>Bergvik skog öst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31574-2022</t>
        </is>
      </c>
      <c r="B299" s="1" t="n">
        <v>44775</v>
      </c>
      <c r="C299" s="1" t="n">
        <v>46063</v>
      </c>
      <c r="D299" t="inlineStr">
        <is>
          <t>UPPSALA LÄN</t>
        </is>
      </c>
      <c r="E299" t="inlineStr">
        <is>
          <t>ÖSTHAMMAR</t>
        </is>
      </c>
      <c r="G299" t="n">
        <v>29.7</v>
      </c>
      <c r="H299" t="n">
        <v>0</v>
      </c>
      <c r="I299" t="n">
        <v>0</v>
      </c>
      <c r="J299" t="n">
        <v>0</v>
      </c>
      <c r="K299" t="n">
        <v>0</v>
      </c>
      <c r="L299" t="n">
        <v>0</v>
      </c>
      <c r="M299" t="n">
        <v>0</v>
      </c>
      <c r="N299" t="n">
        <v>0</v>
      </c>
      <c r="O299" t="n">
        <v>0</v>
      </c>
      <c r="P299" t="n">
        <v>0</v>
      </c>
      <c r="Q299" t="n">
        <v>0</v>
      </c>
      <c r="R299" s="2" t="inlineStr"/>
    </row>
    <row r="300" ht="15" customHeight="1">
      <c r="A300" t="inlineStr">
        <is>
          <t>A 31977-2025</t>
        </is>
      </c>
      <c r="B300" s="1" t="n">
        <v>45835.3554050926</v>
      </c>
      <c r="C300" s="1" t="n">
        <v>46063</v>
      </c>
      <c r="D300" t="inlineStr">
        <is>
          <t>UPPSALA LÄN</t>
        </is>
      </c>
      <c r="E300" t="inlineStr">
        <is>
          <t>ÖSTHAMMAR</t>
        </is>
      </c>
      <c r="F300" t="inlineStr">
        <is>
          <t>Övriga Aktiebolag</t>
        </is>
      </c>
      <c r="G300" t="n">
        <v>35.3</v>
      </c>
      <c r="H300" t="n">
        <v>0</v>
      </c>
      <c r="I300" t="n">
        <v>0</v>
      </c>
      <c r="J300" t="n">
        <v>0</v>
      </c>
      <c r="K300" t="n">
        <v>0</v>
      </c>
      <c r="L300" t="n">
        <v>0</v>
      </c>
      <c r="M300" t="n">
        <v>0</v>
      </c>
      <c r="N300" t="n">
        <v>0</v>
      </c>
      <c r="O300" t="n">
        <v>0</v>
      </c>
      <c r="P300" t="n">
        <v>0</v>
      </c>
      <c r="Q300" t="n">
        <v>0</v>
      </c>
      <c r="R300" s="2" t="inlineStr"/>
    </row>
    <row r="301" ht="15" customHeight="1">
      <c r="A301" t="inlineStr">
        <is>
          <t>A 31956-2025</t>
        </is>
      </c>
      <c r="B301" s="1" t="n">
        <v>45835.34184027778</v>
      </c>
      <c r="C301" s="1" t="n">
        <v>46063</v>
      </c>
      <c r="D301" t="inlineStr">
        <is>
          <t>UPPSALA LÄN</t>
        </is>
      </c>
      <c r="E301" t="inlineStr">
        <is>
          <t>ÖSTHAMMAR</t>
        </is>
      </c>
      <c r="F301" t="inlineStr">
        <is>
          <t>Övriga Aktiebolag</t>
        </is>
      </c>
      <c r="G301" t="n">
        <v>4.2</v>
      </c>
      <c r="H301" t="n">
        <v>0</v>
      </c>
      <c r="I301" t="n">
        <v>0</v>
      </c>
      <c r="J301" t="n">
        <v>0</v>
      </c>
      <c r="K301" t="n">
        <v>0</v>
      </c>
      <c r="L301" t="n">
        <v>0</v>
      </c>
      <c r="M301" t="n">
        <v>0</v>
      </c>
      <c r="N301" t="n">
        <v>0</v>
      </c>
      <c r="O301" t="n">
        <v>0</v>
      </c>
      <c r="P301" t="n">
        <v>0</v>
      </c>
      <c r="Q301" t="n">
        <v>0</v>
      </c>
      <c r="R301" s="2" t="inlineStr"/>
    </row>
    <row r="302" ht="15" customHeight="1">
      <c r="A302" t="inlineStr">
        <is>
          <t>A 24181-2022</t>
        </is>
      </c>
      <c r="B302" s="1" t="n">
        <v>44725</v>
      </c>
      <c r="C302" s="1" t="n">
        <v>46063</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4096-2025</t>
        </is>
      </c>
      <c r="B303" s="1" t="n">
        <v>45684</v>
      </c>
      <c r="C303" s="1" t="n">
        <v>46063</v>
      </c>
      <c r="D303" t="inlineStr">
        <is>
          <t>UPPSALA LÄN</t>
        </is>
      </c>
      <c r="E303" t="inlineStr">
        <is>
          <t>ÖSTHAMMAR</t>
        </is>
      </c>
      <c r="G303" t="n">
        <v>2</v>
      </c>
      <c r="H303" t="n">
        <v>0</v>
      </c>
      <c r="I303" t="n">
        <v>0</v>
      </c>
      <c r="J303" t="n">
        <v>0</v>
      </c>
      <c r="K303" t="n">
        <v>0</v>
      </c>
      <c r="L303" t="n">
        <v>0</v>
      </c>
      <c r="M303" t="n">
        <v>0</v>
      </c>
      <c r="N303" t="n">
        <v>0</v>
      </c>
      <c r="O303" t="n">
        <v>0</v>
      </c>
      <c r="P303" t="n">
        <v>0</v>
      </c>
      <c r="Q303" t="n">
        <v>0</v>
      </c>
      <c r="R303" s="2" t="inlineStr"/>
    </row>
    <row r="304" ht="15" customHeight="1">
      <c r="A304" t="inlineStr">
        <is>
          <t>A 33048-2025</t>
        </is>
      </c>
      <c r="B304" s="1" t="n">
        <v>45840.41451388889</v>
      </c>
      <c r="C304" s="1" t="n">
        <v>46063</v>
      </c>
      <c r="D304" t="inlineStr">
        <is>
          <t>UPPSALA LÄN</t>
        </is>
      </c>
      <c r="E304" t="inlineStr">
        <is>
          <t>ÖSTHAMMAR</t>
        </is>
      </c>
      <c r="G304" t="n">
        <v>1.8</v>
      </c>
      <c r="H304" t="n">
        <v>0</v>
      </c>
      <c r="I304" t="n">
        <v>0</v>
      </c>
      <c r="J304" t="n">
        <v>0</v>
      </c>
      <c r="K304" t="n">
        <v>0</v>
      </c>
      <c r="L304" t="n">
        <v>0</v>
      </c>
      <c r="M304" t="n">
        <v>0</v>
      </c>
      <c r="N304" t="n">
        <v>0</v>
      </c>
      <c r="O304" t="n">
        <v>0</v>
      </c>
      <c r="P304" t="n">
        <v>0</v>
      </c>
      <c r="Q304" t="n">
        <v>0</v>
      </c>
      <c r="R304" s="2" t="inlineStr"/>
    </row>
    <row r="305" ht="15" customHeight="1">
      <c r="A305" t="inlineStr">
        <is>
          <t>A 27476-2025</t>
        </is>
      </c>
      <c r="B305" s="1" t="n">
        <v>45813.37517361111</v>
      </c>
      <c r="C305" s="1" t="n">
        <v>46063</v>
      </c>
      <c r="D305" t="inlineStr">
        <is>
          <t>UPPSALA LÄN</t>
        </is>
      </c>
      <c r="E305" t="inlineStr">
        <is>
          <t>ÖSTHAMMAR</t>
        </is>
      </c>
      <c r="F305" t="inlineStr">
        <is>
          <t>Bergvik skog öst AB</t>
        </is>
      </c>
      <c r="G305" t="n">
        <v>1.3</v>
      </c>
      <c r="H305" t="n">
        <v>0</v>
      </c>
      <c r="I305" t="n">
        <v>0</v>
      </c>
      <c r="J305" t="n">
        <v>0</v>
      </c>
      <c r="K305" t="n">
        <v>0</v>
      </c>
      <c r="L305" t="n">
        <v>0</v>
      </c>
      <c r="M305" t="n">
        <v>0</v>
      </c>
      <c r="N305" t="n">
        <v>0</v>
      </c>
      <c r="O305" t="n">
        <v>0</v>
      </c>
      <c r="P305" t="n">
        <v>0</v>
      </c>
      <c r="Q305" t="n">
        <v>0</v>
      </c>
      <c r="R305" s="2" t="inlineStr"/>
    </row>
    <row r="306" ht="15" customHeight="1">
      <c r="A306" t="inlineStr">
        <is>
          <t>A 40044-2025</t>
        </is>
      </c>
      <c r="B306" s="1" t="n">
        <v>45894.40133101852</v>
      </c>
      <c r="C306" s="1" t="n">
        <v>46063</v>
      </c>
      <c r="D306" t="inlineStr">
        <is>
          <t>UPPSALA LÄN</t>
        </is>
      </c>
      <c r="E306" t="inlineStr">
        <is>
          <t>ÖSTHAMMAR</t>
        </is>
      </c>
      <c r="F306" t="inlineStr">
        <is>
          <t>Kyrkan</t>
        </is>
      </c>
      <c r="G306" t="n">
        <v>8.9</v>
      </c>
      <c r="H306" t="n">
        <v>0</v>
      </c>
      <c r="I306" t="n">
        <v>0</v>
      </c>
      <c r="J306" t="n">
        <v>0</v>
      </c>
      <c r="K306" t="n">
        <v>0</v>
      </c>
      <c r="L306" t="n">
        <v>0</v>
      </c>
      <c r="M306" t="n">
        <v>0</v>
      </c>
      <c r="N306" t="n">
        <v>0</v>
      </c>
      <c r="O306" t="n">
        <v>0</v>
      </c>
      <c r="P306" t="n">
        <v>0</v>
      </c>
      <c r="Q306" t="n">
        <v>0</v>
      </c>
      <c r="R306" s="2" t="inlineStr"/>
    </row>
    <row r="307" ht="15" customHeight="1">
      <c r="A307" t="inlineStr">
        <is>
          <t>A 40016-2025</t>
        </is>
      </c>
      <c r="B307" s="1" t="n">
        <v>45894.34747685185</v>
      </c>
      <c r="C307" s="1" t="n">
        <v>46063</v>
      </c>
      <c r="D307" t="inlineStr">
        <is>
          <t>UPPSALA LÄN</t>
        </is>
      </c>
      <c r="E307" t="inlineStr">
        <is>
          <t>ÖSTHAMMAR</t>
        </is>
      </c>
      <c r="F307" t="inlineStr">
        <is>
          <t>Kyrkan</t>
        </is>
      </c>
      <c r="G307" t="n">
        <v>6.6</v>
      </c>
      <c r="H307" t="n">
        <v>0</v>
      </c>
      <c r="I307" t="n">
        <v>0</v>
      </c>
      <c r="J307" t="n">
        <v>0</v>
      </c>
      <c r="K307" t="n">
        <v>0</v>
      </c>
      <c r="L307" t="n">
        <v>0</v>
      </c>
      <c r="M307" t="n">
        <v>0</v>
      </c>
      <c r="N307" t="n">
        <v>0</v>
      </c>
      <c r="O307" t="n">
        <v>0</v>
      </c>
      <c r="P307" t="n">
        <v>0</v>
      </c>
      <c r="Q307" t="n">
        <v>0</v>
      </c>
      <c r="R307" s="2" t="inlineStr"/>
    </row>
    <row r="308" ht="15" customHeight="1">
      <c r="A308" t="inlineStr">
        <is>
          <t>A 22884-2024</t>
        </is>
      </c>
      <c r="B308" s="1" t="n">
        <v>45448</v>
      </c>
      <c r="C308" s="1" t="n">
        <v>46063</v>
      </c>
      <c r="D308" t="inlineStr">
        <is>
          <t>UPPSALA LÄN</t>
        </is>
      </c>
      <c r="E308" t="inlineStr">
        <is>
          <t>ÖSTHAMMAR</t>
        </is>
      </c>
      <c r="G308" t="n">
        <v>3.3</v>
      </c>
      <c r="H308" t="n">
        <v>0</v>
      </c>
      <c r="I308" t="n">
        <v>0</v>
      </c>
      <c r="J308" t="n">
        <v>0</v>
      </c>
      <c r="K308" t="n">
        <v>0</v>
      </c>
      <c r="L308" t="n">
        <v>0</v>
      </c>
      <c r="M308" t="n">
        <v>0</v>
      </c>
      <c r="N308" t="n">
        <v>0</v>
      </c>
      <c r="O308" t="n">
        <v>0</v>
      </c>
      <c r="P308" t="n">
        <v>0</v>
      </c>
      <c r="Q308" t="n">
        <v>0</v>
      </c>
      <c r="R308" s="2" t="inlineStr"/>
    </row>
    <row r="309" ht="15" customHeight="1">
      <c r="A309" t="inlineStr">
        <is>
          <t>A 33271-2025</t>
        </is>
      </c>
      <c r="B309" s="1" t="n">
        <v>45840.68381944444</v>
      </c>
      <c r="C309" s="1" t="n">
        <v>46063</v>
      </c>
      <c r="D309" t="inlineStr">
        <is>
          <t>UPPSALA LÄN</t>
        </is>
      </c>
      <c r="E309" t="inlineStr">
        <is>
          <t>ÖSTHAMMAR</t>
        </is>
      </c>
      <c r="G309" t="n">
        <v>1.3</v>
      </c>
      <c r="H309" t="n">
        <v>0</v>
      </c>
      <c r="I309" t="n">
        <v>0</v>
      </c>
      <c r="J309" t="n">
        <v>0</v>
      </c>
      <c r="K309" t="n">
        <v>0</v>
      </c>
      <c r="L309" t="n">
        <v>0</v>
      </c>
      <c r="M309" t="n">
        <v>0</v>
      </c>
      <c r="N309" t="n">
        <v>0</v>
      </c>
      <c r="O309" t="n">
        <v>0</v>
      </c>
      <c r="P309" t="n">
        <v>0</v>
      </c>
      <c r="Q309" t="n">
        <v>0</v>
      </c>
      <c r="R309" s="2" t="inlineStr"/>
    </row>
    <row r="310" ht="15" customHeight="1">
      <c r="A310" t="inlineStr">
        <is>
          <t>A 32718-2025</t>
        </is>
      </c>
      <c r="B310" s="1" t="n">
        <v>45839.37740740741</v>
      </c>
      <c r="C310" s="1" t="n">
        <v>46063</v>
      </c>
      <c r="D310" t="inlineStr">
        <is>
          <t>UPPSALA LÄN</t>
        </is>
      </c>
      <c r="E310" t="inlineStr">
        <is>
          <t>ÖSTHAMMAR</t>
        </is>
      </c>
      <c r="G310" t="n">
        <v>10.4</v>
      </c>
      <c r="H310" t="n">
        <v>0</v>
      </c>
      <c r="I310" t="n">
        <v>0</v>
      </c>
      <c r="J310" t="n">
        <v>0</v>
      </c>
      <c r="K310" t="n">
        <v>0</v>
      </c>
      <c r="L310" t="n">
        <v>0</v>
      </c>
      <c r="M310" t="n">
        <v>0</v>
      </c>
      <c r="N310" t="n">
        <v>0</v>
      </c>
      <c r="O310" t="n">
        <v>0</v>
      </c>
      <c r="P310" t="n">
        <v>0</v>
      </c>
      <c r="Q310" t="n">
        <v>0</v>
      </c>
      <c r="R310" s="2" t="inlineStr"/>
    </row>
    <row r="311" ht="15" customHeight="1">
      <c r="A311" t="inlineStr">
        <is>
          <t>A 40416-2025</t>
        </is>
      </c>
      <c r="B311" s="1" t="n">
        <v>45895.57736111111</v>
      </c>
      <c r="C311" s="1" t="n">
        <v>46063</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40377-2025</t>
        </is>
      </c>
      <c r="B312" s="1" t="n">
        <v>45895.53020833333</v>
      </c>
      <c r="C312" s="1" t="n">
        <v>46063</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40462-2025</t>
        </is>
      </c>
      <c r="B313" s="1" t="n">
        <v>45895.65179398148</v>
      </c>
      <c r="C313" s="1" t="n">
        <v>46063</v>
      </c>
      <c r="D313" t="inlineStr">
        <is>
          <t>UPPSALA LÄN</t>
        </is>
      </c>
      <c r="E313" t="inlineStr">
        <is>
          <t>ÖSTHAMMAR</t>
        </is>
      </c>
      <c r="G313" t="n">
        <v>4.5</v>
      </c>
      <c r="H313" t="n">
        <v>0</v>
      </c>
      <c r="I313" t="n">
        <v>0</v>
      </c>
      <c r="J313" t="n">
        <v>0</v>
      </c>
      <c r="K313" t="n">
        <v>0</v>
      </c>
      <c r="L313" t="n">
        <v>0</v>
      </c>
      <c r="M313" t="n">
        <v>0</v>
      </c>
      <c r="N313" t="n">
        <v>0</v>
      </c>
      <c r="O313" t="n">
        <v>0</v>
      </c>
      <c r="P313" t="n">
        <v>0</v>
      </c>
      <c r="Q313" t="n">
        <v>0</v>
      </c>
      <c r="R313" s="2" t="inlineStr"/>
    </row>
    <row r="314" ht="15" customHeight="1">
      <c r="A314" t="inlineStr">
        <is>
          <t>A 33529-2025</t>
        </is>
      </c>
      <c r="B314" s="1" t="n">
        <v>45841.55199074074</v>
      </c>
      <c r="C314" s="1" t="n">
        <v>46063</v>
      </c>
      <c r="D314" t="inlineStr">
        <is>
          <t>UPPSALA LÄN</t>
        </is>
      </c>
      <c r="E314" t="inlineStr">
        <is>
          <t>ÖSTHAMMAR</t>
        </is>
      </c>
      <c r="F314" t="inlineStr">
        <is>
          <t>Bergvik skog öst AB</t>
        </is>
      </c>
      <c r="G314" t="n">
        <v>11.8</v>
      </c>
      <c r="H314" t="n">
        <v>0</v>
      </c>
      <c r="I314" t="n">
        <v>0</v>
      </c>
      <c r="J314" t="n">
        <v>0</v>
      </c>
      <c r="K314" t="n">
        <v>0</v>
      </c>
      <c r="L314" t="n">
        <v>0</v>
      </c>
      <c r="M314" t="n">
        <v>0</v>
      </c>
      <c r="N314" t="n">
        <v>0</v>
      </c>
      <c r="O314" t="n">
        <v>0</v>
      </c>
      <c r="P314" t="n">
        <v>0</v>
      </c>
      <c r="Q314" t="n">
        <v>0</v>
      </c>
      <c r="R314" s="2" t="inlineStr"/>
    </row>
    <row r="315" ht="15" customHeight="1">
      <c r="A315" t="inlineStr">
        <is>
          <t>A 40570-2025</t>
        </is>
      </c>
      <c r="B315" s="1" t="n">
        <v>45896.47878472223</v>
      </c>
      <c r="C315" s="1" t="n">
        <v>46063</v>
      </c>
      <c r="D315" t="inlineStr">
        <is>
          <t>UPPSALA LÄN</t>
        </is>
      </c>
      <c r="E315" t="inlineStr">
        <is>
          <t>ÖSTHAMMAR</t>
        </is>
      </c>
      <c r="F315" t="inlineStr">
        <is>
          <t>Övriga Aktiebolag</t>
        </is>
      </c>
      <c r="G315" t="n">
        <v>4.8</v>
      </c>
      <c r="H315" t="n">
        <v>0</v>
      </c>
      <c r="I315" t="n">
        <v>0</v>
      </c>
      <c r="J315" t="n">
        <v>0</v>
      </c>
      <c r="K315" t="n">
        <v>0</v>
      </c>
      <c r="L315" t="n">
        <v>0</v>
      </c>
      <c r="M315" t="n">
        <v>0</v>
      </c>
      <c r="N315" t="n">
        <v>0</v>
      </c>
      <c r="O315" t="n">
        <v>0</v>
      </c>
      <c r="P315" t="n">
        <v>0</v>
      </c>
      <c r="Q315" t="n">
        <v>0</v>
      </c>
      <c r="R315" s="2" t="inlineStr"/>
    </row>
    <row r="316" ht="15" customHeight="1">
      <c r="A316" t="inlineStr">
        <is>
          <t>A 40382-2025</t>
        </is>
      </c>
      <c r="B316" s="1" t="n">
        <v>45895.53689814815</v>
      </c>
      <c r="C316" s="1" t="n">
        <v>46063</v>
      </c>
      <c r="D316" t="inlineStr">
        <is>
          <t>UPPSALA LÄN</t>
        </is>
      </c>
      <c r="E316" t="inlineStr">
        <is>
          <t>ÖSTHAMMAR</t>
        </is>
      </c>
      <c r="G316" t="n">
        <v>2.2</v>
      </c>
      <c r="H316" t="n">
        <v>0</v>
      </c>
      <c r="I316" t="n">
        <v>0</v>
      </c>
      <c r="J316" t="n">
        <v>0</v>
      </c>
      <c r="K316" t="n">
        <v>0</v>
      </c>
      <c r="L316" t="n">
        <v>0</v>
      </c>
      <c r="M316" t="n">
        <v>0</v>
      </c>
      <c r="N316" t="n">
        <v>0</v>
      </c>
      <c r="O316" t="n">
        <v>0</v>
      </c>
      <c r="P316" t="n">
        <v>0</v>
      </c>
      <c r="Q316" t="n">
        <v>0</v>
      </c>
      <c r="R316" s="2" t="inlineStr"/>
    </row>
    <row r="317" ht="15" customHeight="1">
      <c r="A317" t="inlineStr">
        <is>
          <t>A 40384-2025</t>
        </is>
      </c>
      <c r="B317" s="1" t="n">
        <v>45895.54085648148</v>
      </c>
      <c r="C317" s="1" t="n">
        <v>46063</v>
      </c>
      <c r="D317" t="inlineStr">
        <is>
          <t>UPPSALA LÄN</t>
        </is>
      </c>
      <c r="E317" t="inlineStr">
        <is>
          <t>ÖSTHAMMAR</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8874-2025</t>
        </is>
      </c>
      <c r="B318" s="1" t="n">
        <v>45713</v>
      </c>
      <c r="C318" s="1" t="n">
        <v>46063</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40460-2025</t>
        </is>
      </c>
      <c r="B319" s="1" t="n">
        <v>45895.65013888889</v>
      </c>
      <c r="C319" s="1" t="n">
        <v>46063</v>
      </c>
      <c r="D319" t="inlineStr">
        <is>
          <t>UPPSALA LÄN</t>
        </is>
      </c>
      <c r="E319" t="inlineStr">
        <is>
          <t>ÖSTHAMMAR</t>
        </is>
      </c>
      <c r="G319" t="n">
        <v>2.7</v>
      </c>
      <c r="H319" t="n">
        <v>0</v>
      </c>
      <c r="I319" t="n">
        <v>0</v>
      </c>
      <c r="J319" t="n">
        <v>0</v>
      </c>
      <c r="K319" t="n">
        <v>0</v>
      </c>
      <c r="L319" t="n">
        <v>0</v>
      </c>
      <c r="M319" t="n">
        <v>0</v>
      </c>
      <c r="N319" t="n">
        <v>0</v>
      </c>
      <c r="O319" t="n">
        <v>0</v>
      </c>
      <c r="P319" t="n">
        <v>0</v>
      </c>
      <c r="Q319" t="n">
        <v>0</v>
      </c>
      <c r="R319" s="2" t="inlineStr"/>
    </row>
    <row r="320" ht="15" customHeight="1">
      <c r="A320" t="inlineStr">
        <is>
          <t>A 25418-2022</t>
        </is>
      </c>
      <c r="B320" s="1" t="n">
        <v>44732.464375</v>
      </c>
      <c r="C320" s="1" t="n">
        <v>46063</v>
      </c>
      <c r="D320" t="inlineStr">
        <is>
          <t>UPPSALA LÄN</t>
        </is>
      </c>
      <c r="E320" t="inlineStr">
        <is>
          <t>ÖSTHAMMAR</t>
        </is>
      </c>
      <c r="G320" t="n">
        <v>2.8</v>
      </c>
      <c r="H320" t="n">
        <v>0</v>
      </c>
      <c r="I320" t="n">
        <v>0</v>
      </c>
      <c r="J320" t="n">
        <v>0</v>
      </c>
      <c r="K320" t="n">
        <v>0</v>
      </c>
      <c r="L320" t="n">
        <v>0</v>
      </c>
      <c r="M320" t="n">
        <v>0</v>
      </c>
      <c r="N320" t="n">
        <v>0</v>
      </c>
      <c r="O320" t="n">
        <v>0</v>
      </c>
      <c r="P320" t="n">
        <v>0</v>
      </c>
      <c r="Q320" t="n">
        <v>0</v>
      </c>
      <c r="R320" s="2" t="inlineStr"/>
    </row>
    <row r="321" ht="15" customHeight="1">
      <c r="A321" t="inlineStr">
        <is>
          <t>A 62391-2022</t>
        </is>
      </c>
      <c r="B321" s="1" t="n">
        <v>44923.7849537037</v>
      </c>
      <c r="C321" s="1" t="n">
        <v>46063</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31485-2023</t>
        </is>
      </c>
      <c r="B322" s="1" t="n">
        <v>45114</v>
      </c>
      <c r="C322" s="1" t="n">
        <v>46063</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33973-2025</t>
        </is>
      </c>
      <c r="B323" s="1" t="n">
        <v>45842.98429398148</v>
      </c>
      <c r="C323" s="1" t="n">
        <v>46063</v>
      </c>
      <c r="D323" t="inlineStr">
        <is>
          <t>UPPSALA LÄN</t>
        </is>
      </c>
      <c r="E323" t="inlineStr">
        <is>
          <t>ÖSTHAMMAR</t>
        </is>
      </c>
      <c r="G323" t="n">
        <v>1.9</v>
      </c>
      <c r="H323" t="n">
        <v>0</v>
      </c>
      <c r="I323" t="n">
        <v>0</v>
      </c>
      <c r="J323" t="n">
        <v>0</v>
      </c>
      <c r="K323" t="n">
        <v>0</v>
      </c>
      <c r="L323" t="n">
        <v>0</v>
      </c>
      <c r="M323" t="n">
        <v>0</v>
      </c>
      <c r="N323" t="n">
        <v>0</v>
      </c>
      <c r="O323" t="n">
        <v>0</v>
      </c>
      <c r="P323" t="n">
        <v>0</v>
      </c>
      <c r="Q323" t="n">
        <v>0</v>
      </c>
      <c r="R323" s="2" t="inlineStr"/>
    </row>
    <row r="324" ht="15" customHeight="1">
      <c r="A324" t="inlineStr">
        <is>
          <t>A 33972-2025</t>
        </is>
      </c>
      <c r="B324" s="1" t="n">
        <v>45842.97236111111</v>
      </c>
      <c r="C324" s="1" t="n">
        <v>46063</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26395-2025</t>
        </is>
      </c>
      <c r="B325" s="1" t="n">
        <v>45807</v>
      </c>
      <c r="C325" s="1" t="n">
        <v>46063</v>
      </c>
      <c r="D325" t="inlineStr">
        <is>
          <t>UPPSALA LÄN</t>
        </is>
      </c>
      <c r="E325" t="inlineStr">
        <is>
          <t>ÖSTHAMMAR</t>
        </is>
      </c>
      <c r="G325" t="n">
        <v>7</v>
      </c>
      <c r="H325" t="n">
        <v>0</v>
      </c>
      <c r="I325" t="n">
        <v>0</v>
      </c>
      <c r="J325" t="n">
        <v>0</v>
      </c>
      <c r="K325" t="n">
        <v>0</v>
      </c>
      <c r="L325" t="n">
        <v>0</v>
      </c>
      <c r="M325" t="n">
        <v>0</v>
      </c>
      <c r="N325" t="n">
        <v>0</v>
      </c>
      <c r="O325" t="n">
        <v>0</v>
      </c>
      <c r="P325" t="n">
        <v>0</v>
      </c>
      <c r="Q325" t="n">
        <v>0</v>
      </c>
      <c r="R325" s="2" t="inlineStr"/>
    </row>
    <row r="326" ht="15" customHeight="1">
      <c r="A326" t="inlineStr">
        <is>
          <t>A 56759-2024</t>
        </is>
      </c>
      <c r="B326" s="1" t="n">
        <v>45628.39877314815</v>
      </c>
      <c r="C326" s="1" t="n">
        <v>46063</v>
      </c>
      <c r="D326" t="inlineStr">
        <is>
          <t>UPPSALA LÄN</t>
        </is>
      </c>
      <c r="E326" t="inlineStr">
        <is>
          <t>ÖSTHAMMAR</t>
        </is>
      </c>
      <c r="G326" t="n">
        <v>4.7</v>
      </c>
      <c r="H326" t="n">
        <v>0</v>
      </c>
      <c r="I326" t="n">
        <v>0</v>
      </c>
      <c r="J326" t="n">
        <v>0</v>
      </c>
      <c r="K326" t="n">
        <v>0</v>
      </c>
      <c r="L326" t="n">
        <v>0</v>
      </c>
      <c r="M326" t="n">
        <v>0</v>
      </c>
      <c r="N326" t="n">
        <v>0</v>
      </c>
      <c r="O326" t="n">
        <v>0</v>
      </c>
      <c r="P326" t="n">
        <v>0</v>
      </c>
      <c r="Q326" t="n">
        <v>0</v>
      </c>
      <c r="R326" s="2" t="inlineStr"/>
    </row>
    <row r="327" ht="15" customHeight="1">
      <c r="A327" t="inlineStr">
        <is>
          <t>A 32744-2022</t>
        </is>
      </c>
      <c r="B327" s="1" t="n">
        <v>44783.70378472222</v>
      </c>
      <c r="C327" s="1" t="n">
        <v>46063</v>
      </c>
      <c r="D327" t="inlineStr">
        <is>
          <t>UPPSALA LÄN</t>
        </is>
      </c>
      <c r="E327" t="inlineStr">
        <is>
          <t>ÖSTHAMMAR</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24401-2025</t>
        </is>
      </c>
      <c r="B328" s="1" t="n">
        <v>45797.64908564815</v>
      </c>
      <c r="C328" s="1" t="n">
        <v>46063</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10117-2025</t>
        </is>
      </c>
      <c r="B329" s="1" t="n">
        <v>45719.59866898148</v>
      </c>
      <c r="C329" s="1" t="n">
        <v>46063</v>
      </c>
      <c r="D329" t="inlineStr">
        <is>
          <t>UPPSALA LÄN</t>
        </is>
      </c>
      <c r="E329" t="inlineStr">
        <is>
          <t>ÖSTHAMMAR</t>
        </is>
      </c>
      <c r="G329" t="n">
        <v>1.1</v>
      </c>
      <c r="H329" t="n">
        <v>0</v>
      </c>
      <c r="I329" t="n">
        <v>0</v>
      </c>
      <c r="J329" t="n">
        <v>0</v>
      </c>
      <c r="K329" t="n">
        <v>0</v>
      </c>
      <c r="L329" t="n">
        <v>0</v>
      </c>
      <c r="M329" t="n">
        <v>0</v>
      </c>
      <c r="N329" t="n">
        <v>0</v>
      </c>
      <c r="O329" t="n">
        <v>0</v>
      </c>
      <c r="P329" t="n">
        <v>0</v>
      </c>
      <c r="Q329" t="n">
        <v>0</v>
      </c>
      <c r="R329" s="2" t="inlineStr"/>
    </row>
    <row r="330" ht="15" customHeight="1">
      <c r="A330" t="inlineStr">
        <is>
          <t>A 8908-2025</t>
        </is>
      </c>
      <c r="B330" s="1" t="n">
        <v>45713.4196875</v>
      </c>
      <c r="C330" s="1" t="n">
        <v>46063</v>
      </c>
      <c r="D330" t="inlineStr">
        <is>
          <t>UPPSALA LÄN</t>
        </is>
      </c>
      <c r="E330" t="inlineStr">
        <is>
          <t>ÖSTHAMMAR</t>
        </is>
      </c>
      <c r="F330" t="inlineStr">
        <is>
          <t>Bergvik skog öst AB</t>
        </is>
      </c>
      <c r="G330" t="n">
        <v>3.3</v>
      </c>
      <c r="H330" t="n">
        <v>0</v>
      </c>
      <c r="I330" t="n">
        <v>0</v>
      </c>
      <c r="J330" t="n">
        <v>0</v>
      </c>
      <c r="K330" t="n">
        <v>0</v>
      </c>
      <c r="L330" t="n">
        <v>0</v>
      </c>
      <c r="M330" t="n">
        <v>0</v>
      </c>
      <c r="N330" t="n">
        <v>0</v>
      </c>
      <c r="O330" t="n">
        <v>0</v>
      </c>
      <c r="P330" t="n">
        <v>0</v>
      </c>
      <c r="Q330" t="n">
        <v>0</v>
      </c>
      <c r="R330" s="2" t="inlineStr"/>
    </row>
    <row r="331" ht="15" customHeight="1">
      <c r="A331" t="inlineStr">
        <is>
          <t>A 41519-2025</t>
        </is>
      </c>
      <c r="B331" s="1" t="n">
        <v>45901.54751157408</v>
      </c>
      <c r="C331" s="1" t="n">
        <v>46063</v>
      </c>
      <c r="D331" t="inlineStr">
        <is>
          <t>UPPSALA LÄN</t>
        </is>
      </c>
      <c r="E331" t="inlineStr">
        <is>
          <t>ÖSTHAMMAR</t>
        </is>
      </c>
      <c r="F331" t="inlineStr">
        <is>
          <t>Övriga Aktiebolag</t>
        </is>
      </c>
      <c r="G331" t="n">
        <v>17.1</v>
      </c>
      <c r="H331" t="n">
        <v>0</v>
      </c>
      <c r="I331" t="n">
        <v>0</v>
      </c>
      <c r="J331" t="n">
        <v>0</v>
      </c>
      <c r="K331" t="n">
        <v>0</v>
      </c>
      <c r="L331" t="n">
        <v>0</v>
      </c>
      <c r="M331" t="n">
        <v>0</v>
      </c>
      <c r="N331" t="n">
        <v>0</v>
      </c>
      <c r="O331" t="n">
        <v>0</v>
      </c>
      <c r="P331" t="n">
        <v>0</v>
      </c>
      <c r="Q331" t="n">
        <v>0</v>
      </c>
      <c r="R331" s="2" t="inlineStr"/>
    </row>
    <row r="332" ht="15" customHeight="1">
      <c r="A332" t="inlineStr">
        <is>
          <t>A 25859-2024</t>
        </is>
      </c>
      <c r="B332" s="1" t="n">
        <v>45467</v>
      </c>
      <c r="C332" s="1" t="n">
        <v>46063</v>
      </c>
      <c r="D332" t="inlineStr">
        <is>
          <t>UPPSALA LÄN</t>
        </is>
      </c>
      <c r="E332" t="inlineStr">
        <is>
          <t>ÖSTHAMMAR</t>
        </is>
      </c>
      <c r="G332" t="n">
        <v>7.9</v>
      </c>
      <c r="H332" t="n">
        <v>0</v>
      </c>
      <c r="I332" t="n">
        <v>0</v>
      </c>
      <c r="J332" t="n">
        <v>0</v>
      </c>
      <c r="K332" t="n">
        <v>0</v>
      </c>
      <c r="L332" t="n">
        <v>0</v>
      </c>
      <c r="M332" t="n">
        <v>0</v>
      </c>
      <c r="N332" t="n">
        <v>0</v>
      </c>
      <c r="O332" t="n">
        <v>0</v>
      </c>
      <c r="P332" t="n">
        <v>0</v>
      </c>
      <c r="Q332" t="n">
        <v>0</v>
      </c>
      <c r="R332" s="2" t="inlineStr"/>
    </row>
    <row r="333" ht="15" customHeight="1">
      <c r="A333" t="inlineStr">
        <is>
          <t>A 4559-2022</t>
        </is>
      </c>
      <c r="B333" s="1" t="n">
        <v>44591.51854166666</v>
      </c>
      <c r="C333" s="1" t="n">
        <v>46063</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24408-2025</t>
        </is>
      </c>
      <c r="B334" s="1" t="n">
        <v>45797.65774305556</v>
      </c>
      <c r="C334" s="1" t="n">
        <v>46063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11643-2022</t>
        </is>
      </c>
      <c r="B335" s="1" t="n">
        <v>44631.92662037037</v>
      </c>
      <c r="C335" s="1" t="n">
        <v>46063</v>
      </c>
      <c r="D335" t="inlineStr">
        <is>
          <t>UPPSALA LÄN</t>
        </is>
      </c>
      <c r="E335" t="inlineStr">
        <is>
          <t>ÖSTHAMMAR</t>
        </is>
      </c>
      <c r="F335" t="inlineStr">
        <is>
          <t>Bergvik skog öst AB</t>
        </is>
      </c>
      <c r="G335" t="n">
        <v>1.1</v>
      </c>
      <c r="H335" t="n">
        <v>0</v>
      </c>
      <c r="I335" t="n">
        <v>0</v>
      </c>
      <c r="J335" t="n">
        <v>0</v>
      </c>
      <c r="K335" t="n">
        <v>0</v>
      </c>
      <c r="L335" t="n">
        <v>0</v>
      </c>
      <c r="M335" t="n">
        <v>0</v>
      </c>
      <c r="N335" t="n">
        <v>0</v>
      </c>
      <c r="O335" t="n">
        <v>0</v>
      </c>
      <c r="P335" t="n">
        <v>0</v>
      </c>
      <c r="Q335" t="n">
        <v>0</v>
      </c>
      <c r="R335" s="2" t="inlineStr"/>
    </row>
    <row r="336" ht="15" customHeight="1">
      <c r="A336" t="inlineStr">
        <is>
          <t>A 19640-2025</t>
        </is>
      </c>
      <c r="B336" s="1" t="n">
        <v>45770.65739583333</v>
      </c>
      <c r="C336" s="1" t="n">
        <v>46063</v>
      </c>
      <c r="D336" t="inlineStr">
        <is>
          <t>UPPSALA LÄN</t>
        </is>
      </c>
      <c r="E336" t="inlineStr">
        <is>
          <t>ÖSTHAMMAR</t>
        </is>
      </c>
      <c r="F336" t="inlineStr">
        <is>
          <t>Övriga Aktiebolag</t>
        </is>
      </c>
      <c r="G336" t="n">
        <v>1.7</v>
      </c>
      <c r="H336" t="n">
        <v>0</v>
      </c>
      <c r="I336" t="n">
        <v>0</v>
      </c>
      <c r="J336" t="n">
        <v>0</v>
      </c>
      <c r="K336" t="n">
        <v>0</v>
      </c>
      <c r="L336" t="n">
        <v>0</v>
      </c>
      <c r="M336" t="n">
        <v>0</v>
      </c>
      <c r="N336" t="n">
        <v>0</v>
      </c>
      <c r="O336" t="n">
        <v>0</v>
      </c>
      <c r="P336" t="n">
        <v>0</v>
      </c>
      <c r="Q336" t="n">
        <v>0</v>
      </c>
      <c r="R336" s="2" t="inlineStr"/>
    </row>
    <row r="337" ht="15" customHeight="1">
      <c r="A337" t="inlineStr">
        <is>
          <t>A 11036-2023</t>
        </is>
      </c>
      <c r="B337" s="1" t="n">
        <v>44991.9321412037</v>
      </c>
      <c r="C337" s="1" t="n">
        <v>46063</v>
      </c>
      <c r="D337" t="inlineStr">
        <is>
          <t>UPPSALA LÄN</t>
        </is>
      </c>
      <c r="E337" t="inlineStr">
        <is>
          <t>ÖSTHAMMAR</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23363-2023</t>
        </is>
      </c>
      <c r="B338" s="1" t="n">
        <v>45076</v>
      </c>
      <c r="C338" s="1" t="n">
        <v>46063</v>
      </c>
      <c r="D338" t="inlineStr">
        <is>
          <t>UPPSALA LÄN</t>
        </is>
      </c>
      <c r="E338" t="inlineStr">
        <is>
          <t>ÖSTHAMMAR</t>
        </is>
      </c>
      <c r="G338" t="n">
        <v>3</v>
      </c>
      <c r="H338" t="n">
        <v>0</v>
      </c>
      <c r="I338" t="n">
        <v>0</v>
      </c>
      <c r="J338" t="n">
        <v>0</v>
      </c>
      <c r="K338" t="n">
        <v>0</v>
      </c>
      <c r="L338" t="n">
        <v>0</v>
      </c>
      <c r="M338" t="n">
        <v>0</v>
      </c>
      <c r="N338" t="n">
        <v>0</v>
      </c>
      <c r="O338" t="n">
        <v>0</v>
      </c>
      <c r="P338" t="n">
        <v>0</v>
      </c>
      <c r="Q338" t="n">
        <v>0</v>
      </c>
      <c r="R338" s="2" t="inlineStr"/>
    </row>
    <row r="339" ht="15" customHeight="1">
      <c r="A339" t="inlineStr">
        <is>
          <t>A 3418-2025</t>
        </is>
      </c>
      <c r="B339" s="1" t="n">
        <v>45680</v>
      </c>
      <c r="C339" s="1" t="n">
        <v>46063</v>
      </c>
      <c r="D339" t="inlineStr">
        <is>
          <t>UPPSALA LÄN</t>
        </is>
      </c>
      <c r="E339" t="inlineStr">
        <is>
          <t>ÖSTHAMMAR</t>
        </is>
      </c>
      <c r="F339" t="inlineStr">
        <is>
          <t>Bergvik skog väst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3420-2025</t>
        </is>
      </c>
      <c r="B340" s="1" t="n">
        <v>45680</v>
      </c>
      <c r="C340" s="1" t="n">
        <v>46063</v>
      </c>
      <c r="D340" t="inlineStr">
        <is>
          <t>UPPSALA LÄN</t>
        </is>
      </c>
      <c r="E340" t="inlineStr">
        <is>
          <t>ÖSTHAMMAR</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14505-2023</t>
        </is>
      </c>
      <c r="B341" s="1" t="n">
        <v>45012.7975</v>
      </c>
      <c r="C341" s="1" t="n">
        <v>46063</v>
      </c>
      <c r="D341" t="inlineStr">
        <is>
          <t>UPPSALA LÄN</t>
        </is>
      </c>
      <c r="E341" t="inlineStr">
        <is>
          <t>ÖSTHAMMAR</t>
        </is>
      </c>
      <c r="F341" t="inlineStr">
        <is>
          <t>Bergvik skog öst AB</t>
        </is>
      </c>
      <c r="G341" t="n">
        <v>1.1</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44496.57019675926</v>
      </c>
      <c r="C342" s="1" t="n">
        <v>46063</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24389-2025</t>
        </is>
      </c>
      <c r="B343" s="1" t="n">
        <v>45797.63553240741</v>
      </c>
      <c r="C343" s="1" t="n">
        <v>46063</v>
      </c>
      <c r="D343" t="inlineStr">
        <is>
          <t>UPPSALA LÄN</t>
        </is>
      </c>
      <c r="E343" t="inlineStr">
        <is>
          <t>ÖSTHAMMAR</t>
        </is>
      </c>
      <c r="G343" t="n">
        <v>1.1</v>
      </c>
      <c r="H343" t="n">
        <v>0</v>
      </c>
      <c r="I343" t="n">
        <v>0</v>
      </c>
      <c r="J343" t="n">
        <v>0</v>
      </c>
      <c r="K343" t="n">
        <v>0</v>
      </c>
      <c r="L343" t="n">
        <v>0</v>
      </c>
      <c r="M343" t="n">
        <v>0</v>
      </c>
      <c r="N343" t="n">
        <v>0</v>
      </c>
      <c r="O343" t="n">
        <v>0</v>
      </c>
      <c r="P343" t="n">
        <v>0</v>
      </c>
      <c r="Q343" t="n">
        <v>0</v>
      </c>
      <c r="R343" s="2" t="inlineStr"/>
    </row>
    <row r="344" ht="15" customHeight="1">
      <c r="A344" t="inlineStr">
        <is>
          <t>A 27384-2025</t>
        </is>
      </c>
      <c r="B344" s="1" t="n">
        <v>45812.6672337963</v>
      </c>
      <c r="C344" s="1" t="n">
        <v>46063</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62695-2023</t>
        </is>
      </c>
      <c r="B345" s="1" t="n">
        <v>45271</v>
      </c>
      <c r="C345" s="1" t="n">
        <v>46063</v>
      </c>
      <c r="D345" t="inlineStr">
        <is>
          <t>UPPSALA LÄN</t>
        </is>
      </c>
      <c r="E345" t="inlineStr">
        <is>
          <t>ÖSTHAMMAR</t>
        </is>
      </c>
      <c r="G345" t="n">
        <v>5.3</v>
      </c>
      <c r="H345" t="n">
        <v>0</v>
      </c>
      <c r="I345" t="n">
        <v>0</v>
      </c>
      <c r="J345" t="n">
        <v>0</v>
      </c>
      <c r="K345" t="n">
        <v>0</v>
      </c>
      <c r="L345" t="n">
        <v>0</v>
      </c>
      <c r="M345" t="n">
        <v>0</v>
      </c>
      <c r="N345" t="n">
        <v>0</v>
      </c>
      <c r="O345" t="n">
        <v>0</v>
      </c>
      <c r="P345" t="n">
        <v>0</v>
      </c>
      <c r="Q345" t="n">
        <v>0</v>
      </c>
      <c r="R345" s="2" t="inlineStr"/>
    </row>
    <row r="346" ht="15" customHeight="1">
      <c r="A346" t="inlineStr">
        <is>
          <t>A 28099-2025</t>
        </is>
      </c>
      <c r="B346" s="1" t="n">
        <v>45817.82967592592</v>
      </c>
      <c r="C346" s="1" t="n">
        <v>46063</v>
      </c>
      <c r="D346" t="inlineStr">
        <is>
          <t>UPPSALA LÄN</t>
        </is>
      </c>
      <c r="E346" t="inlineStr">
        <is>
          <t>ÖSTHAMMAR</t>
        </is>
      </c>
      <c r="F346" t="inlineStr">
        <is>
          <t>Bergvik skog öst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5076-2025</t>
        </is>
      </c>
      <c r="B347" s="1" t="n">
        <v>45691</v>
      </c>
      <c r="C347" s="1" t="n">
        <v>46063</v>
      </c>
      <c r="D347" t="inlineStr">
        <is>
          <t>UPPSALA LÄN</t>
        </is>
      </c>
      <c r="E347" t="inlineStr">
        <is>
          <t>ÖSTHAMMAR</t>
        </is>
      </c>
      <c r="G347" t="n">
        <v>5.8</v>
      </c>
      <c r="H347" t="n">
        <v>0</v>
      </c>
      <c r="I347" t="n">
        <v>0</v>
      </c>
      <c r="J347" t="n">
        <v>0</v>
      </c>
      <c r="K347" t="n">
        <v>0</v>
      </c>
      <c r="L347" t="n">
        <v>0</v>
      </c>
      <c r="M347" t="n">
        <v>0</v>
      </c>
      <c r="N347" t="n">
        <v>0</v>
      </c>
      <c r="O347" t="n">
        <v>0</v>
      </c>
      <c r="P347" t="n">
        <v>0</v>
      </c>
      <c r="Q347" t="n">
        <v>0</v>
      </c>
      <c r="R347" s="2" t="inlineStr"/>
    </row>
    <row r="348" ht="15" customHeight="1">
      <c r="A348" t="inlineStr">
        <is>
          <t>A 54437-2024</t>
        </is>
      </c>
      <c r="B348" s="1" t="n">
        <v>45617</v>
      </c>
      <c r="C348" s="1" t="n">
        <v>46063</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17929-2025</t>
        </is>
      </c>
      <c r="B349" s="1" t="n">
        <v>45759.56462962963</v>
      </c>
      <c r="C349" s="1" t="n">
        <v>46063</v>
      </c>
      <c r="D349" t="inlineStr">
        <is>
          <t>UPPSALA LÄN</t>
        </is>
      </c>
      <c r="E349" t="inlineStr">
        <is>
          <t>ÖSTHAMMAR</t>
        </is>
      </c>
      <c r="G349" t="n">
        <v>3.4</v>
      </c>
      <c r="H349" t="n">
        <v>0</v>
      </c>
      <c r="I349" t="n">
        <v>0</v>
      </c>
      <c r="J349" t="n">
        <v>0</v>
      </c>
      <c r="K349" t="n">
        <v>0</v>
      </c>
      <c r="L349" t="n">
        <v>0</v>
      </c>
      <c r="M349" t="n">
        <v>0</v>
      </c>
      <c r="N349" t="n">
        <v>0</v>
      </c>
      <c r="O349" t="n">
        <v>0</v>
      </c>
      <c r="P349" t="n">
        <v>0</v>
      </c>
      <c r="Q349" t="n">
        <v>0</v>
      </c>
      <c r="R349" s="2" t="inlineStr"/>
    </row>
    <row r="350" ht="15" customHeight="1">
      <c r="A350" t="inlineStr">
        <is>
          <t>A 36092-2025</t>
        </is>
      </c>
      <c r="B350" s="1" t="n">
        <v>45866.48244212963</v>
      </c>
      <c r="C350" s="1" t="n">
        <v>46063</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33927-2025</t>
        </is>
      </c>
      <c r="B351" s="1" t="n">
        <v>45842.62363425926</v>
      </c>
      <c r="C351" s="1" t="n">
        <v>46063</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43011-2025</t>
        </is>
      </c>
      <c r="B352" s="1" t="n">
        <v>45909.48989583334</v>
      </c>
      <c r="C352" s="1" t="n">
        <v>46063</v>
      </c>
      <c r="D352" t="inlineStr">
        <is>
          <t>UPPSALA LÄN</t>
        </is>
      </c>
      <c r="E352" t="inlineStr">
        <is>
          <t>ÖSTHAMMAR</t>
        </is>
      </c>
      <c r="F352" t="inlineStr">
        <is>
          <t>Övriga Aktiebolag</t>
        </is>
      </c>
      <c r="G352" t="n">
        <v>4.7</v>
      </c>
      <c r="H352" t="n">
        <v>0</v>
      </c>
      <c r="I352" t="n">
        <v>0</v>
      </c>
      <c r="J352" t="n">
        <v>0</v>
      </c>
      <c r="K352" t="n">
        <v>0</v>
      </c>
      <c r="L352" t="n">
        <v>0</v>
      </c>
      <c r="M352" t="n">
        <v>0</v>
      </c>
      <c r="N352" t="n">
        <v>0</v>
      </c>
      <c r="O352" t="n">
        <v>0</v>
      </c>
      <c r="P352" t="n">
        <v>0</v>
      </c>
      <c r="Q352" t="n">
        <v>0</v>
      </c>
      <c r="R352" s="2" t="inlineStr"/>
    </row>
    <row r="353" ht="15" customHeight="1">
      <c r="A353" t="inlineStr">
        <is>
          <t>A 23742-2024</t>
        </is>
      </c>
      <c r="B353" s="1" t="n">
        <v>45455</v>
      </c>
      <c r="C353" s="1" t="n">
        <v>46063</v>
      </c>
      <c r="D353" t="inlineStr">
        <is>
          <t>UPPSALA LÄN</t>
        </is>
      </c>
      <c r="E353" t="inlineStr">
        <is>
          <t>ÖSTHAMMAR</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29282-2021</t>
        </is>
      </c>
      <c r="B354" s="1" t="n">
        <v>44361</v>
      </c>
      <c r="C354" s="1" t="n">
        <v>46063</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42940-2025</t>
        </is>
      </c>
      <c r="B355" s="1" t="n">
        <v>45909.33440972222</v>
      </c>
      <c r="C355" s="1" t="n">
        <v>46063</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6039-2025</t>
        </is>
      </c>
      <c r="B356" s="1" t="n">
        <v>45695</v>
      </c>
      <c r="C356" s="1" t="n">
        <v>46063</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36451-2025</t>
        </is>
      </c>
      <c r="B357" s="1" t="n">
        <v>45869.4290625</v>
      </c>
      <c r="C357" s="1" t="n">
        <v>46063</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43622-2025</t>
        </is>
      </c>
      <c r="B358" s="1" t="n">
        <v>45911.68295138889</v>
      </c>
      <c r="C358" s="1" t="n">
        <v>46063</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8769-2025</t>
        </is>
      </c>
      <c r="B359" s="1" t="n">
        <v>45712.59412037037</v>
      </c>
      <c r="C359" s="1" t="n">
        <v>46063</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43604-2025</t>
        </is>
      </c>
      <c r="B360" s="1" t="n">
        <v>45911.66671296296</v>
      </c>
      <c r="C360" s="1" t="n">
        <v>46063</v>
      </c>
      <c r="D360" t="inlineStr">
        <is>
          <t>UPPSALA LÄN</t>
        </is>
      </c>
      <c r="E360" t="inlineStr">
        <is>
          <t>ÖSTHAMMAR</t>
        </is>
      </c>
      <c r="G360" t="n">
        <v>8.5</v>
      </c>
      <c r="H360" t="n">
        <v>0</v>
      </c>
      <c r="I360" t="n">
        <v>0</v>
      </c>
      <c r="J360" t="n">
        <v>0</v>
      </c>
      <c r="K360" t="n">
        <v>0</v>
      </c>
      <c r="L360" t="n">
        <v>0</v>
      </c>
      <c r="M360" t="n">
        <v>0</v>
      </c>
      <c r="N360" t="n">
        <v>0</v>
      </c>
      <c r="O360" t="n">
        <v>0</v>
      </c>
      <c r="P360" t="n">
        <v>0</v>
      </c>
      <c r="Q360" t="n">
        <v>0</v>
      </c>
      <c r="R360" s="2" t="inlineStr"/>
    </row>
    <row r="361" ht="15" customHeight="1">
      <c r="A361" t="inlineStr">
        <is>
          <t>A 20326-2021</t>
        </is>
      </c>
      <c r="B361" s="1" t="n">
        <v>44308</v>
      </c>
      <c r="C361" s="1" t="n">
        <v>46063</v>
      </c>
      <c r="D361" t="inlineStr">
        <is>
          <t>UPPSALA LÄN</t>
        </is>
      </c>
      <c r="E361" t="inlineStr">
        <is>
          <t>ÖSTHAMMAR</t>
        </is>
      </c>
      <c r="G361" t="n">
        <v>7</v>
      </c>
      <c r="H361" t="n">
        <v>0</v>
      </c>
      <c r="I361" t="n">
        <v>0</v>
      </c>
      <c r="J361" t="n">
        <v>0</v>
      </c>
      <c r="K361" t="n">
        <v>0</v>
      </c>
      <c r="L361" t="n">
        <v>0</v>
      </c>
      <c r="M361" t="n">
        <v>0</v>
      </c>
      <c r="N361" t="n">
        <v>0</v>
      </c>
      <c r="O361" t="n">
        <v>0</v>
      </c>
      <c r="P361" t="n">
        <v>0</v>
      </c>
      <c r="Q361" t="n">
        <v>0</v>
      </c>
      <c r="R361" s="2" t="inlineStr"/>
    </row>
    <row r="362" ht="15" customHeight="1">
      <c r="A362" t="inlineStr">
        <is>
          <t>A 55086-2024</t>
        </is>
      </c>
      <c r="B362" s="1" t="n">
        <v>45621.43098379629</v>
      </c>
      <c r="C362" s="1" t="n">
        <v>46063</v>
      </c>
      <c r="D362" t="inlineStr">
        <is>
          <t>UPPSALA LÄN</t>
        </is>
      </c>
      <c r="E362" t="inlineStr">
        <is>
          <t>ÖSTHAMMAR</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55090-2024</t>
        </is>
      </c>
      <c r="B363" s="1" t="n">
        <v>45621.4350462963</v>
      </c>
      <c r="C363" s="1" t="n">
        <v>46063</v>
      </c>
      <c r="D363" t="inlineStr">
        <is>
          <t>UPPSALA LÄN</t>
        </is>
      </c>
      <c r="E363" t="inlineStr">
        <is>
          <t>ÖSTHAMMAR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55093-2024</t>
        </is>
      </c>
      <c r="B364" s="1" t="n">
        <v>45621.43712962963</v>
      </c>
      <c r="C364" s="1" t="n">
        <v>46063</v>
      </c>
      <c r="D364" t="inlineStr">
        <is>
          <t>UPPSALA LÄN</t>
        </is>
      </c>
      <c r="E364" t="inlineStr">
        <is>
          <t>ÖSTHAMMAR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36646-2025</t>
        </is>
      </c>
      <c r="B365" s="1" t="n">
        <v>45872</v>
      </c>
      <c r="C365" s="1" t="n">
        <v>46063</v>
      </c>
      <c r="D365" t="inlineStr">
        <is>
          <t>UPPSALA LÄN</t>
        </is>
      </c>
      <c r="E365" t="inlineStr">
        <is>
          <t>ÖSTHAMMAR</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28432-2023</t>
        </is>
      </c>
      <c r="B366" s="1" t="n">
        <v>45102.59896990741</v>
      </c>
      <c r="C366" s="1" t="n">
        <v>46063</v>
      </c>
      <c r="D366" t="inlineStr">
        <is>
          <t>UPPSALA LÄN</t>
        </is>
      </c>
      <c r="E366" t="inlineStr">
        <is>
          <t>ÖSTHAMMAR</t>
        </is>
      </c>
      <c r="F366" t="inlineStr">
        <is>
          <t>Bergvik skog öst AB</t>
        </is>
      </c>
      <c r="G366" t="n">
        <v>3.9</v>
      </c>
      <c r="H366" t="n">
        <v>0</v>
      </c>
      <c r="I366" t="n">
        <v>0</v>
      </c>
      <c r="J366" t="n">
        <v>0</v>
      </c>
      <c r="K366" t="n">
        <v>0</v>
      </c>
      <c r="L366" t="n">
        <v>0</v>
      </c>
      <c r="M366" t="n">
        <v>0</v>
      </c>
      <c r="N366" t="n">
        <v>0</v>
      </c>
      <c r="O366" t="n">
        <v>0</v>
      </c>
      <c r="P366" t="n">
        <v>0</v>
      </c>
      <c r="Q366" t="n">
        <v>0</v>
      </c>
      <c r="R366" s="2" t="inlineStr"/>
    </row>
    <row r="367" ht="15" customHeight="1">
      <c r="A367" t="inlineStr">
        <is>
          <t>A 36643-2025</t>
        </is>
      </c>
      <c r="B367" s="1" t="n">
        <v>45872.47782407407</v>
      </c>
      <c r="C367" s="1" t="n">
        <v>46063</v>
      </c>
      <c r="D367" t="inlineStr">
        <is>
          <t>UPPSALA LÄN</t>
        </is>
      </c>
      <c r="E367" t="inlineStr">
        <is>
          <t>ÖSTHAMMAR</t>
        </is>
      </c>
      <c r="F367" t="inlineStr">
        <is>
          <t>Bergvik skog öst AB</t>
        </is>
      </c>
      <c r="G367" t="n">
        <v>15.1</v>
      </c>
      <c r="H367" t="n">
        <v>0</v>
      </c>
      <c r="I367" t="n">
        <v>0</v>
      </c>
      <c r="J367" t="n">
        <v>0</v>
      </c>
      <c r="K367" t="n">
        <v>0</v>
      </c>
      <c r="L367" t="n">
        <v>0</v>
      </c>
      <c r="M367" t="n">
        <v>0</v>
      </c>
      <c r="N367" t="n">
        <v>0</v>
      </c>
      <c r="O367" t="n">
        <v>0</v>
      </c>
      <c r="P367" t="n">
        <v>0</v>
      </c>
      <c r="Q367" t="n">
        <v>0</v>
      </c>
      <c r="R367" s="2" t="inlineStr"/>
    </row>
    <row r="368" ht="15" customHeight="1">
      <c r="A368" t="inlineStr">
        <is>
          <t>A 43915-2023</t>
        </is>
      </c>
      <c r="B368" s="1" t="n">
        <v>45187.71274305556</v>
      </c>
      <c r="C368" s="1" t="n">
        <v>46063</v>
      </c>
      <c r="D368" t="inlineStr">
        <is>
          <t>UPPSALA LÄN</t>
        </is>
      </c>
      <c r="E368" t="inlineStr">
        <is>
          <t>ÖSTHAMMAR</t>
        </is>
      </c>
      <c r="F368" t="inlineStr">
        <is>
          <t>Bergvik skog öst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21478-2023</t>
        </is>
      </c>
      <c r="B369" s="1" t="n">
        <v>45063.47773148148</v>
      </c>
      <c r="C369" s="1" t="n">
        <v>46063</v>
      </c>
      <c r="D369" t="inlineStr">
        <is>
          <t>UPPSALA LÄN</t>
        </is>
      </c>
      <c r="E369" t="inlineStr">
        <is>
          <t>ÖSTHAMMAR</t>
        </is>
      </c>
      <c r="G369" t="n">
        <v>0.4</v>
      </c>
      <c r="H369" t="n">
        <v>0</v>
      </c>
      <c r="I369" t="n">
        <v>0</v>
      </c>
      <c r="J369" t="n">
        <v>0</v>
      </c>
      <c r="K369" t="n">
        <v>0</v>
      </c>
      <c r="L369" t="n">
        <v>0</v>
      </c>
      <c r="M369" t="n">
        <v>0</v>
      </c>
      <c r="N369" t="n">
        <v>0</v>
      </c>
      <c r="O369" t="n">
        <v>0</v>
      </c>
      <c r="P369" t="n">
        <v>0</v>
      </c>
      <c r="Q369" t="n">
        <v>0</v>
      </c>
      <c r="R369" s="2" t="inlineStr"/>
    </row>
    <row r="370" ht="15" customHeight="1">
      <c r="A370" t="inlineStr">
        <is>
          <t>A 36645-2025</t>
        </is>
      </c>
      <c r="B370" s="1" t="n">
        <v>45872</v>
      </c>
      <c r="C370" s="1" t="n">
        <v>46063</v>
      </c>
      <c r="D370" t="inlineStr">
        <is>
          <t>UPPSALA LÄN</t>
        </is>
      </c>
      <c r="E370" t="inlineStr">
        <is>
          <t>ÖSTHAMMAR</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36644-2025</t>
        </is>
      </c>
      <c r="B371" s="1" t="n">
        <v>45872.48738425926</v>
      </c>
      <c r="C371" s="1" t="n">
        <v>46063</v>
      </c>
      <c r="D371" t="inlineStr">
        <is>
          <t>UPPSALA LÄN</t>
        </is>
      </c>
      <c r="E371" t="inlineStr">
        <is>
          <t>ÖSTHAMMAR</t>
        </is>
      </c>
      <c r="F371" t="inlineStr">
        <is>
          <t>Bergvik skog öst AB</t>
        </is>
      </c>
      <c r="G371" t="n">
        <v>1.6</v>
      </c>
      <c r="H371" t="n">
        <v>0</v>
      </c>
      <c r="I371" t="n">
        <v>0</v>
      </c>
      <c r="J371" t="n">
        <v>0</v>
      </c>
      <c r="K371" t="n">
        <v>0</v>
      </c>
      <c r="L371" t="n">
        <v>0</v>
      </c>
      <c r="M371" t="n">
        <v>0</v>
      </c>
      <c r="N371" t="n">
        <v>0</v>
      </c>
      <c r="O371" t="n">
        <v>0</v>
      </c>
      <c r="P371" t="n">
        <v>0</v>
      </c>
      <c r="Q371" t="n">
        <v>0</v>
      </c>
      <c r="R371" s="2" t="inlineStr"/>
    </row>
    <row r="372" ht="15" customHeight="1">
      <c r="A372" t="inlineStr">
        <is>
          <t>A 13352-2023</t>
        </is>
      </c>
      <c r="B372" s="1" t="n">
        <v>45005</v>
      </c>
      <c r="C372" s="1" t="n">
        <v>46063</v>
      </c>
      <c r="D372" t="inlineStr">
        <is>
          <t>UPPSALA LÄN</t>
        </is>
      </c>
      <c r="E372" t="inlineStr">
        <is>
          <t>ÖSTHAMMAR</t>
        </is>
      </c>
      <c r="G372" t="n">
        <v>1.8</v>
      </c>
      <c r="H372" t="n">
        <v>0</v>
      </c>
      <c r="I372" t="n">
        <v>0</v>
      </c>
      <c r="J372" t="n">
        <v>0</v>
      </c>
      <c r="K372" t="n">
        <v>0</v>
      </c>
      <c r="L372" t="n">
        <v>0</v>
      </c>
      <c r="M372" t="n">
        <v>0</v>
      </c>
      <c r="N372" t="n">
        <v>0</v>
      </c>
      <c r="O372" t="n">
        <v>0</v>
      </c>
      <c r="P372" t="n">
        <v>0</v>
      </c>
      <c r="Q372" t="n">
        <v>0</v>
      </c>
      <c r="R372" s="2" t="inlineStr"/>
    </row>
    <row r="373" ht="15" customHeight="1">
      <c r="A373" t="inlineStr">
        <is>
          <t>A 44491-2025</t>
        </is>
      </c>
      <c r="B373" s="1" t="n">
        <v>45916.66152777777</v>
      </c>
      <c r="C373" s="1" t="n">
        <v>46063</v>
      </c>
      <c r="D373" t="inlineStr">
        <is>
          <t>UPPSALA LÄN</t>
        </is>
      </c>
      <c r="E373" t="inlineStr">
        <is>
          <t>ÖSTHAMMAR</t>
        </is>
      </c>
      <c r="F373" t="inlineStr">
        <is>
          <t>Bergvik skog öst AB</t>
        </is>
      </c>
      <c r="G373" t="n">
        <v>4.3</v>
      </c>
      <c r="H373" t="n">
        <v>0</v>
      </c>
      <c r="I373" t="n">
        <v>0</v>
      </c>
      <c r="J373" t="n">
        <v>0</v>
      </c>
      <c r="K373" t="n">
        <v>0</v>
      </c>
      <c r="L373" t="n">
        <v>0</v>
      </c>
      <c r="M373" t="n">
        <v>0</v>
      </c>
      <c r="N373" t="n">
        <v>0</v>
      </c>
      <c r="O373" t="n">
        <v>0</v>
      </c>
      <c r="P373" t="n">
        <v>0</v>
      </c>
      <c r="Q373" t="n">
        <v>0</v>
      </c>
      <c r="R373" s="2" t="inlineStr"/>
    </row>
    <row r="374" ht="15" customHeight="1">
      <c r="A374" t="inlineStr">
        <is>
          <t>A 36343-2022</t>
        </is>
      </c>
      <c r="B374" s="1" t="n">
        <v>44803.78524305556</v>
      </c>
      <c r="C374" s="1" t="n">
        <v>46063</v>
      </c>
      <c r="D374" t="inlineStr">
        <is>
          <t>UPPSALA LÄN</t>
        </is>
      </c>
      <c r="E374" t="inlineStr">
        <is>
          <t>ÖSTHAMMAR</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357-2025</t>
        </is>
      </c>
      <c r="B375" s="1" t="n">
        <v>45659</v>
      </c>
      <c r="C375" s="1" t="n">
        <v>46063</v>
      </c>
      <c r="D375" t="inlineStr">
        <is>
          <t>UPPSALA LÄN</t>
        </is>
      </c>
      <c r="E375" t="inlineStr">
        <is>
          <t>ÖSTHAMMAR</t>
        </is>
      </c>
      <c r="G375" t="n">
        <v>15.8</v>
      </c>
      <c r="H375" t="n">
        <v>0</v>
      </c>
      <c r="I375" t="n">
        <v>0</v>
      </c>
      <c r="J375" t="n">
        <v>0</v>
      </c>
      <c r="K375" t="n">
        <v>0</v>
      </c>
      <c r="L375" t="n">
        <v>0</v>
      </c>
      <c r="M375" t="n">
        <v>0</v>
      </c>
      <c r="N375" t="n">
        <v>0</v>
      </c>
      <c r="O375" t="n">
        <v>0</v>
      </c>
      <c r="P375" t="n">
        <v>0</v>
      </c>
      <c r="Q375" t="n">
        <v>0</v>
      </c>
      <c r="R375" s="2" t="inlineStr"/>
    </row>
    <row r="376" ht="15" customHeight="1">
      <c r="A376" t="inlineStr">
        <is>
          <t>A 44917-2025</t>
        </is>
      </c>
      <c r="B376" s="1" t="n">
        <v>45918.54903935185</v>
      </c>
      <c r="C376" s="1" t="n">
        <v>46063</v>
      </c>
      <c r="D376" t="inlineStr">
        <is>
          <t>UPPSALA LÄN</t>
        </is>
      </c>
      <c r="E376" t="inlineStr">
        <is>
          <t>ÖSTHAMMAR</t>
        </is>
      </c>
      <c r="F376" t="inlineStr">
        <is>
          <t>Allmännings- och besparingsskogar</t>
        </is>
      </c>
      <c r="G376" t="n">
        <v>16</v>
      </c>
      <c r="H376" t="n">
        <v>0</v>
      </c>
      <c r="I376" t="n">
        <v>0</v>
      </c>
      <c r="J376" t="n">
        <v>0</v>
      </c>
      <c r="K376" t="n">
        <v>0</v>
      </c>
      <c r="L376" t="n">
        <v>0</v>
      </c>
      <c r="M376" t="n">
        <v>0</v>
      </c>
      <c r="N376" t="n">
        <v>0</v>
      </c>
      <c r="O376" t="n">
        <v>0</v>
      </c>
      <c r="P376" t="n">
        <v>0</v>
      </c>
      <c r="Q376" t="n">
        <v>0</v>
      </c>
      <c r="R376" s="2" t="inlineStr"/>
    </row>
    <row r="377" ht="15" customHeight="1">
      <c r="A377" t="inlineStr">
        <is>
          <t>A 18731-2022</t>
        </is>
      </c>
      <c r="B377" s="1" t="n">
        <v>44687.78673611111</v>
      </c>
      <c r="C377" s="1" t="n">
        <v>46063</v>
      </c>
      <c r="D377" t="inlineStr">
        <is>
          <t>UPPSALA LÄN</t>
        </is>
      </c>
      <c r="E377" t="inlineStr">
        <is>
          <t>ÖSTHAMMAR</t>
        </is>
      </c>
      <c r="G377" t="n">
        <v>4.9</v>
      </c>
      <c r="H377" t="n">
        <v>0</v>
      </c>
      <c r="I377" t="n">
        <v>0</v>
      </c>
      <c r="J377" t="n">
        <v>0</v>
      </c>
      <c r="K377" t="n">
        <v>0</v>
      </c>
      <c r="L377" t="n">
        <v>0</v>
      </c>
      <c r="M377" t="n">
        <v>0</v>
      </c>
      <c r="N377" t="n">
        <v>0</v>
      </c>
      <c r="O377" t="n">
        <v>0</v>
      </c>
      <c r="P377" t="n">
        <v>0</v>
      </c>
      <c r="Q377" t="n">
        <v>0</v>
      </c>
      <c r="R377" s="2" t="inlineStr"/>
    </row>
    <row r="378" ht="15" customHeight="1">
      <c r="A378" t="inlineStr">
        <is>
          <t>A 23495-2023</t>
        </is>
      </c>
      <c r="B378" s="1" t="n">
        <v>45076.71652777777</v>
      </c>
      <c r="C378" s="1" t="n">
        <v>46063</v>
      </c>
      <c r="D378" t="inlineStr">
        <is>
          <t>UPPSALA LÄN</t>
        </is>
      </c>
      <c r="E378" t="inlineStr">
        <is>
          <t>ÖSTHAMMAR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1063-2025</t>
        </is>
      </c>
      <c r="B379" s="1" t="n">
        <v>45666</v>
      </c>
      <c r="C379" s="1" t="n">
        <v>46063</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10495-2025</t>
        </is>
      </c>
      <c r="B380" s="1" t="n">
        <v>45721</v>
      </c>
      <c r="C380" s="1" t="n">
        <v>46063</v>
      </c>
      <c r="D380" t="inlineStr">
        <is>
          <t>UPPSALA LÄN</t>
        </is>
      </c>
      <c r="E380" t="inlineStr">
        <is>
          <t>ÖSTHAMMAR</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37656-2025</t>
        </is>
      </c>
      <c r="B381" s="1" t="n">
        <v>45880</v>
      </c>
      <c r="C381" s="1" t="n">
        <v>46063</v>
      </c>
      <c r="D381" t="inlineStr">
        <is>
          <t>UPPSALA LÄN</t>
        </is>
      </c>
      <c r="E381" t="inlineStr">
        <is>
          <t>ÖSTHAMMAR</t>
        </is>
      </c>
      <c r="G381" t="n">
        <v>4.3</v>
      </c>
      <c r="H381" t="n">
        <v>0</v>
      </c>
      <c r="I381" t="n">
        <v>0</v>
      </c>
      <c r="J381" t="n">
        <v>0</v>
      </c>
      <c r="K381" t="n">
        <v>0</v>
      </c>
      <c r="L381" t="n">
        <v>0</v>
      </c>
      <c r="M381" t="n">
        <v>0</v>
      </c>
      <c r="N381" t="n">
        <v>0</v>
      </c>
      <c r="O381" t="n">
        <v>0</v>
      </c>
      <c r="P381" t="n">
        <v>0</v>
      </c>
      <c r="Q381" t="n">
        <v>0</v>
      </c>
      <c r="R381" s="2" t="inlineStr"/>
    </row>
    <row r="382" ht="15" customHeight="1">
      <c r="A382" t="inlineStr">
        <is>
          <t>A 37764-2025</t>
        </is>
      </c>
      <c r="B382" s="1" t="n">
        <v>45880.70917824074</v>
      </c>
      <c r="C382" s="1" t="n">
        <v>46063</v>
      </c>
      <c r="D382" t="inlineStr">
        <is>
          <t>UPPSALA LÄN</t>
        </is>
      </c>
      <c r="E382" t="inlineStr">
        <is>
          <t>ÖSTHAMMAR</t>
        </is>
      </c>
      <c r="G382" t="n">
        <v>4.6</v>
      </c>
      <c r="H382" t="n">
        <v>0</v>
      </c>
      <c r="I382" t="n">
        <v>0</v>
      </c>
      <c r="J382" t="n">
        <v>0</v>
      </c>
      <c r="K382" t="n">
        <v>0</v>
      </c>
      <c r="L382" t="n">
        <v>0</v>
      </c>
      <c r="M382" t="n">
        <v>0</v>
      </c>
      <c r="N382" t="n">
        <v>0</v>
      </c>
      <c r="O382" t="n">
        <v>0</v>
      </c>
      <c r="P382" t="n">
        <v>0</v>
      </c>
      <c r="Q382" t="n">
        <v>0</v>
      </c>
      <c r="R382" s="2" t="inlineStr"/>
    </row>
    <row r="383" ht="15" customHeight="1">
      <c r="A383" t="inlineStr">
        <is>
          <t>A 45105-2025</t>
        </is>
      </c>
      <c r="B383" s="1" t="n">
        <v>45919.40252314815</v>
      </c>
      <c r="C383" s="1" t="n">
        <v>46063</v>
      </c>
      <c r="D383" t="inlineStr">
        <is>
          <t>UPPSALA LÄN</t>
        </is>
      </c>
      <c r="E383" t="inlineStr">
        <is>
          <t>ÖSTHAMMAR</t>
        </is>
      </c>
      <c r="G383" t="n">
        <v>0.8</v>
      </c>
      <c r="H383" t="n">
        <v>0</v>
      </c>
      <c r="I383" t="n">
        <v>0</v>
      </c>
      <c r="J383" t="n">
        <v>0</v>
      </c>
      <c r="K383" t="n">
        <v>0</v>
      </c>
      <c r="L383" t="n">
        <v>0</v>
      </c>
      <c r="M383" t="n">
        <v>0</v>
      </c>
      <c r="N383" t="n">
        <v>0</v>
      </c>
      <c r="O383" t="n">
        <v>0</v>
      </c>
      <c r="P383" t="n">
        <v>0</v>
      </c>
      <c r="Q383" t="n">
        <v>0</v>
      </c>
      <c r="R383" s="2" t="inlineStr"/>
    </row>
    <row r="384" ht="15" customHeight="1">
      <c r="A384" t="inlineStr">
        <is>
          <t>A 4356-2025</t>
        </is>
      </c>
      <c r="B384" s="1" t="n">
        <v>45686</v>
      </c>
      <c r="C384" s="1" t="n">
        <v>46063</v>
      </c>
      <c r="D384" t="inlineStr">
        <is>
          <t>UPPSALA LÄN</t>
        </is>
      </c>
      <c r="E384" t="inlineStr">
        <is>
          <t>ÖSTHAMMAR</t>
        </is>
      </c>
      <c r="F384" t="inlineStr">
        <is>
          <t>Övriga Aktiebolag</t>
        </is>
      </c>
      <c r="G384" t="n">
        <v>24.6</v>
      </c>
      <c r="H384" t="n">
        <v>0</v>
      </c>
      <c r="I384" t="n">
        <v>0</v>
      </c>
      <c r="J384" t="n">
        <v>0</v>
      </c>
      <c r="K384" t="n">
        <v>0</v>
      </c>
      <c r="L384" t="n">
        <v>0</v>
      </c>
      <c r="M384" t="n">
        <v>0</v>
      </c>
      <c r="N384" t="n">
        <v>0</v>
      </c>
      <c r="O384" t="n">
        <v>0</v>
      </c>
      <c r="P384" t="n">
        <v>0</v>
      </c>
      <c r="Q384" t="n">
        <v>0</v>
      </c>
      <c r="R384" s="2" t="inlineStr"/>
    </row>
    <row r="385" ht="15" customHeight="1">
      <c r="A385" t="inlineStr">
        <is>
          <t>A 5189-2025</t>
        </is>
      </c>
      <c r="B385" s="1" t="n">
        <v>45691</v>
      </c>
      <c r="C385" s="1" t="n">
        <v>46063</v>
      </c>
      <c r="D385" t="inlineStr">
        <is>
          <t>UPPSALA LÄN</t>
        </is>
      </c>
      <c r="E385" t="inlineStr">
        <is>
          <t>ÖSTHAMMAR</t>
        </is>
      </c>
      <c r="F385" t="inlineStr">
        <is>
          <t>Bergvik skog öst AB</t>
        </is>
      </c>
      <c r="G385" t="n">
        <v>24.4</v>
      </c>
      <c r="H385" t="n">
        <v>0</v>
      </c>
      <c r="I385" t="n">
        <v>0</v>
      </c>
      <c r="J385" t="n">
        <v>0</v>
      </c>
      <c r="K385" t="n">
        <v>0</v>
      </c>
      <c r="L385" t="n">
        <v>0</v>
      </c>
      <c r="M385" t="n">
        <v>0</v>
      </c>
      <c r="N385" t="n">
        <v>0</v>
      </c>
      <c r="O385" t="n">
        <v>0</v>
      </c>
      <c r="P385" t="n">
        <v>0</v>
      </c>
      <c r="Q385" t="n">
        <v>0</v>
      </c>
      <c r="R385" s="2" t="inlineStr"/>
    </row>
    <row r="386" ht="15" customHeight="1">
      <c r="A386" t="inlineStr">
        <is>
          <t>A 17085-2025</t>
        </is>
      </c>
      <c r="B386" s="1" t="n">
        <v>45755.64612268518</v>
      </c>
      <c r="C386" s="1" t="n">
        <v>46063</v>
      </c>
      <c r="D386" t="inlineStr">
        <is>
          <t>UPPSALA LÄN</t>
        </is>
      </c>
      <c r="E386" t="inlineStr">
        <is>
          <t>ÖSTHAMMAR</t>
        </is>
      </c>
      <c r="F386" t="inlineStr">
        <is>
          <t>Bergvik skog öst AB</t>
        </is>
      </c>
      <c r="G386" t="n">
        <v>0.6</v>
      </c>
      <c r="H386" t="n">
        <v>0</v>
      </c>
      <c r="I386" t="n">
        <v>0</v>
      </c>
      <c r="J386" t="n">
        <v>0</v>
      </c>
      <c r="K386" t="n">
        <v>0</v>
      </c>
      <c r="L386" t="n">
        <v>0</v>
      </c>
      <c r="M386" t="n">
        <v>0</v>
      </c>
      <c r="N386" t="n">
        <v>0</v>
      </c>
      <c r="O386" t="n">
        <v>0</v>
      </c>
      <c r="P386" t="n">
        <v>0</v>
      </c>
      <c r="Q386" t="n">
        <v>0</v>
      </c>
      <c r="R386" s="2" t="inlineStr"/>
    </row>
    <row r="387" ht="15" customHeight="1">
      <c r="A387" t="inlineStr">
        <is>
          <t>A 45102-2025</t>
        </is>
      </c>
      <c r="B387" s="1" t="n">
        <v>45919.39731481481</v>
      </c>
      <c r="C387" s="1" t="n">
        <v>46063</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7118-2023</t>
        </is>
      </c>
      <c r="B388" s="1" t="n">
        <v>44970.39591435185</v>
      </c>
      <c r="C388" s="1" t="n">
        <v>46063</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37770-2025</t>
        </is>
      </c>
      <c r="B389" s="1" t="n">
        <v>45880.7505787037</v>
      </c>
      <c r="C389" s="1" t="n">
        <v>46063</v>
      </c>
      <c r="D389" t="inlineStr">
        <is>
          <t>UPPSALA LÄN</t>
        </is>
      </c>
      <c r="E389" t="inlineStr">
        <is>
          <t>ÖSTHAMMAR</t>
        </is>
      </c>
      <c r="G389" t="n">
        <v>2.9</v>
      </c>
      <c r="H389" t="n">
        <v>0</v>
      </c>
      <c r="I389" t="n">
        <v>0</v>
      </c>
      <c r="J389" t="n">
        <v>0</v>
      </c>
      <c r="K389" t="n">
        <v>0</v>
      </c>
      <c r="L389" t="n">
        <v>0</v>
      </c>
      <c r="M389" t="n">
        <v>0</v>
      </c>
      <c r="N389" t="n">
        <v>0</v>
      </c>
      <c r="O389" t="n">
        <v>0</v>
      </c>
      <c r="P389" t="n">
        <v>0</v>
      </c>
      <c r="Q389" t="n">
        <v>0</v>
      </c>
      <c r="R389" s="2" t="inlineStr"/>
    </row>
    <row r="390" ht="15" customHeight="1">
      <c r="A390" t="inlineStr">
        <is>
          <t>A 45720-2025</t>
        </is>
      </c>
      <c r="B390" s="1" t="n">
        <v>45923.44583333333</v>
      </c>
      <c r="C390" s="1" t="n">
        <v>46063</v>
      </c>
      <c r="D390" t="inlineStr">
        <is>
          <t>UPPSALA LÄN</t>
        </is>
      </c>
      <c r="E390" t="inlineStr">
        <is>
          <t>ÖSTHAMMAR</t>
        </is>
      </c>
      <c r="F390" t="inlineStr">
        <is>
          <t>Övriga Aktiebolag</t>
        </is>
      </c>
      <c r="G390" t="n">
        <v>2.8</v>
      </c>
      <c r="H390" t="n">
        <v>0</v>
      </c>
      <c r="I390" t="n">
        <v>0</v>
      </c>
      <c r="J390" t="n">
        <v>0</v>
      </c>
      <c r="K390" t="n">
        <v>0</v>
      </c>
      <c r="L390" t="n">
        <v>0</v>
      </c>
      <c r="M390" t="n">
        <v>0</v>
      </c>
      <c r="N390" t="n">
        <v>0</v>
      </c>
      <c r="O390" t="n">
        <v>0</v>
      </c>
      <c r="P390" t="n">
        <v>0</v>
      </c>
      <c r="Q390" t="n">
        <v>0</v>
      </c>
      <c r="R390" s="2" t="inlineStr"/>
    </row>
    <row r="391" ht="15" customHeight="1">
      <c r="A391" t="inlineStr">
        <is>
          <t>A 45721-2025</t>
        </is>
      </c>
      <c r="B391" s="1" t="n">
        <v>45923.44844907407</v>
      </c>
      <c r="C391" s="1" t="n">
        <v>46063</v>
      </c>
      <c r="D391" t="inlineStr">
        <is>
          <t>UPPSALA LÄN</t>
        </is>
      </c>
      <c r="E391" t="inlineStr">
        <is>
          <t>ÖSTHAMMAR</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45993-2025</t>
        </is>
      </c>
      <c r="B392" s="1" t="n">
        <v>45924.39706018518</v>
      </c>
      <c r="C392" s="1" t="n">
        <v>46063</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46088-2025</t>
        </is>
      </c>
      <c r="B393" s="1" t="n">
        <v>45924.52010416667</v>
      </c>
      <c r="C393" s="1" t="n">
        <v>46063</v>
      </c>
      <c r="D393" t="inlineStr">
        <is>
          <t>UPPSALA LÄN</t>
        </is>
      </c>
      <c r="E393" t="inlineStr">
        <is>
          <t>ÖSTHAMMAR</t>
        </is>
      </c>
      <c r="F393" t="inlineStr">
        <is>
          <t>Bergvik skog öst AB</t>
        </is>
      </c>
      <c r="G393" t="n">
        <v>2.7</v>
      </c>
      <c r="H393" t="n">
        <v>0</v>
      </c>
      <c r="I393" t="n">
        <v>0</v>
      </c>
      <c r="J393" t="n">
        <v>0</v>
      </c>
      <c r="K393" t="n">
        <v>0</v>
      </c>
      <c r="L393" t="n">
        <v>0</v>
      </c>
      <c r="M393" t="n">
        <v>0</v>
      </c>
      <c r="N393" t="n">
        <v>0</v>
      </c>
      <c r="O393" t="n">
        <v>0</v>
      </c>
      <c r="P393" t="n">
        <v>0</v>
      </c>
      <c r="Q393" t="n">
        <v>0</v>
      </c>
      <c r="R393" s="2" t="inlineStr"/>
    </row>
    <row r="394" ht="15" customHeight="1">
      <c r="A394" t="inlineStr">
        <is>
          <t>A 46089-2025</t>
        </is>
      </c>
      <c r="B394" s="1" t="n">
        <v>45924.52100694444</v>
      </c>
      <c r="C394" s="1" t="n">
        <v>46063</v>
      </c>
      <c r="D394" t="inlineStr">
        <is>
          <t>UPPSALA LÄN</t>
        </is>
      </c>
      <c r="E394" t="inlineStr">
        <is>
          <t>ÖSTHAMMAR</t>
        </is>
      </c>
      <c r="F394" t="inlineStr">
        <is>
          <t>Bergvik skog öst AB</t>
        </is>
      </c>
      <c r="G394" t="n">
        <v>2.6</v>
      </c>
      <c r="H394" t="n">
        <v>0</v>
      </c>
      <c r="I394" t="n">
        <v>0</v>
      </c>
      <c r="J394" t="n">
        <v>0</v>
      </c>
      <c r="K394" t="n">
        <v>0</v>
      </c>
      <c r="L394" t="n">
        <v>0</v>
      </c>
      <c r="M394" t="n">
        <v>0</v>
      </c>
      <c r="N394" t="n">
        <v>0</v>
      </c>
      <c r="O394" t="n">
        <v>0</v>
      </c>
      <c r="P394" t="n">
        <v>0</v>
      </c>
      <c r="Q394" t="n">
        <v>0</v>
      </c>
      <c r="R394" s="2" t="inlineStr"/>
    </row>
    <row r="395" ht="15" customHeight="1">
      <c r="A395" t="inlineStr">
        <is>
          <t>A 32244-2021</t>
        </is>
      </c>
      <c r="B395" s="1" t="n">
        <v>44371.45335648148</v>
      </c>
      <c r="C395" s="1" t="n">
        <v>46063</v>
      </c>
      <c r="D395" t="inlineStr">
        <is>
          <t>UPPSALA LÄN</t>
        </is>
      </c>
      <c r="E395" t="inlineStr">
        <is>
          <t>ÖSTHAMMAR</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33056-2021</t>
        </is>
      </c>
      <c r="B396" s="1" t="n">
        <v>44376.52438657408</v>
      </c>
      <c r="C396" s="1" t="n">
        <v>46063</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45715-2025</t>
        </is>
      </c>
      <c r="B397" s="1" t="n">
        <v>45923.44094907407</v>
      </c>
      <c r="C397" s="1" t="n">
        <v>46063</v>
      </c>
      <c r="D397" t="inlineStr">
        <is>
          <t>UPPSALA LÄN</t>
        </is>
      </c>
      <c r="E397" t="inlineStr">
        <is>
          <t>ÖSTHAMMAR</t>
        </is>
      </c>
      <c r="F397" t="inlineStr">
        <is>
          <t>Övriga Aktiebolag</t>
        </is>
      </c>
      <c r="G397" t="n">
        <v>3.4</v>
      </c>
      <c r="H397" t="n">
        <v>0</v>
      </c>
      <c r="I397" t="n">
        <v>0</v>
      </c>
      <c r="J397" t="n">
        <v>0</v>
      </c>
      <c r="K397" t="n">
        <v>0</v>
      </c>
      <c r="L397" t="n">
        <v>0</v>
      </c>
      <c r="M397" t="n">
        <v>0</v>
      </c>
      <c r="N397" t="n">
        <v>0</v>
      </c>
      <c r="O397" t="n">
        <v>0</v>
      </c>
      <c r="P397" t="n">
        <v>0</v>
      </c>
      <c r="Q397" t="n">
        <v>0</v>
      </c>
      <c r="R397" s="2" t="inlineStr"/>
    </row>
    <row r="398" ht="15" customHeight="1">
      <c r="A398" t="inlineStr">
        <is>
          <t>A 4292-2025</t>
        </is>
      </c>
      <c r="B398" s="1" t="n">
        <v>45685.66459490741</v>
      </c>
      <c r="C398" s="1" t="n">
        <v>46063</v>
      </c>
      <c r="D398" t="inlineStr">
        <is>
          <t>UPPSALA LÄN</t>
        </is>
      </c>
      <c r="E398" t="inlineStr">
        <is>
          <t>ÖSTHAMMAR</t>
        </is>
      </c>
      <c r="G398" t="n">
        <v>0.8</v>
      </c>
      <c r="H398" t="n">
        <v>0</v>
      </c>
      <c r="I398" t="n">
        <v>0</v>
      </c>
      <c r="J398" t="n">
        <v>0</v>
      </c>
      <c r="K398" t="n">
        <v>0</v>
      </c>
      <c r="L398" t="n">
        <v>0</v>
      </c>
      <c r="M398" t="n">
        <v>0</v>
      </c>
      <c r="N398" t="n">
        <v>0</v>
      </c>
      <c r="O398" t="n">
        <v>0</v>
      </c>
      <c r="P398" t="n">
        <v>0</v>
      </c>
      <c r="Q398" t="n">
        <v>0</v>
      </c>
      <c r="R398" s="2" t="inlineStr"/>
    </row>
    <row r="399" ht="15" customHeight="1">
      <c r="A399" t="inlineStr">
        <is>
          <t>A 8592-2022</t>
        </is>
      </c>
      <c r="B399" s="1" t="n">
        <v>44613</v>
      </c>
      <c r="C399" s="1" t="n">
        <v>46063</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3119-2025</t>
        </is>
      </c>
      <c r="B400" s="1" t="n">
        <v>45678</v>
      </c>
      <c r="C400" s="1" t="n">
        <v>46063</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17646-2025</t>
        </is>
      </c>
      <c r="B401" s="1" t="n">
        <v>45758.32872685185</v>
      </c>
      <c r="C401" s="1" t="n">
        <v>46063</v>
      </c>
      <c r="D401" t="inlineStr">
        <is>
          <t>UPPSALA LÄN</t>
        </is>
      </c>
      <c r="E401" t="inlineStr">
        <is>
          <t>ÖSTHAMMAR</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17648-2025</t>
        </is>
      </c>
      <c r="B402" s="1" t="n">
        <v>45758.33064814815</v>
      </c>
      <c r="C402" s="1" t="n">
        <v>46063</v>
      </c>
      <c r="D402" t="inlineStr">
        <is>
          <t>UPPSALA LÄN</t>
        </is>
      </c>
      <c r="E402" t="inlineStr">
        <is>
          <t>ÖSTHAMMAR</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47336-2025</t>
        </is>
      </c>
      <c r="B403" s="1" t="n">
        <v>45930.56592592593</v>
      </c>
      <c r="C403" s="1" t="n">
        <v>46063</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47337-2025</t>
        </is>
      </c>
      <c r="B404" s="1" t="n">
        <v>45930.56607638889</v>
      </c>
      <c r="C404" s="1" t="n">
        <v>46063</v>
      </c>
      <c r="D404" t="inlineStr">
        <is>
          <t>UPPSALA LÄN</t>
        </is>
      </c>
      <c r="E404" t="inlineStr">
        <is>
          <t>ÖSTHAMMAR</t>
        </is>
      </c>
      <c r="G404" t="n">
        <v>1.3</v>
      </c>
      <c r="H404" t="n">
        <v>0</v>
      </c>
      <c r="I404" t="n">
        <v>0</v>
      </c>
      <c r="J404" t="n">
        <v>0</v>
      </c>
      <c r="K404" t="n">
        <v>0</v>
      </c>
      <c r="L404" t="n">
        <v>0</v>
      </c>
      <c r="M404" t="n">
        <v>0</v>
      </c>
      <c r="N404" t="n">
        <v>0</v>
      </c>
      <c r="O404" t="n">
        <v>0</v>
      </c>
      <c r="P404" t="n">
        <v>0</v>
      </c>
      <c r="Q404" t="n">
        <v>0</v>
      </c>
      <c r="R404" s="2" t="inlineStr"/>
    </row>
    <row r="405" ht="15" customHeight="1">
      <c r="A405" t="inlineStr">
        <is>
          <t>A 47338-2025</t>
        </is>
      </c>
      <c r="B405" s="1" t="n">
        <v>45930.56626157407</v>
      </c>
      <c r="C405" s="1" t="n">
        <v>46063</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60047-2021</t>
        </is>
      </c>
      <c r="B406" s="1" t="n">
        <v>44495</v>
      </c>
      <c r="C406" s="1" t="n">
        <v>46063</v>
      </c>
      <c r="D406" t="inlineStr">
        <is>
          <t>UPPSALA LÄN</t>
        </is>
      </c>
      <c r="E406" t="inlineStr">
        <is>
          <t>ÖSTHAMMAR</t>
        </is>
      </c>
      <c r="F406" t="inlineStr">
        <is>
          <t>Övriga Aktiebolag</t>
        </is>
      </c>
      <c r="G406" t="n">
        <v>1.8</v>
      </c>
      <c r="H406" t="n">
        <v>0</v>
      </c>
      <c r="I406" t="n">
        <v>0</v>
      </c>
      <c r="J406" t="n">
        <v>0</v>
      </c>
      <c r="K406" t="n">
        <v>0</v>
      </c>
      <c r="L406" t="n">
        <v>0</v>
      </c>
      <c r="M406" t="n">
        <v>0</v>
      </c>
      <c r="N406" t="n">
        <v>0</v>
      </c>
      <c r="O406" t="n">
        <v>0</v>
      </c>
      <c r="P406" t="n">
        <v>0</v>
      </c>
      <c r="Q406" t="n">
        <v>0</v>
      </c>
      <c r="R406" s="2" t="inlineStr"/>
    </row>
    <row r="407" ht="15" customHeight="1">
      <c r="A407" t="inlineStr">
        <is>
          <t>A 18401-2025</t>
        </is>
      </c>
      <c r="B407" s="1" t="n">
        <v>45762.5966087963</v>
      </c>
      <c r="C407" s="1" t="n">
        <v>46063</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46826-2025</t>
        </is>
      </c>
      <c r="B408" s="1" t="n">
        <v>45927.00606481481</v>
      </c>
      <c r="C408" s="1" t="n">
        <v>46063</v>
      </c>
      <c r="D408" t="inlineStr">
        <is>
          <t>UPPSALA LÄN</t>
        </is>
      </c>
      <c r="E408" t="inlineStr">
        <is>
          <t>ÖSTHAMMAR</t>
        </is>
      </c>
      <c r="G408" t="n">
        <v>9</v>
      </c>
      <c r="H408" t="n">
        <v>0</v>
      </c>
      <c r="I408" t="n">
        <v>0</v>
      </c>
      <c r="J408" t="n">
        <v>0</v>
      </c>
      <c r="K408" t="n">
        <v>0</v>
      </c>
      <c r="L408" t="n">
        <v>0</v>
      </c>
      <c r="M408" t="n">
        <v>0</v>
      </c>
      <c r="N408" t="n">
        <v>0</v>
      </c>
      <c r="O408" t="n">
        <v>0</v>
      </c>
      <c r="P408" t="n">
        <v>0</v>
      </c>
      <c r="Q408" t="n">
        <v>0</v>
      </c>
      <c r="R408" s="2" t="inlineStr"/>
    </row>
    <row r="409" ht="15" customHeight="1">
      <c r="A409" t="inlineStr">
        <is>
          <t>A 30086-2023</t>
        </is>
      </c>
      <c r="B409" s="1" t="n">
        <v>45110.43907407407</v>
      </c>
      <c r="C409" s="1" t="n">
        <v>46063</v>
      </c>
      <c r="D409" t="inlineStr">
        <is>
          <t>UPPSALA LÄN</t>
        </is>
      </c>
      <c r="E409" t="inlineStr">
        <is>
          <t>ÖSTHAMMAR</t>
        </is>
      </c>
      <c r="G409" t="n">
        <v>3.5</v>
      </c>
      <c r="H409" t="n">
        <v>0</v>
      </c>
      <c r="I409" t="n">
        <v>0</v>
      </c>
      <c r="J409" t="n">
        <v>0</v>
      </c>
      <c r="K409" t="n">
        <v>0</v>
      </c>
      <c r="L409" t="n">
        <v>0</v>
      </c>
      <c r="M409" t="n">
        <v>0</v>
      </c>
      <c r="N409" t="n">
        <v>0</v>
      </c>
      <c r="O409" t="n">
        <v>0</v>
      </c>
      <c r="P409" t="n">
        <v>0</v>
      </c>
      <c r="Q409" t="n">
        <v>0</v>
      </c>
      <c r="R409" s="2" t="inlineStr"/>
    </row>
    <row r="410" ht="15" customHeight="1">
      <c r="A410" t="inlineStr">
        <is>
          <t>A 47614-2025</t>
        </is>
      </c>
      <c r="B410" s="1" t="n">
        <v>45931.47211805556</v>
      </c>
      <c r="C410" s="1" t="n">
        <v>46063</v>
      </c>
      <c r="D410" t="inlineStr">
        <is>
          <t>UPPSALA LÄN</t>
        </is>
      </c>
      <c r="E410" t="inlineStr">
        <is>
          <t>ÖSTHAMMAR</t>
        </is>
      </c>
      <c r="G410" t="n">
        <v>22.8</v>
      </c>
      <c r="H410" t="n">
        <v>0</v>
      </c>
      <c r="I410" t="n">
        <v>0</v>
      </c>
      <c r="J410" t="n">
        <v>0</v>
      </c>
      <c r="K410" t="n">
        <v>0</v>
      </c>
      <c r="L410" t="n">
        <v>0</v>
      </c>
      <c r="M410" t="n">
        <v>0</v>
      </c>
      <c r="N410" t="n">
        <v>0</v>
      </c>
      <c r="O410" t="n">
        <v>0</v>
      </c>
      <c r="P410" t="n">
        <v>0</v>
      </c>
      <c r="Q410" t="n">
        <v>0</v>
      </c>
      <c r="R410" s="2" t="inlineStr"/>
    </row>
    <row r="411" ht="15" customHeight="1">
      <c r="A411" t="inlineStr">
        <is>
          <t>A 11008-2023</t>
        </is>
      </c>
      <c r="B411" s="1" t="n">
        <v>44991</v>
      </c>
      <c r="C411" s="1" t="n">
        <v>46063</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47615-2025</t>
        </is>
      </c>
      <c r="B412" s="1" t="n">
        <v>45931.47542824074</v>
      </c>
      <c r="C412" s="1" t="n">
        <v>46063</v>
      </c>
      <c r="D412" t="inlineStr">
        <is>
          <t>UPPSALA LÄN</t>
        </is>
      </c>
      <c r="E412" t="inlineStr">
        <is>
          <t>ÖSTHAMMAR</t>
        </is>
      </c>
      <c r="G412" t="n">
        <v>7</v>
      </c>
      <c r="H412" t="n">
        <v>0</v>
      </c>
      <c r="I412" t="n">
        <v>0</v>
      </c>
      <c r="J412" t="n">
        <v>0</v>
      </c>
      <c r="K412" t="n">
        <v>0</v>
      </c>
      <c r="L412" t="n">
        <v>0</v>
      </c>
      <c r="M412" t="n">
        <v>0</v>
      </c>
      <c r="N412" t="n">
        <v>0</v>
      </c>
      <c r="O412" t="n">
        <v>0</v>
      </c>
      <c r="P412" t="n">
        <v>0</v>
      </c>
      <c r="Q412" t="n">
        <v>0</v>
      </c>
      <c r="R412" s="2" t="inlineStr"/>
    </row>
    <row r="413" ht="15" customHeight="1">
      <c r="A413" t="inlineStr">
        <is>
          <t>A 13771-2023</t>
        </is>
      </c>
      <c r="B413" s="1" t="n">
        <v>45007</v>
      </c>
      <c r="C413" s="1" t="n">
        <v>46063</v>
      </c>
      <c r="D413" t="inlineStr">
        <is>
          <t>UPPSALA LÄN</t>
        </is>
      </c>
      <c r="E413" t="inlineStr">
        <is>
          <t>ÖSTHAMMAR</t>
        </is>
      </c>
      <c r="G413" t="n">
        <v>2.7</v>
      </c>
      <c r="H413" t="n">
        <v>0</v>
      </c>
      <c r="I413" t="n">
        <v>0</v>
      </c>
      <c r="J413" t="n">
        <v>0</v>
      </c>
      <c r="K413" t="n">
        <v>0</v>
      </c>
      <c r="L413" t="n">
        <v>0</v>
      </c>
      <c r="M413" t="n">
        <v>0</v>
      </c>
      <c r="N413" t="n">
        <v>0</v>
      </c>
      <c r="O413" t="n">
        <v>0</v>
      </c>
      <c r="P413" t="n">
        <v>0</v>
      </c>
      <c r="Q413" t="n">
        <v>0</v>
      </c>
      <c r="R413" s="2" t="inlineStr"/>
    </row>
    <row r="414" ht="15" customHeight="1">
      <c r="A414" t="inlineStr">
        <is>
          <t>A 48977-2025</t>
        </is>
      </c>
      <c r="B414" s="1" t="n">
        <v>45936</v>
      </c>
      <c r="C414" s="1" t="n">
        <v>46063</v>
      </c>
      <c r="D414" t="inlineStr">
        <is>
          <t>UPPSALA LÄN</t>
        </is>
      </c>
      <c r="E414" t="inlineStr">
        <is>
          <t>ÖSTHAMMAR</t>
        </is>
      </c>
      <c r="G414" t="n">
        <v>21.1</v>
      </c>
      <c r="H414" t="n">
        <v>0</v>
      </c>
      <c r="I414" t="n">
        <v>0</v>
      </c>
      <c r="J414" t="n">
        <v>0</v>
      </c>
      <c r="K414" t="n">
        <v>0</v>
      </c>
      <c r="L414" t="n">
        <v>0</v>
      </c>
      <c r="M414" t="n">
        <v>0</v>
      </c>
      <c r="N414" t="n">
        <v>0</v>
      </c>
      <c r="O414" t="n">
        <v>0</v>
      </c>
      <c r="P414" t="n">
        <v>0</v>
      </c>
      <c r="Q414" t="n">
        <v>0</v>
      </c>
      <c r="R414" s="2" t="inlineStr"/>
    </row>
    <row r="415" ht="15" customHeight="1">
      <c r="A415" t="inlineStr">
        <is>
          <t>A 58324-2023</t>
        </is>
      </c>
      <c r="B415" s="1" t="n">
        <v>45250.58635416667</v>
      </c>
      <c r="C415" s="1" t="n">
        <v>46063</v>
      </c>
      <c r="D415" t="inlineStr">
        <is>
          <t>UPPSALA LÄN</t>
        </is>
      </c>
      <c r="E415" t="inlineStr">
        <is>
          <t>ÖSTHAMMAR</t>
        </is>
      </c>
      <c r="G415" t="n">
        <v>5.1</v>
      </c>
      <c r="H415" t="n">
        <v>0</v>
      </c>
      <c r="I415" t="n">
        <v>0</v>
      </c>
      <c r="J415" t="n">
        <v>0</v>
      </c>
      <c r="K415" t="n">
        <v>0</v>
      </c>
      <c r="L415" t="n">
        <v>0</v>
      </c>
      <c r="M415" t="n">
        <v>0</v>
      </c>
      <c r="N415" t="n">
        <v>0</v>
      </c>
      <c r="O415" t="n">
        <v>0</v>
      </c>
      <c r="P415" t="n">
        <v>0</v>
      </c>
      <c r="Q415" t="n">
        <v>0</v>
      </c>
      <c r="R415" s="2" t="inlineStr"/>
    </row>
    <row r="416" ht="15" customHeight="1">
      <c r="A416" t="inlineStr">
        <is>
          <t>A 48654-2025</t>
        </is>
      </c>
      <c r="B416" s="1" t="n">
        <v>45936.55887731481</v>
      </c>
      <c r="C416" s="1" t="n">
        <v>46063</v>
      </c>
      <c r="D416" t="inlineStr">
        <is>
          <t>UPPSALA LÄN</t>
        </is>
      </c>
      <c r="E416" t="inlineStr">
        <is>
          <t>ÖSTHAMMAR</t>
        </is>
      </c>
      <c r="F416" t="inlineStr">
        <is>
          <t>Övriga Aktiebolag</t>
        </is>
      </c>
      <c r="G416" t="n">
        <v>0.7</v>
      </c>
      <c r="H416" t="n">
        <v>0</v>
      </c>
      <c r="I416" t="n">
        <v>0</v>
      </c>
      <c r="J416" t="n">
        <v>0</v>
      </c>
      <c r="K416" t="n">
        <v>0</v>
      </c>
      <c r="L416" t="n">
        <v>0</v>
      </c>
      <c r="M416" t="n">
        <v>0</v>
      </c>
      <c r="N416" t="n">
        <v>0</v>
      </c>
      <c r="O416" t="n">
        <v>0</v>
      </c>
      <c r="P416" t="n">
        <v>0</v>
      </c>
      <c r="Q416" t="n">
        <v>0</v>
      </c>
      <c r="R416" s="2" t="inlineStr"/>
    </row>
    <row r="417" ht="15" customHeight="1">
      <c r="A417" t="inlineStr">
        <is>
          <t>A 48854-2025</t>
        </is>
      </c>
      <c r="B417" s="1" t="n">
        <v>45937.43274305556</v>
      </c>
      <c r="C417" s="1" t="n">
        <v>46063</v>
      </c>
      <c r="D417" t="inlineStr">
        <is>
          <t>UPPSALA LÄN</t>
        </is>
      </c>
      <c r="E417" t="inlineStr">
        <is>
          <t>ÖSTHAMMAR</t>
        </is>
      </c>
      <c r="F417" t="inlineStr">
        <is>
          <t>Övriga Aktiebolag</t>
        </is>
      </c>
      <c r="G417" t="n">
        <v>18.9</v>
      </c>
      <c r="H417" t="n">
        <v>0</v>
      </c>
      <c r="I417" t="n">
        <v>0</v>
      </c>
      <c r="J417" t="n">
        <v>0</v>
      </c>
      <c r="K417" t="n">
        <v>0</v>
      </c>
      <c r="L417" t="n">
        <v>0</v>
      </c>
      <c r="M417" t="n">
        <v>0</v>
      </c>
      <c r="N417" t="n">
        <v>0</v>
      </c>
      <c r="O417" t="n">
        <v>0</v>
      </c>
      <c r="P417" t="n">
        <v>0</v>
      </c>
      <c r="Q417" t="n">
        <v>0</v>
      </c>
      <c r="R417" s="2" t="inlineStr"/>
    </row>
    <row r="418" ht="15" customHeight="1">
      <c r="A418" t="inlineStr">
        <is>
          <t>A 48857-2025</t>
        </is>
      </c>
      <c r="B418" s="1" t="n">
        <v>45937.43621527778</v>
      </c>
      <c r="C418" s="1" t="n">
        <v>46063</v>
      </c>
      <c r="D418" t="inlineStr">
        <is>
          <t>UPPSALA LÄN</t>
        </is>
      </c>
      <c r="E418" t="inlineStr">
        <is>
          <t>ÖSTHAMMAR</t>
        </is>
      </c>
      <c r="F418" t="inlineStr">
        <is>
          <t>Övriga Aktiebolag</t>
        </is>
      </c>
      <c r="G418" t="n">
        <v>1.1</v>
      </c>
      <c r="H418" t="n">
        <v>0</v>
      </c>
      <c r="I418" t="n">
        <v>0</v>
      </c>
      <c r="J418" t="n">
        <v>0</v>
      </c>
      <c r="K418" t="n">
        <v>0</v>
      </c>
      <c r="L418" t="n">
        <v>0</v>
      </c>
      <c r="M418" t="n">
        <v>0</v>
      </c>
      <c r="N418" t="n">
        <v>0</v>
      </c>
      <c r="O418" t="n">
        <v>0</v>
      </c>
      <c r="P418" t="n">
        <v>0</v>
      </c>
      <c r="Q418" t="n">
        <v>0</v>
      </c>
      <c r="R418" s="2" t="inlineStr"/>
    </row>
    <row r="419" ht="15" customHeight="1">
      <c r="A419" t="inlineStr">
        <is>
          <t>A 69411-2021</t>
        </is>
      </c>
      <c r="B419" s="1" t="n">
        <v>44531.61038194445</v>
      </c>
      <c r="C419" s="1" t="n">
        <v>46063</v>
      </c>
      <c r="D419" t="inlineStr">
        <is>
          <t>UPPSALA LÄN</t>
        </is>
      </c>
      <c r="E419" t="inlineStr">
        <is>
          <t>ÖSTHAMMAR</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26328-2025</t>
        </is>
      </c>
      <c r="B420" s="1" t="n">
        <v>45805.67305555556</v>
      </c>
      <c r="C420" s="1" t="n">
        <v>46063</v>
      </c>
      <c r="D420" t="inlineStr">
        <is>
          <t>UPPSALA LÄN</t>
        </is>
      </c>
      <c r="E420" t="inlineStr">
        <is>
          <t>ÖSTHAMMAR</t>
        </is>
      </c>
      <c r="G420" t="n">
        <v>1.6</v>
      </c>
      <c r="H420" t="n">
        <v>0</v>
      </c>
      <c r="I420" t="n">
        <v>0</v>
      </c>
      <c r="J420" t="n">
        <v>0</v>
      </c>
      <c r="K420" t="n">
        <v>0</v>
      </c>
      <c r="L420" t="n">
        <v>0</v>
      </c>
      <c r="M420" t="n">
        <v>0</v>
      </c>
      <c r="N420" t="n">
        <v>0</v>
      </c>
      <c r="O420" t="n">
        <v>0</v>
      </c>
      <c r="P420" t="n">
        <v>0</v>
      </c>
      <c r="Q420" t="n">
        <v>0</v>
      </c>
      <c r="R420" s="2" t="inlineStr"/>
    </row>
    <row r="421" ht="15" customHeight="1">
      <c r="A421" t="inlineStr">
        <is>
          <t>A 49831-2023</t>
        </is>
      </c>
      <c r="B421" s="1" t="n">
        <v>45212.71241898148</v>
      </c>
      <c r="C421" s="1" t="n">
        <v>46063</v>
      </c>
      <c r="D421" t="inlineStr">
        <is>
          <t>UPPSALA LÄN</t>
        </is>
      </c>
      <c r="E421" t="inlineStr">
        <is>
          <t>ÖSTHAMMAR</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49899-2023</t>
        </is>
      </c>
      <c r="B422" s="1" t="n">
        <v>45213</v>
      </c>
      <c r="C422" s="1" t="n">
        <v>46063</v>
      </c>
      <c r="D422" t="inlineStr">
        <is>
          <t>UPPSALA LÄN</t>
        </is>
      </c>
      <c r="E422" t="inlineStr">
        <is>
          <t>ÖSTHAMMAR</t>
        </is>
      </c>
      <c r="G422" t="n">
        <v>6.2</v>
      </c>
      <c r="H422" t="n">
        <v>0</v>
      </c>
      <c r="I422" t="n">
        <v>0</v>
      </c>
      <c r="J422" t="n">
        <v>0</v>
      </c>
      <c r="K422" t="n">
        <v>0</v>
      </c>
      <c r="L422" t="n">
        <v>0</v>
      </c>
      <c r="M422" t="n">
        <v>0</v>
      </c>
      <c r="N422" t="n">
        <v>0</v>
      </c>
      <c r="O422" t="n">
        <v>0</v>
      </c>
      <c r="P422" t="n">
        <v>0</v>
      </c>
      <c r="Q422" t="n">
        <v>0</v>
      </c>
      <c r="R422" s="2" t="inlineStr"/>
    </row>
    <row r="423" ht="15" customHeight="1">
      <c r="A423" t="inlineStr">
        <is>
          <t>A 17939-2025</t>
        </is>
      </c>
      <c r="B423" s="1" t="n">
        <v>45760.55671296296</v>
      </c>
      <c r="C423" s="1" t="n">
        <v>46063</v>
      </c>
      <c r="D423" t="inlineStr">
        <is>
          <t>UPPSALA LÄN</t>
        </is>
      </c>
      <c r="E423" t="inlineStr">
        <is>
          <t>ÖSTHAMMAR</t>
        </is>
      </c>
      <c r="F423" t="inlineStr">
        <is>
          <t>Bergvik skog öst AB</t>
        </is>
      </c>
      <c r="G423" t="n">
        <v>5.4</v>
      </c>
      <c r="H423" t="n">
        <v>0</v>
      </c>
      <c r="I423" t="n">
        <v>0</v>
      </c>
      <c r="J423" t="n">
        <v>0</v>
      </c>
      <c r="K423" t="n">
        <v>0</v>
      </c>
      <c r="L423" t="n">
        <v>0</v>
      </c>
      <c r="M423" t="n">
        <v>0</v>
      </c>
      <c r="N423" t="n">
        <v>0</v>
      </c>
      <c r="O423" t="n">
        <v>0</v>
      </c>
      <c r="P423" t="n">
        <v>0</v>
      </c>
      <c r="Q423" t="n">
        <v>0</v>
      </c>
      <c r="R423" s="2" t="inlineStr"/>
    </row>
    <row r="424" ht="15" customHeight="1">
      <c r="A424" t="inlineStr">
        <is>
          <t>A 17940-2025</t>
        </is>
      </c>
      <c r="B424" s="1" t="n">
        <v>45760.55842592593</v>
      </c>
      <c r="C424" s="1" t="n">
        <v>46063</v>
      </c>
      <c r="D424" t="inlineStr">
        <is>
          <t>UPPSALA LÄN</t>
        </is>
      </c>
      <c r="E424" t="inlineStr">
        <is>
          <t>ÖSTHAMMAR</t>
        </is>
      </c>
      <c r="F424" t="inlineStr">
        <is>
          <t>Bergvik skog öst AB</t>
        </is>
      </c>
      <c r="G424" t="n">
        <v>5.6</v>
      </c>
      <c r="H424" t="n">
        <v>0</v>
      </c>
      <c r="I424" t="n">
        <v>0</v>
      </c>
      <c r="J424" t="n">
        <v>0</v>
      </c>
      <c r="K424" t="n">
        <v>0</v>
      </c>
      <c r="L424" t="n">
        <v>0</v>
      </c>
      <c r="M424" t="n">
        <v>0</v>
      </c>
      <c r="N424" t="n">
        <v>0</v>
      </c>
      <c r="O424" t="n">
        <v>0</v>
      </c>
      <c r="P424" t="n">
        <v>0</v>
      </c>
      <c r="Q424" t="n">
        <v>0</v>
      </c>
      <c r="R424" s="2" t="inlineStr"/>
    </row>
    <row r="425" ht="15" customHeight="1">
      <c r="A425" t="inlineStr">
        <is>
          <t>A 49773-2025</t>
        </is>
      </c>
      <c r="B425" s="1" t="n">
        <v>45940.37303240741</v>
      </c>
      <c r="C425" s="1" t="n">
        <v>46063</v>
      </c>
      <c r="D425" t="inlineStr">
        <is>
          <t>UPPSALA LÄN</t>
        </is>
      </c>
      <c r="E425" t="inlineStr">
        <is>
          <t>ÖSTHAMMAR</t>
        </is>
      </c>
      <c r="G425" t="n">
        <v>3.5</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44596.63290509259</v>
      </c>
      <c r="C426" s="1" t="n">
        <v>46063</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47020-2025</t>
        </is>
      </c>
      <c r="B427" s="1" t="n">
        <v>45929.5775</v>
      </c>
      <c r="C427" s="1" t="n">
        <v>46063</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49620-2025</t>
        </is>
      </c>
      <c r="B428" s="1" t="n">
        <v>45939.58928240741</v>
      </c>
      <c r="C428" s="1" t="n">
        <v>46063</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54366-2023</t>
        </is>
      </c>
      <c r="B429" s="1" t="n">
        <v>45233</v>
      </c>
      <c r="C429" s="1" t="n">
        <v>46063</v>
      </c>
      <c r="D429" t="inlineStr">
        <is>
          <t>UPPSALA LÄN</t>
        </is>
      </c>
      <c r="E429" t="inlineStr">
        <is>
          <t>ÖSTHAMMAR</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17643-2025</t>
        </is>
      </c>
      <c r="B430" s="1" t="n">
        <v>45758.32454861111</v>
      </c>
      <c r="C430" s="1" t="n">
        <v>46063</v>
      </c>
      <c r="D430" t="inlineStr">
        <is>
          <t>UPPSALA LÄN</t>
        </is>
      </c>
      <c r="E430" t="inlineStr">
        <is>
          <t>ÖSTHAMMAR</t>
        </is>
      </c>
      <c r="F430" t="inlineStr">
        <is>
          <t>Bergvik skog väst AB</t>
        </is>
      </c>
      <c r="G430" t="n">
        <v>2.6</v>
      </c>
      <c r="H430" t="n">
        <v>0</v>
      </c>
      <c r="I430" t="n">
        <v>0</v>
      </c>
      <c r="J430" t="n">
        <v>0</v>
      </c>
      <c r="K430" t="n">
        <v>0</v>
      </c>
      <c r="L430" t="n">
        <v>0</v>
      </c>
      <c r="M430" t="n">
        <v>0</v>
      </c>
      <c r="N430" t="n">
        <v>0</v>
      </c>
      <c r="O430" t="n">
        <v>0</v>
      </c>
      <c r="P430" t="n">
        <v>0</v>
      </c>
      <c r="Q430" t="n">
        <v>0</v>
      </c>
      <c r="R430" s="2" t="inlineStr"/>
    </row>
    <row r="431" ht="15" customHeight="1">
      <c r="A431" t="inlineStr">
        <is>
          <t>A 13248-2025</t>
        </is>
      </c>
      <c r="B431" s="1" t="n">
        <v>45735</v>
      </c>
      <c r="C431" s="1" t="n">
        <v>46063</v>
      </c>
      <c r="D431" t="inlineStr">
        <is>
          <t>UPPSALA LÄN</t>
        </is>
      </c>
      <c r="E431" t="inlineStr">
        <is>
          <t>ÖSTHAMMAR</t>
        </is>
      </c>
      <c r="F431" t="inlineStr">
        <is>
          <t>Kyrkan</t>
        </is>
      </c>
      <c r="G431" t="n">
        <v>12.2</v>
      </c>
      <c r="H431" t="n">
        <v>0</v>
      </c>
      <c r="I431" t="n">
        <v>0</v>
      </c>
      <c r="J431" t="n">
        <v>0</v>
      </c>
      <c r="K431" t="n">
        <v>0</v>
      </c>
      <c r="L431" t="n">
        <v>0</v>
      </c>
      <c r="M431" t="n">
        <v>0</v>
      </c>
      <c r="N431" t="n">
        <v>0</v>
      </c>
      <c r="O431" t="n">
        <v>0</v>
      </c>
      <c r="P431" t="n">
        <v>0</v>
      </c>
      <c r="Q431" t="n">
        <v>0</v>
      </c>
      <c r="R431" s="2" t="inlineStr"/>
    </row>
    <row r="432" ht="15" customHeight="1">
      <c r="A432" t="inlineStr">
        <is>
          <t>A 51364-2021</t>
        </is>
      </c>
      <c r="B432" s="1" t="n">
        <v>44461</v>
      </c>
      <c r="C432" s="1" t="n">
        <v>46063</v>
      </c>
      <c r="D432" t="inlineStr">
        <is>
          <t>UPPSALA LÄN</t>
        </is>
      </c>
      <c r="E432" t="inlineStr">
        <is>
          <t>ÖSTHAMMAR</t>
        </is>
      </c>
      <c r="G432" t="n">
        <v>2.4</v>
      </c>
      <c r="H432" t="n">
        <v>0</v>
      </c>
      <c r="I432" t="n">
        <v>0</v>
      </c>
      <c r="J432" t="n">
        <v>0</v>
      </c>
      <c r="K432" t="n">
        <v>0</v>
      </c>
      <c r="L432" t="n">
        <v>0</v>
      </c>
      <c r="M432" t="n">
        <v>0</v>
      </c>
      <c r="N432" t="n">
        <v>0</v>
      </c>
      <c r="O432" t="n">
        <v>0</v>
      </c>
      <c r="P432" t="n">
        <v>0</v>
      </c>
      <c r="Q432" t="n">
        <v>0</v>
      </c>
      <c r="R432" s="2" t="inlineStr"/>
    </row>
    <row r="433" ht="15" customHeight="1">
      <c r="A433" t="inlineStr">
        <is>
          <t>A 61062-2023</t>
        </is>
      </c>
      <c r="B433" s="1" t="n">
        <v>45259</v>
      </c>
      <c r="C433" s="1" t="n">
        <v>46063</v>
      </c>
      <c r="D433" t="inlineStr">
        <is>
          <t>UPPSALA LÄN</t>
        </is>
      </c>
      <c r="E433" t="inlineStr">
        <is>
          <t>ÖSTHAMMAR</t>
        </is>
      </c>
      <c r="G433" t="n">
        <v>5.3</v>
      </c>
      <c r="H433" t="n">
        <v>0</v>
      </c>
      <c r="I433" t="n">
        <v>0</v>
      </c>
      <c r="J433" t="n">
        <v>0</v>
      </c>
      <c r="K433" t="n">
        <v>0</v>
      </c>
      <c r="L433" t="n">
        <v>0</v>
      </c>
      <c r="M433" t="n">
        <v>0</v>
      </c>
      <c r="N433" t="n">
        <v>0</v>
      </c>
      <c r="O433" t="n">
        <v>0</v>
      </c>
      <c r="P433" t="n">
        <v>0</v>
      </c>
      <c r="Q433" t="n">
        <v>0</v>
      </c>
      <c r="R433" s="2" t="inlineStr"/>
    </row>
    <row r="434" ht="15" customHeight="1">
      <c r="A434" t="inlineStr">
        <is>
          <t>A 51379-2025</t>
        </is>
      </c>
      <c r="B434" s="1" t="n">
        <v>45950.45677083333</v>
      </c>
      <c r="C434" s="1" t="n">
        <v>46063</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61443-2024</t>
        </is>
      </c>
      <c r="B435" s="1" t="n">
        <v>45646.47936342593</v>
      </c>
      <c r="C435" s="1" t="n">
        <v>46063</v>
      </c>
      <c r="D435" t="inlineStr">
        <is>
          <t>UPPSALA LÄN</t>
        </is>
      </c>
      <c r="E435" t="inlineStr">
        <is>
          <t>ÖSTHAMMAR</t>
        </is>
      </c>
      <c r="G435" t="n">
        <v>0.4</v>
      </c>
      <c r="H435" t="n">
        <v>0</v>
      </c>
      <c r="I435" t="n">
        <v>0</v>
      </c>
      <c r="J435" t="n">
        <v>0</v>
      </c>
      <c r="K435" t="n">
        <v>0</v>
      </c>
      <c r="L435" t="n">
        <v>0</v>
      </c>
      <c r="M435" t="n">
        <v>0</v>
      </c>
      <c r="N435" t="n">
        <v>0</v>
      </c>
      <c r="O435" t="n">
        <v>0</v>
      </c>
      <c r="P435" t="n">
        <v>0</v>
      </c>
      <c r="Q435" t="n">
        <v>0</v>
      </c>
      <c r="R435" s="2" t="inlineStr"/>
    </row>
    <row r="436" ht="15" customHeight="1">
      <c r="A436" t="inlineStr">
        <is>
          <t>A 51266-2025</t>
        </is>
      </c>
      <c r="B436" s="1" t="n">
        <v>45949.71568287037</v>
      </c>
      <c r="C436" s="1" t="n">
        <v>46063</v>
      </c>
      <c r="D436" t="inlineStr">
        <is>
          <t>UPPSALA LÄN</t>
        </is>
      </c>
      <c r="E436" t="inlineStr">
        <is>
          <t>ÖSTHAMMAR</t>
        </is>
      </c>
      <c r="F436" t="inlineStr">
        <is>
          <t>Bergvik skog öst AB</t>
        </is>
      </c>
      <c r="G436" t="n">
        <v>4.7</v>
      </c>
      <c r="H436" t="n">
        <v>0</v>
      </c>
      <c r="I436" t="n">
        <v>0</v>
      </c>
      <c r="J436" t="n">
        <v>0</v>
      </c>
      <c r="K436" t="n">
        <v>0</v>
      </c>
      <c r="L436" t="n">
        <v>0</v>
      </c>
      <c r="M436" t="n">
        <v>0</v>
      </c>
      <c r="N436" t="n">
        <v>0</v>
      </c>
      <c r="O436" t="n">
        <v>0</v>
      </c>
      <c r="P436" t="n">
        <v>0</v>
      </c>
      <c r="Q436" t="n">
        <v>0</v>
      </c>
      <c r="R436" s="2" t="inlineStr"/>
    </row>
    <row r="437" ht="15" customHeight="1">
      <c r="A437" t="inlineStr">
        <is>
          <t>A 51156-2025</t>
        </is>
      </c>
      <c r="B437" s="1" t="n">
        <v>45947.57833333333</v>
      </c>
      <c r="C437" s="1" t="n">
        <v>46063</v>
      </c>
      <c r="D437" t="inlineStr">
        <is>
          <t>UPPSALA LÄN</t>
        </is>
      </c>
      <c r="E437" t="inlineStr">
        <is>
          <t>ÖSTHAMMAR</t>
        </is>
      </c>
      <c r="F437" t="inlineStr">
        <is>
          <t>Allmännings- och besparingsskogar</t>
        </is>
      </c>
      <c r="G437" t="n">
        <v>2.8</v>
      </c>
      <c r="H437" t="n">
        <v>0</v>
      </c>
      <c r="I437" t="n">
        <v>0</v>
      </c>
      <c r="J437" t="n">
        <v>0</v>
      </c>
      <c r="K437" t="n">
        <v>0</v>
      </c>
      <c r="L437" t="n">
        <v>0</v>
      </c>
      <c r="M437" t="n">
        <v>0</v>
      </c>
      <c r="N437" t="n">
        <v>0</v>
      </c>
      <c r="O437" t="n">
        <v>0</v>
      </c>
      <c r="P437" t="n">
        <v>0</v>
      </c>
      <c r="Q437" t="n">
        <v>0</v>
      </c>
      <c r="R437" s="2" t="inlineStr"/>
    </row>
    <row r="438" ht="15" customHeight="1">
      <c r="A438" t="inlineStr">
        <is>
          <t>A 51255-2025</t>
        </is>
      </c>
      <c r="B438" s="1" t="n">
        <v>45949.00917824074</v>
      </c>
      <c r="C438" s="1" t="n">
        <v>46063</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51265-2025</t>
        </is>
      </c>
      <c r="B439" s="1" t="n">
        <v>45949.70971064815</v>
      </c>
      <c r="C439" s="1" t="n">
        <v>46063</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26612-2023</t>
        </is>
      </c>
      <c r="B440" s="1" t="n">
        <v>45089</v>
      </c>
      <c r="C440" s="1" t="n">
        <v>46063</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51254-2025</t>
        </is>
      </c>
      <c r="B441" s="1" t="n">
        <v>45948.99313657408</v>
      </c>
      <c r="C441" s="1" t="n">
        <v>46063</v>
      </c>
      <c r="D441" t="inlineStr">
        <is>
          <t>UPPSALA LÄN</t>
        </is>
      </c>
      <c r="E441" t="inlineStr">
        <is>
          <t>ÖSTHAMMAR</t>
        </is>
      </c>
      <c r="G441" t="n">
        <v>8.9</v>
      </c>
      <c r="H441" t="n">
        <v>0</v>
      </c>
      <c r="I441" t="n">
        <v>0</v>
      </c>
      <c r="J441" t="n">
        <v>0</v>
      </c>
      <c r="K441" t="n">
        <v>0</v>
      </c>
      <c r="L441" t="n">
        <v>0</v>
      </c>
      <c r="M441" t="n">
        <v>0</v>
      </c>
      <c r="N441" t="n">
        <v>0</v>
      </c>
      <c r="O441" t="n">
        <v>0</v>
      </c>
      <c r="P441" t="n">
        <v>0</v>
      </c>
      <c r="Q441" t="n">
        <v>0</v>
      </c>
      <c r="R441" s="2" t="inlineStr"/>
    </row>
    <row r="442" ht="15" customHeight="1">
      <c r="A442" t="inlineStr">
        <is>
          <t>A 14269-2025</t>
        </is>
      </c>
      <c r="B442" s="1" t="n">
        <v>45740.64078703704</v>
      </c>
      <c r="C442" s="1" t="n">
        <v>46063</v>
      </c>
      <c r="D442" t="inlineStr">
        <is>
          <t>UPPSALA LÄN</t>
        </is>
      </c>
      <c r="E442" t="inlineStr">
        <is>
          <t>ÖSTHAMMAR</t>
        </is>
      </c>
      <c r="G442" t="n">
        <v>1.5</v>
      </c>
      <c r="H442" t="n">
        <v>0</v>
      </c>
      <c r="I442" t="n">
        <v>0</v>
      </c>
      <c r="J442" t="n">
        <v>0</v>
      </c>
      <c r="K442" t="n">
        <v>0</v>
      </c>
      <c r="L442" t="n">
        <v>0</v>
      </c>
      <c r="M442" t="n">
        <v>0</v>
      </c>
      <c r="N442" t="n">
        <v>0</v>
      </c>
      <c r="O442" t="n">
        <v>0</v>
      </c>
      <c r="P442" t="n">
        <v>0</v>
      </c>
      <c r="Q442" t="n">
        <v>0</v>
      </c>
      <c r="R442" s="2" t="inlineStr"/>
    </row>
    <row r="443" ht="15" customHeight="1">
      <c r="A443" t="inlineStr">
        <is>
          <t>A 18088-2025</t>
        </is>
      </c>
      <c r="B443" s="1" t="n">
        <v>45761.53104166667</v>
      </c>
      <c r="C443" s="1" t="n">
        <v>46063</v>
      </c>
      <c r="D443" t="inlineStr">
        <is>
          <t>UPPSALA LÄN</t>
        </is>
      </c>
      <c r="E443" t="inlineStr">
        <is>
          <t>ÖSTHAMMAR</t>
        </is>
      </c>
      <c r="F443" t="inlineStr">
        <is>
          <t>Bergvik skog öst AB</t>
        </is>
      </c>
      <c r="G443" t="n">
        <v>1.9</v>
      </c>
      <c r="H443" t="n">
        <v>0</v>
      </c>
      <c r="I443" t="n">
        <v>0</v>
      </c>
      <c r="J443" t="n">
        <v>0</v>
      </c>
      <c r="K443" t="n">
        <v>0</v>
      </c>
      <c r="L443" t="n">
        <v>0</v>
      </c>
      <c r="M443" t="n">
        <v>0</v>
      </c>
      <c r="N443" t="n">
        <v>0</v>
      </c>
      <c r="O443" t="n">
        <v>0</v>
      </c>
      <c r="P443" t="n">
        <v>0</v>
      </c>
      <c r="Q443" t="n">
        <v>0</v>
      </c>
      <c r="R443" s="2" t="inlineStr"/>
    </row>
    <row r="444" ht="15" customHeight="1">
      <c r="A444" t="inlineStr">
        <is>
          <t>A 18095-2025</t>
        </is>
      </c>
      <c r="B444" s="1" t="n">
        <v>45761.54925925926</v>
      </c>
      <c r="C444" s="1" t="n">
        <v>46063</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51708-2025</t>
        </is>
      </c>
      <c r="B445" s="1" t="n">
        <v>45951.56679398148</v>
      </c>
      <c r="C445" s="1" t="n">
        <v>46063</v>
      </c>
      <c r="D445" t="inlineStr">
        <is>
          <t>UPPSALA LÄN</t>
        </is>
      </c>
      <c r="E445" t="inlineStr">
        <is>
          <t>ÖSTHAMMAR</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16531-2025</t>
        </is>
      </c>
      <c r="B446" s="1" t="n">
        <v>45751</v>
      </c>
      <c r="C446" s="1" t="n">
        <v>46063</v>
      </c>
      <c r="D446" t="inlineStr">
        <is>
          <t>UPPSALA LÄN</t>
        </is>
      </c>
      <c r="E446" t="inlineStr">
        <is>
          <t>ÖSTHAMMAR</t>
        </is>
      </c>
      <c r="G446" t="n">
        <v>3.3</v>
      </c>
      <c r="H446" t="n">
        <v>0</v>
      </c>
      <c r="I446" t="n">
        <v>0</v>
      </c>
      <c r="J446" t="n">
        <v>0</v>
      </c>
      <c r="K446" t="n">
        <v>0</v>
      </c>
      <c r="L446" t="n">
        <v>0</v>
      </c>
      <c r="M446" t="n">
        <v>0</v>
      </c>
      <c r="N446" t="n">
        <v>0</v>
      </c>
      <c r="O446" t="n">
        <v>0</v>
      </c>
      <c r="P446" t="n">
        <v>0</v>
      </c>
      <c r="Q446" t="n">
        <v>0</v>
      </c>
      <c r="R446" s="2" t="inlineStr"/>
    </row>
    <row r="447" ht="15" customHeight="1">
      <c r="A447" t="inlineStr">
        <is>
          <t>A 25897-2023</t>
        </is>
      </c>
      <c r="B447" s="1" t="n">
        <v>45090.63300925926</v>
      </c>
      <c r="C447" s="1" t="n">
        <v>46063</v>
      </c>
      <c r="D447" t="inlineStr">
        <is>
          <t>UPPSALA LÄN</t>
        </is>
      </c>
      <c r="E447" t="inlineStr">
        <is>
          <t>ÖSTHAMMAR</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20046-2023</t>
        </is>
      </c>
      <c r="B448" s="1" t="n">
        <v>45054</v>
      </c>
      <c r="C448" s="1" t="n">
        <v>46063</v>
      </c>
      <c r="D448" t="inlineStr">
        <is>
          <t>UPPSALA LÄN</t>
        </is>
      </c>
      <c r="E448" t="inlineStr">
        <is>
          <t>ÖSTHAMMAR</t>
        </is>
      </c>
      <c r="G448" t="n">
        <v>0.4</v>
      </c>
      <c r="H448" t="n">
        <v>0</v>
      </c>
      <c r="I448" t="n">
        <v>0</v>
      </c>
      <c r="J448" t="n">
        <v>0</v>
      </c>
      <c r="K448" t="n">
        <v>0</v>
      </c>
      <c r="L448" t="n">
        <v>0</v>
      </c>
      <c r="M448" t="n">
        <v>0</v>
      </c>
      <c r="N448" t="n">
        <v>0</v>
      </c>
      <c r="O448" t="n">
        <v>0</v>
      </c>
      <c r="P448" t="n">
        <v>0</v>
      </c>
      <c r="Q448" t="n">
        <v>0</v>
      </c>
      <c r="R448" s="2" t="inlineStr"/>
    </row>
    <row r="449" ht="15" customHeight="1">
      <c r="A449" t="inlineStr">
        <is>
          <t>A 41478-2024</t>
        </is>
      </c>
      <c r="B449" s="1" t="n">
        <v>45560.44158564815</v>
      </c>
      <c r="C449" s="1" t="n">
        <v>46063</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42213-2025</t>
        </is>
      </c>
      <c r="B450" s="1" t="n">
        <v>45904.50652777778</v>
      </c>
      <c r="C450" s="1" t="n">
        <v>46063</v>
      </c>
      <c r="D450" t="inlineStr">
        <is>
          <t>UPPSALA LÄN</t>
        </is>
      </c>
      <c r="E450" t="inlineStr">
        <is>
          <t>ÖSTHAMMAR</t>
        </is>
      </c>
      <c r="G450" t="n">
        <v>0.8</v>
      </c>
      <c r="H450" t="n">
        <v>0</v>
      </c>
      <c r="I450" t="n">
        <v>0</v>
      </c>
      <c r="J450" t="n">
        <v>0</v>
      </c>
      <c r="K450" t="n">
        <v>0</v>
      </c>
      <c r="L450" t="n">
        <v>0</v>
      </c>
      <c r="M450" t="n">
        <v>0</v>
      </c>
      <c r="N450" t="n">
        <v>0</v>
      </c>
      <c r="O450" t="n">
        <v>0</v>
      </c>
      <c r="P450" t="n">
        <v>0</v>
      </c>
      <c r="Q450" t="n">
        <v>0</v>
      </c>
      <c r="R450" s="2" t="inlineStr"/>
    </row>
    <row r="451" ht="15" customHeight="1">
      <c r="A451" t="inlineStr">
        <is>
          <t>A 52332-2025</t>
        </is>
      </c>
      <c r="B451" s="1" t="n">
        <v>45953.67853009259</v>
      </c>
      <c r="C451" s="1" t="n">
        <v>46063</v>
      </c>
      <c r="D451" t="inlineStr">
        <is>
          <t>UPPSALA LÄN</t>
        </is>
      </c>
      <c r="E451" t="inlineStr">
        <is>
          <t>ÖSTHAMMAR</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3638-2022</t>
        </is>
      </c>
      <c r="B452" s="1" t="n">
        <v>44578</v>
      </c>
      <c r="C452" s="1" t="n">
        <v>46063</v>
      </c>
      <c r="D452" t="inlineStr">
        <is>
          <t>UPPSALA LÄN</t>
        </is>
      </c>
      <c r="E452" t="inlineStr">
        <is>
          <t>ÖSTHAMMAR</t>
        </is>
      </c>
      <c r="G452" t="n">
        <v>1.7</v>
      </c>
      <c r="H452" t="n">
        <v>0</v>
      </c>
      <c r="I452" t="n">
        <v>0</v>
      </c>
      <c r="J452" t="n">
        <v>0</v>
      </c>
      <c r="K452" t="n">
        <v>0</v>
      </c>
      <c r="L452" t="n">
        <v>0</v>
      </c>
      <c r="M452" t="n">
        <v>0</v>
      </c>
      <c r="N452" t="n">
        <v>0</v>
      </c>
      <c r="O452" t="n">
        <v>0</v>
      </c>
      <c r="P452" t="n">
        <v>0</v>
      </c>
      <c r="Q452" t="n">
        <v>0</v>
      </c>
      <c r="R452" s="2" t="inlineStr"/>
    </row>
    <row r="453" ht="15" customHeight="1">
      <c r="A453" t="inlineStr">
        <is>
          <t>A 17969-2023</t>
        </is>
      </c>
      <c r="B453" s="1" t="n">
        <v>45040.47081018519</v>
      </c>
      <c r="C453" s="1" t="n">
        <v>46063</v>
      </c>
      <c r="D453" t="inlineStr">
        <is>
          <t>UPPSALA LÄN</t>
        </is>
      </c>
      <c r="E453" t="inlineStr">
        <is>
          <t>ÖSTHAMMAR</t>
        </is>
      </c>
      <c r="G453" t="n">
        <v>5.4</v>
      </c>
      <c r="H453" t="n">
        <v>0</v>
      </c>
      <c r="I453" t="n">
        <v>0</v>
      </c>
      <c r="J453" t="n">
        <v>0</v>
      </c>
      <c r="K453" t="n">
        <v>0</v>
      </c>
      <c r="L453" t="n">
        <v>0</v>
      </c>
      <c r="M453" t="n">
        <v>0</v>
      </c>
      <c r="N453" t="n">
        <v>0</v>
      </c>
      <c r="O453" t="n">
        <v>0</v>
      </c>
      <c r="P453" t="n">
        <v>0</v>
      </c>
      <c r="Q453" t="n">
        <v>0</v>
      </c>
      <c r="R453" s="2" t="inlineStr"/>
    </row>
    <row r="454" ht="15" customHeight="1">
      <c r="A454" t="inlineStr">
        <is>
          <t>A 58878-2022</t>
        </is>
      </c>
      <c r="B454" s="1" t="n">
        <v>44903</v>
      </c>
      <c r="C454" s="1" t="n">
        <v>46063</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row>
    <row r="455" ht="15" customHeight="1">
      <c r="A455" t="inlineStr">
        <is>
          <t>A 12528-2024</t>
        </is>
      </c>
      <c r="B455" s="1" t="n">
        <v>45379.61878472222</v>
      </c>
      <c r="C455" s="1" t="n">
        <v>46063</v>
      </c>
      <c r="D455" t="inlineStr">
        <is>
          <t>UPPSALA LÄN</t>
        </is>
      </c>
      <c r="E455" t="inlineStr">
        <is>
          <t>ÖSTHAMMAR</t>
        </is>
      </c>
      <c r="F455" t="inlineStr">
        <is>
          <t>Bergvik skog öst AB</t>
        </is>
      </c>
      <c r="G455" t="n">
        <v>0.4</v>
      </c>
      <c r="H455" t="n">
        <v>0</v>
      </c>
      <c r="I455" t="n">
        <v>0</v>
      </c>
      <c r="J455" t="n">
        <v>0</v>
      </c>
      <c r="K455" t="n">
        <v>0</v>
      </c>
      <c r="L455" t="n">
        <v>0</v>
      </c>
      <c r="M455" t="n">
        <v>0</v>
      </c>
      <c r="N455" t="n">
        <v>0</v>
      </c>
      <c r="O455" t="n">
        <v>0</v>
      </c>
      <c r="P455" t="n">
        <v>0</v>
      </c>
      <c r="Q455" t="n">
        <v>0</v>
      </c>
      <c r="R455" s="2" t="inlineStr"/>
    </row>
    <row r="456" ht="15" customHeight="1">
      <c r="A456" t="inlineStr">
        <is>
          <t>A 4228-2023</t>
        </is>
      </c>
      <c r="B456" s="1" t="n">
        <v>44953.48179398148</v>
      </c>
      <c r="C456" s="1" t="n">
        <v>46063</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53735-2025</t>
        </is>
      </c>
      <c r="B457" s="1" t="n">
        <v>45960.64431712963</v>
      </c>
      <c r="C457" s="1" t="n">
        <v>46063</v>
      </c>
      <c r="D457" t="inlineStr">
        <is>
          <t>UPPSALA LÄN</t>
        </is>
      </c>
      <c r="E457" t="inlineStr">
        <is>
          <t>ÖSTHAMMAR</t>
        </is>
      </c>
      <c r="F457" t="inlineStr">
        <is>
          <t>Bergvik skog öst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53737-2025</t>
        </is>
      </c>
      <c r="B458" s="1" t="n">
        <v>45960.64520833334</v>
      </c>
      <c r="C458" s="1" t="n">
        <v>46063</v>
      </c>
      <c r="D458" t="inlineStr">
        <is>
          <t>UPPSALA LÄN</t>
        </is>
      </c>
      <c r="E458" t="inlineStr">
        <is>
          <t>ÖSTHAMMAR</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53567-2025</t>
        </is>
      </c>
      <c r="B459" s="1" t="n">
        <v>45960</v>
      </c>
      <c r="C459" s="1" t="n">
        <v>46063</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53961-2025</t>
        </is>
      </c>
      <c r="B460" s="1" t="n">
        <v>45961</v>
      </c>
      <c r="C460" s="1" t="n">
        <v>46063</v>
      </c>
      <c r="D460" t="inlineStr">
        <is>
          <t>UPPSALA LÄN</t>
        </is>
      </c>
      <c r="E460" t="inlineStr">
        <is>
          <t>ÖSTHAMMAR</t>
        </is>
      </c>
      <c r="G460" t="n">
        <v>0.7</v>
      </c>
      <c r="H460" t="n">
        <v>0</v>
      </c>
      <c r="I460" t="n">
        <v>0</v>
      </c>
      <c r="J460" t="n">
        <v>0</v>
      </c>
      <c r="K460" t="n">
        <v>0</v>
      </c>
      <c r="L460" t="n">
        <v>0</v>
      </c>
      <c r="M460" t="n">
        <v>0</v>
      </c>
      <c r="N460" t="n">
        <v>0</v>
      </c>
      <c r="O460" t="n">
        <v>0</v>
      </c>
      <c r="P460" t="n">
        <v>0</v>
      </c>
      <c r="Q460" t="n">
        <v>0</v>
      </c>
      <c r="R460" s="2" t="inlineStr"/>
    </row>
    <row r="461" ht="15" customHeight="1">
      <c r="A461" t="inlineStr">
        <is>
          <t>A 53557-2025</t>
        </is>
      </c>
      <c r="B461" s="1" t="n">
        <v>45960</v>
      </c>
      <c r="C461" s="1" t="n">
        <v>46063</v>
      </c>
      <c r="D461" t="inlineStr">
        <is>
          <t>UPPSALA LÄN</t>
        </is>
      </c>
      <c r="E461" t="inlineStr">
        <is>
          <t>ÖSTHAMMAR</t>
        </is>
      </c>
      <c r="G461" t="n">
        <v>1.9</v>
      </c>
      <c r="H461" t="n">
        <v>0</v>
      </c>
      <c r="I461" t="n">
        <v>0</v>
      </c>
      <c r="J461" t="n">
        <v>0</v>
      </c>
      <c r="K461" t="n">
        <v>0</v>
      </c>
      <c r="L461" t="n">
        <v>0</v>
      </c>
      <c r="M461" t="n">
        <v>0</v>
      </c>
      <c r="N461" t="n">
        <v>0</v>
      </c>
      <c r="O461" t="n">
        <v>0</v>
      </c>
      <c r="P461" t="n">
        <v>0</v>
      </c>
      <c r="Q461" t="n">
        <v>0</v>
      </c>
      <c r="R461" s="2" t="inlineStr"/>
    </row>
    <row r="462" ht="15" customHeight="1">
      <c r="A462" t="inlineStr">
        <is>
          <t>A 18091-2023</t>
        </is>
      </c>
      <c r="B462" s="1" t="n">
        <v>45040</v>
      </c>
      <c r="C462" s="1" t="n">
        <v>46063</v>
      </c>
      <c r="D462" t="inlineStr">
        <is>
          <t>UPPSALA LÄN</t>
        </is>
      </c>
      <c r="E462" t="inlineStr">
        <is>
          <t>ÖSTHAMMAR</t>
        </is>
      </c>
      <c r="G462" t="n">
        <v>2.4</v>
      </c>
      <c r="H462" t="n">
        <v>0</v>
      </c>
      <c r="I462" t="n">
        <v>0</v>
      </c>
      <c r="J462" t="n">
        <v>0</v>
      </c>
      <c r="K462" t="n">
        <v>0</v>
      </c>
      <c r="L462" t="n">
        <v>0</v>
      </c>
      <c r="M462" t="n">
        <v>0</v>
      </c>
      <c r="N462" t="n">
        <v>0</v>
      </c>
      <c r="O462" t="n">
        <v>0</v>
      </c>
      <c r="P462" t="n">
        <v>0</v>
      </c>
      <c r="Q462" t="n">
        <v>0</v>
      </c>
      <c r="R462" s="2" t="inlineStr"/>
    </row>
    <row r="463" ht="15" customHeight="1">
      <c r="A463" t="inlineStr">
        <is>
          <t>A 53656-2025</t>
        </is>
      </c>
      <c r="B463" s="1" t="n">
        <v>45960</v>
      </c>
      <c r="C463" s="1" t="n">
        <v>46063</v>
      </c>
      <c r="D463" t="inlineStr">
        <is>
          <t>UPPSALA LÄN</t>
        </is>
      </c>
      <c r="E463" t="inlineStr">
        <is>
          <t>ÖSTHAMMAR</t>
        </is>
      </c>
      <c r="G463" t="n">
        <v>3.1</v>
      </c>
      <c r="H463" t="n">
        <v>0</v>
      </c>
      <c r="I463" t="n">
        <v>0</v>
      </c>
      <c r="J463" t="n">
        <v>0</v>
      </c>
      <c r="K463" t="n">
        <v>0</v>
      </c>
      <c r="L463" t="n">
        <v>0</v>
      </c>
      <c r="M463" t="n">
        <v>0</v>
      </c>
      <c r="N463" t="n">
        <v>0</v>
      </c>
      <c r="O463" t="n">
        <v>0</v>
      </c>
      <c r="P463" t="n">
        <v>0</v>
      </c>
      <c r="Q463" t="n">
        <v>0</v>
      </c>
      <c r="R463" s="2" t="inlineStr"/>
    </row>
    <row r="464" ht="15" customHeight="1">
      <c r="A464" t="inlineStr">
        <is>
          <t>A 54592-2025</t>
        </is>
      </c>
      <c r="B464" s="1" t="n">
        <v>45965.74545138889</v>
      </c>
      <c r="C464" s="1" t="n">
        <v>46063</v>
      </c>
      <c r="D464" t="inlineStr">
        <is>
          <t>UPPSALA LÄN</t>
        </is>
      </c>
      <c r="E464" t="inlineStr">
        <is>
          <t>ÖSTHAMMAR</t>
        </is>
      </c>
      <c r="F464" t="inlineStr">
        <is>
          <t>Bergvik skog öst AB</t>
        </is>
      </c>
      <c r="G464" t="n">
        <v>5</v>
      </c>
      <c r="H464" t="n">
        <v>0</v>
      </c>
      <c r="I464" t="n">
        <v>0</v>
      </c>
      <c r="J464" t="n">
        <v>0</v>
      </c>
      <c r="K464" t="n">
        <v>0</v>
      </c>
      <c r="L464" t="n">
        <v>0</v>
      </c>
      <c r="M464" t="n">
        <v>0</v>
      </c>
      <c r="N464" t="n">
        <v>0</v>
      </c>
      <c r="O464" t="n">
        <v>0</v>
      </c>
      <c r="P464" t="n">
        <v>0</v>
      </c>
      <c r="Q464" t="n">
        <v>0</v>
      </c>
      <c r="R464" s="2" t="inlineStr"/>
    </row>
    <row r="465" ht="15" customHeight="1">
      <c r="A465" t="inlineStr">
        <is>
          <t>A 66779-2021</t>
        </is>
      </c>
      <c r="B465" s="1" t="n">
        <v>44522.31700231481</v>
      </c>
      <c r="C465" s="1" t="n">
        <v>46063</v>
      </c>
      <c r="D465" t="inlineStr">
        <is>
          <t>UPPSALA LÄN</t>
        </is>
      </c>
      <c r="E465" t="inlineStr">
        <is>
          <t>ÖSTHAMMAR</t>
        </is>
      </c>
      <c r="G465" t="n">
        <v>2</v>
      </c>
      <c r="H465" t="n">
        <v>0</v>
      </c>
      <c r="I465" t="n">
        <v>0</v>
      </c>
      <c r="J465" t="n">
        <v>0</v>
      </c>
      <c r="K465" t="n">
        <v>0</v>
      </c>
      <c r="L465" t="n">
        <v>0</v>
      </c>
      <c r="M465" t="n">
        <v>0</v>
      </c>
      <c r="N465" t="n">
        <v>0</v>
      </c>
      <c r="O465" t="n">
        <v>0</v>
      </c>
      <c r="P465" t="n">
        <v>0</v>
      </c>
      <c r="Q465" t="n">
        <v>0</v>
      </c>
      <c r="R465" s="2" t="inlineStr"/>
    </row>
    <row r="466" ht="15" customHeight="1">
      <c r="A466" t="inlineStr">
        <is>
          <t>A 23197-2023</t>
        </is>
      </c>
      <c r="B466" s="1" t="n">
        <v>45075</v>
      </c>
      <c r="C466" s="1" t="n">
        <v>46063</v>
      </c>
      <c r="D466" t="inlineStr">
        <is>
          <t>UPPSALA LÄN</t>
        </is>
      </c>
      <c r="E466" t="inlineStr">
        <is>
          <t>ÖSTHAMMAR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60079-2022</t>
        </is>
      </c>
      <c r="B467" s="1" t="n">
        <v>44909</v>
      </c>
      <c r="C467" s="1" t="n">
        <v>46063</v>
      </c>
      <c r="D467" t="inlineStr">
        <is>
          <t>UPPSALA LÄN</t>
        </is>
      </c>
      <c r="E467" t="inlineStr">
        <is>
          <t>ÖSTHAMMAR</t>
        </is>
      </c>
      <c r="G467" t="n">
        <v>9.6</v>
      </c>
      <c r="H467" t="n">
        <v>0</v>
      </c>
      <c r="I467" t="n">
        <v>0</v>
      </c>
      <c r="J467" t="n">
        <v>0</v>
      </c>
      <c r="K467" t="n">
        <v>0</v>
      </c>
      <c r="L467" t="n">
        <v>0</v>
      </c>
      <c r="M467" t="n">
        <v>0</v>
      </c>
      <c r="N467" t="n">
        <v>0</v>
      </c>
      <c r="O467" t="n">
        <v>0</v>
      </c>
      <c r="P467" t="n">
        <v>0</v>
      </c>
      <c r="Q467" t="n">
        <v>0</v>
      </c>
      <c r="R467" s="2" t="inlineStr"/>
    </row>
    <row r="468" ht="15" customHeight="1">
      <c r="A468" t="inlineStr">
        <is>
          <t>A 54242-2025</t>
        </is>
      </c>
      <c r="B468" s="1" t="n">
        <v>45964.63251157408</v>
      </c>
      <c r="C468" s="1" t="n">
        <v>46063</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9267-2024</t>
        </is>
      </c>
      <c r="B469" s="1" t="n">
        <v>45358</v>
      </c>
      <c r="C469" s="1" t="n">
        <v>46063</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54647-2025</t>
        </is>
      </c>
      <c r="B470" s="1" t="n">
        <v>45966.37258101852</v>
      </c>
      <c r="C470" s="1" t="n">
        <v>46063</v>
      </c>
      <c r="D470" t="inlineStr">
        <is>
          <t>UPPSALA LÄN</t>
        </is>
      </c>
      <c r="E470" t="inlineStr">
        <is>
          <t>ÖSTHAMMAR</t>
        </is>
      </c>
      <c r="G470" t="n">
        <v>4.3</v>
      </c>
      <c r="H470" t="n">
        <v>0</v>
      </c>
      <c r="I470" t="n">
        <v>0</v>
      </c>
      <c r="J470" t="n">
        <v>0</v>
      </c>
      <c r="K470" t="n">
        <v>0</v>
      </c>
      <c r="L470" t="n">
        <v>0</v>
      </c>
      <c r="M470" t="n">
        <v>0</v>
      </c>
      <c r="N470" t="n">
        <v>0</v>
      </c>
      <c r="O470" t="n">
        <v>0</v>
      </c>
      <c r="P470" t="n">
        <v>0</v>
      </c>
      <c r="Q470" t="n">
        <v>0</v>
      </c>
      <c r="R470" s="2" t="inlineStr"/>
    </row>
    <row r="471" ht="15" customHeight="1">
      <c r="A471" t="inlineStr">
        <is>
          <t>A 54649-2025</t>
        </is>
      </c>
      <c r="B471" s="1" t="n">
        <v>45966.37548611111</v>
      </c>
      <c r="C471" s="1" t="n">
        <v>46063</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33758-2024</t>
        </is>
      </c>
      <c r="B472" s="1" t="n">
        <v>45520.56896990741</v>
      </c>
      <c r="C472" s="1" t="n">
        <v>46063</v>
      </c>
      <c r="D472" t="inlineStr">
        <is>
          <t>UPPSALA LÄN</t>
        </is>
      </c>
      <c r="E472" t="inlineStr">
        <is>
          <t>ÖSTHAMMAR</t>
        </is>
      </c>
      <c r="G472" t="n">
        <v>6.5</v>
      </c>
      <c r="H472" t="n">
        <v>0</v>
      </c>
      <c r="I472" t="n">
        <v>0</v>
      </c>
      <c r="J472" t="n">
        <v>0</v>
      </c>
      <c r="K472" t="n">
        <v>0</v>
      </c>
      <c r="L472" t="n">
        <v>0</v>
      </c>
      <c r="M472" t="n">
        <v>0</v>
      </c>
      <c r="N472" t="n">
        <v>0</v>
      </c>
      <c r="O472" t="n">
        <v>0</v>
      </c>
      <c r="P472" t="n">
        <v>0</v>
      </c>
      <c r="Q472" t="n">
        <v>0</v>
      </c>
      <c r="R472" s="2" t="inlineStr"/>
    </row>
    <row r="473" ht="15" customHeight="1">
      <c r="A473" t="inlineStr">
        <is>
          <t>A 55163-2025</t>
        </is>
      </c>
      <c r="B473" s="1" t="n">
        <v>45968.48032407407</v>
      </c>
      <c r="C473" s="1" t="n">
        <v>46063</v>
      </c>
      <c r="D473" t="inlineStr">
        <is>
          <t>UPPSALA LÄN</t>
        </is>
      </c>
      <c r="E473" t="inlineStr">
        <is>
          <t>ÖSTHAMMAR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35316-2024</t>
        </is>
      </c>
      <c r="B474" s="1" t="n">
        <v>45530.68873842592</v>
      </c>
      <c r="C474" s="1" t="n">
        <v>46063</v>
      </c>
      <c r="D474" t="inlineStr">
        <is>
          <t>UPPSALA LÄN</t>
        </is>
      </c>
      <c r="E474" t="inlineStr">
        <is>
          <t>ÖSTHAMMAR</t>
        </is>
      </c>
      <c r="F474" t="inlineStr">
        <is>
          <t>Bergvik skog öst AB</t>
        </is>
      </c>
      <c r="G474" t="n">
        <v>2.1</v>
      </c>
      <c r="H474" t="n">
        <v>0</v>
      </c>
      <c r="I474" t="n">
        <v>0</v>
      </c>
      <c r="J474" t="n">
        <v>0</v>
      </c>
      <c r="K474" t="n">
        <v>0</v>
      </c>
      <c r="L474" t="n">
        <v>0</v>
      </c>
      <c r="M474" t="n">
        <v>0</v>
      </c>
      <c r="N474" t="n">
        <v>0</v>
      </c>
      <c r="O474" t="n">
        <v>0</v>
      </c>
      <c r="P474" t="n">
        <v>0</v>
      </c>
      <c r="Q474" t="n">
        <v>0</v>
      </c>
      <c r="R474" s="2" t="inlineStr"/>
    </row>
    <row r="475" ht="15" customHeight="1">
      <c r="A475" t="inlineStr">
        <is>
          <t>A 38571-2023</t>
        </is>
      </c>
      <c r="B475" s="1" t="n">
        <v>45162.6177662037</v>
      </c>
      <c r="C475" s="1" t="n">
        <v>46063</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7560-2023</t>
        </is>
      </c>
      <c r="B476" s="1" t="n">
        <v>44972.34811342593</v>
      </c>
      <c r="C476" s="1" t="n">
        <v>46063</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44184-2024</t>
        </is>
      </c>
      <c r="B477" s="1" t="n">
        <v>45572</v>
      </c>
      <c r="C477" s="1" t="n">
        <v>46063</v>
      </c>
      <c r="D477" t="inlineStr">
        <is>
          <t>UPPSALA LÄN</t>
        </is>
      </c>
      <c r="E477" t="inlineStr">
        <is>
          <t>ÖSTHAMMAR</t>
        </is>
      </c>
      <c r="G477" t="n">
        <v>0.6</v>
      </c>
      <c r="H477" t="n">
        <v>0</v>
      </c>
      <c r="I477" t="n">
        <v>0</v>
      </c>
      <c r="J477" t="n">
        <v>0</v>
      </c>
      <c r="K477" t="n">
        <v>0</v>
      </c>
      <c r="L477" t="n">
        <v>0</v>
      </c>
      <c r="M477" t="n">
        <v>0</v>
      </c>
      <c r="N477" t="n">
        <v>0</v>
      </c>
      <c r="O477" t="n">
        <v>0</v>
      </c>
      <c r="P477" t="n">
        <v>0</v>
      </c>
      <c r="Q477" t="n">
        <v>0</v>
      </c>
      <c r="R477" s="2" t="inlineStr"/>
    </row>
    <row r="478" ht="15" customHeight="1">
      <c r="A478" t="inlineStr">
        <is>
          <t>A 48083-2024</t>
        </is>
      </c>
      <c r="B478" s="1" t="n">
        <v>45589.58766203704</v>
      </c>
      <c r="C478" s="1" t="n">
        <v>46063</v>
      </c>
      <c r="D478" t="inlineStr">
        <is>
          <t>UPPSALA LÄN</t>
        </is>
      </c>
      <c r="E478" t="inlineStr">
        <is>
          <t>ÖSTHAMMAR</t>
        </is>
      </c>
      <c r="G478" t="n">
        <v>3</v>
      </c>
      <c r="H478" t="n">
        <v>0</v>
      </c>
      <c r="I478" t="n">
        <v>0</v>
      </c>
      <c r="J478" t="n">
        <v>0</v>
      </c>
      <c r="K478" t="n">
        <v>0</v>
      </c>
      <c r="L478" t="n">
        <v>0</v>
      </c>
      <c r="M478" t="n">
        <v>0</v>
      </c>
      <c r="N478" t="n">
        <v>0</v>
      </c>
      <c r="O478" t="n">
        <v>0</v>
      </c>
      <c r="P478" t="n">
        <v>0</v>
      </c>
      <c r="Q478" t="n">
        <v>0</v>
      </c>
      <c r="R478" s="2" t="inlineStr"/>
    </row>
    <row r="479" ht="15" customHeight="1">
      <c r="A479" t="inlineStr">
        <is>
          <t>A 74436-2021</t>
        </is>
      </c>
      <c r="B479" s="1" t="n">
        <v>44560.4502199074</v>
      </c>
      <c r="C479" s="1" t="n">
        <v>46063</v>
      </c>
      <c r="D479" t="inlineStr">
        <is>
          <t>UPPSALA LÄN</t>
        </is>
      </c>
      <c r="E479" t="inlineStr">
        <is>
          <t>ÖSTHAMMAR</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55298-2025</t>
        </is>
      </c>
      <c r="B480" s="1" t="n">
        <v>45969.76908564815</v>
      </c>
      <c r="C480" s="1" t="n">
        <v>46063</v>
      </c>
      <c r="D480" t="inlineStr">
        <is>
          <t>UPPSALA LÄN</t>
        </is>
      </c>
      <c r="E480" t="inlineStr">
        <is>
          <t>ÖSTHAMMAR</t>
        </is>
      </c>
      <c r="F480" t="inlineStr">
        <is>
          <t>Bergvik skog öst AB</t>
        </is>
      </c>
      <c r="G480" t="n">
        <v>3.6</v>
      </c>
      <c r="H480" t="n">
        <v>0</v>
      </c>
      <c r="I480" t="n">
        <v>0</v>
      </c>
      <c r="J480" t="n">
        <v>0</v>
      </c>
      <c r="K480" t="n">
        <v>0</v>
      </c>
      <c r="L480" t="n">
        <v>0</v>
      </c>
      <c r="M480" t="n">
        <v>0</v>
      </c>
      <c r="N480" t="n">
        <v>0</v>
      </c>
      <c r="O480" t="n">
        <v>0</v>
      </c>
      <c r="P480" t="n">
        <v>0</v>
      </c>
      <c r="Q480" t="n">
        <v>0</v>
      </c>
      <c r="R480" s="2" t="inlineStr"/>
    </row>
    <row r="481" ht="15" customHeight="1">
      <c r="A481" t="inlineStr">
        <is>
          <t>A 32778-2023</t>
        </is>
      </c>
      <c r="B481" s="1" t="n">
        <v>45123.88789351852</v>
      </c>
      <c r="C481" s="1" t="n">
        <v>46063</v>
      </c>
      <c r="D481" t="inlineStr">
        <is>
          <t>UPPSALA LÄN</t>
        </is>
      </c>
      <c r="E481" t="inlineStr">
        <is>
          <t>ÖSTHAMMAR</t>
        </is>
      </c>
      <c r="F481" t="inlineStr">
        <is>
          <t>Bergvik skog öst AB</t>
        </is>
      </c>
      <c r="G481" t="n">
        <v>1</v>
      </c>
      <c r="H481" t="n">
        <v>0</v>
      </c>
      <c r="I481" t="n">
        <v>0</v>
      </c>
      <c r="J481" t="n">
        <v>0</v>
      </c>
      <c r="K481" t="n">
        <v>0</v>
      </c>
      <c r="L481" t="n">
        <v>0</v>
      </c>
      <c r="M481" t="n">
        <v>0</v>
      </c>
      <c r="N481" t="n">
        <v>0</v>
      </c>
      <c r="O481" t="n">
        <v>0</v>
      </c>
      <c r="P481" t="n">
        <v>0</v>
      </c>
      <c r="Q481" t="n">
        <v>0</v>
      </c>
      <c r="R481" s="2" t="inlineStr"/>
    </row>
    <row r="482" ht="15" customHeight="1">
      <c r="A482" t="inlineStr">
        <is>
          <t>A 33680-2024</t>
        </is>
      </c>
      <c r="B482" s="1" t="n">
        <v>45520.50712962963</v>
      </c>
      <c r="C482" s="1" t="n">
        <v>46063</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55798-2025</t>
        </is>
      </c>
      <c r="B483" s="1" t="n">
        <v>45972.66209490741</v>
      </c>
      <c r="C483" s="1" t="n">
        <v>46063</v>
      </c>
      <c r="D483" t="inlineStr">
        <is>
          <t>UPPSALA LÄN</t>
        </is>
      </c>
      <c r="E483" t="inlineStr">
        <is>
          <t>ÖSTHAMMAR</t>
        </is>
      </c>
      <c r="F483" t="inlineStr">
        <is>
          <t>Bergvik skog öst AB</t>
        </is>
      </c>
      <c r="G483" t="n">
        <v>3.9</v>
      </c>
      <c r="H483" t="n">
        <v>0</v>
      </c>
      <c r="I483" t="n">
        <v>0</v>
      </c>
      <c r="J483" t="n">
        <v>0</v>
      </c>
      <c r="K483" t="n">
        <v>0</v>
      </c>
      <c r="L483" t="n">
        <v>0</v>
      </c>
      <c r="M483" t="n">
        <v>0</v>
      </c>
      <c r="N483" t="n">
        <v>0</v>
      </c>
      <c r="O483" t="n">
        <v>0</v>
      </c>
      <c r="P483" t="n">
        <v>0</v>
      </c>
      <c r="Q483" t="n">
        <v>0</v>
      </c>
      <c r="R483" s="2" t="inlineStr"/>
    </row>
    <row r="484" ht="15" customHeight="1">
      <c r="A484" t="inlineStr">
        <is>
          <t>A 7944-2023</t>
        </is>
      </c>
      <c r="B484" s="1" t="n">
        <v>44973.66458333333</v>
      </c>
      <c r="C484" s="1" t="n">
        <v>46063</v>
      </c>
      <c r="D484" t="inlineStr">
        <is>
          <t>UPPSALA LÄN</t>
        </is>
      </c>
      <c r="E484" t="inlineStr">
        <is>
          <t>ÖSTHAMMAR</t>
        </is>
      </c>
      <c r="G484" t="n">
        <v>4.6</v>
      </c>
      <c r="H484" t="n">
        <v>0</v>
      </c>
      <c r="I484" t="n">
        <v>0</v>
      </c>
      <c r="J484" t="n">
        <v>0</v>
      </c>
      <c r="K484" t="n">
        <v>0</v>
      </c>
      <c r="L484" t="n">
        <v>0</v>
      </c>
      <c r="M484" t="n">
        <v>0</v>
      </c>
      <c r="N484" t="n">
        <v>0</v>
      </c>
      <c r="O484" t="n">
        <v>0</v>
      </c>
      <c r="P484" t="n">
        <v>0</v>
      </c>
      <c r="Q484" t="n">
        <v>0</v>
      </c>
      <c r="R484" s="2" t="inlineStr"/>
    </row>
    <row r="485" ht="15" customHeight="1">
      <c r="A485" t="inlineStr">
        <is>
          <t>A 8616-2023</t>
        </is>
      </c>
      <c r="B485" s="1" t="n">
        <v>44977</v>
      </c>
      <c r="C485" s="1" t="n">
        <v>46063</v>
      </c>
      <c r="D485" t="inlineStr">
        <is>
          <t>UPPSALA LÄN</t>
        </is>
      </c>
      <c r="E485" t="inlineStr">
        <is>
          <t>ÖSTHAMMAR</t>
        </is>
      </c>
      <c r="F485" t="inlineStr">
        <is>
          <t>Bergvik skog öst AB</t>
        </is>
      </c>
      <c r="G485" t="n">
        <v>0.2</v>
      </c>
      <c r="H485" t="n">
        <v>0</v>
      </c>
      <c r="I485" t="n">
        <v>0</v>
      </c>
      <c r="J485" t="n">
        <v>0</v>
      </c>
      <c r="K485" t="n">
        <v>0</v>
      </c>
      <c r="L485" t="n">
        <v>0</v>
      </c>
      <c r="M485" t="n">
        <v>0</v>
      </c>
      <c r="N485" t="n">
        <v>0</v>
      </c>
      <c r="O485" t="n">
        <v>0</v>
      </c>
      <c r="P485" t="n">
        <v>0</v>
      </c>
      <c r="Q485" t="n">
        <v>0</v>
      </c>
      <c r="R485" s="2" t="inlineStr"/>
    </row>
    <row r="486" ht="15" customHeight="1">
      <c r="A486" t="inlineStr">
        <is>
          <t>A 1567-2025</t>
        </is>
      </c>
      <c r="B486" s="1" t="n">
        <v>45670</v>
      </c>
      <c r="C486" s="1" t="n">
        <v>46063</v>
      </c>
      <c r="D486" t="inlineStr">
        <is>
          <t>UPPSALA LÄN</t>
        </is>
      </c>
      <c r="E486" t="inlineStr">
        <is>
          <t>ÖSTHAMMAR</t>
        </is>
      </c>
      <c r="G486" t="n">
        <v>2.8</v>
      </c>
      <c r="H486" t="n">
        <v>0</v>
      </c>
      <c r="I486" t="n">
        <v>0</v>
      </c>
      <c r="J486" t="n">
        <v>0</v>
      </c>
      <c r="K486" t="n">
        <v>0</v>
      </c>
      <c r="L486" t="n">
        <v>0</v>
      </c>
      <c r="M486" t="n">
        <v>0</v>
      </c>
      <c r="N486" t="n">
        <v>0</v>
      </c>
      <c r="O486" t="n">
        <v>0</v>
      </c>
      <c r="P486" t="n">
        <v>0</v>
      </c>
      <c r="Q486" t="n">
        <v>0</v>
      </c>
      <c r="R486" s="2" t="inlineStr"/>
    </row>
    <row r="487" ht="15" customHeight="1">
      <c r="A487" t="inlineStr">
        <is>
          <t>A 73965-2021</t>
        </is>
      </c>
      <c r="B487" s="1" t="n">
        <v>44553.80824074074</v>
      </c>
      <c r="C487" s="1" t="n">
        <v>46063</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56582-2025</t>
        </is>
      </c>
      <c r="B488" s="1" t="n">
        <v>45975.54730324074</v>
      </c>
      <c r="C488" s="1" t="n">
        <v>46063</v>
      </c>
      <c r="D488" t="inlineStr">
        <is>
          <t>UPPSALA LÄN</t>
        </is>
      </c>
      <c r="E488" t="inlineStr">
        <is>
          <t>ÖSTHAMMAR</t>
        </is>
      </c>
      <c r="G488" t="n">
        <v>4.1</v>
      </c>
      <c r="H488" t="n">
        <v>0</v>
      </c>
      <c r="I488" t="n">
        <v>0</v>
      </c>
      <c r="J488" t="n">
        <v>0</v>
      </c>
      <c r="K488" t="n">
        <v>0</v>
      </c>
      <c r="L488" t="n">
        <v>0</v>
      </c>
      <c r="M488" t="n">
        <v>0</v>
      </c>
      <c r="N488" t="n">
        <v>0</v>
      </c>
      <c r="O488" t="n">
        <v>0</v>
      </c>
      <c r="P488" t="n">
        <v>0</v>
      </c>
      <c r="Q488" t="n">
        <v>0</v>
      </c>
      <c r="R488" s="2" t="inlineStr"/>
    </row>
    <row r="489" ht="15" customHeight="1">
      <c r="A489" t="inlineStr">
        <is>
          <t>A 73592-2021</t>
        </is>
      </c>
      <c r="B489" s="1" t="n">
        <v>44552.36974537037</v>
      </c>
      <c r="C489" s="1" t="n">
        <v>46063</v>
      </c>
      <c r="D489" t="inlineStr">
        <is>
          <t>UPPSALA LÄN</t>
        </is>
      </c>
      <c r="E489" t="inlineStr">
        <is>
          <t>ÖSTHAMMAR</t>
        </is>
      </c>
      <c r="G489" t="n">
        <v>1.7</v>
      </c>
      <c r="H489" t="n">
        <v>0</v>
      </c>
      <c r="I489" t="n">
        <v>0</v>
      </c>
      <c r="J489" t="n">
        <v>0</v>
      </c>
      <c r="K489" t="n">
        <v>0</v>
      </c>
      <c r="L489" t="n">
        <v>0</v>
      </c>
      <c r="M489" t="n">
        <v>0</v>
      </c>
      <c r="N489" t="n">
        <v>0</v>
      </c>
      <c r="O489" t="n">
        <v>0</v>
      </c>
      <c r="P489" t="n">
        <v>0</v>
      </c>
      <c r="Q489" t="n">
        <v>0</v>
      </c>
      <c r="R489" s="2" t="inlineStr"/>
    </row>
    <row r="490" ht="15" customHeight="1">
      <c r="A490" t="inlineStr">
        <is>
          <t>A 56682-2025</t>
        </is>
      </c>
      <c r="B490" s="1" t="n">
        <v>45975</v>
      </c>
      <c r="C490" s="1" t="n">
        <v>46063</v>
      </c>
      <c r="D490" t="inlineStr">
        <is>
          <t>UPPSALA LÄN</t>
        </is>
      </c>
      <c r="E490" t="inlineStr">
        <is>
          <t>ÖSTHAMMAR</t>
        </is>
      </c>
      <c r="G490" t="n">
        <v>3.9</v>
      </c>
      <c r="H490" t="n">
        <v>0</v>
      </c>
      <c r="I490" t="n">
        <v>0</v>
      </c>
      <c r="J490" t="n">
        <v>0</v>
      </c>
      <c r="K490" t="n">
        <v>0</v>
      </c>
      <c r="L490" t="n">
        <v>0</v>
      </c>
      <c r="M490" t="n">
        <v>0</v>
      </c>
      <c r="N490" t="n">
        <v>0</v>
      </c>
      <c r="O490" t="n">
        <v>0</v>
      </c>
      <c r="P490" t="n">
        <v>0</v>
      </c>
      <c r="Q490" t="n">
        <v>0</v>
      </c>
      <c r="R490" s="2" t="inlineStr"/>
    </row>
    <row r="491" ht="15" customHeight="1">
      <c r="A491" t="inlineStr">
        <is>
          <t>A 56518-2025</t>
        </is>
      </c>
      <c r="B491" s="1" t="n">
        <v>45975.4581712963</v>
      </c>
      <c r="C491" s="1" t="n">
        <v>46063</v>
      </c>
      <c r="D491" t="inlineStr">
        <is>
          <t>UPPSALA LÄN</t>
        </is>
      </c>
      <c r="E491" t="inlineStr">
        <is>
          <t>ÖSTHAMMAR</t>
        </is>
      </c>
      <c r="G491" t="n">
        <v>2.7</v>
      </c>
      <c r="H491" t="n">
        <v>0</v>
      </c>
      <c r="I491" t="n">
        <v>0</v>
      </c>
      <c r="J491" t="n">
        <v>0</v>
      </c>
      <c r="K491" t="n">
        <v>0</v>
      </c>
      <c r="L491" t="n">
        <v>0</v>
      </c>
      <c r="M491" t="n">
        <v>0</v>
      </c>
      <c r="N491" t="n">
        <v>0</v>
      </c>
      <c r="O491" t="n">
        <v>0</v>
      </c>
      <c r="P491" t="n">
        <v>0</v>
      </c>
      <c r="Q491" t="n">
        <v>0</v>
      </c>
      <c r="R491" s="2" t="inlineStr"/>
    </row>
    <row r="492" ht="15" customHeight="1">
      <c r="A492" t="inlineStr">
        <is>
          <t>A 56658-2025</t>
        </is>
      </c>
      <c r="B492" s="1" t="n">
        <v>45975.65431712963</v>
      </c>
      <c r="C492" s="1" t="n">
        <v>46063</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31479-2023</t>
        </is>
      </c>
      <c r="B493" s="1" t="n">
        <v>45114.79793981482</v>
      </c>
      <c r="C493" s="1" t="n">
        <v>46063</v>
      </c>
      <c r="D493" t="inlineStr">
        <is>
          <t>UPPSALA LÄN</t>
        </is>
      </c>
      <c r="E493" t="inlineStr">
        <is>
          <t>ÖSTHAMMAR</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56745-2025</t>
        </is>
      </c>
      <c r="B494" s="1" t="n">
        <v>45978.36157407407</v>
      </c>
      <c r="C494" s="1" t="n">
        <v>46063</v>
      </c>
      <c r="D494" t="inlineStr">
        <is>
          <t>UPPSALA LÄN</t>
        </is>
      </c>
      <c r="E494" t="inlineStr">
        <is>
          <t>ÖSTHAMMAR</t>
        </is>
      </c>
      <c r="G494" t="n">
        <v>2.6</v>
      </c>
      <c r="H494" t="n">
        <v>0</v>
      </c>
      <c r="I494" t="n">
        <v>0</v>
      </c>
      <c r="J494" t="n">
        <v>0</v>
      </c>
      <c r="K494" t="n">
        <v>0</v>
      </c>
      <c r="L494" t="n">
        <v>0</v>
      </c>
      <c r="M494" t="n">
        <v>0</v>
      </c>
      <c r="N494" t="n">
        <v>0</v>
      </c>
      <c r="O494" t="n">
        <v>0</v>
      </c>
      <c r="P494" t="n">
        <v>0</v>
      </c>
      <c r="Q494" t="n">
        <v>0</v>
      </c>
      <c r="R494" s="2" t="inlineStr"/>
    </row>
    <row r="495" ht="15" customHeight="1">
      <c r="A495" t="inlineStr">
        <is>
          <t>A 24128-2023</t>
        </is>
      </c>
      <c r="B495" s="1" t="n">
        <v>45079.50289351852</v>
      </c>
      <c r="C495" s="1" t="n">
        <v>46063</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56942-2025</t>
        </is>
      </c>
      <c r="B496" s="1" t="n">
        <v>45978.62611111111</v>
      </c>
      <c r="C496" s="1" t="n">
        <v>46063</v>
      </c>
      <c r="D496" t="inlineStr">
        <is>
          <t>UPPSALA LÄN</t>
        </is>
      </c>
      <c r="E496" t="inlineStr">
        <is>
          <t>ÖSTHAMMAR</t>
        </is>
      </c>
      <c r="G496" t="n">
        <v>3.2</v>
      </c>
      <c r="H496" t="n">
        <v>0</v>
      </c>
      <c r="I496" t="n">
        <v>0</v>
      </c>
      <c r="J496" t="n">
        <v>0</v>
      </c>
      <c r="K496" t="n">
        <v>0</v>
      </c>
      <c r="L496" t="n">
        <v>0</v>
      </c>
      <c r="M496" t="n">
        <v>0</v>
      </c>
      <c r="N496" t="n">
        <v>0</v>
      </c>
      <c r="O496" t="n">
        <v>0</v>
      </c>
      <c r="P496" t="n">
        <v>0</v>
      </c>
      <c r="Q496" t="n">
        <v>0</v>
      </c>
      <c r="R496" s="2" t="inlineStr"/>
    </row>
    <row r="497" ht="15" customHeight="1">
      <c r="A497" t="inlineStr">
        <is>
          <t>A 56757-2025</t>
        </is>
      </c>
      <c r="B497" s="1" t="n">
        <v>45978.37162037037</v>
      </c>
      <c r="C497" s="1" t="n">
        <v>46063</v>
      </c>
      <c r="D497" t="inlineStr">
        <is>
          <t>UPPSALA LÄN</t>
        </is>
      </c>
      <c r="E497" t="inlineStr">
        <is>
          <t>ÖSTHAMMAR</t>
        </is>
      </c>
      <c r="G497" t="n">
        <v>1.1</v>
      </c>
      <c r="H497" t="n">
        <v>0</v>
      </c>
      <c r="I497" t="n">
        <v>0</v>
      </c>
      <c r="J497" t="n">
        <v>0</v>
      </c>
      <c r="K497" t="n">
        <v>0</v>
      </c>
      <c r="L497" t="n">
        <v>0</v>
      </c>
      <c r="M497" t="n">
        <v>0</v>
      </c>
      <c r="N497" t="n">
        <v>0</v>
      </c>
      <c r="O497" t="n">
        <v>0</v>
      </c>
      <c r="P497" t="n">
        <v>0</v>
      </c>
      <c r="Q497" t="n">
        <v>0</v>
      </c>
      <c r="R497" s="2" t="inlineStr"/>
    </row>
    <row r="498" ht="15" customHeight="1">
      <c r="A498" t="inlineStr">
        <is>
          <t>A 56823-2025</t>
        </is>
      </c>
      <c r="B498" s="1" t="n">
        <v>45978.46484953703</v>
      </c>
      <c r="C498" s="1" t="n">
        <v>46063</v>
      </c>
      <c r="D498" t="inlineStr">
        <is>
          <t>UPPSALA LÄN</t>
        </is>
      </c>
      <c r="E498" t="inlineStr">
        <is>
          <t>ÖSTHAMMAR</t>
        </is>
      </c>
      <c r="G498" t="n">
        <v>0.1</v>
      </c>
      <c r="H498" t="n">
        <v>0</v>
      </c>
      <c r="I498" t="n">
        <v>0</v>
      </c>
      <c r="J498" t="n">
        <v>0</v>
      </c>
      <c r="K498" t="n">
        <v>0</v>
      </c>
      <c r="L498" t="n">
        <v>0</v>
      </c>
      <c r="M498" t="n">
        <v>0</v>
      </c>
      <c r="N498" t="n">
        <v>0</v>
      </c>
      <c r="O498" t="n">
        <v>0</v>
      </c>
      <c r="P498" t="n">
        <v>0</v>
      </c>
      <c r="Q498" t="n">
        <v>0</v>
      </c>
      <c r="R498" s="2" t="inlineStr"/>
    </row>
    <row r="499" ht="15" customHeight="1">
      <c r="A499" t="inlineStr">
        <is>
          <t>A 35918-2023</t>
        </is>
      </c>
      <c r="B499" s="1" t="n">
        <v>45148.64976851852</v>
      </c>
      <c r="C499" s="1" t="n">
        <v>46063</v>
      </c>
      <c r="D499" t="inlineStr">
        <is>
          <t>UPPSALA LÄN</t>
        </is>
      </c>
      <c r="E499" t="inlineStr">
        <is>
          <t>ÖSTHAMMAR</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56754-2025</t>
        </is>
      </c>
      <c r="B500" s="1" t="n">
        <v>45978.36700231482</v>
      </c>
      <c r="C500" s="1" t="n">
        <v>46063</v>
      </c>
      <c r="D500" t="inlineStr">
        <is>
          <t>UPPSALA LÄN</t>
        </is>
      </c>
      <c r="E500" t="inlineStr">
        <is>
          <t>ÖSTHAMMAR</t>
        </is>
      </c>
      <c r="G500" t="n">
        <v>0.9</v>
      </c>
      <c r="H500" t="n">
        <v>0</v>
      </c>
      <c r="I500" t="n">
        <v>0</v>
      </c>
      <c r="J500" t="n">
        <v>0</v>
      </c>
      <c r="K500" t="n">
        <v>0</v>
      </c>
      <c r="L500" t="n">
        <v>0</v>
      </c>
      <c r="M500" t="n">
        <v>0</v>
      </c>
      <c r="N500" t="n">
        <v>0</v>
      </c>
      <c r="O500" t="n">
        <v>0</v>
      </c>
      <c r="P500" t="n">
        <v>0</v>
      </c>
      <c r="Q500" t="n">
        <v>0</v>
      </c>
      <c r="R500" s="2" t="inlineStr"/>
    </row>
    <row r="501" ht="15" customHeight="1">
      <c r="A501" t="inlineStr">
        <is>
          <t>A 56748-2025</t>
        </is>
      </c>
      <c r="B501" s="1" t="n">
        <v>45978.36412037037</v>
      </c>
      <c r="C501" s="1" t="n">
        <v>46063</v>
      </c>
      <c r="D501" t="inlineStr">
        <is>
          <t>UPPSALA LÄN</t>
        </is>
      </c>
      <c r="E501" t="inlineStr">
        <is>
          <t>ÖSTHAMMAR</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56653-2025</t>
        </is>
      </c>
      <c r="B502" s="1" t="n">
        <v>45975.64628472222</v>
      </c>
      <c r="C502" s="1" t="n">
        <v>46063</v>
      </c>
      <c r="D502" t="inlineStr">
        <is>
          <t>UPPSALA LÄN</t>
        </is>
      </c>
      <c r="E502" t="inlineStr">
        <is>
          <t>ÖSTHAMMAR</t>
        </is>
      </c>
      <c r="G502" t="n">
        <v>1.7</v>
      </c>
      <c r="H502" t="n">
        <v>0</v>
      </c>
      <c r="I502" t="n">
        <v>0</v>
      </c>
      <c r="J502" t="n">
        <v>0</v>
      </c>
      <c r="K502" t="n">
        <v>0</v>
      </c>
      <c r="L502" t="n">
        <v>0</v>
      </c>
      <c r="M502" t="n">
        <v>0</v>
      </c>
      <c r="N502" t="n">
        <v>0</v>
      </c>
      <c r="O502" t="n">
        <v>0</v>
      </c>
      <c r="P502" t="n">
        <v>0</v>
      </c>
      <c r="Q502" t="n">
        <v>0</v>
      </c>
      <c r="R502" s="2" t="inlineStr"/>
    </row>
    <row r="503" ht="15" customHeight="1">
      <c r="A503" t="inlineStr">
        <is>
          <t>A 56753-2025</t>
        </is>
      </c>
      <c r="B503" s="1" t="n">
        <v>45978.36677083333</v>
      </c>
      <c r="C503" s="1" t="n">
        <v>46063</v>
      </c>
      <c r="D503" t="inlineStr">
        <is>
          <t>UPPSALA LÄN</t>
        </is>
      </c>
      <c r="E503" t="inlineStr">
        <is>
          <t>ÖSTHAMMAR</t>
        </is>
      </c>
      <c r="F503" t="inlineStr">
        <is>
          <t>Sveaskog</t>
        </is>
      </c>
      <c r="G503" t="n">
        <v>8.6</v>
      </c>
      <c r="H503" t="n">
        <v>0</v>
      </c>
      <c r="I503" t="n">
        <v>0</v>
      </c>
      <c r="J503" t="n">
        <v>0</v>
      </c>
      <c r="K503" t="n">
        <v>0</v>
      </c>
      <c r="L503" t="n">
        <v>0</v>
      </c>
      <c r="M503" t="n">
        <v>0</v>
      </c>
      <c r="N503" t="n">
        <v>0</v>
      </c>
      <c r="O503" t="n">
        <v>0</v>
      </c>
      <c r="P503" t="n">
        <v>0</v>
      </c>
      <c r="Q503" t="n">
        <v>0</v>
      </c>
      <c r="R503" s="2" t="inlineStr"/>
    </row>
    <row r="504" ht="15" customHeight="1">
      <c r="A504" t="inlineStr">
        <is>
          <t>A 57248-2025</t>
        </is>
      </c>
      <c r="B504" s="1" t="n">
        <v>45979.635625</v>
      </c>
      <c r="C504" s="1" t="n">
        <v>46063</v>
      </c>
      <c r="D504" t="inlineStr">
        <is>
          <t>UPPSALA LÄN</t>
        </is>
      </c>
      <c r="E504" t="inlineStr">
        <is>
          <t>ÖSTHAMMAR</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4004-2023</t>
        </is>
      </c>
      <c r="B505" s="1" t="n">
        <v>44952</v>
      </c>
      <c r="C505" s="1" t="n">
        <v>46063</v>
      </c>
      <c r="D505" t="inlineStr">
        <is>
          <t>UPPSALA LÄN</t>
        </is>
      </c>
      <c r="E505" t="inlineStr">
        <is>
          <t>ÖSTHAMMAR</t>
        </is>
      </c>
      <c r="G505" t="n">
        <v>4.1</v>
      </c>
      <c r="H505" t="n">
        <v>0</v>
      </c>
      <c r="I505" t="n">
        <v>0</v>
      </c>
      <c r="J505" t="n">
        <v>0</v>
      </c>
      <c r="K505" t="n">
        <v>0</v>
      </c>
      <c r="L505" t="n">
        <v>0</v>
      </c>
      <c r="M505" t="n">
        <v>0</v>
      </c>
      <c r="N505" t="n">
        <v>0</v>
      </c>
      <c r="O505" t="n">
        <v>0</v>
      </c>
      <c r="P505" t="n">
        <v>0</v>
      </c>
      <c r="Q505" t="n">
        <v>0</v>
      </c>
      <c r="R505" s="2" t="inlineStr"/>
    </row>
    <row r="506" ht="15" customHeight="1">
      <c r="A506" t="inlineStr">
        <is>
          <t>A 57257-2025</t>
        </is>
      </c>
      <c r="B506" s="1" t="n">
        <v>45979.65149305556</v>
      </c>
      <c r="C506" s="1" t="n">
        <v>46063</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1527-2025</t>
        </is>
      </c>
      <c r="B507" s="1" t="n">
        <v>45670</v>
      </c>
      <c r="C507" s="1" t="n">
        <v>46063</v>
      </c>
      <c r="D507" t="inlineStr">
        <is>
          <t>UPPSALA LÄN</t>
        </is>
      </c>
      <c r="E507" t="inlineStr">
        <is>
          <t>ÖSTHAMMAR</t>
        </is>
      </c>
      <c r="F507" t="inlineStr">
        <is>
          <t>Bergvik skog öst AB</t>
        </is>
      </c>
      <c r="G507" t="n">
        <v>7.7</v>
      </c>
      <c r="H507" t="n">
        <v>0</v>
      </c>
      <c r="I507" t="n">
        <v>0</v>
      </c>
      <c r="J507" t="n">
        <v>0</v>
      </c>
      <c r="K507" t="n">
        <v>0</v>
      </c>
      <c r="L507" t="n">
        <v>0</v>
      </c>
      <c r="M507" t="n">
        <v>0</v>
      </c>
      <c r="N507" t="n">
        <v>0</v>
      </c>
      <c r="O507" t="n">
        <v>0</v>
      </c>
      <c r="P507" t="n">
        <v>0</v>
      </c>
      <c r="Q507" t="n">
        <v>0</v>
      </c>
      <c r="R507" s="2" t="inlineStr"/>
    </row>
    <row r="508" ht="15" customHeight="1">
      <c r="A508" t="inlineStr">
        <is>
          <t>A 35474-2023</t>
        </is>
      </c>
      <c r="B508" s="1" t="n">
        <v>45146.68921296296</v>
      </c>
      <c r="C508" s="1" t="n">
        <v>46063</v>
      </c>
      <c r="D508" t="inlineStr">
        <is>
          <t>UPPSALA LÄN</t>
        </is>
      </c>
      <c r="E508" t="inlineStr">
        <is>
          <t>ÖSTHAMMAR</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26303-2024</t>
        </is>
      </c>
      <c r="B509" s="1" t="n">
        <v>45468</v>
      </c>
      <c r="C509" s="1" t="n">
        <v>46063</v>
      </c>
      <c r="D509" t="inlineStr">
        <is>
          <t>UPPSALA LÄN</t>
        </is>
      </c>
      <c r="E509" t="inlineStr">
        <is>
          <t>ÖSTHAMMAR</t>
        </is>
      </c>
      <c r="G509" t="n">
        <v>1.2</v>
      </c>
      <c r="H509" t="n">
        <v>0</v>
      </c>
      <c r="I509" t="n">
        <v>0</v>
      </c>
      <c r="J509" t="n">
        <v>0</v>
      </c>
      <c r="K509" t="n">
        <v>0</v>
      </c>
      <c r="L509" t="n">
        <v>0</v>
      </c>
      <c r="M509" t="n">
        <v>0</v>
      </c>
      <c r="N509" t="n">
        <v>0</v>
      </c>
      <c r="O509" t="n">
        <v>0</v>
      </c>
      <c r="P509" t="n">
        <v>0</v>
      </c>
      <c r="Q509" t="n">
        <v>0</v>
      </c>
      <c r="R509" s="2" t="inlineStr"/>
    </row>
    <row r="510" ht="15" customHeight="1">
      <c r="A510" t="inlineStr">
        <is>
          <t>A 57154-2025</t>
        </is>
      </c>
      <c r="B510" s="1" t="n">
        <v>45979.51086805556</v>
      </c>
      <c r="C510" s="1" t="n">
        <v>46063</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44152-2024</t>
        </is>
      </c>
      <c r="B511" s="1" t="n">
        <v>45572</v>
      </c>
      <c r="C511" s="1" t="n">
        <v>46063</v>
      </c>
      <c r="D511" t="inlineStr">
        <is>
          <t>UPPSALA LÄN</t>
        </is>
      </c>
      <c r="E511" t="inlineStr">
        <is>
          <t>ÖSTHAMMAR</t>
        </is>
      </c>
      <c r="G511" t="n">
        <v>1.6</v>
      </c>
      <c r="H511" t="n">
        <v>0</v>
      </c>
      <c r="I511" t="n">
        <v>0</v>
      </c>
      <c r="J511" t="n">
        <v>0</v>
      </c>
      <c r="K511" t="n">
        <v>0</v>
      </c>
      <c r="L511" t="n">
        <v>0</v>
      </c>
      <c r="M511" t="n">
        <v>0</v>
      </c>
      <c r="N511" t="n">
        <v>0</v>
      </c>
      <c r="O511" t="n">
        <v>0</v>
      </c>
      <c r="P511" t="n">
        <v>0</v>
      </c>
      <c r="Q511" t="n">
        <v>0</v>
      </c>
      <c r="R511" s="2" t="inlineStr"/>
    </row>
    <row r="512" ht="15" customHeight="1">
      <c r="A512" t="inlineStr">
        <is>
          <t>A 4561-2022</t>
        </is>
      </c>
      <c r="B512" s="1" t="n">
        <v>44591.59170138889</v>
      </c>
      <c r="C512" s="1" t="n">
        <v>46063</v>
      </c>
      <c r="D512" t="inlineStr">
        <is>
          <t>UPPSALA LÄN</t>
        </is>
      </c>
      <c r="E512" t="inlineStr">
        <is>
          <t>ÖSTHAMMAR</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17651-2025</t>
        </is>
      </c>
      <c r="B513" s="1" t="n">
        <v>45758.33304398148</v>
      </c>
      <c r="C513" s="1" t="n">
        <v>46063</v>
      </c>
      <c r="D513" t="inlineStr">
        <is>
          <t>UPPSALA LÄN</t>
        </is>
      </c>
      <c r="E513" t="inlineStr">
        <is>
          <t>ÖSTHAMMAR</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57908-2025</t>
        </is>
      </c>
      <c r="B514" s="1" t="n">
        <v>45981.78886574074</v>
      </c>
      <c r="C514" s="1" t="n">
        <v>46063</v>
      </c>
      <c r="D514" t="inlineStr">
        <is>
          <t>UPPSALA LÄN</t>
        </is>
      </c>
      <c r="E514" t="inlineStr">
        <is>
          <t>ÖSTHAMMAR</t>
        </is>
      </c>
      <c r="F514" t="inlineStr">
        <is>
          <t>Bergvik skog öst AB</t>
        </is>
      </c>
      <c r="G514" t="n">
        <v>2</v>
      </c>
      <c r="H514" t="n">
        <v>0</v>
      </c>
      <c r="I514" t="n">
        <v>0</v>
      </c>
      <c r="J514" t="n">
        <v>0</v>
      </c>
      <c r="K514" t="n">
        <v>0</v>
      </c>
      <c r="L514" t="n">
        <v>0</v>
      </c>
      <c r="M514" t="n">
        <v>0</v>
      </c>
      <c r="N514" t="n">
        <v>0</v>
      </c>
      <c r="O514" t="n">
        <v>0</v>
      </c>
      <c r="P514" t="n">
        <v>0</v>
      </c>
      <c r="Q514" t="n">
        <v>0</v>
      </c>
      <c r="R514" s="2" t="inlineStr"/>
    </row>
    <row r="515" ht="15" customHeight="1">
      <c r="A515" t="inlineStr">
        <is>
          <t>A 57907-2025</t>
        </is>
      </c>
      <c r="B515" s="1" t="n">
        <v>45981.78840277778</v>
      </c>
      <c r="C515" s="1" t="n">
        <v>46063</v>
      </c>
      <c r="D515" t="inlineStr">
        <is>
          <t>UPPSALA LÄN</t>
        </is>
      </c>
      <c r="E515" t="inlineStr">
        <is>
          <t>ÖSTHAMMAR</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223-2026</t>
        </is>
      </c>
      <c r="B516" s="1" t="n">
        <v>46026.84339120371</v>
      </c>
      <c r="C516" s="1" t="n">
        <v>46063</v>
      </c>
      <c r="D516" t="inlineStr">
        <is>
          <t>UPPSALA LÄN</t>
        </is>
      </c>
      <c r="E516" t="inlineStr">
        <is>
          <t>ÖSTHAMMAR</t>
        </is>
      </c>
      <c r="G516" t="n">
        <v>39.2</v>
      </c>
      <c r="H516" t="n">
        <v>0</v>
      </c>
      <c r="I516" t="n">
        <v>0</v>
      </c>
      <c r="J516" t="n">
        <v>0</v>
      </c>
      <c r="K516" t="n">
        <v>0</v>
      </c>
      <c r="L516" t="n">
        <v>0</v>
      </c>
      <c r="M516" t="n">
        <v>0</v>
      </c>
      <c r="N516" t="n">
        <v>0</v>
      </c>
      <c r="O516" t="n">
        <v>0</v>
      </c>
      <c r="P516" t="n">
        <v>0</v>
      </c>
      <c r="Q516" t="n">
        <v>0</v>
      </c>
      <c r="R516" s="2" t="inlineStr"/>
    </row>
    <row r="517" ht="15" customHeight="1">
      <c r="A517" t="inlineStr">
        <is>
          <t>A 10290-2025</t>
        </is>
      </c>
      <c r="B517" s="1" t="n">
        <v>45720.41847222222</v>
      </c>
      <c r="C517" s="1" t="n">
        <v>46063</v>
      </c>
      <c r="D517" t="inlineStr">
        <is>
          <t>UPPSALA LÄN</t>
        </is>
      </c>
      <c r="E517" t="inlineStr">
        <is>
          <t>ÖSTHAMMAR</t>
        </is>
      </c>
      <c r="G517" t="n">
        <v>8.6</v>
      </c>
      <c r="H517" t="n">
        <v>0</v>
      </c>
      <c r="I517" t="n">
        <v>0</v>
      </c>
      <c r="J517" t="n">
        <v>0</v>
      </c>
      <c r="K517" t="n">
        <v>0</v>
      </c>
      <c r="L517" t="n">
        <v>0</v>
      </c>
      <c r="M517" t="n">
        <v>0</v>
      </c>
      <c r="N517" t="n">
        <v>0</v>
      </c>
      <c r="O517" t="n">
        <v>0</v>
      </c>
      <c r="P517" t="n">
        <v>0</v>
      </c>
      <c r="Q517" t="n">
        <v>0</v>
      </c>
      <c r="R517" s="2" t="inlineStr"/>
    </row>
    <row r="518" ht="15" customHeight="1">
      <c r="A518" t="inlineStr">
        <is>
          <t>A 360-2026</t>
        </is>
      </c>
      <c r="B518" s="1" t="n">
        <v>46027.66442129629</v>
      </c>
      <c r="C518" s="1" t="n">
        <v>46063</v>
      </c>
      <c r="D518" t="inlineStr">
        <is>
          <t>UPPSALA LÄN</t>
        </is>
      </c>
      <c r="E518" t="inlineStr">
        <is>
          <t>ÖSTHAMMAR</t>
        </is>
      </c>
      <c r="F518" t="inlineStr">
        <is>
          <t>Bergvik skog öst AB</t>
        </is>
      </c>
      <c r="G518" t="n">
        <v>7.9</v>
      </c>
      <c r="H518" t="n">
        <v>0</v>
      </c>
      <c r="I518" t="n">
        <v>0</v>
      </c>
      <c r="J518" t="n">
        <v>0</v>
      </c>
      <c r="K518" t="n">
        <v>0</v>
      </c>
      <c r="L518" t="n">
        <v>0</v>
      </c>
      <c r="M518" t="n">
        <v>0</v>
      </c>
      <c r="N518" t="n">
        <v>0</v>
      </c>
      <c r="O518" t="n">
        <v>0</v>
      </c>
      <c r="P518" t="n">
        <v>0</v>
      </c>
      <c r="Q518" t="n">
        <v>0</v>
      </c>
      <c r="R518" s="2" t="inlineStr"/>
    </row>
    <row r="519" ht="15" customHeight="1">
      <c r="A519" t="inlineStr">
        <is>
          <t>A 362-2026</t>
        </is>
      </c>
      <c r="B519" s="1" t="n">
        <v>46027.6659375</v>
      </c>
      <c r="C519" s="1" t="n">
        <v>46063</v>
      </c>
      <c r="D519" t="inlineStr">
        <is>
          <t>UPPSALA LÄN</t>
        </is>
      </c>
      <c r="E519" t="inlineStr">
        <is>
          <t>ÖSTHAMMAR</t>
        </is>
      </c>
      <c r="F519" t="inlineStr">
        <is>
          <t>Bergvik skog öst AB</t>
        </is>
      </c>
      <c r="G519" t="n">
        <v>1.1</v>
      </c>
      <c r="H519" t="n">
        <v>0</v>
      </c>
      <c r="I519" t="n">
        <v>0</v>
      </c>
      <c r="J519" t="n">
        <v>0</v>
      </c>
      <c r="K519" t="n">
        <v>0</v>
      </c>
      <c r="L519" t="n">
        <v>0</v>
      </c>
      <c r="M519" t="n">
        <v>0</v>
      </c>
      <c r="N519" t="n">
        <v>0</v>
      </c>
      <c r="O519" t="n">
        <v>0</v>
      </c>
      <c r="P519" t="n">
        <v>0</v>
      </c>
      <c r="Q519" t="n">
        <v>0</v>
      </c>
      <c r="R519" s="2" t="inlineStr"/>
    </row>
    <row r="520" ht="15" customHeight="1">
      <c r="A520" t="inlineStr">
        <is>
          <t>A 45102-2024</t>
        </is>
      </c>
      <c r="B520" s="1" t="n">
        <v>45575.58836805556</v>
      </c>
      <c r="C520" s="1" t="n">
        <v>46063</v>
      </c>
      <c r="D520" t="inlineStr">
        <is>
          <t>UPPSALA LÄN</t>
        </is>
      </c>
      <c r="E520" t="inlineStr">
        <is>
          <t>ÖSTHAMMAR</t>
        </is>
      </c>
      <c r="G520" t="n">
        <v>8.6</v>
      </c>
      <c r="H520" t="n">
        <v>0</v>
      </c>
      <c r="I520" t="n">
        <v>0</v>
      </c>
      <c r="J520" t="n">
        <v>0</v>
      </c>
      <c r="K520" t="n">
        <v>0</v>
      </c>
      <c r="L520" t="n">
        <v>0</v>
      </c>
      <c r="M520" t="n">
        <v>0</v>
      </c>
      <c r="N520" t="n">
        <v>0</v>
      </c>
      <c r="O520" t="n">
        <v>0</v>
      </c>
      <c r="P520" t="n">
        <v>0</v>
      </c>
      <c r="Q520" t="n">
        <v>0</v>
      </c>
      <c r="R520" s="2" t="inlineStr"/>
    </row>
    <row r="521" ht="15" customHeight="1">
      <c r="A521" t="inlineStr">
        <is>
          <t>A 45307-2023</t>
        </is>
      </c>
      <c r="B521" s="1" t="n">
        <v>45191</v>
      </c>
      <c r="C521" s="1" t="n">
        <v>46063</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285-2026</t>
        </is>
      </c>
      <c r="B522" s="1" t="n">
        <v>46027.49130787037</v>
      </c>
      <c r="C522" s="1" t="n">
        <v>46063</v>
      </c>
      <c r="D522" t="inlineStr">
        <is>
          <t>UPPSALA LÄN</t>
        </is>
      </c>
      <c r="E522" t="inlineStr">
        <is>
          <t>ÖSTHAMMAR</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58399-2025</t>
        </is>
      </c>
      <c r="B523" s="1" t="n">
        <v>45985.56244212963</v>
      </c>
      <c r="C523" s="1" t="n">
        <v>46063</v>
      </c>
      <c r="D523" t="inlineStr">
        <is>
          <t>UPPSALA LÄN</t>
        </is>
      </c>
      <c r="E523" t="inlineStr">
        <is>
          <t>ÖSTHAMMAR</t>
        </is>
      </c>
      <c r="G523" t="n">
        <v>2.6</v>
      </c>
      <c r="H523" t="n">
        <v>0</v>
      </c>
      <c r="I523" t="n">
        <v>0</v>
      </c>
      <c r="J523" t="n">
        <v>0</v>
      </c>
      <c r="K523" t="n">
        <v>0</v>
      </c>
      <c r="L523" t="n">
        <v>0</v>
      </c>
      <c r="M523" t="n">
        <v>0</v>
      </c>
      <c r="N523" t="n">
        <v>0</v>
      </c>
      <c r="O523" t="n">
        <v>0</v>
      </c>
      <c r="P523" t="n">
        <v>0</v>
      </c>
      <c r="Q523" t="n">
        <v>0</v>
      </c>
      <c r="R523" s="2" t="inlineStr"/>
    </row>
    <row r="524" ht="15" customHeight="1">
      <c r="A524" t="inlineStr">
        <is>
          <t>A 6661-2024</t>
        </is>
      </c>
      <c r="B524" s="1" t="n">
        <v>45341.70582175926</v>
      </c>
      <c r="C524" s="1" t="n">
        <v>46063</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4101-2022</t>
        </is>
      </c>
      <c r="B525" s="1" t="n">
        <v>44588</v>
      </c>
      <c r="C525" s="1" t="n">
        <v>46063</v>
      </c>
      <c r="D525" t="inlineStr">
        <is>
          <t>UPPSALA LÄN</t>
        </is>
      </c>
      <c r="E525" t="inlineStr">
        <is>
          <t>ÖSTHAMMAR</t>
        </is>
      </c>
      <c r="G525" t="n">
        <v>4.4</v>
      </c>
      <c r="H525" t="n">
        <v>0</v>
      </c>
      <c r="I525" t="n">
        <v>0</v>
      </c>
      <c r="J525" t="n">
        <v>0</v>
      </c>
      <c r="K525" t="n">
        <v>0</v>
      </c>
      <c r="L525" t="n">
        <v>0</v>
      </c>
      <c r="M525" t="n">
        <v>0</v>
      </c>
      <c r="N525" t="n">
        <v>0</v>
      </c>
      <c r="O525" t="n">
        <v>0</v>
      </c>
      <c r="P525" t="n">
        <v>0</v>
      </c>
      <c r="Q525" t="n">
        <v>0</v>
      </c>
      <c r="R525" s="2" t="inlineStr"/>
    </row>
    <row r="526" ht="15" customHeight="1">
      <c r="A526" t="inlineStr">
        <is>
          <t>A 52478-2024</t>
        </is>
      </c>
      <c r="B526" s="1" t="n">
        <v>45609.55065972222</v>
      </c>
      <c r="C526" s="1" t="n">
        <v>46063</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5933-2022</t>
        </is>
      </c>
      <c r="B527" s="1" t="n">
        <v>44598.82957175926</v>
      </c>
      <c r="C527" s="1" t="n">
        <v>46063</v>
      </c>
      <c r="D527" t="inlineStr">
        <is>
          <t>UPPSALA LÄN</t>
        </is>
      </c>
      <c r="E527" t="inlineStr">
        <is>
          <t>ÖSTHAMMAR</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29873-2023</t>
        </is>
      </c>
      <c r="B528" s="1" t="n">
        <v>45107</v>
      </c>
      <c r="C528" s="1" t="n">
        <v>46063</v>
      </c>
      <c r="D528" t="inlineStr">
        <is>
          <t>UPPSALA LÄN</t>
        </is>
      </c>
      <c r="E528" t="inlineStr">
        <is>
          <t>ÖSTHAMMAR</t>
        </is>
      </c>
      <c r="F528" t="inlineStr">
        <is>
          <t>Naturvårdsverket</t>
        </is>
      </c>
      <c r="G528" t="n">
        <v>7.8</v>
      </c>
      <c r="H528" t="n">
        <v>0</v>
      </c>
      <c r="I528" t="n">
        <v>0</v>
      </c>
      <c r="J528" t="n">
        <v>0</v>
      </c>
      <c r="K528" t="n">
        <v>0</v>
      </c>
      <c r="L528" t="n">
        <v>0</v>
      </c>
      <c r="M528" t="n">
        <v>0</v>
      </c>
      <c r="N528" t="n">
        <v>0</v>
      </c>
      <c r="O528" t="n">
        <v>0</v>
      </c>
      <c r="P528" t="n">
        <v>0</v>
      </c>
      <c r="Q528" t="n">
        <v>0</v>
      </c>
      <c r="R528" s="2" t="inlineStr"/>
    </row>
    <row r="529" ht="15" customHeight="1">
      <c r="A529" t="inlineStr">
        <is>
          <t>A 13279-2022</t>
        </is>
      </c>
      <c r="B529" s="1" t="n">
        <v>44644</v>
      </c>
      <c r="C529" s="1" t="n">
        <v>46063</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6892-2022</t>
        </is>
      </c>
      <c r="B530" s="1" t="n">
        <v>44602</v>
      </c>
      <c r="C530" s="1" t="n">
        <v>46063</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638-2026</t>
        </is>
      </c>
      <c r="B531" s="1" t="n">
        <v>46029.56026620371</v>
      </c>
      <c r="C531" s="1" t="n">
        <v>46063</v>
      </c>
      <c r="D531" t="inlineStr">
        <is>
          <t>UPPSALA LÄN</t>
        </is>
      </c>
      <c r="E531" t="inlineStr">
        <is>
          <t>ÖSTHAMMAR</t>
        </is>
      </c>
      <c r="F531" t="inlineStr">
        <is>
          <t>Bergvik skog öst AB</t>
        </is>
      </c>
      <c r="G531" t="n">
        <v>6.1</v>
      </c>
      <c r="H531" t="n">
        <v>0</v>
      </c>
      <c r="I531" t="n">
        <v>0</v>
      </c>
      <c r="J531" t="n">
        <v>0</v>
      </c>
      <c r="K531" t="n">
        <v>0</v>
      </c>
      <c r="L531" t="n">
        <v>0</v>
      </c>
      <c r="M531" t="n">
        <v>0</v>
      </c>
      <c r="N531" t="n">
        <v>0</v>
      </c>
      <c r="O531" t="n">
        <v>0</v>
      </c>
      <c r="P531" t="n">
        <v>0</v>
      </c>
      <c r="Q531" t="n">
        <v>0</v>
      </c>
      <c r="R531" s="2" t="inlineStr"/>
    </row>
    <row r="532" ht="15" customHeight="1">
      <c r="A532" t="inlineStr">
        <is>
          <t>A 653-2026</t>
        </is>
      </c>
      <c r="B532" s="1" t="n">
        <v>46029.57829861111</v>
      </c>
      <c r="C532" s="1" t="n">
        <v>46063</v>
      </c>
      <c r="D532" t="inlineStr">
        <is>
          <t>UPPSALA LÄN</t>
        </is>
      </c>
      <c r="E532" t="inlineStr">
        <is>
          <t>ÖSTHAMMAR</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13044-2022</t>
        </is>
      </c>
      <c r="B533" s="1" t="n">
        <v>44643</v>
      </c>
      <c r="C533" s="1" t="n">
        <v>46063</v>
      </c>
      <c r="D533" t="inlineStr">
        <is>
          <t>UPPSALA LÄN</t>
        </is>
      </c>
      <c r="E533" t="inlineStr">
        <is>
          <t>ÖSTHAMMAR</t>
        </is>
      </c>
      <c r="G533" t="n">
        <v>2.5</v>
      </c>
      <c r="H533" t="n">
        <v>0</v>
      </c>
      <c r="I533" t="n">
        <v>0</v>
      </c>
      <c r="J533" t="n">
        <v>0</v>
      </c>
      <c r="K533" t="n">
        <v>0</v>
      </c>
      <c r="L533" t="n">
        <v>0</v>
      </c>
      <c r="M533" t="n">
        <v>0</v>
      </c>
      <c r="N533" t="n">
        <v>0</v>
      </c>
      <c r="O533" t="n">
        <v>0</v>
      </c>
      <c r="P533" t="n">
        <v>0</v>
      </c>
      <c r="Q533" t="n">
        <v>0</v>
      </c>
      <c r="R533" s="2" t="inlineStr"/>
    </row>
    <row r="534" ht="15" customHeight="1">
      <c r="A534" t="inlineStr">
        <is>
          <t>A 8763-2025</t>
        </is>
      </c>
      <c r="B534" s="1" t="n">
        <v>45712.57872685185</v>
      </c>
      <c r="C534" s="1" t="n">
        <v>46063</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59743-2025</t>
        </is>
      </c>
      <c r="B535" s="1" t="n">
        <v>45992.57668981481</v>
      </c>
      <c r="C535" s="1" t="n">
        <v>46063</v>
      </c>
      <c r="D535" t="inlineStr">
        <is>
          <t>UPPSALA LÄN</t>
        </is>
      </c>
      <c r="E535" t="inlineStr">
        <is>
          <t>ÖSTHAMMAR</t>
        </is>
      </c>
      <c r="F535" t="inlineStr">
        <is>
          <t>Bergvik skog öst AB</t>
        </is>
      </c>
      <c r="G535" t="n">
        <v>0.7</v>
      </c>
      <c r="H535" t="n">
        <v>0</v>
      </c>
      <c r="I535" t="n">
        <v>0</v>
      </c>
      <c r="J535" t="n">
        <v>0</v>
      </c>
      <c r="K535" t="n">
        <v>0</v>
      </c>
      <c r="L535" t="n">
        <v>0</v>
      </c>
      <c r="M535" t="n">
        <v>0</v>
      </c>
      <c r="N535" t="n">
        <v>0</v>
      </c>
      <c r="O535" t="n">
        <v>0</v>
      </c>
      <c r="P535" t="n">
        <v>0</v>
      </c>
      <c r="Q535" t="n">
        <v>0</v>
      </c>
      <c r="R535" s="2" t="inlineStr"/>
    </row>
    <row r="536" ht="15" customHeight="1">
      <c r="A536" t="inlineStr">
        <is>
          <t>A 59745-2025</t>
        </is>
      </c>
      <c r="B536" s="1" t="n">
        <v>45992.57708333333</v>
      </c>
      <c r="C536" s="1" t="n">
        <v>46063</v>
      </c>
      <c r="D536" t="inlineStr">
        <is>
          <t>UPPSALA LÄN</t>
        </is>
      </c>
      <c r="E536" t="inlineStr">
        <is>
          <t>ÖSTHAMMAR</t>
        </is>
      </c>
      <c r="F536" t="inlineStr">
        <is>
          <t>Bergvik skog öst AB</t>
        </is>
      </c>
      <c r="G536" t="n">
        <v>3.3</v>
      </c>
      <c r="H536" t="n">
        <v>0</v>
      </c>
      <c r="I536" t="n">
        <v>0</v>
      </c>
      <c r="J536" t="n">
        <v>0</v>
      </c>
      <c r="K536" t="n">
        <v>0</v>
      </c>
      <c r="L536" t="n">
        <v>0</v>
      </c>
      <c r="M536" t="n">
        <v>0</v>
      </c>
      <c r="N536" t="n">
        <v>0</v>
      </c>
      <c r="O536" t="n">
        <v>0</v>
      </c>
      <c r="P536" t="n">
        <v>0</v>
      </c>
      <c r="Q536" t="n">
        <v>0</v>
      </c>
      <c r="R536" s="2" t="inlineStr"/>
    </row>
    <row r="537" ht="15" customHeight="1">
      <c r="A537" t="inlineStr">
        <is>
          <t>A 1393-2026</t>
        </is>
      </c>
      <c r="B537" s="1" t="n">
        <v>46031.63748842593</v>
      </c>
      <c r="C537" s="1" t="n">
        <v>46063</v>
      </c>
      <c r="D537" t="inlineStr">
        <is>
          <t>UPPSALA LÄN</t>
        </is>
      </c>
      <c r="E537" t="inlineStr">
        <is>
          <t>ÖSTHAMMAR</t>
        </is>
      </c>
      <c r="F537" t="inlineStr">
        <is>
          <t>Bergvik skog öst AB</t>
        </is>
      </c>
      <c r="G537" t="n">
        <v>4</v>
      </c>
      <c r="H537" t="n">
        <v>0</v>
      </c>
      <c r="I537" t="n">
        <v>0</v>
      </c>
      <c r="J537" t="n">
        <v>0</v>
      </c>
      <c r="K537" t="n">
        <v>0</v>
      </c>
      <c r="L537" t="n">
        <v>0</v>
      </c>
      <c r="M537" t="n">
        <v>0</v>
      </c>
      <c r="N537" t="n">
        <v>0</v>
      </c>
      <c r="O537" t="n">
        <v>0</v>
      </c>
      <c r="P537" t="n">
        <v>0</v>
      </c>
      <c r="Q537" t="n">
        <v>0</v>
      </c>
      <c r="R537" s="2" t="inlineStr"/>
    </row>
    <row r="538" ht="15" customHeight="1">
      <c r="A538" t="inlineStr">
        <is>
          <t>A 1271-2026</t>
        </is>
      </c>
      <c r="B538" s="1" t="n">
        <v>46031.46616898148</v>
      </c>
      <c r="C538" s="1" t="n">
        <v>46063</v>
      </c>
      <c r="D538" t="inlineStr">
        <is>
          <t>UPPSALA LÄN</t>
        </is>
      </c>
      <c r="E538" t="inlineStr">
        <is>
          <t>ÖSTHAMMAR</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8623-2025</t>
        </is>
      </c>
      <c r="B539" s="1" t="n">
        <v>45711.51902777778</v>
      </c>
      <c r="C539" s="1" t="n">
        <v>46063</v>
      </c>
      <c r="D539" t="inlineStr">
        <is>
          <t>UPPSALA LÄN</t>
        </is>
      </c>
      <c r="E539" t="inlineStr">
        <is>
          <t>ÖSTHAMMAR</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8626-2025</t>
        </is>
      </c>
      <c r="B540" s="1" t="n">
        <v>45711.53565972222</v>
      </c>
      <c r="C540" s="1" t="n">
        <v>46063</v>
      </c>
      <c r="D540" t="inlineStr">
        <is>
          <t>UPPSALA LÄN</t>
        </is>
      </c>
      <c r="E540" t="inlineStr">
        <is>
          <t>ÖSTHAMMAR</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59706-2025</t>
        </is>
      </c>
      <c r="B541" s="1" t="n">
        <v>45992.50333333333</v>
      </c>
      <c r="C541" s="1" t="n">
        <v>46063</v>
      </c>
      <c r="D541" t="inlineStr">
        <is>
          <t>UPPSALA LÄN</t>
        </is>
      </c>
      <c r="E541" t="inlineStr">
        <is>
          <t>ÖSTHAMMAR</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52694-2023</t>
        </is>
      </c>
      <c r="B542" s="1" t="n">
        <v>45225.76836805556</v>
      </c>
      <c r="C542" s="1" t="n">
        <v>46063</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5303-2025</t>
        </is>
      </c>
      <c r="B543" s="1" t="n">
        <v>45692</v>
      </c>
      <c r="C543" s="1" t="n">
        <v>46063</v>
      </c>
      <c r="D543" t="inlineStr">
        <is>
          <t>UPPSALA LÄN</t>
        </is>
      </c>
      <c r="E543" t="inlineStr">
        <is>
          <t>ÖSTHAMMAR</t>
        </is>
      </c>
      <c r="G543" t="n">
        <v>5</v>
      </c>
      <c r="H543" t="n">
        <v>0</v>
      </c>
      <c r="I543" t="n">
        <v>0</v>
      </c>
      <c r="J543" t="n">
        <v>0</v>
      </c>
      <c r="K543" t="n">
        <v>0</v>
      </c>
      <c r="L543" t="n">
        <v>0</v>
      </c>
      <c r="M543" t="n">
        <v>0</v>
      </c>
      <c r="N543" t="n">
        <v>0</v>
      </c>
      <c r="O543" t="n">
        <v>0</v>
      </c>
      <c r="P543" t="n">
        <v>0</v>
      </c>
      <c r="Q543" t="n">
        <v>0</v>
      </c>
      <c r="R543" s="2" t="inlineStr"/>
    </row>
    <row r="544" ht="15" customHeight="1">
      <c r="A544" t="inlineStr">
        <is>
          <t>A 2358-2026</t>
        </is>
      </c>
      <c r="B544" s="1" t="n">
        <v>46034</v>
      </c>
      <c r="C544" s="1" t="n">
        <v>46063</v>
      </c>
      <c r="D544" t="inlineStr">
        <is>
          <t>UPPSALA LÄN</t>
        </is>
      </c>
      <c r="E544" t="inlineStr">
        <is>
          <t>ÖSTHAMMAR</t>
        </is>
      </c>
      <c r="G544" t="n">
        <v>3.6</v>
      </c>
      <c r="H544" t="n">
        <v>0</v>
      </c>
      <c r="I544" t="n">
        <v>0</v>
      </c>
      <c r="J544" t="n">
        <v>0</v>
      </c>
      <c r="K544" t="n">
        <v>0</v>
      </c>
      <c r="L544" t="n">
        <v>0</v>
      </c>
      <c r="M544" t="n">
        <v>0</v>
      </c>
      <c r="N544" t="n">
        <v>0</v>
      </c>
      <c r="O544" t="n">
        <v>0</v>
      </c>
      <c r="P544" t="n">
        <v>0</v>
      </c>
      <c r="Q544" t="n">
        <v>0</v>
      </c>
      <c r="R544" s="2" t="inlineStr"/>
    </row>
    <row r="545" ht="15" customHeight="1">
      <c r="A545" t="inlineStr">
        <is>
          <t>A 1906-2026</t>
        </is>
      </c>
      <c r="B545" s="1" t="n">
        <v>46035.55158564815</v>
      </c>
      <c r="C545" s="1" t="n">
        <v>46063</v>
      </c>
      <c r="D545" t="inlineStr">
        <is>
          <t>UPPSALA LÄN</t>
        </is>
      </c>
      <c r="E545" t="inlineStr">
        <is>
          <t>ÖSTHAMMAR</t>
        </is>
      </c>
      <c r="F545" t="inlineStr">
        <is>
          <t>Bergvik skog öst AB</t>
        </is>
      </c>
      <c r="G545" t="n">
        <v>4.3</v>
      </c>
      <c r="H545" t="n">
        <v>0</v>
      </c>
      <c r="I545" t="n">
        <v>0</v>
      </c>
      <c r="J545" t="n">
        <v>0</v>
      </c>
      <c r="K545" t="n">
        <v>0</v>
      </c>
      <c r="L545" t="n">
        <v>0</v>
      </c>
      <c r="M545" t="n">
        <v>0</v>
      </c>
      <c r="N545" t="n">
        <v>0</v>
      </c>
      <c r="O545" t="n">
        <v>0</v>
      </c>
      <c r="P545" t="n">
        <v>0</v>
      </c>
      <c r="Q545" t="n">
        <v>0</v>
      </c>
      <c r="R545" s="2" t="inlineStr"/>
    </row>
    <row r="546" ht="15" customHeight="1">
      <c r="A546" t="inlineStr">
        <is>
          <t>A 24493-2023</t>
        </is>
      </c>
      <c r="B546" s="1" t="n">
        <v>45082.62603009259</v>
      </c>
      <c r="C546" s="1" t="n">
        <v>46063</v>
      </c>
      <c r="D546" t="inlineStr">
        <is>
          <t>UPPSALA LÄN</t>
        </is>
      </c>
      <c r="E546" t="inlineStr">
        <is>
          <t>ÖSTHAMMAR</t>
        </is>
      </c>
      <c r="G546" t="n">
        <v>1.9</v>
      </c>
      <c r="H546" t="n">
        <v>0</v>
      </c>
      <c r="I546" t="n">
        <v>0</v>
      </c>
      <c r="J546" t="n">
        <v>0</v>
      </c>
      <c r="K546" t="n">
        <v>0</v>
      </c>
      <c r="L546" t="n">
        <v>0</v>
      </c>
      <c r="M546" t="n">
        <v>0</v>
      </c>
      <c r="N546" t="n">
        <v>0</v>
      </c>
      <c r="O546" t="n">
        <v>0</v>
      </c>
      <c r="P546" t="n">
        <v>0</v>
      </c>
      <c r="Q546" t="n">
        <v>0</v>
      </c>
      <c r="R546" s="2" t="inlineStr"/>
    </row>
    <row r="547" ht="15" customHeight="1">
      <c r="A547" t="inlineStr">
        <is>
          <t>A 59708-2025</t>
        </is>
      </c>
      <c r="B547" s="1" t="n">
        <v>45992.50802083333</v>
      </c>
      <c r="C547" s="1" t="n">
        <v>46063</v>
      </c>
      <c r="D547" t="inlineStr">
        <is>
          <t>UPPSALA LÄN</t>
        </is>
      </c>
      <c r="E547" t="inlineStr">
        <is>
          <t>ÖSTHAMMAR</t>
        </is>
      </c>
      <c r="F547" t="inlineStr">
        <is>
          <t>Bergvik skog öst AB</t>
        </is>
      </c>
      <c r="G547" t="n">
        <v>3.2</v>
      </c>
      <c r="H547" t="n">
        <v>0</v>
      </c>
      <c r="I547" t="n">
        <v>0</v>
      </c>
      <c r="J547" t="n">
        <v>0</v>
      </c>
      <c r="K547" t="n">
        <v>0</v>
      </c>
      <c r="L547" t="n">
        <v>0</v>
      </c>
      <c r="M547" t="n">
        <v>0</v>
      </c>
      <c r="N547" t="n">
        <v>0</v>
      </c>
      <c r="O547" t="n">
        <v>0</v>
      </c>
      <c r="P547" t="n">
        <v>0</v>
      </c>
      <c r="Q547" t="n">
        <v>0</v>
      </c>
      <c r="R547" s="2" t="inlineStr"/>
    </row>
    <row r="548" ht="15" customHeight="1">
      <c r="A548" t="inlineStr">
        <is>
          <t>A 2352-2026</t>
        </is>
      </c>
      <c r="B548" s="1" t="n">
        <v>46034</v>
      </c>
      <c r="C548" s="1" t="n">
        <v>46063</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34742-2022</t>
        </is>
      </c>
      <c r="B549" s="1" t="n">
        <v>44795.61990740741</v>
      </c>
      <c r="C549" s="1" t="n">
        <v>46063</v>
      </c>
      <c r="D549" t="inlineStr">
        <is>
          <t>UPPSALA LÄN</t>
        </is>
      </c>
      <c r="E549" t="inlineStr">
        <is>
          <t>ÖSTHAMMAR</t>
        </is>
      </c>
      <c r="F549" t="inlineStr">
        <is>
          <t>Bergvik skog öst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13622-2025</t>
        </is>
      </c>
      <c r="B550" s="1" t="n">
        <v>45736</v>
      </c>
      <c r="C550" s="1" t="n">
        <v>46063</v>
      </c>
      <c r="D550" t="inlineStr">
        <is>
          <t>UPPSALA LÄN</t>
        </is>
      </c>
      <c r="E550" t="inlineStr">
        <is>
          <t>ÖSTHAMMAR</t>
        </is>
      </c>
      <c r="G550" t="n">
        <v>2.6</v>
      </c>
      <c r="H550" t="n">
        <v>0</v>
      </c>
      <c r="I550" t="n">
        <v>0</v>
      </c>
      <c r="J550" t="n">
        <v>0</v>
      </c>
      <c r="K550" t="n">
        <v>0</v>
      </c>
      <c r="L550" t="n">
        <v>0</v>
      </c>
      <c r="M550" t="n">
        <v>0</v>
      </c>
      <c r="N550" t="n">
        <v>0</v>
      </c>
      <c r="O550" t="n">
        <v>0</v>
      </c>
      <c r="P550" t="n">
        <v>0</v>
      </c>
      <c r="Q550" t="n">
        <v>0</v>
      </c>
      <c r="R550" s="2" t="inlineStr"/>
    </row>
    <row r="551" ht="15" customHeight="1">
      <c r="A551" t="inlineStr">
        <is>
          <t>A 46399-2023</t>
        </is>
      </c>
      <c r="B551" s="1" t="n">
        <v>45197.49262731482</v>
      </c>
      <c r="C551" s="1" t="n">
        <v>46063</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13358-2024</t>
        </is>
      </c>
      <c r="B552" s="1" t="n">
        <v>45387.3503125</v>
      </c>
      <c r="C552" s="1" t="n">
        <v>46063</v>
      </c>
      <c r="D552" t="inlineStr">
        <is>
          <t>UPPSALA LÄN</t>
        </is>
      </c>
      <c r="E552" t="inlineStr">
        <is>
          <t>ÖSTHAMMAR</t>
        </is>
      </c>
      <c r="G552" t="n">
        <v>2.2</v>
      </c>
      <c r="H552" t="n">
        <v>0</v>
      </c>
      <c r="I552" t="n">
        <v>0</v>
      </c>
      <c r="J552" t="n">
        <v>0</v>
      </c>
      <c r="K552" t="n">
        <v>0</v>
      </c>
      <c r="L552" t="n">
        <v>0</v>
      </c>
      <c r="M552" t="n">
        <v>0</v>
      </c>
      <c r="N552" t="n">
        <v>0</v>
      </c>
      <c r="O552" t="n">
        <v>0</v>
      </c>
      <c r="P552" t="n">
        <v>0</v>
      </c>
      <c r="Q552" t="n">
        <v>0</v>
      </c>
      <c r="R552" s="2" t="inlineStr"/>
    </row>
    <row r="553" ht="15" customHeight="1">
      <c r="A553" t="inlineStr">
        <is>
          <t>A 55079-2024</t>
        </is>
      </c>
      <c r="B553" s="1" t="n">
        <v>45621.42747685185</v>
      </c>
      <c r="C553" s="1" t="n">
        <v>46063</v>
      </c>
      <c r="D553" t="inlineStr">
        <is>
          <t>UPPSALA LÄN</t>
        </is>
      </c>
      <c r="E553" t="inlineStr">
        <is>
          <t>ÖSTHAMMAR</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36873-2022</t>
        </is>
      </c>
      <c r="B554" s="1" t="n">
        <v>44805.63708333333</v>
      </c>
      <c r="C554" s="1" t="n">
        <v>46063</v>
      </c>
      <c r="D554" t="inlineStr">
        <is>
          <t>UPPSALA LÄN</t>
        </is>
      </c>
      <c r="E554" t="inlineStr">
        <is>
          <t>ÖSTHAMMAR</t>
        </is>
      </c>
      <c r="G554" t="n">
        <v>2.5</v>
      </c>
      <c r="H554" t="n">
        <v>0</v>
      </c>
      <c r="I554" t="n">
        <v>0</v>
      </c>
      <c r="J554" t="n">
        <v>0</v>
      </c>
      <c r="K554" t="n">
        <v>0</v>
      </c>
      <c r="L554" t="n">
        <v>0</v>
      </c>
      <c r="M554" t="n">
        <v>0</v>
      </c>
      <c r="N554" t="n">
        <v>0</v>
      </c>
      <c r="O554" t="n">
        <v>0</v>
      </c>
      <c r="P554" t="n">
        <v>0</v>
      </c>
      <c r="Q554" t="n">
        <v>0</v>
      </c>
      <c r="R554" s="2" t="inlineStr"/>
    </row>
    <row r="555" ht="15" customHeight="1">
      <c r="A555" t="inlineStr">
        <is>
          <t>A 53733-2023</t>
        </is>
      </c>
      <c r="B555" s="1" t="n">
        <v>45230.76862268519</v>
      </c>
      <c r="C555" s="1" t="n">
        <v>46063</v>
      </c>
      <c r="D555" t="inlineStr">
        <is>
          <t>UPPSALA LÄN</t>
        </is>
      </c>
      <c r="E555" t="inlineStr">
        <is>
          <t>ÖSTHAMMAR</t>
        </is>
      </c>
      <c r="G555" t="n">
        <v>1.1</v>
      </c>
      <c r="H555" t="n">
        <v>0</v>
      </c>
      <c r="I555" t="n">
        <v>0</v>
      </c>
      <c r="J555" t="n">
        <v>0</v>
      </c>
      <c r="K555" t="n">
        <v>0</v>
      </c>
      <c r="L555" t="n">
        <v>0</v>
      </c>
      <c r="M555" t="n">
        <v>0</v>
      </c>
      <c r="N555" t="n">
        <v>0</v>
      </c>
      <c r="O555" t="n">
        <v>0</v>
      </c>
      <c r="P555" t="n">
        <v>0</v>
      </c>
      <c r="Q555" t="n">
        <v>0</v>
      </c>
      <c r="R555" s="2" t="inlineStr"/>
    </row>
    <row r="556" ht="15" customHeight="1">
      <c r="A556" t="inlineStr">
        <is>
          <t>A 53735-2023</t>
        </is>
      </c>
      <c r="B556" s="1" t="n">
        <v>45230.77258101852</v>
      </c>
      <c r="C556" s="1" t="n">
        <v>46063</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2615-2026</t>
        </is>
      </c>
      <c r="B557" s="1" t="n">
        <v>46037.58893518519</v>
      </c>
      <c r="C557" s="1" t="n">
        <v>46063</v>
      </c>
      <c r="D557" t="inlineStr">
        <is>
          <t>UPPSALA LÄN</t>
        </is>
      </c>
      <c r="E557" t="inlineStr">
        <is>
          <t>ÖSTHAMMAR</t>
        </is>
      </c>
      <c r="G557" t="n">
        <v>3.2</v>
      </c>
      <c r="H557" t="n">
        <v>0</v>
      </c>
      <c r="I557" t="n">
        <v>0</v>
      </c>
      <c r="J557" t="n">
        <v>0</v>
      </c>
      <c r="K557" t="n">
        <v>0</v>
      </c>
      <c r="L557" t="n">
        <v>0</v>
      </c>
      <c r="M557" t="n">
        <v>0</v>
      </c>
      <c r="N557" t="n">
        <v>0</v>
      </c>
      <c r="O557" t="n">
        <v>0</v>
      </c>
      <c r="P557" t="n">
        <v>0</v>
      </c>
      <c r="Q557" t="n">
        <v>0</v>
      </c>
      <c r="R557" s="2" t="inlineStr"/>
    </row>
    <row r="558" ht="15" customHeight="1">
      <c r="A558" t="inlineStr">
        <is>
          <t>A 2620-2026</t>
        </is>
      </c>
      <c r="B558" s="1" t="n">
        <v>46037.59137731481</v>
      </c>
      <c r="C558" s="1" t="n">
        <v>46063</v>
      </c>
      <c r="D558" t="inlineStr">
        <is>
          <t>UPPSALA LÄN</t>
        </is>
      </c>
      <c r="E558" t="inlineStr">
        <is>
          <t>ÖSTHAMMAR</t>
        </is>
      </c>
      <c r="G558" t="n">
        <v>4.4</v>
      </c>
      <c r="H558" t="n">
        <v>0</v>
      </c>
      <c r="I558" t="n">
        <v>0</v>
      </c>
      <c r="J558" t="n">
        <v>0</v>
      </c>
      <c r="K558" t="n">
        <v>0</v>
      </c>
      <c r="L558" t="n">
        <v>0</v>
      </c>
      <c r="M558" t="n">
        <v>0</v>
      </c>
      <c r="N558" t="n">
        <v>0</v>
      </c>
      <c r="O558" t="n">
        <v>0</v>
      </c>
      <c r="P558" t="n">
        <v>0</v>
      </c>
      <c r="Q558" t="n">
        <v>0</v>
      </c>
      <c r="R558" s="2" t="inlineStr"/>
    </row>
    <row r="559" ht="15" customHeight="1">
      <c r="A559" t="inlineStr">
        <is>
          <t>A 60603-2025</t>
        </is>
      </c>
      <c r="B559" s="1" t="n">
        <v>45996.3543287037</v>
      </c>
      <c r="C559" s="1" t="n">
        <v>46063</v>
      </c>
      <c r="D559" t="inlineStr">
        <is>
          <t>UPPSALA LÄN</t>
        </is>
      </c>
      <c r="E559" t="inlineStr">
        <is>
          <t>ÖSTHAMMAR</t>
        </is>
      </c>
      <c r="G559" t="n">
        <v>4.7</v>
      </c>
      <c r="H559" t="n">
        <v>0</v>
      </c>
      <c r="I559" t="n">
        <v>0</v>
      </c>
      <c r="J559" t="n">
        <v>0</v>
      </c>
      <c r="K559" t="n">
        <v>0</v>
      </c>
      <c r="L559" t="n">
        <v>0</v>
      </c>
      <c r="M559" t="n">
        <v>0</v>
      </c>
      <c r="N559" t="n">
        <v>0</v>
      </c>
      <c r="O559" t="n">
        <v>0</v>
      </c>
      <c r="P559" t="n">
        <v>0</v>
      </c>
      <c r="Q559" t="n">
        <v>0</v>
      </c>
      <c r="R559" s="2" t="inlineStr"/>
    </row>
    <row r="560" ht="15" customHeight="1">
      <c r="A560" t="inlineStr">
        <is>
          <t>A 21522-2022</t>
        </is>
      </c>
      <c r="B560" s="1" t="n">
        <v>44706</v>
      </c>
      <c r="C560" s="1" t="n">
        <v>46063</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14187-2022</t>
        </is>
      </c>
      <c r="B561" s="1" t="n">
        <v>44651.5625</v>
      </c>
      <c r="C561" s="1" t="n">
        <v>46063</v>
      </c>
      <c r="D561" t="inlineStr">
        <is>
          <t>UPPSALA LÄN</t>
        </is>
      </c>
      <c r="E561" t="inlineStr">
        <is>
          <t>ÖSTHAMMAR</t>
        </is>
      </c>
      <c r="F561" t="inlineStr">
        <is>
          <t>Övriga Aktiebolag</t>
        </is>
      </c>
      <c r="G561" t="n">
        <v>14.1</v>
      </c>
      <c r="H561" t="n">
        <v>0</v>
      </c>
      <c r="I561" t="n">
        <v>0</v>
      </c>
      <c r="J561" t="n">
        <v>0</v>
      </c>
      <c r="K561" t="n">
        <v>0</v>
      </c>
      <c r="L561" t="n">
        <v>0</v>
      </c>
      <c r="M561" t="n">
        <v>0</v>
      </c>
      <c r="N561" t="n">
        <v>0</v>
      </c>
      <c r="O561" t="n">
        <v>0</v>
      </c>
      <c r="P561" t="n">
        <v>0</v>
      </c>
      <c r="Q561" t="n">
        <v>0</v>
      </c>
      <c r="R561" s="2" t="inlineStr"/>
    </row>
    <row r="562" ht="15" customHeight="1">
      <c r="A562" t="inlineStr">
        <is>
          <t>A 57156-2025</t>
        </is>
      </c>
      <c r="B562" s="1" t="n">
        <v>45979.51591435185</v>
      </c>
      <c r="C562" s="1" t="n">
        <v>46063</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7997-2022</t>
        </is>
      </c>
      <c r="B563" s="1" t="n">
        <v>44609</v>
      </c>
      <c r="C563" s="1" t="n">
        <v>46063</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4676-2025</t>
        </is>
      </c>
      <c r="B564" s="1" t="n">
        <v>45687.8313425926</v>
      </c>
      <c r="C564" s="1" t="n">
        <v>46063</v>
      </c>
      <c r="D564" t="inlineStr">
        <is>
          <t>UPPSALA LÄN</t>
        </is>
      </c>
      <c r="E564" t="inlineStr">
        <is>
          <t>ÖSTHAMMAR</t>
        </is>
      </c>
      <c r="G564" t="n">
        <v>3.7</v>
      </c>
      <c r="H564" t="n">
        <v>0</v>
      </c>
      <c r="I564" t="n">
        <v>0</v>
      </c>
      <c r="J564" t="n">
        <v>0</v>
      </c>
      <c r="K564" t="n">
        <v>0</v>
      </c>
      <c r="L564" t="n">
        <v>0</v>
      </c>
      <c r="M564" t="n">
        <v>0</v>
      </c>
      <c r="N564" t="n">
        <v>0</v>
      </c>
      <c r="O564" t="n">
        <v>0</v>
      </c>
      <c r="P564" t="n">
        <v>0</v>
      </c>
      <c r="Q564" t="n">
        <v>0</v>
      </c>
      <c r="R564" s="2" t="inlineStr"/>
    </row>
    <row r="565" ht="15" customHeight="1">
      <c r="A565" t="inlineStr">
        <is>
          <t>A 55837-2023</t>
        </is>
      </c>
      <c r="B565" s="1" t="n">
        <v>45239</v>
      </c>
      <c r="C565" s="1" t="n">
        <v>46063</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60910-2025</t>
        </is>
      </c>
      <c r="B566" s="1" t="n">
        <v>45999.59837962963</v>
      </c>
      <c r="C566" s="1" t="n">
        <v>46063</v>
      </c>
      <c r="D566" t="inlineStr">
        <is>
          <t>UPPSALA LÄN</t>
        </is>
      </c>
      <c r="E566" t="inlineStr">
        <is>
          <t>ÖSTHAMMAR</t>
        </is>
      </c>
      <c r="G566" t="n">
        <v>3.5</v>
      </c>
      <c r="H566" t="n">
        <v>0</v>
      </c>
      <c r="I566" t="n">
        <v>0</v>
      </c>
      <c r="J566" t="n">
        <v>0</v>
      </c>
      <c r="K566" t="n">
        <v>0</v>
      </c>
      <c r="L566" t="n">
        <v>0</v>
      </c>
      <c r="M566" t="n">
        <v>0</v>
      </c>
      <c r="N566" t="n">
        <v>0</v>
      </c>
      <c r="O566" t="n">
        <v>0</v>
      </c>
      <c r="P566" t="n">
        <v>0</v>
      </c>
      <c r="Q566" t="n">
        <v>0</v>
      </c>
      <c r="R566" s="2" t="inlineStr"/>
    </row>
    <row r="567" ht="15" customHeight="1">
      <c r="A567" t="inlineStr">
        <is>
          <t>A 3095-2026</t>
        </is>
      </c>
      <c r="B567" s="1" t="n">
        <v>46040.90493055555</v>
      </c>
      <c r="C567" s="1" t="n">
        <v>46063</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13093-2022</t>
        </is>
      </c>
      <c r="B568" s="1" t="n">
        <v>44643.93269675926</v>
      </c>
      <c r="C568" s="1" t="n">
        <v>46063</v>
      </c>
      <c r="D568" t="inlineStr">
        <is>
          <t>UPPSALA LÄN</t>
        </is>
      </c>
      <c r="E568" t="inlineStr">
        <is>
          <t>ÖSTHAMMAR</t>
        </is>
      </c>
      <c r="F568" t="inlineStr">
        <is>
          <t>Bergvik skog öst AB</t>
        </is>
      </c>
      <c r="G568" t="n">
        <v>3.2</v>
      </c>
      <c r="H568" t="n">
        <v>0</v>
      </c>
      <c r="I568" t="n">
        <v>0</v>
      </c>
      <c r="J568" t="n">
        <v>0</v>
      </c>
      <c r="K568" t="n">
        <v>0</v>
      </c>
      <c r="L568" t="n">
        <v>0</v>
      </c>
      <c r="M568" t="n">
        <v>0</v>
      </c>
      <c r="N568" t="n">
        <v>0</v>
      </c>
      <c r="O568" t="n">
        <v>0</v>
      </c>
      <c r="P568" t="n">
        <v>0</v>
      </c>
      <c r="Q568" t="n">
        <v>0</v>
      </c>
      <c r="R568" s="2" t="inlineStr"/>
    </row>
    <row r="569" ht="15" customHeight="1">
      <c r="A569" t="inlineStr">
        <is>
          <t>A 60738-2025</t>
        </is>
      </c>
      <c r="B569" s="1" t="n">
        <v>45996.83506944445</v>
      </c>
      <c r="C569" s="1" t="n">
        <v>46063</v>
      </c>
      <c r="D569" t="inlineStr">
        <is>
          <t>UPPSALA LÄN</t>
        </is>
      </c>
      <c r="E569" t="inlineStr">
        <is>
          <t>ÖSTHAMMAR</t>
        </is>
      </c>
      <c r="G569" t="n">
        <v>1.8</v>
      </c>
      <c r="H569" t="n">
        <v>0</v>
      </c>
      <c r="I569" t="n">
        <v>0</v>
      </c>
      <c r="J569" t="n">
        <v>0</v>
      </c>
      <c r="K569" t="n">
        <v>0</v>
      </c>
      <c r="L569" t="n">
        <v>0</v>
      </c>
      <c r="M569" t="n">
        <v>0</v>
      </c>
      <c r="N569" t="n">
        <v>0</v>
      </c>
      <c r="O569" t="n">
        <v>0</v>
      </c>
      <c r="P569" t="n">
        <v>0</v>
      </c>
      <c r="Q569" t="n">
        <v>0</v>
      </c>
      <c r="R569" s="2" t="inlineStr"/>
    </row>
    <row r="570" ht="15" customHeight="1">
      <c r="A570" t="inlineStr">
        <is>
          <t>A 45795-2023</t>
        </is>
      </c>
      <c r="B570" s="1" t="n">
        <v>45195</v>
      </c>
      <c r="C570" s="1" t="n">
        <v>46063</v>
      </c>
      <c r="D570" t="inlineStr">
        <is>
          <t>UPPSALA LÄN</t>
        </is>
      </c>
      <c r="E570" t="inlineStr">
        <is>
          <t>ÖSTHAMMAR</t>
        </is>
      </c>
      <c r="G570" t="n">
        <v>4</v>
      </c>
      <c r="H570" t="n">
        <v>0</v>
      </c>
      <c r="I570" t="n">
        <v>0</v>
      </c>
      <c r="J570" t="n">
        <v>0</v>
      </c>
      <c r="K570" t="n">
        <v>0</v>
      </c>
      <c r="L570" t="n">
        <v>0</v>
      </c>
      <c r="M570" t="n">
        <v>0</v>
      </c>
      <c r="N570" t="n">
        <v>0</v>
      </c>
      <c r="O570" t="n">
        <v>0</v>
      </c>
      <c r="P570" t="n">
        <v>0</v>
      </c>
      <c r="Q570" t="n">
        <v>0</v>
      </c>
      <c r="R570" s="2" t="inlineStr"/>
    </row>
    <row r="571" ht="15" customHeight="1">
      <c r="A571" t="inlineStr">
        <is>
          <t>A 3055-2026</t>
        </is>
      </c>
      <c r="B571" s="1" t="n">
        <v>46039.39636574074</v>
      </c>
      <c r="C571" s="1" t="n">
        <v>46063</v>
      </c>
      <c r="D571" t="inlineStr">
        <is>
          <t>UPPSALA LÄN</t>
        </is>
      </c>
      <c r="E571" t="inlineStr">
        <is>
          <t>ÖSTHAMMAR</t>
        </is>
      </c>
      <c r="F571" t="inlineStr">
        <is>
          <t>Bergvik skog öst AB</t>
        </is>
      </c>
      <c r="G571" t="n">
        <v>3.5</v>
      </c>
      <c r="H571" t="n">
        <v>0</v>
      </c>
      <c r="I571" t="n">
        <v>0</v>
      </c>
      <c r="J571" t="n">
        <v>0</v>
      </c>
      <c r="K571" t="n">
        <v>0</v>
      </c>
      <c r="L571" t="n">
        <v>0</v>
      </c>
      <c r="M571" t="n">
        <v>0</v>
      </c>
      <c r="N571" t="n">
        <v>0</v>
      </c>
      <c r="O571" t="n">
        <v>0</v>
      </c>
      <c r="P571" t="n">
        <v>0</v>
      </c>
      <c r="Q571" t="n">
        <v>0</v>
      </c>
      <c r="R571" s="2" t="inlineStr"/>
    </row>
    <row r="572" ht="15" customHeight="1">
      <c r="A572" t="inlineStr">
        <is>
          <t>A 38600-2023</t>
        </is>
      </c>
      <c r="B572" s="1" t="n">
        <v>45162</v>
      </c>
      <c r="C572" s="1" t="n">
        <v>46063</v>
      </c>
      <c r="D572" t="inlineStr">
        <is>
          <t>UPPSALA LÄN</t>
        </is>
      </c>
      <c r="E572" t="inlineStr">
        <is>
          <t>ÖSTHAMMAR</t>
        </is>
      </c>
      <c r="F572" t="inlineStr">
        <is>
          <t>Bergvik skog väst AB</t>
        </is>
      </c>
      <c r="G572" t="n">
        <v>0.1</v>
      </c>
      <c r="H572" t="n">
        <v>0</v>
      </c>
      <c r="I572" t="n">
        <v>0</v>
      </c>
      <c r="J572" t="n">
        <v>0</v>
      </c>
      <c r="K572" t="n">
        <v>0</v>
      </c>
      <c r="L572" t="n">
        <v>0</v>
      </c>
      <c r="M572" t="n">
        <v>0</v>
      </c>
      <c r="N572" t="n">
        <v>0</v>
      </c>
      <c r="O572" t="n">
        <v>0</v>
      </c>
      <c r="P572" t="n">
        <v>0</v>
      </c>
      <c r="Q572" t="n">
        <v>0</v>
      </c>
      <c r="R572" s="2" t="inlineStr"/>
    </row>
    <row r="573" ht="15" customHeight="1">
      <c r="A573" t="inlineStr">
        <is>
          <t>A 61250-2025</t>
        </is>
      </c>
      <c r="B573" s="1" t="n">
        <v>46000.66645833333</v>
      </c>
      <c r="C573" s="1" t="n">
        <v>46063</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8624-2025</t>
        </is>
      </c>
      <c r="B574" s="1" t="n">
        <v>45711.52333333333</v>
      </c>
      <c r="C574" s="1" t="n">
        <v>46063</v>
      </c>
      <c r="D574" t="inlineStr">
        <is>
          <t>UPPSALA LÄN</t>
        </is>
      </c>
      <c r="E574" t="inlineStr">
        <is>
          <t>ÖSTHAMMAR</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17644-2025</t>
        </is>
      </c>
      <c r="B575" s="1" t="n">
        <v>45758.32645833334</v>
      </c>
      <c r="C575" s="1" t="n">
        <v>46063</v>
      </c>
      <c r="D575" t="inlineStr">
        <is>
          <t>UPPSALA LÄN</t>
        </is>
      </c>
      <c r="E575" t="inlineStr">
        <is>
          <t>ÖSTHAMMAR</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20385-2025</t>
        </is>
      </c>
      <c r="B576" s="1" t="n">
        <v>45775.44483796296</v>
      </c>
      <c r="C576" s="1" t="n">
        <v>46063</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18183-2022</t>
        </is>
      </c>
      <c r="B577" s="1" t="n">
        <v>44684</v>
      </c>
      <c r="C577" s="1" t="n">
        <v>46063</v>
      </c>
      <c r="D577" t="inlineStr">
        <is>
          <t>UPPSALA LÄN</t>
        </is>
      </c>
      <c r="E577" t="inlineStr">
        <is>
          <t>ÖSTHAMMAR</t>
        </is>
      </c>
      <c r="G577" t="n">
        <v>0.2</v>
      </c>
      <c r="H577" t="n">
        <v>0</v>
      </c>
      <c r="I577" t="n">
        <v>0</v>
      </c>
      <c r="J577" t="n">
        <v>0</v>
      </c>
      <c r="K577" t="n">
        <v>0</v>
      </c>
      <c r="L577" t="n">
        <v>0</v>
      </c>
      <c r="M577" t="n">
        <v>0</v>
      </c>
      <c r="N577" t="n">
        <v>0</v>
      </c>
      <c r="O577" t="n">
        <v>0</v>
      </c>
      <c r="P577" t="n">
        <v>0</v>
      </c>
      <c r="Q577" t="n">
        <v>0</v>
      </c>
      <c r="R577" s="2" t="inlineStr"/>
    </row>
    <row r="578" ht="15" customHeight="1">
      <c r="A578" t="inlineStr">
        <is>
          <t>A 3642-2026</t>
        </is>
      </c>
      <c r="B578" s="1" t="n">
        <v>46043.35760416667</v>
      </c>
      <c r="C578" s="1" t="n">
        <v>46063</v>
      </c>
      <c r="D578" t="inlineStr">
        <is>
          <t>UPPSALA LÄN</t>
        </is>
      </c>
      <c r="E578" t="inlineStr">
        <is>
          <t>ÖSTHAMMAR</t>
        </is>
      </c>
      <c r="G578" t="n">
        <v>3</v>
      </c>
      <c r="H578" t="n">
        <v>0</v>
      </c>
      <c r="I578" t="n">
        <v>0</v>
      </c>
      <c r="J578" t="n">
        <v>0</v>
      </c>
      <c r="K578" t="n">
        <v>0</v>
      </c>
      <c r="L578" t="n">
        <v>0</v>
      </c>
      <c r="M578" t="n">
        <v>0</v>
      </c>
      <c r="N578" t="n">
        <v>0</v>
      </c>
      <c r="O578" t="n">
        <v>0</v>
      </c>
      <c r="P578" t="n">
        <v>0</v>
      </c>
      <c r="Q578" t="n">
        <v>0</v>
      </c>
      <c r="R578" s="2" t="inlineStr"/>
    </row>
    <row r="579" ht="15" customHeight="1">
      <c r="A579" t="inlineStr">
        <is>
          <t>A 3959-2026</t>
        </is>
      </c>
      <c r="B579" s="1" t="n">
        <v>46044.33802083333</v>
      </c>
      <c r="C579" s="1" t="n">
        <v>46063</v>
      </c>
      <c r="D579" t="inlineStr">
        <is>
          <t>UPPSALA LÄN</t>
        </is>
      </c>
      <c r="E579" t="inlineStr">
        <is>
          <t>ÖSTHAMMAR</t>
        </is>
      </c>
      <c r="F579" t="inlineStr">
        <is>
          <t>Övriga Aktiebolag</t>
        </is>
      </c>
      <c r="G579" t="n">
        <v>3.4</v>
      </c>
      <c r="H579" t="n">
        <v>0</v>
      </c>
      <c r="I579" t="n">
        <v>0</v>
      </c>
      <c r="J579" t="n">
        <v>0</v>
      </c>
      <c r="K579" t="n">
        <v>0</v>
      </c>
      <c r="L579" t="n">
        <v>0</v>
      </c>
      <c r="M579" t="n">
        <v>0</v>
      </c>
      <c r="N579" t="n">
        <v>0</v>
      </c>
      <c r="O579" t="n">
        <v>0</v>
      </c>
      <c r="P579" t="n">
        <v>0</v>
      </c>
      <c r="Q579" t="n">
        <v>0</v>
      </c>
      <c r="R579" s="2" t="inlineStr"/>
    </row>
    <row r="580" ht="15" customHeight="1">
      <c r="A580" t="inlineStr">
        <is>
          <t>A 3668-2026</t>
        </is>
      </c>
      <c r="B580" s="1" t="n">
        <v>46043.41212962963</v>
      </c>
      <c r="C580" s="1" t="n">
        <v>46063</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4304-2025</t>
        </is>
      </c>
      <c r="B581" s="1" t="n">
        <v>45685.68193287037</v>
      </c>
      <c r="C581" s="1" t="n">
        <v>46063</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28170-2023</t>
        </is>
      </c>
      <c r="B582" s="1" t="n">
        <v>45093</v>
      </c>
      <c r="C582" s="1" t="n">
        <v>46063</v>
      </c>
      <c r="D582" t="inlineStr">
        <is>
          <t>UPPSALA LÄN</t>
        </is>
      </c>
      <c r="E582" t="inlineStr">
        <is>
          <t>ÖSTHAMMAR</t>
        </is>
      </c>
      <c r="G582" t="n">
        <v>7.2</v>
      </c>
      <c r="H582" t="n">
        <v>0</v>
      </c>
      <c r="I582" t="n">
        <v>0</v>
      </c>
      <c r="J582" t="n">
        <v>0</v>
      </c>
      <c r="K582" t="n">
        <v>0</v>
      </c>
      <c r="L582" t="n">
        <v>0</v>
      </c>
      <c r="M582" t="n">
        <v>0</v>
      </c>
      <c r="N582" t="n">
        <v>0</v>
      </c>
      <c r="O582" t="n">
        <v>0</v>
      </c>
      <c r="P582" t="n">
        <v>0</v>
      </c>
      <c r="Q582" t="n">
        <v>0</v>
      </c>
      <c r="R582" s="2" t="inlineStr"/>
    </row>
    <row r="583" ht="15" customHeight="1">
      <c r="A583" t="inlineStr">
        <is>
          <t>A 61143-2025</t>
        </is>
      </c>
      <c r="B583" s="1" t="n">
        <v>46000.53084490741</v>
      </c>
      <c r="C583" s="1" t="n">
        <v>46063</v>
      </c>
      <c r="D583" t="inlineStr">
        <is>
          <t>UPPSALA LÄN</t>
        </is>
      </c>
      <c r="E583" t="inlineStr">
        <is>
          <t>ÖSTHAMMAR</t>
        </is>
      </c>
      <c r="F583" t="inlineStr">
        <is>
          <t>Bergvik skog öst AB</t>
        </is>
      </c>
      <c r="G583" t="n">
        <v>3.3</v>
      </c>
      <c r="H583" t="n">
        <v>0</v>
      </c>
      <c r="I583" t="n">
        <v>0</v>
      </c>
      <c r="J583" t="n">
        <v>0</v>
      </c>
      <c r="K583" t="n">
        <v>0</v>
      </c>
      <c r="L583" t="n">
        <v>0</v>
      </c>
      <c r="M583" t="n">
        <v>0</v>
      </c>
      <c r="N583" t="n">
        <v>0</v>
      </c>
      <c r="O583" t="n">
        <v>0</v>
      </c>
      <c r="P583" t="n">
        <v>0</v>
      </c>
      <c r="Q583" t="n">
        <v>0</v>
      </c>
      <c r="R583" s="2" t="inlineStr"/>
    </row>
    <row r="584" ht="15" customHeight="1">
      <c r="A584" t="inlineStr">
        <is>
          <t>A 3926-2026</t>
        </is>
      </c>
      <c r="B584" s="1" t="n">
        <v>46043.781875</v>
      </c>
      <c r="C584" s="1" t="n">
        <v>46063</v>
      </c>
      <c r="D584" t="inlineStr">
        <is>
          <t>UPPSALA LÄN</t>
        </is>
      </c>
      <c r="E584" t="inlineStr">
        <is>
          <t>ÖSTHAMMAR</t>
        </is>
      </c>
      <c r="G584" t="n">
        <v>3.3</v>
      </c>
      <c r="H584" t="n">
        <v>0</v>
      </c>
      <c r="I584" t="n">
        <v>0</v>
      </c>
      <c r="J584" t="n">
        <v>0</v>
      </c>
      <c r="K584" t="n">
        <v>0</v>
      </c>
      <c r="L584" t="n">
        <v>0</v>
      </c>
      <c r="M584" t="n">
        <v>0</v>
      </c>
      <c r="N584" t="n">
        <v>0</v>
      </c>
      <c r="O584" t="n">
        <v>0</v>
      </c>
      <c r="P584" t="n">
        <v>0</v>
      </c>
      <c r="Q584" t="n">
        <v>0</v>
      </c>
      <c r="R584" s="2" t="inlineStr"/>
    </row>
    <row r="585" ht="15" customHeight="1">
      <c r="A585" t="inlineStr">
        <is>
          <t>A 16933-2022</t>
        </is>
      </c>
      <c r="B585" s="1" t="n">
        <v>44676</v>
      </c>
      <c r="C585" s="1" t="n">
        <v>46063</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23741-2024</t>
        </is>
      </c>
      <c r="B586" s="1" t="n">
        <v>45455</v>
      </c>
      <c r="C586" s="1" t="n">
        <v>46063</v>
      </c>
      <c r="D586" t="inlineStr">
        <is>
          <t>UPPSALA LÄN</t>
        </is>
      </c>
      <c r="E586" t="inlineStr">
        <is>
          <t>ÖSTHAMMAR</t>
        </is>
      </c>
      <c r="F586" t="inlineStr">
        <is>
          <t>Bergvik skog öst AB</t>
        </is>
      </c>
      <c r="G586" t="n">
        <v>1.9</v>
      </c>
      <c r="H586" t="n">
        <v>0</v>
      </c>
      <c r="I586" t="n">
        <v>0</v>
      </c>
      <c r="J586" t="n">
        <v>0</v>
      </c>
      <c r="K586" t="n">
        <v>0</v>
      </c>
      <c r="L586" t="n">
        <v>0</v>
      </c>
      <c r="M586" t="n">
        <v>0</v>
      </c>
      <c r="N586" t="n">
        <v>0</v>
      </c>
      <c r="O586" t="n">
        <v>0</v>
      </c>
      <c r="P586" t="n">
        <v>0</v>
      </c>
      <c r="Q586" t="n">
        <v>0</v>
      </c>
      <c r="R586" s="2" t="inlineStr"/>
    </row>
    <row r="587" ht="15" customHeight="1">
      <c r="A587" t="inlineStr">
        <is>
          <t>A 61147-2025</t>
        </is>
      </c>
      <c r="B587" s="1" t="n">
        <v>46000.53493055556</v>
      </c>
      <c r="C587" s="1" t="n">
        <v>46063</v>
      </c>
      <c r="D587" t="inlineStr">
        <is>
          <t>UPPSALA LÄN</t>
        </is>
      </c>
      <c r="E587" t="inlineStr">
        <is>
          <t>ÖSTHAMMAR</t>
        </is>
      </c>
      <c r="F587" t="inlineStr">
        <is>
          <t>Bergvik skog öst AB</t>
        </is>
      </c>
      <c r="G587" t="n">
        <v>10.4</v>
      </c>
      <c r="H587" t="n">
        <v>0</v>
      </c>
      <c r="I587" t="n">
        <v>0</v>
      </c>
      <c r="J587" t="n">
        <v>0</v>
      </c>
      <c r="K587" t="n">
        <v>0</v>
      </c>
      <c r="L587" t="n">
        <v>0</v>
      </c>
      <c r="M587" t="n">
        <v>0</v>
      </c>
      <c r="N587" t="n">
        <v>0</v>
      </c>
      <c r="O587" t="n">
        <v>0</v>
      </c>
      <c r="P587" t="n">
        <v>0</v>
      </c>
      <c r="Q587" t="n">
        <v>0</v>
      </c>
      <c r="R587" s="2" t="inlineStr"/>
    </row>
    <row r="588" ht="15" customHeight="1">
      <c r="A588" t="inlineStr">
        <is>
          <t>A 61251-2025</t>
        </is>
      </c>
      <c r="B588" s="1" t="n">
        <v>46000.6669675926</v>
      </c>
      <c r="C588" s="1" t="n">
        <v>46063</v>
      </c>
      <c r="D588" t="inlineStr">
        <is>
          <t>UPPSALA LÄN</t>
        </is>
      </c>
      <c r="E588" t="inlineStr">
        <is>
          <t>ÖSTHAMMAR</t>
        </is>
      </c>
      <c r="F588" t="inlineStr">
        <is>
          <t>Bergvik skog öst AB</t>
        </is>
      </c>
      <c r="G588" t="n">
        <v>22.2</v>
      </c>
      <c r="H588" t="n">
        <v>0</v>
      </c>
      <c r="I588" t="n">
        <v>0</v>
      </c>
      <c r="J588" t="n">
        <v>0</v>
      </c>
      <c r="K588" t="n">
        <v>0</v>
      </c>
      <c r="L588" t="n">
        <v>0</v>
      </c>
      <c r="M588" t="n">
        <v>0</v>
      </c>
      <c r="N588" t="n">
        <v>0</v>
      </c>
      <c r="O588" t="n">
        <v>0</v>
      </c>
      <c r="P588" t="n">
        <v>0</v>
      </c>
      <c r="Q588" t="n">
        <v>0</v>
      </c>
      <c r="R588" s="2" t="inlineStr"/>
    </row>
    <row r="589" ht="15" customHeight="1">
      <c r="A589" t="inlineStr">
        <is>
          <t>A 9264-2024</t>
        </is>
      </c>
      <c r="B589" s="1" t="n">
        <v>45358</v>
      </c>
      <c r="C589" s="1" t="n">
        <v>46063</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57043-2022</t>
        </is>
      </c>
      <c r="B590" s="1" t="n">
        <v>44895.36748842592</v>
      </c>
      <c r="C590" s="1" t="n">
        <v>46063</v>
      </c>
      <c r="D590" t="inlineStr">
        <is>
          <t>UPPSALA LÄN</t>
        </is>
      </c>
      <c r="E590" t="inlineStr">
        <is>
          <t>ÖSTHAMMAR</t>
        </is>
      </c>
      <c r="F590" t="inlineStr">
        <is>
          <t>Bergvik skog öst AB</t>
        </is>
      </c>
      <c r="G590" t="n">
        <v>5.7</v>
      </c>
      <c r="H590" t="n">
        <v>0</v>
      </c>
      <c r="I590" t="n">
        <v>0</v>
      </c>
      <c r="J590" t="n">
        <v>0</v>
      </c>
      <c r="K590" t="n">
        <v>0</v>
      </c>
      <c r="L590" t="n">
        <v>0</v>
      </c>
      <c r="M590" t="n">
        <v>0</v>
      </c>
      <c r="N590" t="n">
        <v>0</v>
      </c>
      <c r="O590" t="n">
        <v>0</v>
      </c>
      <c r="P590" t="n">
        <v>0</v>
      </c>
      <c r="Q590" t="n">
        <v>0</v>
      </c>
      <c r="R590" s="2" t="inlineStr"/>
    </row>
    <row r="591" ht="15" customHeight="1">
      <c r="A591" t="inlineStr">
        <is>
          <t>A 47390-2023</t>
        </is>
      </c>
      <c r="B591" s="1" t="n">
        <v>45202</v>
      </c>
      <c r="C591" s="1" t="n">
        <v>46063</v>
      </c>
      <c r="D591" t="inlineStr">
        <is>
          <t>UPPSALA LÄN</t>
        </is>
      </c>
      <c r="E591" t="inlineStr">
        <is>
          <t>ÖSTHAMMAR</t>
        </is>
      </c>
      <c r="G591" t="n">
        <v>3.7</v>
      </c>
      <c r="H591" t="n">
        <v>0</v>
      </c>
      <c r="I591" t="n">
        <v>0</v>
      </c>
      <c r="J591" t="n">
        <v>0</v>
      </c>
      <c r="K591" t="n">
        <v>0</v>
      </c>
      <c r="L591" t="n">
        <v>0</v>
      </c>
      <c r="M591" t="n">
        <v>0</v>
      </c>
      <c r="N591" t="n">
        <v>0</v>
      </c>
      <c r="O591" t="n">
        <v>0</v>
      </c>
      <c r="P591" t="n">
        <v>0</v>
      </c>
      <c r="Q591" t="n">
        <v>0</v>
      </c>
      <c r="R591" s="2" t="inlineStr"/>
    </row>
    <row r="592" ht="15" customHeight="1">
      <c r="A592" t="inlineStr">
        <is>
          <t>A 15928-2022</t>
        </is>
      </c>
      <c r="B592" s="1" t="n">
        <v>44664</v>
      </c>
      <c r="C592" s="1" t="n">
        <v>46063</v>
      </c>
      <c r="D592" t="inlineStr">
        <is>
          <t>UPPSALA LÄN</t>
        </is>
      </c>
      <c r="E592" t="inlineStr">
        <is>
          <t>ÖSTHAMMAR</t>
        </is>
      </c>
      <c r="G592" t="n">
        <v>1.4</v>
      </c>
      <c r="H592" t="n">
        <v>0</v>
      </c>
      <c r="I592" t="n">
        <v>0</v>
      </c>
      <c r="J592" t="n">
        <v>0</v>
      </c>
      <c r="K592" t="n">
        <v>0</v>
      </c>
      <c r="L592" t="n">
        <v>0</v>
      </c>
      <c r="M592" t="n">
        <v>0</v>
      </c>
      <c r="N592" t="n">
        <v>0</v>
      </c>
      <c r="O592" t="n">
        <v>0</v>
      </c>
      <c r="P592" t="n">
        <v>0</v>
      </c>
      <c r="Q592" t="n">
        <v>0</v>
      </c>
      <c r="R592" s="2" t="inlineStr"/>
    </row>
    <row r="593" ht="15" customHeight="1">
      <c r="A593" t="inlineStr">
        <is>
          <t>A 28228-2022</t>
        </is>
      </c>
      <c r="B593" s="1" t="n">
        <v>44746.65873842593</v>
      </c>
      <c r="C593" s="1" t="n">
        <v>46063</v>
      </c>
      <c r="D593" t="inlineStr">
        <is>
          <t>UPPSALA LÄN</t>
        </is>
      </c>
      <c r="E593" t="inlineStr">
        <is>
          <t>ÖSTHAMMAR</t>
        </is>
      </c>
      <c r="G593" t="n">
        <v>2.7</v>
      </c>
      <c r="H593" t="n">
        <v>0</v>
      </c>
      <c r="I593" t="n">
        <v>0</v>
      </c>
      <c r="J593" t="n">
        <v>0</v>
      </c>
      <c r="K593" t="n">
        <v>0</v>
      </c>
      <c r="L593" t="n">
        <v>0</v>
      </c>
      <c r="M593" t="n">
        <v>0</v>
      </c>
      <c r="N593" t="n">
        <v>0</v>
      </c>
      <c r="O593" t="n">
        <v>0</v>
      </c>
      <c r="P593" t="n">
        <v>0</v>
      </c>
      <c r="Q593" t="n">
        <v>0</v>
      </c>
      <c r="R593" s="2" t="inlineStr"/>
    </row>
    <row r="594" ht="15" customHeight="1">
      <c r="A594" t="inlineStr">
        <is>
          <t>A 15445-2022</t>
        </is>
      </c>
      <c r="B594" s="1" t="n">
        <v>44660.4987962963</v>
      </c>
      <c r="C594" s="1" t="n">
        <v>46063</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4570-2026</t>
        </is>
      </c>
      <c r="B595" s="1" t="n">
        <v>46048.00856481482</v>
      </c>
      <c r="C595" s="1" t="n">
        <v>46063</v>
      </c>
      <c r="D595" t="inlineStr">
        <is>
          <t>UPPSALA LÄN</t>
        </is>
      </c>
      <c r="E595" t="inlineStr">
        <is>
          <t>ÖSTHAMMAR</t>
        </is>
      </c>
      <c r="F595" t="inlineStr">
        <is>
          <t>Allmännings- och besparingsskogar</t>
        </is>
      </c>
      <c r="G595" t="n">
        <v>7.1</v>
      </c>
      <c r="H595" t="n">
        <v>0</v>
      </c>
      <c r="I595" t="n">
        <v>0</v>
      </c>
      <c r="J595" t="n">
        <v>0</v>
      </c>
      <c r="K595" t="n">
        <v>0</v>
      </c>
      <c r="L595" t="n">
        <v>0</v>
      </c>
      <c r="M595" t="n">
        <v>0</v>
      </c>
      <c r="N595" t="n">
        <v>0</v>
      </c>
      <c r="O595" t="n">
        <v>0</v>
      </c>
      <c r="P595" t="n">
        <v>0</v>
      </c>
      <c r="Q595" t="n">
        <v>0</v>
      </c>
      <c r="R595" s="2" t="inlineStr"/>
    </row>
    <row r="596" ht="15" customHeight="1">
      <c r="A596" t="inlineStr">
        <is>
          <t>A 10275-2025</t>
        </is>
      </c>
      <c r="B596" s="1" t="n">
        <v>45720.39715277778</v>
      </c>
      <c r="C596" s="1" t="n">
        <v>46063</v>
      </c>
      <c r="D596" t="inlineStr">
        <is>
          <t>UPPSALA LÄN</t>
        </is>
      </c>
      <c r="E596" t="inlineStr">
        <is>
          <t>ÖSTHAMMAR</t>
        </is>
      </c>
      <c r="G596" t="n">
        <v>6.2</v>
      </c>
      <c r="H596" t="n">
        <v>0</v>
      </c>
      <c r="I596" t="n">
        <v>0</v>
      </c>
      <c r="J596" t="n">
        <v>0</v>
      </c>
      <c r="K596" t="n">
        <v>0</v>
      </c>
      <c r="L596" t="n">
        <v>0</v>
      </c>
      <c r="M596" t="n">
        <v>0</v>
      </c>
      <c r="N596" t="n">
        <v>0</v>
      </c>
      <c r="O596" t="n">
        <v>0</v>
      </c>
      <c r="P596" t="n">
        <v>0</v>
      </c>
      <c r="Q596" t="n">
        <v>0</v>
      </c>
      <c r="R596" s="2" t="inlineStr"/>
    </row>
    <row r="597" ht="15" customHeight="1">
      <c r="A597" t="inlineStr">
        <is>
          <t>A 985-2026</t>
        </is>
      </c>
      <c r="B597" s="1" t="n">
        <v>46030.58104166666</v>
      </c>
      <c r="C597" s="1" t="n">
        <v>46063</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61838-2025</t>
        </is>
      </c>
      <c r="B598" s="1" t="n">
        <v>46003.35675925926</v>
      </c>
      <c r="C598" s="1" t="n">
        <v>46063</v>
      </c>
      <c r="D598" t="inlineStr">
        <is>
          <t>UPPSALA LÄN</t>
        </is>
      </c>
      <c r="E598" t="inlineStr">
        <is>
          <t>ÖSTHAMMAR</t>
        </is>
      </c>
      <c r="G598" t="n">
        <v>1.2</v>
      </c>
      <c r="H598" t="n">
        <v>0</v>
      </c>
      <c r="I598" t="n">
        <v>0</v>
      </c>
      <c r="J598" t="n">
        <v>0</v>
      </c>
      <c r="K598" t="n">
        <v>0</v>
      </c>
      <c r="L598" t="n">
        <v>0</v>
      </c>
      <c r="M598" t="n">
        <v>0</v>
      </c>
      <c r="N598" t="n">
        <v>0</v>
      </c>
      <c r="O598" t="n">
        <v>0</v>
      </c>
      <c r="P598" t="n">
        <v>0</v>
      </c>
      <c r="Q598" t="n">
        <v>0</v>
      </c>
      <c r="R598" s="2" t="inlineStr"/>
    </row>
    <row r="599" ht="15" customHeight="1">
      <c r="A599" t="inlineStr">
        <is>
          <t>A 14124-2022</t>
        </is>
      </c>
      <c r="B599" s="1" t="n">
        <v>44651.40924768519</v>
      </c>
      <c r="C599" s="1" t="n">
        <v>46063</v>
      </c>
      <c r="D599" t="inlineStr">
        <is>
          <t>UPPSALA LÄN</t>
        </is>
      </c>
      <c r="E599" t="inlineStr">
        <is>
          <t>ÖSTHAMMAR</t>
        </is>
      </c>
      <c r="F599" t="inlineStr">
        <is>
          <t>Bergvik skog öst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37812-2022</t>
        </is>
      </c>
      <c r="B600" s="1" t="n">
        <v>44810</v>
      </c>
      <c r="C600" s="1" t="n">
        <v>46063</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19501-2025</t>
        </is>
      </c>
      <c r="B601" s="1" t="n">
        <v>45770.4015625</v>
      </c>
      <c r="C601" s="1" t="n">
        <v>46063</v>
      </c>
      <c r="D601" t="inlineStr">
        <is>
          <t>UPPSALA LÄN</t>
        </is>
      </c>
      <c r="E601" t="inlineStr">
        <is>
          <t>ÖSTHAMMAR</t>
        </is>
      </c>
      <c r="F601" t="inlineStr">
        <is>
          <t>Övriga Aktiebolag</t>
        </is>
      </c>
      <c r="G601" t="n">
        <v>17.3</v>
      </c>
      <c r="H601" t="n">
        <v>0</v>
      </c>
      <c r="I601" t="n">
        <v>0</v>
      </c>
      <c r="J601" t="n">
        <v>0</v>
      </c>
      <c r="K601" t="n">
        <v>0</v>
      </c>
      <c r="L601" t="n">
        <v>0</v>
      </c>
      <c r="M601" t="n">
        <v>0</v>
      </c>
      <c r="N601" t="n">
        <v>0</v>
      </c>
      <c r="O601" t="n">
        <v>0</v>
      </c>
      <c r="P601" t="n">
        <v>0</v>
      </c>
      <c r="Q601" t="n">
        <v>0</v>
      </c>
      <c r="R601" s="2" t="inlineStr"/>
    </row>
    <row r="602" ht="15" customHeight="1">
      <c r="A602" t="inlineStr">
        <is>
          <t>A 41821-2023</t>
        </is>
      </c>
      <c r="B602" s="1" t="n">
        <v>45176</v>
      </c>
      <c r="C602" s="1" t="n">
        <v>46063</v>
      </c>
      <c r="D602" t="inlineStr">
        <is>
          <t>UPPSALA LÄN</t>
        </is>
      </c>
      <c r="E602" t="inlineStr">
        <is>
          <t>ÖSTHAMMAR</t>
        </is>
      </c>
      <c r="G602" t="n">
        <v>0.9</v>
      </c>
      <c r="H602" t="n">
        <v>0</v>
      </c>
      <c r="I602" t="n">
        <v>0</v>
      </c>
      <c r="J602" t="n">
        <v>0</v>
      </c>
      <c r="K602" t="n">
        <v>0</v>
      </c>
      <c r="L602" t="n">
        <v>0</v>
      </c>
      <c r="M602" t="n">
        <v>0</v>
      </c>
      <c r="N602" t="n">
        <v>0</v>
      </c>
      <c r="O602" t="n">
        <v>0</v>
      </c>
      <c r="P602" t="n">
        <v>0</v>
      </c>
      <c r="Q602" t="n">
        <v>0</v>
      </c>
      <c r="R602" s="2" t="inlineStr"/>
    </row>
    <row r="603" ht="15" customHeight="1">
      <c r="A603" t="inlineStr">
        <is>
          <t>A 32742-2022</t>
        </is>
      </c>
      <c r="B603" s="1" t="n">
        <v>44783.69886574074</v>
      </c>
      <c r="C603" s="1" t="n">
        <v>46063</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41308-2023</t>
        </is>
      </c>
      <c r="B604" s="1" t="n">
        <v>45174.62788194444</v>
      </c>
      <c r="C604" s="1" t="n">
        <v>46063</v>
      </c>
      <c r="D604" t="inlineStr">
        <is>
          <t>UPPSALA LÄN</t>
        </is>
      </c>
      <c r="E604" t="inlineStr">
        <is>
          <t>ÖSTHAMMAR</t>
        </is>
      </c>
      <c r="F604" t="inlineStr">
        <is>
          <t>Övriga Aktiebolag</t>
        </is>
      </c>
      <c r="G604" t="n">
        <v>2.8</v>
      </c>
      <c r="H604" t="n">
        <v>0</v>
      </c>
      <c r="I604" t="n">
        <v>0</v>
      </c>
      <c r="J604" t="n">
        <v>0</v>
      </c>
      <c r="K604" t="n">
        <v>0</v>
      </c>
      <c r="L604" t="n">
        <v>0</v>
      </c>
      <c r="M604" t="n">
        <v>0</v>
      </c>
      <c r="N604" t="n">
        <v>0</v>
      </c>
      <c r="O604" t="n">
        <v>0</v>
      </c>
      <c r="P604" t="n">
        <v>0</v>
      </c>
      <c r="Q604" t="n">
        <v>0</v>
      </c>
      <c r="R604" s="2" t="inlineStr"/>
    </row>
    <row r="605" ht="15" customHeight="1">
      <c r="A605" t="inlineStr">
        <is>
          <t>A 49833-2023</t>
        </is>
      </c>
      <c r="B605" s="1" t="n">
        <v>45212.71481481481</v>
      </c>
      <c r="C605" s="1" t="n">
        <v>46063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17433-2025</t>
        </is>
      </c>
      <c r="B606" s="1" t="n">
        <v>45757.40733796296</v>
      </c>
      <c r="C606" s="1" t="n">
        <v>46063</v>
      </c>
      <c r="D606" t="inlineStr">
        <is>
          <t>UPPSALA LÄN</t>
        </is>
      </c>
      <c r="E606" t="inlineStr">
        <is>
          <t>ÖSTHAMMAR</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45550-2023</t>
        </is>
      </c>
      <c r="B607" s="1" t="n">
        <v>45194.57125</v>
      </c>
      <c r="C607" s="1" t="n">
        <v>46063</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54368-2023</t>
        </is>
      </c>
      <c r="B608" s="1" t="n">
        <v>45233.33221064815</v>
      </c>
      <c r="C608" s="1" t="n">
        <v>46063</v>
      </c>
      <c r="D608" t="inlineStr">
        <is>
          <t>UPPSALA LÄN</t>
        </is>
      </c>
      <c r="E608" t="inlineStr">
        <is>
          <t>ÖSTHAMMAR</t>
        </is>
      </c>
      <c r="F608" t="inlineStr">
        <is>
          <t>Bergvik skog öst AB</t>
        </is>
      </c>
      <c r="G608" t="n">
        <v>3</v>
      </c>
      <c r="H608" t="n">
        <v>0</v>
      </c>
      <c r="I608" t="n">
        <v>0</v>
      </c>
      <c r="J608" t="n">
        <v>0</v>
      </c>
      <c r="K608" t="n">
        <v>0</v>
      </c>
      <c r="L608" t="n">
        <v>0</v>
      </c>
      <c r="M608" t="n">
        <v>0</v>
      </c>
      <c r="N608" t="n">
        <v>0</v>
      </c>
      <c r="O608" t="n">
        <v>0</v>
      </c>
      <c r="P608" t="n">
        <v>0</v>
      </c>
      <c r="Q608" t="n">
        <v>0</v>
      </c>
      <c r="R608" s="2" t="inlineStr"/>
    </row>
    <row r="609" ht="15" customHeight="1">
      <c r="A609" t="inlineStr">
        <is>
          <t>A 5469-2026</t>
        </is>
      </c>
      <c r="B609" s="1" t="n">
        <v>46050.59346064815</v>
      </c>
      <c r="C609" s="1" t="n">
        <v>46063</v>
      </c>
      <c r="D609" t="inlineStr">
        <is>
          <t>UPPSALA LÄN</t>
        </is>
      </c>
      <c r="E609" t="inlineStr">
        <is>
          <t>ÖSTHAMMAR</t>
        </is>
      </c>
      <c r="F609" t="inlineStr">
        <is>
          <t>Övriga Aktiebolag</t>
        </is>
      </c>
      <c r="G609" t="n">
        <v>1</v>
      </c>
      <c r="H609" t="n">
        <v>0</v>
      </c>
      <c r="I609" t="n">
        <v>0</v>
      </c>
      <c r="J609" t="n">
        <v>0</v>
      </c>
      <c r="K609" t="n">
        <v>0</v>
      </c>
      <c r="L609" t="n">
        <v>0</v>
      </c>
      <c r="M609" t="n">
        <v>0</v>
      </c>
      <c r="N609" t="n">
        <v>0</v>
      </c>
      <c r="O609" t="n">
        <v>0</v>
      </c>
      <c r="P609" t="n">
        <v>0</v>
      </c>
      <c r="Q609" t="n">
        <v>0</v>
      </c>
      <c r="R609" s="2" t="inlineStr"/>
    </row>
    <row r="610" ht="15" customHeight="1">
      <c r="A610" t="inlineStr">
        <is>
          <t>A 17931-2025</t>
        </is>
      </c>
      <c r="B610" s="1" t="n">
        <v>45759.56894675926</v>
      </c>
      <c r="C610" s="1" t="n">
        <v>46063</v>
      </c>
      <c r="D610" t="inlineStr">
        <is>
          <t>UPPSALA LÄN</t>
        </is>
      </c>
      <c r="E610" t="inlineStr">
        <is>
          <t>ÖSTHAMMAR</t>
        </is>
      </c>
      <c r="G610" t="n">
        <v>2.1</v>
      </c>
      <c r="H610" t="n">
        <v>0</v>
      </c>
      <c r="I610" t="n">
        <v>0</v>
      </c>
      <c r="J610" t="n">
        <v>0</v>
      </c>
      <c r="K610" t="n">
        <v>0</v>
      </c>
      <c r="L610" t="n">
        <v>0</v>
      </c>
      <c r="M610" t="n">
        <v>0</v>
      </c>
      <c r="N610" t="n">
        <v>0</v>
      </c>
      <c r="O610" t="n">
        <v>0</v>
      </c>
      <c r="P610" t="n">
        <v>0</v>
      </c>
      <c r="Q610" t="n">
        <v>0</v>
      </c>
      <c r="R610" s="2" t="inlineStr"/>
    </row>
    <row r="611" ht="15" customHeight="1">
      <c r="A611" t="inlineStr">
        <is>
          <t>A 17938-2025</t>
        </is>
      </c>
      <c r="B611" s="1" t="n">
        <v>45760.55626157407</v>
      </c>
      <c r="C611" s="1" t="n">
        <v>46063</v>
      </c>
      <c r="D611" t="inlineStr">
        <is>
          <t>UPPSALA LÄN</t>
        </is>
      </c>
      <c r="E611" t="inlineStr">
        <is>
          <t>ÖSTHAMMAR</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8791-2025</t>
        </is>
      </c>
      <c r="B612" s="1" t="n">
        <v>45712</v>
      </c>
      <c r="C612" s="1" t="n">
        <v>46063</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26552-2022</t>
        </is>
      </c>
      <c r="B613" s="1" t="n">
        <v>44739</v>
      </c>
      <c r="C613" s="1" t="n">
        <v>46063</v>
      </c>
      <c r="D613" t="inlineStr">
        <is>
          <t>UPPSALA LÄN</t>
        </is>
      </c>
      <c r="E613" t="inlineStr">
        <is>
          <t>ÖSTHAMMAR</t>
        </is>
      </c>
      <c r="G613" t="n">
        <v>2.2</v>
      </c>
      <c r="H613" t="n">
        <v>0</v>
      </c>
      <c r="I613" t="n">
        <v>0</v>
      </c>
      <c r="J613" t="n">
        <v>0</v>
      </c>
      <c r="K613" t="n">
        <v>0</v>
      </c>
      <c r="L613" t="n">
        <v>0</v>
      </c>
      <c r="M613" t="n">
        <v>0</v>
      </c>
      <c r="N613" t="n">
        <v>0</v>
      </c>
      <c r="O613" t="n">
        <v>0</v>
      </c>
      <c r="P613" t="n">
        <v>0</v>
      </c>
      <c r="Q613" t="n">
        <v>0</v>
      </c>
      <c r="R613" s="2" t="inlineStr"/>
    </row>
    <row r="614" ht="15" customHeight="1">
      <c r="A614" t="inlineStr">
        <is>
          <t>A 62745-2025</t>
        </is>
      </c>
      <c r="B614" s="1" t="n">
        <v>46008.57596064815</v>
      </c>
      <c r="C614" s="1" t="n">
        <v>46063</v>
      </c>
      <c r="D614" t="inlineStr">
        <is>
          <t>UPPSALA LÄN</t>
        </is>
      </c>
      <c r="E614" t="inlineStr">
        <is>
          <t>ÖSTHAMMAR</t>
        </is>
      </c>
      <c r="G614" t="n">
        <v>2</v>
      </c>
      <c r="H614" t="n">
        <v>0</v>
      </c>
      <c r="I614" t="n">
        <v>0</v>
      </c>
      <c r="J614" t="n">
        <v>0</v>
      </c>
      <c r="K614" t="n">
        <v>0</v>
      </c>
      <c r="L614" t="n">
        <v>0</v>
      </c>
      <c r="M614" t="n">
        <v>0</v>
      </c>
      <c r="N614" t="n">
        <v>0</v>
      </c>
      <c r="O614" t="n">
        <v>0</v>
      </c>
      <c r="P614" t="n">
        <v>0</v>
      </c>
      <c r="Q614" t="n">
        <v>0</v>
      </c>
      <c r="R614" s="2" t="inlineStr"/>
    </row>
    <row r="615" ht="15" customHeight="1">
      <c r="A615" t="inlineStr">
        <is>
          <t>A 7216-2025</t>
        </is>
      </c>
      <c r="B615" s="1" t="n">
        <v>45702.47630787037</v>
      </c>
      <c r="C615" s="1" t="n">
        <v>46063</v>
      </c>
      <c r="D615" t="inlineStr">
        <is>
          <t>UPPSALA LÄN</t>
        </is>
      </c>
      <c r="E615" t="inlineStr">
        <is>
          <t>ÖSTHAMMAR</t>
        </is>
      </c>
      <c r="F615" t="inlineStr">
        <is>
          <t>Övriga Aktiebolag</t>
        </is>
      </c>
      <c r="G615" t="n">
        <v>12.5</v>
      </c>
      <c r="H615" t="n">
        <v>0</v>
      </c>
      <c r="I615" t="n">
        <v>0</v>
      </c>
      <c r="J615" t="n">
        <v>0</v>
      </c>
      <c r="K615" t="n">
        <v>0</v>
      </c>
      <c r="L615" t="n">
        <v>0</v>
      </c>
      <c r="M615" t="n">
        <v>0</v>
      </c>
      <c r="N615" t="n">
        <v>0</v>
      </c>
      <c r="O615" t="n">
        <v>0</v>
      </c>
      <c r="P615" t="n">
        <v>0</v>
      </c>
      <c r="Q615" t="n">
        <v>0</v>
      </c>
      <c r="R615" s="2" t="inlineStr"/>
    </row>
    <row r="616" ht="15" customHeight="1">
      <c r="A616" t="inlineStr">
        <is>
          <t>A 31137-2022</t>
        </is>
      </c>
      <c r="B616" s="1" t="n">
        <v>44770.42166666667</v>
      </c>
      <c r="C616" s="1" t="n">
        <v>46063</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18094-2025</t>
        </is>
      </c>
      <c r="B617" s="1" t="n">
        <v>45761.54710648148</v>
      </c>
      <c r="C617" s="1" t="n">
        <v>46063</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44815-2022</t>
        </is>
      </c>
      <c r="B618" s="1" t="n">
        <v>44841.40452546296</v>
      </c>
      <c r="C618" s="1" t="n">
        <v>46063</v>
      </c>
      <c r="D618" t="inlineStr">
        <is>
          <t>UPPSALA LÄN</t>
        </is>
      </c>
      <c r="E618" t="inlineStr">
        <is>
          <t>ÖSTHAMMAR</t>
        </is>
      </c>
      <c r="G618" t="n">
        <v>1.8</v>
      </c>
      <c r="H618" t="n">
        <v>0</v>
      </c>
      <c r="I618" t="n">
        <v>0</v>
      </c>
      <c r="J618" t="n">
        <v>0</v>
      </c>
      <c r="K618" t="n">
        <v>0</v>
      </c>
      <c r="L618" t="n">
        <v>0</v>
      </c>
      <c r="M618" t="n">
        <v>0</v>
      </c>
      <c r="N618" t="n">
        <v>0</v>
      </c>
      <c r="O618" t="n">
        <v>0</v>
      </c>
      <c r="P618" t="n">
        <v>0</v>
      </c>
      <c r="Q618" t="n">
        <v>0</v>
      </c>
      <c r="R618" s="2" t="inlineStr"/>
    </row>
    <row r="619" ht="15" customHeight="1">
      <c r="A619" t="inlineStr">
        <is>
          <t>A 29753-2022</t>
        </is>
      </c>
      <c r="B619" s="1" t="n">
        <v>44755</v>
      </c>
      <c r="C619" s="1" t="n">
        <v>46063</v>
      </c>
      <c r="D619" t="inlineStr">
        <is>
          <t>UPPSALA LÄN</t>
        </is>
      </c>
      <c r="E619" t="inlineStr">
        <is>
          <t>ÖSTHAMMAR</t>
        </is>
      </c>
      <c r="G619" t="n">
        <v>9.4</v>
      </c>
      <c r="H619" t="n">
        <v>0</v>
      </c>
      <c r="I619" t="n">
        <v>0</v>
      </c>
      <c r="J619" t="n">
        <v>0</v>
      </c>
      <c r="K619" t="n">
        <v>0</v>
      </c>
      <c r="L619" t="n">
        <v>0</v>
      </c>
      <c r="M619" t="n">
        <v>0</v>
      </c>
      <c r="N619" t="n">
        <v>0</v>
      </c>
      <c r="O619" t="n">
        <v>0</v>
      </c>
      <c r="P619" t="n">
        <v>0</v>
      </c>
      <c r="Q619" t="n">
        <v>0</v>
      </c>
      <c r="R619" s="2" t="inlineStr"/>
    </row>
    <row r="620" ht="15" customHeight="1">
      <c r="A620" t="inlineStr">
        <is>
          <t>A 20072-2025</t>
        </is>
      </c>
      <c r="B620" s="1" t="n">
        <v>45772</v>
      </c>
      <c r="C620" s="1" t="n">
        <v>46063</v>
      </c>
      <c r="D620" t="inlineStr">
        <is>
          <t>UPPSALA LÄN</t>
        </is>
      </c>
      <c r="E620" t="inlineStr">
        <is>
          <t>ÖSTHAMMAR</t>
        </is>
      </c>
      <c r="G620" t="n">
        <v>3.1</v>
      </c>
      <c r="H620" t="n">
        <v>0</v>
      </c>
      <c r="I620" t="n">
        <v>0</v>
      </c>
      <c r="J620" t="n">
        <v>0</v>
      </c>
      <c r="K620" t="n">
        <v>0</v>
      </c>
      <c r="L620" t="n">
        <v>0</v>
      </c>
      <c r="M620" t="n">
        <v>0</v>
      </c>
      <c r="N620" t="n">
        <v>0</v>
      </c>
      <c r="O620" t="n">
        <v>0</v>
      </c>
      <c r="P620" t="n">
        <v>0</v>
      </c>
      <c r="Q620" t="n">
        <v>0</v>
      </c>
      <c r="R620" s="2" t="inlineStr"/>
    </row>
    <row r="621" ht="15" customHeight="1">
      <c r="A621" t="inlineStr">
        <is>
          <t>A 52629-2023</t>
        </is>
      </c>
      <c r="B621" s="1" t="n">
        <v>45225</v>
      </c>
      <c r="C621" s="1" t="n">
        <v>46063</v>
      </c>
      <c r="D621" t="inlineStr">
        <is>
          <t>UPPSALA LÄN</t>
        </is>
      </c>
      <c r="E621" t="inlineStr">
        <is>
          <t>ÖSTHAMMAR</t>
        </is>
      </c>
      <c r="G621" t="n">
        <v>1.2</v>
      </c>
      <c r="H621" t="n">
        <v>0</v>
      </c>
      <c r="I621" t="n">
        <v>0</v>
      </c>
      <c r="J621" t="n">
        <v>0</v>
      </c>
      <c r="K621" t="n">
        <v>0</v>
      </c>
      <c r="L621" t="n">
        <v>0</v>
      </c>
      <c r="M621" t="n">
        <v>0</v>
      </c>
      <c r="N621" t="n">
        <v>0</v>
      </c>
      <c r="O621" t="n">
        <v>0</v>
      </c>
      <c r="P621" t="n">
        <v>0</v>
      </c>
      <c r="Q621" t="n">
        <v>0</v>
      </c>
      <c r="R621" s="2" t="inlineStr"/>
    </row>
    <row r="622" ht="15" customHeight="1">
      <c r="A622" t="inlineStr">
        <is>
          <t>A 6511-2026</t>
        </is>
      </c>
      <c r="B622" s="1" t="n">
        <v>46056.38925925926</v>
      </c>
      <c r="C622" s="1" t="n">
        <v>46063</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6522-2026</t>
        </is>
      </c>
      <c r="B623" s="1" t="n">
        <v>46056.4025</v>
      </c>
      <c r="C623" s="1" t="n">
        <v>46063</v>
      </c>
      <c r="D623" t="inlineStr">
        <is>
          <t>UPPSALA LÄN</t>
        </is>
      </c>
      <c r="E623" t="inlineStr">
        <is>
          <t>ÖSTHAMMAR</t>
        </is>
      </c>
      <c r="F623" t="inlineStr">
        <is>
          <t>Bergvik skog öst AB</t>
        </is>
      </c>
      <c r="G623" t="n">
        <v>4.2</v>
      </c>
      <c r="H623" t="n">
        <v>0</v>
      </c>
      <c r="I623" t="n">
        <v>0</v>
      </c>
      <c r="J623" t="n">
        <v>0</v>
      </c>
      <c r="K623" t="n">
        <v>0</v>
      </c>
      <c r="L623" t="n">
        <v>0</v>
      </c>
      <c r="M623" t="n">
        <v>0</v>
      </c>
      <c r="N623" t="n">
        <v>0</v>
      </c>
      <c r="O623" t="n">
        <v>0</v>
      </c>
      <c r="P623" t="n">
        <v>0</v>
      </c>
      <c r="Q623" t="n">
        <v>0</v>
      </c>
      <c r="R623" s="2" t="inlineStr"/>
    </row>
    <row r="624" ht="15" customHeight="1">
      <c r="A624" t="inlineStr">
        <is>
          <t>A 9642-2024</t>
        </is>
      </c>
      <c r="B624" s="1" t="n">
        <v>45362.36296296296</v>
      </c>
      <c r="C624" s="1" t="n">
        <v>46063</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31549-2022</t>
        </is>
      </c>
      <c r="B625" s="1" t="n">
        <v>44775.400625</v>
      </c>
      <c r="C625" s="1" t="n">
        <v>46063</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6712-2026</t>
        </is>
      </c>
      <c r="B626" s="1" t="n">
        <v>46056.65564814815</v>
      </c>
      <c r="C626" s="1" t="n">
        <v>46063</v>
      </c>
      <c r="D626" t="inlineStr">
        <is>
          <t>UPPSALA LÄN</t>
        </is>
      </c>
      <c r="E626" t="inlineStr">
        <is>
          <t>ÖSTHAMMAR</t>
        </is>
      </c>
      <c r="F626" t="inlineStr">
        <is>
          <t>Bergvik skog öst AB</t>
        </is>
      </c>
      <c r="G626" t="n">
        <v>5</v>
      </c>
      <c r="H626" t="n">
        <v>0</v>
      </c>
      <c r="I626" t="n">
        <v>0</v>
      </c>
      <c r="J626" t="n">
        <v>0</v>
      </c>
      <c r="K626" t="n">
        <v>0</v>
      </c>
      <c r="L626" t="n">
        <v>0</v>
      </c>
      <c r="M626" t="n">
        <v>0</v>
      </c>
      <c r="N626" t="n">
        <v>0</v>
      </c>
      <c r="O626" t="n">
        <v>0</v>
      </c>
      <c r="P626" t="n">
        <v>0</v>
      </c>
      <c r="Q626" t="n">
        <v>0</v>
      </c>
      <c r="R626" s="2" t="inlineStr"/>
    </row>
    <row r="627" ht="15" customHeight="1">
      <c r="A627" t="inlineStr">
        <is>
          <t>A 47522-2023</t>
        </is>
      </c>
      <c r="B627" s="1" t="n">
        <v>45203</v>
      </c>
      <c r="C627" s="1" t="n">
        <v>46063</v>
      </c>
      <c r="D627" t="inlineStr">
        <is>
          <t>UPPSALA LÄN</t>
        </is>
      </c>
      <c r="E627" t="inlineStr">
        <is>
          <t>ÖSTHAMMAR</t>
        </is>
      </c>
      <c r="F627" t="inlineStr">
        <is>
          <t>Bergvik skog öst AB</t>
        </is>
      </c>
      <c r="G627" t="n">
        <v>0.9</v>
      </c>
      <c r="H627" t="n">
        <v>0</v>
      </c>
      <c r="I627" t="n">
        <v>0</v>
      </c>
      <c r="J627" t="n">
        <v>0</v>
      </c>
      <c r="K627" t="n">
        <v>0</v>
      </c>
      <c r="L627" t="n">
        <v>0</v>
      </c>
      <c r="M627" t="n">
        <v>0</v>
      </c>
      <c r="N627" t="n">
        <v>0</v>
      </c>
      <c r="O627" t="n">
        <v>0</v>
      </c>
      <c r="P627" t="n">
        <v>0</v>
      </c>
      <c r="Q627" t="n">
        <v>0</v>
      </c>
      <c r="R627" s="2" t="inlineStr"/>
    </row>
    <row r="628" ht="15" customHeight="1">
      <c r="A628" t="inlineStr">
        <is>
          <t>A 13738-2023</t>
        </is>
      </c>
      <c r="B628" s="1" t="n">
        <v>45007.37081018519</v>
      </c>
      <c r="C628" s="1" t="n">
        <v>46063</v>
      </c>
      <c r="D628" t="inlineStr">
        <is>
          <t>UPPSALA LÄN</t>
        </is>
      </c>
      <c r="E628" t="inlineStr">
        <is>
          <t>ÖSTHAMMAR</t>
        </is>
      </c>
      <c r="G628" t="n">
        <v>0.7</v>
      </c>
      <c r="H628" t="n">
        <v>0</v>
      </c>
      <c r="I628" t="n">
        <v>0</v>
      </c>
      <c r="J628" t="n">
        <v>0</v>
      </c>
      <c r="K628" t="n">
        <v>0</v>
      </c>
      <c r="L628" t="n">
        <v>0</v>
      </c>
      <c r="M628" t="n">
        <v>0</v>
      </c>
      <c r="N628" t="n">
        <v>0</v>
      </c>
      <c r="O628" t="n">
        <v>0</v>
      </c>
      <c r="P628" t="n">
        <v>0</v>
      </c>
      <c r="Q628" t="n">
        <v>0</v>
      </c>
      <c r="R628" s="2" t="inlineStr"/>
    </row>
    <row r="629" ht="15" customHeight="1">
      <c r="A629" t="inlineStr">
        <is>
          <t>A 34971-2022</t>
        </is>
      </c>
      <c r="B629" s="1" t="n">
        <v>44796.66613425926</v>
      </c>
      <c r="C629" s="1" t="n">
        <v>46063</v>
      </c>
      <c r="D629" t="inlineStr">
        <is>
          <t>UPPSALA LÄN</t>
        </is>
      </c>
      <c r="E629" t="inlineStr">
        <is>
          <t>ÖSTHAMMAR</t>
        </is>
      </c>
      <c r="F629" t="inlineStr">
        <is>
          <t>Bergvik skog öst AB</t>
        </is>
      </c>
      <c r="G629" t="n">
        <v>2.3</v>
      </c>
      <c r="H629" t="n">
        <v>0</v>
      </c>
      <c r="I629" t="n">
        <v>0</v>
      </c>
      <c r="J629" t="n">
        <v>0</v>
      </c>
      <c r="K629" t="n">
        <v>0</v>
      </c>
      <c r="L629" t="n">
        <v>0</v>
      </c>
      <c r="M629" t="n">
        <v>0</v>
      </c>
      <c r="N629" t="n">
        <v>0</v>
      </c>
      <c r="O629" t="n">
        <v>0</v>
      </c>
      <c r="P629" t="n">
        <v>0</v>
      </c>
      <c r="Q629" t="n">
        <v>0</v>
      </c>
      <c r="R629" s="2" t="inlineStr"/>
    </row>
    <row r="630" ht="15" customHeight="1">
      <c r="A630" t="inlineStr">
        <is>
          <t>A 6635-2026</t>
        </is>
      </c>
      <c r="B630" s="1" t="n">
        <v>46056.52885416667</v>
      </c>
      <c r="C630" s="1" t="n">
        <v>46063</v>
      </c>
      <c r="D630" t="inlineStr">
        <is>
          <t>UPPSALA LÄN</t>
        </is>
      </c>
      <c r="E630" t="inlineStr">
        <is>
          <t>ÖSTHAMMAR</t>
        </is>
      </c>
      <c r="F630" t="inlineStr">
        <is>
          <t>Bergvik skog öst AB</t>
        </is>
      </c>
      <c r="G630" t="n">
        <v>4.3</v>
      </c>
      <c r="H630" t="n">
        <v>0</v>
      </c>
      <c r="I630" t="n">
        <v>0</v>
      </c>
      <c r="J630" t="n">
        <v>0</v>
      </c>
      <c r="K630" t="n">
        <v>0</v>
      </c>
      <c r="L630" t="n">
        <v>0</v>
      </c>
      <c r="M630" t="n">
        <v>0</v>
      </c>
      <c r="N630" t="n">
        <v>0</v>
      </c>
      <c r="O630" t="n">
        <v>0</v>
      </c>
      <c r="P630" t="n">
        <v>0</v>
      </c>
      <c r="Q630" t="n">
        <v>0</v>
      </c>
      <c r="R630" s="2" t="inlineStr"/>
    </row>
    <row r="631" ht="15" customHeight="1">
      <c r="A631" t="inlineStr">
        <is>
          <t>A 6238-2026</t>
        </is>
      </c>
      <c r="B631" s="1" t="n">
        <v>46055.45547453704</v>
      </c>
      <c r="C631" s="1" t="n">
        <v>46063</v>
      </c>
      <c r="D631" t="inlineStr">
        <is>
          <t>UPPSALA LÄN</t>
        </is>
      </c>
      <c r="E631" t="inlineStr">
        <is>
          <t>ÖSTHAMMAR</t>
        </is>
      </c>
      <c r="F631" t="inlineStr">
        <is>
          <t>Övriga Aktiebolag</t>
        </is>
      </c>
      <c r="G631" t="n">
        <v>26.7</v>
      </c>
      <c r="H631" t="n">
        <v>0</v>
      </c>
      <c r="I631" t="n">
        <v>0</v>
      </c>
      <c r="J631" t="n">
        <v>0</v>
      </c>
      <c r="K631" t="n">
        <v>0</v>
      </c>
      <c r="L631" t="n">
        <v>0</v>
      </c>
      <c r="M631" t="n">
        <v>0</v>
      </c>
      <c r="N631" t="n">
        <v>0</v>
      </c>
      <c r="O631" t="n">
        <v>0</v>
      </c>
      <c r="P631" t="n">
        <v>0</v>
      </c>
      <c r="Q631" t="n">
        <v>0</v>
      </c>
      <c r="R631" s="2" t="inlineStr"/>
    </row>
    <row r="632" ht="15" customHeight="1">
      <c r="A632" t="inlineStr">
        <is>
          <t>A 6762-2026</t>
        </is>
      </c>
      <c r="B632" s="1" t="n">
        <v>46056.85776620371</v>
      </c>
      <c r="C632" s="1" t="n">
        <v>46063</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55646-2021</t>
        </is>
      </c>
      <c r="B633" s="1" t="n">
        <v>44476.3632175926</v>
      </c>
      <c r="C633" s="1" t="n">
        <v>46063</v>
      </c>
      <c r="D633" t="inlineStr">
        <is>
          <t>UPPSALA LÄN</t>
        </is>
      </c>
      <c r="E633" t="inlineStr">
        <is>
          <t>ÖSTHAMMAR</t>
        </is>
      </c>
      <c r="F633" t="inlineStr">
        <is>
          <t>Bergvik skog öst AB</t>
        </is>
      </c>
      <c r="G633" t="n">
        <v>0.2</v>
      </c>
      <c r="H633" t="n">
        <v>0</v>
      </c>
      <c r="I633" t="n">
        <v>0</v>
      </c>
      <c r="J633" t="n">
        <v>0</v>
      </c>
      <c r="K633" t="n">
        <v>0</v>
      </c>
      <c r="L633" t="n">
        <v>0</v>
      </c>
      <c r="M633" t="n">
        <v>0</v>
      </c>
      <c r="N633" t="n">
        <v>0</v>
      </c>
      <c r="O633" t="n">
        <v>0</v>
      </c>
      <c r="P633" t="n">
        <v>0</v>
      </c>
      <c r="Q633" t="n">
        <v>0</v>
      </c>
      <c r="R633" s="2" t="inlineStr"/>
    </row>
    <row r="634" ht="15" customHeight="1">
      <c r="A634" t="inlineStr">
        <is>
          <t>A 6517-2026</t>
        </is>
      </c>
      <c r="B634" s="1" t="n">
        <v>46056.39921296296</v>
      </c>
      <c r="C634" s="1" t="n">
        <v>46063</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6884-2026</t>
        </is>
      </c>
      <c r="B635" s="1" t="n">
        <v>46057.46614583334</v>
      </c>
      <c r="C635" s="1" t="n">
        <v>46063</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16240-2025</t>
        </is>
      </c>
      <c r="B636" s="1" t="n">
        <v>45746</v>
      </c>
      <c r="C636" s="1" t="n">
        <v>46063</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20038-2023</t>
        </is>
      </c>
      <c r="B637" s="1" t="n">
        <v>45054.65834490741</v>
      </c>
      <c r="C637" s="1" t="n">
        <v>46063</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6121-2024</t>
        </is>
      </c>
      <c r="B638" s="1" t="n">
        <v>45337.4219212963</v>
      </c>
      <c r="C638" s="1" t="n">
        <v>46063</v>
      </c>
      <c r="D638" t="inlineStr">
        <is>
          <t>UPPSALA LÄN</t>
        </is>
      </c>
      <c r="E638" t="inlineStr">
        <is>
          <t>ÖSTHAMMAR</t>
        </is>
      </c>
      <c r="G638" t="n">
        <v>0.4</v>
      </c>
      <c r="H638" t="n">
        <v>0</v>
      </c>
      <c r="I638" t="n">
        <v>0</v>
      </c>
      <c r="J638" t="n">
        <v>0</v>
      </c>
      <c r="K638" t="n">
        <v>0</v>
      </c>
      <c r="L638" t="n">
        <v>0</v>
      </c>
      <c r="M638" t="n">
        <v>0</v>
      </c>
      <c r="N638" t="n">
        <v>0</v>
      </c>
      <c r="O638" t="n">
        <v>0</v>
      </c>
      <c r="P638" t="n">
        <v>0</v>
      </c>
      <c r="Q638" t="n">
        <v>0</v>
      </c>
      <c r="R638" s="2" t="inlineStr"/>
    </row>
    <row r="639" ht="15" customHeight="1">
      <c r="A639" t="inlineStr">
        <is>
          <t>A 8699-2025</t>
        </is>
      </c>
      <c r="B639" s="1" t="n">
        <v>45712.47983796296</v>
      </c>
      <c r="C639" s="1" t="n">
        <v>46063</v>
      </c>
      <c r="D639" t="inlineStr">
        <is>
          <t>UPPSALA LÄN</t>
        </is>
      </c>
      <c r="E639" t="inlineStr">
        <is>
          <t>ÖSTHAMMAR</t>
        </is>
      </c>
      <c r="G639" t="n">
        <v>5.6</v>
      </c>
      <c r="H639" t="n">
        <v>0</v>
      </c>
      <c r="I639" t="n">
        <v>0</v>
      </c>
      <c r="J639" t="n">
        <v>0</v>
      </c>
      <c r="K639" t="n">
        <v>0</v>
      </c>
      <c r="L639" t="n">
        <v>0</v>
      </c>
      <c r="M639" t="n">
        <v>0</v>
      </c>
      <c r="N639" t="n">
        <v>0</v>
      </c>
      <c r="O639" t="n">
        <v>0</v>
      </c>
      <c r="P639" t="n">
        <v>0</v>
      </c>
      <c r="Q639" t="n">
        <v>0</v>
      </c>
      <c r="R639" s="2" t="inlineStr"/>
    </row>
    <row r="640" ht="15" customHeight="1">
      <c r="A640" t="inlineStr">
        <is>
          <t>A 15031-2025</t>
        </is>
      </c>
      <c r="B640" s="1" t="n">
        <v>45743.67333333333</v>
      </c>
      <c r="C640" s="1" t="n">
        <v>46063</v>
      </c>
      <c r="D640" t="inlineStr">
        <is>
          <t>UPPSALA LÄN</t>
        </is>
      </c>
      <c r="E640" t="inlineStr">
        <is>
          <t>ÖSTHAMMAR</t>
        </is>
      </c>
      <c r="G640" t="n">
        <v>9.6</v>
      </c>
      <c r="H640" t="n">
        <v>0</v>
      </c>
      <c r="I640" t="n">
        <v>0</v>
      </c>
      <c r="J640" t="n">
        <v>0</v>
      </c>
      <c r="K640" t="n">
        <v>0</v>
      </c>
      <c r="L640" t="n">
        <v>0</v>
      </c>
      <c r="M640" t="n">
        <v>0</v>
      </c>
      <c r="N640" t="n">
        <v>0</v>
      </c>
      <c r="O640" t="n">
        <v>0</v>
      </c>
      <c r="P640" t="n">
        <v>0</v>
      </c>
      <c r="Q640" t="n">
        <v>0</v>
      </c>
      <c r="R640" s="2" t="inlineStr"/>
    </row>
    <row r="641" ht="15" customHeight="1">
      <c r="A641" t="inlineStr">
        <is>
          <t>A 60555-2023</t>
        </is>
      </c>
      <c r="B641" s="1" t="n">
        <v>45259</v>
      </c>
      <c r="C641" s="1" t="n">
        <v>46063</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7241-2026</t>
        </is>
      </c>
      <c r="B642" s="1" t="n">
        <v>46058.58392361111</v>
      </c>
      <c r="C642" s="1" t="n">
        <v>46063</v>
      </c>
      <c r="D642" t="inlineStr">
        <is>
          <t>UPPSALA LÄN</t>
        </is>
      </c>
      <c r="E642" t="inlineStr">
        <is>
          <t>ÖSTHAMMAR</t>
        </is>
      </c>
      <c r="F642" t="inlineStr">
        <is>
          <t>Övriga Aktiebolag</t>
        </is>
      </c>
      <c r="G642" t="n">
        <v>1.7</v>
      </c>
      <c r="H642" t="n">
        <v>0</v>
      </c>
      <c r="I642" t="n">
        <v>0</v>
      </c>
      <c r="J642" t="n">
        <v>0</v>
      </c>
      <c r="K642" t="n">
        <v>0</v>
      </c>
      <c r="L642" t="n">
        <v>0</v>
      </c>
      <c r="M642" t="n">
        <v>0</v>
      </c>
      <c r="N642" t="n">
        <v>0</v>
      </c>
      <c r="O642" t="n">
        <v>0</v>
      </c>
      <c r="P642" t="n">
        <v>0</v>
      </c>
      <c r="Q642" t="n">
        <v>0</v>
      </c>
      <c r="R642" s="2" t="inlineStr"/>
    </row>
    <row r="643" ht="15" customHeight="1">
      <c r="A643" t="inlineStr">
        <is>
          <t>A 7262-2026</t>
        </is>
      </c>
      <c r="B643" s="1" t="n">
        <v>46058.6049537037</v>
      </c>
      <c r="C643" s="1" t="n">
        <v>46063</v>
      </c>
      <c r="D643" t="inlineStr">
        <is>
          <t>UPPSALA LÄN</t>
        </is>
      </c>
      <c r="E643" t="inlineStr">
        <is>
          <t>ÖSTHAMMAR</t>
        </is>
      </c>
      <c r="F643" t="inlineStr">
        <is>
          <t>Övriga Aktiebolag</t>
        </is>
      </c>
      <c r="G643" t="n">
        <v>0.8</v>
      </c>
      <c r="H643" t="n">
        <v>0</v>
      </c>
      <c r="I643" t="n">
        <v>0</v>
      </c>
      <c r="J643" t="n">
        <v>0</v>
      </c>
      <c r="K643" t="n">
        <v>0</v>
      </c>
      <c r="L643" t="n">
        <v>0</v>
      </c>
      <c r="M643" t="n">
        <v>0</v>
      </c>
      <c r="N643" t="n">
        <v>0</v>
      </c>
      <c r="O643" t="n">
        <v>0</v>
      </c>
      <c r="P643" t="n">
        <v>0</v>
      </c>
      <c r="Q643" t="n">
        <v>0</v>
      </c>
      <c r="R643" s="2" t="inlineStr"/>
    </row>
    <row r="644" ht="15" customHeight="1">
      <c r="A644" t="inlineStr">
        <is>
          <t>A 60584-2021</t>
        </is>
      </c>
      <c r="B644" s="1" t="n">
        <v>44496</v>
      </c>
      <c r="C644" s="1" t="n">
        <v>46063</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17652-2025</t>
        </is>
      </c>
      <c r="B645" s="1" t="n">
        <v>45758.33583333333</v>
      </c>
      <c r="C645" s="1" t="n">
        <v>46063</v>
      </c>
      <c r="D645" t="inlineStr">
        <is>
          <t>UPPSALA LÄN</t>
        </is>
      </c>
      <c r="E645" t="inlineStr">
        <is>
          <t>ÖSTHAMMAR</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48719-2023</t>
        </is>
      </c>
      <c r="B646" s="1" t="n">
        <v>45208.70452546296</v>
      </c>
      <c r="C646" s="1" t="n">
        <v>46063</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33784-2024</t>
        </is>
      </c>
      <c r="B647" s="1" t="n">
        <v>45520</v>
      </c>
      <c r="C647" s="1" t="n">
        <v>46063</v>
      </c>
      <c r="D647" t="inlineStr">
        <is>
          <t>UPPSALA LÄN</t>
        </is>
      </c>
      <c r="E647" t="inlineStr">
        <is>
          <t>ÖSTHAMMAR</t>
        </is>
      </c>
      <c r="F647" t="inlineStr">
        <is>
          <t>Naturvårdsverket</t>
        </is>
      </c>
      <c r="G647" t="n">
        <v>0.6</v>
      </c>
      <c r="H647" t="n">
        <v>0</v>
      </c>
      <c r="I647" t="n">
        <v>0</v>
      </c>
      <c r="J647" t="n">
        <v>0</v>
      </c>
      <c r="K647" t="n">
        <v>0</v>
      </c>
      <c r="L647" t="n">
        <v>0</v>
      </c>
      <c r="M647" t="n">
        <v>0</v>
      </c>
      <c r="N647" t="n">
        <v>0</v>
      </c>
      <c r="O647" t="n">
        <v>0</v>
      </c>
      <c r="P647" t="n">
        <v>0</v>
      </c>
      <c r="Q647" t="n">
        <v>0</v>
      </c>
      <c r="R647" s="2" t="inlineStr"/>
    </row>
    <row r="648" ht="15" customHeight="1">
      <c r="A648" t="inlineStr">
        <is>
          <t>A 33601-2024</t>
        </is>
      </c>
      <c r="B648" s="1" t="n">
        <v>45520</v>
      </c>
      <c r="C648" s="1" t="n">
        <v>46063</v>
      </c>
      <c r="D648" t="inlineStr">
        <is>
          <t>UPPSALA LÄN</t>
        </is>
      </c>
      <c r="E648" t="inlineStr">
        <is>
          <t>ÖSTHAMMAR</t>
        </is>
      </c>
      <c r="F648" t="inlineStr">
        <is>
          <t>Övriga Aktiebolag</t>
        </is>
      </c>
      <c r="G648" t="n">
        <v>2.5</v>
      </c>
      <c r="H648" t="n">
        <v>0</v>
      </c>
      <c r="I648" t="n">
        <v>0</v>
      </c>
      <c r="J648" t="n">
        <v>0</v>
      </c>
      <c r="K648" t="n">
        <v>0</v>
      </c>
      <c r="L648" t="n">
        <v>0</v>
      </c>
      <c r="M648" t="n">
        <v>0</v>
      </c>
      <c r="N648" t="n">
        <v>0</v>
      </c>
      <c r="O648" t="n">
        <v>0</v>
      </c>
      <c r="P648" t="n">
        <v>0</v>
      </c>
      <c r="Q648" t="n">
        <v>0</v>
      </c>
      <c r="R648" s="2" t="inlineStr"/>
    </row>
    <row r="649" ht="15" customHeight="1">
      <c r="A649" t="inlineStr">
        <is>
          <t>A 19009-2023</t>
        </is>
      </c>
      <c r="B649" s="1" t="n">
        <v>45045</v>
      </c>
      <c r="C649" s="1" t="n">
        <v>46063</v>
      </c>
      <c r="D649" t="inlineStr">
        <is>
          <t>UPPSALA LÄN</t>
        </is>
      </c>
      <c r="E649" t="inlineStr">
        <is>
          <t>ÖSTHAMMAR</t>
        </is>
      </c>
      <c r="F649" t="inlineStr">
        <is>
          <t>Bergvik skog öst AB</t>
        </is>
      </c>
      <c r="G649" t="n">
        <v>0.2</v>
      </c>
      <c r="H649" t="n">
        <v>0</v>
      </c>
      <c r="I649" t="n">
        <v>0</v>
      </c>
      <c r="J649" t="n">
        <v>0</v>
      </c>
      <c r="K649" t="n">
        <v>0</v>
      </c>
      <c r="L649" t="n">
        <v>0</v>
      </c>
      <c r="M649" t="n">
        <v>0</v>
      </c>
      <c r="N649" t="n">
        <v>0</v>
      </c>
      <c r="O649" t="n">
        <v>0</v>
      </c>
      <c r="P649" t="n">
        <v>0</v>
      </c>
      <c r="Q649" t="n">
        <v>0</v>
      </c>
      <c r="R649" s="2" t="inlineStr"/>
    </row>
    <row r="650" ht="15" customHeight="1">
      <c r="A650" t="inlineStr">
        <is>
          <t>A 7855-2026</t>
        </is>
      </c>
      <c r="B650" s="1" t="n">
        <v>46062.67241898148</v>
      </c>
      <c r="C650" s="1" t="n">
        <v>46063</v>
      </c>
      <c r="D650" t="inlineStr">
        <is>
          <t>UPPSALA LÄN</t>
        </is>
      </c>
      <c r="E650" t="inlineStr">
        <is>
          <t>ÖSTHAMMAR</t>
        </is>
      </c>
      <c r="G650" t="n">
        <v>3.8</v>
      </c>
      <c r="H650" t="n">
        <v>0</v>
      </c>
      <c r="I650" t="n">
        <v>0</v>
      </c>
      <c r="J650" t="n">
        <v>0</v>
      </c>
      <c r="K650" t="n">
        <v>0</v>
      </c>
      <c r="L650" t="n">
        <v>0</v>
      </c>
      <c r="M650" t="n">
        <v>0</v>
      </c>
      <c r="N650" t="n">
        <v>0</v>
      </c>
      <c r="O650" t="n">
        <v>0</v>
      </c>
      <c r="P650" t="n">
        <v>0</v>
      </c>
      <c r="Q650" t="n">
        <v>0</v>
      </c>
      <c r="R650" s="2" t="inlineStr"/>
    </row>
    <row r="651" ht="15" customHeight="1">
      <c r="A651" t="inlineStr">
        <is>
          <t>A 30755-2024</t>
        </is>
      </c>
      <c r="B651" s="1" t="n">
        <v>45496</v>
      </c>
      <c r="C651" s="1" t="n">
        <v>46063</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9052-2023</t>
        </is>
      </c>
      <c r="B652" s="1" t="n">
        <v>44979</v>
      </c>
      <c r="C652" s="1" t="n">
        <v>46063</v>
      </c>
      <c r="D652" t="inlineStr">
        <is>
          <t>UPPSALA LÄN</t>
        </is>
      </c>
      <c r="E652" t="inlineStr">
        <is>
          <t>ÖSTHAMMAR</t>
        </is>
      </c>
      <c r="F652" t="inlineStr">
        <is>
          <t>Kyrkan</t>
        </is>
      </c>
      <c r="G652" t="n">
        <v>0.2</v>
      </c>
      <c r="H652" t="n">
        <v>0</v>
      </c>
      <c r="I652" t="n">
        <v>0</v>
      </c>
      <c r="J652" t="n">
        <v>0</v>
      </c>
      <c r="K652" t="n">
        <v>0</v>
      </c>
      <c r="L652" t="n">
        <v>0</v>
      </c>
      <c r="M652" t="n">
        <v>0</v>
      </c>
      <c r="N652" t="n">
        <v>0</v>
      </c>
      <c r="O652" t="n">
        <v>0</v>
      </c>
      <c r="P652" t="n">
        <v>0</v>
      </c>
      <c r="Q652" t="n">
        <v>0</v>
      </c>
      <c r="R652" s="2" t="inlineStr"/>
    </row>
    <row r="653" ht="15" customHeight="1">
      <c r="A653" t="inlineStr">
        <is>
          <t>A 33760-2024</t>
        </is>
      </c>
      <c r="B653" s="1" t="n">
        <v>45520</v>
      </c>
      <c r="C653" s="1" t="n">
        <v>46063</v>
      </c>
      <c r="D653" t="inlineStr">
        <is>
          <t>UPPSALA LÄN</t>
        </is>
      </c>
      <c r="E653" t="inlineStr">
        <is>
          <t>ÖSTHAMMAR</t>
        </is>
      </c>
      <c r="F653" t="inlineStr">
        <is>
          <t>Övriga Aktiebolag</t>
        </is>
      </c>
      <c r="G653" t="n">
        <v>0.7</v>
      </c>
      <c r="H653" t="n">
        <v>0</v>
      </c>
      <c r="I653" t="n">
        <v>0</v>
      </c>
      <c r="J653" t="n">
        <v>0</v>
      </c>
      <c r="K653" t="n">
        <v>0</v>
      </c>
      <c r="L653" t="n">
        <v>0</v>
      </c>
      <c r="M653" t="n">
        <v>0</v>
      </c>
      <c r="N653" t="n">
        <v>0</v>
      </c>
      <c r="O653" t="n">
        <v>0</v>
      </c>
      <c r="P653" t="n">
        <v>0</v>
      </c>
      <c r="Q653" t="n">
        <v>0</v>
      </c>
      <c r="R653" s="2" t="inlineStr"/>
    </row>
    <row r="654" ht="15" customHeight="1">
      <c r="A654" t="inlineStr">
        <is>
          <t>A 3725-2022</t>
        </is>
      </c>
      <c r="B654" s="1" t="n">
        <v>44586</v>
      </c>
      <c r="C654" s="1" t="n">
        <v>46063</v>
      </c>
      <c r="D654" t="inlineStr">
        <is>
          <t>UPPSALA LÄN</t>
        </is>
      </c>
      <c r="E654" t="inlineStr">
        <is>
          <t>ÖSTHAMMAR</t>
        </is>
      </c>
      <c r="G654" t="n">
        <v>2</v>
      </c>
      <c r="H654" t="n">
        <v>0</v>
      </c>
      <c r="I654" t="n">
        <v>0</v>
      </c>
      <c r="J654" t="n">
        <v>0</v>
      </c>
      <c r="K654" t="n">
        <v>0</v>
      </c>
      <c r="L654" t="n">
        <v>0</v>
      </c>
      <c r="M654" t="n">
        <v>0</v>
      </c>
      <c r="N654" t="n">
        <v>0</v>
      </c>
      <c r="O654" t="n">
        <v>0</v>
      </c>
      <c r="P654" t="n">
        <v>0</v>
      </c>
      <c r="Q654" t="n">
        <v>0</v>
      </c>
      <c r="R654" s="2" t="inlineStr"/>
    </row>
    <row r="655" ht="15" customHeight="1">
      <c r="A655" t="inlineStr">
        <is>
          <t>A 8006-2023</t>
        </is>
      </c>
      <c r="B655" s="1" t="n">
        <v>44973</v>
      </c>
      <c r="C655" s="1" t="n">
        <v>46063</v>
      </c>
      <c r="D655" t="inlineStr">
        <is>
          <t>UPPSALA LÄN</t>
        </is>
      </c>
      <c r="E655" t="inlineStr">
        <is>
          <t>ÖSTHAMMAR</t>
        </is>
      </c>
      <c r="F655" t="inlineStr">
        <is>
          <t>Bergvik skog öst AB</t>
        </is>
      </c>
      <c r="G655" t="n">
        <v>0.6</v>
      </c>
      <c r="H655" t="n">
        <v>0</v>
      </c>
      <c r="I655" t="n">
        <v>0</v>
      </c>
      <c r="J655" t="n">
        <v>0</v>
      </c>
      <c r="K655" t="n">
        <v>0</v>
      </c>
      <c r="L655" t="n">
        <v>0</v>
      </c>
      <c r="M655" t="n">
        <v>0</v>
      </c>
      <c r="N655" t="n">
        <v>0</v>
      </c>
      <c r="O655" t="n">
        <v>0</v>
      </c>
      <c r="P655" t="n">
        <v>0</v>
      </c>
      <c r="Q655" t="n">
        <v>0</v>
      </c>
      <c r="R655" s="2" t="inlineStr"/>
    </row>
    <row r="656" ht="15" customHeight="1">
      <c r="A656" t="inlineStr">
        <is>
          <t>A 11469-2023</t>
        </is>
      </c>
      <c r="B656" s="1" t="n">
        <v>44993.60099537037</v>
      </c>
      <c r="C656" s="1" t="n">
        <v>46063</v>
      </c>
      <c r="D656" t="inlineStr">
        <is>
          <t>UPPSALA LÄN</t>
        </is>
      </c>
      <c r="E656" t="inlineStr">
        <is>
          <t>ÖSTHAMMAR</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20324-2021</t>
        </is>
      </c>
      <c r="B657" s="1" t="n">
        <v>44308</v>
      </c>
      <c r="C657" s="1" t="n">
        <v>46063</v>
      </c>
      <c r="D657" t="inlineStr">
        <is>
          <t>UPPSALA LÄN</t>
        </is>
      </c>
      <c r="E657" t="inlineStr">
        <is>
          <t>ÖSTHAMMAR</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25033-2021</t>
        </is>
      </c>
      <c r="B658" s="1" t="n">
        <v>44341.590625</v>
      </c>
      <c r="C658" s="1" t="n">
        <v>46063</v>
      </c>
      <c r="D658" t="inlineStr">
        <is>
          <t>UPPSALA LÄN</t>
        </is>
      </c>
      <c r="E658" t="inlineStr">
        <is>
          <t>ÖSTHAMMAR</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16212-2021</t>
        </is>
      </c>
      <c r="B659" s="1" t="n">
        <v>44287</v>
      </c>
      <c r="C659" s="1" t="n">
        <v>46063</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18113-2023</t>
        </is>
      </c>
      <c r="B660" s="1" t="n">
        <v>45040</v>
      </c>
      <c r="C660" s="1" t="n">
        <v>46063</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23120-2021</t>
        </is>
      </c>
      <c r="B661" s="1" t="n">
        <v>44330</v>
      </c>
      <c r="C661" s="1" t="n">
        <v>46063</v>
      </c>
      <c r="D661" t="inlineStr">
        <is>
          <t>UPPSALA LÄN</t>
        </is>
      </c>
      <c r="E661" t="inlineStr">
        <is>
          <t>ÖSTHAMMAR</t>
        </is>
      </c>
      <c r="G661" t="n">
        <v>0.5</v>
      </c>
      <c r="H661" t="n">
        <v>0</v>
      </c>
      <c r="I661" t="n">
        <v>0</v>
      </c>
      <c r="J661" t="n">
        <v>0</v>
      </c>
      <c r="K661" t="n">
        <v>0</v>
      </c>
      <c r="L661" t="n">
        <v>0</v>
      </c>
      <c r="M661" t="n">
        <v>0</v>
      </c>
      <c r="N661" t="n">
        <v>0</v>
      </c>
      <c r="O661" t="n">
        <v>0</v>
      </c>
      <c r="P661" t="n">
        <v>0</v>
      </c>
      <c r="Q661" t="n">
        <v>0</v>
      </c>
      <c r="R661" s="2" t="inlineStr"/>
    </row>
    <row r="662" ht="15" customHeight="1">
      <c r="A662" t="inlineStr">
        <is>
          <t>A 52389-2022</t>
        </is>
      </c>
      <c r="B662" s="1" t="n">
        <v>44874.38325231482</v>
      </c>
      <c r="C662" s="1" t="n">
        <v>46063</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1238-2022</t>
        </is>
      </c>
      <c r="B663" s="1" t="n">
        <v>44572.5827662037</v>
      </c>
      <c r="C663" s="1" t="n">
        <v>46063</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3327-2023</t>
        </is>
      </c>
      <c r="B664" s="1" t="n">
        <v>44949.4377662037</v>
      </c>
      <c r="C664" s="1" t="n">
        <v>46063</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4233-2023</t>
        </is>
      </c>
      <c r="B665" s="1" t="n">
        <v>44953.48619212963</v>
      </c>
      <c r="C665" s="1" t="n">
        <v>46063</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30811-2023</t>
        </is>
      </c>
      <c r="B666" s="1" t="n">
        <v>45112.86422453704</v>
      </c>
      <c r="C666" s="1" t="n">
        <v>46063</v>
      </c>
      <c r="D666" t="inlineStr">
        <is>
          <t>UPPSALA LÄN</t>
        </is>
      </c>
      <c r="E666" t="inlineStr">
        <is>
          <t>ÖSTHAMMAR</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8708-2022</t>
        </is>
      </c>
      <c r="B667" s="1" t="n">
        <v>44613.77238425926</v>
      </c>
      <c r="C667" s="1" t="n">
        <v>46063</v>
      </c>
      <c r="D667" t="inlineStr">
        <is>
          <t>UPPSALA LÄN</t>
        </is>
      </c>
      <c r="E667" t="inlineStr">
        <is>
          <t>ÖSTHAMMAR</t>
        </is>
      </c>
      <c r="G667" t="n">
        <v>4.3</v>
      </c>
      <c r="H667" t="n">
        <v>0</v>
      </c>
      <c r="I667" t="n">
        <v>0</v>
      </c>
      <c r="J667" t="n">
        <v>0</v>
      </c>
      <c r="K667" t="n">
        <v>0</v>
      </c>
      <c r="L667" t="n">
        <v>0</v>
      </c>
      <c r="M667" t="n">
        <v>0</v>
      </c>
      <c r="N667" t="n">
        <v>0</v>
      </c>
      <c r="O667" t="n">
        <v>0</v>
      </c>
      <c r="P667" t="n">
        <v>0</v>
      </c>
      <c r="Q667" t="n">
        <v>0</v>
      </c>
      <c r="R667" s="2" t="inlineStr"/>
    </row>
    <row r="668" ht="15" customHeight="1">
      <c r="A668" t="inlineStr">
        <is>
          <t>A 11547-2022</t>
        </is>
      </c>
      <c r="B668" s="1" t="n">
        <v>44631.43116898148</v>
      </c>
      <c r="C668" s="1" t="n">
        <v>46063</v>
      </c>
      <c r="D668" t="inlineStr">
        <is>
          <t>UPPSALA LÄN</t>
        </is>
      </c>
      <c r="E668" t="inlineStr">
        <is>
          <t>ÖSTHAMMAR</t>
        </is>
      </c>
      <c r="G668" t="n">
        <v>4.4</v>
      </c>
      <c r="H668" t="n">
        <v>0</v>
      </c>
      <c r="I668" t="n">
        <v>0</v>
      </c>
      <c r="J668" t="n">
        <v>0</v>
      </c>
      <c r="K668" t="n">
        <v>0</v>
      </c>
      <c r="L668" t="n">
        <v>0</v>
      </c>
      <c r="M668" t="n">
        <v>0</v>
      </c>
      <c r="N668" t="n">
        <v>0</v>
      </c>
      <c r="O668" t="n">
        <v>0</v>
      </c>
      <c r="P668" t="n">
        <v>0</v>
      </c>
      <c r="Q668" t="n">
        <v>0</v>
      </c>
      <c r="R668" s="2" t="inlineStr"/>
    </row>
    <row r="669" ht="15" customHeight="1">
      <c r="A669" t="inlineStr">
        <is>
          <t>A 25269-2024</t>
        </is>
      </c>
      <c r="B669" s="1" t="n">
        <v>45462</v>
      </c>
      <c r="C669" s="1" t="n">
        <v>46063</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59382-2022</t>
        </is>
      </c>
      <c r="B670" s="1" t="n">
        <v>44905.50363425926</v>
      </c>
      <c r="C670" s="1" t="n">
        <v>46063</v>
      </c>
      <c r="D670" t="inlineStr">
        <is>
          <t>UPPSALA LÄN</t>
        </is>
      </c>
      <c r="E670" t="inlineStr">
        <is>
          <t>ÖSTHAMMAR</t>
        </is>
      </c>
      <c r="G670" t="n">
        <v>2.9</v>
      </c>
      <c r="H670" t="n">
        <v>0</v>
      </c>
      <c r="I670" t="n">
        <v>0</v>
      </c>
      <c r="J670" t="n">
        <v>0</v>
      </c>
      <c r="K670" t="n">
        <v>0</v>
      </c>
      <c r="L670" t="n">
        <v>0</v>
      </c>
      <c r="M670" t="n">
        <v>0</v>
      </c>
      <c r="N670" t="n">
        <v>0</v>
      </c>
      <c r="O670" t="n">
        <v>0</v>
      </c>
      <c r="P670" t="n">
        <v>0</v>
      </c>
      <c r="Q670" t="n">
        <v>0</v>
      </c>
      <c r="R670" s="2" t="inlineStr"/>
    </row>
    <row r="671" ht="15" customHeight="1">
      <c r="A671" t="inlineStr">
        <is>
          <t>A 25969-2023</t>
        </is>
      </c>
      <c r="B671" s="1" t="n">
        <v>45090</v>
      </c>
      <c r="C671" s="1" t="n">
        <v>46063</v>
      </c>
      <c r="D671" t="inlineStr">
        <is>
          <t>UPPSALA LÄN</t>
        </is>
      </c>
      <c r="E671" t="inlineStr">
        <is>
          <t>ÖSTHAMMAR</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56903-2023</t>
        </is>
      </c>
      <c r="B672" s="1" t="n">
        <v>45244.56943287037</v>
      </c>
      <c r="C672" s="1" t="n">
        <v>46063</v>
      </c>
      <c r="D672" t="inlineStr">
        <is>
          <t>UPPSALA LÄN</t>
        </is>
      </c>
      <c r="E672" t="inlineStr">
        <is>
          <t>ÖSTHAMMAR</t>
        </is>
      </c>
      <c r="G672" t="n">
        <v>3.1</v>
      </c>
      <c r="H672" t="n">
        <v>0</v>
      </c>
      <c r="I672" t="n">
        <v>0</v>
      </c>
      <c r="J672" t="n">
        <v>0</v>
      </c>
      <c r="K672" t="n">
        <v>0</v>
      </c>
      <c r="L672" t="n">
        <v>0</v>
      </c>
      <c r="M672" t="n">
        <v>0</v>
      </c>
      <c r="N672" t="n">
        <v>0</v>
      </c>
      <c r="O672" t="n">
        <v>0</v>
      </c>
      <c r="P672" t="n">
        <v>0</v>
      </c>
      <c r="Q672" t="n">
        <v>0</v>
      </c>
      <c r="R672" s="2" t="inlineStr"/>
    </row>
    <row r="673" ht="15" customHeight="1">
      <c r="A673" t="inlineStr">
        <is>
          <t>A 67151-2021</t>
        </is>
      </c>
      <c r="B673" s="1" t="n">
        <v>44523</v>
      </c>
      <c r="C673" s="1" t="n">
        <v>46063</v>
      </c>
      <c r="D673" t="inlineStr">
        <is>
          <t>UPPSALA LÄN</t>
        </is>
      </c>
      <c r="E673" t="inlineStr">
        <is>
          <t>ÖSTHAMMAR</t>
        </is>
      </c>
      <c r="G673" t="n">
        <v>2.4</v>
      </c>
      <c r="H673" t="n">
        <v>0</v>
      </c>
      <c r="I673" t="n">
        <v>0</v>
      </c>
      <c r="J673" t="n">
        <v>0</v>
      </c>
      <c r="K673" t="n">
        <v>0</v>
      </c>
      <c r="L673" t="n">
        <v>0</v>
      </c>
      <c r="M673" t="n">
        <v>0</v>
      </c>
      <c r="N673" t="n">
        <v>0</v>
      </c>
      <c r="O673" t="n">
        <v>0</v>
      </c>
      <c r="P673" t="n">
        <v>0</v>
      </c>
      <c r="Q673" t="n">
        <v>0</v>
      </c>
      <c r="R673" s="2" t="inlineStr"/>
    </row>
    <row r="674" ht="15" customHeight="1">
      <c r="A674" t="inlineStr">
        <is>
          <t>A 29824-2023</t>
        </is>
      </c>
      <c r="B674" s="1" t="n">
        <v>45107</v>
      </c>
      <c r="C674" s="1" t="n">
        <v>46063</v>
      </c>
      <c r="D674" t="inlineStr">
        <is>
          <t>UPPSALA LÄN</t>
        </is>
      </c>
      <c r="E674" t="inlineStr">
        <is>
          <t>ÖSTHAMMAR</t>
        </is>
      </c>
      <c r="F674" t="inlineStr">
        <is>
          <t>Naturvårdsverket</t>
        </is>
      </c>
      <c r="G674" t="n">
        <v>1.6</v>
      </c>
      <c r="H674" t="n">
        <v>0</v>
      </c>
      <c r="I674" t="n">
        <v>0</v>
      </c>
      <c r="J674" t="n">
        <v>0</v>
      </c>
      <c r="K674" t="n">
        <v>0</v>
      </c>
      <c r="L674" t="n">
        <v>0</v>
      </c>
      <c r="M674" t="n">
        <v>0</v>
      </c>
      <c r="N674" t="n">
        <v>0</v>
      </c>
      <c r="O674" t="n">
        <v>0</v>
      </c>
      <c r="P674" t="n">
        <v>0</v>
      </c>
      <c r="Q674" t="n">
        <v>0</v>
      </c>
      <c r="R674" s="2" t="inlineStr"/>
    </row>
    <row r="675" ht="15" customHeight="1">
      <c r="A675" t="inlineStr">
        <is>
          <t>A 64586-2021</t>
        </is>
      </c>
      <c r="B675" s="1" t="n">
        <v>44511</v>
      </c>
      <c r="C675" s="1" t="n">
        <v>46063</v>
      </c>
      <c r="D675" t="inlineStr">
        <is>
          <t>UPPSALA LÄN</t>
        </is>
      </c>
      <c r="E675" t="inlineStr">
        <is>
          <t>ÖSTHAMMAR</t>
        </is>
      </c>
      <c r="G675" t="n">
        <v>2</v>
      </c>
      <c r="H675" t="n">
        <v>0</v>
      </c>
      <c r="I675" t="n">
        <v>0</v>
      </c>
      <c r="J675" t="n">
        <v>0</v>
      </c>
      <c r="K675" t="n">
        <v>0</v>
      </c>
      <c r="L675" t="n">
        <v>0</v>
      </c>
      <c r="M675" t="n">
        <v>0</v>
      </c>
      <c r="N675" t="n">
        <v>0</v>
      </c>
      <c r="O675" t="n">
        <v>0</v>
      </c>
      <c r="P675" t="n">
        <v>0</v>
      </c>
      <c r="Q675" t="n">
        <v>0</v>
      </c>
      <c r="R675" s="2" t="inlineStr"/>
    </row>
    <row r="676" ht="15" customHeight="1">
      <c r="A676" t="inlineStr">
        <is>
          <t>A 17009-2021</t>
        </is>
      </c>
      <c r="B676" s="1" t="n">
        <v>44295.63969907408</v>
      </c>
      <c r="C676" s="1" t="n">
        <v>46063</v>
      </c>
      <c r="D676" t="inlineStr">
        <is>
          <t>UPPSALA LÄN</t>
        </is>
      </c>
      <c r="E676" t="inlineStr">
        <is>
          <t>ÖSTHAMMAR</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13755-2023</t>
        </is>
      </c>
      <c r="B677" s="1" t="n">
        <v>45007</v>
      </c>
      <c r="C677" s="1" t="n">
        <v>46063</v>
      </c>
      <c r="D677" t="inlineStr">
        <is>
          <t>UPPSALA LÄN</t>
        </is>
      </c>
      <c r="E677" t="inlineStr">
        <is>
          <t>ÖSTHAMMAR</t>
        </is>
      </c>
      <c r="G677" t="n">
        <v>2.4</v>
      </c>
      <c r="H677" t="n">
        <v>0</v>
      </c>
      <c r="I677" t="n">
        <v>0</v>
      </c>
      <c r="J677" t="n">
        <v>0</v>
      </c>
      <c r="K677" t="n">
        <v>0</v>
      </c>
      <c r="L677" t="n">
        <v>0</v>
      </c>
      <c r="M677" t="n">
        <v>0</v>
      </c>
      <c r="N677" t="n">
        <v>0</v>
      </c>
      <c r="O677" t="n">
        <v>0</v>
      </c>
      <c r="P677" t="n">
        <v>0</v>
      </c>
      <c r="Q677" t="n">
        <v>0</v>
      </c>
      <c r="R677" s="2" t="inlineStr"/>
    </row>
    <row r="678" ht="15" customHeight="1">
      <c r="A678" t="inlineStr">
        <is>
          <t>A 64774-2023</t>
        </is>
      </c>
      <c r="B678" s="1" t="n">
        <v>45282</v>
      </c>
      <c r="C678" s="1" t="n">
        <v>46063</v>
      </c>
      <c r="D678" t="inlineStr">
        <is>
          <t>UPPSALA LÄN</t>
        </is>
      </c>
      <c r="E678" t="inlineStr">
        <is>
          <t>ÖSTHAMMAR</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65020-2021</t>
        </is>
      </c>
      <c r="B679" s="1" t="n">
        <v>44515</v>
      </c>
      <c r="C679" s="1" t="n">
        <v>46063</v>
      </c>
      <c r="D679" t="inlineStr">
        <is>
          <t>UPPSALA LÄN</t>
        </is>
      </c>
      <c r="E679" t="inlineStr">
        <is>
          <t>ÖSTHAMMAR</t>
        </is>
      </c>
      <c r="F679" t="inlineStr">
        <is>
          <t>Sveaskog</t>
        </is>
      </c>
      <c r="G679" t="n">
        <v>4.7</v>
      </c>
      <c r="H679" t="n">
        <v>0</v>
      </c>
      <c r="I679" t="n">
        <v>0</v>
      </c>
      <c r="J679" t="n">
        <v>0</v>
      </c>
      <c r="K679" t="n">
        <v>0</v>
      </c>
      <c r="L679" t="n">
        <v>0</v>
      </c>
      <c r="M679" t="n">
        <v>0</v>
      </c>
      <c r="N679" t="n">
        <v>0</v>
      </c>
      <c r="O679" t="n">
        <v>0</v>
      </c>
      <c r="P679" t="n">
        <v>0</v>
      </c>
      <c r="Q679" t="n">
        <v>0</v>
      </c>
      <c r="R679" s="2" t="inlineStr"/>
    </row>
    <row r="680" ht="15" customHeight="1">
      <c r="A680" t="inlineStr">
        <is>
          <t>A 2085-2022</t>
        </is>
      </c>
      <c r="B680" s="1" t="n">
        <v>44576.78626157407</v>
      </c>
      <c r="C680" s="1" t="n">
        <v>46063</v>
      </c>
      <c r="D680" t="inlineStr">
        <is>
          <t>UPPSALA LÄN</t>
        </is>
      </c>
      <c r="E680" t="inlineStr">
        <is>
          <t>ÖSTHAMMAR</t>
        </is>
      </c>
      <c r="F680" t="inlineStr">
        <is>
          <t>Bergvik skog öst AB</t>
        </is>
      </c>
      <c r="G680" t="n">
        <v>1.6</v>
      </c>
      <c r="H680" t="n">
        <v>0</v>
      </c>
      <c r="I680" t="n">
        <v>0</v>
      </c>
      <c r="J680" t="n">
        <v>0</v>
      </c>
      <c r="K680" t="n">
        <v>0</v>
      </c>
      <c r="L680" t="n">
        <v>0</v>
      </c>
      <c r="M680" t="n">
        <v>0</v>
      </c>
      <c r="N680" t="n">
        <v>0</v>
      </c>
      <c r="O680" t="n">
        <v>0</v>
      </c>
      <c r="P680" t="n">
        <v>0</v>
      </c>
      <c r="Q680" t="n">
        <v>0</v>
      </c>
      <c r="R680" s="2" t="inlineStr"/>
    </row>
    <row r="681" ht="15" customHeight="1">
      <c r="A681" t="inlineStr">
        <is>
          <t>A 14671-2022</t>
        </is>
      </c>
      <c r="B681" s="1" t="n">
        <v>44655.80475694445</v>
      </c>
      <c r="C681" s="1" t="n">
        <v>46063</v>
      </c>
      <c r="D681" t="inlineStr">
        <is>
          <t>UPPSALA LÄN</t>
        </is>
      </c>
      <c r="E681" t="inlineStr">
        <is>
          <t>ÖSTHAMMAR</t>
        </is>
      </c>
      <c r="G681" t="n">
        <v>1.9</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46063</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41996-2024</t>
        </is>
      </c>
      <c r="B683" s="1" t="n">
        <v>45561</v>
      </c>
      <c r="C683" s="1" t="n">
        <v>46063</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15449-2022</t>
        </is>
      </c>
      <c r="B684" s="1" t="n">
        <v>44660.91659722223</v>
      </c>
      <c r="C684" s="1" t="n">
        <v>46063</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1439-2025</t>
        </is>
      </c>
      <c r="B685" s="1" t="n">
        <v>45669.69075231482</v>
      </c>
      <c r="C685" s="1" t="n">
        <v>46063</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5884-2023</t>
        </is>
      </c>
      <c r="B686" s="1" t="n">
        <v>44963</v>
      </c>
      <c r="C686" s="1" t="n">
        <v>46063</v>
      </c>
      <c r="D686" t="inlineStr">
        <is>
          <t>UPPSALA LÄN</t>
        </is>
      </c>
      <c r="E686" t="inlineStr">
        <is>
          <t>ÖSTHAMMAR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5215-2025</t>
        </is>
      </c>
      <c r="B687" s="1" t="n">
        <v>45691</v>
      </c>
      <c r="C687" s="1" t="n">
        <v>46063</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65028-2021</t>
        </is>
      </c>
      <c r="B688" s="1" t="n">
        <v>44515</v>
      </c>
      <c r="C688" s="1" t="n">
        <v>46063</v>
      </c>
      <c r="D688" t="inlineStr">
        <is>
          <t>UPPSALA LÄN</t>
        </is>
      </c>
      <c r="E688" t="inlineStr">
        <is>
          <t>ÖSTHAMMAR</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1525-2025</t>
        </is>
      </c>
      <c r="B689" s="1" t="n">
        <v>45670.47300925926</v>
      </c>
      <c r="C689" s="1" t="n">
        <v>46063</v>
      </c>
      <c r="D689" t="inlineStr">
        <is>
          <t>UPPSALA LÄN</t>
        </is>
      </c>
      <c r="E689" t="inlineStr">
        <is>
          <t>ÖSTHAMMAR</t>
        </is>
      </c>
      <c r="F689" t="inlineStr">
        <is>
          <t>Bergvik skog öst AB</t>
        </is>
      </c>
      <c r="G689" t="n">
        <v>2</v>
      </c>
      <c r="H689" t="n">
        <v>0</v>
      </c>
      <c r="I689" t="n">
        <v>0</v>
      </c>
      <c r="J689" t="n">
        <v>0</v>
      </c>
      <c r="K689" t="n">
        <v>0</v>
      </c>
      <c r="L689" t="n">
        <v>0</v>
      </c>
      <c r="M689" t="n">
        <v>0</v>
      </c>
      <c r="N689" t="n">
        <v>0</v>
      </c>
      <c r="O689" t="n">
        <v>0</v>
      </c>
      <c r="P689" t="n">
        <v>0</v>
      </c>
      <c r="Q689" t="n">
        <v>0</v>
      </c>
      <c r="R689" s="2" t="inlineStr"/>
    </row>
    <row r="690" ht="15" customHeight="1">
      <c r="A690" t="inlineStr">
        <is>
          <t>A 61257-2022</t>
        </is>
      </c>
      <c r="B690" s="1" t="n">
        <v>44915.59418981482</v>
      </c>
      <c r="C690" s="1" t="n">
        <v>46063</v>
      </c>
      <c r="D690" t="inlineStr">
        <is>
          <t>UPPSALA LÄN</t>
        </is>
      </c>
      <c r="E690" t="inlineStr">
        <is>
          <t>ÖSTHAMMAR</t>
        </is>
      </c>
      <c r="G690" t="n">
        <v>1</v>
      </c>
      <c r="H690" t="n">
        <v>0</v>
      </c>
      <c r="I690" t="n">
        <v>0</v>
      </c>
      <c r="J690" t="n">
        <v>0</v>
      </c>
      <c r="K690" t="n">
        <v>0</v>
      </c>
      <c r="L690" t="n">
        <v>0</v>
      </c>
      <c r="M690" t="n">
        <v>0</v>
      </c>
      <c r="N690" t="n">
        <v>0</v>
      </c>
      <c r="O690" t="n">
        <v>0</v>
      </c>
      <c r="P690" t="n">
        <v>0</v>
      </c>
      <c r="Q690" t="n">
        <v>0</v>
      </c>
      <c r="R690" s="2" t="inlineStr"/>
    </row>
    <row r="691" ht="15" customHeight="1">
      <c r="A691" t="inlineStr">
        <is>
          <t>A 36857-2023</t>
        </is>
      </c>
      <c r="B691" s="1" t="n">
        <v>45154.55175925926</v>
      </c>
      <c r="C691" s="1" t="n">
        <v>46063</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6206-2022</t>
        </is>
      </c>
      <c r="B692" s="1" t="n">
        <v>44600.35755787037</v>
      </c>
      <c r="C692" s="1" t="n">
        <v>46063</v>
      </c>
      <c r="D692" t="inlineStr">
        <is>
          <t>UPPSALA LÄN</t>
        </is>
      </c>
      <c r="E692" t="inlineStr">
        <is>
          <t>ÖSTHAMMAR</t>
        </is>
      </c>
      <c r="G692" t="n">
        <v>7.4</v>
      </c>
      <c r="H692" t="n">
        <v>0</v>
      </c>
      <c r="I692" t="n">
        <v>0</v>
      </c>
      <c r="J692" t="n">
        <v>0</v>
      </c>
      <c r="K692" t="n">
        <v>0</v>
      </c>
      <c r="L692" t="n">
        <v>0</v>
      </c>
      <c r="M692" t="n">
        <v>0</v>
      </c>
      <c r="N692" t="n">
        <v>0</v>
      </c>
      <c r="O692" t="n">
        <v>0</v>
      </c>
      <c r="P692" t="n">
        <v>0</v>
      </c>
      <c r="Q692" t="n">
        <v>0</v>
      </c>
      <c r="R692" s="2" t="inlineStr"/>
    </row>
    <row r="693" ht="15" customHeight="1">
      <c r="A693" t="inlineStr">
        <is>
          <t>A 6143-2022</t>
        </is>
      </c>
      <c r="B693" s="1" t="n">
        <v>44599.72306712963</v>
      </c>
      <c r="C693" s="1" t="n">
        <v>46063</v>
      </c>
      <c r="D693" t="inlineStr">
        <is>
          <t>UPPSALA LÄN</t>
        </is>
      </c>
      <c r="E693" t="inlineStr">
        <is>
          <t>ÖSTHAMMAR</t>
        </is>
      </c>
      <c r="G693" t="n">
        <v>3.4</v>
      </c>
      <c r="H693" t="n">
        <v>0</v>
      </c>
      <c r="I693" t="n">
        <v>0</v>
      </c>
      <c r="J693" t="n">
        <v>0</v>
      </c>
      <c r="K693" t="n">
        <v>0</v>
      </c>
      <c r="L693" t="n">
        <v>0</v>
      </c>
      <c r="M693" t="n">
        <v>0</v>
      </c>
      <c r="N693" t="n">
        <v>0</v>
      </c>
      <c r="O693" t="n">
        <v>0</v>
      </c>
      <c r="P693" t="n">
        <v>0</v>
      </c>
      <c r="Q693" t="n">
        <v>0</v>
      </c>
      <c r="R693" s="2" t="inlineStr"/>
    </row>
    <row r="694" ht="15" customHeight="1">
      <c r="A694" t="inlineStr">
        <is>
          <t>A 3514-2023</t>
        </is>
      </c>
      <c r="B694" s="1" t="n">
        <v>44950</v>
      </c>
      <c r="C694" s="1" t="n">
        <v>46063</v>
      </c>
      <c r="D694" t="inlineStr">
        <is>
          <t>UPPSALA LÄN</t>
        </is>
      </c>
      <c r="E694" t="inlineStr">
        <is>
          <t>ÖSTHAMMAR</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45561-2023</t>
        </is>
      </c>
      <c r="B695" s="1" t="n">
        <v>45194.59335648148</v>
      </c>
      <c r="C695" s="1" t="n">
        <v>46063</v>
      </c>
      <c r="D695" t="inlineStr">
        <is>
          <t>UPPSALA LÄN</t>
        </is>
      </c>
      <c r="E695" t="inlineStr">
        <is>
          <t>ÖSTHAMMAR</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43439-2024</t>
        </is>
      </c>
      <c r="B696" s="1" t="n">
        <v>45568</v>
      </c>
      <c r="C696" s="1" t="n">
        <v>46063</v>
      </c>
      <c r="D696" t="inlineStr">
        <is>
          <t>UPPSALA LÄN</t>
        </is>
      </c>
      <c r="E696" t="inlineStr">
        <is>
          <t>ÖSTHAMMAR</t>
        </is>
      </c>
      <c r="G696" t="n">
        <v>1</v>
      </c>
      <c r="H696" t="n">
        <v>0</v>
      </c>
      <c r="I696" t="n">
        <v>0</v>
      </c>
      <c r="J696" t="n">
        <v>0</v>
      </c>
      <c r="K696" t="n">
        <v>0</v>
      </c>
      <c r="L696" t="n">
        <v>0</v>
      </c>
      <c r="M696" t="n">
        <v>0</v>
      </c>
      <c r="N696" t="n">
        <v>0</v>
      </c>
      <c r="O696" t="n">
        <v>0</v>
      </c>
      <c r="P696" t="n">
        <v>0</v>
      </c>
      <c r="Q696" t="n">
        <v>0</v>
      </c>
      <c r="R696" s="2" t="inlineStr"/>
    </row>
    <row r="697" ht="15" customHeight="1">
      <c r="A697" t="inlineStr">
        <is>
          <t>A 59880-2022</t>
        </is>
      </c>
      <c r="B697" s="1" t="n">
        <v>44908.69575231482</v>
      </c>
      <c r="C697" s="1" t="n">
        <v>46063</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4562-2022</t>
        </is>
      </c>
      <c r="B698" s="1" t="n">
        <v>44591</v>
      </c>
      <c r="C698" s="1" t="n">
        <v>46063</v>
      </c>
      <c r="D698" t="inlineStr">
        <is>
          <t>UPPSALA LÄN</t>
        </is>
      </c>
      <c r="E698" t="inlineStr">
        <is>
          <t>ÖSTHAMMAR</t>
        </is>
      </c>
      <c r="G698" t="n">
        <v>3.4</v>
      </c>
      <c r="H698" t="n">
        <v>0</v>
      </c>
      <c r="I698" t="n">
        <v>0</v>
      </c>
      <c r="J698" t="n">
        <v>0</v>
      </c>
      <c r="K698" t="n">
        <v>0</v>
      </c>
      <c r="L698" t="n">
        <v>0</v>
      </c>
      <c r="M698" t="n">
        <v>0</v>
      </c>
      <c r="N698" t="n">
        <v>0</v>
      </c>
      <c r="O698" t="n">
        <v>0</v>
      </c>
      <c r="P698" t="n">
        <v>0</v>
      </c>
      <c r="Q698" t="n">
        <v>0</v>
      </c>
      <c r="R698" s="2" t="inlineStr"/>
    </row>
    <row r="699" ht="15" customHeight="1">
      <c r="A699" t="inlineStr">
        <is>
          <t>A 4099-2025</t>
        </is>
      </c>
      <c r="B699" s="1" t="n">
        <v>45684</v>
      </c>
      <c r="C699" s="1" t="n">
        <v>46063</v>
      </c>
      <c r="D699" t="inlineStr">
        <is>
          <t>UPPSALA LÄN</t>
        </is>
      </c>
      <c r="E699" t="inlineStr">
        <is>
          <t>ÖSTHAMMAR</t>
        </is>
      </c>
      <c r="G699" t="n">
        <v>0.7</v>
      </c>
      <c r="H699" t="n">
        <v>0</v>
      </c>
      <c r="I699" t="n">
        <v>0</v>
      </c>
      <c r="J699" t="n">
        <v>0</v>
      </c>
      <c r="K699" t="n">
        <v>0</v>
      </c>
      <c r="L699" t="n">
        <v>0</v>
      </c>
      <c r="M699" t="n">
        <v>0</v>
      </c>
      <c r="N699" t="n">
        <v>0</v>
      </c>
      <c r="O699" t="n">
        <v>0</v>
      </c>
      <c r="P699" t="n">
        <v>0</v>
      </c>
      <c r="Q699" t="n">
        <v>0</v>
      </c>
      <c r="R699" s="2" t="inlineStr"/>
    </row>
    <row r="700" ht="15" customHeight="1">
      <c r="A700" t="inlineStr">
        <is>
          <t>A 41538-2021</t>
        </is>
      </c>
      <c r="B700" s="1" t="n">
        <v>44425.35016203704</v>
      </c>
      <c r="C700" s="1" t="n">
        <v>46063</v>
      </c>
      <c r="D700" t="inlineStr">
        <is>
          <t>UPPSALA LÄN</t>
        </is>
      </c>
      <c r="E700" t="inlineStr">
        <is>
          <t>ÖSTHAMMAR</t>
        </is>
      </c>
      <c r="F700" t="inlineStr">
        <is>
          <t>Bergvik skog öst AB</t>
        </is>
      </c>
      <c r="G700" t="n">
        <v>0.4</v>
      </c>
      <c r="H700" t="n">
        <v>0</v>
      </c>
      <c r="I700" t="n">
        <v>0</v>
      </c>
      <c r="J700" t="n">
        <v>0</v>
      </c>
      <c r="K700" t="n">
        <v>0</v>
      </c>
      <c r="L700" t="n">
        <v>0</v>
      </c>
      <c r="M700" t="n">
        <v>0</v>
      </c>
      <c r="N700" t="n">
        <v>0</v>
      </c>
      <c r="O700" t="n">
        <v>0</v>
      </c>
      <c r="P700" t="n">
        <v>0</v>
      </c>
      <c r="Q700" t="n">
        <v>0</v>
      </c>
      <c r="R700" s="2" t="inlineStr"/>
    </row>
    <row r="701" ht="15" customHeight="1">
      <c r="A701" t="inlineStr">
        <is>
          <t>A 36301-2023</t>
        </is>
      </c>
      <c r="B701" s="1" t="n">
        <v>45152.37296296296</v>
      </c>
      <c r="C701" s="1" t="n">
        <v>46063</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28429-2023</t>
        </is>
      </c>
      <c r="B702" s="1" t="n">
        <v>45102.58728009259</v>
      </c>
      <c r="C702" s="1" t="n">
        <v>46063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35309-2023</t>
        </is>
      </c>
      <c r="B703" s="1" t="n">
        <v>45146</v>
      </c>
      <c r="C703" s="1" t="n">
        <v>46063</v>
      </c>
      <c r="D703" t="inlineStr">
        <is>
          <t>UPPSALA LÄN</t>
        </is>
      </c>
      <c r="E703" t="inlineStr">
        <is>
          <t>ÖSTHAMMAR</t>
        </is>
      </c>
      <c r="G703" t="n">
        <v>1.3</v>
      </c>
      <c r="H703" t="n">
        <v>0</v>
      </c>
      <c r="I703" t="n">
        <v>0</v>
      </c>
      <c r="J703" t="n">
        <v>0</v>
      </c>
      <c r="K703" t="n">
        <v>0</v>
      </c>
      <c r="L703" t="n">
        <v>0</v>
      </c>
      <c r="M703" t="n">
        <v>0</v>
      </c>
      <c r="N703" t="n">
        <v>0</v>
      </c>
      <c r="O703" t="n">
        <v>0</v>
      </c>
      <c r="P703" t="n">
        <v>0</v>
      </c>
      <c r="Q703" t="n">
        <v>0</v>
      </c>
      <c r="R703" s="2" t="inlineStr"/>
    </row>
    <row r="704" ht="15" customHeight="1">
      <c r="A704" t="inlineStr">
        <is>
          <t>A 835-2025</t>
        </is>
      </c>
      <c r="B704" s="1" t="n">
        <v>45665.58465277778</v>
      </c>
      <c r="C704" s="1" t="n">
        <v>46063</v>
      </c>
      <c r="D704" t="inlineStr">
        <is>
          <t>UPPSALA LÄN</t>
        </is>
      </c>
      <c r="E704" t="inlineStr">
        <is>
          <t>ÖSTHAMMAR</t>
        </is>
      </c>
      <c r="F704" t="inlineStr">
        <is>
          <t>Övriga Aktiebolag</t>
        </is>
      </c>
      <c r="G704" t="n">
        <v>4.8</v>
      </c>
      <c r="H704" t="n">
        <v>0</v>
      </c>
      <c r="I704" t="n">
        <v>0</v>
      </c>
      <c r="J704" t="n">
        <v>0</v>
      </c>
      <c r="K704" t="n">
        <v>0</v>
      </c>
      <c r="L704" t="n">
        <v>0</v>
      </c>
      <c r="M704" t="n">
        <v>0</v>
      </c>
      <c r="N704" t="n">
        <v>0</v>
      </c>
      <c r="O704" t="n">
        <v>0</v>
      </c>
      <c r="P704" t="n">
        <v>0</v>
      </c>
      <c r="Q704" t="n">
        <v>0</v>
      </c>
      <c r="R704" s="2" t="inlineStr"/>
    </row>
    <row r="705" ht="15" customHeight="1">
      <c r="A705" t="inlineStr">
        <is>
          <t>A 67199-2021</t>
        </is>
      </c>
      <c r="B705" s="1" t="n">
        <v>44523.46197916667</v>
      </c>
      <c r="C705" s="1" t="n">
        <v>46063</v>
      </c>
      <c r="D705" t="inlineStr">
        <is>
          <t>UPPSALA LÄN</t>
        </is>
      </c>
      <c r="E705" t="inlineStr">
        <is>
          <t>ÖSTHAMMAR</t>
        </is>
      </c>
      <c r="G705" t="n">
        <v>2.3</v>
      </c>
      <c r="H705" t="n">
        <v>0</v>
      </c>
      <c r="I705" t="n">
        <v>0</v>
      </c>
      <c r="J705" t="n">
        <v>0</v>
      </c>
      <c r="K705" t="n">
        <v>0</v>
      </c>
      <c r="L705" t="n">
        <v>0</v>
      </c>
      <c r="M705" t="n">
        <v>0</v>
      </c>
      <c r="N705" t="n">
        <v>0</v>
      </c>
      <c r="O705" t="n">
        <v>0</v>
      </c>
      <c r="P705" t="n">
        <v>0</v>
      </c>
      <c r="Q705" t="n">
        <v>0</v>
      </c>
      <c r="R705" s="2" t="inlineStr"/>
    </row>
    <row r="706" ht="15" customHeight="1">
      <c r="A706" t="inlineStr">
        <is>
          <t>A 24259-2022</t>
        </is>
      </c>
      <c r="B706" s="1" t="n">
        <v>44725</v>
      </c>
      <c r="C706" s="1" t="n">
        <v>46063</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24367-2022</t>
        </is>
      </c>
      <c r="B707" s="1" t="n">
        <v>44726.42716435185</v>
      </c>
      <c r="C707" s="1" t="n">
        <v>46063</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49897-2023</t>
        </is>
      </c>
      <c r="B708" s="1" t="n">
        <v>45213.84846064815</v>
      </c>
      <c r="C708" s="1" t="n">
        <v>46063</v>
      </c>
      <c r="D708" t="inlineStr">
        <is>
          <t>UPPSALA LÄN</t>
        </is>
      </c>
      <c r="E708" t="inlineStr">
        <is>
          <t>ÖSTHAMMAR</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34922-2023</t>
        </is>
      </c>
      <c r="B709" s="1" t="n">
        <v>45142.48359953704</v>
      </c>
      <c r="C709" s="1" t="n">
        <v>46063</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50998-2023</t>
        </is>
      </c>
      <c r="B710" s="1" t="n">
        <v>45218.5586574074</v>
      </c>
      <c r="C710" s="1" t="n">
        <v>46063</v>
      </c>
      <c r="D710" t="inlineStr">
        <is>
          <t>UPPSALA LÄN</t>
        </is>
      </c>
      <c r="E710" t="inlineStr">
        <is>
          <t>ÖSTHAMMAR</t>
        </is>
      </c>
      <c r="G710" t="n">
        <v>3.6</v>
      </c>
      <c r="H710" t="n">
        <v>0</v>
      </c>
      <c r="I710" t="n">
        <v>0</v>
      </c>
      <c r="J710" t="n">
        <v>0</v>
      </c>
      <c r="K710" t="n">
        <v>0</v>
      </c>
      <c r="L710" t="n">
        <v>0</v>
      </c>
      <c r="M710" t="n">
        <v>0</v>
      </c>
      <c r="N710" t="n">
        <v>0</v>
      </c>
      <c r="O710" t="n">
        <v>0</v>
      </c>
      <c r="P710" t="n">
        <v>0</v>
      </c>
      <c r="Q710" t="n">
        <v>0</v>
      </c>
      <c r="R710" s="2" t="inlineStr"/>
    </row>
    <row r="711" ht="15" customHeight="1">
      <c r="A711" t="inlineStr">
        <is>
          <t>A 31669-2022</t>
        </is>
      </c>
      <c r="B711" s="1" t="n">
        <v>44775</v>
      </c>
      <c r="C711" s="1" t="n">
        <v>46063</v>
      </c>
      <c r="D711" t="inlineStr">
        <is>
          <t>UPPSALA LÄN</t>
        </is>
      </c>
      <c r="E711" t="inlineStr">
        <is>
          <t>ÖSTHAMMAR</t>
        </is>
      </c>
      <c r="G711" t="n">
        <v>6</v>
      </c>
      <c r="H711" t="n">
        <v>0</v>
      </c>
      <c r="I711" t="n">
        <v>0</v>
      </c>
      <c r="J711" t="n">
        <v>0</v>
      </c>
      <c r="K711" t="n">
        <v>0</v>
      </c>
      <c r="L711" t="n">
        <v>0</v>
      </c>
      <c r="M711" t="n">
        <v>0</v>
      </c>
      <c r="N711" t="n">
        <v>0</v>
      </c>
      <c r="O711" t="n">
        <v>0</v>
      </c>
      <c r="P711" t="n">
        <v>0</v>
      </c>
      <c r="Q711" t="n">
        <v>0</v>
      </c>
      <c r="R711" s="2" t="inlineStr"/>
    </row>
    <row r="712" ht="15" customHeight="1">
      <c r="A712" t="inlineStr">
        <is>
          <t>A 48856-2024</t>
        </is>
      </c>
      <c r="B712" s="1" t="n">
        <v>45593</v>
      </c>
      <c r="C712" s="1" t="n">
        <v>46063</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17947-2022</t>
        </is>
      </c>
      <c r="B713" s="1" t="n">
        <v>44683</v>
      </c>
      <c r="C713" s="1" t="n">
        <v>46063</v>
      </c>
      <c r="D713" t="inlineStr">
        <is>
          <t>UPPSALA LÄN</t>
        </is>
      </c>
      <c r="E713" t="inlineStr">
        <is>
          <t>ÖSTHAMMAR</t>
        </is>
      </c>
      <c r="G713" t="n">
        <v>5.5</v>
      </c>
      <c r="H713" t="n">
        <v>0</v>
      </c>
      <c r="I713" t="n">
        <v>0</v>
      </c>
      <c r="J713" t="n">
        <v>0</v>
      </c>
      <c r="K713" t="n">
        <v>0</v>
      </c>
      <c r="L713" t="n">
        <v>0</v>
      </c>
      <c r="M713" t="n">
        <v>0</v>
      </c>
      <c r="N713" t="n">
        <v>0</v>
      </c>
      <c r="O713" t="n">
        <v>0</v>
      </c>
      <c r="P713" t="n">
        <v>0</v>
      </c>
      <c r="Q713" t="n">
        <v>0</v>
      </c>
      <c r="R713" s="2" t="inlineStr"/>
    </row>
    <row r="714" ht="15" customHeight="1">
      <c r="A714" t="inlineStr">
        <is>
          <t>A 21862-2023</t>
        </is>
      </c>
      <c r="B714" s="1" t="n">
        <v>45068</v>
      </c>
      <c r="C714" s="1" t="n">
        <v>46063</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12654-2025</t>
        </is>
      </c>
      <c r="B715" s="1" t="n">
        <v>45733.41601851852</v>
      </c>
      <c r="C715" s="1" t="n">
        <v>46063</v>
      </c>
      <c r="D715" t="inlineStr">
        <is>
          <t>UPPSALA LÄN</t>
        </is>
      </c>
      <c r="E715" t="inlineStr">
        <is>
          <t>ÖSTHAMMAR</t>
        </is>
      </c>
      <c r="G715" t="n">
        <v>9.9</v>
      </c>
      <c r="H715" t="n">
        <v>0</v>
      </c>
      <c r="I715" t="n">
        <v>0</v>
      </c>
      <c r="J715" t="n">
        <v>0</v>
      </c>
      <c r="K715" t="n">
        <v>0</v>
      </c>
      <c r="L715" t="n">
        <v>0</v>
      </c>
      <c r="M715" t="n">
        <v>0</v>
      </c>
      <c r="N715" t="n">
        <v>0</v>
      </c>
      <c r="O715" t="n">
        <v>0</v>
      </c>
      <c r="P715" t="n">
        <v>0</v>
      </c>
      <c r="Q715" t="n">
        <v>0</v>
      </c>
      <c r="R715" s="2" t="inlineStr"/>
    </row>
    <row r="716" ht="15" customHeight="1">
      <c r="A716" t="inlineStr">
        <is>
          <t>A 27308-2023</t>
        </is>
      </c>
      <c r="B716" s="1" t="n">
        <v>45096.65381944444</v>
      </c>
      <c r="C716" s="1" t="n">
        <v>46063</v>
      </c>
      <c r="D716" t="inlineStr">
        <is>
          <t>UPPSALA LÄN</t>
        </is>
      </c>
      <c r="E716" t="inlineStr">
        <is>
          <t>ÖSTHAMMAR</t>
        </is>
      </c>
      <c r="F716" t="inlineStr">
        <is>
          <t>Bergvik skog öst AB</t>
        </is>
      </c>
      <c r="G716" t="n">
        <v>2.4</v>
      </c>
      <c r="H716" t="n">
        <v>0</v>
      </c>
      <c r="I716" t="n">
        <v>0</v>
      </c>
      <c r="J716" t="n">
        <v>0</v>
      </c>
      <c r="K716" t="n">
        <v>0</v>
      </c>
      <c r="L716" t="n">
        <v>0</v>
      </c>
      <c r="M716" t="n">
        <v>0</v>
      </c>
      <c r="N716" t="n">
        <v>0</v>
      </c>
      <c r="O716" t="n">
        <v>0</v>
      </c>
      <c r="P716" t="n">
        <v>0</v>
      </c>
      <c r="Q716" t="n">
        <v>0</v>
      </c>
      <c r="R716" s="2" t="inlineStr"/>
    </row>
    <row r="717" ht="15" customHeight="1">
      <c r="A717" t="inlineStr">
        <is>
          <t>A 28420-2023</t>
        </is>
      </c>
      <c r="B717" s="1" t="n">
        <v>45102.33054398148</v>
      </c>
      <c r="C717" s="1" t="n">
        <v>46063</v>
      </c>
      <c r="D717" t="inlineStr">
        <is>
          <t>UPPSALA LÄN</t>
        </is>
      </c>
      <c r="E717" t="inlineStr">
        <is>
          <t>ÖSTHAMMAR</t>
        </is>
      </c>
      <c r="F717" t="inlineStr">
        <is>
          <t>Bergvik skog öst AB</t>
        </is>
      </c>
      <c r="G717" t="n">
        <v>3.2</v>
      </c>
      <c r="H717" t="n">
        <v>0</v>
      </c>
      <c r="I717" t="n">
        <v>0</v>
      </c>
      <c r="J717" t="n">
        <v>0</v>
      </c>
      <c r="K717" t="n">
        <v>0</v>
      </c>
      <c r="L717" t="n">
        <v>0</v>
      </c>
      <c r="M717" t="n">
        <v>0</v>
      </c>
      <c r="N717" t="n">
        <v>0</v>
      </c>
      <c r="O717" t="n">
        <v>0</v>
      </c>
      <c r="P717" t="n">
        <v>0</v>
      </c>
      <c r="Q717" t="n">
        <v>0</v>
      </c>
      <c r="R717" s="2" t="inlineStr"/>
    </row>
    <row r="718" ht="15" customHeight="1">
      <c r="A718" t="inlineStr">
        <is>
          <t>A 40547-2023</t>
        </is>
      </c>
      <c r="B718" s="1" t="n">
        <v>45170.45050925926</v>
      </c>
      <c r="C718" s="1" t="n">
        <v>46063</v>
      </c>
      <c r="D718" t="inlineStr">
        <is>
          <t>UPPSALA LÄN</t>
        </is>
      </c>
      <c r="E718" t="inlineStr">
        <is>
          <t>ÖSTHAMMAR</t>
        </is>
      </c>
      <c r="G718" t="n">
        <v>2.1</v>
      </c>
      <c r="H718" t="n">
        <v>0</v>
      </c>
      <c r="I718" t="n">
        <v>0</v>
      </c>
      <c r="J718" t="n">
        <v>0</v>
      </c>
      <c r="K718" t="n">
        <v>0</v>
      </c>
      <c r="L718" t="n">
        <v>0</v>
      </c>
      <c r="M718" t="n">
        <v>0</v>
      </c>
      <c r="N718" t="n">
        <v>0</v>
      </c>
      <c r="O718" t="n">
        <v>0</v>
      </c>
      <c r="P718" t="n">
        <v>0</v>
      </c>
      <c r="Q718" t="n">
        <v>0</v>
      </c>
      <c r="R718" s="2" t="inlineStr"/>
    </row>
    <row r="719" ht="15" customHeight="1">
      <c r="A719" t="inlineStr">
        <is>
          <t>A 10449-2023</t>
        </is>
      </c>
      <c r="B719" s="1" t="n">
        <v>44987</v>
      </c>
      <c r="C719" s="1" t="n">
        <v>46063</v>
      </c>
      <c r="D719" t="inlineStr">
        <is>
          <t>UPPSALA LÄN</t>
        </is>
      </c>
      <c r="E719" t="inlineStr">
        <is>
          <t>ÖSTHAMMAR</t>
        </is>
      </c>
      <c r="G719" t="n">
        <v>3.1</v>
      </c>
      <c r="H719" t="n">
        <v>0</v>
      </c>
      <c r="I719" t="n">
        <v>0</v>
      </c>
      <c r="J719" t="n">
        <v>0</v>
      </c>
      <c r="K719" t="n">
        <v>0</v>
      </c>
      <c r="L719" t="n">
        <v>0</v>
      </c>
      <c r="M719" t="n">
        <v>0</v>
      </c>
      <c r="N719" t="n">
        <v>0</v>
      </c>
      <c r="O719" t="n">
        <v>0</v>
      </c>
      <c r="P719" t="n">
        <v>0</v>
      </c>
      <c r="Q719" t="n">
        <v>0</v>
      </c>
      <c r="R719" s="2" t="inlineStr"/>
    </row>
    <row r="720" ht="15" customHeight="1">
      <c r="A720" t="inlineStr">
        <is>
          <t>A 31035-2022</t>
        </is>
      </c>
      <c r="B720" s="1" t="n">
        <v>44768.88685185185</v>
      </c>
      <c r="C720" s="1" t="n">
        <v>46063</v>
      </c>
      <c r="D720" t="inlineStr">
        <is>
          <t>UPPSALA LÄN</t>
        </is>
      </c>
      <c r="E720" t="inlineStr">
        <is>
          <t>ÖSTHAMMAR</t>
        </is>
      </c>
      <c r="F720" t="inlineStr">
        <is>
          <t>Bergvik skog öst AB</t>
        </is>
      </c>
      <c r="G720" t="n">
        <v>1.5</v>
      </c>
      <c r="H720" t="n">
        <v>0</v>
      </c>
      <c r="I720" t="n">
        <v>0</v>
      </c>
      <c r="J720" t="n">
        <v>0</v>
      </c>
      <c r="K720" t="n">
        <v>0</v>
      </c>
      <c r="L720" t="n">
        <v>0</v>
      </c>
      <c r="M720" t="n">
        <v>0</v>
      </c>
      <c r="N720" t="n">
        <v>0</v>
      </c>
      <c r="O720" t="n">
        <v>0</v>
      </c>
      <c r="P720" t="n">
        <v>0</v>
      </c>
      <c r="Q720" t="n">
        <v>0</v>
      </c>
      <c r="R720" s="2" t="inlineStr"/>
    </row>
    <row r="721" ht="15" customHeight="1">
      <c r="A721" t="inlineStr">
        <is>
          <t>A 22798-2023</t>
        </is>
      </c>
      <c r="B721" s="1" t="n">
        <v>45072</v>
      </c>
      <c r="C721" s="1" t="n">
        <v>46063</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10982-2023</t>
        </is>
      </c>
      <c r="B722" s="1" t="n">
        <v>44991.62203703704</v>
      </c>
      <c r="C722" s="1" t="n">
        <v>46063</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40637-2022</t>
        </is>
      </c>
      <c r="B723" s="1" t="n">
        <v>44824</v>
      </c>
      <c r="C723" s="1" t="n">
        <v>46063</v>
      </c>
      <c r="D723" t="inlineStr">
        <is>
          <t>UPPSALA LÄN</t>
        </is>
      </c>
      <c r="E723" t="inlineStr">
        <is>
          <t>ÖSTHAMMAR</t>
        </is>
      </c>
      <c r="F723" t="inlineStr">
        <is>
          <t>Övriga Aktiebolag</t>
        </is>
      </c>
      <c r="G723" t="n">
        <v>3.7</v>
      </c>
      <c r="H723" t="n">
        <v>0</v>
      </c>
      <c r="I723" t="n">
        <v>0</v>
      </c>
      <c r="J723" t="n">
        <v>0</v>
      </c>
      <c r="K723" t="n">
        <v>0</v>
      </c>
      <c r="L723" t="n">
        <v>0</v>
      </c>
      <c r="M723" t="n">
        <v>0</v>
      </c>
      <c r="N723" t="n">
        <v>0</v>
      </c>
      <c r="O723" t="n">
        <v>0</v>
      </c>
      <c r="P723" t="n">
        <v>0</v>
      </c>
      <c r="Q723" t="n">
        <v>0</v>
      </c>
      <c r="R723" s="2" t="inlineStr"/>
    </row>
    <row r="724" ht="15" customHeight="1">
      <c r="A724" t="inlineStr">
        <is>
          <t>A 6046-2025</t>
        </is>
      </c>
      <c r="B724" s="1" t="n">
        <v>45695</v>
      </c>
      <c r="C724" s="1" t="n">
        <v>46063</v>
      </c>
      <c r="D724" t="inlineStr">
        <is>
          <t>UPPSALA LÄN</t>
        </is>
      </c>
      <c r="E724" t="inlineStr">
        <is>
          <t>ÖSTHAMMAR</t>
        </is>
      </c>
      <c r="G724" t="n">
        <v>0.8</v>
      </c>
      <c r="H724" t="n">
        <v>0</v>
      </c>
      <c r="I724" t="n">
        <v>0</v>
      </c>
      <c r="J724" t="n">
        <v>0</v>
      </c>
      <c r="K724" t="n">
        <v>0</v>
      </c>
      <c r="L724" t="n">
        <v>0</v>
      </c>
      <c r="M724" t="n">
        <v>0</v>
      </c>
      <c r="N724" t="n">
        <v>0</v>
      </c>
      <c r="O724" t="n">
        <v>0</v>
      </c>
      <c r="P724" t="n">
        <v>0</v>
      </c>
      <c r="Q724" t="n">
        <v>0</v>
      </c>
      <c r="R724" s="2" t="inlineStr"/>
      <c r="U724">
        <f>HYPERLINK("https://klasma.github.io/Logging_0382/knärot/A 6046-2025 karta knärot.png", "A 6046-2025")</f>
        <v/>
      </c>
      <c r="V724">
        <f>HYPERLINK("https://klasma.github.io/Logging_0382/klagomål/A 6046-2025 FSC-klagomål.docx", "A 6046-2025")</f>
        <v/>
      </c>
      <c r="W724">
        <f>HYPERLINK("https://klasma.github.io/Logging_0382/klagomålsmail/A 6046-2025 FSC-klagomål mail.docx", "A 6046-2025")</f>
        <v/>
      </c>
      <c r="X724">
        <f>HYPERLINK("https://klasma.github.io/Logging_0382/tillsyn/A 6046-2025 tillsynsbegäran.docx", "A 6046-2025")</f>
        <v/>
      </c>
      <c r="Y724">
        <f>HYPERLINK("https://klasma.github.io/Logging_0382/tillsynsmail/A 6046-2025 tillsynsbegäran mail.docx", "A 6046-2025")</f>
        <v/>
      </c>
    </row>
    <row r="725" ht="15" customHeight="1">
      <c r="A725" t="inlineStr">
        <is>
          <t>A 21624-2023</t>
        </is>
      </c>
      <c r="B725" s="1" t="n">
        <v>45063.65543981481</v>
      </c>
      <c r="C725" s="1" t="n">
        <v>46063</v>
      </c>
      <c r="D725" t="inlineStr">
        <is>
          <t>UPPSALA LÄN</t>
        </is>
      </c>
      <c r="E725" t="inlineStr">
        <is>
          <t>ÖSTHAMMAR</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6120-2024</t>
        </is>
      </c>
      <c r="B726" s="1" t="n">
        <v>45337.41784722222</v>
      </c>
      <c r="C726" s="1" t="n">
        <v>46063</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58270-2023</t>
        </is>
      </c>
      <c r="B727" s="1" t="n">
        <v>45250.49961805555</v>
      </c>
      <c r="C727" s="1" t="n">
        <v>46063</v>
      </c>
      <c r="D727" t="inlineStr">
        <is>
          <t>UPPSALA LÄN</t>
        </is>
      </c>
      <c r="E727" t="inlineStr">
        <is>
          <t>ÖSTHAMMAR</t>
        </is>
      </c>
      <c r="G727" t="n">
        <v>1.3</v>
      </c>
      <c r="H727" t="n">
        <v>0</v>
      </c>
      <c r="I727" t="n">
        <v>0</v>
      </c>
      <c r="J727" t="n">
        <v>0</v>
      </c>
      <c r="K727" t="n">
        <v>0</v>
      </c>
      <c r="L727" t="n">
        <v>0</v>
      </c>
      <c r="M727" t="n">
        <v>0</v>
      </c>
      <c r="N727" t="n">
        <v>0</v>
      </c>
      <c r="O727" t="n">
        <v>0</v>
      </c>
      <c r="P727" t="n">
        <v>0</v>
      </c>
      <c r="Q727" t="n">
        <v>0</v>
      </c>
      <c r="R727" s="2" t="inlineStr"/>
    </row>
    <row r="728" ht="15" customHeight="1">
      <c r="A728" t="inlineStr">
        <is>
          <t>A 22804-2022</t>
        </is>
      </c>
      <c r="B728" s="1" t="n">
        <v>44715</v>
      </c>
      <c r="C728" s="1" t="n">
        <v>46063</v>
      </c>
      <c r="D728" t="inlineStr">
        <is>
          <t>UPPSALA LÄN</t>
        </is>
      </c>
      <c r="E728" t="inlineStr">
        <is>
          <t>ÖSTHAMMAR</t>
        </is>
      </c>
      <c r="G728" t="n">
        <v>2.7</v>
      </c>
      <c r="H728" t="n">
        <v>0</v>
      </c>
      <c r="I728" t="n">
        <v>0</v>
      </c>
      <c r="J728" t="n">
        <v>0</v>
      </c>
      <c r="K728" t="n">
        <v>0</v>
      </c>
      <c r="L728" t="n">
        <v>0</v>
      </c>
      <c r="M728" t="n">
        <v>0</v>
      </c>
      <c r="N728" t="n">
        <v>0</v>
      </c>
      <c r="O728" t="n">
        <v>0</v>
      </c>
      <c r="P728" t="n">
        <v>0</v>
      </c>
      <c r="Q728" t="n">
        <v>0</v>
      </c>
      <c r="R728" s="2" t="inlineStr"/>
    </row>
    <row r="729" ht="15" customHeight="1">
      <c r="A729" t="inlineStr">
        <is>
          <t>A 57003-2021</t>
        </is>
      </c>
      <c r="B729" s="1" t="n">
        <v>44482.47577546296</v>
      </c>
      <c r="C729" s="1" t="n">
        <v>46063</v>
      </c>
      <c r="D729" t="inlineStr">
        <is>
          <t>UPPSALA LÄN</t>
        </is>
      </c>
      <c r="E729" t="inlineStr">
        <is>
          <t>ÖSTHAMMAR</t>
        </is>
      </c>
      <c r="G729" t="n">
        <v>1.9</v>
      </c>
      <c r="H729" t="n">
        <v>0</v>
      </c>
      <c r="I729" t="n">
        <v>0</v>
      </c>
      <c r="J729" t="n">
        <v>0</v>
      </c>
      <c r="K729" t="n">
        <v>0</v>
      </c>
      <c r="L729" t="n">
        <v>0</v>
      </c>
      <c r="M729" t="n">
        <v>0</v>
      </c>
      <c r="N729" t="n">
        <v>0</v>
      </c>
      <c r="O729" t="n">
        <v>0</v>
      </c>
      <c r="P729" t="n">
        <v>0</v>
      </c>
      <c r="Q729" t="n">
        <v>0</v>
      </c>
      <c r="R729" s="2" t="inlineStr"/>
    </row>
    <row r="730" ht="15" customHeight="1">
      <c r="A730" t="inlineStr">
        <is>
          <t>A 73483-2021</t>
        </is>
      </c>
      <c r="B730" s="1" t="n">
        <v>44550</v>
      </c>
      <c r="C730" s="1" t="n">
        <v>46063</v>
      </c>
      <c r="D730" t="inlineStr">
        <is>
          <t>UPPSALA LÄN</t>
        </is>
      </c>
      <c r="E730" t="inlineStr">
        <is>
          <t>ÖSTHAMMAR</t>
        </is>
      </c>
      <c r="G730" t="n">
        <v>2.8</v>
      </c>
      <c r="H730" t="n">
        <v>0</v>
      </c>
      <c r="I730" t="n">
        <v>0</v>
      </c>
      <c r="J730" t="n">
        <v>0</v>
      </c>
      <c r="K730" t="n">
        <v>0</v>
      </c>
      <c r="L730" t="n">
        <v>0</v>
      </c>
      <c r="M730" t="n">
        <v>0</v>
      </c>
      <c r="N730" t="n">
        <v>0</v>
      </c>
      <c r="O730" t="n">
        <v>0</v>
      </c>
      <c r="P730" t="n">
        <v>0</v>
      </c>
      <c r="Q730" t="n">
        <v>0</v>
      </c>
      <c r="R730" s="2" t="inlineStr"/>
    </row>
    <row r="731" ht="15" customHeight="1">
      <c r="A731" t="inlineStr">
        <is>
          <t>A 24033-2023</t>
        </is>
      </c>
      <c r="B731" s="1" t="n">
        <v>45078</v>
      </c>
      <c r="C731" s="1" t="n">
        <v>46063</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12262-2023</t>
        </is>
      </c>
      <c r="B732" s="1" t="n">
        <v>44998.66662037037</v>
      </c>
      <c r="C732" s="1" t="n">
        <v>46063</v>
      </c>
      <c r="D732" t="inlineStr">
        <is>
          <t>UPPSALA LÄN</t>
        </is>
      </c>
      <c r="E732" t="inlineStr">
        <is>
          <t>ÖSTHAMMAR</t>
        </is>
      </c>
      <c r="G732" t="n">
        <v>4.1</v>
      </c>
      <c r="H732" t="n">
        <v>0</v>
      </c>
      <c r="I732" t="n">
        <v>0</v>
      </c>
      <c r="J732" t="n">
        <v>0</v>
      </c>
      <c r="K732" t="n">
        <v>0</v>
      </c>
      <c r="L732" t="n">
        <v>0</v>
      </c>
      <c r="M732" t="n">
        <v>0</v>
      </c>
      <c r="N732" t="n">
        <v>0</v>
      </c>
      <c r="O732" t="n">
        <v>0</v>
      </c>
      <c r="P732" t="n">
        <v>0</v>
      </c>
      <c r="Q732" t="n">
        <v>0</v>
      </c>
      <c r="R732" s="2" t="inlineStr"/>
    </row>
    <row r="733" ht="15" customHeight="1">
      <c r="A733" t="inlineStr">
        <is>
          <t>A 5254-2025</t>
        </is>
      </c>
      <c r="B733" s="1" t="n">
        <v>45692</v>
      </c>
      <c r="C733" s="1" t="n">
        <v>46063</v>
      </c>
      <c r="D733" t="inlineStr">
        <is>
          <t>UPPSALA LÄN</t>
        </is>
      </c>
      <c r="E733" t="inlineStr">
        <is>
          <t>ÖSTHAMMAR</t>
        </is>
      </c>
      <c r="G733" t="n">
        <v>5</v>
      </c>
      <c r="H733" t="n">
        <v>0</v>
      </c>
      <c r="I733" t="n">
        <v>0</v>
      </c>
      <c r="J733" t="n">
        <v>0</v>
      </c>
      <c r="K733" t="n">
        <v>0</v>
      </c>
      <c r="L733" t="n">
        <v>0</v>
      </c>
      <c r="M733" t="n">
        <v>0</v>
      </c>
      <c r="N733" t="n">
        <v>0</v>
      </c>
      <c r="O733" t="n">
        <v>0</v>
      </c>
      <c r="P733" t="n">
        <v>0</v>
      </c>
      <c r="Q733" t="n">
        <v>0</v>
      </c>
      <c r="R733" s="2" t="inlineStr"/>
    </row>
    <row r="734" ht="15" customHeight="1">
      <c r="A734" t="inlineStr">
        <is>
          <t>A 44807-2024</t>
        </is>
      </c>
      <c r="B734" s="1" t="n">
        <v>45574.65427083334</v>
      </c>
      <c r="C734" s="1" t="n">
        <v>46063</v>
      </c>
      <c r="D734" t="inlineStr">
        <is>
          <t>UPPSALA LÄN</t>
        </is>
      </c>
      <c r="E734" t="inlineStr">
        <is>
          <t>ÖSTHAMMAR</t>
        </is>
      </c>
      <c r="G734" t="n">
        <v>2.9</v>
      </c>
      <c r="H734" t="n">
        <v>0</v>
      </c>
      <c r="I734" t="n">
        <v>0</v>
      </c>
      <c r="J734" t="n">
        <v>0</v>
      </c>
      <c r="K734" t="n">
        <v>0</v>
      </c>
      <c r="L734" t="n">
        <v>0</v>
      </c>
      <c r="M734" t="n">
        <v>0</v>
      </c>
      <c r="N734" t="n">
        <v>0</v>
      </c>
      <c r="O734" t="n">
        <v>0</v>
      </c>
      <c r="P734" t="n">
        <v>0</v>
      </c>
      <c r="Q734" t="n">
        <v>0</v>
      </c>
      <c r="R734" s="2" t="inlineStr"/>
    </row>
    <row r="735" ht="15" customHeight="1">
      <c r="A735" t="inlineStr">
        <is>
          <t>A 7195-2023</t>
        </is>
      </c>
      <c r="B735" s="1" t="n">
        <v>44970</v>
      </c>
      <c r="C735" s="1" t="n">
        <v>46063</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37568-2022</t>
        </is>
      </c>
      <c r="B736" s="1" t="n">
        <v>44809</v>
      </c>
      <c r="C736" s="1" t="n">
        <v>46063</v>
      </c>
      <c r="D736" t="inlineStr">
        <is>
          <t>UPPSALA LÄN</t>
        </is>
      </c>
      <c r="E736" t="inlineStr">
        <is>
          <t>ÖSTHAMMAR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9542-2023</t>
        </is>
      </c>
      <c r="B737" s="1" t="n">
        <v>44981</v>
      </c>
      <c r="C737" s="1" t="n">
        <v>46063</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55100-2024</t>
        </is>
      </c>
      <c r="B738" s="1" t="n">
        <v>45621.4405787037</v>
      </c>
      <c r="C738" s="1" t="n">
        <v>46063</v>
      </c>
      <c r="D738" t="inlineStr">
        <is>
          <t>UPPSALA LÄN</t>
        </is>
      </c>
      <c r="E738" t="inlineStr">
        <is>
          <t>ÖSTHAMMAR</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26774-2023</t>
        </is>
      </c>
      <c r="B739" s="1" t="n">
        <v>45093.47947916666</v>
      </c>
      <c r="C739" s="1" t="n">
        <v>46063</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67848-2021</t>
        </is>
      </c>
      <c r="B740" s="1" t="n">
        <v>44525</v>
      </c>
      <c r="C740" s="1" t="n">
        <v>46063</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55097-2024</t>
        </is>
      </c>
      <c r="B741" s="1" t="n">
        <v>45621.43855324074</v>
      </c>
      <c r="C741" s="1" t="n">
        <v>46063</v>
      </c>
      <c r="D741" t="inlineStr">
        <is>
          <t>UPPSALA LÄN</t>
        </is>
      </c>
      <c r="E741" t="inlineStr">
        <is>
          <t>ÖSTHAMMAR</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18230-2025</t>
        </is>
      </c>
      <c r="B742" s="1" t="n">
        <v>45761.87114583333</v>
      </c>
      <c r="C742" s="1" t="n">
        <v>46063</v>
      </c>
      <c r="D742" t="inlineStr">
        <is>
          <t>UPPSALA LÄN</t>
        </is>
      </c>
      <c r="E742" t="inlineStr">
        <is>
          <t>ÖSTHAMMAR</t>
        </is>
      </c>
      <c r="F742" t="inlineStr">
        <is>
          <t>Bergvik skog öst AB</t>
        </is>
      </c>
      <c r="G742" t="n">
        <v>4.2</v>
      </c>
      <c r="H742" t="n">
        <v>0</v>
      </c>
      <c r="I742" t="n">
        <v>0</v>
      </c>
      <c r="J742" t="n">
        <v>0</v>
      </c>
      <c r="K742" t="n">
        <v>0</v>
      </c>
      <c r="L742" t="n">
        <v>0</v>
      </c>
      <c r="M742" t="n">
        <v>0</v>
      </c>
      <c r="N742" t="n">
        <v>0</v>
      </c>
      <c r="O742" t="n">
        <v>0</v>
      </c>
      <c r="P742" t="n">
        <v>0</v>
      </c>
      <c r="Q742" t="n">
        <v>0</v>
      </c>
      <c r="R742" s="2" t="inlineStr"/>
    </row>
    <row r="743" ht="15" customHeight="1">
      <c r="A743" t="inlineStr">
        <is>
          <t>A 37865-2023</t>
        </is>
      </c>
      <c r="B743" s="1" t="n">
        <v>45160</v>
      </c>
      <c r="C743" s="1" t="n">
        <v>46063</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7100-2025</t>
        </is>
      </c>
      <c r="B744" s="1" t="n">
        <v>45701.83930555556</v>
      </c>
      <c r="C744" s="1" t="n">
        <v>46063</v>
      </c>
      <c r="D744" t="inlineStr">
        <is>
          <t>UPPSALA LÄN</t>
        </is>
      </c>
      <c r="E744" t="inlineStr">
        <is>
          <t>ÖSTHAMMAR</t>
        </is>
      </c>
      <c r="G744" t="n">
        <v>4.3</v>
      </c>
      <c r="H744" t="n">
        <v>0</v>
      </c>
      <c r="I744" t="n">
        <v>0</v>
      </c>
      <c r="J744" t="n">
        <v>0</v>
      </c>
      <c r="K744" t="n">
        <v>0</v>
      </c>
      <c r="L744" t="n">
        <v>0</v>
      </c>
      <c r="M744" t="n">
        <v>0</v>
      </c>
      <c r="N744" t="n">
        <v>0</v>
      </c>
      <c r="O744" t="n">
        <v>0</v>
      </c>
      <c r="P744" t="n">
        <v>0</v>
      </c>
      <c r="Q744" t="n">
        <v>0</v>
      </c>
      <c r="R744" s="2" t="inlineStr"/>
    </row>
    <row r="745" ht="15" customHeight="1">
      <c r="A745" t="inlineStr">
        <is>
          <t>A 54314-2023</t>
        </is>
      </c>
      <c r="B745" s="1" t="n">
        <v>45225</v>
      </c>
      <c r="C745" s="1" t="n">
        <v>46063</v>
      </c>
      <c r="D745" t="inlineStr">
        <is>
          <t>UPPSALA LÄN</t>
        </is>
      </c>
      <c r="E745" t="inlineStr">
        <is>
          <t>ÖSTHAMMAR</t>
        </is>
      </c>
      <c r="G745" t="n">
        <v>5.1</v>
      </c>
      <c r="H745" t="n">
        <v>0</v>
      </c>
      <c r="I745" t="n">
        <v>0</v>
      </c>
      <c r="J745" t="n">
        <v>0</v>
      </c>
      <c r="K745" t="n">
        <v>0</v>
      </c>
      <c r="L745" t="n">
        <v>0</v>
      </c>
      <c r="M745" t="n">
        <v>0</v>
      </c>
      <c r="N745" t="n">
        <v>0</v>
      </c>
      <c r="O745" t="n">
        <v>0</v>
      </c>
      <c r="P745" t="n">
        <v>0</v>
      </c>
      <c r="Q745" t="n">
        <v>0</v>
      </c>
      <c r="R745" s="2" t="inlineStr"/>
    </row>
    <row r="746" ht="15" customHeight="1">
      <c r="A746" t="inlineStr">
        <is>
          <t>A 49796-2024</t>
        </is>
      </c>
      <c r="B746" s="1" t="n">
        <v>45597</v>
      </c>
      <c r="C746" s="1" t="n">
        <v>46063</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1791-2023</t>
        </is>
      </c>
      <c r="B747" s="1" t="n">
        <v>44938</v>
      </c>
      <c r="C747" s="1" t="n">
        <v>46063</v>
      </c>
      <c r="D747" t="inlineStr">
        <is>
          <t>UPPSALA LÄN</t>
        </is>
      </c>
      <c r="E747" t="inlineStr">
        <is>
          <t>ÖSTHAMMAR</t>
        </is>
      </c>
      <c r="G747" t="n">
        <v>2</v>
      </c>
      <c r="H747" t="n">
        <v>0</v>
      </c>
      <c r="I747" t="n">
        <v>0</v>
      </c>
      <c r="J747" t="n">
        <v>0</v>
      </c>
      <c r="K747" t="n">
        <v>0</v>
      </c>
      <c r="L747" t="n">
        <v>0</v>
      </c>
      <c r="M747" t="n">
        <v>0</v>
      </c>
      <c r="N747" t="n">
        <v>0</v>
      </c>
      <c r="O747" t="n">
        <v>0</v>
      </c>
      <c r="P747" t="n">
        <v>0</v>
      </c>
      <c r="Q747" t="n">
        <v>0</v>
      </c>
      <c r="R747" s="2" t="inlineStr"/>
    </row>
    <row r="748" ht="15" customHeight="1">
      <c r="A748" t="inlineStr">
        <is>
          <t>A 21132-2025</t>
        </is>
      </c>
      <c r="B748" s="1" t="n">
        <v>45778.4108912037</v>
      </c>
      <c r="C748" s="1" t="n">
        <v>46063</v>
      </c>
      <c r="D748" t="inlineStr">
        <is>
          <t>UPPSALA LÄN</t>
        </is>
      </c>
      <c r="E748" t="inlineStr">
        <is>
          <t>ÖSTHAMMAR</t>
        </is>
      </c>
      <c r="G748" t="n">
        <v>10.1</v>
      </c>
      <c r="H748" t="n">
        <v>0</v>
      </c>
      <c r="I748" t="n">
        <v>0</v>
      </c>
      <c r="J748" t="n">
        <v>0</v>
      </c>
      <c r="K748" t="n">
        <v>0</v>
      </c>
      <c r="L748" t="n">
        <v>0</v>
      </c>
      <c r="M748" t="n">
        <v>0</v>
      </c>
      <c r="N748" t="n">
        <v>0</v>
      </c>
      <c r="O748" t="n">
        <v>0</v>
      </c>
      <c r="P748" t="n">
        <v>0</v>
      </c>
      <c r="Q748" t="n">
        <v>0</v>
      </c>
      <c r="R748" s="2" t="inlineStr"/>
    </row>
    <row r="749" ht="15" customHeight="1">
      <c r="A749" t="inlineStr">
        <is>
          <t>A 21133-2025</t>
        </is>
      </c>
      <c r="B749" s="1" t="n">
        <v>45778.415625</v>
      </c>
      <c r="C749" s="1" t="n">
        <v>46063</v>
      </c>
      <c r="D749" t="inlineStr">
        <is>
          <t>UPPSALA LÄN</t>
        </is>
      </c>
      <c r="E749" t="inlineStr">
        <is>
          <t>ÖSTHAMMAR</t>
        </is>
      </c>
      <c r="G749" t="n">
        <v>1.5</v>
      </c>
      <c r="H749" t="n">
        <v>0</v>
      </c>
      <c r="I749" t="n">
        <v>0</v>
      </c>
      <c r="J749" t="n">
        <v>0</v>
      </c>
      <c r="K749" t="n">
        <v>0</v>
      </c>
      <c r="L749" t="n">
        <v>0</v>
      </c>
      <c r="M749" t="n">
        <v>0</v>
      </c>
      <c r="N749" t="n">
        <v>0</v>
      </c>
      <c r="O749" t="n">
        <v>0</v>
      </c>
      <c r="P749" t="n">
        <v>0</v>
      </c>
      <c r="Q749" t="n">
        <v>0</v>
      </c>
      <c r="R749" s="2" t="inlineStr"/>
    </row>
    <row r="750" ht="15" customHeight="1">
      <c r="A750" t="inlineStr">
        <is>
          <t>A 42262-2024</t>
        </is>
      </c>
      <c r="B750" s="1" t="n">
        <v>45562</v>
      </c>
      <c r="C750" s="1" t="n">
        <v>46063</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44796-2024</t>
        </is>
      </c>
      <c r="B751" s="1" t="n">
        <v>45574</v>
      </c>
      <c r="C751" s="1" t="n">
        <v>46063</v>
      </c>
      <c r="D751" t="inlineStr">
        <is>
          <t>UPPSALA LÄN</t>
        </is>
      </c>
      <c r="E751" t="inlineStr">
        <is>
          <t>ÖSTHAMMAR</t>
        </is>
      </c>
      <c r="G751" t="n">
        <v>4.7</v>
      </c>
      <c r="H751" t="n">
        <v>0</v>
      </c>
      <c r="I751" t="n">
        <v>0</v>
      </c>
      <c r="J751" t="n">
        <v>0</v>
      </c>
      <c r="K751" t="n">
        <v>0</v>
      </c>
      <c r="L751" t="n">
        <v>0</v>
      </c>
      <c r="M751" t="n">
        <v>0</v>
      </c>
      <c r="N751" t="n">
        <v>0</v>
      </c>
      <c r="O751" t="n">
        <v>0</v>
      </c>
      <c r="P751" t="n">
        <v>0</v>
      </c>
      <c r="Q751" t="n">
        <v>0</v>
      </c>
      <c r="R751" s="2" t="inlineStr"/>
    </row>
    <row r="752" ht="15" customHeight="1">
      <c r="A752" t="inlineStr">
        <is>
          <t>A 22488-2025</t>
        </is>
      </c>
      <c r="B752" s="1" t="n">
        <v>45786.64865740741</v>
      </c>
      <c r="C752" s="1" t="n">
        <v>46063</v>
      </c>
      <c r="D752" t="inlineStr">
        <is>
          <t>UPPSALA LÄN</t>
        </is>
      </c>
      <c r="E752" t="inlineStr">
        <is>
          <t>ÖSTHAMMAR</t>
        </is>
      </c>
      <c r="F752" t="inlineStr">
        <is>
          <t>Bergvik skog öst AB</t>
        </is>
      </c>
      <c r="G752" t="n">
        <v>14.9</v>
      </c>
      <c r="H752" t="n">
        <v>0</v>
      </c>
      <c r="I752" t="n">
        <v>0</v>
      </c>
      <c r="J752" t="n">
        <v>0</v>
      </c>
      <c r="K752" t="n">
        <v>0</v>
      </c>
      <c r="L752" t="n">
        <v>0</v>
      </c>
      <c r="M752" t="n">
        <v>0</v>
      </c>
      <c r="N752" t="n">
        <v>0</v>
      </c>
      <c r="O752" t="n">
        <v>0</v>
      </c>
      <c r="P752" t="n">
        <v>0</v>
      </c>
      <c r="Q752" t="n">
        <v>0</v>
      </c>
      <c r="R752" s="2" t="inlineStr"/>
    </row>
    <row r="753" ht="15" customHeight="1">
      <c r="A753" t="inlineStr">
        <is>
          <t>A 36954-2024</t>
        </is>
      </c>
      <c r="B753" s="1" t="n">
        <v>45538.71109953704</v>
      </c>
      <c r="C753" s="1" t="n">
        <v>46063</v>
      </c>
      <c r="D753" t="inlineStr">
        <is>
          <t>UPPSALA LÄN</t>
        </is>
      </c>
      <c r="E753" t="inlineStr">
        <is>
          <t>ÖSTHAMMAR</t>
        </is>
      </c>
      <c r="F753" t="inlineStr">
        <is>
          <t>Bergvik skog öst AB</t>
        </is>
      </c>
      <c r="G753" t="n">
        <v>5.1</v>
      </c>
      <c r="H753" t="n">
        <v>0</v>
      </c>
      <c r="I753" t="n">
        <v>0</v>
      </c>
      <c r="J753" t="n">
        <v>0</v>
      </c>
      <c r="K753" t="n">
        <v>0</v>
      </c>
      <c r="L753" t="n">
        <v>0</v>
      </c>
      <c r="M753" t="n">
        <v>0</v>
      </c>
      <c r="N753" t="n">
        <v>0</v>
      </c>
      <c r="O753" t="n">
        <v>0</v>
      </c>
      <c r="P753" t="n">
        <v>0</v>
      </c>
      <c r="Q753" t="n">
        <v>0</v>
      </c>
      <c r="R753" s="2" t="inlineStr"/>
    </row>
    <row r="754" ht="15" customHeight="1">
      <c r="A754" t="inlineStr">
        <is>
          <t>A 22483-2025</t>
        </is>
      </c>
      <c r="B754" s="1" t="n">
        <v>45786.64141203704</v>
      </c>
      <c r="C754" s="1" t="n">
        <v>46063</v>
      </c>
      <c r="D754" t="inlineStr">
        <is>
          <t>UPPSALA LÄN</t>
        </is>
      </c>
      <c r="E754" t="inlineStr">
        <is>
          <t>ÖSTHAMMAR</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59291-2023</t>
        </is>
      </c>
      <c r="B755" s="1" t="n">
        <v>45253.57559027777</v>
      </c>
      <c r="C755" s="1" t="n">
        <v>46063</v>
      </c>
      <c r="D755" t="inlineStr">
        <is>
          <t>UPPSALA LÄN</t>
        </is>
      </c>
      <c r="E755" t="inlineStr">
        <is>
          <t>ÖSTHAMMAR</t>
        </is>
      </c>
      <c r="G755" t="n">
        <v>1.7</v>
      </c>
      <c r="H755" t="n">
        <v>0</v>
      </c>
      <c r="I755" t="n">
        <v>0</v>
      </c>
      <c r="J755" t="n">
        <v>0</v>
      </c>
      <c r="K755" t="n">
        <v>0</v>
      </c>
      <c r="L755" t="n">
        <v>0</v>
      </c>
      <c r="M755" t="n">
        <v>0</v>
      </c>
      <c r="N755" t="n">
        <v>0</v>
      </c>
      <c r="O755" t="n">
        <v>0</v>
      </c>
      <c r="P755" t="n">
        <v>0</v>
      </c>
      <c r="Q755" t="n">
        <v>0</v>
      </c>
      <c r="R755" s="2" t="inlineStr"/>
    </row>
    <row r="756" ht="15" customHeight="1">
      <c r="A756" t="inlineStr">
        <is>
          <t>A 43685-2024</t>
        </is>
      </c>
      <c r="B756" s="1" t="n">
        <v>45569</v>
      </c>
      <c r="C756" s="1" t="n">
        <v>46063</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38575-2024</t>
        </is>
      </c>
      <c r="B757" s="1" t="n">
        <v>45546.64221064815</v>
      </c>
      <c r="C757" s="1" t="n">
        <v>46063</v>
      </c>
      <c r="D757" t="inlineStr">
        <is>
          <t>UPPSALA LÄN</t>
        </is>
      </c>
      <c r="E757" t="inlineStr">
        <is>
          <t>ÖSTHAMMAR</t>
        </is>
      </c>
      <c r="F757" t="inlineStr">
        <is>
          <t>Bergvik skog öst AB</t>
        </is>
      </c>
      <c r="G757" t="n">
        <v>5.1</v>
      </c>
      <c r="H757" t="n">
        <v>0</v>
      </c>
      <c r="I757" t="n">
        <v>0</v>
      </c>
      <c r="J757" t="n">
        <v>0</v>
      </c>
      <c r="K757" t="n">
        <v>0</v>
      </c>
      <c r="L757" t="n">
        <v>0</v>
      </c>
      <c r="M757" t="n">
        <v>0</v>
      </c>
      <c r="N757" t="n">
        <v>0</v>
      </c>
      <c r="O757" t="n">
        <v>0</v>
      </c>
      <c r="P757" t="n">
        <v>0</v>
      </c>
      <c r="Q757" t="n">
        <v>0</v>
      </c>
      <c r="R757" s="2" t="inlineStr"/>
    </row>
    <row r="758" ht="15" customHeight="1">
      <c r="A758" t="inlineStr">
        <is>
          <t>A 43993-2024</t>
        </is>
      </c>
      <c r="B758" s="1" t="n">
        <v>45572.52690972222</v>
      </c>
      <c r="C758" s="1" t="n">
        <v>46063</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row>
    <row r="759" ht="15" customHeight="1">
      <c r="A759" t="inlineStr">
        <is>
          <t>A 22492-2025</t>
        </is>
      </c>
      <c r="B759" s="1" t="n">
        <v>45786.65072916666</v>
      </c>
      <c r="C759" s="1" t="n">
        <v>46063</v>
      </c>
      <c r="D759" t="inlineStr">
        <is>
          <t>UPPSALA LÄN</t>
        </is>
      </c>
      <c r="E759" t="inlineStr">
        <is>
          <t>ÖSTHAMMAR</t>
        </is>
      </c>
      <c r="F759" t="inlineStr">
        <is>
          <t>Bergvik skog öst AB</t>
        </is>
      </c>
      <c r="G759" t="n">
        <v>16.6</v>
      </c>
      <c r="H759" t="n">
        <v>0</v>
      </c>
      <c r="I759" t="n">
        <v>0</v>
      </c>
      <c r="J759" t="n">
        <v>0</v>
      </c>
      <c r="K759" t="n">
        <v>0</v>
      </c>
      <c r="L759" t="n">
        <v>0</v>
      </c>
      <c r="M759" t="n">
        <v>0</v>
      </c>
      <c r="N759" t="n">
        <v>0</v>
      </c>
      <c r="O759" t="n">
        <v>0</v>
      </c>
      <c r="P759" t="n">
        <v>0</v>
      </c>
      <c r="Q759" t="n">
        <v>0</v>
      </c>
      <c r="R759" s="2" t="inlineStr"/>
    </row>
    <row r="760" ht="15" customHeight="1">
      <c r="A760" t="inlineStr">
        <is>
          <t>A 5931-2022</t>
        </is>
      </c>
      <c r="B760" s="1" t="n">
        <v>44598.82700231481</v>
      </c>
      <c r="C760" s="1" t="n">
        <v>46063</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43655-2024</t>
        </is>
      </c>
      <c r="B761" s="1" t="n">
        <v>45569</v>
      </c>
      <c r="C761" s="1" t="n">
        <v>46063</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43683-2024</t>
        </is>
      </c>
      <c r="B762" s="1" t="n">
        <v>45569.57518518518</v>
      </c>
      <c r="C762" s="1" t="n">
        <v>46063</v>
      </c>
      <c r="D762" t="inlineStr">
        <is>
          <t>UPPSALA LÄN</t>
        </is>
      </c>
      <c r="E762" t="inlineStr">
        <is>
          <t>ÖSTHAMMAR</t>
        </is>
      </c>
      <c r="G762" t="n">
        <v>4.7</v>
      </c>
      <c r="H762" t="n">
        <v>0</v>
      </c>
      <c r="I762" t="n">
        <v>0</v>
      </c>
      <c r="J762" t="n">
        <v>0</v>
      </c>
      <c r="K762" t="n">
        <v>0</v>
      </c>
      <c r="L762" t="n">
        <v>0</v>
      </c>
      <c r="M762" t="n">
        <v>0</v>
      </c>
      <c r="N762" t="n">
        <v>0</v>
      </c>
      <c r="O762" t="n">
        <v>0</v>
      </c>
      <c r="P762" t="n">
        <v>0</v>
      </c>
      <c r="Q762" t="n">
        <v>0</v>
      </c>
      <c r="R762" s="2" t="inlineStr"/>
    </row>
    <row r="763" ht="15" customHeight="1">
      <c r="A763" t="inlineStr">
        <is>
          <t>A 32483-2024</t>
        </is>
      </c>
      <c r="B763" s="1" t="n">
        <v>45513.36644675926</v>
      </c>
      <c r="C763" s="1" t="n">
        <v>46063</v>
      </c>
      <c r="D763" t="inlineStr">
        <is>
          <t>UPPSALA LÄN</t>
        </is>
      </c>
      <c r="E763" t="inlineStr">
        <is>
          <t>ÖSTHAMMAR</t>
        </is>
      </c>
      <c r="F763" t="inlineStr">
        <is>
          <t>Kyrkan</t>
        </is>
      </c>
      <c r="G763" t="n">
        <v>4.7</v>
      </c>
      <c r="H763" t="n">
        <v>0</v>
      </c>
      <c r="I763" t="n">
        <v>0</v>
      </c>
      <c r="J763" t="n">
        <v>0</v>
      </c>
      <c r="K763" t="n">
        <v>0</v>
      </c>
      <c r="L763" t="n">
        <v>0</v>
      </c>
      <c r="M763" t="n">
        <v>0</v>
      </c>
      <c r="N763" t="n">
        <v>0</v>
      </c>
      <c r="O763" t="n">
        <v>0</v>
      </c>
      <c r="P763" t="n">
        <v>0</v>
      </c>
      <c r="Q763" t="n">
        <v>0</v>
      </c>
      <c r="R763" s="2" t="inlineStr"/>
    </row>
    <row r="764" ht="15" customHeight="1">
      <c r="A764" t="inlineStr">
        <is>
          <t>A 14595-2023</t>
        </is>
      </c>
      <c r="B764" s="1" t="n">
        <v>45013.57858796296</v>
      </c>
      <c r="C764" s="1" t="n">
        <v>46063</v>
      </c>
      <c r="D764" t="inlineStr">
        <is>
          <t>UPPSALA LÄN</t>
        </is>
      </c>
      <c r="E764" t="inlineStr">
        <is>
          <t>ÖSTHAMMAR</t>
        </is>
      </c>
      <c r="G764" t="n">
        <v>5</v>
      </c>
      <c r="H764" t="n">
        <v>0</v>
      </c>
      <c r="I764" t="n">
        <v>0</v>
      </c>
      <c r="J764" t="n">
        <v>0</v>
      </c>
      <c r="K764" t="n">
        <v>0</v>
      </c>
      <c r="L764" t="n">
        <v>0</v>
      </c>
      <c r="M764" t="n">
        <v>0</v>
      </c>
      <c r="N764" t="n">
        <v>0</v>
      </c>
      <c r="O764" t="n">
        <v>0</v>
      </c>
      <c r="P764" t="n">
        <v>0</v>
      </c>
      <c r="Q764" t="n">
        <v>0</v>
      </c>
      <c r="R764" s="2" t="inlineStr"/>
    </row>
    <row r="765" ht="15" customHeight="1">
      <c r="A765" t="inlineStr">
        <is>
          <t>A 33685-2024</t>
        </is>
      </c>
      <c r="B765" s="1" t="n">
        <v>45520.51063657407</v>
      </c>
      <c r="C765" s="1" t="n">
        <v>46063</v>
      </c>
      <c r="D765" t="inlineStr">
        <is>
          <t>UPPSALA LÄN</t>
        </is>
      </c>
      <c r="E765" t="inlineStr">
        <is>
          <t>ÖSTHAMMAR</t>
        </is>
      </c>
      <c r="F765" t="inlineStr">
        <is>
          <t>Bergvik skog öst AB</t>
        </is>
      </c>
      <c r="G765" t="n">
        <v>3.8</v>
      </c>
      <c r="H765" t="n">
        <v>0</v>
      </c>
      <c r="I765" t="n">
        <v>0</v>
      </c>
      <c r="J765" t="n">
        <v>0</v>
      </c>
      <c r="K765" t="n">
        <v>0</v>
      </c>
      <c r="L765" t="n">
        <v>0</v>
      </c>
      <c r="M765" t="n">
        <v>0</v>
      </c>
      <c r="N765" t="n">
        <v>0</v>
      </c>
      <c r="O765" t="n">
        <v>0</v>
      </c>
      <c r="P765" t="n">
        <v>0</v>
      </c>
      <c r="Q765" t="n">
        <v>0</v>
      </c>
      <c r="R765" s="2" t="inlineStr"/>
    </row>
    <row r="766" ht="15" customHeight="1">
      <c r="A766" t="inlineStr">
        <is>
          <t>A 44027-2024</t>
        </is>
      </c>
      <c r="B766" s="1" t="n">
        <v>45572</v>
      </c>
      <c r="C766" s="1" t="n">
        <v>46063</v>
      </c>
      <c r="D766" t="inlineStr">
        <is>
          <t>UPPSALA LÄN</t>
        </is>
      </c>
      <c r="E766" t="inlineStr">
        <is>
          <t>ÖSTHAMMAR</t>
        </is>
      </c>
      <c r="G766" t="n">
        <v>6</v>
      </c>
      <c r="H766" t="n">
        <v>0</v>
      </c>
      <c r="I766" t="n">
        <v>0</v>
      </c>
      <c r="J766" t="n">
        <v>0</v>
      </c>
      <c r="K766" t="n">
        <v>0</v>
      </c>
      <c r="L766" t="n">
        <v>0</v>
      </c>
      <c r="M766" t="n">
        <v>0</v>
      </c>
      <c r="N766" t="n">
        <v>0</v>
      </c>
      <c r="O766" t="n">
        <v>0</v>
      </c>
      <c r="P766" t="n">
        <v>0</v>
      </c>
      <c r="Q766" t="n">
        <v>0</v>
      </c>
      <c r="R766" s="2" t="inlineStr"/>
    </row>
    <row r="767" ht="15" customHeight="1">
      <c r="A767" t="inlineStr">
        <is>
          <t>A 23305-2025</t>
        </is>
      </c>
      <c r="B767" s="1" t="n">
        <v>45791.60127314815</v>
      </c>
      <c r="C767" s="1" t="n">
        <v>46063</v>
      </c>
      <c r="D767" t="inlineStr">
        <is>
          <t>UPPSALA LÄN</t>
        </is>
      </c>
      <c r="E767" t="inlineStr">
        <is>
          <t>ÖSTHAMMAR</t>
        </is>
      </c>
      <c r="G767" t="n">
        <v>1.9</v>
      </c>
      <c r="H767" t="n">
        <v>0</v>
      </c>
      <c r="I767" t="n">
        <v>0</v>
      </c>
      <c r="J767" t="n">
        <v>0</v>
      </c>
      <c r="K767" t="n">
        <v>0</v>
      </c>
      <c r="L767" t="n">
        <v>0</v>
      </c>
      <c r="M767" t="n">
        <v>0</v>
      </c>
      <c r="N767" t="n">
        <v>0</v>
      </c>
      <c r="O767" t="n">
        <v>0</v>
      </c>
      <c r="P767" t="n">
        <v>0</v>
      </c>
      <c r="Q767" t="n">
        <v>0</v>
      </c>
      <c r="R767" s="2" t="inlineStr"/>
    </row>
    <row r="768" ht="15" customHeight="1">
      <c r="A768" t="inlineStr">
        <is>
          <t>A 24606-2024</t>
        </is>
      </c>
      <c r="B768" s="1" t="n">
        <v>45460</v>
      </c>
      <c r="C768" s="1" t="n">
        <v>46063</v>
      </c>
      <c r="D768" t="inlineStr">
        <is>
          <t>UPPSALA LÄN</t>
        </is>
      </c>
      <c r="E768" t="inlineStr">
        <is>
          <t>ÖSTHAMMAR</t>
        </is>
      </c>
      <c r="F768" t="inlineStr">
        <is>
          <t>Bergvik skog öst AB</t>
        </is>
      </c>
      <c r="G768" t="n">
        <v>2.9</v>
      </c>
      <c r="H768" t="n">
        <v>0</v>
      </c>
      <c r="I768" t="n">
        <v>0</v>
      </c>
      <c r="J768" t="n">
        <v>0</v>
      </c>
      <c r="K768" t="n">
        <v>0</v>
      </c>
      <c r="L768" t="n">
        <v>0</v>
      </c>
      <c r="M768" t="n">
        <v>0</v>
      </c>
      <c r="N768" t="n">
        <v>0</v>
      </c>
      <c r="O768" t="n">
        <v>0</v>
      </c>
      <c r="P768" t="n">
        <v>0</v>
      </c>
      <c r="Q768" t="n">
        <v>0</v>
      </c>
      <c r="R768" s="2" t="inlineStr"/>
    </row>
    <row r="769" ht="15" customHeight="1">
      <c r="A769" t="inlineStr">
        <is>
          <t>A 23968-2025</t>
        </is>
      </c>
      <c r="B769" s="1" t="n">
        <v>45796</v>
      </c>
      <c r="C769" s="1" t="n">
        <v>46063</v>
      </c>
      <c r="D769" t="inlineStr">
        <is>
          <t>UPPSALA LÄN</t>
        </is>
      </c>
      <c r="E769" t="inlineStr">
        <is>
          <t>ÖSTHAMMAR</t>
        </is>
      </c>
      <c r="F769" t="inlineStr">
        <is>
          <t>Bergvik skog öst AB</t>
        </is>
      </c>
      <c r="G769" t="n">
        <v>7.5</v>
      </c>
      <c r="H769" t="n">
        <v>0</v>
      </c>
      <c r="I769" t="n">
        <v>0</v>
      </c>
      <c r="J769" t="n">
        <v>0</v>
      </c>
      <c r="K769" t="n">
        <v>0</v>
      </c>
      <c r="L769" t="n">
        <v>0</v>
      </c>
      <c r="M769" t="n">
        <v>0</v>
      </c>
      <c r="N769" t="n">
        <v>0</v>
      </c>
      <c r="O769" t="n">
        <v>0</v>
      </c>
      <c r="P769" t="n">
        <v>0</v>
      </c>
      <c r="Q769" t="n">
        <v>0</v>
      </c>
      <c r="R769" s="2" t="inlineStr"/>
    </row>
    <row r="770" ht="15" customHeight="1">
      <c r="A770" t="inlineStr">
        <is>
          <t>A 24160-2024</t>
        </is>
      </c>
      <c r="B770" s="1" t="n">
        <v>45456</v>
      </c>
      <c r="C770" s="1" t="n">
        <v>46063</v>
      </c>
      <c r="D770" t="inlineStr">
        <is>
          <t>UPPSALA LÄN</t>
        </is>
      </c>
      <c r="E770" t="inlineStr">
        <is>
          <t>ÖSTHAMMAR</t>
        </is>
      </c>
      <c r="F770" t="inlineStr">
        <is>
          <t>Bergvik skog öst AB</t>
        </is>
      </c>
      <c r="G770" t="n">
        <v>0.7</v>
      </c>
      <c r="H770" t="n">
        <v>0</v>
      </c>
      <c r="I770" t="n">
        <v>0</v>
      </c>
      <c r="J770" t="n">
        <v>0</v>
      </c>
      <c r="K770" t="n">
        <v>0</v>
      </c>
      <c r="L770" t="n">
        <v>0</v>
      </c>
      <c r="M770" t="n">
        <v>0</v>
      </c>
      <c r="N770" t="n">
        <v>0</v>
      </c>
      <c r="O770" t="n">
        <v>0</v>
      </c>
      <c r="P770" t="n">
        <v>0</v>
      </c>
      <c r="Q770" t="n">
        <v>0</v>
      </c>
      <c r="R770" s="2" t="inlineStr"/>
    </row>
    <row r="771" ht="15" customHeight="1">
      <c r="A771" t="inlineStr">
        <is>
          <t>A 1584-2025</t>
        </is>
      </c>
      <c r="B771" s="1" t="n">
        <v>45670</v>
      </c>
      <c r="C771" s="1" t="n">
        <v>46063</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24174-2025</t>
        </is>
      </c>
      <c r="B772" s="1" t="n">
        <v>45796.69207175926</v>
      </c>
      <c r="C772" s="1" t="n">
        <v>46063</v>
      </c>
      <c r="D772" t="inlineStr">
        <is>
          <t>UPPSALA LÄN</t>
        </is>
      </c>
      <c r="E772" t="inlineStr">
        <is>
          <t>ÖSTHAMMAR</t>
        </is>
      </c>
      <c r="G772" t="n">
        <v>4.9</v>
      </c>
      <c r="H772" t="n">
        <v>0</v>
      </c>
      <c r="I772" t="n">
        <v>0</v>
      </c>
      <c r="J772" t="n">
        <v>0</v>
      </c>
      <c r="K772" t="n">
        <v>0</v>
      </c>
      <c r="L772" t="n">
        <v>0</v>
      </c>
      <c r="M772" t="n">
        <v>0</v>
      </c>
      <c r="N772" t="n">
        <v>0</v>
      </c>
      <c r="O772" t="n">
        <v>0</v>
      </c>
      <c r="P772" t="n">
        <v>0</v>
      </c>
      <c r="Q772" t="n">
        <v>0</v>
      </c>
      <c r="R772" s="2" t="inlineStr"/>
    </row>
    <row r="773" ht="15" customHeight="1">
      <c r="A773" t="inlineStr">
        <is>
          <t>A 30972-2024</t>
        </is>
      </c>
      <c r="B773" s="1" t="n">
        <v>45499.47106481482</v>
      </c>
      <c r="C773" s="1" t="n">
        <v>46063</v>
      </c>
      <c r="D773" t="inlineStr">
        <is>
          <t>UPPSALA LÄN</t>
        </is>
      </c>
      <c r="E773" t="inlineStr">
        <is>
          <t>ÖSTHAMMAR</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24415-2025</t>
        </is>
      </c>
      <c r="B774" s="1" t="n">
        <v>45797.67381944445</v>
      </c>
      <c r="C774" s="1" t="n">
        <v>46063</v>
      </c>
      <c r="D774" t="inlineStr">
        <is>
          <t>UPPSALA LÄN</t>
        </is>
      </c>
      <c r="E774" t="inlineStr">
        <is>
          <t>ÖSTHAMMAR</t>
        </is>
      </c>
      <c r="G774" t="n">
        <v>0.8</v>
      </c>
      <c r="H774" t="n">
        <v>0</v>
      </c>
      <c r="I774" t="n">
        <v>0</v>
      </c>
      <c r="J774" t="n">
        <v>0</v>
      </c>
      <c r="K774" t="n">
        <v>0</v>
      </c>
      <c r="L774" t="n">
        <v>0</v>
      </c>
      <c r="M774" t="n">
        <v>0</v>
      </c>
      <c r="N774" t="n">
        <v>0</v>
      </c>
      <c r="O774" t="n">
        <v>0</v>
      </c>
      <c r="P774" t="n">
        <v>0</v>
      </c>
      <c r="Q774" t="n">
        <v>0</v>
      </c>
      <c r="R774" s="2" t="inlineStr"/>
    </row>
    <row r="775" ht="15" customHeight="1">
      <c r="A775" t="inlineStr">
        <is>
          <t>A 25049-2025</t>
        </is>
      </c>
      <c r="B775" s="1" t="n">
        <v>45799.66876157407</v>
      </c>
      <c r="C775" s="1" t="n">
        <v>46063</v>
      </c>
      <c r="D775" t="inlineStr">
        <is>
          <t>UPPSALA LÄN</t>
        </is>
      </c>
      <c r="E775" t="inlineStr">
        <is>
          <t>ÖSTHAMMAR</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24944-2025</t>
        </is>
      </c>
      <c r="B776" s="1" t="n">
        <v>45799.56347222222</v>
      </c>
      <c r="C776" s="1" t="n">
        <v>46063</v>
      </c>
      <c r="D776" t="inlineStr">
        <is>
          <t>UPPSALA LÄN</t>
        </is>
      </c>
      <c r="E776" t="inlineStr">
        <is>
          <t>ÖSTHAMMAR</t>
        </is>
      </c>
      <c r="G776" t="n">
        <v>7.3</v>
      </c>
      <c r="H776" t="n">
        <v>0</v>
      </c>
      <c r="I776" t="n">
        <v>0</v>
      </c>
      <c r="J776" t="n">
        <v>0</v>
      </c>
      <c r="K776" t="n">
        <v>0</v>
      </c>
      <c r="L776" t="n">
        <v>0</v>
      </c>
      <c r="M776" t="n">
        <v>0</v>
      </c>
      <c r="N776" t="n">
        <v>0</v>
      </c>
      <c r="O776" t="n">
        <v>0</v>
      </c>
      <c r="P776" t="n">
        <v>0</v>
      </c>
      <c r="Q776" t="n">
        <v>0</v>
      </c>
      <c r="R776" s="2" t="inlineStr"/>
    </row>
    <row r="777" ht="15" customHeight="1">
      <c r="A777" t="inlineStr">
        <is>
          <t>A 16089-2025</t>
        </is>
      </c>
      <c r="B777" s="1" t="n">
        <v>45749.84232638889</v>
      </c>
      <c r="C777" s="1" t="n">
        <v>46063</v>
      </c>
      <c r="D777" t="inlineStr">
        <is>
          <t>UPPSALA LÄN</t>
        </is>
      </c>
      <c r="E777" t="inlineStr">
        <is>
          <t>ÖSTHAMMAR</t>
        </is>
      </c>
      <c r="F777" t="inlineStr">
        <is>
          <t>Bergvik skog öst AB</t>
        </is>
      </c>
      <c r="G777" t="n">
        <v>2.6</v>
      </c>
      <c r="H777" t="n">
        <v>0</v>
      </c>
      <c r="I777" t="n">
        <v>0</v>
      </c>
      <c r="J777" t="n">
        <v>0</v>
      </c>
      <c r="K777" t="n">
        <v>0</v>
      </c>
      <c r="L777" t="n">
        <v>0</v>
      </c>
      <c r="M777" t="n">
        <v>0</v>
      </c>
      <c r="N777" t="n">
        <v>0</v>
      </c>
      <c r="O777" t="n">
        <v>0</v>
      </c>
      <c r="P777" t="n">
        <v>0</v>
      </c>
      <c r="Q777" t="n">
        <v>0</v>
      </c>
      <c r="R777" s="2" t="inlineStr"/>
    </row>
    <row r="778" ht="15" customHeight="1">
      <c r="A778" t="inlineStr">
        <is>
          <t>A 34185-2024</t>
        </is>
      </c>
      <c r="B778" s="1" t="n">
        <v>45524</v>
      </c>
      <c r="C778" s="1" t="n">
        <v>46063</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14170-2025</t>
        </is>
      </c>
      <c r="B779" s="1" t="n">
        <v>45740.51895833333</v>
      </c>
      <c r="C779" s="1" t="n">
        <v>46063</v>
      </c>
      <c r="D779" t="inlineStr">
        <is>
          <t>UPPSALA LÄN</t>
        </is>
      </c>
      <c r="E779" t="inlineStr">
        <is>
          <t>ÖSTHAMMAR</t>
        </is>
      </c>
      <c r="G779" t="n">
        <v>1.2</v>
      </c>
      <c r="H779" t="n">
        <v>0</v>
      </c>
      <c r="I779" t="n">
        <v>0</v>
      </c>
      <c r="J779" t="n">
        <v>0</v>
      </c>
      <c r="K779" t="n">
        <v>0</v>
      </c>
      <c r="L779" t="n">
        <v>0</v>
      </c>
      <c r="M779" t="n">
        <v>0</v>
      </c>
      <c r="N779" t="n">
        <v>0</v>
      </c>
      <c r="O779" t="n">
        <v>0</v>
      </c>
      <c r="P779" t="n">
        <v>0</v>
      </c>
      <c r="Q779" t="n">
        <v>0</v>
      </c>
      <c r="R779" s="2" t="inlineStr"/>
    </row>
    <row r="780" ht="15" customHeight="1">
      <c r="A780" t="inlineStr">
        <is>
          <t>A 12945-2025</t>
        </is>
      </c>
      <c r="B780" s="1" t="n">
        <v>45734.38159722222</v>
      </c>
      <c r="C780" s="1" t="n">
        <v>46063</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58297-2024</t>
        </is>
      </c>
      <c r="B781" s="1" t="n">
        <v>45632.59780092593</v>
      </c>
      <c r="C781" s="1" t="n">
        <v>46063</v>
      </c>
      <c r="D781" t="inlineStr">
        <is>
          <t>UPPSALA LÄN</t>
        </is>
      </c>
      <c r="E781" t="inlineStr">
        <is>
          <t>ÖSTHAMMAR</t>
        </is>
      </c>
      <c r="G781" t="n">
        <v>5.1</v>
      </c>
      <c r="H781" t="n">
        <v>0</v>
      </c>
      <c r="I781" t="n">
        <v>0</v>
      </c>
      <c r="J781" t="n">
        <v>0</v>
      </c>
      <c r="K781" t="n">
        <v>0</v>
      </c>
      <c r="L781" t="n">
        <v>0</v>
      </c>
      <c r="M781" t="n">
        <v>0</v>
      </c>
      <c r="N781" t="n">
        <v>0</v>
      </c>
      <c r="O781" t="n">
        <v>0</v>
      </c>
      <c r="P781" t="n">
        <v>0</v>
      </c>
      <c r="Q781" t="n">
        <v>0</v>
      </c>
      <c r="R781" s="2" t="inlineStr"/>
    </row>
    <row r="782" ht="15" customHeight="1">
      <c r="A782" t="inlineStr">
        <is>
          <t>A 26055-2025</t>
        </is>
      </c>
      <c r="B782" s="1" t="n">
        <v>45804.77559027778</v>
      </c>
      <c r="C782" s="1" t="n">
        <v>46063</v>
      </c>
      <c r="D782" t="inlineStr">
        <is>
          <t>UPPSALA LÄN</t>
        </is>
      </c>
      <c r="E782" t="inlineStr">
        <is>
          <t>ÖSTHAMMAR</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26330-2025</t>
        </is>
      </c>
      <c r="B783" s="1" t="n">
        <v>45805.68263888889</v>
      </c>
      <c r="C783" s="1" t="n">
        <v>46063</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26319-2025</t>
        </is>
      </c>
      <c r="B784" s="1" t="n">
        <v>45805.65960648148</v>
      </c>
      <c r="C784" s="1" t="n">
        <v>46063</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26521-2025</t>
        </is>
      </c>
      <c r="B785" s="1" t="n">
        <v>45807.56275462963</v>
      </c>
      <c r="C785" s="1" t="n">
        <v>46063</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26526-2025</t>
        </is>
      </c>
      <c r="B786" s="1" t="n">
        <v>45807.56612268519</v>
      </c>
      <c r="C786" s="1" t="n">
        <v>46063</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27395-2025</t>
        </is>
      </c>
      <c r="B787" s="1" t="n">
        <v>45812.6850462963</v>
      </c>
      <c r="C787" s="1" t="n">
        <v>46063</v>
      </c>
      <c r="D787" t="inlineStr">
        <is>
          <t>UPPSALA LÄN</t>
        </is>
      </c>
      <c r="E787" t="inlineStr">
        <is>
          <t>ÖSTHAMMAR</t>
        </is>
      </c>
      <c r="F787" t="inlineStr">
        <is>
          <t>Bergvik skog öst AB</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27347-2025</t>
        </is>
      </c>
      <c r="B788" s="1" t="n">
        <v>45812.62390046296</v>
      </c>
      <c r="C788" s="1" t="n">
        <v>46063</v>
      </c>
      <c r="D788" t="inlineStr">
        <is>
          <t>UPPSALA LÄN</t>
        </is>
      </c>
      <c r="E788" t="inlineStr">
        <is>
          <t>ÖSTHAMMAR</t>
        </is>
      </c>
      <c r="G788" t="n">
        <v>0.4</v>
      </c>
      <c r="H788" t="n">
        <v>0</v>
      </c>
      <c r="I788" t="n">
        <v>0</v>
      </c>
      <c r="J788" t="n">
        <v>0</v>
      </c>
      <c r="K788" t="n">
        <v>0</v>
      </c>
      <c r="L788" t="n">
        <v>0</v>
      </c>
      <c r="M788" t="n">
        <v>0</v>
      </c>
      <c r="N788" t="n">
        <v>0</v>
      </c>
      <c r="O788" t="n">
        <v>0</v>
      </c>
      <c r="P788" t="n">
        <v>0</v>
      </c>
      <c r="Q788" t="n">
        <v>0</v>
      </c>
      <c r="R788" s="2" t="inlineStr"/>
    </row>
    <row r="789" ht="15" customHeight="1">
      <c r="A789" t="inlineStr">
        <is>
          <t>A 27383-2025</t>
        </is>
      </c>
      <c r="B789" s="1" t="n">
        <v>45812.66628472223</v>
      </c>
      <c r="C789" s="1" t="n">
        <v>46063</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27385-2025</t>
        </is>
      </c>
      <c r="B790" s="1" t="n">
        <v>45812.66829861111</v>
      </c>
      <c r="C790" s="1" t="n">
        <v>46063</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27352-2025</t>
        </is>
      </c>
      <c r="B791" s="1" t="n">
        <v>45812.62694444445</v>
      </c>
      <c r="C791" s="1" t="n">
        <v>46063</v>
      </c>
      <c r="D791" t="inlineStr">
        <is>
          <t>UPPSALA LÄN</t>
        </is>
      </c>
      <c r="E791" t="inlineStr">
        <is>
          <t>ÖSTHAMMAR</t>
        </is>
      </c>
      <c r="G791" t="n">
        <v>2.5</v>
      </c>
      <c r="H791" t="n">
        <v>0</v>
      </c>
      <c r="I791" t="n">
        <v>0</v>
      </c>
      <c r="J791" t="n">
        <v>0</v>
      </c>
      <c r="K791" t="n">
        <v>0</v>
      </c>
      <c r="L791" t="n">
        <v>0</v>
      </c>
      <c r="M791" t="n">
        <v>0</v>
      </c>
      <c r="N791" t="n">
        <v>0</v>
      </c>
      <c r="O791" t="n">
        <v>0</v>
      </c>
      <c r="P791" t="n">
        <v>0</v>
      </c>
      <c r="Q791" t="n">
        <v>0</v>
      </c>
      <c r="R791" s="2" t="inlineStr"/>
    </row>
    <row r="792" ht="15" customHeight="1">
      <c r="A792" t="inlineStr">
        <is>
          <t>A 27131-2025</t>
        </is>
      </c>
      <c r="B792" s="1" t="n">
        <v>45811</v>
      </c>
      <c r="C792" s="1" t="n">
        <v>46063</v>
      </c>
      <c r="D792" t="inlineStr">
        <is>
          <t>UPPSALA LÄN</t>
        </is>
      </c>
      <c r="E792" t="inlineStr">
        <is>
          <t>ÖSTHAMMAR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27392-2025</t>
        </is>
      </c>
      <c r="B793" s="1" t="n">
        <v>45812.68268518519</v>
      </c>
      <c r="C793" s="1" t="n">
        <v>46063</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27058-2025</t>
        </is>
      </c>
      <c r="B794" s="1" t="n">
        <v>45811.63436342592</v>
      </c>
      <c r="C794" s="1" t="n">
        <v>46063</v>
      </c>
      <c r="D794" t="inlineStr">
        <is>
          <t>UPPSALA LÄN</t>
        </is>
      </c>
      <c r="E794" t="inlineStr">
        <is>
          <t>ÖSTHAMMAR</t>
        </is>
      </c>
      <c r="F794" t="inlineStr">
        <is>
          <t>Bergvik skog öst AB</t>
        </is>
      </c>
      <c r="G794" t="n">
        <v>5.7</v>
      </c>
      <c r="H794" t="n">
        <v>0</v>
      </c>
      <c r="I794" t="n">
        <v>0</v>
      </c>
      <c r="J794" t="n">
        <v>0</v>
      </c>
      <c r="K794" t="n">
        <v>0</v>
      </c>
      <c r="L794" t="n">
        <v>0</v>
      </c>
      <c r="M794" t="n">
        <v>0</v>
      </c>
      <c r="N794" t="n">
        <v>0</v>
      </c>
      <c r="O794" t="n">
        <v>0</v>
      </c>
      <c r="P794" t="n">
        <v>0</v>
      </c>
      <c r="Q794" t="n">
        <v>0</v>
      </c>
      <c r="R794" s="2" t="inlineStr"/>
    </row>
    <row r="795" ht="15" customHeight="1">
      <c r="A795" t="inlineStr">
        <is>
          <t>A 27350-2025</t>
        </is>
      </c>
      <c r="B795" s="1" t="n">
        <v>45812.62571759259</v>
      </c>
      <c r="C795" s="1" t="n">
        <v>46063</v>
      </c>
      <c r="D795" t="inlineStr">
        <is>
          <t>UPPSALA LÄN</t>
        </is>
      </c>
      <c r="E795" t="inlineStr">
        <is>
          <t>ÖSTHAMMAR</t>
        </is>
      </c>
      <c r="G795" t="n">
        <v>1</v>
      </c>
      <c r="H795" t="n">
        <v>0</v>
      </c>
      <c r="I795" t="n">
        <v>0</v>
      </c>
      <c r="J795" t="n">
        <v>0</v>
      </c>
      <c r="K795" t="n">
        <v>0</v>
      </c>
      <c r="L795" t="n">
        <v>0</v>
      </c>
      <c r="M795" t="n">
        <v>0</v>
      </c>
      <c r="N795" t="n">
        <v>0</v>
      </c>
      <c r="O795" t="n">
        <v>0</v>
      </c>
      <c r="P795" t="n">
        <v>0</v>
      </c>
      <c r="Q795" t="n">
        <v>0</v>
      </c>
      <c r="R795" s="2" t="inlineStr"/>
    </row>
    <row r="796" ht="15" customHeight="1">
      <c r="A796" t="inlineStr">
        <is>
          <t>A 27132-2025</t>
        </is>
      </c>
      <c r="B796" s="1" t="n">
        <v>45811</v>
      </c>
      <c r="C796" s="1" t="n">
        <v>46063</v>
      </c>
      <c r="D796" t="inlineStr">
        <is>
          <t>UPPSALA LÄN</t>
        </is>
      </c>
      <c r="E796" t="inlineStr">
        <is>
          <t>ÖSTHAMMAR</t>
        </is>
      </c>
      <c r="G796" t="n">
        <v>2.3</v>
      </c>
      <c r="H796" t="n">
        <v>0</v>
      </c>
      <c r="I796" t="n">
        <v>0</v>
      </c>
      <c r="J796" t="n">
        <v>0</v>
      </c>
      <c r="K796" t="n">
        <v>0</v>
      </c>
      <c r="L796" t="n">
        <v>0</v>
      </c>
      <c r="M796" t="n">
        <v>0</v>
      </c>
      <c r="N796" t="n">
        <v>0</v>
      </c>
      <c r="O796" t="n">
        <v>0</v>
      </c>
      <c r="P796" t="n">
        <v>0</v>
      </c>
      <c r="Q796" t="n">
        <v>0</v>
      </c>
      <c r="R796" s="2" t="inlineStr"/>
    </row>
    <row r="797" ht="15" customHeight="1">
      <c r="A797" t="inlineStr">
        <is>
          <t>A 8330-2025</t>
        </is>
      </c>
      <c r="B797" s="1" t="n">
        <v>45708</v>
      </c>
      <c r="C797" s="1" t="n">
        <v>46063</v>
      </c>
      <c r="D797" t="inlineStr">
        <is>
          <t>UPPSALA LÄN</t>
        </is>
      </c>
      <c r="E797" t="inlineStr">
        <is>
          <t>ÖSTHAMMAR</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27563-2025</t>
        </is>
      </c>
      <c r="B798" s="1" t="n">
        <v>45813.48471064815</v>
      </c>
      <c r="C798" s="1" t="n">
        <v>46063</v>
      </c>
      <c r="D798" t="inlineStr">
        <is>
          <t>UPPSALA LÄN</t>
        </is>
      </c>
      <c r="E798" t="inlineStr">
        <is>
          <t>ÖSTHAMMAR</t>
        </is>
      </c>
      <c r="F798" t="inlineStr">
        <is>
          <t>Bergvik skog öst AB</t>
        </is>
      </c>
      <c r="G798" t="n">
        <v>4</v>
      </c>
      <c r="H798" t="n">
        <v>0</v>
      </c>
      <c r="I798" t="n">
        <v>0</v>
      </c>
      <c r="J798" t="n">
        <v>0</v>
      </c>
      <c r="K798" t="n">
        <v>0</v>
      </c>
      <c r="L798" t="n">
        <v>0</v>
      </c>
      <c r="M798" t="n">
        <v>0</v>
      </c>
      <c r="N798" t="n">
        <v>0</v>
      </c>
      <c r="O798" t="n">
        <v>0</v>
      </c>
      <c r="P798" t="n">
        <v>0</v>
      </c>
      <c r="Q798" t="n">
        <v>0</v>
      </c>
      <c r="R798" s="2" t="inlineStr"/>
    </row>
    <row r="799" ht="15" customHeight="1">
      <c r="A799" t="inlineStr">
        <is>
          <t>A 27920-2025</t>
        </is>
      </c>
      <c r="B799" s="1" t="n">
        <v>45817.48454861111</v>
      </c>
      <c r="C799" s="1" t="n">
        <v>46063</v>
      </c>
      <c r="D799" t="inlineStr">
        <is>
          <t>UPPSALA LÄN</t>
        </is>
      </c>
      <c r="E799" t="inlineStr">
        <is>
          <t>ÖSTHAMMAR</t>
        </is>
      </c>
      <c r="F799" t="inlineStr">
        <is>
          <t>Bergvik skog öst AB</t>
        </is>
      </c>
      <c r="G799" t="n">
        <v>0.6</v>
      </c>
      <c r="H799" t="n">
        <v>0</v>
      </c>
      <c r="I799" t="n">
        <v>0</v>
      </c>
      <c r="J799" t="n">
        <v>0</v>
      </c>
      <c r="K799" t="n">
        <v>0</v>
      </c>
      <c r="L799" t="n">
        <v>0</v>
      </c>
      <c r="M799" t="n">
        <v>0</v>
      </c>
      <c r="N799" t="n">
        <v>0</v>
      </c>
      <c r="O799" t="n">
        <v>0</v>
      </c>
      <c r="P799" t="n">
        <v>0</v>
      </c>
      <c r="Q799" t="n">
        <v>0</v>
      </c>
      <c r="R799" s="2" t="inlineStr"/>
    </row>
    <row r="800">
      <c r="A800" t="inlineStr">
        <is>
          <t>A 27812-2025</t>
        </is>
      </c>
      <c r="B800" s="1" t="n">
        <v>45817.32150462963</v>
      </c>
      <c r="C800" s="1" t="n">
        <v>46063</v>
      </c>
      <c r="D800" t="inlineStr">
        <is>
          <t>UPPSALA LÄN</t>
        </is>
      </c>
      <c r="E800" t="inlineStr">
        <is>
          <t>ÖSTHAMMAR</t>
        </is>
      </c>
      <c r="F800" t="inlineStr">
        <is>
          <t>Bergvik skog öst AB</t>
        </is>
      </c>
      <c r="G800" t="n">
        <v>1.8</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2026-02-10T11:02:20Z</dcterms:created>
  <dcterms:modified xmlns:dcterms="http://purl.org/dc/terms/" xmlns:xsi="http://www.w3.org/2001/XMLSchema-instance" xsi:type="dcterms:W3CDTF">2026-02-10T11:02:21Z</dcterms:modified>
</cp:coreProperties>
</file>