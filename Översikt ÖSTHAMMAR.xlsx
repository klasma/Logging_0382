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46070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46070</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46070</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46070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46070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46070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46070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46070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46070</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46070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46070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46070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46070</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46070</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46070</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26056-2025</t>
        </is>
      </c>
      <c r="B36" s="1" t="n">
        <v>45804.79280092593</v>
      </c>
      <c r="C36" s="1" t="n">
        <v>46070</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46070</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46070</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1101-2026</t>
        </is>
      </c>
      <c r="B39" s="1" t="n">
        <v>46030.66722222222</v>
      </c>
      <c r="C39" s="1" t="n">
        <v>46070</v>
      </c>
      <c r="D39" t="inlineStr">
        <is>
          <t>UPPSALA LÄN</t>
        </is>
      </c>
      <c r="E39" t="inlineStr">
        <is>
          <t>ÖSTHAMMAR</t>
        </is>
      </c>
      <c r="G39" t="n">
        <v>4.1</v>
      </c>
      <c r="H39" t="n">
        <v>2</v>
      </c>
      <c r="I39" t="n">
        <v>3</v>
      </c>
      <c r="J39" t="n">
        <v>1</v>
      </c>
      <c r="K39" t="n">
        <v>0</v>
      </c>
      <c r="L39" t="n">
        <v>1</v>
      </c>
      <c r="M39" t="n">
        <v>0</v>
      </c>
      <c r="N39" t="n">
        <v>0</v>
      </c>
      <c r="O39" t="n">
        <v>2</v>
      </c>
      <c r="P39" t="n">
        <v>1</v>
      </c>
      <c r="Q39" t="n">
        <v>5</v>
      </c>
      <c r="R39" s="2" t="inlineStr">
        <is>
          <t>Bredgentiana
Loppstarr
Fjällig taggsvamp s.str.
Nästrot
Tjockfotad fingersvamp</t>
        </is>
      </c>
      <c r="S39">
        <f>HYPERLINK("https://klasma.github.io/Logging_0382/artfynd/A 1101-2026 artfynd.xlsx", "A 1101-2026")</f>
        <v/>
      </c>
      <c r="T39">
        <f>HYPERLINK("https://klasma.github.io/Logging_0382/kartor/A 1101-2026 karta.png", "A 1101-2026")</f>
        <v/>
      </c>
      <c r="U39">
        <f>HYPERLINK("https://klasma.github.io/Logging_0382/knärot/A 1101-2026 karta knärot.png", "A 1101-2026")</f>
        <v/>
      </c>
      <c r="V39">
        <f>HYPERLINK("https://klasma.github.io/Logging_0382/klagomål/A 1101-2026 FSC-klagomål.docx", "A 1101-2026")</f>
        <v/>
      </c>
      <c r="W39">
        <f>HYPERLINK("https://klasma.github.io/Logging_0382/klagomålsmail/A 1101-2026 FSC-klagomål mail.docx", "A 1101-2026")</f>
        <v/>
      </c>
      <c r="X39">
        <f>HYPERLINK("https://klasma.github.io/Logging_0382/tillsyn/A 1101-2026 tillsynsbegäran.docx", "A 1101-2026")</f>
        <v/>
      </c>
      <c r="Y39">
        <f>HYPERLINK("https://klasma.github.io/Logging_0382/tillsynsmail/A 1101-2026 tillsynsbegäran mail.docx", "A 1101-2026")</f>
        <v/>
      </c>
    </row>
    <row r="40" ht="15" customHeight="1">
      <c r="A40" t="inlineStr">
        <is>
          <t>A 24563-2022</t>
        </is>
      </c>
      <c r="B40" s="1" t="n">
        <v>44727</v>
      </c>
      <c r="C40" s="1" t="n">
        <v>46070</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46070</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46070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46070</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46070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46070</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46070</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46070</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46070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46070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46070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46070</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46070</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46070</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46070</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46070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6567-2026</t>
        </is>
      </c>
      <c r="B56" s="1" t="n">
        <v>46056.44011574074</v>
      </c>
      <c r="C56" s="1" t="n">
        <v>46070</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9715-2024</t>
        </is>
      </c>
      <c r="B57" s="1" t="n">
        <v>45362.53928240741</v>
      </c>
      <c r="C57" s="1" t="n">
        <v>46070</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46070</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46070</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46070</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46070</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46070</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46070</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46070</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46070</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46070</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46070</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46070</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56669-2025</t>
        </is>
      </c>
      <c r="B69" s="1" t="n">
        <v>45975.69306712963</v>
      </c>
      <c r="C69" s="1" t="n">
        <v>46070</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13287-2022</t>
        </is>
      </c>
      <c r="B70" s="1" t="n">
        <v>44644</v>
      </c>
      <c r="C70" s="1" t="n">
        <v>46070</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60898-2025</t>
        </is>
      </c>
      <c r="B71" s="1" t="n">
        <v>45999.58256944444</v>
      </c>
      <c r="C71" s="1" t="n">
        <v>46070</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30943-2024</t>
        </is>
      </c>
      <c r="B72" s="1" t="n">
        <v>45499</v>
      </c>
      <c r="C72" s="1" t="n">
        <v>46070</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61400-2025</t>
        </is>
      </c>
      <c r="B73" s="1" t="n">
        <v>46001.47858796296</v>
      </c>
      <c r="C73" s="1" t="n">
        <v>46070</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9646-2024</t>
        </is>
      </c>
      <c r="B74" s="1" t="n">
        <v>45362.37055555556</v>
      </c>
      <c r="C74" s="1" t="n">
        <v>46070</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26277-2024</t>
        </is>
      </c>
      <c r="B75" s="1" t="n">
        <v>45468</v>
      </c>
      <c r="C75" s="1" t="n">
        <v>46070</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46070</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46070</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46070</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46070</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46070</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38442-2022</t>
        </is>
      </c>
      <c r="B81" s="1" t="n">
        <v>44813</v>
      </c>
      <c r="C81" s="1" t="n">
        <v>46070</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46070</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46070</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46070</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46070</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14203-2024</t>
        </is>
      </c>
      <c r="B86" s="1" t="n">
        <v>45393</v>
      </c>
      <c r="C86" s="1" t="n">
        <v>46070</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7446-2022</t>
        </is>
      </c>
      <c r="B87" s="1" t="n">
        <v>44606</v>
      </c>
      <c r="C87" s="1" t="n">
        <v>46070</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41220-2025</t>
        </is>
      </c>
      <c r="B88" s="1" t="n">
        <v>45898.58630787037</v>
      </c>
      <c r="C88" s="1" t="n">
        <v>46070</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46070</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4714-2026</t>
        </is>
      </c>
      <c r="B90" s="1" t="n">
        <v>46048.46175925926</v>
      </c>
      <c r="C90" s="1" t="n">
        <v>46070</v>
      </c>
      <c r="D90" t="inlineStr">
        <is>
          <t>UPPSALA LÄN</t>
        </is>
      </c>
      <c r="E90" t="inlineStr">
        <is>
          <t>ÖSTHAMMAR</t>
        </is>
      </c>
      <c r="G90" t="n">
        <v>6.3</v>
      </c>
      <c r="H90" t="n">
        <v>1</v>
      </c>
      <c r="I90" t="n">
        <v>0</v>
      </c>
      <c r="J90" t="n">
        <v>1</v>
      </c>
      <c r="K90" t="n">
        <v>0</v>
      </c>
      <c r="L90" t="n">
        <v>0</v>
      </c>
      <c r="M90" t="n">
        <v>0</v>
      </c>
      <c r="N90" t="n">
        <v>0</v>
      </c>
      <c r="O90" t="n">
        <v>1</v>
      </c>
      <c r="P90" t="n">
        <v>0</v>
      </c>
      <c r="Q90" t="n">
        <v>1</v>
      </c>
      <c r="R90" s="2" t="inlineStr">
        <is>
          <t>Nordfladdermus</t>
        </is>
      </c>
      <c r="S90">
        <f>HYPERLINK("https://klasma.github.io/Logging_0382/artfynd/A 4714-2026 artfynd.xlsx", "A 4714-2026")</f>
        <v/>
      </c>
      <c r="T90">
        <f>HYPERLINK("https://klasma.github.io/Logging_0382/kartor/A 4714-2026 karta.png", "A 4714-2026")</f>
        <v/>
      </c>
      <c r="V90">
        <f>HYPERLINK("https://klasma.github.io/Logging_0382/klagomål/A 4714-2026 FSC-klagomål.docx", "A 4714-2026")</f>
        <v/>
      </c>
      <c r="W90">
        <f>HYPERLINK("https://klasma.github.io/Logging_0382/klagomålsmail/A 4714-2026 FSC-klagomål mail.docx", "A 4714-2026")</f>
        <v/>
      </c>
      <c r="X90">
        <f>HYPERLINK("https://klasma.github.io/Logging_0382/tillsyn/A 4714-2026 tillsynsbegäran.docx", "A 4714-2026")</f>
        <v/>
      </c>
      <c r="Y90">
        <f>HYPERLINK("https://klasma.github.io/Logging_0382/tillsynsmail/A 4714-2026 tillsynsbegäran mail.docx", "A 4714-2026")</f>
        <v/>
      </c>
    </row>
    <row r="91" ht="15" customHeight="1">
      <c r="A91" t="inlineStr">
        <is>
          <t>A 30605-2025</t>
        </is>
      </c>
      <c r="B91" s="1" t="n">
        <v>45831.45510416666</v>
      </c>
      <c r="C91" s="1" t="n">
        <v>46070</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61574-2025</t>
        </is>
      </c>
      <c r="B92" s="1" t="n">
        <v>46002</v>
      </c>
      <c r="C92" s="1" t="n">
        <v>46070</v>
      </c>
      <c r="D92" t="inlineStr">
        <is>
          <t>UPPSALA LÄN</t>
        </is>
      </c>
      <c r="E92" t="inlineStr">
        <is>
          <t>ÖSTHAMMAR</t>
        </is>
      </c>
      <c r="F92" t="inlineStr">
        <is>
          <t>Övriga Aktiebolag</t>
        </is>
      </c>
      <c r="G92" t="n">
        <v>16.6</v>
      </c>
      <c r="H92" t="n">
        <v>1</v>
      </c>
      <c r="I92" t="n">
        <v>0</v>
      </c>
      <c r="J92" t="n">
        <v>0</v>
      </c>
      <c r="K92" t="n">
        <v>1</v>
      </c>
      <c r="L92" t="n">
        <v>0</v>
      </c>
      <c r="M92" t="n">
        <v>0</v>
      </c>
      <c r="N92" t="n">
        <v>0</v>
      </c>
      <c r="O92" t="n">
        <v>1</v>
      </c>
      <c r="P92" t="n">
        <v>1</v>
      </c>
      <c r="Q92" t="n">
        <v>1</v>
      </c>
      <c r="R92" s="2" t="inlineStr">
        <is>
          <t>Hällebräcka</t>
        </is>
      </c>
      <c r="S92">
        <f>HYPERLINK("https://klasma.github.io/Logging_0382/artfynd/A 61574-2025 artfynd.xlsx", "A 61574-2025")</f>
        <v/>
      </c>
      <c r="T92">
        <f>HYPERLINK("https://klasma.github.io/Logging_0382/kartor/A 61574-2025 karta.png", "A 61574-2025")</f>
        <v/>
      </c>
      <c r="V92">
        <f>HYPERLINK("https://klasma.github.io/Logging_0382/klagomål/A 61574-2025 FSC-klagomål.docx", "A 61574-2025")</f>
        <v/>
      </c>
      <c r="W92">
        <f>HYPERLINK("https://klasma.github.io/Logging_0382/klagomålsmail/A 61574-2025 FSC-klagomål mail.docx", "A 61574-2025")</f>
        <v/>
      </c>
      <c r="X92">
        <f>HYPERLINK("https://klasma.github.io/Logging_0382/tillsyn/A 61574-2025 tillsynsbegäran.docx", "A 61574-2025")</f>
        <v/>
      </c>
      <c r="Y92">
        <f>HYPERLINK("https://klasma.github.io/Logging_0382/tillsynsmail/A 61574-2025 tillsynsbegäran mail.docx", "A 61574-2025")</f>
        <v/>
      </c>
    </row>
    <row r="93" ht="15" customHeight="1">
      <c r="A93" t="inlineStr">
        <is>
          <t>A 46629-2024</t>
        </is>
      </c>
      <c r="B93" s="1" t="n">
        <v>45583.33221064815</v>
      </c>
      <c r="C93" s="1" t="n">
        <v>46070</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6507-2026</t>
        </is>
      </c>
      <c r="B94" s="1" t="n">
        <v>46056.38474537037</v>
      </c>
      <c r="C94" s="1" t="n">
        <v>46070</v>
      </c>
      <c r="D94" t="inlineStr">
        <is>
          <t>UPPSALA LÄN</t>
        </is>
      </c>
      <c r="E94" t="inlineStr">
        <is>
          <t>ÖSTHAMMAR</t>
        </is>
      </c>
      <c r="F94" t="inlineStr">
        <is>
          <t>Bergvik skog öst AB</t>
        </is>
      </c>
      <c r="G94" t="n">
        <v>1.5</v>
      </c>
      <c r="H94" t="n">
        <v>0</v>
      </c>
      <c r="I94" t="n">
        <v>1</v>
      </c>
      <c r="J94" t="n">
        <v>0</v>
      </c>
      <c r="K94" t="n">
        <v>0</v>
      </c>
      <c r="L94" t="n">
        <v>0</v>
      </c>
      <c r="M94" t="n">
        <v>0</v>
      </c>
      <c r="N94" t="n">
        <v>0</v>
      </c>
      <c r="O94" t="n">
        <v>0</v>
      </c>
      <c r="P94" t="n">
        <v>0</v>
      </c>
      <c r="Q94" t="n">
        <v>1</v>
      </c>
      <c r="R94" s="2" t="inlineStr">
        <is>
          <t>Tibast</t>
        </is>
      </c>
      <c r="S94">
        <f>HYPERLINK("https://klasma.github.io/Logging_0382/artfynd/A 6507-2026 artfynd.xlsx", "A 6507-2026")</f>
        <v/>
      </c>
      <c r="T94">
        <f>HYPERLINK("https://klasma.github.io/Logging_0382/kartor/A 6507-2026 karta.png", "A 6507-2026")</f>
        <v/>
      </c>
      <c r="V94">
        <f>HYPERLINK("https://klasma.github.io/Logging_0382/klagomål/A 6507-2026 FSC-klagomål.docx", "A 6507-2026")</f>
        <v/>
      </c>
      <c r="W94">
        <f>HYPERLINK("https://klasma.github.io/Logging_0382/klagomålsmail/A 6507-2026 FSC-klagomål mail.docx", "A 6507-2026")</f>
        <v/>
      </c>
      <c r="X94">
        <f>HYPERLINK("https://klasma.github.io/Logging_0382/tillsyn/A 6507-2026 tillsynsbegäran.docx", "A 6507-2026")</f>
        <v/>
      </c>
      <c r="Y94">
        <f>HYPERLINK("https://klasma.github.io/Logging_0382/tillsynsmail/A 6507-2026 tillsynsbegäran mail.docx", "A 6507-2026")</f>
        <v/>
      </c>
    </row>
    <row r="95" ht="15" customHeight="1">
      <c r="A95" t="inlineStr">
        <is>
          <t>A 52879-2025</t>
        </is>
      </c>
      <c r="B95" s="1" t="n">
        <v>45957.544375</v>
      </c>
      <c r="C95" s="1" t="n">
        <v>46070</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10034-2023</t>
        </is>
      </c>
      <c r="B96" s="1" t="n">
        <v>44985</v>
      </c>
      <c r="C96" s="1" t="n">
        <v>46070</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7470-2022</t>
        </is>
      </c>
      <c r="B97" s="1" t="n">
        <v>44607</v>
      </c>
      <c r="C97" s="1" t="n">
        <v>46070</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46070</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46070</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46070</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61410-2025</t>
        </is>
      </c>
      <c r="B101" s="1" t="n">
        <v>46001.51974537037</v>
      </c>
      <c r="C101" s="1" t="n">
        <v>46070</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25179-2023</t>
        </is>
      </c>
      <c r="B102" s="1" t="n">
        <v>45078</v>
      </c>
      <c r="C102" s="1" t="n">
        <v>46070</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46070</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14706-2023</t>
        </is>
      </c>
      <c r="B104" s="1" t="n">
        <v>45013</v>
      </c>
      <c r="C104" s="1" t="n">
        <v>46070</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1227-2022</t>
        </is>
      </c>
      <c r="B105" s="1" t="n">
        <v>44572.57641203704</v>
      </c>
      <c r="C105" s="1" t="n">
        <v>46070</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46070</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46070</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46070</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46070</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46070</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46070</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46070</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46070</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46070</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73983-2021</t>
        </is>
      </c>
      <c r="B115" s="1" t="n">
        <v>44555.80506944445</v>
      </c>
      <c r="C115" s="1" t="n">
        <v>46070</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46070</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46070</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46070</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46070</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46070</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46070</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46070</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46070</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46070</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46070</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46070</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46070</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46070</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46070</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46070</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46070</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46070</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46070</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46070</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46070</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46070</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46070</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46070</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46070</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46070</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46070</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46070</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46070</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46070</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46070</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46070</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46070</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46070</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46070</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46070</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46070</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46070</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46070</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46070</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46070</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46070</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46070</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46070</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46070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46070</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46070</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46070</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46070</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46070</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46070</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46070</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46070</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46070</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46070</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46070</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46070</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46070</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46070</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46070</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46070</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46070</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46070</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46070</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46070</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46070</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46070</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46070</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31182-2022</t>
        </is>
      </c>
      <c r="B184" s="1" t="n">
        <v>44770</v>
      </c>
      <c r="C184" s="1" t="n">
        <v>46070</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26534-2022</t>
        </is>
      </c>
      <c r="B185" s="1" t="n">
        <v>44739</v>
      </c>
      <c r="C185" s="1" t="n">
        <v>46070</v>
      </c>
      <c r="D185" t="inlineStr">
        <is>
          <t>UPPSALA LÄN</t>
        </is>
      </c>
      <c r="E185" t="inlineStr">
        <is>
          <t>ÖSTHAMMAR</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52898-2021</t>
        </is>
      </c>
      <c r="B186" s="1" t="n">
        <v>44467</v>
      </c>
      <c r="C186" s="1" t="n">
        <v>46070</v>
      </c>
      <c r="D186" t="inlineStr">
        <is>
          <t>UPPSALA LÄN</t>
        </is>
      </c>
      <c r="E186" t="inlineStr">
        <is>
          <t>ÖSTHAMMAR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9789-2022</t>
        </is>
      </c>
      <c r="B187" s="1" t="n">
        <v>44620.35590277778</v>
      </c>
      <c r="C187" s="1" t="n">
        <v>46070</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46070</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46070</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46070</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46070</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46070</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12999-2022</t>
        </is>
      </c>
      <c r="B193" s="1" t="n">
        <v>44643.4372337963</v>
      </c>
      <c r="C193" s="1" t="n">
        <v>46070</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16185-2022</t>
        </is>
      </c>
      <c r="B194" s="1" t="n">
        <v>44669</v>
      </c>
      <c r="C194" s="1" t="n">
        <v>46070</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46070</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22887-2022</t>
        </is>
      </c>
      <c r="B196" s="1" t="n">
        <v>44715</v>
      </c>
      <c r="C196" s="1" t="n">
        <v>46070</v>
      </c>
      <c r="D196" t="inlineStr">
        <is>
          <t>UPPSALA LÄN</t>
        </is>
      </c>
      <c r="E196" t="inlineStr">
        <is>
          <t>ÖSTHAMMAR</t>
        </is>
      </c>
      <c r="G196" t="n">
        <v>0.2</v>
      </c>
      <c r="H196" t="n">
        <v>0</v>
      </c>
      <c r="I196" t="n">
        <v>0</v>
      </c>
      <c r="J196" t="n">
        <v>0</v>
      </c>
      <c r="K196" t="n">
        <v>0</v>
      </c>
      <c r="L196" t="n">
        <v>0</v>
      </c>
      <c r="M196" t="n">
        <v>0</v>
      </c>
      <c r="N196" t="n">
        <v>0</v>
      </c>
      <c r="O196" t="n">
        <v>0</v>
      </c>
      <c r="P196" t="n">
        <v>0</v>
      </c>
      <c r="Q196" t="n">
        <v>0</v>
      </c>
      <c r="R196" s="2" t="inlineStr"/>
    </row>
    <row r="197" ht="15" customHeight="1">
      <c r="A197" t="inlineStr">
        <is>
          <t>A 52544-2021</t>
        </is>
      </c>
      <c r="B197" s="1" t="n">
        <v>44466</v>
      </c>
      <c r="C197" s="1" t="n">
        <v>46070</v>
      </c>
      <c r="D197" t="inlineStr">
        <is>
          <t>UPPSALA LÄN</t>
        </is>
      </c>
      <c r="E197" t="inlineStr">
        <is>
          <t>ÖSTHAMMAR</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34418-2022</t>
        </is>
      </c>
      <c r="B198" s="1" t="n">
        <v>44792</v>
      </c>
      <c r="C198" s="1" t="n">
        <v>46070</v>
      </c>
      <c r="D198" t="inlineStr">
        <is>
          <t>UPPSALA LÄN</t>
        </is>
      </c>
      <c r="E198" t="inlineStr">
        <is>
          <t>ÖSTHAMMAR</t>
        </is>
      </c>
      <c r="G198" t="n">
        <v>0.3</v>
      </c>
      <c r="H198" t="n">
        <v>0</v>
      </c>
      <c r="I198" t="n">
        <v>0</v>
      </c>
      <c r="J198" t="n">
        <v>0</v>
      </c>
      <c r="K198" t="n">
        <v>0</v>
      </c>
      <c r="L198" t="n">
        <v>0</v>
      </c>
      <c r="M198" t="n">
        <v>0</v>
      </c>
      <c r="N198" t="n">
        <v>0</v>
      </c>
      <c r="O198" t="n">
        <v>0</v>
      </c>
      <c r="P198" t="n">
        <v>0</v>
      </c>
      <c r="Q198" t="n">
        <v>0</v>
      </c>
      <c r="R198" s="2" t="inlineStr"/>
    </row>
    <row r="199" ht="15" customHeight="1">
      <c r="A199" t="inlineStr">
        <is>
          <t>A 57003-2021</t>
        </is>
      </c>
      <c r="B199" s="1" t="n">
        <v>44482.47577546296</v>
      </c>
      <c r="C199" s="1" t="n">
        <v>46070</v>
      </c>
      <c r="D199" t="inlineStr">
        <is>
          <t>UPPSALA LÄN</t>
        </is>
      </c>
      <c r="E199" t="inlineStr">
        <is>
          <t>ÖSTHAMMAR</t>
        </is>
      </c>
      <c r="G199" t="n">
        <v>1.9</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46070</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2085-2022</t>
        </is>
      </c>
      <c r="B201" s="1" t="n">
        <v>44576.78626157407</v>
      </c>
      <c r="C201" s="1" t="n">
        <v>46070</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17651-2025</t>
        </is>
      </c>
      <c r="B202" s="1" t="n">
        <v>45758.33304398148</v>
      </c>
      <c r="C202" s="1" t="n">
        <v>46070</v>
      </c>
      <c r="D202" t="inlineStr">
        <is>
          <t>UPPSALA LÄN</t>
        </is>
      </c>
      <c r="E202" t="inlineStr">
        <is>
          <t>ÖSTHAMMAR</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48719-2023</t>
        </is>
      </c>
      <c r="B203" s="1" t="n">
        <v>45208.70452546296</v>
      </c>
      <c r="C203" s="1" t="n">
        <v>46070</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31574-2022</t>
        </is>
      </c>
      <c r="B204" s="1" t="n">
        <v>44775</v>
      </c>
      <c r="C204" s="1" t="n">
        <v>46070</v>
      </c>
      <c r="D204" t="inlineStr">
        <is>
          <t>UPPSALA LÄN</t>
        </is>
      </c>
      <c r="E204" t="inlineStr">
        <is>
          <t>ÖSTHAMMAR</t>
        </is>
      </c>
      <c r="G204" t="n">
        <v>29.7</v>
      </c>
      <c r="H204" t="n">
        <v>0</v>
      </c>
      <c r="I204" t="n">
        <v>0</v>
      </c>
      <c r="J204" t="n">
        <v>0</v>
      </c>
      <c r="K204" t="n">
        <v>0</v>
      </c>
      <c r="L204" t="n">
        <v>0</v>
      </c>
      <c r="M204" t="n">
        <v>0</v>
      </c>
      <c r="N204" t="n">
        <v>0</v>
      </c>
      <c r="O204" t="n">
        <v>0</v>
      </c>
      <c r="P204" t="n">
        <v>0</v>
      </c>
      <c r="Q204" t="n">
        <v>0</v>
      </c>
      <c r="R204" s="2" t="inlineStr"/>
    </row>
    <row r="205" ht="15" customHeight="1">
      <c r="A205" t="inlineStr">
        <is>
          <t>A 21862-2023</t>
        </is>
      </c>
      <c r="B205" s="1" t="n">
        <v>45068</v>
      </c>
      <c r="C205" s="1" t="n">
        <v>46070</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55086-2024</t>
        </is>
      </c>
      <c r="B206" s="1" t="n">
        <v>45621.43098379629</v>
      </c>
      <c r="C206" s="1" t="n">
        <v>46070</v>
      </c>
      <c r="D206" t="inlineStr">
        <is>
          <t>UPPSALA LÄN</t>
        </is>
      </c>
      <c r="E206" t="inlineStr">
        <is>
          <t>ÖSTHAMMAR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62695-2023</t>
        </is>
      </c>
      <c r="B207" s="1" t="n">
        <v>45271</v>
      </c>
      <c r="C207" s="1" t="n">
        <v>46070</v>
      </c>
      <c r="D207" t="inlineStr">
        <is>
          <t>UPPSALA LÄN</t>
        </is>
      </c>
      <c r="E207" t="inlineStr">
        <is>
          <t>ÖSTHAMMAR</t>
        </is>
      </c>
      <c r="G207" t="n">
        <v>5.3</v>
      </c>
      <c r="H207" t="n">
        <v>0</v>
      </c>
      <c r="I207" t="n">
        <v>0</v>
      </c>
      <c r="J207" t="n">
        <v>0</v>
      </c>
      <c r="K207" t="n">
        <v>0</v>
      </c>
      <c r="L207" t="n">
        <v>0</v>
      </c>
      <c r="M207" t="n">
        <v>0</v>
      </c>
      <c r="N207" t="n">
        <v>0</v>
      </c>
      <c r="O207" t="n">
        <v>0</v>
      </c>
      <c r="P207" t="n">
        <v>0</v>
      </c>
      <c r="Q207" t="n">
        <v>0</v>
      </c>
      <c r="R207" s="2" t="inlineStr"/>
    </row>
    <row r="208" ht="15" customHeight="1">
      <c r="A208" t="inlineStr">
        <is>
          <t>A 10982-2023</t>
        </is>
      </c>
      <c r="B208" s="1" t="n">
        <v>44991.62203703704</v>
      </c>
      <c r="C208" s="1" t="n">
        <v>46070</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4559-2022</t>
        </is>
      </c>
      <c r="B209" s="1" t="n">
        <v>44591.51854166666</v>
      </c>
      <c r="C209" s="1" t="n">
        <v>46070</v>
      </c>
      <c r="D209" t="inlineStr">
        <is>
          <t>UPPSALA LÄN</t>
        </is>
      </c>
      <c r="E209" t="inlineStr">
        <is>
          <t>ÖSTHAMMAR</t>
        </is>
      </c>
      <c r="F209" t="inlineStr">
        <is>
          <t>Bergvik skog öst AB</t>
        </is>
      </c>
      <c r="G209" t="n">
        <v>1.1</v>
      </c>
      <c r="H209" t="n">
        <v>0</v>
      </c>
      <c r="I209" t="n">
        <v>0</v>
      </c>
      <c r="J209" t="n">
        <v>0</v>
      </c>
      <c r="K209" t="n">
        <v>0</v>
      </c>
      <c r="L209" t="n">
        <v>0</v>
      </c>
      <c r="M209" t="n">
        <v>0</v>
      </c>
      <c r="N209" t="n">
        <v>0</v>
      </c>
      <c r="O209" t="n">
        <v>0</v>
      </c>
      <c r="P209" t="n">
        <v>0</v>
      </c>
      <c r="Q209" t="n">
        <v>0</v>
      </c>
      <c r="R209" s="2" t="inlineStr"/>
    </row>
    <row r="210" ht="15" customHeight="1">
      <c r="A210" t="inlineStr">
        <is>
          <t>A 29824-2023</t>
        </is>
      </c>
      <c r="B210" s="1" t="n">
        <v>45107</v>
      </c>
      <c r="C210" s="1" t="n">
        <v>46070</v>
      </c>
      <c r="D210" t="inlineStr">
        <is>
          <t>UPPSALA LÄN</t>
        </is>
      </c>
      <c r="E210" t="inlineStr">
        <is>
          <t>ÖSTHAMMAR</t>
        </is>
      </c>
      <c r="F210" t="inlineStr">
        <is>
          <t>Naturvårdsverket</t>
        </is>
      </c>
      <c r="G210" t="n">
        <v>1.6</v>
      </c>
      <c r="H210" t="n">
        <v>0</v>
      </c>
      <c r="I210" t="n">
        <v>0</v>
      </c>
      <c r="J210" t="n">
        <v>0</v>
      </c>
      <c r="K210" t="n">
        <v>0</v>
      </c>
      <c r="L210" t="n">
        <v>0</v>
      </c>
      <c r="M210" t="n">
        <v>0</v>
      </c>
      <c r="N210" t="n">
        <v>0</v>
      </c>
      <c r="O210" t="n">
        <v>0</v>
      </c>
      <c r="P210" t="n">
        <v>0</v>
      </c>
      <c r="Q210" t="n">
        <v>0</v>
      </c>
      <c r="R210" s="2" t="inlineStr"/>
    </row>
    <row r="211" ht="15" customHeight="1">
      <c r="A211" t="inlineStr">
        <is>
          <t>A 22884-2024</t>
        </is>
      </c>
      <c r="B211" s="1" t="n">
        <v>45448</v>
      </c>
      <c r="C211" s="1" t="n">
        <v>46070</v>
      </c>
      <c r="D211" t="inlineStr">
        <is>
          <t>UPPSALA LÄN</t>
        </is>
      </c>
      <c r="E211" t="inlineStr">
        <is>
          <t>ÖSTHAMMAR</t>
        </is>
      </c>
      <c r="G211" t="n">
        <v>3.3</v>
      </c>
      <c r="H211" t="n">
        <v>0</v>
      </c>
      <c r="I211" t="n">
        <v>0</v>
      </c>
      <c r="J211" t="n">
        <v>0</v>
      </c>
      <c r="K211" t="n">
        <v>0</v>
      </c>
      <c r="L211" t="n">
        <v>0</v>
      </c>
      <c r="M211" t="n">
        <v>0</v>
      </c>
      <c r="N211" t="n">
        <v>0</v>
      </c>
      <c r="O211" t="n">
        <v>0</v>
      </c>
      <c r="P211" t="n">
        <v>0</v>
      </c>
      <c r="Q211" t="n">
        <v>0</v>
      </c>
      <c r="R211" s="2" t="inlineStr"/>
    </row>
    <row r="212" ht="15" customHeight="1">
      <c r="A212" t="inlineStr">
        <is>
          <t>A 20385-2025</t>
        </is>
      </c>
      <c r="B212" s="1" t="n">
        <v>45775.44483796296</v>
      </c>
      <c r="C212" s="1" t="n">
        <v>46070</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26552-2022</t>
        </is>
      </c>
      <c r="B213" s="1" t="n">
        <v>44739</v>
      </c>
      <c r="C213" s="1" t="n">
        <v>46070</v>
      </c>
      <c r="D213" t="inlineStr">
        <is>
          <t>UPPSALA LÄN</t>
        </is>
      </c>
      <c r="E213" t="inlineStr">
        <is>
          <t>ÖSTHAMMAR</t>
        </is>
      </c>
      <c r="G213" t="n">
        <v>2.2</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46070</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30086-2023</t>
        </is>
      </c>
      <c r="B215" s="1" t="n">
        <v>45110.43907407407</v>
      </c>
      <c r="C215" s="1" t="n">
        <v>46070</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29753-2022</t>
        </is>
      </c>
      <c r="B216" s="1" t="n">
        <v>44755</v>
      </c>
      <c r="C216" s="1" t="n">
        <v>46070</v>
      </c>
      <c r="D216" t="inlineStr">
        <is>
          <t>UPPSALA LÄN</t>
        </is>
      </c>
      <c r="E216" t="inlineStr">
        <is>
          <t>ÖSTHAMMAR</t>
        </is>
      </c>
      <c r="G216" t="n">
        <v>9.4</v>
      </c>
      <c r="H216" t="n">
        <v>0</v>
      </c>
      <c r="I216" t="n">
        <v>0</v>
      </c>
      <c r="J216" t="n">
        <v>0</v>
      </c>
      <c r="K216" t="n">
        <v>0</v>
      </c>
      <c r="L216" t="n">
        <v>0</v>
      </c>
      <c r="M216" t="n">
        <v>0</v>
      </c>
      <c r="N216" t="n">
        <v>0</v>
      </c>
      <c r="O216" t="n">
        <v>0</v>
      </c>
      <c r="P216" t="n">
        <v>0</v>
      </c>
      <c r="Q216" t="n">
        <v>0</v>
      </c>
      <c r="R216" s="2" t="inlineStr"/>
    </row>
    <row r="217" ht="15" customHeight="1">
      <c r="A217" t="inlineStr">
        <is>
          <t>A 32742-2022</t>
        </is>
      </c>
      <c r="B217" s="1" t="n">
        <v>44783.69886574074</v>
      </c>
      <c r="C217" s="1" t="n">
        <v>46070</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49833-2023</t>
        </is>
      </c>
      <c r="B218" s="1" t="n">
        <v>45212.71481481481</v>
      </c>
      <c r="C218" s="1" t="n">
        <v>46070</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45307-2023</t>
        </is>
      </c>
      <c r="B219" s="1" t="n">
        <v>45191</v>
      </c>
      <c r="C219" s="1" t="n">
        <v>46070</v>
      </c>
      <c r="D219" t="inlineStr">
        <is>
          <t>UPPSALA LÄN</t>
        </is>
      </c>
      <c r="E219" t="inlineStr">
        <is>
          <t>ÖSTHAMMAR</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8624-2025</t>
        </is>
      </c>
      <c r="B220" s="1" t="n">
        <v>45711.52333333333</v>
      </c>
      <c r="C220" s="1" t="n">
        <v>46070</v>
      </c>
      <c r="D220" t="inlineStr">
        <is>
          <t>UPPSALA LÄN</t>
        </is>
      </c>
      <c r="E220" t="inlineStr">
        <is>
          <t>ÖSTHAMMAR</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61261-2022</t>
        </is>
      </c>
      <c r="B221" s="1" t="n">
        <v>44915.59645833333</v>
      </c>
      <c r="C221" s="1" t="n">
        <v>46070</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14187-2022</t>
        </is>
      </c>
      <c r="B222" s="1" t="n">
        <v>44651.5625</v>
      </c>
      <c r="C222" s="1" t="n">
        <v>46070</v>
      </c>
      <c r="D222" t="inlineStr">
        <is>
          <t>UPPSALA LÄN</t>
        </is>
      </c>
      <c r="E222" t="inlineStr">
        <is>
          <t>ÖSTHAMMAR</t>
        </is>
      </c>
      <c r="F222" t="inlineStr">
        <is>
          <t>Övriga Aktiebolag</t>
        </is>
      </c>
      <c r="G222" t="n">
        <v>14.1</v>
      </c>
      <c r="H222" t="n">
        <v>0</v>
      </c>
      <c r="I222" t="n">
        <v>0</v>
      </c>
      <c r="J222" t="n">
        <v>0</v>
      </c>
      <c r="K222" t="n">
        <v>0</v>
      </c>
      <c r="L222" t="n">
        <v>0</v>
      </c>
      <c r="M222" t="n">
        <v>0</v>
      </c>
      <c r="N222" t="n">
        <v>0</v>
      </c>
      <c r="O222" t="n">
        <v>0</v>
      </c>
      <c r="P222" t="n">
        <v>0</v>
      </c>
      <c r="Q222" t="n">
        <v>0</v>
      </c>
      <c r="R222" s="2" t="inlineStr"/>
    </row>
    <row r="223" ht="15" customHeight="1">
      <c r="A223" t="inlineStr">
        <is>
          <t>A 13093-2022</t>
        </is>
      </c>
      <c r="B223" s="1" t="n">
        <v>44643.93269675926</v>
      </c>
      <c r="C223" s="1" t="n">
        <v>46070</v>
      </c>
      <c r="D223" t="inlineStr">
        <is>
          <t>UPPSALA LÄN</t>
        </is>
      </c>
      <c r="E223" t="inlineStr">
        <is>
          <t>ÖSTHAMMAR</t>
        </is>
      </c>
      <c r="F223" t="inlineStr">
        <is>
          <t>Bergvik skog öst AB</t>
        </is>
      </c>
      <c r="G223" t="n">
        <v>3.2</v>
      </c>
      <c r="H223" t="n">
        <v>0</v>
      </c>
      <c r="I223" t="n">
        <v>0</v>
      </c>
      <c r="J223" t="n">
        <v>0</v>
      </c>
      <c r="K223" t="n">
        <v>0</v>
      </c>
      <c r="L223" t="n">
        <v>0</v>
      </c>
      <c r="M223" t="n">
        <v>0</v>
      </c>
      <c r="N223" t="n">
        <v>0</v>
      </c>
      <c r="O223" t="n">
        <v>0</v>
      </c>
      <c r="P223" t="n">
        <v>0</v>
      </c>
      <c r="Q223" t="n">
        <v>0</v>
      </c>
      <c r="R223" s="2" t="inlineStr"/>
    </row>
    <row r="224" ht="15" customHeight="1">
      <c r="A224" t="inlineStr">
        <is>
          <t>A 6143-2022</t>
        </is>
      </c>
      <c r="B224" s="1" t="n">
        <v>44599.72306712963</v>
      </c>
      <c r="C224" s="1" t="n">
        <v>46070</v>
      </c>
      <c r="D224" t="inlineStr">
        <is>
          <t>UPPSALA LÄN</t>
        </is>
      </c>
      <c r="E224" t="inlineStr">
        <is>
          <t>ÖSTHAMMAR</t>
        </is>
      </c>
      <c r="G224" t="n">
        <v>3.4</v>
      </c>
      <c r="H224" t="n">
        <v>0</v>
      </c>
      <c r="I224" t="n">
        <v>0</v>
      </c>
      <c r="J224" t="n">
        <v>0</v>
      </c>
      <c r="K224" t="n">
        <v>0</v>
      </c>
      <c r="L224" t="n">
        <v>0</v>
      </c>
      <c r="M224" t="n">
        <v>0</v>
      </c>
      <c r="N224" t="n">
        <v>0</v>
      </c>
      <c r="O224" t="n">
        <v>0</v>
      </c>
      <c r="P224" t="n">
        <v>0</v>
      </c>
      <c r="Q224" t="n">
        <v>0</v>
      </c>
      <c r="R224" s="2" t="inlineStr"/>
    </row>
    <row r="225" ht="15" customHeight="1">
      <c r="A225" t="inlineStr">
        <is>
          <t>A 6153-2022</t>
        </is>
      </c>
      <c r="B225" s="1" t="n">
        <v>44599</v>
      </c>
      <c r="C225" s="1" t="n">
        <v>46070</v>
      </c>
      <c r="D225" t="inlineStr">
        <is>
          <t>UPPSALA LÄN</t>
        </is>
      </c>
      <c r="E225" t="inlineStr">
        <is>
          <t>ÖSTHAMMAR</t>
        </is>
      </c>
      <c r="G225" t="n">
        <v>1.2</v>
      </c>
      <c r="H225" t="n">
        <v>0</v>
      </c>
      <c r="I225" t="n">
        <v>0</v>
      </c>
      <c r="J225" t="n">
        <v>0</v>
      </c>
      <c r="K225" t="n">
        <v>0</v>
      </c>
      <c r="L225" t="n">
        <v>0</v>
      </c>
      <c r="M225" t="n">
        <v>0</v>
      </c>
      <c r="N225" t="n">
        <v>0</v>
      </c>
      <c r="O225" t="n">
        <v>0</v>
      </c>
      <c r="P225" t="n">
        <v>0</v>
      </c>
      <c r="Q225" t="n">
        <v>0</v>
      </c>
      <c r="R225" s="2" t="inlineStr"/>
    </row>
    <row r="226" ht="15" customHeight="1">
      <c r="A226" t="inlineStr">
        <is>
          <t>A 31479-2023</t>
        </is>
      </c>
      <c r="B226" s="1" t="n">
        <v>45114.79793981482</v>
      </c>
      <c r="C226" s="1" t="n">
        <v>46070</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19009-2023</t>
        </is>
      </c>
      <c r="B227" s="1" t="n">
        <v>45045</v>
      </c>
      <c r="C227" s="1" t="n">
        <v>46070</v>
      </c>
      <c r="D227" t="inlineStr">
        <is>
          <t>UPPSALA LÄN</t>
        </is>
      </c>
      <c r="E227" t="inlineStr">
        <is>
          <t>ÖSTHAMMAR</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74436-2021</t>
        </is>
      </c>
      <c r="B228" s="1" t="n">
        <v>44560.4502199074</v>
      </c>
      <c r="C228" s="1" t="n">
        <v>46070</v>
      </c>
      <c r="D228" t="inlineStr">
        <is>
          <t>UPPSALA LÄN</t>
        </is>
      </c>
      <c r="E228" t="inlineStr">
        <is>
          <t>ÖSTHAMMAR</t>
        </is>
      </c>
      <c r="F228" t="inlineStr">
        <is>
          <t>Bergvik skog öst AB</t>
        </is>
      </c>
      <c r="G228" t="n">
        <v>1</v>
      </c>
      <c r="H228" t="n">
        <v>0</v>
      </c>
      <c r="I228" t="n">
        <v>0</v>
      </c>
      <c r="J228" t="n">
        <v>0</v>
      </c>
      <c r="K228" t="n">
        <v>0</v>
      </c>
      <c r="L228" t="n">
        <v>0</v>
      </c>
      <c r="M228" t="n">
        <v>0</v>
      </c>
      <c r="N228" t="n">
        <v>0</v>
      </c>
      <c r="O228" t="n">
        <v>0</v>
      </c>
      <c r="P228" t="n">
        <v>0</v>
      </c>
      <c r="Q228" t="n">
        <v>0</v>
      </c>
      <c r="R228" s="2" t="inlineStr"/>
    </row>
    <row r="229" ht="15" customHeight="1">
      <c r="A229" t="inlineStr">
        <is>
          <t>A 21522-2022</t>
        </is>
      </c>
      <c r="B229" s="1" t="n">
        <v>44706</v>
      </c>
      <c r="C229" s="1" t="n">
        <v>46070</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22492-2025</t>
        </is>
      </c>
      <c r="B230" s="1" t="n">
        <v>45786.65072916666</v>
      </c>
      <c r="C230" s="1" t="n">
        <v>46070</v>
      </c>
      <c r="D230" t="inlineStr">
        <is>
          <t>UPPSALA LÄN</t>
        </is>
      </c>
      <c r="E230" t="inlineStr">
        <is>
          <t>ÖSTHAMMAR</t>
        </is>
      </c>
      <c r="F230" t="inlineStr">
        <is>
          <t>Bergvik skog öst AB</t>
        </is>
      </c>
      <c r="G230" t="n">
        <v>16.6</v>
      </c>
      <c r="H230" t="n">
        <v>0</v>
      </c>
      <c r="I230" t="n">
        <v>0</v>
      </c>
      <c r="J230" t="n">
        <v>0</v>
      </c>
      <c r="K230" t="n">
        <v>0</v>
      </c>
      <c r="L230" t="n">
        <v>0</v>
      </c>
      <c r="M230" t="n">
        <v>0</v>
      </c>
      <c r="N230" t="n">
        <v>0</v>
      </c>
      <c r="O230" t="n">
        <v>0</v>
      </c>
      <c r="P230" t="n">
        <v>0</v>
      </c>
      <c r="Q230" t="n">
        <v>0</v>
      </c>
      <c r="R230" s="2" t="inlineStr"/>
    </row>
    <row r="231" ht="15" customHeight="1">
      <c r="A231" t="inlineStr">
        <is>
          <t>A 22483-2025</t>
        </is>
      </c>
      <c r="B231" s="1" t="n">
        <v>45786.64141203704</v>
      </c>
      <c r="C231" s="1" t="n">
        <v>46070</v>
      </c>
      <c r="D231" t="inlineStr">
        <is>
          <t>UPPSALA LÄN</t>
        </is>
      </c>
      <c r="E231" t="inlineStr">
        <is>
          <t>ÖSTHAMMAR</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46070</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59291-2023</t>
        </is>
      </c>
      <c r="B233" s="1" t="n">
        <v>45253.57559027777</v>
      </c>
      <c r="C233" s="1" t="n">
        <v>46070</v>
      </c>
      <c r="D233" t="inlineStr">
        <is>
          <t>UPPSALA LÄN</t>
        </is>
      </c>
      <c r="E233" t="inlineStr">
        <is>
          <t>ÖSTHAMMAR</t>
        </is>
      </c>
      <c r="G233" t="n">
        <v>1.7</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46070</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61838-2025</t>
        </is>
      </c>
      <c r="B235" s="1" t="n">
        <v>46003.35675925926</v>
      </c>
      <c r="C235" s="1" t="n">
        <v>46070</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46070</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23305-2025</t>
        </is>
      </c>
      <c r="B237" s="1" t="n">
        <v>45791.60127314815</v>
      </c>
      <c r="C237" s="1" t="n">
        <v>46070</v>
      </c>
      <c r="D237" t="inlineStr">
        <is>
          <t>UPPSALA LÄN</t>
        </is>
      </c>
      <c r="E237" t="inlineStr">
        <is>
          <t>ÖSTHAMMAR</t>
        </is>
      </c>
      <c r="G237" t="n">
        <v>1.9</v>
      </c>
      <c r="H237" t="n">
        <v>0</v>
      </c>
      <c r="I237" t="n">
        <v>0</v>
      </c>
      <c r="J237" t="n">
        <v>0</v>
      </c>
      <c r="K237" t="n">
        <v>0</v>
      </c>
      <c r="L237" t="n">
        <v>0</v>
      </c>
      <c r="M237" t="n">
        <v>0</v>
      </c>
      <c r="N237" t="n">
        <v>0</v>
      </c>
      <c r="O237" t="n">
        <v>0</v>
      </c>
      <c r="P237" t="n">
        <v>0</v>
      </c>
      <c r="Q237" t="n">
        <v>0</v>
      </c>
      <c r="R237" s="2" t="inlineStr"/>
    </row>
    <row r="238" ht="15" customHeight="1">
      <c r="A238" t="inlineStr">
        <is>
          <t>A 14124-2022</t>
        </is>
      </c>
      <c r="B238" s="1" t="n">
        <v>44651.40924768519</v>
      </c>
      <c r="C238" s="1" t="n">
        <v>46070</v>
      </c>
      <c r="D238" t="inlineStr">
        <is>
          <t>UPPSALA LÄN</t>
        </is>
      </c>
      <c r="E238" t="inlineStr">
        <is>
          <t>ÖSTHAMMAR</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58324-2023</t>
        </is>
      </c>
      <c r="B239" s="1" t="n">
        <v>45250.58635416667</v>
      </c>
      <c r="C239" s="1" t="n">
        <v>46070</v>
      </c>
      <c r="D239" t="inlineStr">
        <is>
          <t>UPPSALA LÄN</t>
        </is>
      </c>
      <c r="E239" t="inlineStr">
        <is>
          <t>ÖSTHAMMAR</t>
        </is>
      </c>
      <c r="G239" t="n">
        <v>5.1</v>
      </c>
      <c r="H239" t="n">
        <v>0</v>
      </c>
      <c r="I239" t="n">
        <v>0</v>
      </c>
      <c r="J239" t="n">
        <v>0</v>
      </c>
      <c r="K239" t="n">
        <v>0</v>
      </c>
      <c r="L239" t="n">
        <v>0</v>
      </c>
      <c r="M239" t="n">
        <v>0</v>
      </c>
      <c r="N239" t="n">
        <v>0</v>
      </c>
      <c r="O239" t="n">
        <v>0</v>
      </c>
      <c r="P239" t="n">
        <v>0</v>
      </c>
      <c r="Q239" t="n">
        <v>0</v>
      </c>
      <c r="R239" s="2" t="inlineStr"/>
    </row>
    <row r="240" ht="15" customHeight="1">
      <c r="A240" t="inlineStr">
        <is>
          <t>A 4099-2025</t>
        </is>
      </c>
      <c r="B240" s="1" t="n">
        <v>45684</v>
      </c>
      <c r="C240" s="1" t="n">
        <v>46070</v>
      </c>
      <c r="D240" t="inlineStr">
        <is>
          <t>UPPSALA LÄN</t>
        </is>
      </c>
      <c r="E240" t="inlineStr">
        <is>
          <t>ÖSTHAMMAR</t>
        </is>
      </c>
      <c r="G240" t="n">
        <v>0.7</v>
      </c>
      <c r="H240" t="n">
        <v>0</v>
      </c>
      <c r="I240" t="n">
        <v>0</v>
      </c>
      <c r="J240" t="n">
        <v>0</v>
      </c>
      <c r="K240" t="n">
        <v>0</v>
      </c>
      <c r="L240" t="n">
        <v>0</v>
      </c>
      <c r="M240" t="n">
        <v>0</v>
      </c>
      <c r="N240" t="n">
        <v>0</v>
      </c>
      <c r="O240" t="n">
        <v>0</v>
      </c>
      <c r="P240" t="n">
        <v>0</v>
      </c>
      <c r="Q240" t="n">
        <v>0</v>
      </c>
      <c r="R240" s="2" t="inlineStr"/>
    </row>
    <row r="241" ht="15" customHeight="1">
      <c r="A241" t="inlineStr">
        <is>
          <t>A 1584-2025</t>
        </is>
      </c>
      <c r="B241" s="1" t="n">
        <v>45670</v>
      </c>
      <c r="C241" s="1" t="n">
        <v>46070</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30972-2024</t>
        </is>
      </c>
      <c r="B242" s="1" t="n">
        <v>45499.47106481482</v>
      </c>
      <c r="C242" s="1" t="n">
        <v>46070</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24160-2024</t>
        </is>
      </c>
      <c r="B243" s="1" t="n">
        <v>45456</v>
      </c>
      <c r="C243" s="1" t="n">
        <v>46070</v>
      </c>
      <c r="D243" t="inlineStr">
        <is>
          <t>UPPSALA LÄN</t>
        </is>
      </c>
      <c r="E243" t="inlineStr">
        <is>
          <t>ÖSTHAMMAR</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24415-2025</t>
        </is>
      </c>
      <c r="B244" s="1" t="n">
        <v>45797.67381944445</v>
      </c>
      <c r="C244" s="1" t="n">
        <v>46070</v>
      </c>
      <c r="D244" t="inlineStr">
        <is>
          <t>UPPSALA LÄN</t>
        </is>
      </c>
      <c r="E244" t="inlineStr">
        <is>
          <t>ÖSTHAMMAR</t>
        </is>
      </c>
      <c r="G244" t="n">
        <v>0.8</v>
      </c>
      <c r="H244" t="n">
        <v>0</v>
      </c>
      <c r="I244" t="n">
        <v>0</v>
      </c>
      <c r="J244" t="n">
        <v>0</v>
      </c>
      <c r="K244" t="n">
        <v>0</v>
      </c>
      <c r="L244" t="n">
        <v>0</v>
      </c>
      <c r="M244" t="n">
        <v>0</v>
      </c>
      <c r="N244" t="n">
        <v>0</v>
      </c>
      <c r="O244" t="n">
        <v>0</v>
      </c>
      <c r="P244" t="n">
        <v>0</v>
      </c>
      <c r="Q244" t="n">
        <v>0</v>
      </c>
      <c r="R244" s="2" t="inlineStr"/>
    </row>
    <row r="245" ht="15" customHeight="1">
      <c r="A245" t="inlineStr">
        <is>
          <t>A 49097-2022</t>
        </is>
      </c>
      <c r="B245" s="1" t="n">
        <v>44860</v>
      </c>
      <c r="C245" s="1" t="n">
        <v>46070</v>
      </c>
      <c r="D245" t="inlineStr">
        <is>
          <t>UPPSALA LÄN</t>
        </is>
      </c>
      <c r="E245" t="inlineStr">
        <is>
          <t>ÖSTHAMMAR</t>
        </is>
      </c>
      <c r="G245" t="n">
        <v>6.9</v>
      </c>
      <c r="H245" t="n">
        <v>0</v>
      </c>
      <c r="I245" t="n">
        <v>0</v>
      </c>
      <c r="J245" t="n">
        <v>0</v>
      </c>
      <c r="K245" t="n">
        <v>0</v>
      </c>
      <c r="L245" t="n">
        <v>0</v>
      </c>
      <c r="M245" t="n">
        <v>0</v>
      </c>
      <c r="N245" t="n">
        <v>0</v>
      </c>
      <c r="O245" t="n">
        <v>0</v>
      </c>
      <c r="P245" t="n">
        <v>0</v>
      </c>
      <c r="Q245" t="n">
        <v>0</v>
      </c>
      <c r="R245" s="2" t="inlineStr"/>
    </row>
    <row r="246" ht="15" customHeight="1">
      <c r="A246" t="inlineStr">
        <is>
          <t>A 3959-2026</t>
        </is>
      </c>
      <c r="B246" s="1" t="n">
        <v>46044.33802083333</v>
      </c>
      <c r="C246" s="1" t="n">
        <v>46070</v>
      </c>
      <c r="D246" t="inlineStr">
        <is>
          <t>UPPSALA LÄN</t>
        </is>
      </c>
      <c r="E246" t="inlineStr">
        <is>
          <t>ÖSTHAMMAR</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10449-2023</t>
        </is>
      </c>
      <c r="B247" s="1" t="n">
        <v>44987</v>
      </c>
      <c r="C247" s="1" t="n">
        <v>46070</v>
      </c>
      <c r="D247" t="inlineStr">
        <is>
          <t>UPPSALA LÄN</t>
        </is>
      </c>
      <c r="E247" t="inlineStr">
        <is>
          <t>ÖSTHAMMAR</t>
        </is>
      </c>
      <c r="G247" t="n">
        <v>3.1</v>
      </c>
      <c r="H247" t="n">
        <v>0</v>
      </c>
      <c r="I247" t="n">
        <v>0</v>
      </c>
      <c r="J247" t="n">
        <v>0</v>
      </c>
      <c r="K247" t="n">
        <v>0</v>
      </c>
      <c r="L247" t="n">
        <v>0</v>
      </c>
      <c r="M247" t="n">
        <v>0</v>
      </c>
      <c r="N247" t="n">
        <v>0</v>
      </c>
      <c r="O247" t="n">
        <v>0</v>
      </c>
      <c r="P247" t="n">
        <v>0</v>
      </c>
      <c r="Q247" t="n">
        <v>0</v>
      </c>
      <c r="R247" s="2" t="inlineStr"/>
    </row>
    <row r="248" ht="15" customHeight="1">
      <c r="A248" t="inlineStr">
        <is>
          <t>A 23968-2025</t>
        </is>
      </c>
      <c r="B248" s="1" t="n">
        <v>45796</v>
      </c>
      <c r="C248" s="1" t="n">
        <v>46070</v>
      </c>
      <c r="D248" t="inlineStr">
        <is>
          <t>UPPSALA LÄN</t>
        </is>
      </c>
      <c r="E248" t="inlineStr">
        <is>
          <t>ÖSTHAMMAR</t>
        </is>
      </c>
      <c r="F248" t="inlineStr">
        <is>
          <t>Bergvik skog öst AB</t>
        </is>
      </c>
      <c r="G248" t="n">
        <v>7.5</v>
      </c>
      <c r="H248" t="n">
        <v>0</v>
      </c>
      <c r="I248" t="n">
        <v>0</v>
      </c>
      <c r="J248" t="n">
        <v>0</v>
      </c>
      <c r="K248" t="n">
        <v>0</v>
      </c>
      <c r="L248" t="n">
        <v>0</v>
      </c>
      <c r="M248" t="n">
        <v>0</v>
      </c>
      <c r="N248" t="n">
        <v>0</v>
      </c>
      <c r="O248" t="n">
        <v>0</v>
      </c>
      <c r="P248" t="n">
        <v>0</v>
      </c>
      <c r="Q248" t="n">
        <v>0</v>
      </c>
      <c r="R248" s="2" t="inlineStr"/>
    </row>
    <row r="249" ht="15" customHeight="1">
      <c r="A249" t="inlineStr">
        <is>
          <t>A 835-2025</t>
        </is>
      </c>
      <c r="B249" s="1" t="n">
        <v>45665.58465277778</v>
      </c>
      <c r="C249" s="1" t="n">
        <v>46070</v>
      </c>
      <c r="D249" t="inlineStr">
        <is>
          <t>UPPSALA LÄN</t>
        </is>
      </c>
      <c r="E249" t="inlineStr">
        <is>
          <t>ÖSTHAMMAR</t>
        </is>
      </c>
      <c r="F249" t="inlineStr">
        <is>
          <t>Övriga Aktiebolag</t>
        </is>
      </c>
      <c r="G249" t="n">
        <v>4.8</v>
      </c>
      <c r="H249" t="n">
        <v>0</v>
      </c>
      <c r="I249" t="n">
        <v>0</v>
      </c>
      <c r="J249" t="n">
        <v>0</v>
      </c>
      <c r="K249" t="n">
        <v>0</v>
      </c>
      <c r="L249" t="n">
        <v>0</v>
      </c>
      <c r="M249" t="n">
        <v>0</v>
      </c>
      <c r="N249" t="n">
        <v>0</v>
      </c>
      <c r="O249" t="n">
        <v>0</v>
      </c>
      <c r="P249" t="n">
        <v>0</v>
      </c>
      <c r="Q249" t="n">
        <v>0</v>
      </c>
      <c r="R249" s="2" t="inlineStr"/>
    </row>
    <row r="250" ht="15" customHeight="1">
      <c r="A250" t="inlineStr">
        <is>
          <t>A 24174-2025</t>
        </is>
      </c>
      <c r="B250" s="1" t="n">
        <v>45796.69207175926</v>
      </c>
      <c r="C250" s="1" t="n">
        <v>46070</v>
      </c>
      <c r="D250" t="inlineStr">
        <is>
          <t>UPPSALA LÄN</t>
        </is>
      </c>
      <c r="E250" t="inlineStr">
        <is>
          <t>ÖSTHAMMAR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24606-2024</t>
        </is>
      </c>
      <c r="B251" s="1" t="n">
        <v>45460</v>
      </c>
      <c r="C251" s="1" t="n">
        <v>46070</v>
      </c>
      <c r="D251" t="inlineStr">
        <is>
          <t>UPPSALA LÄN</t>
        </is>
      </c>
      <c r="E251" t="inlineStr">
        <is>
          <t>ÖSTHAMMAR</t>
        </is>
      </c>
      <c r="F251" t="inlineStr">
        <is>
          <t>Bergvik skog öst AB</t>
        </is>
      </c>
      <c r="G251" t="n">
        <v>2.9</v>
      </c>
      <c r="H251" t="n">
        <v>0</v>
      </c>
      <c r="I251" t="n">
        <v>0</v>
      </c>
      <c r="J251" t="n">
        <v>0</v>
      </c>
      <c r="K251" t="n">
        <v>0</v>
      </c>
      <c r="L251" t="n">
        <v>0</v>
      </c>
      <c r="M251" t="n">
        <v>0</v>
      </c>
      <c r="N251" t="n">
        <v>0</v>
      </c>
      <c r="O251" t="n">
        <v>0</v>
      </c>
      <c r="P251" t="n">
        <v>0</v>
      </c>
      <c r="Q251" t="n">
        <v>0</v>
      </c>
      <c r="R251" s="2" t="inlineStr"/>
    </row>
    <row r="252" ht="15" customHeight="1">
      <c r="A252" t="inlineStr">
        <is>
          <t>A 36904-2023</t>
        </is>
      </c>
      <c r="B252" s="1" t="n">
        <v>45154</v>
      </c>
      <c r="C252" s="1" t="n">
        <v>46070</v>
      </c>
      <c r="D252" t="inlineStr">
        <is>
          <t>UPPSALA LÄN</t>
        </is>
      </c>
      <c r="E252" t="inlineStr">
        <is>
          <t>ÖSTHAMMAR</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13248-2025</t>
        </is>
      </c>
      <c r="B253" s="1" t="n">
        <v>45735</v>
      </c>
      <c r="C253" s="1" t="n">
        <v>46070</v>
      </c>
      <c r="D253" t="inlineStr">
        <is>
          <t>UPPSALA LÄN</t>
        </is>
      </c>
      <c r="E253" t="inlineStr">
        <is>
          <t>ÖSTHAMMAR</t>
        </is>
      </c>
      <c r="F253" t="inlineStr">
        <is>
          <t>Kyrkan</t>
        </is>
      </c>
      <c r="G253" t="n">
        <v>12.2</v>
      </c>
      <c r="H253" t="n">
        <v>0</v>
      </c>
      <c r="I253" t="n">
        <v>0</v>
      </c>
      <c r="J253" t="n">
        <v>0</v>
      </c>
      <c r="K253" t="n">
        <v>0</v>
      </c>
      <c r="L253" t="n">
        <v>0</v>
      </c>
      <c r="M253" t="n">
        <v>0</v>
      </c>
      <c r="N253" t="n">
        <v>0</v>
      </c>
      <c r="O253" t="n">
        <v>0</v>
      </c>
      <c r="P253" t="n">
        <v>0</v>
      </c>
      <c r="Q253" t="n">
        <v>0</v>
      </c>
      <c r="R253" s="2" t="inlineStr"/>
    </row>
    <row r="254" ht="15" customHeight="1">
      <c r="A254" t="inlineStr">
        <is>
          <t>A 1527-2025</t>
        </is>
      </c>
      <c r="B254" s="1" t="n">
        <v>45670</v>
      </c>
      <c r="C254" s="1" t="n">
        <v>46070</v>
      </c>
      <c r="D254" t="inlineStr">
        <is>
          <t>UPPSALA LÄN</t>
        </is>
      </c>
      <c r="E254" t="inlineStr">
        <is>
          <t>ÖSTHAMMAR</t>
        </is>
      </c>
      <c r="F254" t="inlineStr">
        <is>
          <t>Bergvik skog öst AB</t>
        </is>
      </c>
      <c r="G254" t="n">
        <v>7.7</v>
      </c>
      <c r="H254" t="n">
        <v>0</v>
      </c>
      <c r="I254" t="n">
        <v>0</v>
      </c>
      <c r="J254" t="n">
        <v>0</v>
      </c>
      <c r="K254" t="n">
        <v>0</v>
      </c>
      <c r="L254" t="n">
        <v>0</v>
      </c>
      <c r="M254" t="n">
        <v>0</v>
      </c>
      <c r="N254" t="n">
        <v>0</v>
      </c>
      <c r="O254" t="n">
        <v>0</v>
      </c>
      <c r="P254" t="n">
        <v>0</v>
      </c>
      <c r="Q254" t="n">
        <v>0</v>
      </c>
      <c r="R254" s="2" t="inlineStr"/>
    </row>
    <row r="255" ht="15" customHeight="1">
      <c r="A255" t="inlineStr">
        <is>
          <t>A 4304-2025</t>
        </is>
      </c>
      <c r="B255" s="1" t="n">
        <v>45685.68193287037</v>
      </c>
      <c r="C255" s="1" t="n">
        <v>46070</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25049-2025</t>
        </is>
      </c>
      <c r="B256" s="1" t="n">
        <v>45799.66876157407</v>
      </c>
      <c r="C256" s="1" t="n">
        <v>46070</v>
      </c>
      <c r="D256" t="inlineStr">
        <is>
          <t>UPPSALA LÄN</t>
        </is>
      </c>
      <c r="E256" t="inlineStr">
        <is>
          <t>ÖSTHAMMAR</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53735-2023</t>
        </is>
      </c>
      <c r="B257" s="1" t="n">
        <v>45230.77258101852</v>
      </c>
      <c r="C257" s="1" t="n">
        <v>46070</v>
      </c>
      <c r="D257" t="inlineStr">
        <is>
          <t>UPPSALA LÄN</t>
        </is>
      </c>
      <c r="E257" t="inlineStr">
        <is>
          <t>ÖSTHAMMAR</t>
        </is>
      </c>
      <c r="G257" t="n">
        <v>1.1</v>
      </c>
      <c r="H257" t="n">
        <v>0</v>
      </c>
      <c r="I257" t="n">
        <v>0</v>
      </c>
      <c r="J257" t="n">
        <v>0</v>
      </c>
      <c r="K257" t="n">
        <v>0</v>
      </c>
      <c r="L257" t="n">
        <v>0</v>
      </c>
      <c r="M257" t="n">
        <v>0</v>
      </c>
      <c r="N257" t="n">
        <v>0</v>
      </c>
      <c r="O257" t="n">
        <v>0</v>
      </c>
      <c r="P257" t="n">
        <v>0</v>
      </c>
      <c r="Q257" t="n">
        <v>0</v>
      </c>
      <c r="R257" s="2" t="inlineStr"/>
    </row>
    <row r="258" ht="15" customHeight="1">
      <c r="A258" t="inlineStr">
        <is>
          <t>A 38702-2022</t>
        </is>
      </c>
      <c r="B258" s="1" t="n">
        <v>44814.5991087963</v>
      </c>
      <c r="C258" s="1" t="n">
        <v>46070</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1439-2025</t>
        </is>
      </c>
      <c r="B259" s="1" t="n">
        <v>45669.69075231482</v>
      </c>
      <c r="C259" s="1" t="n">
        <v>46070</v>
      </c>
      <c r="D259" t="inlineStr">
        <is>
          <t>UPPSALA LÄN</t>
        </is>
      </c>
      <c r="E259" t="inlineStr">
        <is>
          <t>ÖSTHAMMAR</t>
        </is>
      </c>
      <c r="G259" t="n">
        <v>1</v>
      </c>
      <c r="H259" t="n">
        <v>0</v>
      </c>
      <c r="I259" t="n">
        <v>0</v>
      </c>
      <c r="J259" t="n">
        <v>0</v>
      </c>
      <c r="K259" t="n">
        <v>0</v>
      </c>
      <c r="L259" t="n">
        <v>0</v>
      </c>
      <c r="M259" t="n">
        <v>0</v>
      </c>
      <c r="N259" t="n">
        <v>0</v>
      </c>
      <c r="O259" t="n">
        <v>0</v>
      </c>
      <c r="P259" t="n">
        <v>0</v>
      </c>
      <c r="Q259" t="n">
        <v>0</v>
      </c>
      <c r="R259" s="2" t="inlineStr"/>
    </row>
    <row r="260" ht="15" customHeight="1">
      <c r="A260" t="inlineStr">
        <is>
          <t>A 1575-2025</t>
        </is>
      </c>
      <c r="B260" s="1" t="n">
        <v>45670</v>
      </c>
      <c r="C260" s="1" t="n">
        <v>46070</v>
      </c>
      <c r="D260" t="inlineStr">
        <is>
          <t>UPPSALA LÄN</t>
        </is>
      </c>
      <c r="E260" t="inlineStr">
        <is>
          <t>ÖSTHAMMAR</t>
        </is>
      </c>
      <c r="G260" t="n">
        <v>0.4</v>
      </c>
      <c r="H260" t="n">
        <v>0</v>
      </c>
      <c r="I260" t="n">
        <v>0</v>
      </c>
      <c r="J260" t="n">
        <v>0</v>
      </c>
      <c r="K260" t="n">
        <v>0</v>
      </c>
      <c r="L260" t="n">
        <v>0</v>
      </c>
      <c r="M260" t="n">
        <v>0</v>
      </c>
      <c r="N260" t="n">
        <v>0</v>
      </c>
      <c r="O260" t="n">
        <v>0</v>
      </c>
      <c r="P260" t="n">
        <v>0</v>
      </c>
      <c r="Q260" t="n">
        <v>0</v>
      </c>
      <c r="R260" s="2" t="inlineStr"/>
    </row>
    <row r="261" ht="15" customHeight="1">
      <c r="A261" t="inlineStr">
        <is>
          <t>A 24944-2025</t>
        </is>
      </c>
      <c r="B261" s="1" t="n">
        <v>45799.56347222222</v>
      </c>
      <c r="C261" s="1" t="n">
        <v>46070</v>
      </c>
      <c r="D261" t="inlineStr">
        <is>
          <t>UPPSALA LÄN</t>
        </is>
      </c>
      <c r="E261" t="inlineStr">
        <is>
          <t>ÖSTHAMMAR</t>
        </is>
      </c>
      <c r="G261" t="n">
        <v>7.3</v>
      </c>
      <c r="H261" t="n">
        <v>0</v>
      </c>
      <c r="I261" t="n">
        <v>0</v>
      </c>
      <c r="J261" t="n">
        <v>0</v>
      </c>
      <c r="K261" t="n">
        <v>0</v>
      </c>
      <c r="L261" t="n">
        <v>0</v>
      </c>
      <c r="M261" t="n">
        <v>0</v>
      </c>
      <c r="N261" t="n">
        <v>0</v>
      </c>
      <c r="O261" t="n">
        <v>0</v>
      </c>
      <c r="P261" t="n">
        <v>0</v>
      </c>
      <c r="Q261" t="n">
        <v>0</v>
      </c>
      <c r="R261" s="2" t="inlineStr"/>
    </row>
    <row r="262" ht="15" customHeight="1">
      <c r="A262" t="inlineStr">
        <is>
          <t>A 12945-2025</t>
        </is>
      </c>
      <c r="B262" s="1" t="n">
        <v>45734.38159722222</v>
      </c>
      <c r="C262" s="1" t="n">
        <v>46070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34185-2024</t>
        </is>
      </c>
      <c r="B263" s="1" t="n">
        <v>45524</v>
      </c>
      <c r="C263" s="1" t="n">
        <v>46070</v>
      </c>
      <c r="D263" t="inlineStr">
        <is>
          <t>UPPSALA LÄN</t>
        </is>
      </c>
      <c r="E263" t="inlineStr">
        <is>
          <t>ÖSTHAMMAR</t>
        </is>
      </c>
      <c r="G263" t="n">
        <v>2.5</v>
      </c>
      <c r="H263" t="n">
        <v>0</v>
      </c>
      <c r="I263" t="n">
        <v>0</v>
      </c>
      <c r="J263" t="n">
        <v>0</v>
      </c>
      <c r="K263" t="n">
        <v>0</v>
      </c>
      <c r="L263" t="n">
        <v>0</v>
      </c>
      <c r="M263" t="n">
        <v>0</v>
      </c>
      <c r="N263" t="n">
        <v>0</v>
      </c>
      <c r="O263" t="n">
        <v>0</v>
      </c>
      <c r="P263" t="n">
        <v>0</v>
      </c>
      <c r="Q263" t="n">
        <v>0</v>
      </c>
      <c r="R263" s="2" t="inlineStr"/>
    </row>
    <row r="264" ht="15" customHeight="1">
      <c r="A264" t="inlineStr">
        <is>
          <t>A 40384-2025</t>
        </is>
      </c>
      <c r="B264" s="1" t="n">
        <v>45895.54085648148</v>
      </c>
      <c r="C264" s="1" t="n">
        <v>46070</v>
      </c>
      <c r="D264" t="inlineStr">
        <is>
          <t>UPPSALA LÄN</t>
        </is>
      </c>
      <c r="E264" t="inlineStr">
        <is>
          <t>ÖSTHAMMAR</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16089-2025</t>
        </is>
      </c>
      <c r="B265" s="1" t="n">
        <v>45749.84232638889</v>
      </c>
      <c r="C265" s="1" t="n">
        <v>46070</v>
      </c>
      <c r="D265" t="inlineStr">
        <is>
          <t>UPPSALA LÄN</t>
        </is>
      </c>
      <c r="E265" t="inlineStr">
        <is>
          <t>ÖSTHAMMAR</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40377-2025</t>
        </is>
      </c>
      <c r="B266" s="1" t="n">
        <v>45895.53020833333</v>
      </c>
      <c r="C266" s="1" t="n">
        <v>46070</v>
      </c>
      <c r="D266" t="inlineStr">
        <is>
          <t>UPPSALA LÄN</t>
        </is>
      </c>
      <c r="E266" t="inlineStr">
        <is>
          <t>ÖSTHAMMAR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40382-2025</t>
        </is>
      </c>
      <c r="B267" s="1" t="n">
        <v>45895.53689814815</v>
      </c>
      <c r="C267" s="1" t="n">
        <v>46070</v>
      </c>
      <c r="D267" t="inlineStr">
        <is>
          <t>UPPSALA LÄN</t>
        </is>
      </c>
      <c r="E267" t="inlineStr">
        <is>
          <t>ÖSTHAMMAR</t>
        </is>
      </c>
      <c r="G267" t="n">
        <v>2.2</v>
      </c>
      <c r="H267" t="n">
        <v>0</v>
      </c>
      <c r="I267" t="n">
        <v>0</v>
      </c>
      <c r="J267" t="n">
        <v>0</v>
      </c>
      <c r="K267" t="n">
        <v>0</v>
      </c>
      <c r="L267" t="n">
        <v>0</v>
      </c>
      <c r="M267" t="n">
        <v>0</v>
      </c>
      <c r="N267" t="n">
        <v>0</v>
      </c>
      <c r="O267" t="n">
        <v>0</v>
      </c>
      <c r="P267" t="n">
        <v>0</v>
      </c>
      <c r="Q267" t="n">
        <v>0</v>
      </c>
      <c r="R267" s="2" t="inlineStr"/>
    </row>
    <row r="268" ht="15" customHeight="1">
      <c r="A268" t="inlineStr">
        <is>
          <t>A 40460-2025</t>
        </is>
      </c>
      <c r="B268" s="1" t="n">
        <v>45895.65013888889</v>
      </c>
      <c r="C268" s="1" t="n">
        <v>46070</v>
      </c>
      <c r="D268" t="inlineStr">
        <is>
          <t>UPPSALA LÄN</t>
        </is>
      </c>
      <c r="E268" t="inlineStr">
        <is>
          <t>ÖSTHAMMAR</t>
        </is>
      </c>
      <c r="G268" t="n">
        <v>2.7</v>
      </c>
      <c r="H268" t="n">
        <v>0</v>
      </c>
      <c r="I268" t="n">
        <v>0</v>
      </c>
      <c r="J268" t="n">
        <v>0</v>
      </c>
      <c r="K268" t="n">
        <v>0</v>
      </c>
      <c r="L268" t="n">
        <v>0</v>
      </c>
      <c r="M268" t="n">
        <v>0</v>
      </c>
      <c r="N268" t="n">
        <v>0</v>
      </c>
      <c r="O268" t="n">
        <v>0</v>
      </c>
      <c r="P268" t="n">
        <v>0</v>
      </c>
      <c r="Q268" t="n">
        <v>0</v>
      </c>
      <c r="R268" s="2" t="inlineStr"/>
    </row>
    <row r="269" ht="15" customHeight="1">
      <c r="A269" t="inlineStr">
        <is>
          <t>A 40462-2025</t>
        </is>
      </c>
      <c r="B269" s="1" t="n">
        <v>45895.65179398148</v>
      </c>
      <c r="C269" s="1" t="n">
        <v>46070</v>
      </c>
      <c r="D269" t="inlineStr">
        <is>
          <t>UPPSALA LÄN</t>
        </is>
      </c>
      <c r="E269" t="inlineStr">
        <is>
          <t>ÖSTHAMMAR</t>
        </is>
      </c>
      <c r="G269" t="n">
        <v>4.5</v>
      </c>
      <c r="H269" t="n">
        <v>0</v>
      </c>
      <c r="I269" t="n">
        <v>0</v>
      </c>
      <c r="J269" t="n">
        <v>0</v>
      </c>
      <c r="K269" t="n">
        <v>0</v>
      </c>
      <c r="L269" t="n">
        <v>0</v>
      </c>
      <c r="M269" t="n">
        <v>0</v>
      </c>
      <c r="N269" t="n">
        <v>0</v>
      </c>
      <c r="O269" t="n">
        <v>0</v>
      </c>
      <c r="P269" t="n">
        <v>0</v>
      </c>
      <c r="Q269" t="n">
        <v>0</v>
      </c>
      <c r="R269" s="2" t="inlineStr"/>
    </row>
    <row r="270" ht="15" customHeight="1">
      <c r="A270" t="inlineStr">
        <is>
          <t>A 40016-2025</t>
        </is>
      </c>
      <c r="B270" s="1" t="n">
        <v>45894.34747685185</v>
      </c>
      <c r="C270" s="1" t="n">
        <v>46070</v>
      </c>
      <c r="D270" t="inlineStr">
        <is>
          <t>UPPSALA LÄN</t>
        </is>
      </c>
      <c r="E270" t="inlineStr">
        <is>
          <t>ÖSTHAMMAR</t>
        </is>
      </c>
      <c r="F270" t="inlineStr">
        <is>
          <t>Kyrkan</t>
        </is>
      </c>
      <c r="G270" t="n">
        <v>6.6</v>
      </c>
      <c r="H270" t="n">
        <v>0</v>
      </c>
      <c r="I270" t="n">
        <v>0</v>
      </c>
      <c r="J270" t="n">
        <v>0</v>
      </c>
      <c r="K270" t="n">
        <v>0</v>
      </c>
      <c r="L270" t="n">
        <v>0</v>
      </c>
      <c r="M270" t="n">
        <v>0</v>
      </c>
      <c r="N270" t="n">
        <v>0</v>
      </c>
      <c r="O270" t="n">
        <v>0</v>
      </c>
      <c r="P270" t="n">
        <v>0</v>
      </c>
      <c r="Q270" t="n">
        <v>0</v>
      </c>
      <c r="R270" s="2" t="inlineStr"/>
    </row>
    <row r="271" ht="15" customHeight="1">
      <c r="A271" t="inlineStr">
        <is>
          <t>A 40044-2025</t>
        </is>
      </c>
      <c r="B271" s="1" t="n">
        <v>45894.40133101852</v>
      </c>
      <c r="C271" s="1" t="n">
        <v>46070</v>
      </c>
      <c r="D271" t="inlineStr">
        <is>
          <t>UPPSALA LÄN</t>
        </is>
      </c>
      <c r="E271" t="inlineStr">
        <is>
          <t>ÖSTHAMMAR</t>
        </is>
      </c>
      <c r="F271" t="inlineStr">
        <is>
          <t>Kyrkan</t>
        </is>
      </c>
      <c r="G271" t="n">
        <v>8.9</v>
      </c>
      <c r="H271" t="n">
        <v>0</v>
      </c>
      <c r="I271" t="n">
        <v>0</v>
      </c>
      <c r="J271" t="n">
        <v>0</v>
      </c>
      <c r="K271" t="n">
        <v>0</v>
      </c>
      <c r="L271" t="n">
        <v>0</v>
      </c>
      <c r="M271" t="n">
        <v>0</v>
      </c>
      <c r="N271" t="n">
        <v>0</v>
      </c>
      <c r="O271" t="n">
        <v>0</v>
      </c>
      <c r="P271" t="n">
        <v>0</v>
      </c>
      <c r="Q271" t="n">
        <v>0</v>
      </c>
      <c r="R271" s="2" t="inlineStr"/>
    </row>
    <row r="272" ht="15" customHeight="1">
      <c r="A272" t="inlineStr">
        <is>
          <t>A 14170-2025</t>
        </is>
      </c>
      <c r="B272" s="1" t="n">
        <v>45740.51895833333</v>
      </c>
      <c r="C272" s="1" t="n">
        <v>46070</v>
      </c>
      <c r="D272" t="inlineStr">
        <is>
          <t>UPPSALA LÄN</t>
        </is>
      </c>
      <c r="E272" t="inlineStr">
        <is>
          <t>ÖSTHAMMAR</t>
        </is>
      </c>
      <c r="G272" t="n">
        <v>1.2</v>
      </c>
      <c r="H272" t="n">
        <v>0</v>
      </c>
      <c r="I272" t="n">
        <v>0</v>
      </c>
      <c r="J272" t="n">
        <v>0</v>
      </c>
      <c r="K272" t="n">
        <v>0</v>
      </c>
      <c r="L272" t="n">
        <v>0</v>
      </c>
      <c r="M272" t="n">
        <v>0</v>
      </c>
      <c r="N272" t="n">
        <v>0</v>
      </c>
      <c r="O272" t="n">
        <v>0</v>
      </c>
      <c r="P272" t="n">
        <v>0</v>
      </c>
      <c r="Q272" t="n">
        <v>0</v>
      </c>
      <c r="R272" s="2" t="inlineStr"/>
    </row>
    <row r="273" ht="15" customHeight="1">
      <c r="A273" t="inlineStr">
        <is>
          <t>A 58297-2024</t>
        </is>
      </c>
      <c r="B273" s="1" t="n">
        <v>45632.59780092593</v>
      </c>
      <c r="C273" s="1" t="n">
        <v>46070</v>
      </c>
      <c r="D273" t="inlineStr">
        <is>
          <t>UPPSALA LÄN</t>
        </is>
      </c>
      <c r="E273" t="inlineStr">
        <is>
          <t>ÖSTHAMMAR</t>
        </is>
      </c>
      <c r="G273" t="n">
        <v>5.1</v>
      </c>
      <c r="H273" t="n">
        <v>0</v>
      </c>
      <c r="I273" t="n">
        <v>0</v>
      </c>
      <c r="J273" t="n">
        <v>0</v>
      </c>
      <c r="K273" t="n">
        <v>0</v>
      </c>
      <c r="L273" t="n">
        <v>0</v>
      </c>
      <c r="M273" t="n">
        <v>0</v>
      </c>
      <c r="N273" t="n">
        <v>0</v>
      </c>
      <c r="O273" t="n">
        <v>0</v>
      </c>
      <c r="P273" t="n">
        <v>0</v>
      </c>
      <c r="Q273" t="n">
        <v>0</v>
      </c>
      <c r="R273" s="2" t="inlineStr"/>
    </row>
    <row r="274" ht="15" customHeight="1">
      <c r="A274" t="inlineStr">
        <is>
          <t>A 40416-2025</t>
        </is>
      </c>
      <c r="B274" s="1" t="n">
        <v>45895.57736111111</v>
      </c>
      <c r="C274" s="1" t="n">
        <v>46070</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26330-2025</t>
        </is>
      </c>
      <c r="B275" s="1" t="n">
        <v>45805.68263888889</v>
      </c>
      <c r="C275" s="1" t="n">
        <v>46070</v>
      </c>
      <c r="D275" t="inlineStr">
        <is>
          <t>UPPSALA LÄN</t>
        </is>
      </c>
      <c r="E275" t="inlineStr">
        <is>
          <t>ÖSTHAMMAR</t>
        </is>
      </c>
      <c r="G275" t="n">
        <v>0.5</v>
      </c>
      <c r="H275" t="n">
        <v>0</v>
      </c>
      <c r="I275" t="n">
        <v>0</v>
      </c>
      <c r="J275" t="n">
        <v>0</v>
      </c>
      <c r="K275" t="n">
        <v>0</v>
      </c>
      <c r="L275" t="n">
        <v>0</v>
      </c>
      <c r="M275" t="n">
        <v>0</v>
      </c>
      <c r="N275" t="n">
        <v>0</v>
      </c>
      <c r="O275" t="n">
        <v>0</v>
      </c>
      <c r="P275" t="n">
        <v>0</v>
      </c>
      <c r="Q275" t="n">
        <v>0</v>
      </c>
      <c r="R275" s="2" t="inlineStr"/>
    </row>
    <row r="276" ht="15" customHeight="1">
      <c r="A276" t="inlineStr">
        <is>
          <t>A 38571-2023</t>
        </is>
      </c>
      <c r="B276" s="1" t="n">
        <v>45162.6177662037</v>
      </c>
      <c r="C276" s="1" t="n">
        <v>46070</v>
      </c>
      <c r="D276" t="inlineStr">
        <is>
          <t>UPPSALA LÄN</t>
        </is>
      </c>
      <c r="E276" t="inlineStr">
        <is>
          <t>ÖSTHAMMAR</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26319-2025</t>
        </is>
      </c>
      <c r="B277" s="1" t="n">
        <v>45805.65960648148</v>
      </c>
      <c r="C277" s="1" t="n">
        <v>46070</v>
      </c>
      <c r="D277" t="inlineStr">
        <is>
          <t>UPPSALA LÄN</t>
        </is>
      </c>
      <c r="E277" t="inlineStr">
        <is>
          <t>ÖSTHAMMAR</t>
        </is>
      </c>
      <c r="G277" t="n">
        <v>1</v>
      </c>
      <c r="H277" t="n">
        <v>0</v>
      </c>
      <c r="I277" t="n">
        <v>0</v>
      </c>
      <c r="J277" t="n">
        <v>0</v>
      </c>
      <c r="K277" t="n">
        <v>0</v>
      </c>
      <c r="L277" t="n">
        <v>0</v>
      </c>
      <c r="M277" t="n">
        <v>0</v>
      </c>
      <c r="N277" t="n">
        <v>0</v>
      </c>
      <c r="O277" t="n">
        <v>0</v>
      </c>
      <c r="P277" t="n">
        <v>0</v>
      </c>
      <c r="Q277" t="n">
        <v>0</v>
      </c>
      <c r="R277" s="2" t="inlineStr"/>
    </row>
    <row r="278" ht="15" customHeight="1">
      <c r="A278" t="inlineStr">
        <is>
          <t>A 5884-2023</t>
        </is>
      </c>
      <c r="B278" s="1" t="n">
        <v>44963</v>
      </c>
      <c r="C278" s="1" t="n">
        <v>46070</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26055-2025</t>
        </is>
      </c>
      <c r="B279" s="1" t="n">
        <v>45804.77559027778</v>
      </c>
      <c r="C279" s="1" t="n">
        <v>46070</v>
      </c>
      <c r="D279" t="inlineStr">
        <is>
          <t>UPPSALA LÄN</t>
        </is>
      </c>
      <c r="E279" t="inlineStr">
        <is>
          <t>ÖSTHAMMAR</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12654-2025</t>
        </is>
      </c>
      <c r="B280" s="1" t="n">
        <v>45733.41601851852</v>
      </c>
      <c r="C280" s="1" t="n">
        <v>46070</v>
      </c>
      <c r="D280" t="inlineStr">
        <is>
          <t>UPPSALA LÄN</t>
        </is>
      </c>
      <c r="E280" t="inlineStr">
        <is>
          <t>ÖSTHAMMAR</t>
        </is>
      </c>
      <c r="G280" t="n">
        <v>9.9</v>
      </c>
      <c r="H280" t="n">
        <v>0</v>
      </c>
      <c r="I280" t="n">
        <v>0</v>
      </c>
      <c r="J280" t="n">
        <v>0</v>
      </c>
      <c r="K280" t="n">
        <v>0</v>
      </c>
      <c r="L280" t="n">
        <v>0</v>
      </c>
      <c r="M280" t="n">
        <v>0</v>
      </c>
      <c r="N280" t="n">
        <v>0</v>
      </c>
      <c r="O280" t="n">
        <v>0</v>
      </c>
      <c r="P280" t="n">
        <v>0</v>
      </c>
      <c r="Q280" t="n">
        <v>0</v>
      </c>
      <c r="R280" s="2" t="inlineStr"/>
    </row>
    <row r="281" ht="15" customHeight="1">
      <c r="A281" t="inlineStr">
        <is>
          <t>A 40570-2025</t>
        </is>
      </c>
      <c r="B281" s="1" t="n">
        <v>45896.47878472223</v>
      </c>
      <c r="C281" s="1" t="n">
        <v>46070</v>
      </c>
      <c r="D281" t="inlineStr">
        <is>
          <t>UPPSALA LÄN</t>
        </is>
      </c>
      <c r="E281" t="inlineStr">
        <is>
          <t>ÖSTHAMMAR</t>
        </is>
      </c>
      <c r="F281" t="inlineStr">
        <is>
          <t>Övriga Aktiebolag</t>
        </is>
      </c>
      <c r="G281" t="n">
        <v>4.8</v>
      </c>
      <c r="H281" t="n">
        <v>0</v>
      </c>
      <c r="I281" t="n">
        <v>0</v>
      </c>
      <c r="J281" t="n">
        <v>0</v>
      </c>
      <c r="K281" t="n">
        <v>0</v>
      </c>
      <c r="L281" t="n">
        <v>0</v>
      </c>
      <c r="M281" t="n">
        <v>0</v>
      </c>
      <c r="N281" t="n">
        <v>0</v>
      </c>
      <c r="O281" t="n">
        <v>0</v>
      </c>
      <c r="P281" t="n">
        <v>0</v>
      </c>
      <c r="Q281" t="n">
        <v>0</v>
      </c>
      <c r="R281" s="2" t="inlineStr"/>
    </row>
    <row r="282" ht="15" customHeight="1">
      <c r="A282" t="inlineStr">
        <is>
          <t>A 52650-2022</t>
        </is>
      </c>
      <c r="B282" s="1" t="n">
        <v>44874</v>
      </c>
      <c r="C282" s="1" t="n">
        <v>46070</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26521-2025</t>
        </is>
      </c>
      <c r="B283" s="1" t="n">
        <v>45807.56275462963</v>
      </c>
      <c r="C283" s="1" t="n">
        <v>46070</v>
      </c>
      <c r="D283" t="inlineStr">
        <is>
          <t>UPPSALA LÄN</t>
        </is>
      </c>
      <c r="E283" t="inlineStr">
        <is>
          <t>ÖSTHAMMAR</t>
        </is>
      </c>
      <c r="G283" t="n">
        <v>1.1</v>
      </c>
      <c r="H283" t="n">
        <v>0</v>
      </c>
      <c r="I283" t="n">
        <v>0</v>
      </c>
      <c r="J283" t="n">
        <v>0</v>
      </c>
      <c r="K283" t="n">
        <v>0</v>
      </c>
      <c r="L283" t="n">
        <v>0</v>
      </c>
      <c r="M283" t="n">
        <v>0</v>
      </c>
      <c r="N283" t="n">
        <v>0</v>
      </c>
      <c r="O283" t="n">
        <v>0</v>
      </c>
      <c r="P283" t="n">
        <v>0</v>
      </c>
      <c r="Q283" t="n">
        <v>0</v>
      </c>
      <c r="R283" s="2" t="inlineStr"/>
    </row>
    <row r="284" ht="15" customHeight="1">
      <c r="A284" t="inlineStr">
        <is>
          <t>A 26526-2025</t>
        </is>
      </c>
      <c r="B284" s="1" t="n">
        <v>45807.56612268519</v>
      </c>
      <c r="C284" s="1" t="n">
        <v>46070</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27131-2025</t>
        </is>
      </c>
      <c r="B285" s="1" t="n">
        <v>45811</v>
      </c>
      <c r="C285" s="1" t="n">
        <v>46070</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44807-2024</t>
        </is>
      </c>
      <c r="B286" s="1" t="n">
        <v>45574.65427083334</v>
      </c>
      <c r="C286" s="1" t="n">
        <v>46070</v>
      </c>
      <c r="D286" t="inlineStr">
        <is>
          <t>UPPSALA LÄN</t>
        </is>
      </c>
      <c r="E286" t="inlineStr">
        <is>
          <t>ÖSTHAMMAR</t>
        </is>
      </c>
      <c r="G286" t="n">
        <v>2.9</v>
      </c>
      <c r="H286" t="n">
        <v>0</v>
      </c>
      <c r="I286" t="n">
        <v>0</v>
      </c>
      <c r="J286" t="n">
        <v>0</v>
      </c>
      <c r="K286" t="n">
        <v>0</v>
      </c>
      <c r="L286" t="n">
        <v>0</v>
      </c>
      <c r="M286" t="n">
        <v>0</v>
      </c>
      <c r="N286" t="n">
        <v>0</v>
      </c>
      <c r="O286" t="n">
        <v>0</v>
      </c>
      <c r="P286" t="n">
        <v>0</v>
      </c>
      <c r="Q286" t="n">
        <v>0</v>
      </c>
      <c r="R286" s="2" t="inlineStr"/>
    </row>
    <row r="287" ht="15" customHeight="1">
      <c r="A287" t="inlineStr">
        <is>
          <t>A 27132-2025</t>
        </is>
      </c>
      <c r="B287" s="1" t="n">
        <v>45811</v>
      </c>
      <c r="C287" s="1" t="n">
        <v>46070</v>
      </c>
      <c r="D287" t="inlineStr">
        <is>
          <t>UPPSALA LÄN</t>
        </is>
      </c>
      <c r="E287" t="inlineStr">
        <is>
          <t>ÖSTHAMMAR</t>
        </is>
      </c>
      <c r="G287" t="n">
        <v>2.3</v>
      </c>
      <c r="H287" t="n">
        <v>0</v>
      </c>
      <c r="I287" t="n">
        <v>0</v>
      </c>
      <c r="J287" t="n">
        <v>0</v>
      </c>
      <c r="K287" t="n">
        <v>0</v>
      </c>
      <c r="L287" t="n">
        <v>0</v>
      </c>
      <c r="M287" t="n">
        <v>0</v>
      </c>
      <c r="N287" t="n">
        <v>0</v>
      </c>
      <c r="O287" t="n">
        <v>0</v>
      </c>
      <c r="P287" t="n">
        <v>0</v>
      </c>
      <c r="Q287" t="n">
        <v>0</v>
      </c>
      <c r="R287" s="2" t="inlineStr"/>
    </row>
    <row r="288" ht="15" customHeight="1">
      <c r="A288" t="inlineStr">
        <is>
          <t>A 41519-2025</t>
        </is>
      </c>
      <c r="B288" s="1" t="n">
        <v>45901.54751157408</v>
      </c>
      <c r="C288" s="1" t="n">
        <v>46070</v>
      </c>
      <c r="D288" t="inlineStr">
        <is>
          <t>UPPSALA LÄN</t>
        </is>
      </c>
      <c r="E288" t="inlineStr">
        <is>
          <t>ÖSTHAMMAR</t>
        </is>
      </c>
      <c r="F288" t="inlineStr">
        <is>
          <t>Övriga Aktiebolag</t>
        </is>
      </c>
      <c r="G288" t="n">
        <v>17.1</v>
      </c>
      <c r="H288" t="n">
        <v>0</v>
      </c>
      <c r="I288" t="n">
        <v>0</v>
      </c>
      <c r="J288" t="n">
        <v>0</v>
      </c>
      <c r="K288" t="n">
        <v>0</v>
      </c>
      <c r="L288" t="n">
        <v>0</v>
      </c>
      <c r="M288" t="n">
        <v>0</v>
      </c>
      <c r="N288" t="n">
        <v>0</v>
      </c>
      <c r="O288" t="n">
        <v>0</v>
      </c>
      <c r="P288" t="n">
        <v>0</v>
      </c>
      <c r="Q288" t="n">
        <v>0</v>
      </c>
      <c r="R288" s="2" t="inlineStr"/>
    </row>
    <row r="289" ht="15" customHeight="1">
      <c r="A289" t="inlineStr">
        <is>
          <t>A 27058-2025</t>
        </is>
      </c>
      <c r="B289" s="1" t="n">
        <v>45811.63436342592</v>
      </c>
      <c r="C289" s="1" t="n">
        <v>46070</v>
      </c>
      <c r="D289" t="inlineStr">
        <is>
          <t>UPPSALA LÄN</t>
        </is>
      </c>
      <c r="E289" t="inlineStr">
        <is>
          <t>ÖSTHAMMAR</t>
        </is>
      </c>
      <c r="F289" t="inlineStr">
        <is>
          <t>Bergvik skog öst AB</t>
        </is>
      </c>
      <c r="G289" t="n">
        <v>5.7</v>
      </c>
      <c r="H289" t="n">
        <v>0</v>
      </c>
      <c r="I289" t="n">
        <v>0</v>
      </c>
      <c r="J289" t="n">
        <v>0</v>
      </c>
      <c r="K289" t="n">
        <v>0</v>
      </c>
      <c r="L289" t="n">
        <v>0</v>
      </c>
      <c r="M289" t="n">
        <v>0</v>
      </c>
      <c r="N289" t="n">
        <v>0</v>
      </c>
      <c r="O289" t="n">
        <v>0</v>
      </c>
      <c r="P289" t="n">
        <v>0</v>
      </c>
      <c r="Q289" t="n">
        <v>0</v>
      </c>
      <c r="R289" s="2" t="inlineStr"/>
    </row>
    <row r="290" ht="15" customHeight="1">
      <c r="A290" t="inlineStr">
        <is>
          <t>A 27347-2025</t>
        </is>
      </c>
      <c r="B290" s="1" t="n">
        <v>45812.62390046296</v>
      </c>
      <c r="C290" s="1" t="n">
        <v>46070</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59731-2023</t>
        </is>
      </c>
      <c r="B291" s="1" t="n">
        <v>45257</v>
      </c>
      <c r="C291" s="1" t="n">
        <v>46070</v>
      </c>
      <c r="D291" t="inlineStr">
        <is>
          <t>UPPSALA LÄN</t>
        </is>
      </c>
      <c r="E291" t="inlineStr">
        <is>
          <t>ÖSTHAMMAR</t>
        </is>
      </c>
      <c r="G291" t="n">
        <v>0.7</v>
      </c>
      <c r="H291" t="n">
        <v>0</v>
      </c>
      <c r="I291" t="n">
        <v>0</v>
      </c>
      <c r="J291" t="n">
        <v>0</v>
      </c>
      <c r="K291" t="n">
        <v>0</v>
      </c>
      <c r="L291" t="n">
        <v>0</v>
      </c>
      <c r="M291" t="n">
        <v>0</v>
      </c>
      <c r="N291" t="n">
        <v>0</v>
      </c>
      <c r="O291" t="n">
        <v>0</v>
      </c>
      <c r="P291" t="n">
        <v>0</v>
      </c>
      <c r="Q291" t="n">
        <v>0</v>
      </c>
      <c r="R291" s="2" t="inlineStr"/>
    </row>
    <row r="292" ht="15" customHeight="1">
      <c r="A292" t="inlineStr">
        <is>
          <t>A 27392-2025</t>
        </is>
      </c>
      <c r="B292" s="1" t="n">
        <v>45812.68268518519</v>
      </c>
      <c r="C292" s="1" t="n">
        <v>46070</v>
      </c>
      <c r="D292" t="inlineStr">
        <is>
          <t>UPPSALA LÄN</t>
        </is>
      </c>
      <c r="E292" t="inlineStr">
        <is>
          <t>ÖSTHAMMAR</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8908-2025</t>
        </is>
      </c>
      <c r="B293" s="1" t="n">
        <v>45713.4196875</v>
      </c>
      <c r="C293" s="1" t="n">
        <v>46070</v>
      </c>
      <c r="D293" t="inlineStr">
        <is>
          <t>UPPSALA LÄN</t>
        </is>
      </c>
      <c r="E293" t="inlineStr">
        <is>
          <t>ÖSTHAMMAR</t>
        </is>
      </c>
      <c r="F293" t="inlineStr">
        <is>
          <t>Bergvik skog öst AB</t>
        </is>
      </c>
      <c r="G293" t="n">
        <v>3.3</v>
      </c>
      <c r="H293" t="n">
        <v>0</v>
      </c>
      <c r="I293" t="n">
        <v>0</v>
      </c>
      <c r="J293" t="n">
        <v>0</v>
      </c>
      <c r="K293" t="n">
        <v>0</v>
      </c>
      <c r="L293" t="n">
        <v>0</v>
      </c>
      <c r="M293" t="n">
        <v>0</v>
      </c>
      <c r="N293" t="n">
        <v>0</v>
      </c>
      <c r="O293" t="n">
        <v>0</v>
      </c>
      <c r="P293" t="n">
        <v>0</v>
      </c>
      <c r="Q293" t="n">
        <v>0</v>
      </c>
      <c r="R293" s="2" t="inlineStr"/>
    </row>
    <row r="294" ht="15" customHeight="1">
      <c r="A294" t="inlineStr">
        <is>
          <t>A 27352-2025</t>
        </is>
      </c>
      <c r="B294" s="1" t="n">
        <v>45812.62694444445</v>
      </c>
      <c r="C294" s="1" t="n">
        <v>46070</v>
      </c>
      <c r="D294" t="inlineStr">
        <is>
          <t>UPPSALA LÄN</t>
        </is>
      </c>
      <c r="E294" t="inlineStr">
        <is>
          <t>ÖSTHAMMAR</t>
        </is>
      </c>
      <c r="G294" t="n">
        <v>2.5</v>
      </c>
      <c r="H294" t="n">
        <v>0</v>
      </c>
      <c r="I294" t="n">
        <v>0</v>
      </c>
      <c r="J294" t="n">
        <v>0</v>
      </c>
      <c r="K294" t="n">
        <v>0</v>
      </c>
      <c r="L294" t="n">
        <v>0</v>
      </c>
      <c r="M294" t="n">
        <v>0</v>
      </c>
      <c r="N294" t="n">
        <v>0</v>
      </c>
      <c r="O294" t="n">
        <v>0</v>
      </c>
      <c r="P294" t="n">
        <v>0</v>
      </c>
      <c r="Q294" t="n">
        <v>0</v>
      </c>
      <c r="R294" s="2" t="inlineStr"/>
    </row>
    <row r="295" ht="15" customHeight="1">
      <c r="A295" t="inlineStr">
        <is>
          <t>A 27350-2025</t>
        </is>
      </c>
      <c r="B295" s="1" t="n">
        <v>45812.62571759259</v>
      </c>
      <c r="C295" s="1" t="n">
        <v>46070</v>
      </c>
      <c r="D295" t="inlineStr">
        <is>
          <t>UPPSALA LÄN</t>
        </is>
      </c>
      <c r="E295" t="inlineStr">
        <is>
          <t>ÖSTHAMMAR</t>
        </is>
      </c>
      <c r="G295" t="n">
        <v>1</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46070</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46070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27395-2025</t>
        </is>
      </c>
      <c r="B298" s="1" t="n">
        <v>45812.6850462963</v>
      </c>
      <c r="C298" s="1" t="n">
        <v>46070</v>
      </c>
      <c r="D298" t="inlineStr">
        <is>
          <t>UPPSALA LÄN</t>
        </is>
      </c>
      <c r="E298" t="inlineStr">
        <is>
          <t>ÖSTHAMMAR</t>
        </is>
      </c>
      <c r="F298" t="inlineStr">
        <is>
          <t>Bergvik skog öst AB</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27563-2025</t>
        </is>
      </c>
      <c r="B299" s="1" t="n">
        <v>45813.48471064815</v>
      </c>
      <c r="C299" s="1" t="n">
        <v>46070</v>
      </c>
      <c r="D299" t="inlineStr">
        <is>
          <t>UPPSALA LÄN</t>
        </is>
      </c>
      <c r="E299" t="inlineStr">
        <is>
          <t>ÖSTHAMMAR</t>
        </is>
      </c>
      <c r="F299" t="inlineStr">
        <is>
          <t>Bergvik skog öst AB</t>
        </is>
      </c>
      <c r="G299" t="n">
        <v>4</v>
      </c>
      <c r="H299" t="n">
        <v>0</v>
      </c>
      <c r="I299" t="n">
        <v>0</v>
      </c>
      <c r="J299" t="n">
        <v>0</v>
      </c>
      <c r="K299" t="n">
        <v>0</v>
      </c>
      <c r="L299" t="n">
        <v>0</v>
      </c>
      <c r="M299" t="n">
        <v>0</v>
      </c>
      <c r="N299" t="n">
        <v>0</v>
      </c>
      <c r="O299" t="n">
        <v>0</v>
      </c>
      <c r="P299" t="n">
        <v>0</v>
      </c>
      <c r="Q299" t="n">
        <v>0</v>
      </c>
      <c r="R299" s="2" t="inlineStr"/>
    </row>
    <row r="300" ht="15" customHeight="1">
      <c r="A300" t="inlineStr">
        <is>
          <t>A 28228-2022</t>
        </is>
      </c>
      <c r="B300" s="1" t="n">
        <v>44746.65873842593</v>
      </c>
      <c r="C300" s="1" t="n">
        <v>46070</v>
      </c>
      <c r="D300" t="inlineStr">
        <is>
          <t>UPPSALA LÄN</t>
        </is>
      </c>
      <c r="E300" t="inlineStr">
        <is>
          <t>ÖSTHAMMAR</t>
        </is>
      </c>
      <c r="G300" t="n">
        <v>2.7</v>
      </c>
      <c r="H300" t="n">
        <v>0</v>
      </c>
      <c r="I300" t="n">
        <v>0</v>
      </c>
      <c r="J300" t="n">
        <v>0</v>
      </c>
      <c r="K300" t="n">
        <v>0</v>
      </c>
      <c r="L300" t="n">
        <v>0</v>
      </c>
      <c r="M300" t="n">
        <v>0</v>
      </c>
      <c r="N300" t="n">
        <v>0</v>
      </c>
      <c r="O300" t="n">
        <v>0</v>
      </c>
      <c r="P300" t="n">
        <v>0</v>
      </c>
      <c r="Q300" t="n">
        <v>0</v>
      </c>
      <c r="R300" s="2" t="inlineStr"/>
    </row>
    <row r="301" ht="15" customHeight="1">
      <c r="A301" t="inlineStr">
        <is>
          <t>A 24401-2025</t>
        </is>
      </c>
      <c r="B301" s="1" t="n">
        <v>45797.64908564815</v>
      </c>
      <c r="C301" s="1" t="n">
        <v>46070</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24408-2025</t>
        </is>
      </c>
      <c r="B302" s="1" t="n">
        <v>45797.65774305556</v>
      </c>
      <c r="C302" s="1" t="n">
        <v>46070</v>
      </c>
      <c r="D302" t="inlineStr">
        <is>
          <t>UPPSALA LÄN</t>
        </is>
      </c>
      <c r="E302" t="inlineStr">
        <is>
          <t>ÖSTHAMMAR</t>
        </is>
      </c>
      <c r="G302" t="n">
        <v>1.6</v>
      </c>
      <c r="H302" t="n">
        <v>0</v>
      </c>
      <c r="I302" t="n">
        <v>0</v>
      </c>
      <c r="J302" t="n">
        <v>0</v>
      </c>
      <c r="K302" t="n">
        <v>0</v>
      </c>
      <c r="L302" t="n">
        <v>0</v>
      </c>
      <c r="M302" t="n">
        <v>0</v>
      </c>
      <c r="N302" t="n">
        <v>0</v>
      </c>
      <c r="O302" t="n">
        <v>0</v>
      </c>
      <c r="P302" t="n">
        <v>0</v>
      </c>
      <c r="Q302" t="n">
        <v>0</v>
      </c>
      <c r="R302" s="2" t="inlineStr"/>
    </row>
    <row r="303" ht="15" customHeight="1">
      <c r="A303" t="inlineStr">
        <is>
          <t>A 49831-2023</t>
        </is>
      </c>
      <c r="B303" s="1" t="n">
        <v>45212.71241898148</v>
      </c>
      <c r="C303" s="1" t="n">
        <v>46070</v>
      </c>
      <c r="D303" t="inlineStr">
        <is>
          <t>UPPSALA LÄN</t>
        </is>
      </c>
      <c r="E303" t="inlineStr">
        <is>
          <t>ÖSTHAMMAR</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35316-2024</t>
        </is>
      </c>
      <c r="B304" s="1" t="n">
        <v>45530.68873842592</v>
      </c>
      <c r="C304" s="1" t="n">
        <v>46070</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20072-2025</t>
        </is>
      </c>
      <c r="B305" s="1" t="n">
        <v>45772</v>
      </c>
      <c r="C305" s="1" t="n">
        <v>46070</v>
      </c>
      <c r="D305" t="inlineStr">
        <is>
          <t>UPPSALA LÄN</t>
        </is>
      </c>
      <c r="E305" t="inlineStr">
        <is>
          <t>ÖSTHAMMAR</t>
        </is>
      </c>
      <c r="G305" t="n">
        <v>3.1</v>
      </c>
      <c r="H305" t="n">
        <v>0</v>
      </c>
      <c r="I305" t="n">
        <v>0</v>
      </c>
      <c r="J305" t="n">
        <v>0</v>
      </c>
      <c r="K305" t="n">
        <v>0</v>
      </c>
      <c r="L305" t="n">
        <v>0</v>
      </c>
      <c r="M305" t="n">
        <v>0</v>
      </c>
      <c r="N305" t="n">
        <v>0</v>
      </c>
      <c r="O305" t="n">
        <v>0</v>
      </c>
      <c r="P305" t="n">
        <v>0</v>
      </c>
      <c r="Q305" t="n">
        <v>0</v>
      </c>
      <c r="R305" s="2" t="inlineStr"/>
    </row>
    <row r="306" ht="15" customHeight="1">
      <c r="A306" t="inlineStr">
        <is>
          <t>A 27919-2025</t>
        </is>
      </c>
      <c r="B306" s="1" t="n">
        <v>45817.48384259259</v>
      </c>
      <c r="C306" s="1" t="n">
        <v>46070</v>
      </c>
      <c r="D306" t="inlineStr">
        <is>
          <t>UPPSALA LÄN</t>
        </is>
      </c>
      <c r="E306" t="inlineStr">
        <is>
          <t>ÖSTHAMMAR</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45561-2023</t>
        </is>
      </c>
      <c r="B307" s="1" t="n">
        <v>45194.59335648148</v>
      </c>
      <c r="C307" s="1" t="n">
        <v>46070</v>
      </c>
      <c r="D307" t="inlineStr">
        <is>
          <t>UPPSALA LÄN</t>
        </is>
      </c>
      <c r="E307" t="inlineStr">
        <is>
          <t>ÖSTHAMMAR</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27853-2025</t>
        </is>
      </c>
      <c r="B308" s="1" t="n">
        <v>45817.40178240741</v>
      </c>
      <c r="C308" s="1" t="n">
        <v>46070</v>
      </c>
      <c r="D308" t="inlineStr">
        <is>
          <t>UPPSALA LÄN</t>
        </is>
      </c>
      <c r="E308" t="inlineStr">
        <is>
          <t>ÖSTHAMMAR</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27812-2025</t>
        </is>
      </c>
      <c r="B309" s="1" t="n">
        <v>45817.32150462963</v>
      </c>
      <c r="C309" s="1" t="n">
        <v>46070</v>
      </c>
      <c r="D309" t="inlineStr">
        <is>
          <t>UPPSALA LÄN</t>
        </is>
      </c>
      <c r="E309" t="inlineStr">
        <is>
          <t>ÖSTHAMMAR</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27920-2025</t>
        </is>
      </c>
      <c r="B310" s="1" t="n">
        <v>45817.48454861111</v>
      </c>
      <c r="C310" s="1" t="n">
        <v>46070</v>
      </c>
      <c r="D310" t="inlineStr">
        <is>
          <t>UPPSALA LÄN</t>
        </is>
      </c>
      <c r="E310" t="inlineStr">
        <is>
          <t>ÖSTHAMMAR</t>
        </is>
      </c>
      <c r="F310" t="inlineStr">
        <is>
          <t>Bergvik skog öst AB</t>
        </is>
      </c>
      <c r="G310" t="n">
        <v>0.6</v>
      </c>
      <c r="H310" t="n">
        <v>0</v>
      </c>
      <c r="I310" t="n">
        <v>0</v>
      </c>
      <c r="J310" t="n">
        <v>0</v>
      </c>
      <c r="K310" t="n">
        <v>0</v>
      </c>
      <c r="L310" t="n">
        <v>0</v>
      </c>
      <c r="M310" t="n">
        <v>0</v>
      </c>
      <c r="N310" t="n">
        <v>0</v>
      </c>
      <c r="O310" t="n">
        <v>0</v>
      </c>
      <c r="P310" t="n">
        <v>0</v>
      </c>
      <c r="Q310" t="n">
        <v>0</v>
      </c>
      <c r="R310" s="2" t="inlineStr"/>
    </row>
    <row r="311" ht="15" customHeight="1">
      <c r="A311" t="inlineStr">
        <is>
          <t>A 16212-2021</t>
        </is>
      </c>
      <c r="B311" s="1" t="n">
        <v>44287</v>
      </c>
      <c r="C311" s="1" t="n">
        <v>46070</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8330-2025</t>
        </is>
      </c>
      <c r="B312" s="1" t="n">
        <v>45708</v>
      </c>
      <c r="C312" s="1" t="n">
        <v>46070</v>
      </c>
      <c r="D312" t="inlineStr">
        <is>
          <t>UPPSALA LÄN</t>
        </is>
      </c>
      <c r="E312" t="inlineStr">
        <is>
          <t>ÖSTHAMMAR</t>
        </is>
      </c>
      <c r="F312" t="inlineStr">
        <is>
          <t>Övriga Aktiebolag</t>
        </is>
      </c>
      <c r="G312" t="n">
        <v>2.4</v>
      </c>
      <c r="H312" t="n">
        <v>0</v>
      </c>
      <c r="I312" t="n">
        <v>0</v>
      </c>
      <c r="J312" t="n">
        <v>0</v>
      </c>
      <c r="K312" t="n">
        <v>0</v>
      </c>
      <c r="L312" t="n">
        <v>0</v>
      </c>
      <c r="M312" t="n">
        <v>0</v>
      </c>
      <c r="N312" t="n">
        <v>0</v>
      </c>
      <c r="O312" t="n">
        <v>0</v>
      </c>
      <c r="P312" t="n">
        <v>0</v>
      </c>
      <c r="Q312" t="n">
        <v>0</v>
      </c>
      <c r="R312" s="2" t="inlineStr"/>
    </row>
    <row r="313" ht="15" customHeight="1">
      <c r="A313" t="inlineStr">
        <is>
          <t>A 27509-2025</t>
        </is>
      </c>
      <c r="B313" s="1" t="n">
        <v>45813.4278125</v>
      </c>
      <c r="C313" s="1" t="n">
        <v>46070</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28442-2025</t>
        </is>
      </c>
      <c r="B314" s="1" t="n">
        <v>45819</v>
      </c>
      <c r="C314" s="1" t="n">
        <v>46070</v>
      </c>
      <c r="D314" t="inlineStr">
        <is>
          <t>UPPSALA LÄN</t>
        </is>
      </c>
      <c r="E314" t="inlineStr">
        <is>
          <t>ÖSTHAMMAR</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24389-2025</t>
        </is>
      </c>
      <c r="B315" s="1" t="n">
        <v>45797.63553240741</v>
      </c>
      <c r="C315" s="1" t="n">
        <v>46070</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27384-2025</t>
        </is>
      </c>
      <c r="B316" s="1" t="n">
        <v>45812.6672337963</v>
      </c>
      <c r="C316" s="1" t="n">
        <v>46070</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11036-2023</t>
        </is>
      </c>
      <c r="B317" s="1" t="n">
        <v>44991.9321412037</v>
      </c>
      <c r="C317" s="1" t="n">
        <v>46070</v>
      </c>
      <c r="D317" t="inlineStr">
        <is>
          <t>UPPSALA LÄN</t>
        </is>
      </c>
      <c r="E317" t="inlineStr">
        <is>
          <t>ÖSTHAMMAR</t>
        </is>
      </c>
      <c r="F317" t="inlineStr">
        <is>
          <t>Bergvik skog öst AB</t>
        </is>
      </c>
      <c r="G317" t="n">
        <v>3</v>
      </c>
      <c r="H317" t="n">
        <v>0</v>
      </c>
      <c r="I317" t="n">
        <v>0</v>
      </c>
      <c r="J317" t="n">
        <v>0</v>
      </c>
      <c r="K317" t="n">
        <v>0</v>
      </c>
      <c r="L317" t="n">
        <v>0</v>
      </c>
      <c r="M317" t="n">
        <v>0</v>
      </c>
      <c r="N317" t="n">
        <v>0</v>
      </c>
      <c r="O317" t="n">
        <v>0</v>
      </c>
      <c r="P317" t="n">
        <v>0</v>
      </c>
      <c r="Q317" t="n">
        <v>0</v>
      </c>
      <c r="R317" s="2" t="inlineStr"/>
    </row>
    <row r="318" ht="15" customHeight="1">
      <c r="A318" t="inlineStr">
        <is>
          <t>A 23728-2025</t>
        </is>
      </c>
      <c r="B318" s="1" t="n">
        <v>45793.41719907407</v>
      </c>
      <c r="C318" s="1" t="n">
        <v>46070</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28745-2025</t>
        </is>
      </c>
      <c r="B319" s="1" t="n">
        <v>45820.39076388889</v>
      </c>
      <c r="C319" s="1" t="n">
        <v>46070</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28748-2025</t>
        </is>
      </c>
      <c r="B320" s="1" t="n">
        <v>45820.39540509259</v>
      </c>
      <c r="C320" s="1" t="n">
        <v>46070</v>
      </c>
      <c r="D320" t="inlineStr">
        <is>
          <t>UPPSALA LÄN</t>
        </is>
      </c>
      <c r="E320" t="inlineStr">
        <is>
          <t>ÖSTHAMMAR</t>
        </is>
      </c>
      <c r="G320" t="n">
        <v>2</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46070</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64586-2021</t>
        </is>
      </c>
      <c r="B322" s="1" t="n">
        <v>44511</v>
      </c>
      <c r="C322" s="1" t="n">
        <v>46070</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45821.43233796296</v>
      </c>
      <c r="C323" s="1" t="n">
        <v>46070</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29031-2025</t>
        </is>
      </c>
      <c r="B324" s="1" t="n">
        <v>45821.44159722222</v>
      </c>
      <c r="C324" s="1" t="n">
        <v>46070</v>
      </c>
      <c r="D324" t="inlineStr">
        <is>
          <t>UPPSALA LÄN</t>
        </is>
      </c>
      <c r="E324" t="inlineStr">
        <is>
          <t>ÖSTHAMMAR</t>
        </is>
      </c>
      <c r="F324" t="inlineStr">
        <is>
          <t>Bergvik skog öst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28739-2025</t>
        </is>
      </c>
      <c r="B325" s="1" t="n">
        <v>45820</v>
      </c>
      <c r="C325" s="1" t="n">
        <v>46070</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28099-2025</t>
        </is>
      </c>
      <c r="B326" s="1" t="n">
        <v>45817.82967592592</v>
      </c>
      <c r="C326" s="1" t="n">
        <v>46070</v>
      </c>
      <c r="D326" t="inlineStr">
        <is>
          <t>UPPSALA LÄN</t>
        </is>
      </c>
      <c r="E326" t="inlineStr">
        <is>
          <t>ÖSTHAMMAR</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29028-2025</t>
        </is>
      </c>
      <c r="B327" s="1" t="n">
        <v>45821.4384375</v>
      </c>
      <c r="C327" s="1" t="n">
        <v>46070</v>
      </c>
      <c r="D327" t="inlineStr">
        <is>
          <t>UPPSALA LÄN</t>
        </is>
      </c>
      <c r="E327" t="inlineStr">
        <is>
          <t>ÖSTHAMMAR</t>
        </is>
      </c>
      <c r="F327" t="inlineStr">
        <is>
          <t>Bergvik skog öst AB</t>
        </is>
      </c>
      <c r="G327" t="n">
        <v>1.7</v>
      </c>
      <c r="H327" t="n">
        <v>0</v>
      </c>
      <c r="I327" t="n">
        <v>0</v>
      </c>
      <c r="J327" t="n">
        <v>0</v>
      </c>
      <c r="K327" t="n">
        <v>0</v>
      </c>
      <c r="L327" t="n">
        <v>0</v>
      </c>
      <c r="M327" t="n">
        <v>0</v>
      </c>
      <c r="N327" t="n">
        <v>0</v>
      </c>
      <c r="O327" t="n">
        <v>0</v>
      </c>
      <c r="P327" t="n">
        <v>0</v>
      </c>
      <c r="Q327" t="n">
        <v>0</v>
      </c>
      <c r="R327" s="2" t="inlineStr"/>
    </row>
    <row r="328" ht="15" customHeight="1">
      <c r="A328" t="inlineStr">
        <is>
          <t>A 6206-2022</t>
        </is>
      </c>
      <c r="B328" s="1" t="n">
        <v>44600.35755787037</v>
      </c>
      <c r="C328" s="1" t="n">
        <v>46070</v>
      </c>
      <c r="D328" t="inlineStr">
        <is>
          <t>UPPSALA LÄN</t>
        </is>
      </c>
      <c r="E328" t="inlineStr">
        <is>
          <t>ÖSTHAMMAR</t>
        </is>
      </c>
      <c r="G328" t="n">
        <v>7.4</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46070</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43011-2025</t>
        </is>
      </c>
      <c r="B330" s="1" t="n">
        <v>45909.48989583334</v>
      </c>
      <c r="C330" s="1" t="n">
        <v>46070</v>
      </c>
      <c r="D330" t="inlineStr">
        <is>
          <t>UPPSALA LÄN</t>
        </is>
      </c>
      <c r="E330" t="inlineStr">
        <is>
          <t>ÖSTHAMMAR</t>
        </is>
      </c>
      <c r="F330" t="inlineStr">
        <is>
          <t>Övriga Aktiebolag</t>
        </is>
      </c>
      <c r="G330" t="n">
        <v>4.7</v>
      </c>
      <c r="H330" t="n">
        <v>0</v>
      </c>
      <c r="I330" t="n">
        <v>0</v>
      </c>
      <c r="J330" t="n">
        <v>0</v>
      </c>
      <c r="K330" t="n">
        <v>0</v>
      </c>
      <c r="L330" t="n">
        <v>0</v>
      </c>
      <c r="M330" t="n">
        <v>0</v>
      </c>
      <c r="N330" t="n">
        <v>0</v>
      </c>
      <c r="O330" t="n">
        <v>0</v>
      </c>
      <c r="P330" t="n">
        <v>0</v>
      </c>
      <c r="Q330" t="n">
        <v>0</v>
      </c>
      <c r="R330" s="2" t="inlineStr"/>
    </row>
    <row r="331" ht="15" customHeight="1">
      <c r="A331" t="inlineStr">
        <is>
          <t>A 5076-2025</t>
        </is>
      </c>
      <c r="B331" s="1" t="n">
        <v>45691</v>
      </c>
      <c r="C331" s="1" t="n">
        <v>46070</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42940-2025</t>
        </is>
      </c>
      <c r="B332" s="1" t="n">
        <v>45909.33440972222</v>
      </c>
      <c r="C332" s="1" t="n">
        <v>46070</v>
      </c>
      <c r="D332" t="inlineStr">
        <is>
          <t>UPPSALA LÄN</t>
        </is>
      </c>
      <c r="E332" t="inlineStr">
        <is>
          <t>ÖSTHAMMAR</t>
        </is>
      </c>
      <c r="G332" t="n">
        <v>2.1</v>
      </c>
      <c r="H332" t="n">
        <v>0</v>
      </c>
      <c r="I332" t="n">
        <v>0</v>
      </c>
      <c r="J332" t="n">
        <v>0</v>
      </c>
      <c r="K332" t="n">
        <v>0</v>
      </c>
      <c r="L332" t="n">
        <v>0</v>
      </c>
      <c r="M332" t="n">
        <v>0</v>
      </c>
      <c r="N332" t="n">
        <v>0</v>
      </c>
      <c r="O332" t="n">
        <v>0</v>
      </c>
      <c r="P332" t="n">
        <v>0</v>
      </c>
      <c r="Q332" t="n">
        <v>0</v>
      </c>
      <c r="R332" s="2" t="inlineStr"/>
    </row>
    <row r="333" ht="15" customHeight="1">
      <c r="A333" t="inlineStr">
        <is>
          <t>A 70008-2021</t>
        </is>
      </c>
      <c r="B333" s="1" t="n">
        <v>44533.44887731481</v>
      </c>
      <c r="C333" s="1" t="n">
        <v>46070</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73982-2021</t>
        </is>
      </c>
      <c r="B334" s="1" t="n">
        <v>44555.80339120371</v>
      </c>
      <c r="C334" s="1" t="n">
        <v>46070</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27494-2025</t>
        </is>
      </c>
      <c r="B335" s="1" t="n">
        <v>45813.39756944445</v>
      </c>
      <c r="C335" s="1" t="n">
        <v>46070</v>
      </c>
      <c r="D335" t="inlineStr">
        <is>
          <t>UPPSALA LÄN</t>
        </is>
      </c>
      <c r="E335" t="inlineStr">
        <is>
          <t>ÖSTHAMMAR</t>
        </is>
      </c>
      <c r="F335" t="inlineStr">
        <is>
          <t>Bergvik skog öst AB</t>
        </is>
      </c>
      <c r="G335" t="n">
        <v>23.4</v>
      </c>
      <c r="H335" t="n">
        <v>0</v>
      </c>
      <c r="I335" t="n">
        <v>0</v>
      </c>
      <c r="J335" t="n">
        <v>0</v>
      </c>
      <c r="K335" t="n">
        <v>0</v>
      </c>
      <c r="L335" t="n">
        <v>0</v>
      </c>
      <c r="M335" t="n">
        <v>0</v>
      </c>
      <c r="N335" t="n">
        <v>0</v>
      </c>
      <c r="O335" t="n">
        <v>0</v>
      </c>
      <c r="P335" t="n">
        <v>0</v>
      </c>
      <c r="Q335" t="n">
        <v>0</v>
      </c>
      <c r="R335" s="2" t="inlineStr"/>
    </row>
    <row r="336" ht="15" customHeight="1">
      <c r="A336" t="inlineStr">
        <is>
          <t>A 29384-2025</t>
        </is>
      </c>
      <c r="B336" s="1" t="n">
        <v>45824</v>
      </c>
      <c r="C336" s="1" t="n">
        <v>46070</v>
      </c>
      <c r="D336" t="inlineStr">
        <is>
          <t>UPPSALA LÄN</t>
        </is>
      </c>
      <c r="E336" t="inlineStr">
        <is>
          <t>ÖSTHAMMAR</t>
        </is>
      </c>
      <c r="G336" t="n">
        <v>3.1</v>
      </c>
      <c r="H336" t="n">
        <v>0</v>
      </c>
      <c r="I336" t="n">
        <v>0</v>
      </c>
      <c r="J336" t="n">
        <v>0</v>
      </c>
      <c r="K336" t="n">
        <v>0</v>
      </c>
      <c r="L336" t="n">
        <v>0</v>
      </c>
      <c r="M336" t="n">
        <v>0</v>
      </c>
      <c r="N336" t="n">
        <v>0</v>
      </c>
      <c r="O336" t="n">
        <v>0</v>
      </c>
      <c r="P336" t="n">
        <v>0</v>
      </c>
      <c r="Q336" t="n">
        <v>0</v>
      </c>
      <c r="R336" s="2" t="inlineStr"/>
    </row>
    <row r="337" ht="15" customHeight="1">
      <c r="A337" t="inlineStr">
        <is>
          <t>A 33927-2025</t>
        </is>
      </c>
      <c r="B337" s="1" t="n">
        <v>45842.62363425926</v>
      </c>
      <c r="C337" s="1" t="n">
        <v>46070</v>
      </c>
      <c r="D337" t="inlineStr">
        <is>
          <t>UPPSALA LÄN</t>
        </is>
      </c>
      <c r="E337" t="inlineStr">
        <is>
          <t>ÖSTHAMMAR</t>
        </is>
      </c>
      <c r="G337" t="n">
        <v>3.5</v>
      </c>
      <c r="H337" t="n">
        <v>0</v>
      </c>
      <c r="I337" t="n">
        <v>0</v>
      </c>
      <c r="J337" t="n">
        <v>0</v>
      </c>
      <c r="K337" t="n">
        <v>0</v>
      </c>
      <c r="L337" t="n">
        <v>0</v>
      </c>
      <c r="M337" t="n">
        <v>0</v>
      </c>
      <c r="N337" t="n">
        <v>0</v>
      </c>
      <c r="O337" t="n">
        <v>0</v>
      </c>
      <c r="P337" t="n">
        <v>0</v>
      </c>
      <c r="Q337" t="n">
        <v>0</v>
      </c>
      <c r="R337" s="2" t="inlineStr"/>
    </row>
    <row r="338" ht="15" customHeight="1">
      <c r="A338" t="inlineStr">
        <is>
          <t>A 4570-2026</t>
        </is>
      </c>
      <c r="B338" s="1" t="n">
        <v>46048.00856481482</v>
      </c>
      <c r="C338" s="1" t="n">
        <v>46070</v>
      </c>
      <c r="D338" t="inlineStr">
        <is>
          <t>UPPSALA LÄN</t>
        </is>
      </c>
      <c r="E338" t="inlineStr">
        <is>
          <t>ÖSTHAMMAR</t>
        </is>
      </c>
      <c r="F338" t="inlineStr">
        <is>
          <t>Allmännings- och besparingsskogar</t>
        </is>
      </c>
      <c r="G338" t="n">
        <v>7.1</v>
      </c>
      <c r="H338" t="n">
        <v>0</v>
      </c>
      <c r="I338" t="n">
        <v>0</v>
      </c>
      <c r="J338" t="n">
        <v>0</v>
      </c>
      <c r="K338" t="n">
        <v>0</v>
      </c>
      <c r="L338" t="n">
        <v>0</v>
      </c>
      <c r="M338" t="n">
        <v>0</v>
      </c>
      <c r="N338" t="n">
        <v>0</v>
      </c>
      <c r="O338" t="n">
        <v>0</v>
      </c>
      <c r="P338" t="n">
        <v>0</v>
      </c>
      <c r="Q338" t="n">
        <v>0</v>
      </c>
      <c r="R338" s="2" t="inlineStr"/>
    </row>
    <row r="339" ht="15" customHeight="1">
      <c r="A339" t="inlineStr">
        <is>
          <t>A 43604-2025</t>
        </is>
      </c>
      <c r="B339" s="1" t="n">
        <v>45911.66671296296</v>
      </c>
      <c r="C339" s="1" t="n">
        <v>46070</v>
      </c>
      <c r="D339" t="inlineStr">
        <is>
          <t>UPPSALA LÄN</t>
        </is>
      </c>
      <c r="E339" t="inlineStr">
        <is>
          <t>ÖSTHAMMAR</t>
        </is>
      </c>
      <c r="G339" t="n">
        <v>8.5</v>
      </c>
      <c r="H339" t="n">
        <v>0</v>
      </c>
      <c r="I339" t="n">
        <v>0</v>
      </c>
      <c r="J339" t="n">
        <v>0</v>
      </c>
      <c r="K339" t="n">
        <v>0</v>
      </c>
      <c r="L339" t="n">
        <v>0</v>
      </c>
      <c r="M339" t="n">
        <v>0</v>
      </c>
      <c r="N339" t="n">
        <v>0</v>
      </c>
      <c r="O339" t="n">
        <v>0</v>
      </c>
      <c r="P339" t="n">
        <v>0</v>
      </c>
      <c r="Q339" t="n">
        <v>0</v>
      </c>
      <c r="R339" s="2" t="inlineStr"/>
    </row>
    <row r="340" ht="15" customHeight="1">
      <c r="A340" t="inlineStr">
        <is>
          <t>A 27490-2025</t>
        </is>
      </c>
      <c r="B340" s="1" t="n">
        <v>45813.39273148148</v>
      </c>
      <c r="C340" s="1" t="n">
        <v>46070</v>
      </c>
      <c r="D340" t="inlineStr">
        <is>
          <t>UPPSALA LÄN</t>
        </is>
      </c>
      <c r="E340" t="inlineStr">
        <is>
          <t>ÖSTHAMMAR</t>
        </is>
      </c>
      <c r="F340" t="inlineStr">
        <is>
          <t>Bergvik skog öst AB</t>
        </is>
      </c>
      <c r="G340" t="n">
        <v>6.1</v>
      </c>
      <c r="H340" t="n">
        <v>0</v>
      </c>
      <c r="I340" t="n">
        <v>0</v>
      </c>
      <c r="J340" t="n">
        <v>0</v>
      </c>
      <c r="K340" t="n">
        <v>0</v>
      </c>
      <c r="L340" t="n">
        <v>0</v>
      </c>
      <c r="M340" t="n">
        <v>0</v>
      </c>
      <c r="N340" t="n">
        <v>0</v>
      </c>
      <c r="O340" t="n">
        <v>0</v>
      </c>
      <c r="P340" t="n">
        <v>0</v>
      </c>
      <c r="Q340" t="n">
        <v>0</v>
      </c>
      <c r="R340" s="2" t="inlineStr"/>
    </row>
    <row r="341" ht="15" customHeight="1">
      <c r="A341" t="inlineStr">
        <is>
          <t>A 29775-2025</t>
        </is>
      </c>
      <c r="B341" s="1" t="n">
        <v>45825.63803240741</v>
      </c>
      <c r="C341" s="1" t="n">
        <v>46070</v>
      </c>
      <c r="D341" t="inlineStr">
        <is>
          <t>UPPSALA LÄN</t>
        </is>
      </c>
      <c r="E341" t="inlineStr">
        <is>
          <t>ÖSTHAMMAR</t>
        </is>
      </c>
      <c r="G341" t="n">
        <v>0.9</v>
      </c>
      <c r="H341" t="n">
        <v>0</v>
      </c>
      <c r="I341" t="n">
        <v>0</v>
      </c>
      <c r="J341" t="n">
        <v>0</v>
      </c>
      <c r="K341" t="n">
        <v>0</v>
      </c>
      <c r="L341" t="n">
        <v>0</v>
      </c>
      <c r="M341" t="n">
        <v>0</v>
      </c>
      <c r="N341" t="n">
        <v>0</v>
      </c>
      <c r="O341" t="n">
        <v>0</v>
      </c>
      <c r="P341" t="n">
        <v>0</v>
      </c>
      <c r="Q341" t="n">
        <v>0</v>
      </c>
      <c r="R341" s="2" t="inlineStr"/>
    </row>
    <row r="342" ht="15" customHeight="1">
      <c r="A342" t="inlineStr">
        <is>
          <t>A 4984-2024</t>
        </is>
      </c>
      <c r="B342" s="1" t="n">
        <v>45329</v>
      </c>
      <c r="C342" s="1" t="n">
        <v>46070</v>
      </c>
      <c r="D342" t="inlineStr">
        <is>
          <t>UPPSALA LÄN</t>
        </is>
      </c>
      <c r="E342" t="inlineStr">
        <is>
          <t>ÖSTHAMMAR</t>
        </is>
      </c>
      <c r="G342" t="n">
        <v>2.2</v>
      </c>
      <c r="H342" t="n">
        <v>0</v>
      </c>
      <c r="I342" t="n">
        <v>0</v>
      </c>
      <c r="J342" t="n">
        <v>0</v>
      </c>
      <c r="K342" t="n">
        <v>0</v>
      </c>
      <c r="L342" t="n">
        <v>0</v>
      </c>
      <c r="M342" t="n">
        <v>0</v>
      </c>
      <c r="N342" t="n">
        <v>0</v>
      </c>
      <c r="O342" t="n">
        <v>0</v>
      </c>
      <c r="P342" t="n">
        <v>0</v>
      </c>
      <c r="Q342" t="n">
        <v>0</v>
      </c>
      <c r="R342" s="2" t="inlineStr"/>
    </row>
    <row r="343" ht="15" customHeight="1">
      <c r="A343" t="inlineStr">
        <is>
          <t>A 43622-2025</t>
        </is>
      </c>
      <c r="B343" s="1" t="n">
        <v>45911.68295138889</v>
      </c>
      <c r="C343" s="1" t="n">
        <v>46070</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985-2026</t>
        </is>
      </c>
      <c r="B344" s="1" t="n">
        <v>46030.58104166666</v>
      </c>
      <c r="C344" s="1" t="n">
        <v>46070</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27486-2025</t>
        </is>
      </c>
      <c r="B345" s="1" t="n">
        <v>45813.38521990741</v>
      </c>
      <c r="C345" s="1" t="n">
        <v>46070</v>
      </c>
      <c r="D345" t="inlineStr">
        <is>
          <t>UPPSALA LÄN</t>
        </is>
      </c>
      <c r="E345" t="inlineStr">
        <is>
          <t>ÖSTHAMMAR</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21624-2023</t>
        </is>
      </c>
      <c r="B346" s="1" t="n">
        <v>45063.65543981481</v>
      </c>
      <c r="C346" s="1" t="n">
        <v>46070</v>
      </c>
      <c r="D346" t="inlineStr">
        <is>
          <t>UPPSALA LÄN</t>
        </is>
      </c>
      <c r="E346" t="inlineStr">
        <is>
          <t>ÖSTHAMMAR</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41996-2024</t>
        </is>
      </c>
      <c r="B347" s="1" t="n">
        <v>45561</v>
      </c>
      <c r="C347" s="1" t="n">
        <v>46070</v>
      </c>
      <c r="D347" t="inlineStr">
        <is>
          <t>UPPSALA LÄN</t>
        </is>
      </c>
      <c r="E347" t="inlineStr">
        <is>
          <t>ÖSTHAMMAR</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20326-2021</t>
        </is>
      </c>
      <c r="B348" s="1" t="n">
        <v>44308</v>
      </c>
      <c r="C348" s="1" t="n">
        <v>46070</v>
      </c>
      <c r="D348" t="inlineStr">
        <is>
          <t>UPPSALA LÄN</t>
        </is>
      </c>
      <c r="E348" t="inlineStr">
        <is>
          <t>ÖSTHAMMAR</t>
        </is>
      </c>
      <c r="G348" t="n">
        <v>7</v>
      </c>
      <c r="H348" t="n">
        <v>0</v>
      </c>
      <c r="I348" t="n">
        <v>0</v>
      </c>
      <c r="J348" t="n">
        <v>0</v>
      </c>
      <c r="K348" t="n">
        <v>0</v>
      </c>
      <c r="L348" t="n">
        <v>0</v>
      </c>
      <c r="M348" t="n">
        <v>0</v>
      </c>
      <c r="N348" t="n">
        <v>0</v>
      </c>
      <c r="O348" t="n">
        <v>0</v>
      </c>
      <c r="P348" t="n">
        <v>0</v>
      </c>
      <c r="Q348" t="n">
        <v>0</v>
      </c>
      <c r="R348" s="2" t="inlineStr"/>
    </row>
    <row r="349" ht="15" customHeight="1">
      <c r="A349" t="inlineStr">
        <is>
          <t>A 23742-2024</t>
        </is>
      </c>
      <c r="B349" s="1" t="n">
        <v>45455</v>
      </c>
      <c r="C349" s="1" t="n">
        <v>46070</v>
      </c>
      <c r="D349" t="inlineStr">
        <is>
          <t>UPPSALA LÄN</t>
        </is>
      </c>
      <c r="E349" t="inlineStr">
        <is>
          <t>ÖSTHAMMAR</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30244-2025</t>
        </is>
      </c>
      <c r="B350" s="1" t="n">
        <v>45827.40902777778</v>
      </c>
      <c r="C350" s="1" t="n">
        <v>46070</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5469-2026</t>
        </is>
      </c>
      <c r="B351" s="1" t="n">
        <v>46050.59346064815</v>
      </c>
      <c r="C351" s="1" t="n">
        <v>46070</v>
      </c>
      <c r="D351" t="inlineStr">
        <is>
          <t>UPPSALA LÄN</t>
        </is>
      </c>
      <c r="E351" t="inlineStr">
        <is>
          <t>ÖSTHAMMAR</t>
        </is>
      </c>
      <c r="F351" t="inlineStr">
        <is>
          <t>Övriga Aktiebolag</t>
        </is>
      </c>
      <c r="G351" t="n">
        <v>1</v>
      </c>
      <c r="H351" t="n">
        <v>0</v>
      </c>
      <c r="I351" t="n">
        <v>0</v>
      </c>
      <c r="J351" t="n">
        <v>0</v>
      </c>
      <c r="K351" t="n">
        <v>0</v>
      </c>
      <c r="L351" t="n">
        <v>0</v>
      </c>
      <c r="M351" t="n">
        <v>0</v>
      </c>
      <c r="N351" t="n">
        <v>0</v>
      </c>
      <c r="O351" t="n">
        <v>0</v>
      </c>
      <c r="P351" t="n">
        <v>0</v>
      </c>
      <c r="Q351" t="n">
        <v>0</v>
      </c>
      <c r="R351" s="2" t="inlineStr"/>
    </row>
    <row r="352" ht="15" customHeight="1">
      <c r="A352" t="inlineStr">
        <is>
          <t>A 6106-2024</t>
        </is>
      </c>
      <c r="B352" s="1" t="n">
        <v>45337.36831018519</v>
      </c>
      <c r="C352" s="1" t="n">
        <v>46070</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62745-2025</t>
        </is>
      </c>
      <c r="B353" s="1" t="n">
        <v>46008.57596064815</v>
      </c>
      <c r="C353" s="1" t="n">
        <v>46070</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46070</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30610-2025</t>
        </is>
      </c>
      <c r="B355" s="1" t="n">
        <v>45831.45965277778</v>
      </c>
      <c r="C355" s="1" t="n">
        <v>46070</v>
      </c>
      <c r="D355" t="inlineStr">
        <is>
          <t>UPPSALA LÄN</t>
        </is>
      </c>
      <c r="E355" t="inlineStr">
        <is>
          <t>ÖSTHAMMAR</t>
        </is>
      </c>
      <c r="G355" t="n">
        <v>0.2</v>
      </c>
      <c r="H355" t="n">
        <v>0</v>
      </c>
      <c r="I355" t="n">
        <v>0</v>
      </c>
      <c r="J355" t="n">
        <v>0</v>
      </c>
      <c r="K355" t="n">
        <v>0</v>
      </c>
      <c r="L355" t="n">
        <v>0</v>
      </c>
      <c r="M355" t="n">
        <v>0</v>
      </c>
      <c r="N355" t="n">
        <v>0</v>
      </c>
      <c r="O355" t="n">
        <v>0</v>
      </c>
      <c r="P355" t="n">
        <v>0</v>
      </c>
      <c r="Q355" t="n">
        <v>0</v>
      </c>
      <c r="R355" s="2" t="inlineStr"/>
    </row>
    <row r="356" ht="15" customHeight="1">
      <c r="A356" t="inlineStr">
        <is>
          <t>A 21478-2023</t>
        </is>
      </c>
      <c r="B356" s="1" t="n">
        <v>45063.47773148148</v>
      </c>
      <c r="C356" s="1" t="n">
        <v>46070</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30504-2025</t>
        </is>
      </c>
      <c r="B357" s="1" t="n">
        <v>45830.8558912037</v>
      </c>
      <c r="C357" s="1" t="n">
        <v>46070</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30503-2025</t>
        </is>
      </c>
      <c r="B358" s="1" t="n">
        <v>45830.8500462963</v>
      </c>
      <c r="C358" s="1" t="n">
        <v>46070</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44491-2025</t>
        </is>
      </c>
      <c r="B359" s="1" t="n">
        <v>45916.66152777777</v>
      </c>
      <c r="C359" s="1" t="n">
        <v>46070</v>
      </c>
      <c r="D359" t="inlineStr">
        <is>
          <t>UPPSALA LÄN</t>
        </is>
      </c>
      <c r="E359" t="inlineStr">
        <is>
          <t>ÖSTHAMMAR</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31249-2025</t>
        </is>
      </c>
      <c r="B360" s="1" t="n">
        <v>45832.89476851852</v>
      </c>
      <c r="C360" s="1" t="n">
        <v>46070</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31579-2025</t>
        </is>
      </c>
      <c r="B361" s="1" t="n">
        <v>45833.68211805556</v>
      </c>
      <c r="C361" s="1" t="n">
        <v>46070</v>
      </c>
      <c r="D361" t="inlineStr">
        <is>
          <t>UPPSALA LÄN</t>
        </is>
      </c>
      <c r="E361" t="inlineStr">
        <is>
          <t>ÖSTHAMMAR</t>
        </is>
      </c>
      <c r="G361" t="n">
        <v>1.5</v>
      </c>
      <c r="H361" t="n">
        <v>0</v>
      </c>
      <c r="I361" t="n">
        <v>0</v>
      </c>
      <c r="J361" t="n">
        <v>0</v>
      </c>
      <c r="K361" t="n">
        <v>0</v>
      </c>
      <c r="L361" t="n">
        <v>0</v>
      </c>
      <c r="M361" t="n">
        <v>0</v>
      </c>
      <c r="N361" t="n">
        <v>0</v>
      </c>
      <c r="O361" t="n">
        <v>0</v>
      </c>
      <c r="P361" t="n">
        <v>0</v>
      </c>
      <c r="Q361" t="n">
        <v>0</v>
      </c>
      <c r="R361" s="2" t="inlineStr"/>
    </row>
    <row r="362" ht="15" customHeight="1">
      <c r="A362" t="inlineStr">
        <is>
          <t>A 1238-2022</t>
        </is>
      </c>
      <c r="B362" s="1" t="n">
        <v>44572.5827662037</v>
      </c>
      <c r="C362" s="1" t="n">
        <v>46070</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31360-2025</t>
        </is>
      </c>
      <c r="B363" s="1" t="n">
        <v>45833.43527777777</v>
      </c>
      <c r="C363" s="1" t="n">
        <v>46070</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38003-2024</t>
        </is>
      </c>
      <c r="B364" s="1" t="n">
        <v>45544</v>
      </c>
      <c r="C364" s="1" t="n">
        <v>46070</v>
      </c>
      <c r="D364" t="inlineStr">
        <is>
          <t>UPPSALA LÄN</t>
        </is>
      </c>
      <c r="E364" t="inlineStr">
        <is>
          <t>ÖSTHAMMAR</t>
        </is>
      </c>
      <c r="F364" t="inlineStr">
        <is>
          <t>Naturvårdsverket</t>
        </is>
      </c>
      <c r="G364" t="n">
        <v>4.2</v>
      </c>
      <c r="H364" t="n">
        <v>0</v>
      </c>
      <c r="I364" t="n">
        <v>0</v>
      </c>
      <c r="J364" t="n">
        <v>0</v>
      </c>
      <c r="K364" t="n">
        <v>0</v>
      </c>
      <c r="L364" t="n">
        <v>0</v>
      </c>
      <c r="M364" t="n">
        <v>0</v>
      </c>
      <c r="N364" t="n">
        <v>0</v>
      </c>
      <c r="O364" t="n">
        <v>0</v>
      </c>
      <c r="P364" t="n">
        <v>0</v>
      </c>
      <c r="Q364" t="n">
        <v>0</v>
      </c>
      <c r="R364" s="2" t="inlineStr"/>
    </row>
    <row r="365" ht="15" customHeight="1">
      <c r="A365" t="inlineStr">
        <is>
          <t>A 45102-2025</t>
        </is>
      </c>
      <c r="B365" s="1" t="n">
        <v>45919.39731481481</v>
      </c>
      <c r="C365" s="1" t="n">
        <v>46070</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44917-2025</t>
        </is>
      </c>
      <c r="B366" s="1" t="n">
        <v>45918.54903935185</v>
      </c>
      <c r="C366" s="1" t="n">
        <v>46070</v>
      </c>
      <c r="D366" t="inlineStr">
        <is>
          <t>UPPSALA LÄN</t>
        </is>
      </c>
      <c r="E366" t="inlineStr">
        <is>
          <t>ÖSTHAMMAR</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45105-2025</t>
        </is>
      </c>
      <c r="B367" s="1" t="n">
        <v>45919.40252314815</v>
      </c>
      <c r="C367" s="1" t="n">
        <v>46070</v>
      </c>
      <c r="D367" t="inlineStr">
        <is>
          <t>UPPSALA LÄN</t>
        </is>
      </c>
      <c r="E367" t="inlineStr">
        <is>
          <t>ÖSTHAMMAR</t>
        </is>
      </c>
      <c r="G367" t="n">
        <v>0.8</v>
      </c>
      <c r="H367" t="n">
        <v>0</v>
      </c>
      <c r="I367" t="n">
        <v>0</v>
      </c>
      <c r="J367" t="n">
        <v>0</v>
      </c>
      <c r="K367" t="n">
        <v>0</v>
      </c>
      <c r="L367" t="n">
        <v>0</v>
      </c>
      <c r="M367" t="n">
        <v>0</v>
      </c>
      <c r="N367" t="n">
        <v>0</v>
      </c>
      <c r="O367" t="n">
        <v>0</v>
      </c>
      <c r="P367" t="n">
        <v>0</v>
      </c>
      <c r="Q367" t="n">
        <v>0</v>
      </c>
      <c r="R367" s="2" t="inlineStr"/>
    </row>
    <row r="368" ht="15" customHeight="1">
      <c r="A368" t="inlineStr">
        <is>
          <t>A 25252-2024</t>
        </is>
      </c>
      <c r="B368" s="1" t="n">
        <v>45462</v>
      </c>
      <c r="C368" s="1" t="n">
        <v>46070</v>
      </c>
      <c r="D368" t="inlineStr">
        <is>
          <t>UPPSALA LÄN</t>
        </is>
      </c>
      <c r="E368" t="inlineStr">
        <is>
          <t>ÖSTHAMMAR</t>
        </is>
      </c>
      <c r="G368" t="n">
        <v>4.3</v>
      </c>
      <c r="H368" t="n">
        <v>0</v>
      </c>
      <c r="I368" t="n">
        <v>0</v>
      </c>
      <c r="J368" t="n">
        <v>0</v>
      </c>
      <c r="K368" t="n">
        <v>0</v>
      </c>
      <c r="L368" t="n">
        <v>0</v>
      </c>
      <c r="M368" t="n">
        <v>0</v>
      </c>
      <c r="N368" t="n">
        <v>0</v>
      </c>
      <c r="O368" t="n">
        <v>0</v>
      </c>
      <c r="P368" t="n">
        <v>0</v>
      </c>
      <c r="Q368" t="n">
        <v>0</v>
      </c>
      <c r="R368" s="2" t="inlineStr"/>
    </row>
    <row r="369" ht="15" customHeight="1">
      <c r="A369" t="inlineStr">
        <is>
          <t>A 16531-2025</t>
        </is>
      </c>
      <c r="B369" s="1" t="n">
        <v>45751</v>
      </c>
      <c r="C369" s="1" t="n">
        <v>46070</v>
      </c>
      <c r="D369" t="inlineStr">
        <is>
          <t>UPPSALA LÄN</t>
        </is>
      </c>
      <c r="E369" t="inlineStr">
        <is>
          <t>ÖSTHAMMAR</t>
        </is>
      </c>
      <c r="G369" t="n">
        <v>3.3</v>
      </c>
      <c r="H369" t="n">
        <v>0</v>
      </c>
      <c r="I369" t="n">
        <v>0</v>
      </c>
      <c r="J369" t="n">
        <v>0</v>
      </c>
      <c r="K369" t="n">
        <v>0</v>
      </c>
      <c r="L369" t="n">
        <v>0</v>
      </c>
      <c r="M369" t="n">
        <v>0</v>
      </c>
      <c r="N369" t="n">
        <v>0</v>
      </c>
      <c r="O369" t="n">
        <v>0</v>
      </c>
      <c r="P369" t="n">
        <v>0</v>
      </c>
      <c r="Q369" t="n">
        <v>0</v>
      </c>
      <c r="R369" s="2" t="inlineStr"/>
    </row>
    <row r="370" ht="15" customHeight="1">
      <c r="A370" t="inlineStr">
        <is>
          <t>A 31896-2025</t>
        </is>
      </c>
      <c r="B370" s="1" t="n">
        <v>45834.67556712963</v>
      </c>
      <c r="C370" s="1" t="n">
        <v>46070</v>
      </c>
      <c r="D370" t="inlineStr">
        <is>
          <t>UPPSALA LÄN</t>
        </is>
      </c>
      <c r="E370" t="inlineStr">
        <is>
          <t>ÖSTHAMMAR</t>
        </is>
      </c>
      <c r="G370" t="n">
        <v>4.1</v>
      </c>
      <c r="H370" t="n">
        <v>0</v>
      </c>
      <c r="I370" t="n">
        <v>0</v>
      </c>
      <c r="J370" t="n">
        <v>0</v>
      </c>
      <c r="K370" t="n">
        <v>0</v>
      </c>
      <c r="L370" t="n">
        <v>0</v>
      </c>
      <c r="M370" t="n">
        <v>0</v>
      </c>
      <c r="N370" t="n">
        <v>0</v>
      </c>
      <c r="O370" t="n">
        <v>0</v>
      </c>
      <c r="P370" t="n">
        <v>0</v>
      </c>
      <c r="Q370" t="n">
        <v>0</v>
      </c>
      <c r="R370" s="2" t="inlineStr"/>
    </row>
    <row r="371" ht="15" customHeight="1">
      <c r="A371" t="inlineStr">
        <is>
          <t>A 45720-2025</t>
        </is>
      </c>
      <c r="B371" s="1" t="n">
        <v>45923.44583333333</v>
      </c>
      <c r="C371" s="1" t="n">
        <v>46070</v>
      </c>
      <c r="D371" t="inlineStr">
        <is>
          <t>UPPSALA LÄN</t>
        </is>
      </c>
      <c r="E371" t="inlineStr">
        <is>
          <t>ÖSTHAMMAR</t>
        </is>
      </c>
      <c r="F371" t="inlineStr">
        <is>
          <t>Övriga Aktiebolag</t>
        </is>
      </c>
      <c r="G371" t="n">
        <v>2.8</v>
      </c>
      <c r="H371" t="n">
        <v>0</v>
      </c>
      <c r="I371" t="n">
        <v>0</v>
      </c>
      <c r="J371" t="n">
        <v>0</v>
      </c>
      <c r="K371" t="n">
        <v>0</v>
      </c>
      <c r="L371" t="n">
        <v>0</v>
      </c>
      <c r="M371" t="n">
        <v>0</v>
      </c>
      <c r="N371" t="n">
        <v>0</v>
      </c>
      <c r="O371" t="n">
        <v>0</v>
      </c>
      <c r="P371" t="n">
        <v>0</v>
      </c>
      <c r="Q371" t="n">
        <v>0</v>
      </c>
      <c r="R371" s="2" t="inlineStr"/>
    </row>
    <row r="372" ht="15" customHeight="1">
      <c r="A372" t="inlineStr">
        <is>
          <t>A 45721-2025</t>
        </is>
      </c>
      <c r="B372" s="1" t="n">
        <v>45923.44844907407</v>
      </c>
      <c r="C372" s="1" t="n">
        <v>46070</v>
      </c>
      <c r="D372" t="inlineStr">
        <is>
          <t>UPPSALA LÄN</t>
        </is>
      </c>
      <c r="E372" t="inlineStr">
        <is>
          <t>ÖSTHAMMAR</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31137-2022</t>
        </is>
      </c>
      <c r="B373" s="1" t="n">
        <v>44770.42166666667</v>
      </c>
      <c r="C373" s="1" t="n">
        <v>46070</v>
      </c>
      <c r="D373" t="inlineStr">
        <is>
          <t>UPPSALA LÄN</t>
        </is>
      </c>
      <c r="E373" t="inlineStr">
        <is>
          <t>ÖSTHAMMAR</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31956-2025</t>
        </is>
      </c>
      <c r="B374" s="1" t="n">
        <v>45835.34184027778</v>
      </c>
      <c r="C374" s="1" t="n">
        <v>46070</v>
      </c>
      <c r="D374" t="inlineStr">
        <is>
          <t>UPPSALA LÄN</t>
        </is>
      </c>
      <c r="E374" t="inlineStr">
        <is>
          <t>ÖSTHAMMAR</t>
        </is>
      </c>
      <c r="F374" t="inlineStr">
        <is>
          <t>Övriga Aktiebolag</t>
        </is>
      </c>
      <c r="G374" t="n">
        <v>4.2</v>
      </c>
      <c r="H374" t="n">
        <v>0</v>
      </c>
      <c r="I374" t="n">
        <v>0</v>
      </c>
      <c r="J374" t="n">
        <v>0</v>
      </c>
      <c r="K374" t="n">
        <v>0</v>
      </c>
      <c r="L374" t="n">
        <v>0</v>
      </c>
      <c r="M374" t="n">
        <v>0</v>
      </c>
      <c r="N374" t="n">
        <v>0</v>
      </c>
      <c r="O374" t="n">
        <v>0</v>
      </c>
      <c r="P374" t="n">
        <v>0</v>
      </c>
      <c r="Q374" t="n">
        <v>0</v>
      </c>
      <c r="R374" s="2" t="inlineStr"/>
    </row>
    <row r="375" ht="15" customHeight="1">
      <c r="A375" t="inlineStr">
        <is>
          <t>A 31977-2025</t>
        </is>
      </c>
      <c r="B375" s="1" t="n">
        <v>45835.3554050926</v>
      </c>
      <c r="C375" s="1" t="n">
        <v>46070</v>
      </c>
      <c r="D375" t="inlineStr">
        <is>
          <t>UPPSALA LÄN</t>
        </is>
      </c>
      <c r="E375" t="inlineStr">
        <is>
          <t>ÖSTHAMMAR</t>
        </is>
      </c>
      <c r="F375" t="inlineStr">
        <is>
          <t>Övriga Aktiebolag</t>
        </is>
      </c>
      <c r="G375" t="n">
        <v>35.3</v>
      </c>
      <c r="H375" t="n">
        <v>0</v>
      </c>
      <c r="I375" t="n">
        <v>0</v>
      </c>
      <c r="J375" t="n">
        <v>0</v>
      </c>
      <c r="K375" t="n">
        <v>0</v>
      </c>
      <c r="L375" t="n">
        <v>0</v>
      </c>
      <c r="M375" t="n">
        <v>0</v>
      </c>
      <c r="N375" t="n">
        <v>0</v>
      </c>
      <c r="O375" t="n">
        <v>0</v>
      </c>
      <c r="P375" t="n">
        <v>0</v>
      </c>
      <c r="Q375" t="n">
        <v>0</v>
      </c>
      <c r="R375" s="2" t="inlineStr"/>
    </row>
    <row r="376" ht="15" customHeight="1">
      <c r="A376" t="inlineStr">
        <is>
          <t>A 45715-2025</t>
        </is>
      </c>
      <c r="B376" s="1" t="n">
        <v>45923.44094907407</v>
      </c>
      <c r="C376" s="1" t="n">
        <v>46070</v>
      </c>
      <c r="D376" t="inlineStr">
        <is>
          <t>UPPSALA LÄN</t>
        </is>
      </c>
      <c r="E376" t="inlineStr">
        <is>
          <t>ÖSTHAMMAR</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27476-2025</t>
        </is>
      </c>
      <c r="B377" s="1" t="n">
        <v>45813.37517361111</v>
      </c>
      <c r="C377" s="1" t="n">
        <v>46070</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74429-2021</t>
        </is>
      </c>
      <c r="B378" s="1" t="n">
        <v>44560.43136574074</v>
      </c>
      <c r="C378" s="1" t="n">
        <v>46070</v>
      </c>
      <c r="D378" t="inlineStr">
        <is>
          <t>UPPSALA LÄN</t>
        </is>
      </c>
      <c r="E378" t="inlineStr">
        <is>
          <t>ÖSTHAMMAR</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30931-2021</t>
        </is>
      </c>
      <c r="B379" s="1" t="n">
        <v>44365</v>
      </c>
      <c r="C379" s="1" t="n">
        <v>46070</v>
      </c>
      <c r="D379" t="inlineStr">
        <is>
          <t>UPPSALA LÄN</t>
        </is>
      </c>
      <c r="E379" t="inlineStr">
        <is>
          <t>ÖSTHAMMAR</t>
        </is>
      </c>
      <c r="F379" t="inlineStr">
        <is>
          <t>Bergvik skog öst AB</t>
        </is>
      </c>
      <c r="G379" t="n">
        <v>2.3</v>
      </c>
      <c r="H379" t="n">
        <v>0</v>
      </c>
      <c r="I379" t="n">
        <v>0</v>
      </c>
      <c r="J379" t="n">
        <v>0</v>
      </c>
      <c r="K379" t="n">
        <v>0</v>
      </c>
      <c r="L379" t="n">
        <v>0</v>
      </c>
      <c r="M379" t="n">
        <v>0</v>
      </c>
      <c r="N379" t="n">
        <v>0</v>
      </c>
      <c r="O379" t="n">
        <v>0</v>
      </c>
      <c r="P379" t="n">
        <v>0</v>
      </c>
      <c r="Q379" t="n">
        <v>0</v>
      </c>
      <c r="R379" s="2" t="inlineStr"/>
    </row>
    <row r="380" ht="15" customHeight="1">
      <c r="A380" t="inlineStr">
        <is>
          <t>A 32718-2025</t>
        </is>
      </c>
      <c r="B380" s="1" t="n">
        <v>45839.37740740741</v>
      </c>
      <c r="C380" s="1" t="n">
        <v>46070</v>
      </c>
      <c r="D380" t="inlineStr">
        <is>
          <t>UPPSALA LÄN</t>
        </is>
      </c>
      <c r="E380" t="inlineStr">
        <is>
          <t>ÖSTHAMMAR</t>
        </is>
      </c>
      <c r="G380" t="n">
        <v>10.4</v>
      </c>
      <c r="H380" t="n">
        <v>0</v>
      </c>
      <c r="I380" t="n">
        <v>0</v>
      </c>
      <c r="J380" t="n">
        <v>0</v>
      </c>
      <c r="K380" t="n">
        <v>0</v>
      </c>
      <c r="L380" t="n">
        <v>0</v>
      </c>
      <c r="M380" t="n">
        <v>0</v>
      </c>
      <c r="N380" t="n">
        <v>0</v>
      </c>
      <c r="O380" t="n">
        <v>0</v>
      </c>
      <c r="P380" t="n">
        <v>0</v>
      </c>
      <c r="Q380" t="n">
        <v>0</v>
      </c>
      <c r="R380" s="2" t="inlineStr"/>
    </row>
    <row r="381" ht="15" customHeight="1">
      <c r="A381" t="inlineStr">
        <is>
          <t>A 45993-2025</t>
        </is>
      </c>
      <c r="B381" s="1" t="n">
        <v>45924.39706018518</v>
      </c>
      <c r="C381" s="1" t="n">
        <v>46070</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17867-2024</t>
        </is>
      </c>
      <c r="B382" s="1" t="n">
        <v>45419.44106481481</v>
      </c>
      <c r="C382" s="1" t="n">
        <v>46070</v>
      </c>
      <c r="D382" t="inlineStr">
        <is>
          <t>UPPSALA LÄN</t>
        </is>
      </c>
      <c r="E382" t="inlineStr">
        <is>
          <t>ÖSTHAMMAR</t>
        </is>
      </c>
      <c r="G382" t="n">
        <v>7.2</v>
      </c>
      <c r="H382" t="n">
        <v>0</v>
      </c>
      <c r="I382" t="n">
        <v>0</v>
      </c>
      <c r="J382" t="n">
        <v>0</v>
      </c>
      <c r="K382" t="n">
        <v>0</v>
      </c>
      <c r="L382" t="n">
        <v>0</v>
      </c>
      <c r="M382" t="n">
        <v>0</v>
      </c>
      <c r="N382" t="n">
        <v>0</v>
      </c>
      <c r="O382" t="n">
        <v>0</v>
      </c>
      <c r="P382" t="n">
        <v>0</v>
      </c>
      <c r="Q382" t="n">
        <v>0</v>
      </c>
      <c r="R382" s="2" t="inlineStr"/>
    </row>
    <row r="383" ht="15" customHeight="1">
      <c r="A383" t="inlineStr">
        <is>
          <t>A 4228-2023</t>
        </is>
      </c>
      <c r="B383" s="1" t="n">
        <v>44953.48179398148</v>
      </c>
      <c r="C383" s="1" t="n">
        <v>46070</v>
      </c>
      <c r="D383" t="inlineStr">
        <is>
          <t>UPPSALA LÄN</t>
        </is>
      </c>
      <c r="E383" t="inlineStr">
        <is>
          <t>ÖSTHAMMAR</t>
        </is>
      </c>
      <c r="G383" t="n">
        <v>1</v>
      </c>
      <c r="H383" t="n">
        <v>0</v>
      </c>
      <c r="I383" t="n">
        <v>0</v>
      </c>
      <c r="J383" t="n">
        <v>0</v>
      </c>
      <c r="K383" t="n">
        <v>0</v>
      </c>
      <c r="L383" t="n">
        <v>0</v>
      </c>
      <c r="M383" t="n">
        <v>0</v>
      </c>
      <c r="N383" t="n">
        <v>0</v>
      </c>
      <c r="O383" t="n">
        <v>0</v>
      </c>
      <c r="P383" t="n">
        <v>0</v>
      </c>
      <c r="Q383" t="n">
        <v>0</v>
      </c>
      <c r="R383" s="2" t="inlineStr"/>
    </row>
    <row r="384" ht="15" customHeight="1">
      <c r="A384" t="inlineStr">
        <is>
          <t>A 46089-2025</t>
        </is>
      </c>
      <c r="B384" s="1" t="n">
        <v>45924.52100694444</v>
      </c>
      <c r="C384" s="1" t="n">
        <v>46070</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46070</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33529-2025</t>
        </is>
      </c>
      <c r="B386" s="1" t="n">
        <v>45841.55199074074</v>
      </c>
      <c r="C386" s="1" t="n">
        <v>46070</v>
      </c>
      <c r="D386" t="inlineStr">
        <is>
          <t>UPPSALA LÄN</t>
        </is>
      </c>
      <c r="E386" t="inlineStr">
        <is>
          <t>ÖSTHAMMAR</t>
        </is>
      </c>
      <c r="F386" t="inlineStr">
        <is>
          <t>Bergvik skog öst AB</t>
        </is>
      </c>
      <c r="G386" t="n">
        <v>11.8</v>
      </c>
      <c r="H386" t="n">
        <v>0</v>
      </c>
      <c r="I386" t="n">
        <v>0</v>
      </c>
      <c r="J386" t="n">
        <v>0</v>
      </c>
      <c r="K386" t="n">
        <v>0</v>
      </c>
      <c r="L386" t="n">
        <v>0</v>
      </c>
      <c r="M386" t="n">
        <v>0</v>
      </c>
      <c r="N386" t="n">
        <v>0</v>
      </c>
      <c r="O386" t="n">
        <v>0</v>
      </c>
      <c r="P386" t="n">
        <v>0</v>
      </c>
      <c r="Q386" t="n">
        <v>0</v>
      </c>
      <c r="R386" s="2" t="inlineStr"/>
    </row>
    <row r="387" ht="15" customHeight="1">
      <c r="A387" t="inlineStr">
        <is>
          <t>A 36301-2023</t>
        </is>
      </c>
      <c r="B387" s="1" t="n">
        <v>45152.37296296296</v>
      </c>
      <c r="C387" s="1" t="n">
        <v>46070</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33048-2025</t>
        </is>
      </c>
      <c r="B388" s="1" t="n">
        <v>45840.41451388889</v>
      </c>
      <c r="C388" s="1" t="n">
        <v>46070</v>
      </c>
      <c r="D388" t="inlineStr">
        <is>
          <t>UPPSALA LÄN</t>
        </is>
      </c>
      <c r="E388" t="inlineStr">
        <is>
          <t>ÖSTHAMMAR</t>
        </is>
      </c>
      <c r="G388" t="n">
        <v>1.8</v>
      </c>
      <c r="H388" t="n">
        <v>0</v>
      </c>
      <c r="I388" t="n">
        <v>0</v>
      </c>
      <c r="J388" t="n">
        <v>0</v>
      </c>
      <c r="K388" t="n">
        <v>0</v>
      </c>
      <c r="L388" t="n">
        <v>0</v>
      </c>
      <c r="M388" t="n">
        <v>0</v>
      </c>
      <c r="N388" t="n">
        <v>0</v>
      </c>
      <c r="O388" t="n">
        <v>0</v>
      </c>
      <c r="P388" t="n">
        <v>0</v>
      </c>
      <c r="Q388" t="n">
        <v>0</v>
      </c>
      <c r="R388" s="2" t="inlineStr"/>
    </row>
    <row r="389" ht="15" customHeight="1">
      <c r="A389" t="inlineStr">
        <is>
          <t>A 33271-2025</t>
        </is>
      </c>
      <c r="B389" s="1" t="n">
        <v>45840.68381944444</v>
      </c>
      <c r="C389" s="1" t="n">
        <v>46070</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46826-2025</t>
        </is>
      </c>
      <c r="B390" s="1" t="n">
        <v>45927.00606481481</v>
      </c>
      <c r="C390" s="1" t="n">
        <v>46070</v>
      </c>
      <c r="D390" t="inlineStr">
        <is>
          <t>UPPSALA LÄN</t>
        </is>
      </c>
      <c r="E390" t="inlineStr">
        <is>
          <t>ÖSTHAMMAR</t>
        </is>
      </c>
      <c r="G390" t="n">
        <v>9</v>
      </c>
      <c r="H390" t="n">
        <v>0</v>
      </c>
      <c r="I390" t="n">
        <v>0</v>
      </c>
      <c r="J390" t="n">
        <v>0</v>
      </c>
      <c r="K390" t="n">
        <v>0</v>
      </c>
      <c r="L390" t="n">
        <v>0</v>
      </c>
      <c r="M390" t="n">
        <v>0</v>
      </c>
      <c r="N390" t="n">
        <v>0</v>
      </c>
      <c r="O390" t="n">
        <v>0</v>
      </c>
      <c r="P390" t="n">
        <v>0</v>
      </c>
      <c r="Q390" t="n">
        <v>0</v>
      </c>
      <c r="R390" s="2" t="inlineStr"/>
    </row>
    <row r="391" ht="15" customHeight="1">
      <c r="A391" t="inlineStr">
        <is>
          <t>A 7195-2023</t>
        </is>
      </c>
      <c r="B391" s="1" t="n">
        <v>44970</v>
      </c>
      <c r="C391" s="1" t="n">
        <v>46070</v>
      </c>
      <c r="D391" t="inlineStr">
        <is>
          <t>UPPSALA LÄN</t>
        </is>
      </c>
      <c r="E391" t="inlineStr">
        <is>
          <t>ÖSTHAMMAR</t>
        </is>
      </c>
      <c r="G391" t="n">
        <v>1.3</v>
      </c>
      <c r="H391" t="n">
        <v>0</v>
      </c>
      <c r="I391" t="n">
        <v>0</v>
      </c>
      <c r="J391" t="n">
        <v>0</v>
      </c>
      <c r="K391" t="n">
        <v>0</v>
      </c>
      <c r="L391" t="n">
        <v>0</v>
      </c>
      <c r="M391" t="n">
        <v>0</v>
      </c>
      <c r="N391" t="n">
        <v>0</v>
      </c>
      <c r="O391" t="n">
        <v>0</v>
      </c>
      <c r="P391" t="n">
        <v>0</v>
      </c>
      <c r="Q391" t="n">
        <v>0</v>
      </c>
      <c r="R391" s="2" t="inlineStr"/>
    </row>
    <row r="392" ht="15" customHeight="1">
      <c r="A392" t="inlineStr">
        <is>
          <t>A 26774-2023</t>
        </is>
      </c>
      <c r="B392" s="1" t="n">
        <v>45093.47947916666</v>
      </c>
      <c r="C392" s="1" t="n">
        <v>46070</v>
      </c>
      <c r="D392" t="inlineStr">
        <is>
          <t>UPPSALA LÄN</t>
        </is>
      </c>
      <c r="E392" t="inlineStr">
        <is>
          <t>ÖSTHAMMAR</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26395-2025</t>
        </is>
      </c>
      <c r="B393" s="1" t="n">
        <v>45807</v>
      </c>
      <c r="C393" s="1" t="n">
        <v>46070</v>
      </c>
      <c r="D393" t="inlineStr">
        <is>
          <t>UPPSALA LÄN</t>
        </is>
      </c>
      <c r="E393" t="inlineStr">
        <is>
          <t>ÖSTHAMMAR</t>
        </is>
      </c>
      <c r="G393" t="n">
        <v>7</v>
      </c>
      <c r="H393" t="n">
        <v>0</v>
      </c>
      <c r="I393" t="n">
        <v>0</v>
      </c>
      <c r="J393" t="n">
        <v>0</v>
      </c>
      <c r="K393" t="n">
        <v>0</v>
      </c>
      <c r="L393" t="n">
        <v>0</v>
      </c>
      <c r="M393" t="n">
        <v>0</v>
      </c>
      <c r="N393" t="n">
        <v>0</v>
      </c>
      <c r="O393" t="n">
        <v>0</v>
      </c>
      <c r="P393" t="n">
        <v>0</v>
      </c>
      <c r="Q393" t="n">
        <v>0</v>
      </c>
      <c r="R393" s="2" t="inlineStr"/>
    </row>
    <row r="394" ht="15" customHeight="1">
      <c r="A394" t="inlineStr">
        <is>
          <t>A 6238-2026</t>
        </is>
      </c>
      <c r="B394" s="1" t="n">
        <v>46055.45547453704</v>
      </c>
      <c r="C394" s="1" t="n">
        <v>46070</v>
      </c>
      <c r="D394" t="inlineStr">
        <is>
          <t>UPPSALA LÄN</t>
        </is>
      </c>
      <c r="E394" t="inlineStr">
        <is>
          <t>ÖSTHAMMAR</t>
        </is>
      </c>
      <c r="F394" t="inlineStr">
        <is>
          <t>Övriga Aktiebolag</t>
        </is>
      </c>
      <c r="G394" t="n">
        <v>26.7</v>
      </c>
      <c r="H394" t="n">
        <v>0</v>
      </c>
      <c r="I394" t="n">
        <v>0</v>
      </c>
      <c r="J394" t="n">
        <v>0</v>
      </c>
      <c r="K394" t="n">
        <v>0</v>
      </c>
      <c r="L394" t="n">
        <v>0</v>
      </c>
      <c r="M394" t="n">
        <v>0</v>
      </c>
      <c r="N394" t="n">
        <v>0</v>
      </c>
      <c r="O394" t="n">
        <v>0</v>
      </c>
      <c r="P394" t="n">
        <v>0</v>
      </c>
      <c r="Q394" t="n">
        <v>0</v>
      </c>
      <c r="R394" s="2" t="inlineStr"/>
    </row>
    <row r="395" ht="15" customHeight="1">
      <c r="A395" t="inlineStr">
        <is>
          <t>A 33972-2025</t>
        </is>
      </c>
      <c r="B395" s="1" t="n">
        <v>45842.97236111111</v>
      </c>
      <c r="C395" s="1" t="n">
        <v>46070</v>
      </c>
      <c r="D395" t="inlineStr">
        <is>
          <t>UPPSALA LÄN</t>
        </is>
      </c>
      <c r="E395" t="inlineStr">
        <is>
          <t>ÖSTHAMMAR</t>
        </is>
      </c>
      <c r="G395" t="n">
        <v>0.8</v>
      </c>
      <c r="H395" t="n">
        <v>0</v>
      </c>
      <c r="I395" t="n">
        <v>0</v>
      </c>
      <c r="J395" t="n">
        <v>0</v>
      </c>
      <c r="K395" t="n">
        <v>0</v>
      </c>
      <c r="L395" t="n">
        <v>0</v>
      </c>
      <c r="M395" t="n">
        <v>0</v>
      </c>
      <c r="N395" t="n">
        <v>0</v>
      </c>
      <c r="O395" t="n">
        <v>0</v>
      </c>
      <c r="P395" t="n">
        <v>0</v>
      </c>
      <c r="Q395" t="n">
        <v>0</v>
      </c>
      <c r="R395" s="2" t="inlineStr"/>
    </row>
    <row r="396" ht="15" customHeight="1">
      <c r="A396" t="inlineStr">
        <is>
          <t>A 47338-2025</t>
        </is>
      </c>
      <c r="B396" s="1" t="n">
        <v>45930.56626157407</v>
      </c>
      <c r="C396" s="1" t="n">
        <v>46070</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17644-2025</t>
        </is>
      </c>
      <c r="B397" s="1" t="n">
        <v>45758.32645833334</v>
      </c>
      <c r="C397" s="1" t="n">
        <v>46070</v>
      </c>
      <c r="D397" t="inlineStr">
        <is>
          <t>UPPSALA LÄN</t>
        </is>
      </c>
      <c r="E397" t="inlineStr">
        <is>
          <t>ÖSTHAMMAR</t>
        </is>
      </c>
      <c r="F397" t="inlineStr">
        <is>
          <t>Bergvik skog väst AB</t>
        </is>
      </c>
      <c r="G397" t="n">
        <v>6.1</v>
      </c>
      <c r="H397" t="n">
        <v>0</v>
      </c>
      <c r="I397" t="n">
        <v>0</v>
      </c>
      <c r="J397" t="n">
        <v>0</v>
      </c>
      <c r="K397" t="n">
        <v>0</v>
      </c>
      <c r="L397" t="n">
        <v>0</v>
      </c>
      <c r="M397" t="n">
        <v>0</v>
      </c>
      <c r="N397" t="n">
        <v>0</v>
      </c>
      <c r="O397" t="n">
        <v>0</v>
      </c>
      <c r="P397" t="n">
        <v>0</v>
      </c>
      <c r="Q397" t="n">
        <v>0</v>
      </c>
      <c r="R397" s="2" t="inlineStr"/>
    </row>
    <row r="398" ht="15" customHeight="1">
      <c r="A398" t="inlineStr">
        <is>
          <t>A 33973-2025</t>
        </is>
      </c>
      <c r="B398" s="1" t="n">
        <v>45842.98429398148</v>
      </c>
      <c r="C398" s="1" t="n">
        <v>46070</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20324-2021</t>
        </is>
      </c>
      <c r="B399" s="1" t="n">
        <v>44308</v>
      </c>
      <c r="C399" s="1" t="n">
        <v>46070</v>
      </c>
      <c r="D399" t="inlineStr">
        <is>
          <t>UPPSALA LÄN</t>
        </is>
      </c>
      <c r="E399" t="inlineStr">
        <is>
          <t>ÖSTHAMMAR</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47336-2025</t>
        </is>
      </c>
      <c r="B400" s="1" t="n">
        <v>45930.56592592593</v>
      </c>
      <c r="C400" s="1" t="n">
        <v>46070</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47337-2025</t>
        </is>
      </c>
      <c r="B401" s="1" t="n">
        <v>45930.56607638889</v>
      </c>
      <c r="C401" s="1" t="n">
        <v>46070</v>
      </c>
      <c r="D401" t="inlineStr">
        <is>
          <t>UPPSALA LÄN</t>
        </is>
      </c>
      <c r="E401" t="inlineStr">
        <is>
          <t>ÖSTHAMMAR</t>
        </is>
      </c>
      <c r="G401" t="n">
        <v>1.3</v>
      </c>
      <c r="H401" t="n">
        <v>0</v>
      </c>
      <c r="I401" t="n">
        <v>0</v>
      </c>
      <c r="J401" t="n">
        <v>0</v>
      </c>
      <c r="K401" t="n">
        <v>0</v>
      </c>
      <c r="L401" t="n">
        <v>0</v>
      </c>
      <c r="M401" t="n">
        <v>0</v>
      </c>
      <c r="N401" t="n">
        <v>0</v>
      </c>
      <c r="O401" t="n">
        <v>0</v>
      </c>
      <c r="P401" t="n">
        <v>0</v>
      </c>
      <c r="Q401" t="n">
        <v>0</v>
      </c>
      <c r="R401" s="2" t="inlineStr"/>
    </row>
    <row r="402" ht="15" customHeight="1">
      <c r="A402" t="inlineStr">
        <is>
          <t>A 17652-2025</t>
        </is>
      </c>
      <c r="B402" s="1" t="n">
        <v>45758.33583333333</v>
      </c>
      <c r="C402" s="1" t="n">
        <v>46070</v>
      </c>
      <c r="D402" t="inlineStr">
        <is>
          <t>UPPSALA LÄN</t>
        </is>
      </c>
      <c r="E402" t="inlineStr">
        <is>
          <t>ÖSTHAMMAR</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6120-2024</t>
        </is>
      </c>
      <c r="B403" s="1" t="n">
        <v>45337.41784722222</v>
      </c>
      <c r="C403" s="1" t="n">
        <v>46070</v>
      </c>
      <c r="D403" t="inlineStr">
        <is>
          <t>UPPSALA LÄN</t>
        </is>
      </c>
      <c r="E403" t="inlineStr">
        <is>
          <t>ÖSTHAMMAR</t>
        </is>
      </c>
      <c r="G403" t="n">
        <v>0.7</v>
      </c>
      <c r="H403" t="n">
        <v>0</v>
      </c>
      <c r="I403" t="n">
        <v>0</v>
      </c>
      <c r="J403" t="n">
        <v>0</v>
      </c>
      <c r="K403" t="n">
        <v>0</v>
      </c>
      <c r="L403" t="n">
        <v>0</v>
      </c>
      <c r="M403" t="n">
        <v>0</v>
      </c>
      <c r="N403" t="n">
        <v>0</v>
      </c>
      <c r="O403" t="n">
        <v>0</v>
      </c>
      <c r="P403" t="n">
        <v>0</v>
      </c>
      <c r="Q403" t="n">
        <v>0</v>
      </c>
      <c r="R403" s="2" t="inlineStr"/>
    </row>
    <row r="404" ht="15" customHeight="1">
      <c r="A404" t="inlineStr">
        <is>
          <t>A 12528-2024</t>
        </is>
      </c>
      <c r="B404" s="1" t="n">
        <v>45379.61878472222</v>
      </c>
      <c r="C404" s="1" t="n">
        <v>46070</v>
      </c>
      <c r="D404" t="inlineStr">
        <is>
          <t>UPPSALA LÄN</t>
        </is>
      </c>
      <c r="E404" t="inlineStr">
        <is>
          <t>ÖSTHAMMAR</t>
        </is>
      </c>
      <c r="F404" t="inlineStr">
        <is>
          <t>Bergvik skog öst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47614-2025</t>
        </is>
      </c>
      <c r="B405" s="1" t="n">
        <v>45931.47211805556</v>
      </c>
      <c r="C405" s="1" t="n">
        <v>46070</v>
      </c>
      <c r="D405" t="inlineStr">
        <is>
          <t>UPPSALA LÄN</t>
        </is>
      </c>
      <c r="E405" t="inlineStr">
        <is>
          <t>ÖSTHAMMAR</t>
        </is>
      </c>
      <c r="G405" t="n">
        <v>22.8</v>
      </c>
      <c r="H405" t="n">
        <v>0</v>
      </c>
      <c r="I405" t="n">
        <v>0</v>
      </c>
      <c r="J405" t="n">
        <v>0</v>
      </c>
      <c r="K405" t="n">
        <v>0</v>
      </c>
      <c r="L405" t="n">
        <v>0</v>
      </c>
      <c r="M405" t="n">
        <v>0</v>
      </c>
      <c r="N405" t="n">
        <v>0</v>
      </c>
      <c r="O405" t="n">
        <v>0</v>
      </c>
      <c r="P405" t="n">
        <v>0</v>
      </c>
      <c r="Q405" t="n">
        <v>0</v>
      </c>
      <c r="R405" s="2" t="inlineStr"/>
    </row>
    <row r="406" ht="15" customHeight="1">
      <c r="A406" t="inlineStr">
        <is>
          <t>A 47615-2025</t>
        </is>
      </c>
      <c r="B406" s="1" t="n">
        <v>45931.47542824074</v>
      </c>
      <c r="C406" s="1" t="n">
        <v>46070</v>
      </c>
      <c r="D406" t="inlineStr">
        <is>
          <t>UPPSALA LÄN</t>
        </is>
      </c>
      <c r="E406" t="inlineStr">
        <is>
          <t>ÖSTHAMMAR</t>
        </is>
      </c>
      <c r="G406" t="n">
        <v>7</v>
      </c>
      <c r="H406" t="n">
        <v>0</v>
      </c>
      <c r="I406" t="n">
        <v>0</v>
      </c>
      <c r="J406" t="n">
        <v>0</v>
      </c>
      <c r="K406" t="n">
        <v>0</v>
      </c>
      <c r="L406" t="n">
        <v>0</v>
      </c>
      <c r="M406" t="n">
        <v>0</v>
      </c>
      <c r="N406" t="n">
        <v>0</v>
      </c>
      <c r="O406" t="n">
        <v>0</v>
      </c>
      <c r="P406" t="n">
        <v>0</v>
      </c>
      <c r="Q406" t="n">
        <v>0</v>
      </c>
      <c r="R406" s="2" t="inlineStr"/>
    </row>
    <row r="407" ht="15" customHeight="1">
      <c r="A407" t="inlineStr">
        <is>
          <t>A 357-2025</t>
        </is>
      </c>
      <c r="B407" s="1" t="n">
        <v>45659</v>
      </c>
      <c r="C407" s="1" t="n">
        <v>46070</v>
      </c>
      <c r="D407" t="inlineStr">
        <is>
          <t>UPPSALA LÄN</t>
        </is>
      </c>
      <c r="E407" t="inlineStr">
        <is>
          <t>ÖSTHAMMAR</t>
        </is>
      </c>
      <c r="G407" t="n">
        <v>15.8</v>
      </c>
      <c r="H407" t="n">
        <v>0</v>
      </c>
      <c r="I407" t="n">
        <v>0</v>
      </c>
      <c r="J407" t="n">
        <v>0</v>
      </c>
      <c r="K407" t="n">
        <v>0</v>
      </c>
      <c r="L407" t="n">
        <v>0</v>
      </c>
      <c r="M407" t="n">
        <v>0</v>
      </c>
      <c r="N407" t="n">
        <v>0</v>
      </c>
      <c r="O407" t="n">
        <v>0</v>
      </c>
      <c r="P407" t="n">
        <v>0</v>
      </c>
      <c r="Q407" t="n">
        <v>0</v>
      </c>
      <c r="R407" s="2" t="inlineStr"/>
    </row>
    <row r="408" ht="15" customHeight="1">
      <c r="A408" t="inlineStr">
        <is>
          <t>A 25859-2024</t>
        </is>
      </c>
      <c r="B408" s="1" t="n">
        <v>45467</v>
      </c>
      <c r="C408" s="1" t="n">
        <v>46070</v>
      </c>
      <c r="D408" t="inlineStr">
        <is>
          <t>UPPSALA LÄN</t>
        </is>
      </c>
      <c r="E408" t="inlineStr">
        <is>
          <t>ÖSTHAMMAR</t>
        </is>
      </c>
      <c r="G408" t="n">
        <v>7.9</v>
      </c>
      <c r="H408" t="n">
        <v>0</v>
      </c>
      <c r="I408" t="n">
        <v>0</v>
      </c>
      <c r="J408" t="n">
        <v>0</v>
      </c>
      <c r="K408" t="n">
        <v>0</v>
      </c>
      <c r="L408" t="n">
        <v>0</v>
      </c>
      <c r="M408" t="n">
        <v>0</v>
      </c>
      <c r="N408" t="n">
        <v>0</v>
      </c>
      <c r="O408" t="n">
        <v>0</v>
      </c>
      <c r="P408" t="n">
        <v>0</v>
      </c>
      <c r="Q408" t="n">
        <v>0</v>
      </c>
      <c r="R408" s="2" t="inlineStr"/>
    </row>
    <row r="409" ht="15" customHeight="1">
      <c r="A409" t="inlineStr">
        <is>
          <t>A 10117-2025</t>
        </is>
      </c>
      <c r="B409" s="1" t="n">
        <v>45719.59866898148</v>
      </c>
      <c r="C409" s="1" t="n">
        <v>46070</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9267-2024</t>
        </is>
      </c>
      <c r="B410" s="1" t="n">
        <v>45358</v>
      </c>
      <c r="C410" s="1" t="n">
        <v>46070</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33601-2024</t>
        </is>
      </c>
      <c r="B411" s="1" t="n">
        <v>45520</v>
      </c>
      <c r="C411" s="1" t="n">
        <v>46070</v>
      </c>
      <c r="D411" t="inlineStr">
        <is>
          <t>UPPSALA LÄN</t>
        </is>
      </c>
      <c r="E411" t="inlineStr">
        <is>
          <t>ÖSTHAMMAR</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19640-2025</t>
        </is>
      </c>
      <c r="B412" s="1" t="n">
        <v>45770.65739583333</v>
      </c>
      <c r="C412" s="1" t="n">
        <v>46070</v>
      </c>
      <c r="D412" t="inlineStr">
        <is>
          <t>UPPSALA LÄN</t>
        </is>
      </c>
      <c r="E412" t="inlineStr">
        <is>
          <t>ÖSTHAMMAR</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48654-2025</t>
        </is>
      </c>
      <c r="B413" s="1" t="n">
        <v>45936.55887731481</v>
      </c>
      <c r="C413" s="1" t="n">
        <v>46070</v>
      </c>
      <c r="D413" t="inlineStr">
        <is>
          <t>UPPSALA LÄN</t>
        </is>
      </c>
      <c r="E413" t="inlineStr">
        <is>
          <t>ÖSTHAMMAR</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48977-2025</t>
        </is>
      </c>
      <c r="B414" s="1" t="n">
        <v>45936</v>
      </c>
      <c r="C414" s="1" t="n">
        <v>46070</v>
      </c>
      <c r="D414" t="inlineStr">
        <is>
          <t>UPPSALA LÄN</t>
        </is>
      </c>
      <c r="E414" t="inlineStr">
        <is>
          <t>ÖSTHAMMAR</t>
        </is>
      </c>
      <c r="G414" t="n">
        <v>21.1</v>
      </c>
      <c r="H414" t="n">
        <v>0</v>
      </c>
      <c r="I414" t="n">
        <v>0</v>
      </c>
      <c r="J414" t="n">
        <v>0</v>
      </c>
      <c r="K414" t="n">
        <v>0</v>
      </c>
      <c r="L414" t="n">
        <v>0</v>
      </c>
      <c r="M414" t="n">
        <v>0</v>
      </c>
      <c r="N414" t="n">
        <v>0</v>
      </c>
      <c r="O414" t="n">
        <v>0</v>
      </c>
      <c r="P414" t="n">
        <v>0</v>
      </c>
      <c r="Q414" t="n">
        <v>0</v>
      </c>
      <c r="R414" s="2" t="inlineStr"/>
    </row>
    <row r="415" ht="15" customHeight="1">
      <c r="A415" t="inlineStr">
        <is>
          <t>A 23197-2023</t>
        </is>
      </c>
      <c r="B415" s="1" t="n">
        <v>45075</v>
      </c>
      <c r="C415" s="1" t="n">
        <v>46070</v>
      </c>
      <c r="D415" t="inlineStr">
        <is>
          <t>UPPSALA LÄN</t>
        </is>
      </c>
      <c r="E415" t="inlineStr">
        <is>
          <t>ÖSTHAMMAR</t>
        </is>
      </c>
      <c r="G415" t="n">
        <v>0.5</v>
      </c>
      <c r="H415" t="n">
        <v>0</v>
      </c>
      <c r="I415" t="n">
        <v>0</v>
      </c>
      <c r="J415" t="n">
        <v>0</v>
      </c>
      <c r="K415" t="n">
        <v>0</v>
      </c>
      <c r="L415" t="n">
        <v>0</v>
      </c>
      <c r="M415" t="n">
        <v>0</v>
      </c>
      <c r="N415" t="n">
        <v>0</v>
      </c>
      <c r="O415" t="n">
        <v>0</v>
      </c>
      <c r="P415" t="n">
        <v>0</v>
      </c>
      <c r="Q415" t="n">
        <v>0</v>
      </c>
      <c r="R415" s="2" t="inlineStr"/>
    </row>
    <row r="416" ht="15" customHeight="1">
      <c r="A416" t="inlineStr">
        <is>
          <t>A 52478-2024</t>
        </is>
      </c>
      <c r="B416" s="1" t="n">
        <v>45609.55065972222</v>
      </c>
      <c r="C416" s="1" t="n">
        <v>46070</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13044-2022</t>
        </is>
      </c>
      <c r="B417" s="1" t="n">
        <v>44643</v>
      </c>
      <c r="C417" s="1" t="n">
        <v>46070</v>
      </c>
      <c r="D417" t="inlineStr">
        <is>
          <t>UPPSALA LÄN</t>
        </is>
      </c>
      <c r="E417" t="inlineStr">
        <is>
          <t>ÖSTHAMMAR</t>
        </is>
      </c>
      <c r="G417" t="n">
        <v>2.5</v>
      </c>
      <c r="H417" t="n">
        <v>0</v>
      </c>
      <c r="I417" t="n">
        <v>0</v>
      </c>
      <c r="J417" t="n">
        <v>0</v>
      </c>
      <c r="K417" t="n">
        <v>0</v>
      </c>
      <c r="L417" t="n">
        <v>0</v>
      </c>
      <c r="M417" t="n">
        <v>0</v>
      </c>
      <c r="N417" t="n">
        <v>0</v>
      </c>
      <c r="O417" t="n">
        <v>0</v>
      </c>
      <c r="P417" t="n">
        <v>0</v>
      </c>
      <c r="Q417" t="n">
        <v>0</v>
      </c>
      <c r="R417" s="2" t="inlineStr"/>
    </row>
    <row r="418" ht="15" customHeight="1">
      <c r="A418" t="inlineStr">
        <is>
          <t>A 2947-2025</t>
        </is>
      </c>
      <c r="B418" s="1" t="n">
        <v>45678</v>
      </c>
      <c r="C418" s="1" t="n">
        <v>46070</v>
      </c>
      <c r="D418" t="inlineStr">
        <is>
          <t>UPPSALA LÄN</t>
        </is>
      </c>
      <c r="E418" t="inlineStr">
        <is>
          <t>ÖSTHAMMAR</t>
        </is>
      </c>
      <c r="G418" t="n">
        <v>3.6</v>
      </c>
      <c r="H418" t="n">
        <v>0</v>
      </c>
      <c r="I418" t="n">
        <v>0</v>
      </c>
      <c r="J418" t="n">
        <v>0</v>
      </c>
      <c r="K418" t="n">
        <v>0</v>
      </c>
      <c r="L418" t="n">
        <v>0</v>
      </c>
      <c r="M418" t="n">
        <v>0</v>
      </c>
      <c r="N418" t="n">
        <v>0</v>
      </c>
      <c r="O418" t="n">
        <v>0</v>
      </c>
      <c r="P418" t="n">
        <v>0</v>
      </c>
      <c r="Q418" t="n">
        <v>0</v>
      </c>
      <c r="R418" s="2" t="inlineStr"/>
    </row>
    <row r="419" ht="15" customHeight="1">
      <c r="A419" t="inlineStr">
        <is>
          <t>A 17433-2025</t>
        </is>
      </c>
      <c r="B419" s="1" t="n">
        <v>45757.40733796296</v>
      </c>
      <c r="C419" s="1" t="n">
        <v>46070</v>
      </c>
      <c r="D419" t="inlineStr">
        <is>
          <t>UPPSALA LÄN</t>
        </is>
      </c>
      <c r="E419" t="inlineStr">
        <is>
          <t>ÖSTHAMMAR</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12756-2024</t>
        </is>
      </c>
      <c r="B420" s="1" t="n">
        <v>45384</v>
      </c>
      <c r="C420" s="1" t="n">
        <v>46070</v>
      </c>
      <c r="D420" t="inlineStr">
        <is>
          <t>UPPSALA LÄN</t>
        </is>
      </c>
      <c r="E420" t="inlineStr">
        <is>
          <t>ÖSTHAMMAR</t>
        </is>
      </c>
      <c r="G420" t="n">
        <v>1.3</v>
      </c>
      <c r="H420" t="n">
        <v>0</v>
      </c>
      <c r="I420" t="n">
        <v>0</v>
      </c>
      <c r="J420" t="n">
        <v>0</v>
      </c>
      <c r="K420" t="n">
        <v>0</v>
      </c>
      <c r="L420" t="n">
        <v>0</v>
      </c>
      <c r="M420" t="n">
        <v>0</v>
      </c>
      <c r="N420" t="n">
        <v>0</v>
      </c>
      <c r="O420" t="n">
        <v>0</v>
      </c>
      <c r="P420" t="n">
        <v>0</v>
      </c>
      <c r="Q420" t="n">
        <v>0</v>
      </c>
      <c r="R420" s="2" t="inlineStr"/>
    </row>
    <row r="421" ht="15" customHeight="1">
      <c r="A421" t="inlineStr">
        <is>
          <t>A 15928-2022</t>
        </is>
      </c>
      <c r="B421" s="1" t="n">
        <v>44664</v>
      </c>
      <c r="C421" s="1" t="n">
        <v>46070</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8708-2022</t>
        </is>
      </c>
      <c r="B422" s="1" t="n">
        <v>44613.77238425926</v>
      </c>
      <c r="C422" s="1" t="n">
        <v>46070</v>
      </c>
      <c r="D422" t="inlineStr">
        <is>
          <t>UPPSALA LÄN</t>
        </is>
      </c>
      <c r="E422" t="inlineStr">
        <is>
          <t>ÖSTHAMMAR</t>
        </is>
      </c>
      <c r="G422" t="n">
        <v>4.3</v>
      </c>
      <c r="H422" t="n">
        <v>0</v>
      </c>
      <c r="I422" t="n">
        <v>0</v>
      </c>
      <c r="J422" t="n">
        <v>0</v>
      </c>
      <c r="K422" t="n">
        <v>0</v>
      </c>
      <c r="L422" t="n">
        <v>0</v>
      </c>
      <c r="M422" t="n">
        <v>0</v>
      </c>
      <c r="N422" t="n">
        <v>0</v>
      </c>
      <c r="O422" t="n">
        <v>0</v>
      </c>
      <c r="P422" t="n">
        <v>0</v>
      </c>
      <c r="Q422" t="n">
        <v>0</v>
      </c>
      <c r="R422" s="2" t="inlineStr"/>
    </row>
    <row r="423" ht="15" customHeight="1">
      <c r="A423" t="inlineStr">
        <is>
          <t>A 48857-2025</t>
        </is>
      </c>
      <c r="B423" s="1" t="n">
        <v>45937.43621527778</v>
      </c>
      <c r="C423" s="1" t="n">
        <v>46070</v>
      </c>
      <c r="D423" t="inlineStr">
        <is>
          <t>UPPSALA LÄN</t>
        </is>
      </c>
      <c r="E423" t="inlineStr">
        <is>
          <t>ÖSTHAMMAR</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48854-2025</t>
        </is>
      </c>
      <c r="B424" s="1" t="n">
        <v>45937.43274305556</v>
      </c>
      <c r="C424" s="1" t="n">
        <v>46070</v>
      </c>
      <c r="D424" t="inlineStr">
        <is>
          <t>UPPSALA LÄN</t>
        </is>
      </c>
      <c r="E424" t="inlineStr">
        <is>
          <t>ÖSTHAMMAR</t>
        </is>
      </c>
      <c r="F424" t="inlineStr">
        <is>
          <t>Övriga Aktiebolag</t>
        </is>
      </c>
      <c r="G424" t="n">
        <v>18.9</v>
      </c>
      <c r="H424" t="n">
        <v>0</v>
      </c>
      <c r="I424" t="n">
        <v>0</v>
      </c>
      <c r="J424" t="n">
        <v>0</v>
      </c>
      <c r="K424" t="n">
        <v>0</v>
      </c>
      <c r="L424" t="n">
        <v>0</v>
      </c>
      <c r="M424" t="n">
        <v>0</v>
      </c>
      <c r="N424" t="n">
        <v>0</v>
      </c>
      <c r="O424" t="n">
        <v>0</v>
      </c>
      <c r="P424" t="n">
        <v>0</v>
      </c>
      <c r="Q424" t="n">
        <v>0</v>
      </c>
      <c r="R424" s="2" t="inlineStr"/>
    </row>
    <row r="425" ht="15" customHeight="1">
      <c r="A425" t="inlineStr">
        <is>
          <t>A 49620-2025</t>
        </is>
      </c>
      <c r="B425" s="1" t="n">
        <v>45939.58928240741</v>
      </c>
      <c r="C425" s="1" t="n">
        <v>46070</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1063-2025</t>
        </is>
      </c>
      <c r="B426" s="1" t="n">
        <v>45666</v>
      </c>
      <c r="C426" s="1" t="n">
        <v>46070</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33760-2024</t>
        </is>
      </c>
      <c r="B427" s="1" t="n">
        <v>45520</v>
      </c>
      <c r="C427" s="1" t="n">
        <v>46070</v>
      </c>
      <c r="D427" t="inlineStr">
        <is>
          <t>UPPSALA LÄN</t>
        </is>
      </c>
      <c r="E427" t="inlineStr">
        <is>
          <t>ÖSTHAMMAR</t>
        </is>
      </c>
      <c r="F427" t="inlineStr">
        <is>
          <t>Övriga Aktiebolag</t>
        </is>
      </c>
      <c r="G427" t="n">
        <v>0.7</v>
      </c>
      <c r="H427" t="n">
        <v>0</v>
      </c>
      <c r="I427" t="n">
        <v>0</v>
      </c>
      <c r="J427" t="n">
        <v>0</v>
      </c>
      <c r="K427" t="n">
        <v>0</v>
      </c>
      <c r="L427" t="n">
        <v>0</v>
      </c>
      <c r="M427" t="n">
        <v>0</v>
      </c>
      <c r="N427" t="n">
        <v>0</v>
      </c>
      <c r="O427" t="n">
        <v>0</v>
      </c>
      <c r="P427" t="n">
        <v>0</v>
      </c>
      <c r="Q427" t="n">
        <v>0</v>
      </c>
      <c r="R427" s="2" t="inlineStr"/>
    </row>
    <row r="428" ht="15" customHeight="1">
      <c r="A428" t="inlineStr">
        <is>
          <t>A 8592-2022</t>
        </is>
      </c>
      <c r="B428" s="1" t="n">
        <v>44613</v>
      </c>
      <c r="C428" s="1" t="n">
        <v>46070</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36092-2025</t>
        </is>
      </c>
      <c r="B429" s="1" t="n">
        <v>45866.48244212963</v>
      </c>
      <c r="C429" s="1" t="n">
        <v>46070</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52629-2023</t>
        </is>
      </c>
      <c r="B430" s="1" t="n">
        <v>45225</v>
      </c>
      <c r="C430" s="1" t="n">
        <v>46070</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47020-2025</t>
        </is>
      </c>
      <c r="B431" s="1" t="n">
        <v>45929.5775</v>
      </c>
      <c r="C431" s="1" t="n">
        <v>46070</v>
      </c>
      <c r="D431" t="inlineStr">
        <is>
          <t>UPPSALA LÄN</t>
        </is>
      </c>
      <c r="E431" t="inlineStr">
        <is>
          <t>ÖSTHAMMAR</t>
        </is>
      </c>
      <c r="G431" t="n">
        <v>2.1</v>
      </c>
      <c r="H431" t="n">
        <v>0</v>
      </c>
      <c r="I431" t="n">
        <v>0</v>
      </c>
      <c r="J431" t="n">
        <v>0</v>
      </c>
      <c r="K431" t="n">
        <v>0</v>
      </c>
      <c r="L431" t="n">
        <v>0</v>
      </c>
      <c r="M431" t="n">
        <v>0</v>
      </c>
      <c r="N431" t="n">
        <v>0</v>
      </c>
      <c r="O431" t="n">
        <v>0</v>
      </c>
      <c r="P431" t="n">
        <v>0</v>
      </c>
      <c r="Q431" t="n">
        <v>0</v>
      </c>
      <c r="R431" s="2" t="inlineStr"/>
    </row>
    <row r="432" ht="15" customHeight="1">
      <c r="A432" t="inlineStr">
        <is>
          <t>A 35918-2023</t>
        </is>
      </c>
      <c r="B432" s="1" t="n">
        <v>45148.64976851852</v>
      </c>
      <c r="C432" s="1" t="n">
        <v>46070</v>
      </c>
      <c r="D432" t="inlineStr">
        <is>
          <t>UPPSALA LÄN</t>
        </is>
      </c>
      <c r="E432" t="inlineStr">
        <is>
          <t>ÖSTHAMMAR</t>
        </is>
      </c>
      <c r="F432" t="inlineStr">
        <is>
          <t>Bergvik skog öst AB</t>
        </is>
      </c>
      <c r="G432" t="n">
        <v>0.9</v>
      </c>
      <c r="H432" t="n">
        <v>0</v>
      </c>
      <c r="I432" t="n">
        <v>0</v>
      </c>
      <c r="J432" t="n">
        <v>0</v>
      </c>
      <c r="K432" t="n">
        <v>0</v>
      </c>
      <c r="L432" t="n">
        <v>0</v>
      </c>
      <c r="M432" t="n">
        <v>0</v>
      </c>
      <c r="N432" t="n">
        <v>0</v>
      </c>
      <c r="O432" t="n">
        <v>0</v>
      </c>
      <c r="P432" t="n">
        <v>0</v>
      </c>
      <c r="Q432" t="n">
        <v>0</v>
      </c>
      <c r="R432" s="2" t="inlineStr"/>
    </row>
    <row r="433" ht="15" customHeight="1">
      <c r="A433" t="inlineStr">
        <is>
          <t>A 17929-2025</t>
        </is>
      </c>
      <c r="B433" s="1" t="n">
        <v>45759.56462962963</v>
      </c>
      <c r="C433" s="1" t="n">
        <v>46070</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4292-2025</t>
        </is>
      </c>
      <c r="B434" s="1" t="n">
        <v>45685.66459490741</v>
      </c>
      <c r="C434" s="1" t="n">
        <v>46070</v>
      </c>
      <c r="D434" t="inlineStr">
        <is>
          <t>UPPSALA LÄN</t>
        </is>
      </c>
      <c r="E434" t="inlineStr">
        <is>
          <t>ÖSTHAMMAR</t>
        </is>
      </c>
      <c r="G434" t="n">
        <v>0.8</v>
      </c>
      <c r="H434" t="n">
        <v>0</v>
      </c>
      <c r="I434" t="n">
        <v>0</v>
      </c>
      <c r="J434" t="n">
        <v>0</v>
      </c>
      <c r="K434" t="n">
        <v>0</v>
      </c>
      <c r="L434" t="n">
        <v>0</v>
      </c>
      <c r="M434" t="n">
        <v>0</v>
      </c>
      <c r="N434" t="n">
        <v>0</v>
      </c>
      <c r="O434" t="n">
        <v>0</v>
      </c>
      <c r="P434" t="n">
        <v>0</v>
      </c>
      <c r="Q434" t="n">
        <v>0</v>
      </c>
      <c r="R434" s="2" t="inlineStr"/>
    </row>
    <row r="435" ht="15" customHeight="1">
      <c r="A435" t="inlineStr">
        <is>
          <t>A 4356-2025</t>
        </is>
      </c>
      <c r="B435" s="1" t="n">
        <v>45686</v>
      </c>
      <c r="C435" s="1" t="n">
        <v>46070</v>
      </c>
      <c r="D435" t="inlineStr">
        <is>
          <t>UPPSALA LÄN</t>
        </is>
      </c>
      <c r="E435" t="inlineStr">
        <is>
          <t>ÖSTHAMMAR</t>
        </is>
      </c>
      <c r="F435" t="inlineStr">
        <is>
          <t>Övriga Aktiebolag</t>
        </is>
      </c>
      <c r="G435" t="n">
        <v>24.6</v>
      </c>
      <c r="H435" t="n">
        <v>0</v>
      </c>
      <c r="I435" t="n">
        <v>0</v>
      </c>
      <c r="J435" t="n">
        <v>0</v>
      </c>
      <c r="K435" t="n">
        <v>0</v>
      </c>
      <c r="L435" t="n">
        <v>0</v>
      </c>
      <c r="M435" t="n">
        <v>0</v>
      </c>
      <c r="N435" t="n">
        <v>0</v>
      </c>
      <c r="O435" t="n">
        <v>0</v>
      </c>
      <c r="P435" t="n">
        <v>0</v>
      </c>
      <c r="Q435" t="n">
        <v>0</v>
      </c>
      <c r="R435" s="2" t="inlineStr"/>
    </row>
    <row r="436" ht="15" customHeight="1">
      <c r="A436" t="inlineStr">
        <is>
          <t>A 49773-2025</t>
        </is>
      </c>
      <c r="B436" s="1" t="n">
        <v>45940.37303240741</v>
      </c>
      <c r="C436" s="1" t="n">
        <v>46070</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36451-2025</t>
        </is>
      </c>
      <c r="B437" s="1" t="n">
        <v>45869.4290625</v>
      </c>
      <c r="C437" s="1" t="n">
        <v>46070</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6661-2024</t>
        </is>
      </c>
      <c r="B438" s="1" t="n">
        <v>45341.70582175926</v>
      </c>
      <c r="C438" s="1" t="n">
        <v>46070</v>
      </c>
      <c r="D438" t="inlineStr">
        <is>
          <t>UPPSALA LÄN</t>
        </is>
      </c>
      <c r="E438" t="inlineStr">
        <is>
          <t>ÖSTHAMMAR</t>
        </is>
      </c>
      <c r="G438" t="n">
        <v>0.2</v>
      </c>
      <c r="H438" t="n">
        <v>0</v>
      </c>
      <c r="I438" t="n">
        <v>0</v>
      </c>
      <c r="J438" t="n">
        <v>0</v>
      </c>
      <c r="K438" t="n">
        <v>0</v>
      </c>
      <c r="L438" t="n">
        <v>0</v>
      </c>
      <c r="M438" t="n">
        <v>0</v>
      </c>
      <c r="N438" t="n">
        <v>0</v>
      </c>
      <c r="O438" t="n">
        <v>0</v>
      </c>
      <c r="P438" t="n">
        <v>0</v>
      </c>
      <c r="Q438" t="n">
        <v>0</v>
      </c>
      <c r="R438" s="2" t="inlineStr"/>
    </row>
    <row r="439" ht="15" customHeight="1">
      <c r="A439" t="inlineStr">
        <is>
          <t>A 26328-2025</t>
        </is>
      </c>
      <c r="B439" s="1" t="n">
        <v>45805.67305555556</v>
      </c>
      <c r="C439" s="1" t="n">
        <v>46070</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17646-2025</t>
        </is>
      </c>
      <c r="B440" s="1" t="n">
        <v>45758.32872685185</v>
      </c>
      <c r="C440" s="1" t="n">
        <v>46070</v>
      </c>
      <c r="D440" t="inlineStr">
        <is>
          <t>UPPSALA LÄN</t>
        </is>
      </c>
      <c r="E440" t="inlineStr">
        <is>
          <t>ÖSTHAMMAR</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17648-2025</t>
        </is>
      </c>
      <c r="B441" s="1" t="n">
        <v>45758.33064814815</v>
      </c>
      <c r="C441" s="1" t="n">
        <v>46070</v>
      </c>
      <c r="D441" t="inlineStr">
        <is>
          <t>UPPSALA LÄN</t>
        </is>
      </c>
      <c r="E441" t="inlineStr">
        <is>
          <t>ÖSTHAMMAR</t>
        </is>
      </c>
      <c r="F441" t="inlineStr">
        <is>
          <t>Bergvik skog väst AB</t>
        </is>
      </c>
      <c r="G441" t="n">
        <v>1.3</v>
      </c>
      <c r="H441" t="n">
        <v>0</v>
      </c>
      <c r="I441" t="n">
        <v>0</v>
      </c>
      <c r="J441" t="n">
        <v>0</v>
      </c>
      <c r="K441" t="n">
        <v>0</v>
      </c>
      <c r="L441" t="n">
        <v>0</v>
      </c>
      <c r="M441" t="n">
        <v>0</v>
      </c>
      <c r="N441" t="n">
        <v>0</v>
      </c>
      <c r="O441" t="n">
        <v>0</v>
      </c>
      <c r="P441" t="n">
        <v>0</v>
      </c>
      <c r="Q441" t="n">
        <v>0</v>
      </c>
      <c r="R441" s="2" t="inlineStr"/>
    </row>
    <row r="442" ht="15" customHeight="1">
      <c r="A442" t="inlineStr">
        <is>
          <t>A 56903-2023</t>
        </is>
      </c>
      <c r="B442" s="1" t="n">
        <v>45244.56943287037</v>
      </c>
      <c r="C442" s="1" t="n">
        <v>46070</v>
      </c>
      <c r="D442" t="inlineStr">
        <is>
          <t>UPPSALA LÄN</t>
        </is>
      </c>
      <c r="E442" t="inlineStr">
        <is>
          <t>ÖSTHAMMAR</t>
        </is>
      </c>
      <c r="G442" t="n">
        <v>3.1</v>
      </c>
      <c r="H442" t="n">
        <v>0</v>
      </c>
      <c r="I442" t="n">
        <v>0</v>
      </c>
      <c r="J442" t="n">
        <v>0</v>
      </c>
      <c r="K442" t="n">
        <v>0</v>
      </c>
      <c r="L442" t="n">
        <v>0</v>
      </c>
      <c r="M442" t="n">
        <v>0</v>
      </c>
      <c r="N442" t="n">
        <v>0</v>
      </c>
      <c r="O442" t="n">
        <v>0</v>
      </c>
      <c r="P442" t="n">
        <v>0</v>
      </c>
      <c r="Q442" t="n">
        <v>0</v>
      </c>
      <c r="R442" s="2" t="inlineStr"/>
    </row>
    <row r="443" ht="15" customHeight="1">
      <c r="A443" t="inlineStr">
        <is>
          <t>A 36643-2025</t>
        </is>
      </c>
      <c r="B443" s="1" t="n">
        <v>45872.47782407407</v>
      </c>
      <c r="C443" s="1" t="n">
        <v>46070</v>
      </c>
      <c r="D443" t="inlineStr">
        <is>
          <t>UPPSALA LÄN</t>
        </is>
      </c>
      <c r="E443" t="inlineStr">
        <is>
          <t>ÖSTHAMMAR</t>
        </is>
      </c>
      <c r="F443" t="inlineStr">
        <is>
          <t>Bergvik skog öst AB</t>
        </is>
      </c>
      <c r="G443" t="n">
        <v>15.1</v>
      </c>
      <c r="H443" t="n">
        <v>0</v>
      </c>
      <c r="I443" t="n">
        <v>0</v>
      </c>
      <c r="J443" t="n">
        <v>0</v>
      </c>
      <c r="K443" t="n">
        <v>0</v>
      </c>
      <c r="L443" t="n">
        <v>0</v>
      </c>
      <c r="M443" t="n">
        <v>0</v>
      </c>
      <c r="N443" t="n">
        <v>0</v>
      </c>
      <c r="O443" t="n">
        <v>0</v>
      </c>
      <c r="P443" t="n">
        <v>0</v>
      </c>
      <c r="Q443" t="n">
        <v>0</v>
      </c>
      <c r="R443" s="2" t="inlineStr"/>
    </row>
    <row r="444" ht="15" customHeight="1">
      <c r="A444" t="inlineStr">
        <is>
          <t>A 28420-2023</t>
        </is>
      </c>
      <c r="B444" s="1" t="n">
        <v>45102.33054398148</v>
      </c>
      <c r="C444" s="1" t="n">
        <v>46070</v>
      </c>
      <c r="D444" t="inlineStr">
        <is>
          <t>UPPSALA LÄN</t>
        </is>
      </c>
      <c r="E444" t="inlineStr">
        <is>
          <t>ÖSTHAMMAR</t>
        </is>
      </c>
      <c r="F444" t="inlineStr">
        <is>
          <t>Bergvik skog öst AB</t>
        </is>
      </c>
      <c r="G444" t="n">
        <v>3.2</v>
      </c>
      <c r="H444" t="n">
        <v>0</v>
      </c>
      <c r="I444" t="n">
        <v>0</v>
      </c>
      <c r="J444" t="n">
        <v>0</v>
      </c>
      <c r="K444" t="n">
        <v>0</v>
      </c>
      <c r="L444" t="n">
        <v>0</v>
      </c>
      <c r="M444" t="n">
        <v>0</v>
      </c>
      <c r="N444" t="n">
        <v>0</v>
      </c>
      <c r="O444" t="n">
        <v>0</v>
      </c>
      <c r="P444" t="n">
        <v>0</v>
      </c>
      <c r="Q444" t="n">
        <v>0</v>
      </c>
      <c r="R444" s="2" t="inlineStr"/>
    </row>
    <row r="445" ht="15" customHeight="1">
      <c r="A445" t="inlineStr">
        <is>
          <t>A 28432-2023</t>
        </is>
      </c>
      <c r="B445" s="1" t="n">
        <v>45102.59896990741</v>
      </c>
      <c r="C445" s="1" t="n">
        <v>46070</v>
      </c>
      <c r="D445" t="inlineStr">
        <is>
          <t>UPPSALA LÄN</t>
        </is>
      </c>
      <c r="E445" t="inlineStr">
        <is>
          <t>ÖSTHAMMAR</t>
        </is>
      </c>
      <c r="F445" t="inlineStr">
        <is>
          <t>Bergvik skog öst AB</t>
        </is>
      </c>
      <c r="G445" t="n">
        <v>3.9</v>
      </c>
      <c r="H445" t="n">
        <v>0</v>
      </c>
      <c r="I445" t="n">
        <v>0</v>
      </c>
      <c r="J445" t="n">
        <v>0</v>
      </c>
      <c r="K445" t="n">
        <v>0</v>
      </c>
      <c r="L445" t="n">
        <v>0</v>
      </c>
      <c r="M445" t="n">
        <v>0</v>
      </c>
      <c r="N445" t="n">
        <v>0</v>
      </c>
      <c r="O445" t="n">
        <v>0</v>
      </c>
      <c r="P445" t="n">
        <v>0</v>
      </c>
      <c r="Q445" t="n">
        <v>0</v>
      </c>
      <c r="R445" s="2" t="inlineStr"/>
    </row>
    <row r="446" ht="15" customHeight="1">
      <c r="A446" t="inlineStr">
        <is>
          <t>A 56969-2022</t>
        </is>
      </c>
      <c r="B446" s="1" t="n">
        <v>44894.68043981482</v>
      </c>
      <c r="C446" s="1" t="n">
        <v>46070</v>
      </c>
      <c r="D446" t="inlineStr">
        <is>
          <t>UPPSALA LÄN</t>
        </is>
      </c>
      <c r="E446" t="inlineStr">
        <is>
          <t>ÖSTHAMMAR</t>
        </is>
      </c>
      <c r="G446" t="n">
        <v>5.5</v>
      </c>
      <c r="H446" t="n">
        <v>0</v>
      </c>
      <c r="I446" t="n">
        <v>0</v>
      </c>
      <c r="J446" t="n">
        <v>0</v>
      </c>
      <c r="K446" t="n">
        <v>0</v>
      </c>
      <c r="L446" t="n">
        <v>0</v>
      </c>
      <c r="M446" t="n">
        <v>0</v>
      </c>
      <c r="N446" t="n">
        <v>0</v>
      </c>
      <c r="O446" t="n">
        <v>0</v>
      </c>
      <c r="P446" t="n">
        <v>0</v>
      </c>
      <c r="Q446" t="n">
        <v>0</v>
      </c>
      <c r="R446" s="2" t="inlineStr"/>
    </row>
    <row r="447" ht="15" customHeight="1">
      <c r="A447" t="inlineStr">
        <is>
          <t>A 36645-2025</t>
        </is>
      </c>
      <c r="B447" s="1" t="n">
        <v>45872</v>
      </c>
      <c r="C447" s="1" t="n">
        <v>46070</v>
      </c>
      <c r="D447" t="inlineStr">
        <is>
          <t>UPPSALA LÄN</t>
        </is>
      </c>
      <c r="E447" t="inlineStr">
        <is>
          <t>ÖSTHAMMAR</t>
        </is>
      </c>
      <c r="F447" t="inlineStr">
        <is>
          <t>Bergvik skog öst AB</t>
        </is>
      </c>
      <c r="G447" t="n">
        <v>1.8</v>
      </c>
      <c r="H447" t="n">
        <v>0</v>
      </c>
      <c r="I447" t="n">
        <v>0</v>
      </c>
      <c r="J447" t="n">
        <v>0</v>
      </c>
      <c r="K447" t="n">
        <v>0</v>
      </c>
      <c r="L447" t="n">
        <v>0</v>
      </c>
      <c r="M447" t="n">
        <v>0</v>
      </c>
      <c r="N447" t="n">
        <v>0</v>
      </c>
      <c r="O447" t="n">
        <v>0</v>
      </c>
      <c r="P447" t="n">
        <v>0</v>
      </c>
      <c r="Q447" t="n">
        <v>0</v>
      </c>
      <c r="R447" s="2" t="inlineStr"/>
    </row>
    <row r="448" ht="15" customHeight="1">
      <c r="A448" t="inlineStr">
        <is>
          <t>A 36644-2025</t>
        </is>
      </c>
      <c r="B448" s="1" t="n">
        <v>45872.48738425926</v>
      </c>
      <c r="C448" s="1" t="n">
        <v>46070</v>
      </c>
      <c r="D448" t="inlineStr">
        <is>
          <t>UPPSALA LÄN</t>
        </is>
      </c>
      <c r="E448" t="inlineStr">
        <is>
          <t>ÖSTHAMMAR</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36646-2025</t>
        </is>
      </c>
      <c r="B449" s="1" t="n">
        <v>45872</v>
      </c>
      <c r="C449" s="1" t="n">
        <v>46070</v>
      </c>
      <c r="D449" t="inlineStr">
        <is>
          <t>UPPSALA LÄN</t>
        </is>
      </c>
      <c r="E449" t="inlineStr">
        <is>
          <t>ÖSTHAMMAR</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51156-2025</t>
        </is>
      </c>
      <c r="B450" s="1" t="n">
        <v>45947.57833333333</v>
      </c>
      <c r="C450" s="1" t="n">
        <v>46070</v>
      </c>
      <c r="D450" t="inlineStr">
        <is>
          <t>UPPSALA LÄN</t>
        </is>
      </c>
      <c r="E450" t="inlineStr">
        <is>
          <t>ÖSTHAMMAR</t>
        </is>
      </c>
      <c r="F450" t="inlineStr">
        <is>
          <t>Allmännings- och besparingsskogar</t>
        </is>
      </c>
      <c r="G450" t="n">
        <v>2.8</v>
      </c>
      <c r="H450" t="n">
        <v>0</v>
      </c>
      <c r="I450" t="n">
        <v>0</v>
      </c>
      <c r="J450" t="n">
        <v>0</v>
      </c>
      <c r="K450" t="n">
        <v>0</v>
      </c>
      <c r="L450" t="n">
        <v>0</v>
      </c>
      <c r="M450" t="n">
        <v>0</v>
      </c>
      <c r="N450" t="n">
        <v>0</v>
      </c>
      <c r="O450" t="n">
        <v>0</v>
      </c>
      <c r="P450" t="n">
        <v>0</v>
      </c>
      <c r="Q450" t="n">
        <v>0</v>
      </c>
      <c r="R450" s="2" t="inlineStr"/>
    </row>
    <row r="451" ht="15" customHeight="1">
      <c r="A451" t="inlineStr">
        <is>
          <t>A 6712-2026</t>
        </is>
      </c>
      <c r="B451" s="1" t="n">
        <v>46056.65564814815</v>
      </c>
      <c r="C451" s="1" t="n">
        <v>46070</v>
      </c>
      <c r="D451" t="inlineStr">
        <is>
          <t>UPPSALA LÄN</t>
        </is>
      </c>
      <c r="E451" t="inlineStr">
        <is>
          <t>ÖSTHAMMAR</t>
        </is>
      </c>
      <c r="F451" t="inlineStr">
        <is>
          <t>Bergvik skog öst AB</t>
        </is>
      </c>
      <c r="G451" t="n">
        <v>5</v>
      </c>
      <c r="H451" t="n">
        <v>0</v>
      </c>
      <c r="I451" t="n">
        <v>0</v>
      </c>
      <c r="J451" t="n">
        <v>0</v>
      </c>
      <c r="K451" t="n">
        <v>0</v>
      </c>
      <c r="L451" t="n">
        <v>0</v>
      </c>
      <c r="M451" t="n">
        <v>0</v>
      </c>
      <c r="N451" t="n">
        <v>0</v>
      </c>
      <c r="O451" t="n">
        <v>0</v>
      </c>
      <c r="P451" t="n">
        <v>0</v>
      </c>
      <c r="Q451" t="n">
        <v>0</v>
      </c>
      <c r="R451" s="2" t="inlineStr"/>
    </row>
    <row r="452" ht="15" customHeight="1">
      <c r="A452" t="inlineStr">
        <is>
          <t>A 6762-2026</t>
        </is>
      </c>
      <c r="B452" s="1" t="n">
        <v>46056.85776620371</v>
      </c>
      <c r="C452" s="1" t="n">
        <v>46070</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6884-2026</t>
        </is>
      </c>
      <c r="B453" s="1" t="n">
        <v>46057.46614583334</v>
      </c>
      <c r="C453" s="1" t="n">
        <v>46070</v>
      </c>
      <c r="D453" t="inlineStr">
        <is>
          <t>UPPSALA LÄN</t>
        </is>
      </c>
      <c r="E453" t="inlineStr">
        <is>
          <t>ÖSTHAMMAR</t>
        </is>
      </c>
      <c r="G453" t="n">
        <v>4.1</v>
      </c>
      <c r="H453" t="n">
        <v>0</v>
      </c>
      <c r="I453" t="n">
        <v>0</v>
      </c>
      <c r="J453" t="n">
        <v>0</v>
      </c>
      <c r="K453" t="n">
        <v>0</v>
      </c>
      <c r="L453" t="n">
        <v>0</v>
      </c>
      <c r="M453" t="n">
        <v>0</v>
      </c>
      <c r="N453" t="n">
        <v>0</v>
      </c>
      <c r="O453" t="n">
        <v>0</v>
      </c>
      <c r="P453" t="n">
        <v>0</v>
      </c>
      <c r="Q453" t="n">
        <v>0</v>
      </c>
      <c r="R453" s="2" t="inlineStr"/>
    </row>
    <row r="454" ht="15" customHeight="1">
      <c r="A454" t="inlineStr">
        <is>
          <t>A 6511-2026</t>
        </is>
      </c>
      <c r="B454" s="1" t="n">
        <v>46056.38925925926</v>
      </c>
      <c r="C454" s="1" t="n">
        <v>46070</v>
      </c>
      <c r="D454" t="inlineStr">
        <is>
          <t>UPPSALA LÄN</t>
        </is>
      </c>
      <c r="E454" t="inlineStr">
        <is>
          <t>ÖSTHAMMAR</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6522-2026</t>
        </is>
      </c>
      <c r="B455" s="1" t="n">
        <v>46056.4025</v>
      </c>
      <c r="C455" s="1" t="n">
        <v>46070</v>
      </c>
      <c r="D455" t="inlineStr">
        <is>
          <t>UPPSALA LÄN</t>
        </is>
      </c>
      <c r="E455" t="inlineStr">
        <is>
          <t>ÖSTHAMMAR</t>
        </is>
      </c>
      <c r="F455" t="inlineStr">
        <is>
          <t>Bergvik skog öst AB</t>
        </is>
      </c>
      <c r="G455" t="n">
        <v>4.2</v>
      </c>
      <c r="H455" t="n">
        <v>0</v>
      </c>
      <c r="I455" t="n">
        <v>0</v>
      </c>
      <c r="J455" t="n">
        <v>0</v>
      </c>
      <c r="K455" t="n">
        <v>0</v>
      </c>
      <c r="L455" t="n">
        <v>0</v>
      </c>
      <c r="M455" t="n">
        <v>0</v>
      </c>
      <c r="N455" t="n">
        <v>0</v>
      </c>
      <c r="O455" t="n">
        <v>0</v>
      </c>
      <c r="P455" t="n">
        <v>0</v>
      </c>
      <c r="Q455" t="n">
        <v>0</v>
      </c>
      <c r="R455" s="2" t="inlineStr"/>
    </row>
    <row r="456" ht="15" customHeight="1">
      <c r="A456" t="inlineStr">
        <is>
          <t>A 60584-2021</t>
        </is>
      </c>
      <c r="B456" s="1" t="n">
        <v>44496</v>
      </c>
      <c r="C456" s="1" t="n">
        <v>46070</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6517-2026</t>
        </is>
      </c>
      <c r="B457" s="1" t="n">
        <v>46056.39921296296</v>
      </c>
      <c r="C457" s="1" t="n">
        <v>46070</v>
      </c>
      <c r="D457" t="inlineStr">
        <is>
          <t>UPPSALA LÄN</t>
        </is>
      </c>
      <c r="E457" t="inlineStr">
        <is>
          <t>ÖSTHAMMAR</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6635-2026</t>
        </is>
      </c>
      <c r="B458" s="1" t="n">
        <v>46056.52885416667</v>
      </c>
      <c r="C458" s="1" t="n">
        <v>46070</v>
      </c>
      <c r="D458" t="inlineStr">
        <is>
          <t>UPPSALA LÄN</t>
        </is>
      </c>
      <c r="E458" t="inlineStr">
        <is>
          <t>ÖSTHAMMAR</t>
        </is>
      </c>
      <c r="F458" t="inlineStr">
        <is>
          <t>Bergvik skog öst AB</t>
        </is>
      </c>
      <c r="G458" t="n">
        <v>4.3</v>
      </c>
      <c r="H458" t="n">
        <v>0</v>
      </c>
      <c r="I458" t="n">
        <v>0</v>
      </c>
      <c r="J458" t="n">
        <v>0</v>
      </c>
      <c r="K458" t="n">
        <v>0</v>
      </c>
      <c r="L458" t="n">
        <v>0</v>
      </c>
      <c r="M458" t="n">
        <v>0</v>
      </c>
      <c r="N458" t="n">
        <v>0</v>
      </c>
      <c r="O458" t="n">
        <v>0</v>
      </c>
      <c r="P458" t="n">
        <v>0</v>
      </c>
      <c r="Q458" t="n">
        <v>0</v>
      </c>
      <c r="R458" s="2" t="inlineStr"/>
    </row>
    <row r="459" ht="15" customHeight="1">
      <c r="A459" t="inlineStr">
        <is>
          <t>A 44152-2024</t>
        </is>
      </c>
      <c r="B459" s="1" t="n">
        <v>45572</v>
      </c>
      <c r="C459" s="1" t="n">
        <v>46070</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46070</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51255-2025</t>
        </is>
      </c>
      <c r="B461" s="1" t="n">
        <v>45949.00917824074</v>
      </c>
      <c r="C461" s="1" t="n">
        <v>46070</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51708-2025</t>
        </is>
      </c>
      <c r="B462" s="1" t="n">
        <v>45951.56679398148</v>
      </c>
      <c r="C462" s="1" t="n">
        <v>46070</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51266-2025</t>
        </is>
      </c>
      <c r="B463" s="1" t="n">
        <v>45949.71568287037</v>
      </c>
      <c r="C463" s="1" t="n">
        <v>46070</v>
      </c>
      <c r="D463" t="inlineStr">
        <is>
          <t>UPPSALA LÄN</t>
        </is>
      </c>
      <c r="E463" t="inlineStr">
        <is>
          <t>ÖSTHAMMAR</t>
        </is>
      </c>
      <c r="F463" t="inlineStr">
        <is>
          <t>Bergvik skog öst AB</t>
        </is>
      </c>
      <c r="G463" t="n">
        <v>4.7</v>
      </c>
      <c r="H463" t="n">
        <v>0</v>
      </c>
      <c r="I463" t="n">
        <v>0</v>
      </c>
      <c r="J463" t="n">
        <v>0</v>
      </c>
      <c r="K463" t="n">
        <v>0</v>
      </c>
      <c r="L463" t="n">
        <v>0</v>
      </c>
      <c r="M463" t="n">
        <v>0</v>
      </c>
      <c r="N463" t="n">
        <v>0</v>
      </c>
      <c r="O463" t="n">
        <v>0</v>
      </c>
      <c r="P463" t="n">
        <v>0</v>
      </c>
      <c r="Q463" t="n">
        <v>0</v>
      </c>
      <c r="R463" s="2" t="inlineStr"/>
    </row>
    <row r="464" ht="15" customHeight="1">
      <c r="A464" t="inlineStr">
        <is>
          <t>A 48856-2024</t>
        </is>
      </c>
      <c r="B464" s="1" t="n">
        <v>45593</v>
      </c>
      <c r="C464" s="1" t="n">
        <v>46070</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47390-2023</t>
        </is>
      </c>
      <c r="B465" s="1" t="n">
        <v>45202</v>
      </c>
      <c r="C465" s="1" t="n">
        <v>46070</v>
      </c>
      <c r="D465" t="inlineStr">
        <is>
          <t>UPPSALA LÄN</t>
        </is>
      </c>
      <c r="E465" t="inlineStr">
        <is>
          <t>ÖSTHAMMAR</t>
        </is>
      </c>
      <c r="G465" t="n">
        <v>3.7</v>
      </c>
      <c r="H465" t="n">
        <v>0</v>
      </c>
      <c r="I465" t="n">
        <v>0</v>
      </c>
      <c r="J465" t="n">
        <v>0</v>
      </c>
      <c r="K465" t="n">
        <v>0</v>
      </c>
      <c r="L465" t="n">
        <v>0</v>
      </c>
      <c r="M465" t="n">
        <v>0</v>
      </c>
      <c r="N465" t="n">
        <v>0</v>
      </c>
      <c r="O465" t="n">
        <v>0</v>
      </c>
      <c r="P465" t="n">
        <v>0</v>
      </c>
      <c r="Q465" t="n">
        <v>0</v>
      </c>
      <c r="R465" s="2" t="inlineStr"/>
    </row>
    <row r="466" ht="15" customHeight="1">
      <c r="A466" t="inlineStr">
        <is>
          <t>A 37656-2025</t>
        </is>
      </c>
      <c r="B466" s="1" t="n">
        <v>45880</v>
      </c>
      <c r="C466" s="1" t="n">
        <v>46070</v>
      </c>
      <c r="D466" t="inlineStr">
        <is>
          <t>UPPSALA LÄN</t>
        </is>
      </c>
      <c r="E466" t="inlineStr">
        <is>
          <t>ÖSTHAMMAR</t>
        </is>
      </c>
      <c r="G466" t="n">
        <v>4.3</v>
      </c>
      <c r="H466" t="n">
        <v>0</v>
      </c>
      <c r="I466" t="n">
        <v>0</v>
      </c>
      <c r="J466" t="n">
        <v>0</v>
      </c>
      <c r="K466" t="n">
        <v>0</v>
      </c>
      <c r="L466" t="n">
        <v>0</v>
      </c>
      <c r="M466" t="n">
        <v>0</v>
      </c>
      <c r="N466" t="n">
        <v>0</v>
      </c>
      <c r="O466" t="n">
        <v>0</v>
      </c>
      <c r="P466" t="n">
        <v>0</v>
      </c>
      <c r="Q466" t="n">
        <v>0</v>
      </c>
      <c r="R466" s="2" t="inlineStr"/>
    </row>
    <row r="467" ht="15" customHeight="1">
      <c r="A467" t="inlineStr">
        <is>
          <t>A 51254-2025</t>
        </is>
      </c>
      <c r="B467" s="1" t="n">
        <v>45948.99313657408</v>
      </c>
      <c r="C467" s="1" t="n">
        <v>46070</v>
      </c>
      <c r="D467" t="inlineStr">
        <is>
          <t>UPPSALA LÄN</t>
        </is>
      </c>
      <c r="E467" t="inlineStr">
        <is>
          <t>ÖSTHAMMAR</t>
        </is>
      </c>
      <c r="G467" t="n">
        <v>8.9</v>
      </c>
      <c r="H467" t="n">
        <v>0</v>
      </c>
      <c r="I467" t="n">
        <v>0</v>
      </c>
      <c r="J467" t="n">
        <v>0</v>
      </c>
      <c r="K467" t="n">
        <v>0</v>
      </c>
      <c r="L467" t="n">
        <v>0</v>
      </c>
      <c r="M467" t="n">
        <v>0</v>
      </c>
      <c r="N467" t="n">
        <v>0</v>
      </c>
      <c r="O467" t="n">
        <v>0</v>
      </c>
      <c r="P467" t="n">
        <v>0</v>
      </c>
      <c r="Q467" t="n">
        <v>0</v>
      </c>
      <c r="R467" s="2" t="inlineStr"/>
    </row>
    <row r="468" ht="15" customHeight="1">
      <c r="A468" t="inlineStr">
        <is>
          <t>A 37764-2025</t>
        </is>
      </c>
      <c r="B468" s="1" t="n">
        <v>45880.70917824074</v>
      </c>
      <c r="C468" s="1" t="n">
        <v>46070</v>
      </c>
      <c r="D468" t="inlineStr">
        <is>
          <t>UPPSALA LÄN</t>
        </is>
      </c>
      <c r="E468" t="inlineStr">
        <is>
          <t>ÖSTHAMMAR</t>
        </is>
      </c>
      <c r="G468" t="n">
        <v>4.6</v>
      </c>
      <c r="H468" t="n">
        <v>0</v>
      </c>
      <c r="I468" t="n">
        <v>0</v>
      </c>
      <c r="J468" t="n">
        <v>0</v>
      </c>
      <c r="K468" t="n">
        <v>0</v>
      </c>
      <c r="L468" t="n">
        <v>0</v>
      </c>
      <c r="M468" t="n">
        <v>0</v>
      </c>
      <c r="N468" t="n">
        <v>0</v>
      </c>
      <c r="O468" t="n">
        <v>0</v>
      </c>
      <c r="P468" t="n">
        <v>0</v>
      </c>
      <c r="Q468" t="n">
        <v>0</v>
      </c>
      <c r="R468" s="2" t="inlineStr"/>
    </row>
    <row r="469" ht="15" customHeight="1">
      <c r="A469" t="inlineStr">
        <is>
          <t>A 51265-2025</t>
        </is>
      </c>
      <c r="B469" s="1" t="n">
        <v>45949.70971064815</v>
      </c>
      <c r="C469" s="1" t="n">
        <v>46070</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37770-2025</t>
        </is>
      </c>
      <c r="B470" s="1" t="n">
        <v>45880.7505787037</v>
      </c>
      <c r="C470" s="1" t="n">
        <v>46070</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52332-2025</t>
        </is>
      </c>
      <c r="B471" s="1" t="n">
        <v>45953.67853009259</v>
      </c>
      <c r="C471" s="1" t="n">
        <v>46070</v>
      </c>
      <c r="D471" t="inlineStr">
        <is>
          <t>UPPSALA LÄN</t>
        </is>
      </c>
      <c r="E471" t="inlineStr">
        <is>
          <t>ÖSTHAMMAR</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5877-2023</t>
        </is>
      </c>
      <c r="B472" s="1" t="n">
        <v>44963.62001157407</v>
      </c>
      <c r="C472" s="1" t="n">
        <v>46070</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52389-2022</t>
        </is>
      </c>
      <c r="B473" s="1" t="n">
        <v>44874.38325231482</v>
      </c>
      <c r="C473" s="1" t="n">
        <v>46070</v>
      </c>
      <c r="D473" t="inlineStr">
        <is>
          <t>UPPSALA LÄN</t>
        </is>
      </c>
      <c r="E473" t="inlineStr">
        <is>
          <t>ÖSTHAMMAR</t>
        </is>
      </c>
      <c r="G473" t="n">
        <v>3.1</v>
      </c>
      <c r="H473" t="n">
        <v>0</v>
      </c>
      <c r="I473" t="n">
        <v>0</v>
      </c>
      <c r="J473" t="n">
        <v>0</v>
      </c>
      <c r="K473" t="n">
        <v>0</v>
      </c>
      <c r="L473" t="n">
        <v>0</v>
      </c>
      <c r="M473" t="n">
        <v>0</v>
      </c>
      <c r="N473" t="n">
        <v>0</v>
      </c>
      <c r="O473" t="n">
        <v>0</v>
      </c>
      <c r="P473" t="n">
        <v>0</v>
      </c>
      <c r="Q473" t="n">
        <v>0</v>
      </c>
      <c r="R473" s="2" t="inlineStr"/>
    </row>
    <row r="474" ht="15" customHeight="1">
      <c r="A474" t="inlineStr">
        <is>
          <t>A 5189-2025</t>
        </is>
      </c>
      <c r="B474" s="1" t="n">
        <v>45691</v>
      </c>
      <c r="C474" s="1" t="n">
        <v>46070</v>
      </c>
      <c r="D474" t="inlineStr">
        <is>
          <t>UPPSALA LÄN</t>
        </is>
      </c>
      <c r="E474" t="inlineStr">
        <is>
          <t>ÖSTHAMMAR</t>
        </is>
      </c>
      <c r="F474" t="inlineStr">
        <is>
          <t>Bergvik skog öst AB</t>
        </is>
      </c>
      <c r="G474" t="n">
        <v>24.4</v>
      </c>
      <c r="H474" t="n">
        <v>0</v>
      </c>
      <c r="I474" t="n">
        <v>0</v>
      </c>
      <c r="J474" t="n">
        <v>0</v>
      </c>
      <c r="K474" t="n">
        <v>0</v>
      </c>
      <c r="L474" t="n">
        <v>0</v>
      </c>
      <c r="M474" t="n">
        <v>0</v>
      </c>
      <c r="N474" t="n">
        <v>0</v>
      </c>
      <c r="O474" t="n">
        <v>0</v>
      </c>
      <c r="P474" t="n">
        <v>0</v>
      </c>
      <c r="Q474" t="n">
        <v>0</v>
      </c>
      <c r="R474" s="2" t="inlineStr"/>
    </row>
    <row r="475" ht="15" customHeight="1">
      <c r="A475" t="inlineStr">
        <is>
          <t>A 42213-2025</t>
        </is>
      </c>
      <c r="B475" s="1" t="n">
        <v>45904.50652777778</v>
      </c>
      <c r="C475" s="1" t="n">
        <v>46070</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25033-2021</t>
        </is>
      </c>
      <c r="B476" s="1" t="n">
        <v>44341.590625</v>
      </c>
      <c r="C476" s="1" t="n">
        <v>46070</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57453-2022</t>
        </is>
      </c>
      <c r="B477" s="1" t="n">
        <v>44896.56266203704</v>
      </c>
      <c r="C477" s="1" t="n">
        <v>46070</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57462-2022</t>
        </is>
      </c>
      <c r="B478" s="1" t="n">
        <v>44896.57527777777</v>
      </c>
      <c r="C478" s="1" t="n">
        <v>46070</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7118-2023</t>
        </is>
      </c>
      <c r="B479" s="1" t="n">
        <v>44970.39591435185</v>
      </c>
      <c r="C479" s="1" t="n">
        <v>46070</v>
      </c>
      <c r="D479" t="inlineStr">
        <is>
          <t>UPPSALA LÄN</t>
        </is>
      </c>
      <c r="E479" t="inlineStr">
        <is>
          <t>ÖSTHAMMAR</t>
        </is>
      </c>
      <c r="G479" t="n">
        <v>2.1</v>
      </c>
      <c r="H479" t="n">
        <v>0</v>
      </c>
      <c r="I479" t="n">
        <v>0</v>
      </c>
      <c r="J479" t="n">
        <v>0</v>
      </c>
      <c r="K479" t="n">
        <v>0</v>
      </c>
      <c r="L479" t="n">
        <v>0</v>
      </c>
      <c r="M479" t="n">
        <v>0</v>
      </c>
      <c r="N479" t="n">
        <v>0</v>
      </c>
      <c r="O479" t="n">
        <v>0</v>
      </c>
      <c r="P479" t="n">
        <v>0</v>
      </c>
      <c r="Q479" t="n">
        <v>0</v>
      </c>
      <c r="R479" s="2" t="inlineStr"/>
    </row>
    <row r="480" ht="15" customHeight="1">
      <c r="A480" t="inlineStr">
        <is>
          <t>A 6039-2025</t>
        </is>
      </c>
      <c r="B480" s="1" t="n">
        <v>45695</v>
      </c>
      <c r="C480" s="1" t="n">
        <v>46070</v>
      </c>
      <c r="D480" t="inlineStr">
        <is>
          <t>UPPSALA LÄN</t>
        </is>
      </c>
      <c r="E480" t="inlineStr">
        <is>
          <t>ÖSTHAMMAR</t>
        </is>
      </c>
      <c r="G480" t="n">
        <v>2.3</v>
      </c>
      <c r="H480" t="n">
        <v>0</v>
      </c>
      <c r="I480" t="n">
        <v>0</v>
      </c>
      <c r="J480" t="n">
        <v>0</v>
      </c>
      <c r="K480" t="n">
        <v>0</v>
      </c>
      <c r="L480" t="n">
        <v>0</v>
      </c>
      <c r="M480" t="n">
        <v>0</v>
      </c>
      <c r="N480" t="n">
        <v>0</v>
      </c>
      <c r="O480" t="n">
        <v>0</v>
      </c>
      <c r="P480" t="n">
        <v>0</v>
      </c>
      <c r="Q480" t="n">
        <v>0</v>
      </c>
      <c r="R480" s="2" t="inlineStr"/>
    </row>
    <row r="481" ht="15" customHeight="1">
      <c r="A481" t="inlineStr">
        <is>
          <t>A 38886-2025</t>
        </is>
      </c>
      <c r="B481" s="1" t="n">
        <v>45887.58370370371</v>
      </c>
      <c r="C481" s="1" t="n">
        <v>46070</v>
      </c>
      <c r="D481" t="inlineStr">
        <is>
          <t>UPPSALA LÄN</t>
        </is>
      </c>
      <c r="E481" t="inlineStr">
        <is>
          <t>ÖSTHAMMAR</t>
        </is>
      </c>
      <c r="F481" t="inlineStr">
        <is>
          <t>Bergvik skog öst AB</t>
        </is>
      </c>
      <c r="G481" t="n">
        <v>4.7</v>
      </c>
      <c r="H481" t="n">
        <v>0</v>
      </c>
      <c r="I481" t="n">
        <v>0</v>
      </c>
      <c r="J481" t="n">
        <v>0</v>
      </c>
      <c r="K481" t="n">
        <v>0</v>
      </c>
      <c r="L481" t="n">
        <v>0</v>
      </c>
      <c r="M481" t="n">
        <v>0</v>
      </c>
      <c r="N481" t="n">
        <v>0</v>
      </c>
      <c r="O481" t="n">
        <v>0</v>
      </c>
      <c r="P481" t="n">
        <v>0</v>
      </c>
      <c r="Q481" t="n">
        <v>0</v>
      </c>
      <c r="R481" s="2" t="inlineStr"/>
    </row>
    <row r="482" ht="15" customHeight="1">
      <c r="A482" t="inlineStr">
        <is>
          <t>A 51364-2021</t>
        </is>
      </c>
      <c r="B482" s="1" t="n">
        <v>44461</v>
      </c>
      <c r="C482" s="1" t="n">
        <v>46070</v>
      </c>
      <c r="D482" t="inlineStr">
        <is>
          <t>UPPSALA LÄN</t>
        </is>
      </c>
      <c r="E482" t="inlineStr">
        <is>
          <t>ÖSTHAMMAR</t>
        </is>
      </c>
      <c r="G482" t="n">
        <v>2.4</v>
      </c>
      <c r="H482" t="n">
        <v>0</v>
      </c>
      <c r="I482" t="n">
        <v>0</v>
      </c>
      <c r="J482" t="n">
        <v>0</v>
      </c>
      <c r="K482" t="n">
        <v>0</v>
      </c>
      <c r="L482" t="n">
        <v>0</v>
      </c>
      <c r="M482" t="n">
        <v>0</v>
      </c>
      <c r="N482" t="n">
        <v>0</v>
      </c>
      <c r="O482" t="n">
        <v>0</v>
      </c>
      <c r="P482" t="n">
        <v>0</v>
      </c>
      <c r="Q482" t="n">
        <v>0</v>
      </c>
      <c r="R482" s="2" t="inlineStr"/>
    </row>
    <row r="483" ht="15" customHeight="1">
      <c r="A483" t="inlineStr">
        <is>
          <t>A 5344-2025</t>
        </is>
      </c>
      <c r="B483" s="1" t="n">
        <v>45692</v>
      </c>
      <c r="C483" s="1" t="n">
        <v>46070</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7241-2026</t>
        </is>
      </c>
      <c r="B484" s="1" t="n">
        <v>46058.58392361111</v>
      </c>
      <c r="C484" s="1" t="n">
        <v>46070</v>
      </c>
      <c r="D484" t="inlineStr">
        <is>
          <t>UPPSALA LÄN</t>
        </is>
      </c>
      <c r="E484" t="inlineStr">
        <is>
          <t>ÖSTHAMMAR</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7262-2026</t>
        </is>
      </c>
      <c r="B485" s="1" t="n">
        <v>46058.6049537037</v>
      </c>
      <c r="C485" s="1" t="n">
        <v>46070</v>
      </c>
      <c r="D485" t="inlineStr">
        <is>
          <t>UPPSALA LÄN</t>
        </is>
      </c>
      <c r="E485" t="inlineStr">
        <is>
          <t>ÖSTHAMMAR</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43915-2023</t>
        </is>
      </c>
      <c r="B486" s="1" t="n">
        <v>45187.71274305556</v>
      </c>
      <c r="C486" s="1" t="n">
        <v>46070</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53567-2025</t>
        </is>
      </c>
      <c r="B487" s="1" t="n">
        <v>45960</v>
      </c>
      <c r="C487" s="1" t="n">
        <v>46070</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19501-2025</t>
        </is>
      </c>
      <c r="B488" s="1" t="n">
        <v>45770.4015625</v>
      </c>
      <c r="C488" s="1" t="n">
        <v>46070</v>
      </c>
      <c r="D488" t="inlineStr">
        <is>
          <t>UPPSALA LÄN</t>
        </is>
      </c>
      <c r="E488" t="inlineStr">
        <is>
          <t>ÖSTHAMMAR</t>
        </is>
      </c>
      <c r="F488" t="inlineStr">
        <is>
          <t>Övriga Aktiebolag</t>
        </is>
      </c>
      <c r="G488" t="n">
        <v>17.3</v>
      </c>
      <c r="H488" t="n">
        <v>0</v>
      </c>
      <c r="I488" t="n">
        <v>0</v>
      </c>
      <c r="J488" t="n">
        <v>0</v>
      </c>
      <c r="K488" t="n">
        <v>0</v>
      </c>
      <c r="L488" t="n">
        <v>0</v>
      </c>
      <c r="M488" t="n">
        <v>0</v>
      </c>
      <c r="N488" t="n">
        <v>0</v>
      </c>
      <c r="O488" t="n">
        <v>0</v>
      </c>
      <c r="P488" t="n">
        <v>0</v>
      </c>
      <c r="Q488" t="n">
        <v>0</v>
      </c>
      <c r="R488" s="2" t="inlineStr"/>
    </row>
    <row r="489" ht="15" customHeight="1">
      <c r="A489" t="inlineStr">
        <is>
          <t>A 53656-2025</t>
        </is>
      </c>
      <c r="B489" s="1" t="n">
        <v>45960</v>
      </c>
      <c r="C489" s="1" t="n">
        <v>46070</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53557-2025</t>
        </is>
      </c>
      <c r="B490" s="1" t="n">
        <v>45960</v>
      </c>
      <c r="C490" s="1" t="n">
        <v>46070</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46070</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3119-2025</t>
        </is>
      </c>
      <c r="B492" s="1" t="n">
        <v>45678</v>
      </c>
      <c r="C492" s="1" t="n">
        <v>46070</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53735-2025</t>
        </is>
      </c>
      <c r="B493" s="1" t="n">
        <v>45960.64431712963</v>
      </c>
      <c r="C493" s="1" t="n">
        <v>46070</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53737-2025</t>
        </is>
      </c>
      <c r="B494" s="1" t="n">
        <v>45960.64520833334</v>
      </c>
      <c r="C494" s="1" t="n">
        <v>46070</v>
      </c>
      <c r="D494" t="inlineStr">
        <is>
          <t>UPPSALA LÄN</t>
        </is>
      </c>
      <c r="E494" t="inlineStr">
        <is>
          <t>ÖSTHAMMAR</t>
        </is>
      </c>
      <c r="F494" t="inlineStr">
        <is>
          <t>Bergvik skog öst AB</t>
        </is>
      </c>
      <c r="G494" t="n">
        <v>3</v>
      </c>
      <c r="H494" t="n">
        <v>0</v>
      </c>
      <c r="I494" t="n">
        <v>0</v>
      </c>
      <c r="J494" t="n">
        <v>0</v>
      </c>
      <c r="K494" t="n">
        <v>0</v>
      </c>
      <c r="L494" t="n">
        <v>0</v>
      </c>
      <c r="M494" t="n">
        <v>0</v>
      </c>
      <c r="N494" t="n">
        <v>0</v>
      </c>
      <c r="O494" t="n">
        <v>0</v>
      </c>
      <c r="P494" t="n">
        <v>0</v>
      </c>
      <c r="Q494" t="n">
        <v>0</v>
      </c>
      <c r="R494" s="2" t="inlineStr"/>
    </row>
    <row r="495" ht="15" customHeight="1">
      <c r="A495" t="inlineStr">
        <is>
          <t>A 54242-2025</t>
        </is>
      </c>
      <c r="B495" s="1" t="n">
        <v>45964.63251157408</v>
      </c>
      <c r="C495" s="1" t="n">
        <v>46070</v>
      </c>
      <c r="D495" t="inlineStr">
        <is>
          <t>UPPSALA LÄN</t>
        </is>
      </c>
      <c r="E495" t="inlineStr">
        <is>
          <t>ÖSTHAMMAR</t>
        </is>
      </c>
      <c r="G495" t="n">
        <v>4.7</v>
      </c>
      <c r="H495" t="n">
        <v>0</v>
      </c>
      <c r="I495" t="n">
        <v>0</v>
      </c>
      <c r="J495" t="n">
        <v>0</v>
      </c>
      <c r="K495" t="n">
        <v>0</v>
      </c>
      <c r="L495" t="n">
        <v>0</v>
      </c>
      <c r="M495" t="n">
        <v>0</v>
      </c>
      <c r="N495" t="n">
        <v>0</v>
      </c>
      <c r="O495" t="n">
        <v>0</v>
      </c>
      <c r="P495" t="n">
        <v>0</v>
      </c>
      <c r="Q495" t="n">
        <v>0</v>
      </c>
      <c r="R495" s="2" t="inlineStr"/>
    </row>
    <row r="496" ht="15" customHeight="1">
      <c r="A496" t="inlineStr">
        <is>
          <t>A 54592-2025</t>
        </is>
      </c>
      <c r="B496" s="1" t="n">
        <v>45965.74545138889</v>
      </c>
      <c r="C496" s="1" t="n">
        <v>46070</v>
      </c>
      <c r="D496" t="inlineStr">
        <is>
          <t>UPPSALA LÄN</t>
        </is>
      </c>
      <c r="E496" t="inlineStr">
        <is>
          <t>ÖSTHAMMAR</t>
        </is>
      </c>
      <c r="F496" t="inlineStr">
        <is>
          <t>Bergvik skog öst AB</t>
        </is>
      </c>
      <c r="G496" t="n">
        <v>5</v>
      </c>
      <c r="H496" t="n">
        <v>0</v>
      </c>
      <c r="I496" t="n">
        <v>0</v>
      </c>
      <c r="J496" t="n">
        <v>0</v>
      </c>
      <c r="K496" t="n">
        <v>0</v>
      </c>
      <c r="L496" t="n">
        <v>0</v>
      </c>
      <c r="M496" t="n">
        <v>0</v>
      </c>
      <c r="N496" t="n">
        <v>0</v>
      </c>
      <c r="O496" t="n">
        <v>0</v>
      </c>
      <c r="P496" t="n">
        <v>0</v>
      </c>
      <c r="Q496" t="n">
        <v>0</v>
      </c>
      <c r="R496" s="2" t="inlineStr"/>
    </row>
    <row r="497" ht="15" customHeight="1">
      <c r="A497" t="inlineStr">
        <is>
          <t>A 28421-2023</t>
        </is>
      </c>
      <c r="B497" s="1" t="n">
        <v>45102</v>
      </c>
      <c r="C497" s="1" t="n">
        <v>46070</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17931-2025</t>
        </is>
      </c>
      <c r="B498" s="1" t="n">
        <v>45759.56894675926</v>
      </c>
      <c r="C498" s="1" t="n">
        <v>46070</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17938-2025</t>
        </is>
      </c>
      <c r="B499" s="1" t="n">
        <v>45760.55626157407</v>
      </c>
      <c r="C499" s="1" t="n">
        <v>46070</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8014-2026</t>
        </is>
      </c>
      <c r="B500" s="1" t="n">
        <v>46063.54009259259</v>
      </c>
      <c r="C500" s="1" t="n">
        <v>46070</v>
      </c>
      <c r="D500" t="inlineStr">
        <is>
          <t>UPPSALA LÄN</t>
        </is>
      </c>
      <c r="E500" t="inlineStr">
        <is>
          <t>ÖSTHAMMAR</t>
        </is>
      </c>
      <c r="G500" t="n">
        <v>15.2</v>
      </c>
      <c r="H500" t="n">
        <v>0</v>
      </c>
      <c r="I500" t="n">
        <v>0</v>
      </c>
      <c r="J500" t="n">
        <v>0</v>
      </c>
      <c r="K500" t="n">
        <v>0</v>
      </c>
      <c r="L500" t="n">
        <v>0</v>
      </c>
      <c r="M500" t="n">
        <v>0</v>
      </c>
      <c r="N500" t="n">
        <v>0</v>
      </c>
      <c r="O500" t="n">
        <v>0</v>
      </c>
      <c r="P500" t="n">
        <v>0</v>
      </c>
      <c r="Q500" t="n">
        <v>0</v>
      </c>
      <c r="R500" s="2" t="inlineStr"/>
    </row>
    <row r="501" ht="15" customHeight="1">
      <c r="A501" t="inlineStr">
        <is>
          <t>A 8763-2025</t>
        </is>
      </c>
      <c r="B501" s="1" t="n">
        <v>45712.57872685185</v>
      </c>
      <c r="C501" s="1" t="n">
        <v>46070</v>
      </c>
      <c r="D501" t="inlineStr">
        <is>
          <t>UPPSALA LÄN</t>
        </is>
      </c>
      <c r="E501" t="inlineStr">
        <is>
          <t>ÖSTHAMMAR</t>
        </is>
      </c>
      <c r="G501" t="n">
        <v>0.6</v>
      </c>
      <c r="H501" t="n">
        <v>0</v>
      </c>
      <c r="I501" t="n">
        <v>0</v>
      </c>
      <c r="J501" t="n">
        <v>0</v>
      </c>
      <c r="K501" t="n">
        <v>0</v>
      </c>
      <c r="L501" t="n">
        <v>0</v>
      </c>
      <c r="M501" t="n">
        <v>0</v>
      </c>
      <c r="N501" t="n">
        <v>0</v>
      </c>
      <c r="O501" t="n">
        <v>0</v>
      </c>
      <c r="P501" t="n">
        <v>0</v>
      </c>
      <c r="Q501" t="n">
        <v>0</v>
      </c>
      <c r="R501" s="2" t="inlineStr"/>
    </row>
    <row r="502" ht="15" customHeight="1">
      <c r="A502" t="inlineStr">
        <is>
          <t>A 54368-2023</t>
        </is>
      </c>
      <c r="B502" s="1" t="n">
        <v>45233.33221064815</v>
      </c>
      <c r="C502" s="1" t="n">
        <v>46070</v>
      </c>
      <c r="D502" t="inlineStr">
        <is>
          <t>UPPSALA LÄN</t>
        </is>
      </c>
      <c r="E502" t="inlineStr">
        <is>
          <t>ÖSTHAMMAR</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46070</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32815-2024</t>
        </is>
      </c>
      <c r="B504" s="1" t="n">
        <v>45516.57682870371</v>
      </c>
      <c r="C504" s="1" t="n">
        <v>46070</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8030-2026</t>
        </is>
      </c>
      <c r="B505" s="1" t="n">
        <v>46063.57956018519</v>
      </c>
      <c r="C505" s="1" t="n">
        <v>46070</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54649-2025</t>
        </is>
      </c>
      <c r="B506" s="1" t="n">
        <v>45966.37548611111</v>
      </c>
      <c r="C506" s="1" t="n">
        <v>46070</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55298-2025</t>
        </is>
      </c>
      <c r="B507" s="1" t="n">
        <v>45969.76908564815</v>
      </c>
      <c r="C507" s="1" t="n">
        <v>46070</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5429-2023</t>
        </is>
      </c>
      <c r="B508" s="1" t="n">
        <v>44959.83037037037</v>
      </c>
      <c r="C508" s="1" t="n">
        <v>46070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11008-2023</t>
        </is>
      </c>
      <c r="B509" s="1" t="n">
        <v>44991</v>
      </c>
      <c r="C509" s="1" t="n">
        <v>46070</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60047-2021</t>
        </is>
      </c>
      <c r="B510" s="1" t="n">
        <v>44495</v>
      </c>
      <c r="C510" s="1" t="n">
        <v>46070</v>
      </c>
      <c r="D510" t="inlineStr">
        <is>
          <t>UPPSALA LÄN</t>
        </is>
      </c>
      <c r="E510" t="inlineStr">
        <is>
          <t>ÖSTHAMMAR</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8623-2025</t>
        </is>
      </c>
      <c r="B511" s="1" t="n">
        <v>45711.51902777778</v>
      </c>
      <c r="C511" s="1" t="n">
        <v>46070</v>
      </c>
      <c r="D511" t="inlineStr">
        <is>
          <t>UPPSALA LÄN</t>
        </is>
      </c>
      <c r="E511" t="inlineStr">
        <is>
          <t>ÖSTHAMMAR</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55163-2025</t>
        </is>
      </c>
      <c r="B512" s="1" t="n">
        <v>45968.48032407407</v>
      </c>
      <c r="C512" s="1" t="n">
        <v>46070</v>
      </c>
      <c r="D512" t="inlineStr">
        <is>
          <t>UPPSALA LÄN</t>
        </is>
      </c>
      <c r="E512" t="inlineStr">
        <is>
          <t>ÖSTHAMMAR</t>
        </is>
      </c>
      <c r="G512" t="n">
        <v>1.8</v>
      </c>
      <c r="H512" t="n">
        <v>0</v>
      </c>
      <c r="I512" t="n">
        <v>0</v>
      </c>
      <c r="J512" t="n">
        <v>0</v>
      </c>
      <c r="K512" t="n">
        <v>0</v>
      </c>
      <c r="L512" t="n">
        <v>0</v>
      </c>
      <c r="M512" t="n">
        <v>0</v>
      </c>
      <c r="N512" t="n">
        <v>0</v>
      </c>
      <c r="O512" t="n">
        <v>0</v>
      </c>
      <c r="P512" t="n">
        <v>0</v>
      </c>
      <c r="Q512" t="n">
        <v>0</v>
      </c>
      <c r="R512" s="2" t="inlineStr"/>
    </row>
    <row r="513" ht="15" customHeight="1">
      <c r="A513" t="inlineStr">
        <is>
          <t>A 8626-2025</t>
        </is>
      </c>
      <c r="B513" s="1" t="n">
        <v>45711.53565972222</v>
      </c>
      <c r="C513" s="1" t="n">
        <v>46070</v>
      </c>
      <c r="D513" t="inlineStr">
        <is>
          <t>UPPSALA LÄN</t>
        </is>
      </c>
      <c r="E513" t="inlineStr">
        <is>
          <t>ÖSTHAMMAR</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7855-2026</t>
        </is>
      </c>
      <c r="B514" s="1" t="n">
        <v>46062.67241898148</v>
      </c>
      <c r="C514" s="1" t="n">
        <v>46070</v>
      </c>
      <c r="D514" t="inlineStr">
        <is>
          <t>UPPSALA LÄN</t>
        </is>
      </c>
      <c r="E514" t="inlineStr">
        <is>
          <t>ÖSTHAMMAR</t>
        </is>
      </c>
      <c r="G514" t="n">
        <v>3.8</v>
      </c>
      <c r="H514" t="n">
        <v>0</v>
      </c>
      <c r="I514" t="n">
        <v>0</v>
      </c>
      <c r="J514" t="n">
        <v>0</v>
      </c>
      <c r="K514" t="n">
        <v>0</v>
      </c>
      <c r="L514" t="n">
        <v>0</v>
      </c>
      <c r="M514" t="n">
        <v>0</v>
      </c>
      <c r="N514" t="n">
        <v>0</v>
      </c>
      <c r="O514" t="n">
        <v>0</v>
      </c>
      <c r="P514" t="n">
        <v>0</v>
      </c>
      <c r="Q514" t="n">
        <v>0</v>
      </c>
      <c r="R514" s="2" t="inlineStr"/>
    </row>
    <row r="515" ht="15" customHeight="1">
      <c r="A515" t="inlineStr">
        <is>
          <t>A 55798-2025</t>
        </is>
      </c>
      <c r="B515" s="1" t="n">
        <v>45972.66209490741</v>
      </c>
      <c r="C515" s="1" t="n">
        <v>46070</v>
      </c>
      <c r="D515" t="inlineStr">
        <is>
          <t>UPPSALA LÄN</t>
        </is>
      </c>
      <c r="E515" t="inlineStr">
        <is>
          <t>ÖSTHAMMAR</t>
        </is>
      </c>
      <c r="F515" t="inlineStr">
        <is>
          <t>Bergvik skog öst AB</t>
        </is>
      </c>
      <c r="G515" t="n">
        <v>3.9</v>
      </c>
      <c r="H515" t="n">
        <v>0</v>
      </c>
      <c r="I515" t="n">
        <v>0</v>
      </c>
      <c r="J515" t="n">
        <v>0</v>
      </c>
      <c r="K515" t="n">
        <v>0</v>
      </c>
      <c r="L515" t="n">
        <v>0</v>
      </c>
      <c r="M515" t="n">
        <v>0</v>
      </c>
      <c r="N515" t="n">
        <v>0</v>
      </c>
      <c r="O515" t="n">
        <v>0</v>
      </c>
      <c r="P515" t="n">
        <v>0</v>
      </c>
      <c r="Q515" t="n">
        <v>0</v>
      </c>
      <c r="R515" s="2" t="inlineStr"/>
    </row>
    <row r="516" ht="15" customHeight="1">
      <c r="A516" t="inlineStr">
        <is>
          <t>A 3514-2023</t>
        </is>
      </c>
      <c r="B516" s="1" t="n">
        <v>44950</v>
      </c>
      <c r="C516" s="1" t="n">
        <v>46070</v>
      </c>
      <c r="D516" t="inlineStr">
        <is>
          <t>UPPSALA LÄN</t>
        </is>
      </c>
      <c r="E516" t="inlineStr">
        <is>
          <t>ÖSTHAMMAR</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8086-2026</t>
        </is>
      </c>
      <c r="B517" s="1" t="n">
        <v>46063.70094907407</v>
      </c>
      <c r="C517" s="1" t="n">
        <v>46070</v>
      </c>
      <c r="D517" t="inlineStr">
        <is>
          <t>UPPSALA LÄN</t>
        </is>
      </c>
      <c r="E517" t="inlineStr">
        <is>
          <t>ÖSTHAMMAR</t>
        </is>
      </c>
      <c r="G517" t="n">
        <v>3.8</v>
      </c>
      <c r="H517" t="n">
        <v>0</v>
      </c>
      <c r="I517" t="n">
        <v>0</v>
      </c>
      <c r="J517" t="n">
        <v>0</v>
      </c>
      <c r="K517" t="n">
        <v>0</v>
      </c>
      <c r="L517" t="n">
        <v>0</v>
      </c>
      <c r="M517" t="n">
        <v>0</v>
      </c>
      <c r="N517" t="n">
        <v>0</v>
      </c>
      <c r="O517" t="n">
        <v>0</v>
      </c>
      <c r="P517" t="n">
        <v>0</v>
      </c>
      <c r="Q517" t="n">
        <v>0</v>
      </c>
      <c r="R517" s="2" t="inlineStr"/>
    </row>
    <row r="518" ht="15" customHeight="1">
      <c r="A518" t="inlineStr">
        <is>
          <t>A 56518-2025</t>
        </is>
      </c>
      <c r="B518" s="1" t="n">
        <v>45975.4581712963</v>
      </c>
      <c r="C518" s="1" t="n">
        <v>46070</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24128-2023</t>
        </is>
      </c>
      <c r="B519" s="1" t="n">
        <v>45079.50289351852</v>
      </c>
      <c r="C519" s="1" t="n">
        <v>46070</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56682-2025</t>
        </is>
      </c>
      <c r="B520" s="1" t="n">
        <v>45975</v>
      </c>
      <c r="C520" s="1" t="n">
        <v>46070</v>
      </c>
      <c r="D520" t="inlineStr">
        <is>
          <t>UPPSALA LÄN</t>
        </is>
      </c>
      <c r="E520" t="inlineStr">
        <is>
          <t>ÖSTHAMMAR</t>
        </is>
      </c>
      <c r="G520" t="n">
        <v>3.9</v>
      </c>
      <c r="H520" t="n">
        <v>0</v>
      </c>
      <c r="I520" t="n">
        <v>0</v>
      </c>
      <c r="J520" t="n">
        <v>0</v>
      </c>
      <c r="K520" t="n">
        <v>0</v>
      </c>
      <c r="L520" t="n">
        <v>0</v>
      </c>
      <c r="M520" t="n">
        <v>0</v>
      </c>
      <c r="N520" t="n">
        <v>0</v>
      </c>
      <c r="O520" t="n">
        <v>0</v>
      </c>
      <c r="P520" t="n">
        <v>0</v>
      </c>
      <c r="Q520" t="n">
        <v>0</v>
      </c>
      <c r="R520" s="2" t="inlineStr"/>
    </row>
    <row r="521" ht="15" customHeight="1">
      <c r="A521" t="inlineStr">
        <is>
          <t>A 33552-2024</t>
        </is>
      </c>
      <c r="B521" s="1" t="n">
        <v>45519</v>
      </c>
      <c r="C521" s="1" t="n">
        <v>46070</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33553-2024</t>
        </is>
      </c>
      <c r="B522" s="1" t="n">
        <v>45519</v>
      </c>
      <c r="C522" s="1" t="n">
        <v>46070</v>
      </c>
      <c r="D522" t="inlineStr">
        <is>
          <t>UPPSALA LÄN</t>
        </is>
      </c>
      <c r="E522" t="inlineStr">
        <is>
          <t>ÖSTHAMMAR</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56582-2025</t>
        </is>
      </c>
      <c r="B523" s="1" t="n">
        <v>45975.54730324074</v>
      </c>
      <c r="C523" s="1" t="n">
        <v>46070</v>
      </c>
      <c r="D523" t="inlineStr">
        <is>
          <t>UPPSALA LÄN</t>
        </is>
      </c>
      <c r="E523" t="inlineStr">
        <is>
          <t>ÖSTHAMMAR</t>
        </is>
      </c>
      <c r="G523" t="n">
        <v>4.1</v>
      </c>
      <c r="H523" t="n">
        <v>0</v>
      </c>
      <c r="I523" t="n">
        <v>0</v>
      </c>
      <c r="J523" t="n">
        <v>0</v>
      </c>
      <c r="K523" t="n">
        <v>0</v>
      </c>
      <c r="L523" t="n">
        <v>0</v>
      </c>
      <c r="M523" t="n">
        <v>0</v>
      </c>
      <c r="N523" t="n">
        <v>0</v>
      </c>
      <c r="O523" t="n">
        <v>0</v>
      </c>
      <c r="P523" t="n">
        <v>0</v>
      </c>
      <c r="Q523" t="n">
        <v>0</v>
      </c>
      <c r="R523" s="2" t="inlineStr"/>
    </row>
    <row r="524" ht="15" customHeight="1">
      <c r="A524" t="inlineStr">
        <is>
          <t>A 56653-2025</t>
        </is>
      </c>
      <c r="B524" s="1" t="n">
        <v>45975.64628472222</v>
      </c>
      <c r="C524" s="1" t="n">
        <v>46070</v>
      </c>
      <c r="D524" t="inlineStr">
        <is>
          <t>UPPSALA LÄN</t>
        </is>
      </c>
      <c r="E524" t="inlineStr">
        <is>
          <t>ÖSTHAMMAR</t>
        </is>
      </c>
      <c r="G524" t="n">
        <v>1.7</v>
      </c>
      <c r="H524" t="n">
        <v>0</v>
      </c>
      <c r="I524" t="n">
        <v>0</v>
      </c>
      <c r="J524" t="n">
        <v>0</v>
      </c>
      <c r="K524" t="n">
        <v>0</v>
      </c>
      <c r="L524" t="n">
        <v>0</v>
      </c>
      <c r="M524" t="n">
        <v>0</v>
      </c>
      <c r="N524" t="n">
        <v>0</v>
      </c>
      <c r="O524" t="n">
        <v>0</v>
      </c>
      <c r="P524" t="n">
        <v>0</v>
      </c>
      <c r="Q524" t="n">
        <v>0</v>
      </c>
      <c r="R524" s="2" t="inlineStr"/>
    </row>
    <row r="525" ht="15" customHeight="1">
      <c r="A525" t="inlineStr">
        <is>
          <t>A 24181-2022</t>
        </is>
      </c>
      <c r="B525" s="1" t="n">
        <v>44725</v>
      </c>
      <c r="C525" s="1" t="n">
        <v>46070</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56658-2025</t>
        </is>
      </c>
      <c r="B526" s="1" t="n">
        <v>45975.65431712963</v>
      </c>
      <c r="C526" s="1" t="n">
        <v>46070</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8269-2026</t>
        </is>
      </c>
      <c r="B527" s="1" t="n">
        <v>46064.54721064815</v>
      </c>
      <c r="C527" s="1" t="n">
        <v>46070</v>
      </c>
      <c r="D527" t="inlineStr">
        <is>
          <t>UPPSALA LÄN</t>
        </is>
      </c>
      <c r="E527" t="inlineStr">
        <is>
          <t>ÖSTHAMMAR</t>
        </is>
      </c>
      <c r="G527" t="n">
        <v>2.6</v>
      </c>
      <c r="H527" t="n">
        <v>0</v>
      </c>
      <c r="I527" t="n">
        <v>0</v>
      </c>
      <c r="J527" t="n">
        <v>0</v>
      </c>
      <c r="K527" t="n">
        <v>0</v>
      </c>
      <c r="L527" t="n">
        <v>0</v>
      </c>
      <c r="M527" t="n">
        <v>0</v>
      </c>
      <c r="N527" t="n">
        <v>0</v>
      </c>
      <c r="O527" t="n">
        <v>0</v>
      </c>
      <c r="P527" t="n">
        <v>0</v>
      </c>
      <c r="Q527" t="n">
        <v>0</v>
      </c>
      <c r="R527" s="2" t="inlineStr"/>
    </row>
    <row r="528" ht="15" customHeight="1">
      <c r="A528" t="inlineStr">
        <is>
          <t>A 56757-2025</t>
        </is>
      </c>
      <c r="B528" s="1" t="n">
        <v>45978.37162037037</v>
      </c>
      <c r="C528" s="1" t="n">
        <v>46070</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19947-2024</t>
        </is>
      </c>
      <c r="B529" s="1" t="n">
        <v>45433</v>
      </c>
      <c r="C529" s="1" t="n">
        <v>46070</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56942-2025</t>
        </is>
      </c>
      <c r="B530" s="1" t="n">
        <v>45978.62611111111</v>
      </c>
      <c r="C530" s="1" t="n">
        <v>46070</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16240-2025</t>
        </is>
      </c>
      <c r="B531" s="1" t="n">
        <v>45746</v>
      </c>
      <c r="C531" s="1" t="n">
        <v>46070</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56748-2025</t>
        </is>
      </c>
      <c r="B532" s="1" t="n">
        <v>45978.36412037037</v>
      </c>
      <c r="C532" s="1" t="n">
        <v>46070</v>
      </c>
      <c r="D532" t="inlineStr">
        <is>
          <t>UPPSALA LÄN</t>
        </is>
      </c>
      <c r="E532" t="inlineStr">
        <is>
          <t>ÖSTHAMMAR</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56745-2025</t>
        </is>
      </c>
      <c r="B533" s="1" t="n">
        <v>45978.36157407407</v>
      </c>
      <c r="C533" s="1" t="n">
        <v>46070</v>
      </c>
      <c r="D533" t="inlineStr">
        <is>
          <t>UPPSALA LÄN</t>
        </is>
      </c>
      <c r="E533" t="inlineStr">
        <is>
          <t>ÖSTHAMMAR</t>
        </is>
      </c>
      <c r="G533" t="n">
        <v>2.6</v>
      </c>
      <c r="H533" t="n">
        <v>0</v>
      </c>
      <c r="I533" t="n">
        <v>0</v>
      </c>
      <c r="J533" t="n">
        <v>0</v>
      </c>
      <c r="K533" t="n">
        <v>0</v>
      </c>
      <c r="L533" t="n">
        <v>0</v>
      </c>
      <c r="M533" t="n">
        <v>0</v>
      </c>
      <c r="N533" t="n">
        <v>0</v>
      </c>
      <c r="O533" t="n">
        <v>0</v>
      </c>
      <c r="P533" t="n">
        <v>0</v>
      </c>
      <c r="Q533" t="n">
        <v>0</v>
      </c>
      <c r="R533" s="2" t="inlineStr"/>
    </row>
    <row r="534" ht="15" customHeight="1">
      <c r="A534" t="inlineStr">
        <is>
          <t>A 57257-2025</t>
        </is>
      </c>
      <c r="B534" s="1" t="n">
        <v>45979.65149305556</v>
      </c>
      <c r="C534" s="1" t="n">
        <v>46070</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57248-2025</t>
        </is>
      </c>
      <c r="B535" s="1" t="n">
        <v>45979.635625</v>
      </c>
      <c r="C535" s="1" t="n">
        <v>46070</v>
      </c>
      <c r="D535" t="inlineStr">
        <is>
          <t>UPPSALA LÄN</t>
        </is>
      </c>
      <c r="E535" t="inlineStr">
        <is>
          <t>ÖSTHAMMAR</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56754-2025</t>
        </is>
      </c>
      <c r="B536" s="1" t="n">
        <v>45978.36700231482</v>
      </c>
      <c r="C536" s="1" t="n">
        <v>46070</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56753-2025</t>
        </is>
      </c>
      <c r="B537" s="1" t="n">
        <v>45978.36677083333</v>
      </c>
      <c r="C537" s="1" t="n">
        <v>46070</v>
      </c>
      <c r="D537" t="inlineStr">
        <is>
          <t>UPPSALA LÄN</t>
        </is>
      </c>
      <c r="E537" t="inlineStr">
        <is>
          <t>ÖSTHAMMAR</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56823-2025</t>
        </is>
      </c>
      <c r="B538" s="1" t="n">
        <v>45978.46484953703</v>
      </c>
      <c r="C538" s="1" t="n">
        <v>46070</v>
      </c>
      <c r="D538" t="inlineStr">
        <is>
          <t>UPPSALA LÄN</t>
        </is>
      </c>
      <c r="E538" t="inlineStr">
        <is>
          <t>ÖSTHAMMAR</t>
        </is>
      </c>
      <c r="G538" t="n">
        <v>0.1</v>
      </c>
      <c r="H538" t="n">
        <v>0</v>
      </c>
      <c r="I538" t="n">
        <v>0</v>
      </c>
      <c r="J538" t="n">
        <v>0</v>
      </c>
      <c r="K538" t="n">
        <v>0</v>
      </c>
      <c r="L538" t="n">
        <v>0</v>
      </c>
      <c r="M538" t="n">
        <v>0</v>
      </c>
      <c r="N538" t="n">
        <v>0</v>
      </c>
      <c r="O538" t="n">
        <v>0</v>
      </c>
      <c r="P538" t="n">
        <v>0</v>
      </c>
      <c r="Q538" t="n">
        <v>0</v>
      </c>
      <c r="R538" s="2" t="inlineStr"/>
    </row>
    <row r="539" ht="15" customHeight="1">
      <c r="A539" t="inlineStr">
        <is>
          <t>A 57154-2025</t>
        </is>
      </c>
      <c r="B539" s="1" t="n">
        <v>45979.51086805556</v>
      </c>
      <c r="C539" s="1" t="n">
        <v>46070</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57-2023</t>
        </is>
      </c>
      <c r="B540" s="1" t="n">
        <v>44928.40917824074</v>
      </c>
      <c r="C540" s="1" t="n">
        <v>46070</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59-2023</t>
        </is>
      </c>
      <c r="B541" s="1" t="n">
        <v>44928.41822916667</v>
      </c>
      <c r="C541" s="1" t="n">
        <v>46070</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55079-2024</t>
        </is>
      </c>
      <c r="B542" s="1" t="n">
        <v>45621.42747685185</v>
      </c>
      <c r="C542" s="1" t="n">
        <v>46070</v>
      </c>
      <c r="D542" t="inlineStr">
        <is>
          <t>UPPSALA LÄN</t>
        </is>
      </c>
      <c r="E542" t="inlineStr">
        <is>
          <t>ÖSTHAMMAR</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8291-2026</t>
        </is>
      </c>
      <c r="B543" s="1" t="n">
        <v>46064.56945601852</v>
      </c>
      <c r="C543" s="1" t="n">
        <v>46070</v>
      </c>
      <c r="D543" t="inlineStr">
        <is>
          <t>UPPSALA LÄN</t>
        </is>
      </c>
      <c r="E543" t="inlineStr">
        <is>
          <t>ÖSTHAMMAR</t>
        </is>
      </c>
      <c r="G543" t="n">
        <v>4.5</v>
      </c>
      <c r="H543" t="n">
        <v>0</v>
      </c>
      <c r="I543" t="n">
        <v>0</v>
      </c>
      <c r="J543" t="n">
        <v>0</v>
      </c>
      <c r="K543" t="n">
        <v>0</v>
      </c>
      <c r="L543" t="n">
        <v>0</v>
      </c>
      <c r="M543" t="n">
        <v>0</v>
      </c>
      <c r="N543" t="n">
        <v>0</v>
      </c>
      <c r="O543" t="n">
        <v>0</v>
      </c>
      <c r="P543" t="n">
        <v>0</v>
      </c>
      <c r="Q543" t="n">
        <v>0</v>
      </c>
      <c r="R543" s="2" t="inlineStr"/>
    </row>
    <row r="544" ht="15" customHeight="1">
      <c r="A544" t="inlineStr">
        <is>
          <t>A 8525-2026</t>
        </is>
      </c>
      <c r="B544" s="1" t="n">
        <v>46065.58760416666</v>
      </c>
      <c r="C544" s="1" t="n">
        <v>46070</v>
      </c>
      <c r="D544" t="inlineStr">
        <is>
          <t>UPPSALA LÄN</t>
        </is>
      </c>
      <c r="E544" t="inlineStr">
        <is>
          <t>ÖSTHAMMAR</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33680-2024</t>
        </is>
      </c>
      <c r="B545" s="1" t="n">
        <v>45520.50712962963</v>
      </c>
      <c r="C545" s="1" t="n">
        <v>46070</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8530-2026</t>
        </is>
      </c>
      <c r="B546" s="1" t="n">
        <v>46065.60075231481</v>
      </c>
      <c r="C546" s="1" t="n">
        <v>46070</v>
      </c>
      <c r="D546" t="inlineStr">
        <is>
          <t>UPPSALA LÄN</t>
        </is>
      </c>
      <c r="E546" t="inlineStr">
        <is>
          <t>ÖSTHAMMAR</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33550-2024</t>
        </is>
      </c>
      <c r="B547" s="1" t="n">
        <v>45519.81043981481</v>
      </c>
      <c r="C547" s="1" t="n">
        <v>46070</v>
      </c>
      <c r="D547" t="inlineStr">
        <is>
          <t>UPPSALA LÄN</t>
        </is>
      </c>
      <c r="E547" t="inlineStr">
        <is>
          <t>ÖSTHAMMAR</t>
        </is>
      </c>
      <c r="F547" t="inlineStr">
        <is>
          <t>Bergvik skog öst AB</t>
        </is>
      </c>
      <c r="G547" t="n">
        <v>1.8</v>
      </c>
      <c r="H547" t="n">
        <v>0</v>
      </c>
      <c r="I547" t="n">
        <v>0</v>
      </c>
      <c r="J547" t="n">
        <v>0</v>
      </c>
      <c r="K547" t="n">
        <v>0</v>
      </c>
      <c r="L547" t="n">
        <v>0</v>
      </c>
      <c r="M547" t="n">
        <v>0</v>
      </c>
      <c r="N547" t="n">
        <v>0</v>
      </c>
      <c r="O547" t="n">
        <v>0</v>
      </c>
      <c r="P547" t="n">
        <v>0</v>
      </c>
      <c r="Q547" t="n">
        <v>0</v>
      </c>
      <c r="R547" s="2" t="inlineStr"/>
    </row>
    <row r="548" ht="15" customHeight="1">
      <c r="A548" t="inlineStr">
        <is>
          <t>A 57907-2025</t>
        </is>
      </c>
      <c r="B548" s="1" t="n">
        <v>45981.78840277778</v>
      </c>
      <c r="C548" s="1" t="n">
        <v>46070</v>
      </c>
      <c r="D548" t="inlineStr">
        <is>
          <t>UPPSALA LÄN</t>
        </is>
      </c>
      <c r="E548" t="inlineStr">
        <is>
          <t>ÖSTHAMMAR</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57908-2025</t>
        </is>
      </c>
      <c r="B549" s="1" t="n">
        <v>45981.78886574074</v>
      </c>
      <c r="C549" s="1" t="n">
        <v>46070</v>
      </c>
      <c r="D549" t="inlineStr">
        <is>
          <t>UPPSALA LÄN</t>
        </is>
      </c>
      <c r="E549" t="inlineStr">
        <is>
          <t>ÖSTHAMMAR</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30811-2023</t>
        </is>
      </c>
      <c r="B550" s="1" t="n">
        <v>45112.86422453704</v>
      </c>
      <c r="C550" s="1" t="n">
        <v>46070</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58399-2025</t>
        </is>
      </c>
      <c r="B551" s="1" t="n">
        <v>45985.56244212963</v>
      </c>
      <c r="C551" s="1" t="n">
        <v>46070</v>
      </c>
      <c r="D551" t="inlineStr">
        <is>
          <t>UPPSALA LÄN</t>
        </is>
      </c>
      <c r="E551" t="inlineStr">
        <is>
          <t>ÖSTHAMMAR</t>
        </is>
      </c>
      <c r="G551" t="n">
        <v>2.6</v>
      </c>
      <c r="H551" t="n">
        <v>0</v>
      </c>
      <c r="I551" t="n">
        <v>0</v>
      </c>
      <c r="J551" t="n">
        <v>0</v>
      </c>
      <c r="K551" t="n">
        <v>0</v>
      </c>
      <c r="L551" t="n">
        <v>0</v>
      </c>
      <c r="M551" t="n">
        <v>0</v>
      </c>
      <c r="N551" t="n">
        <v>0</v>
      </c>
      <c r="O551" t="n">
        <v>0</v>
      </c>
      <c r="P551" t="n">
        <v>0</v>
      </c>
      <c r="Q551" t="n">
        <v>0</v>
      </c>
      <c r="R551" s="2" t="inlineStr"/>
    </row>
    <row r="552" ht="15" customHeight="1">
      <c r="A552" t="inlineStr">
        <is>
          <t>A 55646-2021</t>
        </is>
      </c>
      <c r="B552" s="1" t="n">
        <v>44476.3632175926</v>
      </c>
      <c r="C552" s="1" t="n">
        <v>46070</v>
      </c>
      <c r="D552" t="inlineStr">
        <is>
          <t>UPPSALA LÄN</t>
        </is>
      </c>
      <c r="E552" t="inlineStr">
        <is>
          <t>ÖSTHAMMAR</t>
        </is>
      </c>
      <c r="F552" t="inlineStr">
        <is>
          <t>Bergvik skog öst AB</t>
        </is>
      </c>
      <c r="G552" t="n">
        <v>0.2</v>
      </c>
      <c r="H552" t="n">
        <v>0</v>
      </c>
      <c r="I552" t="n">
        <v>0</v>
      </c>
      <c r="J552" t="n">
        <v>0</v>
      </c>
      <c r="K552" t="n">
        <v>0</v>
      </c>
      <c r="L552" t="n">
        <v>0</v>
      </c>
      <c r="M552" t="n">
        <v>0</v>
      </c>
      <c r="N552" t="n">
        <v>0</v>
      </c>
      <c r="O552" t="n">
        <v>0</v>
      </c>
      <c r="P552" t="n">
        <v>0</v>
      </c>
      <c r="Q552" t="n">
        <v>0</v>
      </c>
      <c r="R552" s="2" t="inlineStr"/>
    </row>
    <row r="553" ht="15" customHeight="1">
      <c r="A553" t="inlineStr">
        <is>
          <t>A 223-2026</t>
        </is>
      </c>
      <c r="B553" s="1" t="n">
        <v>46026.84339120371</v>
      </c>
      <c r="C553" s="1" t="n">
        <v>46070</v>
      </c>
      <c r="D553" t="inlineStr">
        <is>
          <t>UPPSALA LÄN</t>
        </is>
      </c>
      <c r="E553" t="inlineStr">
        <is>
          <t>ÖSTHAMMAR</t>
        </is>
      </c>
      <c r="G553" t="n">
        <v>39.2</v>
      </c>
      <c r="H553" t="n">
        <v>0</v>
      </c>
      <c r="I553" t="n">
        <v>0</v>
      </c>
      <c r="J553" t="n">
        <v>0</v>
      </c>
      <c r="K553" t="n">
        <v>0</v>
      </c>
      <c r="L553" t="n">
        <v>0</v>
      </c>
      <c r="M553" t="n">
        <v>0</v>
      </c>
      <c r="N553" t="n">
        <v>0</v>
      </c>
      <c r="O553" t="n">
        <v>0</v>
      </c>
      <c r="P553" t="n">
        <v>0</v>
      </c>
      <c r="Q553" t="n">
        <v>0</v>
      </c>
      <c r="R553" s="2" t="inlineStr"/>
    </row>
    <row r="554" ht="15" customHeight="1">
      <c r="A554" t="inlineStr">
        <is>
          <t>A 61443-2024</t>
        </is>
      </c>
      <c r="B554" s="1" t="n">
        <v>45646.47936342593</v>
      </c>
      <c r="C554" s="1" t="n">
        <v>46070</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653-2026</t>
        </is>
      </c>
      <c r="B555" s="1" t="n">
        <v>46029.57829861111</v>
      </c>
      <c r="C555" s="1" t="n">
        <v>46070</v>
      </c>
      <c r="D555" t="inlineStr">
        <is>
          <t>UPPSALA LÄN</t>
        </is>
      </c>
      <c r="E555" t="inlineStr">
        <is>
          <t>ÖSTHAMMAR</t>
        </is>
      </c>
      <c r="F555" t="inlineStr">
        <is>
          <t>Bergvik skog öst AB</t>
        </is>
      </c>
      <c r="G555" t="n">
        <v>1.1</v>
      </c>
      <c r="H555" t="n">
        <v>0</v>
      </c>
      <c r="I555" t="n">
        <v>0</v>
      </c>
      <c r="J555" t="n">
        <v>0</v>
      </c>
      <c r="K555" t="n">
        <v>0</v>
      </c>
      <c r="L555" t="n">
        <v>0</v>
      </c>
      <c r="M555" t="n">
        <v>0</v>
      </c>
      <c r="N555" t="n">
        <v>0</v>
      </c>
      <c r="O555" t="n">
        <v>0</v>
      </c>
      <c r="P555" t="n">
        <v>0</v>
      </c>
      <c r="Q555" t="n">
        <v>0</v>
      </c>
      <c r="R555" s="2" t="inlineStr"/>
    </row>
    <row r="556" ht="15" customHeight="1">
      <c r="A556" t="inlineStr">
        <is>
          <t>A 13279-2022</t>
        </is>
      </c>
      <c r="B556" s="1" t="n">
        <v>44644</v>
      </c>
      <c r="C556" s="1" t="n">
        <v>46070</v>
      </c>
      <c r="D556" t="inlineStr">
        <is>
          <t>UPPSALA LÄN</t>
        </is>
      </c>
      <c r="E556" t="inlineStr">
        <is>
          <t>ÖSTHAMMAR</t>
        </is>
      </c>
      <c r="G556" t="n">
        <v>1.4</v>
      </c>
      <c r="H556" t="n">
        <v>0</v>
      </c>
      <c r="I556" t="n">
        <v>0</v>
      </c>
      <c r="J556" t="n">
        <v>0</v>
      </c>
      <c r="K556" t="n">
        <v>0</v>
      </c>
      <c r="L556" t="n">
        <v>0</v>
      </c>
      <c r="M556" t="n">
        <v>0</v>
      </c>
      <c r="N556" t="n">
        <v>0</v>
      </c>
      <c r="O556" t="n">
        <v>0</v>
      </c>
      <c r="P556" t="n">
        <v>0</v>
      </c>
      <c r="Q556" t="n">
        <v>0</v>
      </c>
      <c r="R556" s="2" t="inlineStr"/>
    </row>
    <row r="557" ht="15" customHeight="1">
      <c r="A557" t="inlineStr">
        <is>
          <t>A 6046-2025</t>
        </is>
      </c>
      <c r="B557" s="1" t="n">
        <v>45695</v>
      </c>
      <c r="C557" s="1" t="n">
        <v>46070</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c r="U557">
        <f>HYPERLINK("https://klasma.github.io/Logging_0382/knärot/A 6046-2025 karta knärot.png", "A 6046-2025")</f>
        <v/>
      </c>
      <c r="V557">
        <f>HYPERLINK("https://klasma.github.io/Logging_0382/klagomål/A 6046-2025 FSC-klagomål.docx", "A 6046-2025")</f>
        <v/>
      </c>
      <c r="W557">
        <f>HYPERLINK("https://klasma.github.io/Logging_0382/klagomålsmail/A 6046-2025 FSC-klagomål mail.docx", "A 6046-2025")</f>
        <v/>
      </c>
      <c r="X557">
        <f>HYPERLINK("https://klasma.github.io/Logging_0382/tillsyn/A 6046-2025 tillsynsbegäran.docx", "A 6046-2025")</f>
        <v/>
      </c>
      <c r="Y557">
        <f>HYPERLINK("https://klasma.github.io/Logging_0382/tillsynsmail/A 6046-2025 tillsynsbegäran mail.docx", "A 6046-2025")</f>
        <v/>
      </c>
    </row>
    <row r="558" ht="15" customHeight="1">
      <c r="A558" t="inlineStr">
        <is>
          <t>A 45102-2024</t>
        </is>
      </c>
      <c r="B558" s="1" t="n">
        <v>45575.58836805556</v>
      </c>
      <c r="C558" s="1" t="n">
        <v>46070</v>
      </c>
      <c r="D558" t="inlineStr">
        <is>
          <t>UPPSALA LÄN</t>
        </is>
      </c>
      <c r="E558" t="inlineStr">
        <is>
          <t>ÖSTHAMMAR</t>
        </is>
      </c>
      <c r="G558" t="n">
        <v>8.6</v>
      </c>
      <c r="H558" t="n">
        <v>0</v>
      </c>
      <c r="I558" t="n">
        <v>0</v>
      </c>
      <c r="J558" t="n">
        <v>0</v>
      </c>
      <c r="K558" t="n">
        <v>0</v>
      </c>
      <c r="L558" t="n">
        <v>0</v>
      </c>
      <c r="M558" t="n">
        <v>0</v>
      </c>
      <c r="N558" t="n">
        <v>0</v>
      </c>
      <c r="O558" t="n">
        <v>0</v>
      </c>
      <c r="P558" t="n">
        <v>0</v>
      </c>
      <c r="Q558" t="n">
        <v>0</v>
      </c>
      <c r="R558" s="2" t="inlineStr"/>
    </row>
    <row r="559" ht="15" customHeight="1">
      <c r="A559" t="inlineStr">
        <is>
          <t>A 18731-2022</t>
        </is>
      </c>
      <c r="B559" s="1" t="n">
        <v>44687.78673611111</v>
      </c>
      <c r="C559" s="1" t="n">
        <v>46070</v>
      </c>
      <c r="D559" t="inlineStr">
        <is>
          <t>UPPSALA LÄN</t>
        </is>
      </c>
      <c r="E559" t="inlineStr">
        <is>
          <t>ÖSTHAMMAR</t>
        </is>
      </c>
      <c r="G559" t="n">
        <v>4.9</v>
      </c>
      <c r="H559" t="n">
        <v>0</v>
      </c>
      <c r="I559" t="n">
        <v>0</v>
      </c>
      <c r="J559" t="n">
        <v>0</v>
      </c>
      <c r="K559" t="n">
        <v>0</v>
      </c>
      <c r="L559" t="n">
        <v>0</v>
      </c>
      <c r="M559" t="n">
        <v>0</v>
      </c>
      <c r="N559" t="n">
        <v>0</v>
      </c>
      <c r="O559" t="n">
        <v>0</v>
      </c>
      <c r="P559" t="n">
        <v>0</v>
      </c>
      <c r="Q559" t="n">
        <v>0</v>
      </c>
      <c r="R559" s="2" t="inlineStr"/>
    </row>
    <row r="560" ht="15" customHeight="1">
      <c r="A560" t="inlineStr">
        <is>
          <t>A 638-2026</t>
        </is>
      </c>
      <c r="B560" s="1" t="n">
        <v>46029.56026620371</v>
      </c>
      <c r="C560" s="1" t="n">
        <v>46070</v>
      </c>
      <c r="D560" t="inlineStr">
        <is>
          <t>UPPSALA LÄN</t>
        </is>
      </c>
      <c r="E560" t="inlineStr">
        <is>
          <t>ÖSTHAMMAR</t>
        </is>
      </c>
      <c r="F560" t="inlineStr">
        <is>
          <t>Bergvik skog öst AB</t>
        </is>
      </c>
      <c r="G560" t="n">
        <v>6.1</v>
      </c>
      <c r="H560" t="n">
        <v>0</v>
      </c>
      <c r="I560" t="n">
        <v>0</v>
      </c>
      <c r="J560" t="n">
        <v>0</v>
      </c>
      <c r="K560" t="n">
        <v>0</v>
      </c>
      <c r="L560" t="n">
        <v>0</v>
      </c>
      <c r="M560" t="n">
        <v>0</v>
      </c>
      <c r="N560" t="n">
        <v>0</v>
      </c>
      <c r="O560" t="n">
        <v>0</v>
      </c>
      <c r="P560" t="n">
        <v>0</v>
      </c>
      <c r="Q560" t="n">
        <v>0</v>
      </c>
      <c r="R560" s="2" t="inlineStr"/>
    </row>
    <row r="561" ht="15" customHeight="1">
      <c r="A561" t="inlineStr">
        <is>
          <t>A 11385-2024</t>
        </is>
      </c>
      <c r="B561" s="1" t="n">
        <v>45372</v>
      </c>
      <c r="C561" s="1" t="n">
        <v>46070</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9642-2024</t>
        </is>
      </c>
      <c r="B562" s="1" t="n">
        <v>45362.36296296296</v>
      </c>
      <c r="C562" s="1" t="n">
        <v>46070</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360-2026</t>
        </is>
      </c>
      <c r="B563" s="1" t="n">
        <v>46027.66442129629</v>
      </c>
      <c r="C563" s="1" t="n">
        <v>46070</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18401-2025</t>
        </is>
      </c>
      <c r="B564" s="1" t="n">
        <v>45762.5966087963</v>
      </c>
      <c r="C564" s="1" t="n">
        <v>46070</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285-2026</t>
        </is>
      </c>
      <c r="B565" s="1" t="n">
        <v>46027.49130787037</v>
      </c>
      <c r="C565" s="1" t="n">
        <v>46070</v>
      </c>
      <c r="D565" t="inlineStr">
        <is>
          <t>UPPSALA LÄN</t>
        </is>
      </c>
      <c r="E565" t="inlineStr">
        <is>
          <t>ÖSTHAMMAR</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8789-2026</t>
        </is>
      </c>
      <c r="B566" s="1" t="n">
        <v>46066.58792824074</v>
      </c>
      <c r="C566" s="1" t="n">
        <v>46070</v>
      </c>
      <c r="D566" t="inlineStr">
        <is>
          <t>UPPSALA LÄN</t>
        </is>
      </c>
      <c r="E566" t="inlineStr">
        <is>
          <t>ÖSTHAMMAR</t>
        </is>
      </c>
      <c r="G566" t="n">
        <v>0.9</v>
      </c>
      <c r="H566" t="n">
        <v>0</v>
      </c>
      <c r="I566" t="n">
        <v>0</v>
      </c>
      <c r="J566" t="n">
        <v>0</v>
      </c>
      <c r="K566" t="n">
        <v>0</v>
      </c>
      <c r="L566" t="n">
        <v>0</v>
      </c>
      <c r="M566" t="n">
        <v>0</v>
      </c>
      <c r="N566" t="n">
        <v>0</v>
      </c>
      <c r="O566" t="n">
        <v>0</v>
      </c>
      <c r="P566" t="n">
        <v>0</v>
      </c>
      <c r="Q566" t="n">
        <v>0</v>
      </c>
      <c r="R566" s="2" t="inlineStr"/>
    </row>
    <row r="567" ht="15" customHeight="1">
      <c r="A567" t="inlineStr">
        <is>
          <t>A 28429-2023</t>
        </is>
      </c>
      <c r="B567" s="1" t="n">
        <v>45102.58728009259</v>
      </c>
      <c r="C567" s="1" t="n">
        <v>46070</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58878-2022</t>
        </is>
      </c>
      <c r="B568" s="1" t="n">
        <v>44903</v>
      </c>
      <c r="C568" s="1" t="n">
        <v>46070</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30755-2024</t>
        </is>
      </c>
      <c r="B569" s="1" t="n">
        <v>45496</v>
      </c>
      <c r="C569" s="1" t="n">
        <v>46070</v>
      </c>
      <c r="D569" t="inlineStr">
        <is>
          <t>UPPSALA LÄN</t>
        </is>
      </c>
      <c r="E569" t="inlineStr">
        <is>
          <t>ÖSTHAMMAR</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362-2026</t>
        </is>
      </c>
      <c r="B570" s="1" t="n">
        <v>46027.6659375</v>
      </c>
      <c r="C570" s="1" t="n">
        <v>46070</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4562-2022</t>
        </is>
      </c>
      <c r="B571" s="1" t="n">
        <v>44591</v>
      </c>
      <c r="C571" s="1" t="n">
        <v>46070</v>
      </c>
      <c r="D571" t="inlineStr">
        <is>
          <t>UPPSALA LÄN</t>
        </is>
      </c>
      <c r="E571" t="inlineStr">
        <is>
          <t>ÖSTHAMMAR</t>
        </is>
      </c>
      <c r="G571" t="n">
        <v>3.4</v>
      </c>
      <c r="H571" t="n">
        <v>0</v>
      </c>
      <c r="I571" t="n">
        <v>0</v>
      </c>
      <c r="J571" t="n">
        <v>0</v>
      </c>
      <c r="K571" t="n">
        <v>0</v>
      </c>
      <c r="L571" t="n">
        <v>0</v>
      </c>
      <c r="M571" t="n">
        <v>0</v>
      </c>
      <c r="N571" t="n">
        <v>0</v>
      </c>
      <c r="O571" t="n">
        <v>0</v>
      </c>
      <c r="P571" t="n">
        <v>0</v>
      </c>
      <c r="Q571" t="n">
        <v>0</v>
      </c>
      <c r="R571" s="2" t="inlineStr"/>
    </row>
    <row r="572" ht="15" customHeight="1">
      <c r="A572" t="inlineStr">
        <is>
          <t>A 53733-2023</t>
        </is>
      </c>
      <c r="B572" s="1" t="n">
        <v>45230.76862268519</v>
      </c>
      <c r="C572" s="1" t="n">
        <v>46070</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41308-2023</t>
        </is>
      </c>
      <c r="B573" s="1" t="n">
        <v>45174.62788194444</v>
      </c>
      <c r="C573" s="1" t="n">
        <v>46070</v>
      </c>
      <c r="D573" t="inlineStr">
        <is>
          <t>UPPSALA LÄN</t>
        </is>
      </c>
      <c r="E573" t="inlineStr">
        <is>
          <t>ÖSTHAMMAR</t>
        </is>
      </c>
      <c r="F573" t="inlineStr">
        <is>
          <t>Övriga Aktiebolag</t>
        </is>
      </c>
      <c r="G573" t="n">
        <v>2.8</v>
      </c>
      <c r="H573" t="n">
        <v>0</v>
      </c>
      <c r="I573" t="n">
        <v>0</v>
      </c>
      <c r="J573" t="n">
        <v>0</v>
      </c>
      <c r="K573" t="n">
        <v>0</v>
      </c>
      <c r="L573" t="n">
        <v>0</v>
      </c>
      <c r="M573" t="n">
        <v>0</v>
      </c>
      <c r="N573" t="n">
        <v>0</v>
      </c>
      <c r="O573" t="n">
        <v>0</v>
      </c>
      <c r="P573" t="n">
        <v>0</v>
      </c>
      <c r="Q573" t="n">
        <v>0</v>
      </c>
      <c r="R573" s="2" t="inlineStr"/>
    </row>
    <row r="574" ht="15" customHeight="1">
      <c r="A574" t="inlineStr">
        <is>
          <t>A 17969-2023</t>
        </is>
      </c>
      <c r="B574" s="1" t="n">
        <v>45040.47081018519</v>
      </c>
      <c r="C574" s="1" t="n">
        <v>46070</v>
      </c>
      <c r="D574" t="inlineStr">
        <is>
          <t>UPPSALA LÄN</t>
        </is>
      </c>
      <c r="E574" t="inlineStr">
        <is>
          <t>ÖSTHAMMAR</t>
        </is>
      </c>
      <c r="G574" t="n">
        <v>5.4</v>
      </c>
      <c r="H574" t="n">
        <v>0</v>
      </c>
      <c r="I574" t="n">
        <v>0</v>
      </c>
      <c r="J574" t="n">
        <v>0</v>
      </c>
      <c r="K574" t="n">
        <v>0</v>
      </c>
      <c r="L574" t="n">
        <v>0</v>
      </c>
      <c r="M574" t="n">
        <v>0</v>
      </c>
      <c r="N574" t="n">
        <v>0</v>
      </c>
      <c r="O574" t="n">
        <v>0</v>
      </c>
      <c r="P574" t="n">
        <v>0</v>
      </c>
      <c r="Q574" t="n">
        <v>0</v>
      </c>
      <c r="R574" s="2" t="inlineStr"/>
    </row>
    <row r="575" ht="15" customHeight="1">
      <c r="A575" t="inlineStr">
        <is>
          <t>A 1271-2026</t>
        </is>
      </c>
      <c r="B575" s="1" t="n">
        <v>46031.46616898148</v>
      </c>
      <c r="C575" s="1" t="n">
        <v>46070</v>
      </c>
      <c r="D575" t="inlineStr">
        <is>
          <t>UPPSALA LÄN</t>
        </is>
      </c>
      <c r="E575" t="inlineStr">
        <is>
          <t>ÖSTHAMMAR</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25969-2023</t>
        </is>
      </c>
      <c r="B576" s="1" t="n">
        <v>45090</v>
      </c>
      <c r="C576" s="1" t="n">
        <v>46070</v>
      </c>
      <c r="D576" t="inlineStr">
        <is>
          <t>UPPSALA LÄN</t>
        </is>
      </c>
      <c r="E576" t="inlineStr">
        <is>
          <t>ÖSTHAMMAR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1393-2026</t>
        </is>
      </c>
      <c r="B577" s="1" t="n">
        <v>46031.63748842593</v>
      </c>
      <c r="C577" s="1" t="n">
        <v>46070</v>
      </c>
      <c r="D577" t="inlineStr">
        <is>
          <t>UPPSALA LÄN</t>
        </is>
      </c>
      <c r="E577" t="inlineStr">
        <is>
          <t>ÖSTHAMMAR</t>
        </is>
      </c>
      <c r="F577" t="inlineStr">
        <is>
          <t>Bergvik skog öst AB</t>
        </is>
      </c>
      <c r="G577" t="n">
        <v>4</v>
      </c>
      <c r="H577" t="n">
        <v>0</v>
      </c>
      <c r="I577" t="n">
        <v>0</v>
      </c>
      <c r="J577" t="n">
        <v>0</v>
      </c>
      <c r="K577" t="n">
        <v>0</v>
      </c>
      <c r="L577" t="n">
        <v>0</v>
      </c>
      <c r="M577" t="n">
        <v>0</v>
      </c>
      <c r="N577" t="n">
        <v>0</v>
      </c>
      <c r="O577" t="n">
        <v>0</v>
      </c>
      <c r="P577" t="n">
        <v>0</v>
      </c>
      <c r="Q577" t="n">
        <v>0</v>
      </c>
      <c r="R577" s="2" t="inlineStr"/>
    </row>
    <row r="578" ht="15" customHeight="1">
      <c r="A578" t="inlineStr">
        <is>
          <t>A 50998-2023</t>
        </is>
      </c>
      <c r="B578" s="1" t="n">
        <v>45218.5586574074</v>
      </c>
      <c r="C578" s="1" t="n">
        <v>46070</v>
      </c>
      <c r="D578" t="inlineStr">
        <is>
          <t>UPPSALA LÄN</t>
        </is>
      </c>
      <c r="E578" t="inlineStr">
        <is>
          <t>ÖSTHAMMAR</t>
        </is>
      </c>
      <c r="G578" t="n">
        <v>3.6</v>
      </c>
      <c r="H578" t="n">
        <v>0</v>
      </c>
      <c r="I578" t="n">
        <v>0</v>
      </c>
      <c r="J578" t="n">
        <v>0</v>
      </c>
      <c r="K578" t="n">
        <v>0</v>
      </c>
      <c r="L578" t="n">
        <v>0</v>
      </c>
      <c r="M578" t="n">
        <v>0</v>
      </c>
      <c r="N578" t="n">
        <v>0</v>
      </c>
      <c r="O578" t="n">
        <v>0</v>
      </c>
      <c r="P578" t="n">
        <v>0</v>
      </c>
      <c r="Q578" t="n">
        <v>0</v>
      </c>
      <c r="R578" s="2" t="inlineStr"/>
    </row>
    <row r="579" ht="15" customHeight="1">
      <c r="A579" t="inlineStr">
        <is>
          <t>A 55837-2023</t>
        </is>
      </c>
      <c r="B579" s="1" t="n">
        <v>45239</v>
      </c>
      <c r="C579" s="1" t="n">
        <v>46070</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18838-2023</t>
        </is>
      </c>
      <c r="B580" s="1" t="n">
        <v>45044</v>
      </c>
      <c r="C580" s="1" t="n">
        <v>46070</v>
      </c>
      <c r="D580" t="inlineStr">
        <is>
          <t>UPPSALA LÄN</t>
        </is>
      </c>
      <c r="E580" t="inlineStr">
        <is>
          <t>ÖSTHAMMAR</t>
        </is>
      </c>
      <c r="G580" t="n">
        <v>2.8</v>
      </c>
      <c r="H580" t="n">
        <v>0</v>
      </c>
      <c r="I580" t="n">
        <v>0</v>
      </c>
      <c r="J580" t="n">
        <v>0</v>
      </c>
      <c r="K580" t="n">
        <v>0</v>
      </c>
      <c r="L580" t="n">
        <v>0</v>
      </c>
      <c r="M580" t="n">
        <v>0</v>
      </c>
      <c r="N580" t="n">
        <v>0</v>
      </c>
      <c r="O580" t="n">
        <v>0</v>
      </c>
      <c r="P580" t="n">
        <v>0</v>
      </c>
      <c r="Q580" t="n">
        <v>0</v>
      </c>
      <c r="R580" s="2" t="inlineStr"/>
    </row>
    <row r="581" ht="15" customHeight="1">
      <c r="A581" t="inlineStr">
        <is>
          <t>A 59382-2022</t>
        </is>
      </c>
      <c r="B581" s="1" t="n">
        <v>44905.50363425926</v>
      </c>
      <c r="C581" s="1" t="n">
        <v>46070</v>
      </c>
      <c r="D581" t="inlineStr">
        <is>
          <t>UPPSALA LÄN</t>
        </is>
      </c>
      <c r="E581" t="inlineStr">
        <is>
          <t>ÖSTHAMMAR</t>
        </is>
      </c>
      <c r="G581" t="n">
        <v>2.9</v>
      </c>
      <c r="H581" t="n">
        <v>0</v>
      </c>
      <c r="I581" t="n">
        <v>0</v>
      </c>
      <c r="J581" t="n">
        <v>0</v>
      </c>
      <c r="K581" t="n">
        <v>0</v>
      </c>
      <c r="L581" t="n">
        <v>0</v>
      </c>
      <c r="M581" t="n">
        <v>0</v>
      </c>
      <c r="N581" t="n">
        <v>0</v>
      </c>
      <c r="O581" t="n">
        <v>0</v>
      </c>
      <c r="P581" t="n">
        <v>0</v>
      </c>
      <c r="Q581" t="n">
        <v>0</v>
      </c>
      <c r="R581" s="2" t="inlineStr"/>
    </row>
    <row r="582" ht="15" customHeight="1">
      <c r="A582" t="inlineStr">
        <is>
          <t>A 17085-2025</t>
        </is>
      </c>
      <c r="B582" s="1" t="n">
        <v>45755.64612268518</v>
      </c>
      <c r="C582" s="1" t="n">
        <v>46070</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29231-2024</t>
        </is>
      </c>
      <c r="B583" s="1" t="n">
        <v>45482</v>
      </c>
      <c r="C583" s="1" t="n">
        <v>46070</v>
      </c>
      <c r="D583" t="inlineStr">
        <is>
          <t>UPPSALA LÄN</t>
        </is>
      </c>
      <c r="E583" t="inlineStr">
        <is>
          <t>ÖSTHAMMAR</t>
        </is>
      </c>
      <c r="F583" t="inlineStr">
        <is>
          <t>Bergvik skog öst AB</t>
        </is>
      </c>
      <c r="G583" t="n">
        <v>0.6</v>
      </c>
      <c r="H583" t="n">
        <v>0</v>
      </c>
      <c r="I583" t="n">
        <v>0</v>
      </c>
      <c r="J583" t="n">
        <v>0</v>
      </c>
      <c r="K583" t="n">
        <v>0</v>
      </c>
      <c r="L583" t="n">
        <v>0</v>
      </c>
      <c r="M583" t="n">
        <v>0</v>
      </c>
      <c r="N583" t="n">
        <v>0</v>
      </c>
      <c r="O583" t="n">
        <v>0</v>
      </c>
      <c r="P583" t="n">
        <v>0</v>
      </c>
      <c r="Q583" t="n">
        <v>0</v>
      </c>
      <c r="R583" s="2" t="inlineStr"/>
    </row>
    <row r="584" ht="15" customHeight="1">
      <c r="A584" t="inlineStr">
        <is>
          <t>A 59745-2025</t>
        </is>
      </c>
      <c r="B584" s="1" t="n">
        <v>45992.57708333333</v>
      </c>
      <c r="C584" s="1" t="n">
        <v>46070</v>
      </c>
      <c r="D584" t="inlineStr">
        <is>
          <t>UPPSALA LÄN</t>
        </is>
      </c>
      <c r="E584" t="inlineStr">
        <is>
          <t>ÖSTHAMMAR</t>
        </is>
      </c>
      <c r="F584" t="inlineStr">
        <is>
          <t>Bergvik skog öst AB</t>
        </is>
      </c>
      <c r="G584" t="n">
        <v>3.3</v>
      </c>
      <c r="H584" t="n">
        <v>0</v>
      </c>
      <c r="I584" t="n">
        <v>0</v>
      </c>
      <c r="J584" t="n">
        <v>0</v>
      </c>
      <c r="K584" t="n">
        <v>0</v>
      </c>
      <c r="L584" t="n">
        <v>0</v>
      </c>
      <c r="M584" t="n">
        <v>0</v>
      </c>
      <c r="N584" t="n">
        <v>0</v>
      </c>
      <c r="O584" t="n">
        <v>0</v>
      </c>
      <c r="P584" t="n">
        <v>0</v>
      </c>
      <c r="Q584" t="n">
        <v>0</v>
      </c>
      <c r="R584" s="2" t="inlineStr"/>
    </row>
    <row r="585" ht="15" customHeight="1">
      <c r="A585" t="inlineStr">
        <is>
          <t>A 59706-2025</t>
        </is>
      </c>
      <c r="B585" s="1" t="n">
        <v>45992.50333333333</v>
      </c>
      <c r="C585" s="1" t="n">
        <v>46070</v>
      </c>
      <c r="D585" t="inlineStr">
        <is>
          <t>UPPSALA LÄN</t>
        </is>
      </c>
      <c r="E585" t="inlineStr">
        <is>
          <t>ÖSTHAMMAR</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44184-2024</t>
        </is>
      </c>
      <c r="B586" s="1" t="n">
        <v>45572</v>
      </c>
      <c r="C586" s="1" t="n">
        <v>46070</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59708-2025</t>
        </is>
      </c>
      <c r="B587" s="1" t="n">
        <v>45992.50802083333</v>
      </c>
      <c r="C587" s="1" t="n">
        <v>46070</v>
      </c>
      <c r="D587" t="inlineStr">
        <is>
          <t>UPPSALA LÄN</t>
        </is>
      </c>
      <c r="E587" t="inlineStr">
        <is>
          <t>ÖSTHAMMAR</t>
        </is>
      </c>
      <c r="F587" t="inlineStr">
        <is>
          <t>Bergvik skog öst AB</t>
        </is>
      </c>
      <c r="G587" t="n">
        <v>3.2</v>
      </c>
      <c r="H587" t="n">
        <v>0</v>
      </c>
      <c r="I587" t="n">
        <v>0</v>
      </c>
      <c r="J587" t="n">
        <v>0</v>
      </c>
      <c r="K587" t="n">
        <v>0</v>
      </c>
      <c r="L587" t="n">
        <v>0</v>
      </c>
      <c r="M587" t="n">
        <v>0</v>
      </c>
      <c r="N587" t="n">
        <v>0</v>
      </c>
      <c r="O587" t="n">
        <v>0</v>
      </c>
      <c r="P587" t="n">
        <v>0</v>
      </c>
      <c r="Q587" t="n">
        <v>0</v>
      </c>
      <c r="R587" s="2" t="inlineStr"/>
    </row>
    <row r="588" ht="15" customHeight="1">
      <c r="A588" t="inlineStr">
        <is>
          <t>A 59743-2025</t>
        </is>
      </c>
      <c r="B588" s="1" t="n">
        <v>45992.57668981481</v>
      </c>
      <c r="C588" s="1" t="n">
        <v>46070</v>
      </c>
      <c r="D588" t="inlineStr">
        <is>
          <t>UPPSALA LÄN</t>
        </is>
      </c>
      <c r="E588" t="inlineStr">
        <is>
          <t>ÖSTHAMMAR</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1906-2026</t>
        </is>
      </c>
      <c r="B589" s="1" t="n">
        <v>46035.55158564815</v>
      </c>
      <c r="C589" s="1" t="n">
        <v>46070</v>
      </c>
      <c r="D589" t="inlineStr">
        <is>
          <t>UPPSALA LÄN</t>
        </is>
      </c>
      <c r="E589" t="inlineStr">
        <is>
          <t>ÖSTHAMMAR</t>
        </is>
      </c>
      <c r="F589" t="inlineStr">
        <is>
          <t>Bergvik skog öst AB</t>
        </is>
      </c>
      <c r="G589" t="n">
        <v>4.3</v>
      </c>
      <c r="H589" t="n">
        <v>0</v>
      </c>
      <c r="I589" t="n">
        <v>0</v>
      </c>
      <c r="J589" t="n">
        <v>0</v>
      </c>
      <c r="K589" t="n">
        <v>0</v>
      </c>
      <c r="L589" t="n">
        <v>0</v>
      </c>
      <c r="M589" t="n">
        <v>0</v>
      </c>
      <c r="N589" t="n">
        <v>0</v>
      </c>
      <c r="O589" t="n">
        <v>0</v>
      </c>
      <c r="P589" t="n">
        <v>0</v>
      </c>
      <c r="Q589" t="n">
        <v>0</v>
      </c>
      <c r="R589" s="2" t="inlineStr"/>
    </row>
    <row r="590" ht="15" customHeight="1">
      <c r="A590" t="inlineStr">
        <is>
          <t>A 9264-2024</t>
        </is>
      </c>
      <c r="B590" s="1" t="n">
        <v>45358</v>
      </c>
      <c r="C590" s="1" t="n">
        <v>46070</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33784-2024</t>
        </is>
      </c>
      <c r="B591" s="1" t="n">
        <v>45520</v>
      </c>
      <c r="C591" s="1" t="n">
        <v>46070</v>
      </c>
      <c r="D591" t="inlineStr">
        <is>
          <t>UPPSALA LÄN</t>
        </is>
      </c>
      <c r="E591" t="inlineStr">
        <is>
          <t>ÖSTHAMMAR</t>
        </is>
      </c>
      <c r="F591" t="inlineStr">
        <is>
          <t>Naturvårdsverket</t>
        </is>
      </c>
      <c r="G591" t="n">
        <v>0.6</v>
      </c>
      <c r="H591" t="n">
        <v>0</v>
      </c>
      <c r="I591" t="n">
        <v>0</v>
      </c>
      <c r="J591" t="n">
        <v>0</v>
      </c>
      <c r="K591" t="n">
        <v>0</v>
      </c>
      <c r="L591" t="n">
        <v>0</v>
      </c>
      <c r="M591" t="n">
        <v>0</v>
      </c>
      <c r="N591" t="n">
        <v>0</v>
      </c>
      <c r="O591" t="n">
        <v>0</v>
      </c>
      <c r="P591" t="n">
        <v>0</v>
      </c>
      <c r="Q591" t="n">
        <v>0</v>
      </c>
      <c r="R591" s="2" t="inlineStr"/>
    </row>
    <row r="592" ht="15" customHeight="1">
      <c r="A592" t="inlineStr">
        <is>
          <t>A 11643-2022</t>
        </is>
      </c>
      <c r="B592" s="1" t="n">
        <v>44631.92662037037</v>
      </c>
      <c r="C592" s="1" t="n">
        <v>46070</v>
      </c>
      <c r="D592" t="inlineStr">
        <is>
          <t>UPPSALA LÄN</t>
        </is>
      </c>
      <c r="E592" t="inlineStr">
        <is>
          <t>ÖSTHAMMAR</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37865-2023</t>
        </is>
      </c>
      <c r="B593" s="1" t="n">
        <v>45160</v>
      </c>
      <c r="C593" s="1" t="n">
        <v>46070</v>
      </c>
      <c r="D593" t="inlineStr">
        <is>
          <t>UPPSALA LÄN</t>
        </is>
      </c>
      <c r="E593" t="inlineStr">
        <is>
          <t>ÖSTHAMMAR</t>
        </is>
      </c>
      <c r="G593" t="n">
        <v>1.4</v>
      </c>
      <c r="H593" t="n">
        <v>0</v>
      </c>
      <c r="I593" t="n">
        <v>0</v>
      </c>
      <c r="J593" t="n">
        <v>0</v>
      </c>
      <c r="K593" t="n">
        <v>0</v>
      </c>
      <c r="L593" t="n">
        <v>0</v>
      </c>
      <c r="M593" t="n">
        <v>0</v>
      </c>
      <c r="N593" t="n">
        <v>0</v>
      </c>
      <c r="O593" t="n">
        <v>0</v>
      </c>
      <c r="P593" t="n">
        <v>0</v>
      </c>
      <c r="Q593" t="n">
        <v>0</v>
      </c>
      <c r="R593" s="2" t="inlineStr"/>
    </row>
    <row r="594" ht="15" customHeight="1">
      <c r="A594" t="inlineStr">
        <is>
          <t>A 34607-2023</t>
        </is>
      </c>
      <c r="B594" s="1" t="n">
        <v>45138</v>
      </c>
      <c r="C594" s="1" t="n">
        <v>46070</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5215-2025</t>
        </is>
      </c>
      <c r="B595" s="1" t="n">
        <v>45691</v>
      </c>
      <c r="C595" s="1" t="n">
        <v>46070</v>
      </c>
      <c r="D595" t="inlineStr">
        <is>
          <t>UPPSALA LÄN</t>
        </is>
      </c>
      <c r="E595" t="inlineStr">
        <is>
          <t>ÖSTHAMMAR</t>
        </is>
      </c>
      <c r="G595" t="n">
        <v>0.5</v>
      </c>
      <c r="H595" t="n">
        <v>0</v>
      </c>
      <c r="I595" t="n">
        <v>0</v>
      </c>
      <c r="J595" t="n">
        <v>0</v>
      </c>
      <c r="K595" t="n">
        <v>0</v>
      </c>
      <c r="L595" t="n">
        <v>0</v>
      </c>
      <c r="M595" t="n">
        <v>0</v>
      </c>
      <c r="N595" t="n">
        <v>0</v>
      </c>
      <c r="O595" t="n">
        <v>0</v>
      </c>
      <c r="P595" t="n">
        <v>0</v>
      </c>
      <c r="Q595" t="n">
        <v>0</v>
      </c>
      <c r="R595" s="2" t="inlineStr"/>
    </row>
    <row r="596" ht="15" customHeight="1">
      <c r="A596" t="inlineStr">
        <is>
          <t>A 2615-2026</t>
        </is>
      </c>
      <c r="B596" s="1" t="n">
        <v>46037.58893518519</v>
      </c>
      <c r="C596" s="1" t="n">
        <v>46070</v>
      </c>
      <c r="D596" t="inlineStr">
        <is>
          <t>UPPSALA LÄN</t>
        </is>
      </c>
      <c r="E596" t="inlineStr">
        <is>
          <t>ÖSTHAMMAR</t>
        </is>
      </c>
      <c r="G596" t="n">
        <v>3.2</v>
      </c>
      <c r="H596" t="n">
        <v>0</v>
      </c>
      <c r="I596" t="n">
        <v>0</v>
      </c>
      <c r="J596" t="n">
        <v>0</v>
      </c>
      <c r="K596" t="n">
        <v>0</v>
      </c>
      <c r="L596" t="n">
        <v>0</v>
      </c>
      <c r="M596" t="n">
        <v>0</v>
      </c>
      <c r="N596" t="n">
        <v>0</v>
      </c>
      <c r="O596" t="n">
        <v>0</v>
      </c>
      <c r="P596" t="n">
        <v>0</v>
      </c>
      <c r="Q596" t="n">
        <v>0</v>
      </c>
      <c r="R596" s="2" t="inlineStr"/>
    </row>
    <row r="597" ht="15" customHeight="1">
      <c r="A597" t="inlineStr">
        <is>
          <t>A 2620-2026</t>
        </is>
      </c>
      <c r="B597" s="1" t="n">
        <v>46037.59137731481</v>
      </c>
      <c r="C597" s="1" t="n">
        <v>46070</v>
      </c>
      <c r="D597" t="inlineStr">
        <is>
          <t>UPPSALA LÄN</t>
        </is>
      </c>
      <c r="E597" t="inlineStr">
        <is>
          <t>ÖSTHAMMAR</t>
        </is>
      </c>
      <c r="G597" t="n">
        <v>4.4</v>
      </c>
      <c r="H597" t="n">
        <v>0</v>
      </c>
      <c r="I597" t="n">
        <v>0</v>
      </c>
      <c r="J597" t="n">
        <v>0</v>
      </c>
      <c r="K597" t="n">
        <v>0</v>
      </c>
      <c r="L597" t="n">
        <v>0</v>
      </c>
      <c r="M597" t="n">
        <v>0</v>
      </c>
      <c r="N597" t="n">
        <v>0</v>
      </c>
      <c r="O597" t="n">
        <v>0</v>
      </c>
      <c r="P597" t="n">
        <v>0</v>
      </c>
      <c r="Q597" t="n">
        <v>0</v>
      </c>
      <c r="R597" s="2" t="inlineStr"/>
    </row>
    <row r="598" ht="15" customHeight="1">
      <c r="A598" t="inlineStr">
        <is>
          <t>A 2733-2023</t>
        </is>
      </c>
      <c r="B598" s="1" t="n">
        <v>44943</v>
      </c>
      <c r="C598" s="1" t="n">
        <v>46070</v>
      </c>
      <c r="D598" t="inlineStr">
        <is>
          <t>UPPSALA LÄN</t>
        </is>
      </c>
      <c r="E598" t="inlineStr">
        <is>
          <t>ÖSTHAMMAR</t>
        </is>
      </c>
      <c r="G598" t="n">
        <v>2.6</v>
      </c>
      <c r="H598" t="n">
        <v>0</v>
      </c>
      <c r="I598" t="n">
        <v>0</v>
      </c>
      <c r="J598" t="n">
        <v>0</v>
      </c>
      <c r="K598" t="n">
        <v>0</v>
      </c>
      <c r="L598" t="n">
        <v>0</v>
      </c>
      <c r="M598" t="n">
        <v>0</v>
      </c>
      <c r="N598" t="n">
        <v>0</v>
      </c>
      <c r="O598" t="n">
        <v>0</v>
      </c>
      <c r="P598" t="n">
        <v>0</v>
      </c>
      <c r="Q598" t="n">
        <v>0</v>
      </c>
      <c r="R598" s="2" t="inlineStr"/>
    </row>
    <row r="599" ht="15" customHeight="1">
      <c r="A599" t="inlineStr">
        <is>
          <t>A 8769-2025</t>
        </is>
      </c>
      <c r="B599" s="1" t="n">
        <v>45712.59412037037</v>
      </c>
      <c r="C599" s="1" t="n">
        <v>46070</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34971-2022</t>
        </is>
      </c>
      <c r="B600" s="1" t="n">
        <v>44796.66613425926</v>
      </c>
      <c r="C600" s="1" t="n">
        <v>46070</v>
      </c>
      <c r="D600" t="inlineStr">
        <is>
          <t>UPPSALA LÄN</t>
        </is>
      </c>
      <c r="E600" t="inlineStr">
        <is>
          <t>ÖSTHAMMAR</t>
        </is>
      </c>
      <c r="F600" t="inlineStr">
        <is>
          <t>Bergvik skog öst AB</t>
        </is>
      </c>
      <c r="G600" t="n">
        <v>2.3</v>
      </c>
      <c r="H600" t="n">
        <v>0</v>
      </c>
      <c r="I600" t="n">
        <v>0</v>
      </c>
      <c r="J600" t="n">
        <v>0</v>
      </c>
      <c r="K600" t="n">
        <v>0</v>
      </c>
      <c r="L600" t="n">
        <v>0</v>
      </c>
      <c r="M600" t="n">
        <v>0</v>
      </c>
      <c r="N600" t="n">
        <v>0</v>
      </c>
      <c r="O600" t="n">
        <v>0</v>
      </c>
      <c r="P600" t="n">
        <v>0</v>
      </c>
      <c r="Q600" t="n">
        <v>0</v>
      </c>
      <c r="R600" s="2" t="inlineStr"/>
    </row>
    <row r="601" ht="15" customHeight="1">
      <c r="A601" t="inlineStr">
        <is>
          <t>A 2352-2026</t>
        </is>
      </c>
      <c r="B601" s="1" t="n">
        <v>46034</v>
      </c>
      <c r="C601" s="1" t="n">
        <v>46070</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3725-2022</t>
        </is>
      </c>
      <c r="B602" s="1" t="n">
        <v>44586</v>
      </c>
      <c r="C602" s="1" t="n">
        <v>46070</v>
      </c>
      <c r="D602" t="inlineStr">
        <is>
          <t>UPPSALA LÄN</t>
        </is>
      </c>
      <c r="E602" t="inlineStr">
        <is>
          <t>ÖSTHAMMAR</t>
        </is>
      </c>
      <c r="G602" t="n">
        <v>2</v>
      </c>
      <c r="H602" t="n">
        <v>0</v>
      </c>
      <c r="I602" t="n">
        <v>0</v>
      </c>
      <c r="J602" t="n">
        <v>0</v>
      </c>
      <c r="K602" t="n">
        <v>0</v>
      </c>
      <c r="L602" t="n">
        <v>0</v>
      </c>
      <c r="M602" t="n">
        <v>0</v>
      </c>
      <c r="N602" t="n">
        <v>0</v>
      </c>
      <c r="O602" t="n">
        <v>0</v>
      </c>
      <c r="P602" t="n">
        <v>0</v>
      </c>
      <c r="Q602" t="n">
        <v>0</v>
      </c>
      <c r="R602" s="2" t="inlineStr"/>
    </row>
    <row r="603" ht="15" customHeight="1">
      <c r="A603" t="inlineStr">
        <is>
          <t>A 12812-2024</t>
        </is>
      </c>
      <c r="B603" s="1" t="n">
        <v>45384.65465277778</v>
      </c>
      <c r="C603" s="1" t="n">
        <v>46070</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2358-2026</t>
        </is>
      </c>
      <c r="B604" s="1" t="n">
        <v>46034</v>
      </c>
      <c r="C604" s="1" t="n">
        <v>46070</v>
      </c>
      <c r="D604" t="inlineStr">
        <is>
          <t>UPPSALA LÄN</t>
        </is>
      </c>
      <c r="E604" t="inlineStr">
        <is>
          <t>ÖSTHAMMAR</t>
        </is>
      </c>
      <c r="G604" t="n">
        <v>3.6</v>
      </c>
      <c r="H604" t="n">
        <v>0</v>
      </c>
      <c r="I604" t="n">
        <v>0</v>
      </c>
      <c r="J604" t="n">
        <v>0</v>
      </c>
      <c r="K604" t="n">
        <v>0</v>
      </c>
      <c r="L604" t="n">
        <v>0</v>
      </c>
      <c r="M604" t="n">
        <v>0</v>
      </c>
      <c r="N604" t="n">
        <v>0</v>
      </c>
      <c r="O604" t="n">
        <v>0</v>
      </c>
      <c r="P604" t="n">
        <v>0</v>
      </c>
      <c r="Q604" t="n">
        <v>0</v>
      </c>
      <c r="R604" s="2" t="inlineStr"/>
    </row>
    <row r="605" ht="15" customHeight="1">
      <c r="A605" t="inlineStr">
        <is>
          <t>A 28170-2023</t>
        </is>
      </c>
      <c r="B605" s="1" t="n">
        <v>45093</v>
      </c>
      <c r="C605" s="1" t="n">
        <v>46070</v>
      </c>
      <c r="D605" t="inlineStr">
        <is>
          <t>UPPSALA LÄN</t>
        </is>
      </c>
      <c r="E605" t="inlineStr">
        <is>
          <t>ÖSTHAMMAR</t>
        </is>
      </c>
      <c r="G605" t="n">
        <v>7.2</v>
      </c>
      <c r="H605" t="n">
        <v>0</v>
      </c>
      <c r="I605" t="n">
        <v>0</v>
      </c>
      <c r="J605" t="n">
        <v>0</v>
      </c>
      <c r="K605" t="n">
        <v>0</v>
      </c>
      <c r="L605" t="n">
        <v>0</v>
      </c>
      <c r="M605" t="n">
        <v>0</v>
      </c>
      <c r="N605" t="n">
        <v>0</v>
      </c>
      <c r="O605" t="n">
        <v>0</v>
      </c>
      <c r="P605" t="n">
        <v>0</v>
      </c>
      <c r="Q605" t="n">
        <v>0</v>
      </c>
      <c r="R605" s="2" t="inlineStr"/>
    </row>
    <row r="606" ht="15" customHeight="1">
      <c r="A606" t="inlineStr">
        <is>
          <t>A 7876-2023</t>
        </is>
      </c>
      <c r="B606" s="1" t="n">
        <v>44973.57263888889</v>
      </c>
      <c r="C606" s="1" t="n">
        <v>46070</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57156-2025</t>
        </is>
      </c>
      <c r="B607" s="1" t="n">
        <v>45979.51591435185</v>
      </c>
      <c r="C607" s="1" t="n">
        <v>46070</v>
      </c>
      <c r="D607" t="inlineStr">
        <is>
          <t>UPPSALA LÄN</t>
        </is>
      </c>
      <c r="E607" t="inlineStr">
        <is>
          <t>ÖSTHAMMAR</t>
        </is>
      </c>
      <c r="G607" t="n">
        <v>1.8</v>
      </c>
      <c r="H607" t="n">
        <v>0</v>
      </c>
      <c r="I607" t="n">
        <v>0</v>
      </c>
      <c r="J607" t="n">
        <v>0</v>
      </c>
      <c r="K607" t="n">
        <v>0</v>
      </c>
      <c r="L607" t="n">
        <v>0</v>
      </c>
      <c r="M607" t="n">
        <v>0</v>
      </c>
      <c r="N607" t="n">
        <v>0</v>
      </c>
      <c r="O607" t="n">
        <v>0</v>
      </c>
      <c r="P607" t="n">
        <v>0</v>
      </c>
      <c r="Q607" t="n">
        <v>0</v>
      </c>
      <c r="R607" s="2" t="inlineStr"/>
    </row>
    <row r="608" ht="15" customHeight="1">
      <c r="A608" t="inlineStr">
        <is>
          <t>A 60738-2025</t>
        </is>
      </c>
      <c r="B608" s="1" t="n">
        <v>45996.83506944445</v>
      </c>
      <c r="C608" s="1" t="n">
        <v>46070</v>
      </c>
      <c r="D608" t="inlineStr">
        <is>
          <t>UPPSALA LÄN</t>
        </is>
      </c>
      <c r="E608" t="inlineStr">
        <is>
          <t>ÖSTHAMMAR</t>
        </is>
      </c>
      <c r="G608" t="n">
        <v>1.8</v>
      </c>
      <c r="H608" t="n">
        <v>0</v>
      </c>
      <c r="I608" t="n">
        <v>0</v>
      </c>
      <c r="J608" t="n">
        <v>0</v>
      </c>
      <c r="K608" t="n">
        <v>0</v>
      </c>
      <c r="L608" t="n">
        <v>0</v>
      </c>
      <c r="M608" t="n">
        <v>0</v>
      </c>
      <c r="N608" t="n">
        <v>0</v>
      </c>
      <c r="O608" t="n">
        <v>0</v>
      </c>
      <c r="P608" t="n">
        <v>0</v>
      </c>
      <c r="Q608" t="n">
        <v>0</v>
      </c>
      <c r="R608" s="2" t="inlineStr"/>
    </row>
    <row r="609" ht="15" customHeight="1">
      <c r="A609" t="inlineStr">
        <is>
          <t>A 60603-2025</t>
        </is>
      </c>
      <c r="B609" s="1" t="n">
        <v>45996.3543287037</v>
      </c>
      <c r="C609" s="1" t="n">
        <v>46070</v>
      </c>
      <c r="D609" t="inlineStr">
        <is>
          <t>UPPSALA LÄN</t>
        </is>
      </c>
      <c r="E609" t="inlineStr">
        <is>
          <t>ÖSTHAMMAR</t>
        </is>
      </c>
      <c r="G609" t="n">
        <v>4.7</v>
      </c>
      <c r="H609" t="n">
        <v>0</v>
      </c>
      <c r="I609" t="n">
        <v>0</v>
      </c>
      <c r="J609" t="n">
        <v>0</v>
      </c>
      <c r="K609" t="n">
        <v>0</v>
      </c>
      <c r="L609" t="n">
        <v>0</v>
      </c>
      <c r="M609" t="n">
        <v>0</v>
      </c>
      <c r="N609" t="n">
        <v>0</v>
      </c>
      <c r="O609" t="n">
        <v>0</v>
      </c>
      <c r="P609" t="n">
        <v>0</v>
      </c>
      <c r="Q609" t="n">
        <v>0</v>
      </c>
      <c r="R609" s="2" t="inlineStr"/>
    </row>
    <row r="610" ht="15" customHeight="1">
      <c r="A610" t="inlineStr">
        <is>
          <t>A 3095-2026</t>
        </is>
      </c>
      <c r="B610" s="1" t="n">
        <v>46040.90493055555</v>
      </c>
      <c r="C610" s="1" t="n">
        <v>46070</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14433-2024</t>
        </is>
      </c>
      <c r="B611" s="1" t="n">
        <v>45394.46115740741</v>
      </c>
      <c r="C611" s="1" t="n">
        <v>46070</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60910-2025</t>
        </is>
      </c>
      <c r="B612" s="1" t="n">
        <v>45999.59837962963</v>
      </c>
      <c r="C612" s="1" t="n">
        <v>46070</v>
      </c>
      <c r="D612" t="inlineStr">
        <is>
          <t>UPPSALA LÄN</t>
        </is>
      </c>
      <c r="E612" t="inlineStr">
        <is>
          <t>ÖSTHAMMAR</t>
        </is>
      </c>
      <c r="G612" t="n">
        <v>3.5</v>
      </c>
      <c r="H612" t="n">
        <v>0</v>
      </c>
      <c r="I612" t="n">
        <v>0</v>
      </c>
      <c r="J612" t="n">
        <v>0</v>
      </c>
      <c r="K612" t="n">
        <v>0</v>
      </c>
      <c r="L612" t="n">
        <v>0</v>
      </c>
      <c r="M612" t="n">
        <v>0</v>
      </c>
      <c r="N612" t="n">
        <v>0</v>
      </c>
      <c r="O612" t="n">
        <v>0</v>
      </c>
      <c r="P612" t="n">
        <v>0</v>
      </c>
      <c r="Q612" t="n">
        <v>0</v>
      </c>
      <c r="R612" s="2" t="inlineStr"/>
    </row>
    <row r="613" ht="15" customHeight="1">
      <c r="A613" t="inlineStr">
        <is>
          <t>A 3055-2026</t>
        </is>
      </c>
      <c r="B613" s="1" t="n">
        <v>46039.39636574074</v>
      </c>
      <c r="C613" s="1" t="n">
        <v>46070</v>
      </c>
      <c r="D613" t="inlineStr">
        <is>
          <t>UPPSALA LÄN</t>
        </is>
      </c>
      <c r="E613" t="inlineStr">
        <is>
          <t>ÖSTHAMMAR</t>
        </is>
      </c>
      <c r="F613" t="inlineStr">
        <is>
          <t>Bergvik skog öst AB</t>
        </is>
      </c>
      <c r="G613" t="n">
        <v>3.5</v>
      </c>
      <c r="H613" t="n">
        <v>0</v>
      </c>
      <c r="I613" t="n">
        <v>0</v>
      </c>
      <c r="J613" t="n">
        <v>0</v>
      </c>
      <c r="K613" t="n">
        <v>0</v>
      </c>
      <c r="L613" t="n">
        <v>0</v>
      </c>
      <c r="M613" t="n">
        <v>0</v>
      </c>
      <c r="N613" t="n">
        <v>0</v>
      </c>
      <c r="O613" t="n">
        <v>0</v>
      </c>
      <c r="P613" t="n">
        <v>0</v>
      </c>
      <c r="Q613" t="n">
        <v>0</v>
      </c>
      <c r="R613" s="2" t="inlineStr"/>
    </row>
    <row r="614" ht="15" customHeight="1">
      <c r="A614" t="inlineStr">
        <is>
          <t>A 20038-2023</t>
        </is>
      </c>
      <c r="B614" s="1" t="n">
        <v>45054.65834490741</v>
      </c>
      <c r="C614" s="1" t="n">
        <v>46070</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15031-2025</t>
        </is>
      </c>
      <c r="B615" s="1" t="n">
        <v>45743.67333333333</v>
      </c>
      <c r="C615" s="1" t="n">
        <v>46070</v>
      </c>
      <c r="D615" t="inlineStr">
        <is>
          <t>UPPSALA LÄN</t>
        </is>
      </c>
      <c r="E615" t="inlineStr">
        <is>
          <t>ÖSTHAMMAR</t>
        </is>
      </c>
      <c r="G615" t="n">
        <v>9.6</v>
      </c>
      <c r="H615" t="n">
        <v>0</v>
      </c>
      <c r="I615" t="n">
        <v>0</v>
      </c>
      <c r="J615" t="n">
        <v>0</v>
      </c>
      <c r="K615" t="n">
        <v>0</v>
      </c>
      <c r="L615" t="n">
        <v>0</v>
      </c>
      <c r="M615" t="n">
        <v>0</v>
      </c>
      <c r="N615" t="n">
        <v>0</v>
      </c>
      <c r="O615" t="n">
        <v>0</v>
      </c>
      <c r="P615" t="n">
        <v>0</v>
      </c>
      <c r="Q615" t="n">
        <v>0</v>
      </c>
      <c r="R615" s="2" t="inlineStr"/>
    </row>
    <row r="616" ht="15" customHeight="1">
      <c r="A616" t="inlineStr">
        <is>
          <t>A 13738-2023</t>
        </is>
      </c>
      <c r="B616" s="1" t="n">
        <v>45007.37081018519</v>
      </c>
      <c r="C616" s="1" t="n">
        <v>46070</v>
      </c>
      <c r="D616" t="inlineStr">
        <is>
          <t>UPPSALA LÄN</t>
        </is>
      </c>
      <c r="E616" t="inlineStr">
        <is>
          <t>ÖSTHAMMAR</t>
        </is>
      </c>
      <c r="G616" t="n">
        <v>0.7</v>
      </c>
      <c r="H616" t="n">
        <v>0</v>
      </c>
      <c r="I616" t="n">
        <v>0</v>
      </c>
      <c r="J616" t="n">
        <v>0</v>
      </c>
      <c r="K616" t="n">
        <v>0</v>
      </c>
      <c r="L616" t="n">
        <v>0</v>
      </c>
      <c r="M616" t="n">
        <v>0</v>
      </c>
      <c r="N616" t="n">
        <v>0</v>
      </c>
      <c r="O616" t="n">
        <v>0</v>
      </c>
      <c r="P616" t="n">
        <v>0</v>
      </c>
      <c r="Q616" t="n">
        <v>0</v>
      </c>
      <c r="R616" s="2" t="inlineStr"/>
    </row>
    <row r="617" ht="15" customHeight="1">
      <c r="A617" t="inlineStr">
        <is>
          <t>A 3926-2026</t>
        </is>
      </c>
      <c r="B617" s="1" t="n">
        <v>46043.781875</v>
      </c>
      <c r="C617" s="1" t="n">
        <v>46070</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61250-2025</t>
        </is>
      </c>
      <c r="B618" s="1" t="n">
        <v>46000.66645833333</v>
      </c>
      <c r="C618" s="1" t="n">
        <v>46070</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43439-2024</t>
        </is>
      </c>
      <c r="B619" s="1" t="n">
        <v>45568</v>
      </c>
      <c r="C619" s="1" t="n">
        <v>46070</v>
      </c>
      <c r="D619" t="inlineStr">
        <is>
          <t>UPPSALA LÄN</t>
        </is>
      </c>
      <c r="E619" t="inlineStr">
        <is>
          <t>ÖSTHAMMAR</t>
        </is>
      </c>
      <c r="G619" t="n">
        <v>1</v>
      </c>
      <c r="H619" t="n">
        <v>0</v>
      </c>
      <c r="I619" t="n">
        <v>0</v>
      </c>
      <c r="J619" t="n">
        <v>0</v>
      </c>
      <c r="K619" t="n">
        <v>0</v>
      </c>
      <c r="L619" t="n">
        <v>0</v>
      </c>
      <c r="M619" t="n">
        <v>0</v>
      </c>
      <c r="N619" t="n">
        <v>0</v>
      </c>
      <c r="O619" t="n">
        <v>0</v>
      </c>
      <c r="P619" t="n">
        <v>0</v>
      </c>
      <c r="Q619" t="n">
        <v>0</v>
      </c>
      <c r="R619" s="2" t="inlineStr"/>
    </row>
    <row r="620" ht="15" customHeight="1">
      <c r="A620" t="inlineStr">
        <is>
          <t>A 61251-2025</t>
        </is>
      </c>
      <c r="B620" s="1" t="n">
        <v>46000.6669675926</v>
      </c>
      <c r="C620" s="1" t="n">
        <v>46070</v>
      </c>
      <c r="D620" t="inlineStr">
        <is>
          <t>UPPSALA LÄN</t>
        </is>
      </c>
      <c r="E620" t="inlineStr">
        <is>
          <t>ÖSTHAMMAR</t>
        </is>
      </c>
      <c r="F620" t="inlineStr">
        <is>
          <t>Bergvik skog öst AB</t>
        </is>
      </c>
      <c r="G620" t="n">
        <v>22.2</v>
      </c>
      <c r="H620" t="n">
        <v>0</v>
      </c>
      <c r="I620" t="n">
        <v>0</v>
      </c>
      <c r="J620" t="n">
        <v>0</v>
      </c>
      <c r="K620" t="n">
        <v>0</v>
      </c>
      <c r="L620" t="n">
        <v>0</v>
      </c>
      <c r="M620" t="n">
        <v>0</v>
      </c>
      <c r="N620" t="n">
        <v>0</v>
      </c>
      <c r="O620" t="n">
        <v>0</v>
      </c>
      <c r="P620" t="n">
        <v>0</v>
      </c>
      <c r="Q620" t="n">
        <v>0</v>
      </c>
      <c r="R620" s="2" t="inlineStr"/>
    </row>
    <row r="621" ht="15" customHeight="1">
      <c r="A621" t="inlineStr">
        <is>
          <t>A 3642-2026</t>
        </is>
      </c>
      <c r="B621" s="1" t="n">
        <v>46043.35760416667</v>
      </c>
      <c r="C621" s="1" t="n">
        <v>46070</v>
      </c>
      <c r="D621" t="inlineStr">
        <is>
          <t>UPPSALA LÄN</t>
        </is>
      </c>
      <c r="E621" t="inlineStr">
        <is>
          <t>ÖSTHAMMAR</t>
        </is>
      </c>
      <c r="G621" t="n">
        <v>3</v>
      </c>
      <c r="H621" t="n">
        <v>0</v>
      </c>
      <c r="I621" t="n">
        <v>0</v>
      </c>
      <c r="J621" t="n">
        <v>0</v>
      </c>
      <c r="K621" t="n">
        <v>0</v>
      </c>
      <c r="L621" t="n">
        <v>0</v>
      </c>
      <c r="M621" t="n">
        <v>0</v>
      </c>
      <c r="N621" t="n">
        <v>0</v>
      </c>
      <c r="O621" t="n">
        <v>0</v>
      </c>
      <c r="P621" t="n">
        <v>0</v>
      </c>
      <c r="Q621" t="n">
        <v>0</v>
      </c>
      <c r="R621" s="2" t="inlineStr"/>
    </row>
    <row r="622" ht="15" customHeight="1">
      <c r="A622" t="inlineStr">
        <is>
          <t>A 3668-2026</t>
        </is>
      </c>
      <c r="B622" s="1" t="n">
        <v>46043.41212962963</v>
      </c>
      <c r="C622" s="1" t="n">
        <v>46070</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61143-2025</t>
        </is>
      </c>
      <c r="B623" s="1" t="n">
        <v>46000.53084490741</v>
      </c>
      <c r="C623" s="1" t="n">
        <v>46070</v>
      </c>
      <c r="D623" t="inlineStr">
        <is>
          <t>UPPSALA LÄN</t>
        </is>
      </c>
      <c r="E623" t="inlineStr">
        <is>
          <t>ÖSTHAMMAR</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61147-2025</t>
        </is>
      </c>
      <c r="B624" s="1" t="n">
        <v>46000.53493055556</v>
      </c>
      <c r="C624" s="1" t="n">
        <v>46070</v>
      </c>
      <c r="D624" t="inlineStr">
        <is>
          <t>UPPSALA LÄN</t>
        </is>
      </c>
      <c r="E624" t="inlineStr">
        <is>
          <t>ÖSTHAMMAR</t>
        </is>
      </c>
      <c r="F624" t="inlineStr">
        <is>
          <t>Bergvik skog öst AB</t>
        </is>
      </c>
      <c r="G624" t="n">
        <v>10.4</v>
      </c>
      <c r="H624" t="n">
        <v>0</v>
      </c>
      <c r="I624" t="n">
        <v>0</v>
      </c>
      <c r="J624" t="n">
        <v>0</v>
      </c>
      <c r="K624" t="n">
        <v>0</v>
      </c>
      <c r="L624" t="n">
        <v>0</v>
      </c>
      <c r="M624" t="n">
        <v>0</v>
      </c>
      <c r="N624" t="n">
        <v>0</v>
      </c>
      <c r="O624" t="n">
        <v>0</v>
      </c>
      <c r="P624" t="n">
        <v>0</v>
      </c>
      <c r="Q624" t="n">
        <v>0</v>
      </c>
      <c r="R624" s="2" t="inlineStr"/>
    </row>
    <row r="625" ht="15" customHeight="1">
      <c r="A625" t="inlineStr">
        <is>
          <t>A 10290-2025</t>
        </is>
      </c>
      <c r="B625" s="1" t="n">
        <v>45720.41847222222</v>
      </c>
      <c r="C625" s="1" t="n">
        <v>46070</v>
      </c>
      <c r="D625" t="inlineStr">
        <is>
          <t>UPPSALA LÄN</t>
        </is>
      </c>
      <c r="E625" t="inlineStr">
        <is>
          <t>ÖSTHAMMAR</t>
        </is>
      </c>
      <c r="G625" t="n">
        <v>8.6</v>
      </c>
      <c r="H625" t="n">
        <v>0</v>
      </c>
      <c r="I625" t="n">
        <v>0</v>
      </c>
      <c r="J625" t="n">
        <v>0</v>
      </c>
      <c r="K625" t="n">
        <v>0</v>
      </c>
      <c r="L625" t="n">
        <v>0</v>
      </c>
      <c r="M625" t="n">
        <v>0</v>
      </c>
      <c r="N625" t="n">
        <v>0</v>
      </c>
      <c r="O625" t="n">
        <v>0</v>
      </c>
      <c r="P625" t="n">
        <v>0</v>
      </c>
      <c r="Q625" t="n">
        <v>0</v>
      </c>
      <c r="R625" s="2" t="inlineStr"/>
    </row>
    <row r="626" ht="15" customHeight="1">
      <c r="A626" t="inlineStr">
        <is>
          <t>A 17022-2021</t>
        </is>
      </c>
      <c r="B626" s="1" t="n">
        <v>44295.65875</v>
      </c>
      <c r="C626" s="1" t="n">
        <v>46070</v>
      </c>
      <c r="D626" t="inlineStr">
        <is>
          <t>UPPSALA LÄN</t>
        </is>
      </c>
      <c r="E626" t="inlineStr">
        <is>
          <t>ÖSTHAMMAR</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11469-2023</t>
        </is>
      </c>
      <c r="B627" s="1" t="n">
        <v>44993.60099537037</v>
      </c>
      <c r="C627" s="1" t="n">
        <v>46070</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25418-2022</t>
        </is>
      </c>
      <c r="B628" s="1" t="n">
        <v>44732.464375</v>
      </c>
      <c r="C628" s="1" t="n">
        <v>46070</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14859-2025</t>
        </is>
      </c>
      <c r="B629" s="1" t="n">
        <v>45743.42427083333</v>
      </c>
      <c r="C629" s="1" t="n">
        <v>46070</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14671-2022</t>
        </is>
      </c>
      <c r="B630" s="1" t="n">
        <v>44655.80475694445</v>
      </c>
      <c r="C630" s="1" t="n">
        <v>46070</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46399-2023</t>
        </is>
      </c>
      <c r="B631" s="1" t="n">
        <v>45197.49262731482</v>
      </c>
      <c r="C631" s="1" t="n">
        <v>46070</v>
      </c>
      <c r="D631" t="inlineStr">
        <is>
          <t>UPPSALA LÄN</t>
        </is>
      </c>
      <c r="E631" t="inlineStr">
        <is>
          <t>ÖSTHAMMAR</t>
        </is>
      </c>
      <c r="G631" t="n">
        <v>5.8</v>
      </c>
      <c r="H631" t="n">
        <v>0</v>
      </c>
      <c r="I631" t="n">
        <v>0</v>
      </c>
      <c r="J631" t="n">
        <v>0</v>
      </c>
      <c r="K631" t="n">
        <v>0</v>
      </c>
      <c r="L631" t="n">
        <v>0</v>
      </c>
      <c r="M631" t="n">
        <v>0</v>
      </c>
      <c r="N631" t="n">
        <v>0</v>
      </c>
      <c r="O631" t="n">
        <v>0</v>
      </c>
      <c r="P631" t="n">
        <v>0</v>
      </c>
      <c r="Q631" t="n">
        <v>0</v>
      </c>
      <c r="R631" s="2" t="inlineStr"/>
    </row>
    <row r="632" ht="15" customHeight="1">
      <c r="A632" t="inlineStr">
        <is>
          <t>A 45550-2023</t>
        </is>
      </c>
      <c r="B632" s="1" t="n">
        <v>45194.57125</v>
      </c>
      <c r="C632" s="1" t="n">
        <v>46070</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15445-2022</t>
        </is>
      </c>
      <c r="B633" s="1" t="n">
        <v>44660.4987962963</v>
      </c>
      <c r="C633" s="1" t="n">
        <v>46070</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20634-2024</t>
        </is>
      </c>
      <c r="B634" s="1" t="n">
        <v>45436</v>
      </c>
      <c r="C634" s="1" t="n">
        <v>46070</v>
      </c>
      <c r="D634" t="inlineStr">
        <is>
          <t>UPPSALA LÄN</t>
        </is>
      </c>
      <c r="E634" t="inlineStr">
        <is>
          <t>ÖSTHAMMAR</t>
        </is>
      </c>
      <c r="G634" t="n">
        <v>6.5</v>
      </c>
      <c r="H634" t="n">
        <v>0</v>
      </c>
      <c r="I634" t="n">
        <v>0</v>
      </c>
      <c r="J634" t="n">
        <v>0</v>
      </c>
      <c r="K634" t="n">
        <v>0</v>
      </c>
      <c r="L634" t="n">
        <v>0</v>
      </c>
      <c r="M634" t="n">
        <v>0</v>
      </c>
      <c r="N634" t="n">
        <v>0</v>
      </c>
      <c r="O634" t="n">
        <v>0</v>
      </c>
      <c r="P634" t="n">
        <v>0</v>
      </c>
      <c r="Q634" t="n">
        <v>0</v>
      </c>
      <c r="R634" s="2" t="inlineStr"/>
    </row>
    <row r="635" ht="15" customHeight="1">
      <c r="A635" t="inlineStr">
        <is>
          <t>A 18088-2025</t>
        </is>
      </c>
      <c r="B635" s="1" t="n">
        <v>45761.53104166667</v>
      </c>
      <c r="C635" s="1" t="n">
        <v>46070</v>
      </c>
      <c r="D635" t="inlineStr">
        <is>
          <t>UPPSALA LÄN</t>
        </is>
      </c>
      <c r="E635" t="inlineStr">
        <is>
          <t>ÖSTHAMMAR</t>
        </is>
      </c>
      <c r="F635" t="inlineStr">
        <is>
          <t>Bergvik skog öst AB</t>
        </is>
      </c>
      <c r="G635" t="n">
        <v>1.9</v>
      </c>
      <c r="H635" t="n">
        <v>0</v>
      </c>
      <c r="I635" t="n">
        <v>0</v>
      </c>
      <c r="J635" t="n">
        <v>0</v>
      </c>
      <c r="K635" t="n">
        <v>0</v>
      </c>
      <c r="L635" t="n">
        <v>0</v>
      </c>
      <c r="M635" t="n">
        <v>0</v>
      </c>
      <c r="N635" t="n">
        <v>0</v>
      </c>
      <c r="O635" t="n">
        <v>0</v>
      </c>
      <c r="P635" t="n">
        <v>0</v>
      </c>
      <c r="Q635" t="n">
        <v>0</v>
      </c>
      <c r="R635" s="2" t="inlineStr"/>
    </row>
    <row r="636" ht="15" customHeight="1">
      <c r="A636" t="inlineStr">
        <is>
          <t>A 18095-2025</t>
        </is>
      </c>
      <c r="B636" s="1" t="n">
        <v>45761.54925925926</v>
      </c>
      <c r="C636" s="1" t="n">
        <v>46070</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44915.59418981482</v>
      </c>
      <c r="C637" s="1" t="n">
        <v>46070</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32778-2023</t>
        </is>
      </c>
      <c r="B638" s="1" t="n">
        <v>45123.88789351852</v>
      </c>
      <c r="C638" s="1" t="n">
        <v>46070</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1436-2025</t>
        </is>
      </c>
      <c r="B639" s="1" t="n">
        <v>45669.67625</v>
      </c>
      <c r="C639" s="1" t="n">
        <v>46070</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1525-2025</t>
        </is>
      </c>
      <c r="B640" s="1" t="n">
        <v>45670.47300925926</v>
      </c>
      <c r="C640" s="1" t="n">
        <v>46070</v>
      </c>
      <c r="D640" t="inlineStr">
        <is>
          <t>UPPSALA LÄN</t>
        </is>
      </c>
      <c r="E640" t="inlineStr">
        <is>
          <t>ÖSTHAMMAR</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24367-2022</t>
        </is>
      </c>
      <c r="B641" s="1" t="n">
        <v>44726.42716435185</v>
      </c>
      <c r="C641" s="1" t="n">
        <v>46070</v>
      </c>
      <c r="D641" t="inlineStr">
        <is>
          <t>UPPSALA LÄN</t>
        </is>
      </c>
      <c r="E641" t="inlineStr">
        <is>
          <t>ÖSTHAMMAR</t>
        </is>
      </c>
      <c r="G641" t="n">
        <v>2.7</v>
      </c>
      <c r="H641" t="n">
        <v>0</v>
      </c>
      <c r="I641" t="n">
        <v>0</v>
      </c>
      <c r="J641" t="n">
        <v>0</v>
      </c>
      <c r="K641" t="n">
        <v>0</v>
      </c>
      <c r="L641" t="n">
        <v>0</v>
      </c>
      <c r="M641" t="n">
        <v>0</v>
      </c>
      <c r="N641" t="n">
        <v>0</v>
      </c>
      <c r="O641" t="n">
        <v>0</v>
      </c>
      <c r="P641" t="n">
        <v>0</v>
      </c>
      <c r="Q641" t="n">
        <v>0</v>
      </c>
      <c r="R641" s="2" t="inlineStr"/>
    </row>
    <row r="642" ht="15" customHeight="1">
      <c r="A642" t="inlineStr">
        <is>
          <t>A 5933-2022</t>
        </is>
      </c>
      <c r="B642" s="1" t="n">
        <v>44598.82957175926</v>
      </c>
      <c r="C642" s="1" t="n">
        <v>46070</v>
      </c>
      <c r="D642" t="inlineStr">
        <is>
          <t>UPPSALA LÄN</t>
        </is>
      </c>
      <c r="E642" t="inlineStr">
        <is>
          <t>ÖSTHAMMAR</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64774-2023</t>
        </is>
      </c>
      <c r="B643" s="1" t="n">
        <v>45282</v>
      </c>
      <c r="C643" s="1" t="n">
        <v>46070</v>
      </c>
      <c r="D643" t="inlineStr">
        <is>
          <t>UPPSALA LÄN</t>
        </is>
      </c>
      <c r="E643" t="inlineStr">
        <is>
          <t>ÖSTHAMMAR</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27308-2023</t>
        </is>
      </c>
      <c r="B644" s="1" t="n">
        <v>45096.65381944444</v>
      </c>
      <c r="C644" s="1" t="n">
        <v>46070</v>
      </c>
      <c r="D644" t="inlineStr">
        <is>
          <t>UPPSALA LÄN</t>
        </is>
      </c>
      <c r="E644" t="inlineStr">
        <is>
          <t>ÖSTHAMMAR</t>
        </is>
      </c>
      <c r="F644" t="inlineStr">
        <is>
          <t>Bergvik skog öst AB</t>
        </is>
      </c>
      <c r="G644" t="n">
        <v>2.4</v>
      </c>
      <c r="H644" t="n">
        <v>0</v>
      </c>
      <c r="I644" t="n">
        <v>0</v>
      </c>
      <c r="J644" t="n">
        <v>0</v>
      </c>
      <c r="K644" t="n">
        <v>0</v>
      </c>
      <c r="L644" t="n">
        <v>0</v>
      </c>
      <c r="M644" t="n">
        <v>0</v>
      </c>
      <c r="N644" t="n">
        <v>0</v>
      </c>
      <c r="O644" t="n">
        <v>0</v>
      </c>
      <c r="P644" t="n">
        <v>0</v>
      </c>
      <c r="Q644" t="n">
        <v>0</v>
      </c>
      <c r="R644" s="2" t="inlineStr"/>
    </row>
    <row r="645" ht="15" customHeight="1">
      <c r="A645" t="inlineStr">
        <is>
          <t>A 5254-2025</t>
        </is>
      </c>
      <c r="B645" s="1" t="n">
        <v>45692</v>
      </c>
      <c r="C645" s="1" t="n">
        <v>46070</v>
      </c>
      <c r="D645" t="inlineStr">
        <is>
          <t>UPPSALA LÄN</t>
        </is>
      </c>
      <c r="E645" t="inlineStr">
        <is>
          <t>ÖSTHAMMAR</t>
        </is>
      </c>
      <c r="G645" t="n">
        <v>5</v>
      </c>
      <c r="H645" t="n">
        <v>0</v>
      </c>
      <c r="I645" t="n">
        <v>0</v>
      </c>
      <c r="J645" t="n">
        <v>0</v>
      </c>
      <c r="K645" t="n">
        <v>0</v>
      </c>
      <c r="L645" t="n">
        <v>0</v>
      </c>
      <c r="M645" t="n">
        <v>0</v>
      </c>
      <c r="N645" t="n">
        <v>0</v>
      </c>
      <c r="O645" t="n">
        <v>0</v>
      </c>
      <c r="P645" t="n">
        <v>0</v>
      </c>
      <c r="Q645" t="n">
        <v>0</v>
      </c>
      <c r="R645" s="2" t="inlineStr"/>
    </row>
    <row r="646" ht="15" customHeight="1">
      <c r="A646" t="inlineStr">
        <is>
          <t>A 29873-2023</t>
        </is>
      </c>
      <c r="B646" s="1" t="n">
        <v>45107</v>
      </c>
      <c r="C646" s="1" t="n">
        <v>46070</v>
      </c>
      <c r="D646" t="inlineStr">
        <is>
          <t>UPPSALA LÄN</t>
        </is>
      </c>
      <c r="E646" t="inlineStr">
        <is>
          <t>ÖSTHAMMAR</t>
        </is>
      </c>
      <c r="F646" t="inlineStr">
        <is>
          <t>Naturvårdsverket</t>
        </is>
      </c>
      <c r="G646" t="n">
        <v>7.8</v>
      </c>
      <c r="H646" t="n">
        <v>0</v>
      </c>
      <c r="I646" t="n">
        <v>0</v>
      </c>
      <c r="J646" t="n">
        <v>0</v>
      </c>
      <c r="K646" t="n">
        <v>0</v>
      </c>
      <c r="L646" t="n">
        <v>0</v>
      </c>
      <c r="M646" t="n">
        <v>0</v>
      </c>
      <c r="N646" t="n">
        <v>0</v>
      </c>
      <c r="O646" t="n">
        <v>0</v>
      </c>
      <c r="P646" t="n">
        <v>0</v>
      </c>
      <c r="Q646" t="n">
        <v>0</v>
      </c>
      <c r="R646" s="2" t="inlineStr"/>
    </row>
    <row r="647" ht="15" customHeight="1">
      <c r="A647" t="inlineStr">
        <is>
          <t>A 61062-2023</t>
        </is>
      </c>
      <c r="B647" s="1" t="n">
        <v>45259</v>
      </c>
      <c r="C647" s="1" t="n">
        <v>46070</v>
      </c>
      <c r="D647" t="inlineStr">
        <is>
          <t>UPPSALA LÄN</t>
        </is>
      </c>
      <c r="E647" t="inlineStr">
        <is>
          <t>ÖSTHAMMAR</t>
        </is>
      </c>
      <c r="G647" t="n">
        <v>5.3</v>
      </c>
      <c r="H647" t="n">
        <v>0</v>
      </c>
      <c r="I647" t="n">
        <v>0</v>
      </c>
      <c r="J647" t="n">
        <v>0</v>
      </c>
      <c r="K647" t="n">
        <v>0</v>
      </c>
      <c r="L647" t="n">
        <v>0</v>
      </c>
      <c r="M647" t="n">
        <v>0</v>
      </c>
      <c r="N647" t="n">
        <v>0</v>
      </c>
      <c r="O647" t="n">
        <v>0</v>
      </c>
      <c r="P647" t="n">
        <v>0</v>
      </c>
      <c r="Q647" t="n">
        <v>0</v>
      </c>
      <c r="R647" s="2" t="inlineStr"/>
    </row>
    <row r="648" ht="15" customHeight="1">
      <c r="A648" t="inlineStr">
        <is>
          <t>A 55100-2024</t>
        </is>
      </c>
      <c r="B648" s="1" t="n">
        <v>45621.4405787037</v>
      </c>
      <c r="C648" s="1" t="n">
        <v>46070</v>
      </c>
      <c r="D648" t="inlineStr">
        <is>
          <t>UPPSALA LÄN</t>
        </is>
      </c>
      <c r="E648" t="inlineStr">
        <is>
          <t>ÖSTHAMMAR</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31669-2022</t>
        </is>
      </c>
      <c r="B649" s="1" t="n">
        <v>44775</v>
      </c>
      <c r="C649" s="1" t="n">
        <v>46070</v>
      </c>
      <c r="D649" t="inlineStr">
        <is>
          <t>UPPSALA LÄN</t>
        </is>
      </c>
      <c r="E649" t="inlineStr">
        <is>
          <t>ÖSTHAMMAR</t>
        </is>
      </c>
      <c r="G649" t="n">
        <v>6</v>
      </c>
      <c r="H649" t="n">
        <v>0</v>
      </c>
      <c r="I649" t="n">
        <v>0</v>
      </c>
      <c r="J649" t="n">
        <v>0</v>
      </c>
      <c r="K649" t="n">
        <v>0</v>
      </c>
      <c r="L649" t="n">
        <v>0</v>
      </c>
      <c r="M649" t="n">
        <v>0</v>
      </c>
      <c r="N649" t="n">
        <v>0</v>
      </c>
      <c r="O649" t="n">
        <v>0</v>
      </c>
      <c r="P649" t="n">
        <v>0</v>
      </c>
      <c r="Q649" t="n">
        <v>0</v>
      </c>
      <c r="R649" s="2" t="inlineStr"/>
    </row>
    <row r="650" ht="15" customHeight="1">
      <c r="A650" t="inlineStr">
        <is>
          <t>A 18094-2025</t>
        </is>
      </c>
      <c r="B650" s="1" t="n">
        <v>45761.54710648148</v>
      </c>
      <c r="C650" s="1" t="n">
        <v>46070</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67151-2021</t>
        </is>
      </c>
      <c r="B651" s="1" t="n">
        <v>44523</v>
      </c>
      <c r="C651" s="1" t="n">
        <v>46070</v>
      </c>
      <c r="D651" t="inlineStr">
        <is>
          <t>UPPSALA LÄN</t>
        </is>
      </c>
      <c r="E651" t="inlineStr">
        <is>
          <t>ÖSTHAMMAR</t>
        </is>
      </c>
      <c r="G651" t="n">
        <v>2.4</v>
      </c>
      <c r="H651" t="n">
        <v>0</v>
      </c>
      <c r="I651" t="n">
        <v>0</v>
      </c>
      <c r="J651" t="n">
        <v>0</v>
      </c>
      <c r="K651" t="n">
        <v>0</v>
      </c>
      <c r="L651" t="n">
        <v>0</v>
      </c>
      <c r="M651" t="n">
        <v>0</v>
      </c>
      <c r="N651" t="n">
        <v>0</v>
      </c>
      <c r="O651" t="n">
        <v>0</v>
      </c>
      <c r="P651" t="n">
        <v>0</v>
      </c>
      <c r="Q651" t="n">
        <v>0</v>
      </c>
      <c r="R651" s="2" t="inlineStr"/>
    </row>
    <row r="652" ht="15" customHeight="1">
      <c r="A652" t="inlineStr">
        <is>
          <t>A 9542-2023</t>
        </is>
      </c>
      <c r="B652" s="1" t="n">
        <v>44981</v>
      </c>
      <c r="C652" s="1" t="n">
        <v>46070</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36343-2022</t>
        </is>
      </c>
      <c r="B653" s="1" t="n">
        <v>44803.78524305556</v>
      </c>
      <c r="C653" s="1" t="n">
        <v>46070</v>
      </c>
      <c r="D653" t="inlineStr">
        <is>
          <t>UPPSALA LÄN</t>
        </is>
      </c>
      <c r="E653" t="inlineStr">
        <is>
          <t>ÖSTHAMMAR</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16933-2022</t>
        </is>
      </c>
      <c r="B654" s="1" t="n">
        <v>44676</v>
      </c>
      <c r="C654" s="1" t="n">
        <v>46070</v>
      </c>
      <c r="D654" t="inlineStr">
        <is>
          <t>UPPSALA LÄN</t>
        </is>
      </c>
      <c r="E654" t="inlineStr">
        <is>
          <t>ÖSTHAMMAR</t>
        </is>
      </c>
      <c r="G654" t="n">
        <v>1.3</v>
      </c>
      <c r="H654" t="n">
        <v>0</v>
      </c>
      <c r="I654" t="n">
        <v>0</v>
      </c>
      <c r="J654" t="n">
        <v>0</v>
      </c>
      <c r="K654" t="n">
        <v>0</v>
      </c>
      <c r="L654" t="n">
        <v>0</v>
      </c>
      <c r="M654" t="n">
        <v>0</v>
      </c>
      <c r="N654" t="n">
        <v>0</v>
      </c>
      <c r="O654" t="n">
        <v>0</v>
      </c>
      <c r="P654" t="n">
        <v>0</v>
      </c>
      <c r="Q654" t="n">
        <v>0</v>
      </c>
      <c r="R654" s="2" t="inlineStr"/>
    </row>
    <row r="655" ht="15" customHeight="1">
      <c r="A655" t="inlineStr">
        <is>
          <t>A 48083-2024</t>
        </is>
      </c>
      <c r="B655" s="1" t="n">
        <v>45589.58766203704</v>
      </c>
      <c r="C655" s="1" t="n">
        <v>46070</v>
      </c>
      <c r="D655" t="inlineStr">
        <is>
          <t>UPPSALA LÄN</t>
        </is>
      </c>
      <c r="E655" t="inlineStr">
        <is>
          <t>ÖSTHAMMAR</t>
        </is>
      </c>
      <c r="G655" t="n">
        <v>3</v>
      </c>
      <c r="H655" t="n">
        <v>0</v>
      </c>
      <c r="I655" t="n">
        <v>0</v>
      </c>
      <c r="J655" t="n">
        <v>0</v>
      </c>
      <c r="K655" t="n">
        <v>0</v>
      </c>
      <c r="L655" t="n">
        <v>0</v>
      </c>
      <c r="M655" t="n">
        <v>0</v>
      </c>
      <c r="N655" t="n">
        <v>0</v>
      </c>
      <c r="O655" t="n">
        <v>0</v>
      </c>
      <c r="P655" t="n">
        <v>0</v>
      </c>
      <c r="Q655" t="n">
        <v>0</v>
      </c>
      <c r="R655" s="2" t="inlineStr"/>
    </row>
    <row r="656" ht="15" customHeight="1">
      <c r="A656" t="inlineStr">
        <is>
          <t>A 14269-2025</t>
        </is>
      </c>
      <c r="B656" s="1" t="n">
        <v>45740.64078703704</v>
      </c>
      <c r="C656" s="1" t="n">
        <v>46070</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5855-2022</t>
        </is>
      </c>
      <c r="B657" s="1" t="n">
        <v>44596.63290509259</v>
      </c>
      <c r="C657" s="1" t="n">
        <v>46070</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13622-2025</t>
        </is>
      </c>
      <c r="B658" s="1" t="n">
        <v>45736</v>
      </c>
      <c r="C658" s="1" t="n">
        <v>46070</v>
      </c>
      <c r="D658" t="inlineStr">
        <is>
          <t>UPPSALA LÄN</t>
        </is>
      </c>
      <c r="E658" t="inlineStr">
        <is>
          <t>ÖSTHAMMAR</t>
        </is>
      </c>
      <c r="G658" t="n">
        <v>2.6</v>
      </c>
      <c r="H658" t="n">
        <v>0</v>
      </c>
      <c r="I658" t="n">
        <v>0</v>
      </c>
      <c r="J658" t="n">
        <v>0</v>
      </c>
      <c r="K658" t="n">
        <v>0</v>
      </c>
      <c r="L658" t="n">
        <v>0</v>
      </c>
      <c r="M658" t="n">
        <v>0</v>
      </c>
      <c r="N658" t="n">
        <v>0</v>
      </c>
      <c r="O658" t="n">
        <v>0</v>
      </c>
      <c r="P658" t="n">
        <v>0</v>
      </c>
      <c r="Q658" t="n">
        <v>0</v>
      </c>
      <c r="R658" s="2" t="inlineStr"/>
    </row>
    <row r="659" ht="15" customHeight="1">
      <c r="A659" t="inlineStr">
        <is>
          <t>A 56759-2024</t>
        </is>
      </c>
      <c r="B659" s="1" t="n">
        <v>45628.39877314815</v>
      </c>
      <c r="C659" s="1" t="n">
        <v>46070</v>
      </c>
      <c r="D659" t="inlineStr">
        <is>
          <t>UPPSALA LÄN</t>
        </is>
      </c>
      <c r="E659" t="inlineStr">
        <is>
          <t>ÖSTHAMMAR</t>
        </is>
      </c>
      <c r="G659" t="n">
        <v>4.7</v>
      </c>
      <c r="H659" t="n">
        <v>0</v>
      </c>
      <c r="I659" t="n">
        <v>0</v>
      </c>
      <c r="J659" t="n">
        <v>0</v>
      </c>
      <c r="K659" t="n">
        <v>0</v>
      </c>
      <c r="L659" t="n">
        <v>0</v>
      </c>
      <c r="M659" t="n">
        <v>0</v>
      </c>
      <c r="N659" t="n">
        <v>0</v>
      </c>
      <c r="O659" t="n">
        <v>0</v>
      </c>
      <c r="P659" t="n">
        <v>0</v>
      </c>
      <c r="Q659" t="n">
        <v>0</v>
      </c>
      <c r="R659" s="2" t="inlineStr"/>
    </row>
    <row r="660" ht="15" customHeight="1">
      <c r="A660" t="inlineStr">
        <is>
          <t>A 10275-2025</t>
        </is>
      </c>
      <c r="B660" s="1" t="n">
        <v>45720.39715277778</v>
      </c>
      <c r="C660" s="1" t="n">
        <v>46070</v>
      </c>
      <c r="D660" t="inlineStr">
        <is>
          <t>UPPSALA LÄN</t>
        </is>
      </c>
      <c r="E660" t="inlineStr">
        <is>
          <t>ÖSTHAMMAR</t>
        </is>
      </c>
      <c r="G660" t="n">
        <v>6.2</v>
      </c>
      <c r="H660" t="n">
        <v>0</v>
      </c>
      <c r="I660" t="n">
        <v>0</v>
      </c>
      <c r="J660" t="n">
        <v>0</v>
      </c>
      <c r="K660" t="n">
        <v>0</v>
      </c>
      <c r="L660" t="n">
        <v>0</v>
      </c>
      <c r="M660" t="n">
        <v>0</v>
      </c>
      <c r="N660" t="n">
        <v>0</v>
      </c>
      <c r="O660" t="n">
        <v>0</v>
      </c>
      <c r="P660" t="n">
        <v>0</v>
      </c>
      <c r="Q660" t="n">
        <v>0</v>
      </c>
      <c r="R660" s="2" t="inlineStr"/>
    </row>
    <row r="661" ht="15" customHeight="1">
      <c r="A661" t="inlineStr">
        <is>
          <t>A 24493-2023</t>
        </is>
      </c>
      <c r="B661" s="1" t="n">
        <v>45082.62603009259</v>
      </c>
      <c r="C661" s="1" t="n">
        <v>46070</v>
      </c>
      <c r="D661" t="inlineStr">
        <is>
          <t>UPPSALA LÄN</t>
        </is>
      </c>
      <c r="E661" t="inlineStr">
        <is>
          <t>ÖSTHAMMAR</t>
        </is>
      </c>
      <c r="G661" t="n">
        <v>1.9</v>
      </c>
      <c r="H661" t="n">
        <v>0</v>
      </c>
      <c r="I661" t="n">
        <v>0</v>
      </c>
      <c r="J661" t="n">
        <v>0</v>
      </c>
      <c r="K661" t="n">
        <v>0</v>
      </c>
      <c r="L661" t="n">
        <v>0</v>
      </c>
      <c r="M661" t="n">
        <v>0</v>
      </c>
      <c r="N661" t="n">
        <v>0</v>
      </c>
      <c r="O661" t="n">
        <v>0</v>
      </c>
      <c r="P661" t="n">
        <v>0</v>
      </c>
      <c r="Q661" t="n">
        <v>0</v>
      </c>
      <c r="R661" s="2" t="inlineStr"/>
    </row>
    <row r="662" ht="15" customHeight="1">
      <c r="A662" t="inlineStr">
        <is>
          <t>A 7560-2023</t>
        </is>
      </c>
      <c r="B662" s="1" t="n">
        <v>44972.34811342593</v>
      </c>
      <c r="C662" s="1" t="n">
        <v>46070</v>
      </c>
      <c r="D662" t="inlineStr">
        <is>
          <t>UPPSALA LÄN</t>
        </is>
      </c>
      <c r="E662" t="inlineStr">
        <is>
          <t>ÖSTHAMMAR</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19040-2023</t>
        </is>
      </c>
      <c r="B663" s="1" t="n">
        <v>45047</v>
      </c>
      <c r="C663" s="1" t="n">
        <v>46070</v>
      </c>
      <c r="D663" t="inlineStr">
        <is>
          <t>UPPSALA LÄN</t>
        </is>
      </c>
      <c r="E663" t="inlineStr">
        <is>
          <t>ÖSTHAMMAR</t>
        </is>
      </c>
      <c r="F663" t="inlineStr">
        <is>
          <t>Bergvik skog öst AB</t>
        </is>
      </c>
      <c r="G663" t="n">
        <v>1.7</v>
      </c>
      <c r="H663" t="n">
        <v>0</v>
      </c>
      <c r="I663" t="n">
        <v>0</v>
      </c>
      <c r="J663" t="n">
        <v>0</v>
      </c>
      <c r="K663" t="n">
        <v>0</v>
      </c>
      <c r="L663" t="n">
        <v>0</v>
      </c>
      <c r="M663" t="n">
        <v>0</v>
      </c>
      <c r="N663" t="n">
        <v>0</v>
      </c>
      <c r="O663" t="n">
        <v>0</v>
      </c>
      <c r="P663" t="n">
        <v>0</v>
      </c>
      <c r="Q663" t="n">
        <v>0</v>
      </c>
      <c r="R663" s="2" t="inlineStr"/>
    </row>
    <row r="664" ht="15" customHeight="1">
      <c r="A664" t="inlineStr">
        <is>
          <t>A 4004-2023</t>
        </is>
      </c>
      <c r="B664" s="1" t="n">
        <v>44952</v>
      </c>
      <c r="C664" s="1" t="n">
        <v>46070</v>
      </c>
      <c r="D664" t="inlineStr">
        <is>
          <t>UPPSALA LÄN</t>
        </is>
      </c>
      <c r="E664" t="inlineStr">
        <is>
          <t>ÖSTHAMMAR</t>
        </is>
      </c>
      <c r="G664" t="n">
        <v>4.1</v>
      </c>
      <c r="H664" t="n">
        <v>0</v>
      </c>
      <c r="I664" t="n">
        <v>0</v>
      </c>
      <c r="J664" t="n">
        <v>0</v>
      </c>
      <c r="K664" t="n">
        <v>0</v>
      </c>
      <c r="L664" t="n">
        <v>0</v>
      </c>
      <c r="M664" t="n">
        <v>0</v>
      </c>
      <c r="N664" t="n">
        <v>0</v>
      </c>
      <c r="O664" t="n">
        <v>0</v>
      </c>
      <c r="P664" t="n">
        <v>0</v>
      </c>
      <c r="Q664" t="n">
        <v>0</v>
      </c>
      <c r="R664" s="2" t="inlineStr"/>
    </row>
    <row r="665" ht="15" customHeight="1">
      <c r="A665" t="inlineStr">
        <is>
          <t>A 31549-2022</t>
        </is>
      </c>
      <c r="B665" s="1" t="n">
        <v>44775.400625</v>
      </c>
      <c r="C665" s="1" t="n">
        <v>46070</v>
      </c>
      <c r="D665" t="inlineStr">
        <is>
          <t>UPPSALA LÄN</t>
        </is>
      </c>
      <c r="E665" t="inlineStr">
        <is>
          <t>ÖSTHAMMAR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36857-2023</t>
        </is>
      </c>
      <c r="B666" s="1" t="n">
        <v>45154.55175925926</v>
      </c>
      <c r="C666" s="1" t="n">
        <v>46070</v>
      </c>
      <c r="D666" t="inlineStr">
        <is>
          <t>UPPSALA LÄN</t>
        </is>
      </c>
      <c r="E666" t="inlineStr">
        <is>
          <t>ÖSTHAMMAR</t>
        </is>
      </c>
      <c r="G666" t="n">
        <v>0.5</v>
      </c>
      <c r="H666" t="n">
        <v>0</v>
      </c>
      <c r="I666" t="n">
        <v>0</v>
      </c>
      <c r="J666" t="n">
        <v>0</v>
      </c>
      <c r="K666" t="n">
        <v>0</v>
      </c>
      <c r="L666" t="n">
        <v>0</v>
      </c>
      <c r="M666" t="n">
        <v>0</v>
      </c>
      <c r="N666" t="n">
        <v>0</v>
      </c>
      <c r="O666" t="n">
        <v>0</v>
      </c>
      <c r="P666" t="n">
        <v>0</v>
      </c>
      <c r="Q666" t="n">
        <v>0</v>
      </c>
      <c r="R666" s="2" t="inlineStr"/>
    </row>
    <row r="667" ht="15" customHeight="1">
      <c r="A667" t="inlineStr">
        <is>
          <t>A 1800-2023</t>
        </is>
      </c>
      <c r="B667" s="1" t="n">
        <v>44938</v>
      </c>
      <c r="C667" s="1" t="n">
        <v>46070</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8699-2025</t>
        </is>
      </c>
      <c r="B668" s="1" t="n">
        <v>45712.47983796296</v>
      </c>
      <c r="C668" s="1" t="n">
        <v>46070</v>
      </c>
      <c r="D668" t="inlineStr">
        <is>
          <t>UPPSALA LÄN</t>
        </is>
      </c>
      <c r="E668" t="inlineStr">
        <is>
          <t>ÖSTHAMMAR</t>
        </is>
      </c>
      <c r="G668" t="n">
        <v>5.6</v>
      </c>
      <c r="H668" t="n">
        <v>0</v>
      </c>
      <c r="I668" t="n">
        <v>0</v>
      </c>
      <c r="J668" t="n">
        <v>0</v>
      </c>
      <c r="K668" t="n">
        <v>0</v>
      </c>
      <c r="L668" t="n">
        <v>0</v>
      </c>
      <c r="M668" t="n">
        <v>0</v>
      </c>
      <c r="N668" t="n">
        <v>0</v>
      </c>
      <c r="O668" t="n">
        <v>0</v>
      </c>
      <c r="P668" t="n">
        <v>0</v>
      </c>
      <c r="Q668" t="n">
        <v>0</v>
      </c>
      <c r="R668" s="2" t="inlineStr"/>
    </row>
    <row r="669" ht="15" customHeight="1">
      <c r="A669" t="inlineStr">
        <is>
          <t>A 8791-2025</t>
        </is>
      </c>
      <c r="B669" s="1" t="n">
        <v>45712</v>
      </c>
      <c r="C669" s="1" t="n">
        <v>46070</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31485-2023</t>
        </is>
      </c>
      <c r="B670" s="1" t="n">
        <v>45114</v>
      </c>
      <c r="C670" s="1" t="n">
        <v>46070</v>
      </c>
      <c r="D670" t="inlineStr">
        <is>
          <t>UPPSALA LÄN</t>
        </is>
      </c>
      <c r="E670" t="inlineStr">
        <is>
          <t>ÖSTHAMMAR</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25897-2023</t>
        </is>
      </c>
      <c r="B671" s="1" t="n">
        <v>45090.63300925926</v>
      </c>
      <c r="C671" s="1" t="n">
        <v>46070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4101-2022</t>
        </is>
      </c>
      <c r="B672" s="1" t="n">
        <v>44588</v>
      </c>
      <c r="C672" s="1" t="n">
        <v>46070</v>
      </c>
      <c r="D672" t="inlineStr">
        <is>
          <t>UPPSALA LÄN</t>
        </is>
      </c>
      <c r="E672" t="inlineStr">
        <is>
          <t>ÖSTHAMMAR</t>
        </is>
      </c>
      <c r="G672" t="n">
        <v>4.4</v>
      </c>
      <c r="H672" t="n">
        <v>0</v>
      </c>
      <c r="I672" t="n">
        <v>0</v>
      </c>
      <c r="J672" t="n">
        <v>0</v>
      </c>
      <c r="K672" t="n">
        <v>0</v>
      </c>
      <c r="L672" t="n">
        <v>0</v>
      </c>
      <c r="M672" t="n">
        <v>0</v>
      </c>
      <c r="N672" t="n">
        <v>0</v>
      </c>
      <c r="O672" t="n">
        <v>0</v>
      </c>
      <c r="P672" t="n">
        <v>0</v>
      </c>
      <c r="Q672" t="n">
        <v>0</v>
      </c>
      <c r="R672" s="2" t="inlineStr"/>
    </row>
    <row r="673" ht="15" customHeight="1">
      <c r="A673" t="inlineStr">
        <is>
          <t>A 2839-2025</t>
        </is>
      </c>
      <c r="B673" s="1" t="n">
        <v>45677</v>
      </c>
      <c r="C673" s="1" t="n">
        <v>46070</v>
      </c>
      <c r="D673" t="inlineStr">
        <is>
          <t>UPPSALA LÄN</t>
        </is>
      </c>
      <c r="E673" t="inlineStr">
        <is>
          <t>ÖSTHAMMAR</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67848-2021</t>
        </is>
      </c>
      <c r="B674" s="1" t="n">
        <v>44525</v>
      </c>
      <c r="C674" s="1" t="n">
        <v>46070</v>
      </c>
      <c r="D674" t="inlineStr">
        <is>
          <t>UPPSALA LÄN</t>
        </is>
      </c>
      <c r="E674" t="inlineStr">
        <is>
          <t>ÖSTHAMMAR</t>
        </is>
      </c>
      <c r="G674" t="n">
        <v>1</v>
      </c>
      <c r="H674" t="n">
        <v>0</v>
      </c>
      <c r="I674" t="n">
        <v>0</v>
      </c>
      <c r="J674" t="n">
        <v>0</v>
      </c>
      <c r="K674" t="n">
        <v>0</v>
      </c>
      <c r="L674" t="n">
        <v>0</v>
      </c>
      <c r="M674" t="n">
        <v>0</v>
      </c>
      <c r="N674" t="n">
        <v>0</v>
      </c>
      <c r="O674" t="n">
        <v>0</v>
      </c>
      <c r="P674" t="n">
        <v>0</v>
      </c>
      <c r="Q674" t="n">
        <v>0</v>
      </c>
      <c r="R674" s="2" t="inlineStr"/>
    </row>
    <row r="675" ht="15" customHeight="1">
      <c r="A675" t="inlineStr">
        <is>
          <t>A 38600-2023</t>
        </is>
      </c>
      <c r="B675" s="1" t="n">
        <v>45162</v>
      </c>
      <c r="C675" s="1" t="n">
        <v>46070</v>
      </c>
      <c r="D675" t="inlineStr">
        <is>
          <t>UPPSALA LÄN</t>
        </is>
      </c>
      <c r="E675" t="inlineStr">
        <is>
          <t>ÖSTHAMMAR</t>
        </is>
      </c>
      <c r="F675" t="inlineStr">
        <is>
          <t>Bergvik skog väst AB</t>
        </is>
      </c>
      <c r="G675" t="n">
        <v>0.1</v>
      </c>
      <c r="H675" t="n">
        <v>0</v>
      </c>
      <c r="I675" t="n">
        <v>0</v>
      </c>
      <c r="J675" t="n">
        <v>0</v>
      </c>
      <c r="K675" t="n">
        <v>0</v>
      </c>
      <c r="L675" t="n">
        <v>0</v>
      </c>
      <c r="M675" t="n">
        <v>0</v>
      </c>
      <c r="N675" t="n">
        <v>0</v>
      </c>
      <c r="O675" t="n">
        <v>0</v>
      </c>
      <c r="P675" t="n">
        <v>0</v>
      </c>
      <c r="Q675" t="n">
        <v>0</v>
      </c>
      <c r="R675" s="2" t="inlineStr"/>
    </row>
    <row r="676" ht="15" customHeight="1">
      <c r="A676" t="inlineStr">
        <is>
          <t>A 64811-2021</t>
        </is>
      </c>
      <c r="B676" s="1" t="n">
        <v>44512</v>
      </c>
      <c r="C676" s="1" t="n">
        <v>46070</v>
      </c>
      <c r="D676" t="inlineStr">
        <is>
          <t>UPPSALA LÄN</t>
        </is>
      </c>
      <c r="E676" t="inlineStr">
        <is>
          <t>ÖSTHAMMAR</t>
        </is>
      </c>
      <c r="G676" t="n">
        <v>4.2</v>
      </c>
      <c r="H676" t="n">
        <v>0</v>
      </c>
      <c r="I676" t="n">
        <v>0</v>
      </c>
      <c r="J676" t="n">
        <v>0</v>
      </c>
      <c r="K676" t="n">
        <v>0</v>
      </c>
      <c r="L676" t="n">
        <v>0</v>
      </c>
      <c r="M676" t="n">
        <v>0</v>
      </c>
      <c r="N676" t="n">
        <v>0</v>
      </c>
      <c r="O676" t="n">
        <v>0</v>
      </c>
      <c r="P676" t="n">
        <v>0</v>
      </c>
      <c r="Q676" t="n">
        <v>0</v>
      </c>
      <c r="R676" s="2" t="inlineStr"/>
    </row>
    <row r="677" ht="15" customHeight="1">
      <c r="A677" t="inlineStr">
        <is>
          <t>A 56382-2022</t>
        </is>
      </c>
      <c r="B677" s="1" t="n">
        <v>44890.75795138889</v>
      </c>
      <c r="C677" s="1" t="n">
        <v>46070</v>
      </c>
      <c r="D677" t="inlineStr">
        <is>
          <t>UPPSALA LÄN</t>
        </is>
      </c>
      <c r="E677" t="inlineStr">
        <is>
          <t>ÖSTHAMMAR</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57043-2022</t>
        </is>
      </c>
      <c r="B678" s="1" t="n">
        <v>44895.36748842592</v>
      </c>
      <c r="C678" s="1" t="n">
        <v>46070</v>
      </c>
      <c r="D678" t="inlineStr">
        <is>
          <t>UPPSALA LÄN</t>
        </is>
      </c>
      <c r="E678" t="inlineStr">
        <is>
          <t>ÖSTHAMMAR</t>
        </is>
      </c>
      <c r="F678" t="inlineStr">
        <is>
          <t>Bergvik skog öst AB</t>
        </is>
      </c>
      <c r="G678" t="n">
        <v>5.7</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44908.69575231482</v>
      </c>
      <c r="C679" s="1" t="n">
        <v>46070</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7944-2023</t>
        </is>
      </c>
      <c r="B680" s="1" t="n">
        <v>44973.66458333333</v>
      </c>
      <c r="C680" s="1" t="n">
        <v>46070</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52659-2021</t>
        </is>
      </c>
      <c r="B681" s="1" t="n">
        <v>44466</v>
      </c>
      <c r="C681" s="1" t="n">
        <v>46070</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7216-2025</t>
        </is>
      </c>
      <c r="B682" s="1" t="n">
        <v>45702.47630787037</v>
      </c>
      <c r="C682" s="1" t="n">
        <v>46070</v>
      </c>
      <c r="D682" t="inlineStr">
        <is>
          <t>UPPSALA LÄN</t>
        </is>
      </c>
      <c r="E682" t="inlineStr">
        <is>
          <t>ÖSTHAMMAR</t>
        </is>
      </c>
      <c r="F682" t="inlineStr">
        <is>
          <t>Övriga Aktiebolag</t>
        </is>
      </c>
      <c r="G682" t="n">
        <v>12.5</v>
      </c>
      <c r="H682" t="n">
        <v>0</v>
      </c>
      <c r="I682" t="n">
        <v>0</v>
      </c>
      <c r="J682" t="n">
        <v>0</v>
      </c>
      <c r="K682" t="n">
        <v>0</v>
      </c>
      <c r="L682" t="n">
        <v>0</v>
      </c>
      <c r="M682" t="n">
        <v>0</v>
      </c>
      <c r="N682" t="n">
        <v>0</v>
      </c>
      <c r="O682" t="n">
        <v>0</v>
      </c>
      <c r="P682" t="n">
        <v>0</v>
      </c>
      <c r="Q682" t="n">
        <v>0</v>
      </c>
      <c r="R682" s="2" t="inlineStr"/>
    </row>
    <row r="683" ht="15" customHeight="1">
      <c r="A683" t="inlineStr">
        <is>
          <t>A 73965-2021</t>
        </is>
      </c>
      <c r="B683" s="1" t="n">
        <v>44553.80824074074</v>
      </c>
      <c r="C683" s="1" t="n">
        <v>46070</v>
      </c>
      <c r="D683" t="inlineStr">
        <is>
          <t>UPPSALA LÄN</t>
        </is>
      </c>
      <c r="E683" t="inlineStr">
        <is>
          <t>ÖSTHAMMAR</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3418-2025</t>
        </is>
      </c>
      <c r="B684" s="1" t="n">
        <v>45680</v>
      </c>
      <c r="C684" s="1" t="n">
        <v>46070</v>
      </c>
      <c r="D684" t="inlineStr">
        <is>
          <t>UPPSALA LÄN</t>
        </is>
      </c>
      <c r="E684" t="inlineStr">
        <is>
          <t>ÖSTHAMMAR</t>
        </is>
      </c>
      <c r="F684" t="inlineStr">
        <is>
          <t>Bergvik skog väst AB</t>
        </is>
      </c>
      <c r="G684" t="n">
        <v>0.4</v>
      </c>
      <c r="H684" t="n">
        <v>0</v>
      </c>
      <c r="I684" t="n">
        <v>0</v>
      </c>
      <c r="J684" t="n">
        <v>0</v>
      </c>
      <c r="K684" t="n">
        <v>0</v>
      </c>
      <c r="L684" t="n">
        <v>0</v>
      </c>
      <c r="M684" t="n">
        <v>0</v>
      </c>
      <c r="N684" t="n">
        <v>0</v>
      </c>
      <c r="O684" t="n">
        <v>0</v>
      </c>
      <c r="P684" t="n">
        <v>0</v>
      </c>
      <c r="Q684" t="n">
        <v>0</v>
      </c>
      <c r="R684" s="2" t="inlineStr"/>
    </row>
    <row r="685" ht="15" customHeight="1">
      <c r="A685" t="inlineStr">
        <is>
          <t>A 3420-2025</t>
        </is>
      </c>
      <c r="B685" s="1" t="n">
        <v>45680</v>
      </c>
      <c r="C685" s="1" t="n">
        <v>46070</v>
      </c>
      <c r="D685" t="inlineStr">
        <is>
          <t>UPPSALA LÄN</t>
        </is>
      </c>
      <c r="E685" t="inlineStr">
        <is>
          <t>ÖSTHAMMAR</t>
        </is>
      </c>
      <c r="F685" t="inlineStr">
        <is>
          <t>Bergvik skog väst AB</t>
        </is>
      </c>
      <c r="G685" t="n">
        <v>3.6</v>
      </c>
      <c r="H685" t="n">
        <v>0</v>
      </c>
      <c r="I685" t="n">
        <v>0</v>
      </c>
      <c r="J685" t="n">
        <v>0</v>
      </c>
      <c r="K685" t="n">
        <v>0</v>
      </c>
      <c r="L685" t="n">
        <v>0</v>
      </c>
      <c r="M685" t="n">
        <v>0</v>
      </c>
      <c r="N685" t="n">
        <v>0</v>
      </c>
      <c r="O685" t="n">
        <v>0</v>
      </c>
      <c r="P685" t="n">
        <v>0</v>
      </c>
      <c r="Q685" t="n">
        <v>0</v>
      </c>
      <c r="R685" s="2" t="inlineStr"/>
    </row>
    <row r="686" ht="15" customHeight="1">
      <c r="A686" t="inlineStr">
        <is>
          <t>A 5303-2025</t>
        </is>
      </c>
      <c r="B686" s="1" t="n">
        <v>45692</v>
      </c>
      <c r="C686" s="1" t="n">
        <v>46070</v>
      </c>
      <c r="D686" t="inlineStr">
        <is>
          <t>UPPSALA LÄN</t>
        </is>
      </c>
      <c r="E686" t="inlineStr">
        <is>
          <t>ÖSTHAMMAR</t>
        </is>
      </c>
      <c r="G686" t="n">
        <v>5</v>
      </c>
      <c r="H686" t="n">
        <v>0</v>
      </c>
      <c r="I686" t="n">
        <v>0</v>
      </c>
      <c r="J686" t="n">
        <v>0</v>
      </c>
      <c r="K686" t="n">
        <v>0</v>
      </c>
      <c r="L686" t="n">
        <v>0</v>
      </c>
      <c r="M686" t="n">
        <v>0</v>
      </c>
      <c r="N686" t="n">
        <v>0</v>
      </c>
      <c r="O686" t="n">
        <v>0</v>
      </c>
      <c r="P686" t="n">
        <v>0</v>
      </c>
      <c r="Q686" t="n">
        <v>0</v>
      </c>
      <c r="R686" s="2" t="inlineStr"/>
    </row>
    <row r="687" ht="15" customHeight="1">
      <c r="A687" t="inlineStr">
        <is>
          <t>A 52661-2022</t>
        </is>
      </c>
      <c r="B687" s="1" t="n">
        <v>44874</v>
      </c>
      <c r="C687" s="1" t="n">
        <v>46070</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65028-2021</t>
        </is>
      </c>
      <c r="B688" s="1" t="n">
        <v>44515</v>
      </c>
      <c r="C688" s="1" t="n">
        <v>46070</v>
      </c>
      <c r="D688" t="inlineStr">
        <is>
          <t>UPPSALA LÄN</t>
        </is>
      </c>
      <c r="E688" t="inlineStr">
        <is>
          <t>ÖSTHAMMAR</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40547-2023</t>
        </is>
      </c>
      <c r="B689" s="1" t="n">
        <v>45170.45050925926</v>
      </c>
      <c r="C689" s="1" t="n">
        <v>46070</v>
      </c>
      <c r="D689" t="inlineStr">
        <is>
          <t>UPPSALA LÄN</t>
        </is>
      </c>
      <c r="E689" t="inlineStr">
        <is>
          <t>ÖSTHAMMAR</t>
        </is>
      </c>
      <c r="G689" t="n">
        <v>2.1</v>
      </c>
      <c r="H689" t="n">
        <v>0</v>
      </c>
      <c r="I689" t="n">
        <v>0</v>
      </c>
      <c r="J689" t="n">
        <v>0</v>
      </c>
      <c r="K689" t="n">
        <v>0</v>
      </c>
      <c r="L689" t="n">
        <v>0</v>
      </c>
      <c r="M689" t="n">
        <v>0</v>
      </c>
      <c r="N689" t="n">
        <v>0</v>
      </c>
      <c r="O689" t="n">
        <v>0</v>
      </c>
      <c r="P689" t="n">
        <v>0</v>
      </c>
      <c r="Q689" t="n">
        <v>0</v>
      </c>
      <c r="R689" s="2" t="inlineStr"/>
    </row>
    <row r="690" ht="15" customHeight="1">
      <c r="A690" t="inlineStr">
        <is>
          <t>A 8874-2025</t>
        </is>
      </c>
      <c r="B690" s="1" t="n">
        <v>45713</v>
      </c>
      <c r="C690" s="1" t="n">
        <v>46070</v>
      </c>
      <c r="D690" t="inlineStr">
        <is>
          <t>UPPSALA LÄN</t>
        </is>
      </c>
      <c r="E690" t="inlineStr">
        <is>
          <t>ÖSTHAMMAR</t>
        </is>
      </c>
      <c r="G690" t="n">
        <v>6.3</v>
      </c>
      <c r="H690" t="n">
        <v>0</v>
      </c>
      <c r="I690" t="n">
        <v>0</v>
      </c>
      <c r="J690" t="n">
        <v>0</v>
      </c>
      <c r="K690" t="n">
        <v>0</v>
      </c>
      <c r="L690" t="n">
        <v>0</v>
      </c>
      <c r="M690" t="n">
        <v>0</v>
      </c>
      <c r="N690" t="n">
        <v>0</v>
      </c>
      <c r="O690" t="n">
        <v>0</v>
      </c>
      <c r="P690" t="n">
        <v>0</v>
      </c>
      <c r="Q690" t="n">
        <v>0</v>
      </c>
      <c r="R690" s="2" t="inlineStr"/>
    </row>
    <row r="691" ht="15" customHeight="1">
      <c r="A691" t="inlineStr">
        <is>
          <t>A 14505-2023</t>
        </is>
      </c>
      <c r="B691" s="1" t="n">
        <v>45012.7975</v>
      </c>
      <c r="C691" s="1" t="n">
        <v>46070</v>
      </c>
      <c r="D691" t="inlineStr">
        <is>
          <t>UPPSALA LÄN</t>
        </is>
      </c>
      <c r="E691" t="inlineStr">
        <is>
          <t>ÖSTHAMMAR</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47341-2023</t>
        </is>
      </c>
      <c r="B692" s="1" t="n">
        <v>45202.55721064815</v>
      </c>
      <c r="C692" s="1" t="n">
        <v>46070</v>
      </c>
      <c r="D692" t="inlineStr">
        <is>
          <t>UPPSALA LÄN</t>
        </is>
      </c>
      <c r="E692" t="inlineStr">
        <is>
          <t>ÖSTHAMMAR</t>
        </is>
      </c>
      <c r="G692" t="n">
        <v>4.9</v>
      </c>
      <c r="H692" t="n">
        <v>0</v>
      </c>
      <c r="I692" t="n">
        <v>0</v>
      </c>
      <c r="J692" t="n">
        <v>0</v>
      </c>
      <c r="K692" t="n">
        <v>0</v>
      </c>
      <c r="L692" t="n">
        <v>0</v>
      </c>
      <c r="M692" t="n">
        <v>0</v>
      </c>
      <c r="N692" t="n">
        <v>0</v>
      </c>
      <c r="O692" t="n">
        <v>0</v>
      </c>
      <c r="P692" t="n">
        <v>0</v>
      </c>
      <c r="Q692" t="n">
        <v>0</v>
      </c>
      <c r="R692" s="2" t="inlineStr"/>
    </row>
    <row r="693" ht="15" customHeight="1">
      <c r="A693" t="inlineStr">
        <is>
          <t>A 3732-2022</t>
        </is>
      </c>
      <c r="B693" s="1" t="n">
        <v>44586.64851851852</v>
      </c>
      <c r="C693" s="1" t="n">
        <v>46070</v>
      </c>
      <c r="D693" t="inlineStr">
        <is>
          <t>UPPSALA LÄN</t>
        </is>
      </c>
      <c r="E693" t="inlineStr">
        <is>
          <t>ÖSTHAMMAR</t>
        </is>
      </c>
      <c r="F693" t="inlineStr">
        <is>
          <t>Bergvik skog öst AB</t>
        </is>
      </c>
      <c r="G693" t="n">
        <v>3.6</v>
      </c>
      <c r="H693" t="n">
        <v>0</v>
      </c>
      <c r="I693" t="n">
        <v>0</v>
      </c>
      <c r="J693" t="n">
        <v>0</v>
      </c>
      <c r="K693" t="n">
        <v>0</v>
      </c>
      <c r="L693" t="n">
        <v>0</v>
      </c>
      <c r="M693" t="n">
        <v>0</v>
      </c>
      <c r="N693" t="n">
        <v>0</v>
      </c>
      <c r="O693" t="n">
        <v>0</v>
      </c>
      <c r="P693" t="n">
        <v>0</v>
      </c>
      <c r="Q693" t="n">
        <v>0</v>
      </c>
      <c r="R693" s="2" t="inlineStr"/>
    </row>
    <row r="694" ht="15" customHeight="1">
      <c r="A694" t="inlineStr">
        <is>
          <t>A 33056-2021</t>
        </is>
      </c>
      <c r="B694" s="1" t="n">
        <v>44376.52438657408</v>
      </c>
      <c r="C694" s="1" t="n">
        <v>46070</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25269-2024</t>
        </is>
      </c>
      <c r="B695" s="1" t="n">
        <v>45462</v>
      </c>
      <c r="C695" s="1" t="n">
        <v>46070</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46070</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22804-2022</t>
        </is>
      </c>
      <c r="B697" s="1" t="n">
        <v>44715</v>
      </c>
      <c r="C697" s="1" t="n">
        <v>46070</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45795-2023</t>
        </is>
      </c>
      <c r="B698" s="1" t="n">
        <v>45195</v>
      </c>
      <c r="C698" s="1" t="n">
        <v>46070</v>
      </c>
      <c r="D698" t="inlineStr">
        <is>
          <t>UPPSALA LÄN</t>
        </is>
      </c>
      <c r="E698" t="inlineStr">
        <is>
          <t>ÖSTHAMMAR</t>
        </is>
      </c>
      <c r="G698" t="n">
        <v>4</v>
      </c>
      <c r="H698" t="n">
        <v>0</v>
      </c>
      <c r="I698" t="n">
        <v>0</v>
      </c>
      <c r="J698" t="n">
        <v>0</v>
      </c>
      <c r="K698" t="n">
        <v>0</v>
      </c>
      <c r="L698" t="n">
        <v>0</v>
      </c>
      <c r="M698" t="n">
        <v>0</v>
      </c>
      <c r="N698" t="n">
        <v>0</v>
      </c>
      <c r="O698" t="n">
        <v>0</v>
      </c>
      <c r="P698" t="n">
        <v>0</v>
      </c>
      <c r="Q698" t="n">
        <v>0</v>
      </c>
      <c r="R698" s="2" t="inlineStr"/>
    </row>
    <row r="699" ht="15" customHeight="1">
      <c r="A699" t="inlineStr">
        <is>
          <t>A 7997-2022</t>
        </is>
      </c>
      <c r="B699" s="1" t="n">
        <v>44609</v>
      </c>
      <c r="C699" s="1" t="n">
        <v>46070</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67199-2021</t>
        </is>
      </c>
      <c r="B700" s="1" t="n">
        <v>44523.46197916667</v>
      </c>
      <c r="C700" s="1" t="n">
        <v>46070</v>
      </c>
      <c r="D700" t="inlineStr">
        <is>
          <t>UPPSALA LÄN</t>
        </is>
      </c>
      <c r="E700" t="inlineStr">
        <is>
          <t>ÖSTHAMMAR</t>
        </is>
      </c>
      <c r="G700" t="n">
        <v>2.3</v>
      </c>
      <c r="H700" t="n">
        <v>0</v>
      </c>
      <c r="I700" t="n">
        <v>0</v>
      </c>
      <c r="J700" t="n">
        <v>0</v>
      </c>
      <c r="K700" t="n">
        <v>0</v>
      </c>
      <c r="L700" t="n">
        <v>0</v>
      </c>
      <c r="M700" t="n">
        <v>0</v>
      </c>
      <c r="N700" t="n">
        <v>0</v>
      </c>
      <c r="O700" t="n">
        <v>0</v>
      </c>
      <c r="P700" t="n">
        <v>0</v>
      </c>
      <c r="Q700" t="n">
        <v>0</v>
      </c>
      <c r="R700" s="2" t="inlineStr"/>
    </row>
    <row r="701" ht="15" customHeight="1">
      <c r="A701" t="inlineStr">
        <is>
          <t>A 15449-2022</t>
        </is>
      </c>
      <c r="B701" s="1" t="n">
        <v>44660.91659722223</v>
      </c>
      <c r="C701" s="1" t="n">
        <v>46070</v>
      </c>
      <c r="D701" t="inlineStr">
        <is>
          <t>UPPSALA LÄN</t>
        </is>
      </c>
      <c r="E701" t="inlineStr">
        <is>
          <t>ÖSTHAMMAR</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18183-2022</t>
        </is>
      </c>
      <c r="B702" s="1" t="n">
        <v>44684</v>
      </c>
      <c r="C702" s="1" t="n">
        <v>46070</v>
      </c>
      <c r="D702" t="inlineStr">
        <is>
          <t>UPPSALA LÄN</t>
        </is>
      </c>
      <c r="E702" t="inlineStr">
        <is>
          <t>ÖSTHAMMAR</t>
        </is>
      </c>
      <c r="G702" t="n">
        <v>0.2</v>
      </c>
      <c r="H702" t="n">
        <v>0</v>
      </c>
      <c r="I702" t="n">
        <v>0</v>
      </c>
      <c r="J702" t="n">
        <v>0</v>
      </c>
      <c r="K702" t="n">
        <v>0</v>
      </c>
      <c r="L702" t="n">
        <v>0</v>
      </c>
      <c r="M702" t="n">
        <v>0</v>
      </c>
      <c r="N702" t="n">
        <v>0</v>
      </c>
      <c r="O702" t="n">
        <v>0</v>
      </c>
      <c r="P702" t="n">
        <v>0</v>
      </c>
      <c r="Q702" t="n">
        <v>0</v>
      </c>
      <c r="R702" s="2" t="inlineStr"/>
    </row>
    <row r="703" ht="15" customHeight="1">
      <c r="A703" t="inlineStr">
        <is>
          <t>A 6892-2022</t>
        </is>
      </c>
      <c r="B703" s="1" t="n">
        <v>44602</v>
      </c>
      <c r="C703" s="1" t="n">
        <v>46070</v>
      </c>
      <c r="D703" t="inlineStr">
        <is>
          <t>UPPSALA LÄN</t>
        </is>
      </c>
      <c r="E703" t="inlineStr">
        <is>
          <t>ÖSTHAMMAR</t>
        </is>
      </c>
      <c r="F703" t="inlineStr">
        <is>
          <t>Bergvik skog öst AB</t>
        </is>
      </c>
      <c r="G703" t="n">
        <v>1.4</v>
      </c>
      <c r="H703" t="n">
        <v>0</v>
      </c>
      <c r="I703" t="n">
        <v>0</v>
      </c>
      <c r="J703" t="n">
        <v>0</v>
      </c>
      <c r="K703" t="n">
        <v>0</v>
      </c>
      <c r="L703" t="n">
        <v>0</v>
      </c>
      <c r="M703" t="n">
        <v>0</v>
      </c>
      <c r="N703" t="n">
        <v>0</v>
      </c>
      <c r="O703" t="n">
        <v>0</v>
      </c>
      <c r="P703" t="n">
        <v>0</v>
      </c>
      <c r="Q703" t="n">
        <v>0</v>
      </c>
      <c r="R703" s="2" t="inlineStr"/>
    </row>
    <row r="704" ht="15" customHeight="1">
      <c r="A704" t="inlineStr">
        <is>
          <t>A 62295-2022</t>
        </is>
      </c>
      <c r="B704" s="1" t="n">
        <v>44916</v>
      </c>
      <c r="C704" s="1" t="n">
        <v>46070</v>
      </c>
      <c r="D704" t="inlineStr">
        <is>
          <t>UPPSALA LÄN</t>
        </is>
      </c>
      <c r="E704" t="inlineStr">
        <is>
          <t>ÖSTHAMMAR</t>
        </is>
      </c>
      <c r="G704" t="n">
        <v>3.3</v>
      </c>
      <c r="H704" t="n">
        <v>0</v>
      </c>
      <c r="I704" t="n">
        <v>0</v>
      </c>
      <c r="J704" t="n">
        <v>0</v>
      </c>
      <c r="K704" t="n">
        <v>0</v>
      </c>
      <c r="L704" t="n">
        <v>0</v>
      </c>
      <c r="M704" t="n">
        <v>0</v>
      </c>
      <c r="N704" t="n">
        <v>0</v>
      </c>
      <c r="O704" t="n">
        <v>0</v>
      </c>
      <c r="P704" t="n">
        <v>0</v>
      </c>
      <c r="Q704" t="n">
        <v>0</v>
      </c>
      <c r="R704" s="2" t="inlineStr"/>
    </row>
    <row r="705" ht="15" customHeight="1">
      <c r="A705" t="inlineStr">
        <is>
          <t>A 8830-2023</t>
        </is>
      </c>
      <c r="B705" s="1" t="n">
        <v>44978</v>
      </c>
      <c r="C705" s="1" t="n">
        <v>46070</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18091-2023</t>
        </is>
      </c>
      <c r="B706" s="1" t="n">
        <v>45040</v>
      </c>
      <c r="C706" s="1" t="n">
        <v>46070</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47522-2023</t>
        </is>
      </c>
      <c r="B707" s="1" t="n">
        <v>45203</v>
      </c>
      <c r="C707" s="1" t="n">
        <v>46070</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13358-2024</t>
        </is>
      </c>
      <c r="B708" s="1" t="n">
        <v>45387.3503125</v>
      </c>
      <c r="C708" s="1" t="n">
        <v>46070</v>
      </c>
      <c r="D708" t="inlineStr">
        <is>
          <t>UPPSALA LÄN</t>
        </is>
      </c>
      <c r="E708" t="inlineStr">
        <is>
          <t>ÖSTHAMMAR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29282-2021</t>
        </is>
      </c>
      <c r="B709" s="1" t="n">
        <v>44361</v>
      </c>
      <c r="C709" s="1" t="n">
        <v>46070</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54366-2023</t>
        </is>
      </c>
      <c r="B710" s="1" t="n">
        <v>45233</v>
      </c>
      <c r="C710" s="1" t="n">
        <v>46070</v>
      </c>
      <c r="D710" t="inlineStr">
        <is>
          <t>UPPSALA LÄN</t>
        </is>
      </c>
      <c r="E710" t="inlineStr">
        <is>
          <t>ÖSTHAMMAR</t>
        </is>
      </c>
      <c r="F710" t="inlineStr">
        <is>
          <t>Bergvik skog öst AB</t>
        </is>
      </c>
      <c r="G710" t="n">
        <v>2.9</v>
      </c>
      <c r="H710" t="n">
        <v>0</v>
      </c>
      <c r="I710" t="n">
        <v>0</v>
      </c>
      <c r="J710" t="n">
        <v>0</v>
      </c>
      <c r="K710" t="n">
        <v>0</v>
      </c>
      <c r="L710" t="n">
        <v>0</v>
      </c>
      <c r="M710" t="n">
        <v>0</v>
      </c>
      <c r="N710" t="n">
        <v>0</v>
      </c>
      <c r="O710" t="n">
        <v>0</v>
      </c>
      <c r="P710" t="n">
        <v>0</v>
      </c>
      <c r="Q710" t="n">
        <v>0</v>
      </c>
      <c r="R710" s="2" t="inlineStr"/>
    </row>
    <row r="711" ht="15" customHeight="1">
      <c r="A711" t="inlineStr">
        <is>
          <t>A 52694-2023</t>
        </is>
      </c>
      <c r="B711" s="1" t="n">
        <v>45225.76836805556</v>
      </c>
      <c r="C711" s="1" t="n">
        <v>46070</v>
      </c>
      <c r="D711" t="inlineStr">
        <is>
          <t>UPPSALA LÄN</t>
        </is>
      </c>
      <c r="E711" t="inlineStr">
        <is>
          <t>ÖSTHAMMAR</t>
        </is>
      </c>
      <c r="G711" t="n">
        <v>0.8</v>
      </c>
      <c r="H711" t="n">
        <v>0</v>
      </c>
      <c r="I711" t="n">
        <v>0</v>
      </c>
      <c r="J711" t="n">
        <v>0</v>
      </c>
      <c r="K711" t="n">
        <v>0</v>
      </c>
      <c r="L711" t="n">
        <v>0</v>
      </c>
      <c r="M711" t="n">
        <v>0</v>
      </c>
      <c r="N711" t="n">
        <v>0</v>
      </c>
      <c r="O711" t="n">
        <v>0</v>
      </c>
      <c r="P711" t="n">
        <v>0</v>
      </c>
      <c r="Q711" t="n">
        <v>0</v>
      </c>
      <c r="R711" s="2" t="inlineStr"/>
    </row>
    <row r="712" ht="15" customHeight="1">
      <c r="A712" t="inlineStr">
        <is>
          <t>A 23120-2021</t>
        </is>
      </c>
      <c r="B712" s="1" t="n">
        <v>44330</v>
      </c>
      <c r="C712" s="1" t="n">
        <v>46070</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36873-2022</t>
        </is>
      </c>
      <c r="B713" s="1" t="n">
        <v>44805.63708333333</v>
      </c>
      <c r="C713" s="1" t="n">
        <v>46070</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54666-2022</t>
        </is>
      </c>
      <c r="B714" s="1" t="n">
        <v>44883</v>
      </c>
      <c r="C714" s="1" t="n">
        <v>46070</v>
      </c>
      <c r="D714" t="inlineStr">
        <is>
          <t>UPPSALA LÄN</t>
        </is>
      </c>
      <c r="E714" t="inlineStr">
        <is>
          <t>ÖSTHAMMAR</t>
        </is>
      </c>
      <c r="G714" t="n">
        <v>14.3</v>
      </c>
      <c r="H714" t="n">
        <v>0</v>
      </c>
      <c r="I714" t="n">
        <v>0</v>
      </c>
      <c r="J714" t="n">
        <v>0</v>
      </c>
      <c r="K714" t="n">
        <v>0</v>
      </c>
      <c r="L714" t="n">
        <v>0</v>
      </c>
      <c r="M714" t="n">
        <v>0</v>
      </c>
      <c r="N714" t="n">
        <v>0</v>
      </c>
      <c r="O714" t="n">
        <v>0</v>
      </c>
      <c r="P714" t="n">
        <v>0</v>
      </c>
      <c r="Q714" t="n">
        <v>0</v>
      </c>
      <c r="R714" s="2" t="inlineStr"/>
    </row>
    <row r="715" ht="15" customHeight="1">
      <c r="A715" t="inlineStr">
        <is>
          <t>A 61817-2021</t>
        </is>
      </c>
      <c r="B715" s="1" t="n">
        <v>44501.76855324074</v>
      </c>
      <c r="C715" s="1" t="n">
        <v>46070</v>
      </c>
      <c r="D715" t="inlineStr">
        <is>
          <t>UPPSALA LÄN</t>
        </is>
      </c>
      <c r="E715" t="inlineStr">
        <is>
          <t>ÖSTHAMMAR</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54437-2024</t>
        </is>
      </c>
      <c r="B716" s="1" t="n">
        <v>45617</v>
      </c>
      <c r="C716" s="1" t="n">
        <v>46070</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46070</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28152-2024</t>
        </is>
      </c>
      <c r="B718" s="1" t="n">
        <v>45476.77056712963</v>
      </c>
      <c r="C718" s="1" t="n">
        <v>46070</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20326-2021</t>
        </is>
      </c>
      <c r="B719" s="1" t="n">
        <v>44308</v>
      </c>
      <c r="C719" s="1" t="n">
        <v>46070</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17643-2025</t>
        </is>
      </c>
      <c r="B720" s="1" t="n">
        <v>45758.32454861111</v>
      </c>
      <c r="C720" s="1" t="n">
        <v>46070</v>
      </c>
      <c r="D720" t="inlineStr">
        <is>
          <t>UPPSALA LÄN</t>
        </is>
      </c>
      <c r="E720" t="inlineStr">
        <is>
          <t>ÖSTHAMMAR</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12262-2023</t>
        </is>
      </c>
      <c r="B721" s="1" t="n">
        <v>44998.66662037037</v>
      </c>
      <c r="C721" s="1" t="n">
        <v>46070</v>
      </c>
      <c r="D721" t="inlineStr">
        <is>
          <t>UPPSALA LÄN</t>
        </is>
      </c>
      <c r="E721" t="inlineStr">
        <is>
          <t>ÖSTHAMMAR</t>
        </is>
      </c>
      <c r="G721" t="n">
        <v>4.1</v>
      </c>
      <c r="H721" t="n">
        <v>0</v>
      </c>
      <c r="I721" t="n">
        <v>0</v>
      </c>
      <c r="J721" t="n">
        <v>0</v>
      </c>
      <c r="K721" t="n">
        <v>0</v>
      </c>
      <c r="L721" t="n">
        <v>0</v>
      </c>
      <c r="M721" t="n">
        <v>0</v>
      </c>
      <c r="N721" t="n">
        <v>0</v>
      </c>
      <c r="O721" t="n">
        <v>0</v>
      </c>
      <c r="P721" t="n">
        <v>0</v>
      </c>
      <c r="Q721" t="n">
        <v>0</v>
      </c>
      <c r="R721" s="2" t="inlineStr"/>
    </row>
    <row r="722" ht="15" customHeight="1">
      <c r="A722" t="inlineStr">
        <is>
          <t>A 41478-2024</t>
        </is>
      </c>
      <c r="B722" s="1" t="n">
        <v>45560.44158564815</v>
      </c>
      <c r="C722" s="1" t="n">
        <v>46070</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row r="723" ht="15" customHeight="1">
      <c r="A723" t="inlineStr">
        <is>
          <t>A 16141-2022</t>
        </is>
      </c>
      <c r="B723" s="1" t="n">
        <v>44665</v>
      </c>
      <c r="C723" s="1" t="n">
        <v>46070</v>
      </c>
      <c r="D723" t="inlineStr">
        <is>
          <t>UPPSALA LÄN</t>
        </is>
      </c>
      <c r="E723" t="inlineStr">
        <is>
          <t>ÖSTHAMMAR</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34922-2023</t>
        </is>
      </c>
      <c r="B724" s="1" t="n">
        <v>45142.48359953704</v>
      </c>
      <c r="C724" s="1" t="n">
        <v>46070</v>
      </c>
      <c r="D724" t="inlineStr">
        <is>
          <t>UPPSALA LÄN</t>
        </is>
      </c>
      <c r="E724" t="inlineStr">
        <is>
          <t>ÖSTHAMMAR</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23495-2023</t>
        </is>
      </c>
      <c r="B725" s="1" t="n">
        <v>45076.71652777777</v>
      </c>
      <c r="C725" s="1" t="n">
        <v>46070</v>
      </c>
      <c r="D725" t="inlineStr">
        <is>
          <t>UPPSALA LÄN</t>
        </is>
      </c>
      <c r="E725" t="inlineStr">
        <is>
          <t>ÖSTHAMMAR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38233-2024</t>
        </is>
      </c>
      <c r="B726" s="1" t="n">
        <v>45545</v>
      </c>
      <c r="C726" s="1" t="n">
        <v>46070</v>
      </c>
      <c r="D726" t="inlineStr">
        <is>
          <t>UPPSALA LÄN</t>
        </is>
      </c>
      <c r="E726" t="inlineStr">
        <is>
          <t>ÖSTHAMMAR</t>
        </is>
      </c>
      <c r="G726" t="n">
        <v>3.4</v>
      </c>
      <c r="H726" t="n">
        <v>0</v>
      </c>
      <c r="I726" t="n">
        <v>0</v>
      </c>
      <c r="J726" t="n">
        <v>0</v>
      </c>
      <c r="K726" t="n">
        <v>0</v>
      </c>
      <c r="L726" t="n">
        <v>0</v>
      </c>
      <c r="M726" t="n">
        <v>0</v>
      </c>
      <c r="N726" t="n">
        <v>0</v>
      </c>
      <c r="O726" t="n">
        <v>0</v>
      </c>
      <c r="P726" t="n">
        <v>0</v>
      </c>
      <c r="Q726" t="n">
        <v>0</v>
      </c>
      <c r="R726" s="2" t="inlineStr"/>
    </row>
    <row r="727" ht="15" customHeight="1">
      <c r="A727" t="inlineStr">
        <is>
          <t>A 17947-2022</t>
        </is>
      </c>
      <c r="B727" s="1" t="n">
        <v>44683</v>
      </c>
      <c r="C727" s="1" t="n">
        <v>46070</v>
      </c>
      <c r="D727" t="inlineStr">
        <is>
          <t>UPPSALA LÄN</t>
        </is>
      </c>
      <c r="E727" t="inlineStr">
        <is>
          <t>ÖSTHAMMAR</t>
        </is>
      </c>
      <c r="G727" t="n">
        <v>5.5</v>
      </c>
      <c r="H727" t="n">
        <v>0</v>
      </c>
      <c r="I727" t="n">
        <v>0</v>
      </c>
      <c r="J727" t="n">
        <v>0</v>
      </c>
      <c r="K727" t="n">
        <v>0</v>
      </c>
      <c r="L727" t="n">
        <v>0</v>
      </c>
      <c r="M727" t="n">
        <v>0</v>
      </c>
      <c r="N727" t="n">
        <v>0</v>
      </c>
      <c r="O727" t="n">
        <v>0</v>
      </c>
      <c r="P727" t="n">
        <v>0</v>
      </c>
      <c r="Q727" t="n">
        <v>0</v>
      </c>
      <c r="R727" s="2" t="inlineStr"/>
    </row>
    <row r="728" ht="15" customHeight="1">
      <c r="A728" t="inlineStr">
        <is>
          <t>A 22798-2023</t>
        </is>
      </c>
      <c r="B728" s="1" t="n">
        <v>45072</v>
      </c>
      <c r="C728" s="1" t="n">
        <v>46070</v>
      </c>
      <c r="D728" t="inlineStr">
        <is>
          <t>UPPSALA LÄN</t>
        </is>
      </c>
      <c r="E728" t="inlineStr">
        <is>
          <t>ÖSTHAMMAR</t>
        </is>
      </c>
      <c r="G728" t="n">
        <v>1</v>
      </c>
      <c r="H728" t="n">
        <v>0</v>
      </c>
      <c r="I728" t="n">
        <v>0</v>
      </c>
      <c r="J728" t="n">
        <v>0</v>
      </c>
      <c r="K728" t="n">
        <v>0</v>
      </c>
      <c r="L728" t="n">
        <v>0</v>
      </c>
      <c r="M728" t="n">
        <v>0</v>
      </c>
      <c r="N728" t="n">
        <v>0</v>
      </c>
      <c r="O728" t="n">
        <v>0</v>
      </c>
      <c r="P728" t="n">
        <v>0</v>
      </c>
      <c r="Q728" t="n">
        <v>0</v>
      </c>
      <c r="R728" s="2" t="inlineStr"/>
    </row>
    <row r="729" ht="15" customHeight="1">
      <c r="A729" t="inlineStr">
        <is>
          <t>A 11547-2022</t>
        </is>
      </c>
      <c r="B729" s="1" t="n">
        <v>44631.43116898148</v>
      </c>
      <c r="C729" s="1" t="n">
        <v>46070</v>
      </c>
      <c r="D729" t="inlineStr">
        <is>
          <t>UPPSALA LÄN</t>
        </is>
      </c>
      <c r="E729" t="inlineStr">
        <is>
          <t>ÖSTHAMMAR</t>
        </is>
      </c>
      <c r="G729" t="n">
        <v>4.4</v>
      </c>
      <c r="H729" t="n">
        <v>0</v>
      </c>
      <c r="I729" t="n">
        <v>0</v>
      </c>
      <c r="J729" t="n">
        <v>0</v>
      </c>
      <c r="K729" t="n">
        <v>0</v>
      </c>
      <c r="L729" t="n">
        <v>0</v>
      </c>
      <c r="M729" t="n">
        <v>0</v>
      </c>
      <c r="N729" t="n">
        <v>0</v>
      </c>
      <c r="O729" t="n">
        <v>0</v>
      </c>
      <c r="P729" t="n">
        <v>0</v>
      </c>
      <c r="Q729" t="n">
        <v>0</v>
      </c>
      <c r="R729" s="2" t="inlineStr"/>
    </row>
    <row r="730" ht="15" customHeight="1">
      <c r="A730" t="inlineStr">
        <is>
          <t>A 4561-2022</t>
        </is>
      </c>
      <c r="B730" s="1" t="n">
        <v>44591.59170138889</v>
      </c>
      <c r="C730" s="1" t="n">
        <v>46070</v>
      </c>
      <c r="D730" t="inlineStr">
        <is>
          <t>UPPSALA LÄN</t>
        </is>
      </c>
      <c r="E730" t="inlineStr">
        <is>
          <t>ÖSTHAMMAR</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23741-2024</t>
        </is>
      </c>
      <c r="B731" s="1" t="n">
        <v>45455</v>
      </c>
      <c r="C731" s="1" t="n">
        <v>46070</v>
      </c>
      <c r="D731" t="inlineStr">
        <is>
          <t>UPPSALA LÄN</t>
        </is>
      </c>
      <c r="E731" t="inlineStr">
        <is>
          <t>ÖSTHAMMAR</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26612-2023</t>
        </is>
      </c>
      <c r="B732" s="1" t="n">
        <v>45089</v>
      </c>
      <c r="C732" s="1" t="n">
        <v>46070</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32244-2021</t>
        </is>
      </c>
      <c r="B733" s="1" t="n">
        <v>44371.45335648148</v>
      </c>
      <c r="C733" s="1" t="n">
        <v>46070</v>
      </c>
      <c r="D733" t="inlineStr">
        <is>
          <t>UPPSALA LÄN</t>
        </is>
      </c>
      <c r="E733" t="inlineStr">
        <is>
          <t>ÖSTHAMMAR</t>
        </is>
      </c>
      <c r="F733" t="inlineStr">
        <is>
          <t>Bergvik skog öst AB</t>
        </is>
      </c>
      <c r="G733" t="n">
        <v>2.6</v>
      </c>
      <c r="H733" t="n">
        <v>0</v>
      </c>
      <c r="I733" t="n">
        <v>0</v>
      </c>
      <c r="J733" t="n">
        <v>0</v>
      </c>
      <c r="K733" t="n">
        <v>0</v>
      </c>
      <c r="L733" t="n">
        <v>0</v>
      </c>
      <c r="M733" t="n">
        <v>0</v>
      </c>
      <c r="N733" t="n">
        <v>0</v>
      </c>
      <c r="O733" t="n">
        <v>0</v>
      </c>
      <c r="P733" t="n">
        <v>0</v>
      </c>
      <c r="Q733" t="n">
        <v>0</v>
      </c>
      <c r="R733" s="2" t="inlineStr"/>
    </row>
    <row r="734" ht="15" customHeight="1">
      <c r="A734" t="inlineStr">
        <is>
          <t>A 60079-2022</t>
        </is>
      </c>
      <c r="B734" s="1" t="n">
        <v>44909</v>
      </c>
      <c r="C734" s="1" t="n">
        <v>46070</v>
      </c>
      <c r="D734" t="inlineStr">
        <is>
          <t>UPPSALA LÄN</t>
        </is>
      </c>
      <c r="E734" t="inlineStr">
        <is>
          <t>ÖSTHAMMAR</t>
        </is>
      </c>
      <c r="G734" t="n">
        <v>9.6</v>
      </c>
      <c r="H734" t="n">
        <v>0</v>
      </c>
      <c r="I734" t="n">
        <v>0</v>
      </c>
      <c r="J734" t="n">
        <v>0</v>
      </c>
      <c r="K734" t="n">
        <v>0</v>
      </c>
      <c r="L734" t="n">
        <v>0</v>
      </c>
      <c r="M734" t="n">
        <v>0</v>
      </c>
      <c r="N734" t="n">
        <v>0</v>
      </c>
      <c r="O734" t="n">
        <v>0</v>
      </c>
      <c r="P734" t="n">
        <v>0</v>
      </c>
      <c r="Q734" t="n">
        <v>0</v>
      </c>
      <c r="R734" s="2" t="inlineStr"/>
    </row>
    <row r="735" ht="15" customHeight="1">
      <c r="A735" t="inlineStr">
        <is>
          <t>A 40637-2022</t>
        </is>
      </c>
      <c r="B735" s="1" t="n">
        <v>44824</v>
      </c>
      <c r="C735" s="1" t="n">
        <v>46070</v>
      </c>
      <c r="D735" t="inlineStr">
        <is>
          <t>UPPSALA LÄN</t>
        </is>
      </c>
      <c r="E735" t="inlineStr">
        <is>
          <t>ÖSTHAMMAR</t>
        </is>
      </c>
      <c r="F735" t="inlineStr">
        <is>
          <t>Övriga Aktiebolag</t>
        </is>
      </c>
      <c r="G735" t="n">
        <v>3.7</v>
      </c>
      <c r="H735" t="n">
        <v>0</v>
      </c>
      <c r="I735" t="n">
        <v>0</v>
      </c>
      <c r="J735" t="n">
        <v>0</v>
      </c>
      <c r="K735" t="n">
        <v>0</v>
      </c>
      <c r="L735" t="n">
        <v>0</v>
      </c>
      <c r="M735" t="n">
        <v>0</v>
      </c>
      <c r="N735" t="n">
        <v>0</v>
      </c>
      <c r="O735" t="n">
        <v>0</v>
      </c>
      <c r="P735" t="n">
        <v>0</v>
      </c>
      <c r="Q735" t="n">
        <v>0</v>
      </c>
      <c r="R735" s="2" t="inlineStr"/>
    </row>
    <row r="736" ht="15" customHeight="1">
      <c r="A736" t="inlineStr">
        <is>
          <t>A 56260-2022</t>
        </is>
      </c>
      <c r="B736" s="1" t="n">
        <v>44890</v>
      </c>
      <c r="C736" s="1" t="n">
        <v>46070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62394-2022</t>
        </is>
      </c>
      <c r="B737" s="1" t="n">
        <v>44923.82017361111</v>
      </c>
      <c r="C737" s="1" t="n">
        <v>46070</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22709-2021</t>
        </is>
      </c>
      <c r="B738" s="1" t="n">
        <v>44327.61518518518</v>
      </c>
      <c r="C738" s="1" t="n">
        <v>46070</v>
      </c>
      <c r="D738" t="inlineStr">
        <is>
          <t>UPPSALA LÄN</t>
        </is>
      </c>
      <c r="E738" t="inlineStr">
        <is>
          <t>ÖSTHAMMAR</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8616-2023</t>
        </is>
      </c>
      <c r="B739" s="1" t="n">
        <v>44977</v>
      </c>
      <c r="C739" s="1" t="n">
        <v>46070</v>
      </c>
      <c r="D739" t="inlineStr">
        <is>
          <t>UPPSALA LÄN</t>
        </is>
      </c>
      <c r="E739" t="inlineStr">
        <is>
          <t>ÖSTHAMMAR</t>
        </is>
      </c>
      <c r="F739" t="inlineStr">
        <is>
          <t>Bergvik skog öst AB</t>
        </is>
      </c>
      <c r="G739" t="n">
        <v>0.2</v>
      </c>
      <c r="H739" t="n">
        <v>0</v>
      </c>
      <c r="I739" t="n">
        <v>0</v>
      </c>
      <c r="J739" t="n">
        <v>0</v>
      </c>
      <c r="K739" t="n">
        <v>0</v>
      </c>
      <c r="L739" t="n">
        <v>0</v>
      </c>
      <c r="M739" t="n">
        <v>0</v>
      </c>
      <c r="N739" t="n">
        <v>0</v>
      </c>
      <c r="O739" t="n">
        <v>0</v>
      </c>
      <c r="P739" t="n">
        <v>0</v>
      </c>
      <c r="Q739" t="n">
        <v>0</v>
      </c>
      <c r="R739" s="2" t="inlineStr"/>
    </row>
    <row r="740" ht="15" customHeight="1">
      <c r="A740" t="inlineStr">
        <is>
          <t>A 41538-2021</t>
        </is>
      </c>
      <c r="B740" s="1" t="n">
        <v>44425.35016203704</v>
      </c>
      <c r="C740" s="1" t="n">
        <v>46070</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34742-2022</t>
        </is>
      </c>
      <c r="B741" s="1" t="n">
        <v>44795.61990740741</v>
      </c>
      <c r="C741" s="1" t="n">
        <v>46070</v>
      </c>
      <c r="D741" t="inlineStr">
        <is>
          <t>UPPSALA LÄN</t>
        </is>
      </c>
      <c r="E741" t="inlineStr">
        <is>
          <t>ÖSTHAMMAR</t>
        </is>
      </c>
      <c r="F741" t="inlineStr">
        <is>
          <t>Bergvik skog öst AB</t>
        </is>
      </c>
      <c r="G741" t="n">
        <v>1.1</v>
      </c>
      <c r="H741" t="n">
        <v>0</v>
      </c>
      <c r="I741" t="n">
        <v>0</v>
      </c>
      <c r="J741" t="n">
        <v>0</v>
      </c>
      <c r="K741" t="n">
        <v>0</v>
      </c>
      <c r="L741" t="n">
        <v>0</v>
      </c>
      <c r="M741" t="n">
        <v>0</v>
      </c>
      <c r="N741" t="n">
        <v>0</v>
      </c>
      <c r="O741" t="n">
        <v>0</v>
      </c>
      <c r="P741" t="n">
        <v>0</v>
      </c>
      <c r="Q741" t="n">
        <v>0</v>
      </c>
      <c r="R741" s="2" t="inlineStr"/>
    </row>
    <row r="742" ht="15" customHeight="1">
      <c r="A742" t="inlineStr">
        <is>
          <t>A 4096-2025</t>
        </is>
      </c>
      <c r="B742" s="1" t="n">
        <v>45684</v>
      </c>
      <c r="C742" s="1" t="n">
        <v>46070</v>
      </c>
      <c r="D742" t="inlineStr">
        <is>
          <t>UPPSALA LÄN</t>
        </is>
      </c>
      <c r="E742" t="inlineStr">
        <is>
          <t>ÖSTHAMMAR</t>
        </is>
      </c>
      <c r="G742" t="n">
        <v>2</v>
      </c>
      <c r="H742" t="n">
        <v>0</v>
      </c>
      <c r="I742" t="n">
        <v>0</v>
      </c>
      <c r="J742" t="n">
        <v>0</v>
      </c>
      <c r="K742" t="n">
        <v>0</v>
      </c>
      <c r="L742" t="n">
        <v>0</v>
      </c>
      <c r="M742" t="n">
        <v>0</v>
      </c>
      <c r="N742" t="n">
        <v>0</v>
      </c>
      <c r="O742" t="n">
        <v>0</v>
      </c>
      <c r="P742" t="n">
        <v>0</v>
      </c>
      <c r="Q742" t="n">
        <v>0</v>
      </c>
      <c r="R742" s="2" t="inlineStr"/>
    </row>
    <row r="743" ht="15" customHeight="1">
      <c r="A743" t="inlineStr">
        <is>
          <t>A 55090-2024</t>
        </is>
      </c>
      <c r="B743" s="1" t="n">
        <v>45621.4350462963</v>
      </c>
      <c r="C743" s="1" t="n">
        <v>46070</v>
      </c>
      <c r="D743" t="inlineStr">
        <is>
          <t>UPPSALA LÄN</t>
        </is>
      </c>
      <c r="E743" t="inlineStr">
        <is>
          <t>ÖSTHAMMAR</t>
        </is>
      </c>
      <c r="F743" t="inlineStr">
        <is>
          <t>Sveaskog</t>
        </is>
      </c>
      <c r="G743" t="n">
        <v>4.4</v>
      </c>
      <c r="H743" t="n">
        <v>0</v>
      </c>
      <c r="I743" t="n">
        <v>0</v>
      </c>
      <c r="J743" t="n">
        <v>0</v>
      </c>
      <c r="K743" t="n">
        <v>0</v>
      </c>
      <c r="L743" t="n">
        <v>0</v>
      </c>
      <c r="M743" t="n">
        <v>0</v>
      </c>
      <c r="N743" t="n">
        <v>0</v>
      </c>
      <c r="O743" t="n">
        <v>0</v>
      </c>
      <c r="P743" t="n">
        <v>0</v>
      </c>
      <c r="Q743" t="n">
        <v>0</v>
      </c>
      <c r="R743" s="2" t="inlineStr"/>
    </row>
    <row r="744" ht="15" customHeight="1">
      <c r="A744" t="inlineStr">
        <is>
          <t>A 55093-2024</t>
        </is>
      </c>
      <c r="B744" s="1" t="n">
        <v>45621.43712962963</v>
      </c>
      <c r="C744" s="1" t="n">
        <v>46070</v>
      </c>
      <c r="D744" t="inlineStr">
        <is>
          <t>UPPSALA LÄN</t>
        </is>
      </c>
      <c r="E744" t="inlineStr">
        <is>
          <t>ÖSTHAMMAR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55097-2024</t>
        </is>
      </c>
      <c r="B745" s="1" t="n">
        <v>45621.43855324074</v>
      </c>
      <c r="C745" s="1" t="n">
        <v>46070</v>
      </c>
      <c r="D745" t="inlineStr">
        <is>
          <t>UPPSALA LÄN</t>
        </is>
      </c>
      <c r="E745" t="inlineStr">
        <is>
          <t>ÖSTHAMMAR</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3327-2023</t>
        </is>
      </c>
      <c r="B746" s="1" t="n">
        <v>44949.4377662037</v>
      </c>
      <c r="C746" s="1" t="n">
        <v>46070</v>
      </c>
      <c r="D746" t="inlineStr">
        <is>
          <t>UPPSALA LÄN</t>
        </is>
      </c>
      <c r="E746" t="inlineStr">
        <is>
          <t>ÖSTHAMMAR</t>
        </is>
      </c>
      <c r="G746" t="n">
        <v>1.1</v>
      </c>
      <c r="H746" t="n">
        <v>0</v>
      </c>
      <c r="I746" t="n">
        <v>0</v>
      </c>
      <c r="J746" t="n">
        <v>0</v>
      </c>
      <c r="K746" t="n">
        <v>0</v>
      </c>
      <c r="L746" t="n">
        <v>0</v>
      </c>
      <c r="M746" t="n">
        <v>0</v>
      </c>
      <c r="N746" t="n">
        <v>0</v>
      </c>
      <c r="O746" t="n">
        <v>0</v>
      </c>
      <c r="P746" t="n">
        <v>0</v>
      </c>
      <c r="Q746" t="n">
        <v>0</v>
      </c>
      <c r="R746" s="2" t="inlineStr"/>
    </row>
    <row r="747" ht="15" customHeight="1">
      <c r="A747" t="inlineStr">
        <is>
          <t>A 41821-2023</t>
        </is>
      </c>
      <c r="B747" s="1" t="n">
        <v>45176</v>
      </c>
      <c r="C747" s="1" t="n">
        <v>46070</v>
      </c>
      <c r="D747" t="inlineStr">
        <is>
          <t>UPPSALA LÄN</t>
        </is>
      </c>
      <c r="E747" t="inlineStr">
        <is>
          <t>ÖSTHAMMAR</t>
        </is>
      </c>
      <c r="G747" t="n">
        <v>0.9</v>
      </c>
      <c r="H747" t="n">
        <v>0</v>
      </c>
      <c r="I747" t="n">
        <v>0</v>
      </c>
      <c r="J747" t="n">
        <v>0</v>
      </c>
      <c r="K747" t="n">
        <v>0</v>
      </c>
      <c r="L747" t="n">
        <v>0</v>
      </c>
      <c r="M747" t="n">
        <v>0</v>
      </c>
      <c r="N747" t="n">
        <v>0</v>
      </c>
      <c r="O747" t="n">
        <v>0</v>
      </c>
      <c r="P747" t="n">
        <v>0</v>
      </c>
      <c r="Q747" t="n">
        <v>0</v>
      </c>
      <c r="R747" s="2" t="inlineStr"/>
    </row>
    <row r="748" ht="15" customHeight="1">
      <c r="A748" t="inlineStr">
        <is>
          <t>A 35309-2023</t>
        </is>
      </c>
      <c r="B748" s="1" t="n">
        <v>45146</v>
      </c>
      <c r="C748" s="1" t="n">
        <v>46070</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14272-2025</t>
        </is>
      </c>
      <c r="B749" s="1" t="n">
        <v>45740.64327546296</v>
      </c>
      <c r="C749" s="1" t="n">
        <v>46070</v>
      </c>
      <c r="D749" t="inlineStr">
        <is>
          <t>UPPSALA LÄN</t>
        </is>
      </c>
      <c r="E749" t="inlineStr">
        <is>
          <t>ÖSTHAMMAR</t>
        </is>
      </c>
      <c r="G749" t="n">
        <v>5.7</v>
      </c>
      <c r="H749" t="n">
        <v>0</v>
      </c>
      <c r="I749" t="n">
        <v>0</v>
      </c>
      <c r="J749" t="n">
        <v>0</v>
      </c>
      <c r="K749" t="n">
        <v>0</v>
      </c>
      <c r="L749" t="n">
        <v>0</v>
      </c>
      <c r="M749" t="n">
        <v>0</v>
      </c>
      <c r="N749" t="n">
        <v>0</v>
      </c>
      <c r="O749" t="n">
        <v>0</v>
      </c>
      <c r="P749" t="n">
        <v>0</v>
      </c>
      <c r="Q749" t="n">
        <v>0</v>
      </c>
      <c r="R749" s="2" t="inlineStr"/>
    </row>
    <row r="750" ht="15" customHeight="1">
      <c r="A750" t="inlineStr">
        <is>
          <t>A 17940-2025</t>
        </is>
      </c>
      <c r="B750" s="1" t="n">
        <v>45760.55842592593</v>
      </c>
      <c r="C750" s="1" t="n">
        <v>46070</v>
      </c>
      <c r="D750" t="inlineStr">
        <is>
          <t>UPPSALA LÄN</t>
        </is>
      </c>
      <c r="E750" t="inlineStr">
        <is>
          <t>ÖSTHAMMAR</t>
        </is>
      </c>
      <c r="F750" t="inlineStr">
        <is>
          <t>Bergvik skog öst AB</t>
        </is>
      </c>
      <c r="G750" t="n">
        <v>5.6</v>
      </c>
      <c r="H750" t="n">
        <v>0</v>
      </c>
      <c r="I750" t="n">
        <v>0</v>
      </c>
      <c r="J750" t="n">
        <v>0</v>
      </c>
      <c r="K750" t="n">
        <v>0</v>
      </c>
      <c r="L750" t="n">
        <v>0</v>
      </c>
      <c r="M750" t="n">
        <v>0</v>
      </c>
      <c r="N750" t="n">
        <v>0</v>
      </c>
      <c r="O750" t="n">
        <v>0</v>
      </c>
      <c r="P750" t="n">
        <v>0</v>
      </c>
      <c r="Q750" t="n">
        <v>0</v>
      </c>
      <c r="R750" s="2" t="inlineStr"/>
    </row>
    <row r="751" ht="15" customHeight="1">
      <c r="A751" t="inlineStr">
        <is>
          <t>A 12215-2023</t>
        </is>
      </c>
      <c r="B751" s="1" t="n">
        <v>44998</v>
      </c>
      <c r="C751" s="1" t="n">
        <v>46070</v>
      </c>
      <c r="D751" t="inlineStr">
        <is>
          <t>UPPSALA LÄN</t>
        </is>
      </c>
      <c r="E751" t="inlineStr">
        <is>
          <t>ÖSTHAMMAR</t>
        </is>
      </c>
      <c r="G751" t="n">
        <v>5.1</v>
      </c>
      <c r="H751" t="n">
        <v>0</v>
      </c>
      <c r="I751" t="n">
        <v>0</v>
      </c>
      <c r="J751" t="n">
        <v>0</v>
      </c>
      <c r="K751" t="n">
        <v>0</v>
      </c>
      <c r="L751" t="n">
        <v>0</v>
      </c>
      <c r="M751" t="n">
        <v>0</v>
      </c>
      <c r="N751" t="n">
        <v>0</v>
      </c>
      <c r="O751" t="n">
        <v>0</v>
      </c>
      <c r="P751" t="n">
        <v>0</v>
      </c>
      <c r="Q751" t="n">
        <v>0</v>
      </c>
      <c r="R751" s="2" t="inlineStr"/>
    </row>
    <row r="752" ht="15" customHeight="1">
      <c r="A752" t="inlineStr">
        <is>
          <t>A 66779-2021</t>
        </is>
      </c>
      <c r="B752" s="1" t="n">
        <v>44522.31700231481</v>
      </c>
      <c r="C752" s="1" t="n">
        <v>46070</v>
      </c>
      <c r="D752" t="inlineStr">
        <is>
          <t>UPPSALA LÄN</t>
        </is>
      </c>
      <c r="E752" t="inlineStr">
        <is>
          <t>ÖSTHAMMAR</t>
        </is>
      </c>
      <c r="G752" t="n">
        <v>2</v>
      </c>
      <c r="H752" t="n">
        <v>0</v>
      </c>
      <c r="I752" t="n">
        <v>0</v>
      </c>
      <c r="J752" t="n">
        <v>0</v>
      </c>
      <c r="K752" t="n">
        <v>0</v>
      </c>
      <c r="L752" t="n">
        <v>0</v>
      </c>
      <c r="M752" t="n">
        <v>0</v>
      </c>
      <c r="N752" t="n">
        <v>0</v>
      </c>
      <c r="O752" t="n">
        <v>0</v>
      </c>
      <c r="P752" t="n">
        <v>0</v>
      </c>
      <c r="Q752" t="n">
        <v>0</v>
      </c>
      <c r="R752" s="2" t="inlineStr"/>
    </row>
    <row r="753" ht="15" customHeight="1">
      <c r="A753" t="inlineStr">
        <is>
          <t>A 33062-2021</t>
        </is>
      </c>
      <c r="B753" s="1" t="n">
        <v>44376</v>
      </c>
      <c r="C753" s="1" t="n">
        <v>46070</v>
      </c>
      <c r="D753" t="inlineStr">
        <is>
          <t>UPPSALA LÄN</t>
        </is>
      </c>
      <c r="E753" t="inlineStr">
        <is>
          <t>ÖSTHAMMAR</t>
        </is>
      </c>
      <c r="G753" t="n">
        <v>12</v>
      </c>
      <c r="H753" t="n">
        <v>0</v>
      </c>
      <c r="I753" t="n">
        <v>0</v>
      </c>
      <c r="J753" t="n">
        <v>0</v>
      </c>
      <c r="K753" t="n">
        <v>0</v>
      </c>
      <c r="L753" t="n">
        <v>0</v>
      </c>
      <c r="M753" t="n">
        <v>0</v>
      </c>
      <c r="N753" t="n">
        <v>0</v>
      </c>
      <c r="O753" t="n">
        <v>0</v>
      </c>
      <c r="P753" t="n">
        <v>0</v>
      </c>
      <c r="Q753" t="n">
        <v>0</v>
      </c>
      <c r="R753" s="2" t="inlineStr"/>
    </row>
    <row r="754" ht="15" customHeight="1">
      <c r="A754" t="inlineStr">
        <is>
          <t>A 24033-2023</t>
        </is>
      </c>
      <c r="B754" s="1" t="n">
        <v>45078</v>
      </c>
      <c r="C754" s="1" t="n">
        <v>46070</v>
      </c>
      <c r="D754" t="inlineStr">
        <is>
          <t>UPPSALA LÄN</t>
        </is>
      </c>
      <c r="E754" t="inlineStr">
        <is>
          <t>ÖSTHAMMAR</t>
        </is>
      </c>
      <c r="F754" t="inlineStr">
        <is>
          <t>Bergvik skog öst AB</t>
        </is>
      </c>
      <c r="G754" t="n">
        <v>0.7</v>
      </c>
      <c r="H754" t="n">
        <v>0</v>
      </c>
      <c r="I754" t="n">
        <v>0</v>
      </c>
      <c r="J754" t="n">
        <v>0</v>
      </c>
      <c r="K754" t="n">
        <v>0</v>
      </c>
      <c r="L754" t="n">
        <v>0</v>
      </c>
      <c r="M754" t="n">
        <v>0</v>
      </c>
      <c r="N754" t="n">
        <v>0</v>
      </c>
      <c r="O754" t="n">
        <v>0</v>
      </c>
      <c r="P754" t="n">
        <v>0</v>
      </c>
      <c r="Q754" t="n">
        <v>0</v>
      </c>
      <c r="R754" s="2" t="inlineStr"/>
    </row>
    <row r="755" ht="15" customHeight="1">
      <c r="A755" t="inlineStr">
        <is>
          <t>A 17939-2025</t>
        </is>
      </c>
      <c r="B755" s="1" t="n">
        <v>45760.55671296296</v>
      </c>
      <c r="C755" s="1" t="n">
        <v>46070</v>
      </c>
      <c r="D755" t="inlineStr">
        <is>
          <t>UPPSALA LÄN</t>
        </is>
      </c>
      <c r="E755" t="inlineStr">
        <is>
          <t>ÖSTHAMMAR</t>
        </is>
      </c>
      <c r="F755" t="inlineStr">
        <is>
          <t>Bergvik skog öst AB</t>
        </is>
      </c>
      <c r="G755" t="n">
        <v>5.4</v>
      </c>
      <c r="H755" t="n">
        <v>0</v>
      </c>
      <c r="I755" t="n">
        <v>0</v>
      </c>
      <c r="J755" t="n">
        <v>0</v>
      </c>
      <c r="K755" t="n">
        <v>0</v>
      </c>
      <c r="L755" t="n">
        <v>0</v>
      </c>
      <c r="M755" t="n">
        <v>0</v>
      </c>
      <c r="N755" t="n">
        <v>0</v>
      </c>
      <c r="O755" t="n">
        <v>0</v>
      </c>
      <c r="P755" t="n">
        <v>0</v>
      </c>
      <c r="Q755" t="n">
        <v>0</v>
      </c>
      <c r="R755" s="2" t="inlineStr"/>
    </row>
    <row r="756" ht="15" customHeight="1">
      <c r="A756" t="inlineStr">
        <is>
          <t>A 3638-2022</t>
        </is>
      </c>
      <c r="B756" s="1" t="n">
        <v>44578</v>
      </c>
      <c r="C756" s="1" t="n">
        <v>46070</v>
      </c>
      <c r="D756" t="inlineStr">
        <is>
          <t>UPPSALA LÄN</t>
        </is>
      </c>
      <c r="E756" t="inlineStr">
        <is>
          <t>ÖSTHAMMAR</t>
        </is>
      </c>
      <c r="G756" t="n">
        <v>1.7</v>
      </c>
      <c r="H756" t="n">
        <v>0</v>
      </c>
      <c r="I756" t="n">
        <v>0</v>
      </c>
      <c r="J756" t="n">
        <v>0</v>
      </c>
      <c r="K756" t="n">
        <v>0</v>
      </c>
      <c r="L756" t="n">
        <v>0</v>
      </c>
      <c r="M756" t="n">
        <v>0</v>
      </c>
      <c r="N756" t="n">
        <v>0</v>
      </c>
      <c r="O756" t="n">
        <v>0</v>
      </c>
      <c r="P756" t="n">
        <v>0</v>
      </c>
      <c r="Q756" t="n">
        <v>0</v>
      </c>
      <c r="R756" s="2" t="inlineStr"/>
    </row>
    <row r="757" ht="15" customHeight="1">
      <c r="A757" t="inlineStr">
        <is>
          <t>A 49897-2023</t>
        </is>
      </c>
      <c r="B757" s="1" t="n">
        <v>45213.84846064815</v>
      </c>
      <c r="C757" s="1" t="n">
        <v>46070</v>
      </c>
      <c r="D757" t="inlineStr">
        <is>
          <t>UPPSALA LÄN</t>
        </is>
      </c>
      <c r="E757" t="inlineStr">
        <is>
          <t>ÖSTHAMMAR</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37812-2022</t>
        </is>
      </c>
      <c r="B758" s="1" t="n">
        <v>44810</v>
      </c>
      <c r="C758" s="1" t="n">
        <v>46070</v>
      </c>
      <c r="D758" t="inlineStr">
        <is>
          <t>UPPSALA LÄN</t>
        </is>
      </c>
      <c r="E758" t="inlineStr">
        <is>
          <t>ÖSTHAMMAR</t>
        </is>
      </c>
      <c r="G758" t="n">
        <v>1</v>
      </c>
      <c r="H758" t="n">
        <v>0</v>
      </c>
      <c r="I758" t="n">
        <v>0</v>
      </c>
      <c r="J758" t="n">
        <v>0</v>
      </c>
      <c r="K758" t="n">
        <v>0</v>
      </c>
      <c r="L758" t="n">
        <v>0</v>
      </c>
      <c r="M758" t="n">
        <v>0</v>
      </c>
      <c r="N758" t="n">
        <v>0</v>
      </c>
      <c r="O758" t="n">
        <v>0</v>
      </c>
      <c r="P758" t="n">
        <v>0</v>
      </c>
      <c r="Q758" t="n">
        <v>0</v>
      </c>
      <c r="R758" s="2" t="inlineStr"/>
    </row>
    <row r="759" ht="15" customHeight="1">
      <c r="A759" t="inlineStr">
        <is>
          <t>A 60555-2023</t>
        </is>
      </c>
      <c r="B759" s="1" t="n">
        <v>45259</v>
      </c>
      <c r="C759" s="1" t="n">
        <v>46070</v>
      </c>
      <c r="D759" t="inlineStr">
        <is>
          <t>UPPSALA LÄN</t>
        </is>
      </c>
      <c r="E759" t="inlineStr">
        <is>
          <t>ÖSTHAMMAR</t>
        </is>
      </c>
      <c r="G759" t="n">
        <v>2</v>
      </c>
      <c r="H759" t="n">
        <v>0</v>
      </c>
      <c r="I759" t="n">
        <v>0</v>
      </c>
      <c r="J759" t="n">
        <v>0</v>
      </c>
      <c r="K759" t="n">
        <v>0</v>
      </c>
      <c r="L759" t="n">
        <v>0</v>
      </c>
      <c r="M759" t="n">
        <v>0</v>
      </c>
      <c r="N759" t="n">
        <v>0</v>
      </c>
      <c r="O759" t="n">
        <v>0</v>
      </c>
      <c r="P759" t="n">
        <v>0</v>
      </c>
      <c r="Q759" t="n">
        <v>0</v>
      </c>
      <c r="R759" s="2" t="inlineStr"/>
    </row>
    <row r="760" ht="15" customHeight="1">
      <c r="A760" t="inlineStr">
        <is>
          <t>A 44815-2022</t>
        </is>
      </c>
      <c r="B760" s="1" t="n">
        <v>44841.40452546296</v>
      </c>
      <c r="C760" s="1" t="n">
        <v>46070</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73483-2021</t>
        </is>
      </c>
      <c r="B761" s="1" t="n">
        <v>44550</v>
      </c>
      <c r="C761" s="1" t="n">
        <v>46070</v>
      </c>
      <c r="D761" t="inlineStr">
        <is>
          <t>UPPSALA LÄN</t>
        </is>
      </c>
      <c r="E761" t="inlineStr">
        <is>
          <t>ÖSTHAMMAR</t>
        </is>
      </c>
      <c r="G761" t="n">
        <v>2.8</v>
      </c>
      <c r="H761" t="n">
        <v>0</v>
      </c>
      <c r="I761" t="n">
        <v>0</v>
      </c>
      <c r="J761" t="n">
        <v>0</v>
      </c>
      <c r="K761" t="n">
        <v>0</v>
      </c>
      <c r="L761" t="n">
        <v>0</v>
      </c>
      <c r="M761" t="n">
        <v>0</v>
      </c>
      <c r="N761" t="n">
        <v>0</v>
      </c>
      <c r="O761" t="n">
        <v>0</v>
      </c>
      <c r="P761" t="n">
        <v>0</v>
      </c>
      <c r="Q761" t="n">
        <v>0</v>
      </c>
      <c r="R761" s="2" t="inlineStr"/>
    </row>
    <row r="762" ht="15" customHeight="1">
      <c r="A762" t="inlineStr">
        <is>
          <t>A 6121-2024</t>
        </is>
      </c>
      <c r="B762" s="1" t="n">
        <v>45337.4219212963</v>
      </c>
      <c r="C762" s="1" t="n">
        <v>46070</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62391-2022</t>
        </is>
      </c>
      <c r="B763" s="1" t="n">
        <v>44923.7849537037</v>
      </c>
      <c r="C763" s="1" t="n">
        <v>46070</v>
      </c>
      <c r="D763" t="inlineStr">
        <is>
          <t>UPPSALA LÄN</t>
        </is>
      </c>
      <c r="E763" t="inlineStr">
        <is>
          <t>ÖSTHAMMAR</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54314-2023</t>
        </is>
      </c>
      <c r="B764" s="1" t="n">
        <v>45225</v>
      </c>
      <c r="C764" s="1" t="n">
        <v>46070</v>
      </c>
      <c r="D764" t="inlineStr">
        <is>
          <t>UPPSALA LÄN</t>
        </is>
      </c>
      <c r="E764" t="inlineStr">
        <is>
          <t>ÖSTHAMMAR</t>
        </is>
      </c>
      <c r="G764" t="n">
        <v>5.1</v>
      </c>
      <c r="H764" t="n">
        <v>0</v>
      </c>
      <c r="I764" t="n">
        <v>0</v>
      </c>
      <c r="J764" t="n">
        <v>0</v>
      </c>
      <c r="K764" t="n">
        <v>0</v>
      </c>
      <c r="L764" t="n">
        <v>0</v>
      </c>
      <c r="M764" t="n">
        <v>0</v>
      </c>
      <c r="N764" t="n">
        <v>0</v>
      </c>
      <c r="O764" t="n">
        <v>0</v>
      </c>
      <c r="P764" t="n">
        <v>0</v>
      </c>
      <c r="Q764" t="n">
        <v>0</v>
      </c>
      <c r="R764" s="2" t="inlineStr"/>
    </row>
    <row r="765" ht="15" customHeight="1">
      <c r="A765" t="inlineStr">
        <is>
          <t>A 23363-2023</t>
        </is>
      </c>
      <c r="B765" s="1" t="n">
        <v>45076</v>
      </c>
      <c r="C765" s="1" t="n">
        <v>46070</v>
      </c>
      <c r="D765" t="inlineStr">
        <is>
          <t>UPPSALA LÄN</t>
        </is>
      </c>
      <c r="E765" t="inlineStr">
        <is>
          <t>ÖSTHAMMAR</t>
        </is>
      </c>
      <c r="G765" t="n">
        <v>3</v>
      </c>
      <c r="H765" t="n">
        <v>0</v>
      </c>
      <c r="I765" t="n">
        <v>0</v>
      </c>
      <c r="J765" t="n">
        <v>0</v>
      </c>
      <c r="K765" t="n">
        <v>0</v>
      </c>
      <c r="L765" t="n">
        <v>0</v>
      </c>
      <c r="M765" t="n">
        <v>0</v>
      </c>
      <c r="N765" t="n">
        <v>0</v>
      </c>
      <c r="O765" t="n">
        <v>0</v>
      </c>
      <c r="P765" t="n">
        <v>0</v>
      </c>
      <c r="Q765" t="n">
        <v>0</v>
      </c>
      <c r="R765" s="2" t="inlineStr"/>
    </row>
    <row r="766" ht="15" customHeight="1">
      <c r="A766" t="inlineStr">
        <is>
          <t>A 4233-2023</t>
        </is>
      </c>
      <c r="B766" s="1" t="n">
        <v>44953.48619212963</v>
      </c>
      <c r="C766" s="1" t="n">
        <v>46070</v>
      </c>
      <c r="D766" t="inlineStr">
        <is>
          <t>UPPSALA LÄN</t>
        </is>
      </c>
      <c r="E766" t="inlineStr">
        <is>
          <t>ÖSTHAMMAR</t>
        </is>
      </c>
      <c r="G766" t="n">
        <v>0.9</v>
      </c>
      <c r="H766" t="n">
        <v>0</v>
      </c>
      <c r="I766" t="n">
        <v>0</v>
      </c>
      <c r="J766" t="n">
        <v>0</v>
      </c>
      <c r="K766" t="n">
        <v>0</v>
      </c>
      <c r="L766" t="n">
        <v>0</v>
      </c>
      <c r="M766" t="n">
        <v>0</v>
      </c>
      <c r="N766" t="n">
        <v>0</v>
      </c>
      <c r="O766" t="n">
        <v>0</v>
      </c>
      <c r="P766" t="n">
        <v>0</v>
      </c>
      <c r="Q766" t="n">
        <v>0</v>
      </c>
      <c r="R766" s="2" t="inlineStr"/>
    </row>
    <row r="767" ht="15" customHeight="1">
      <c r="A767" t="inlineStr">
        <is>
          <t>A 58270-2023</t>
        </is>
      </c>
      <c r="B767" s="1" t="n">
        <v>45250.49961805555</v>
      </c>
      <c r="C767" s="1" t="n">
        <v>46070</v>
      </c>
      <c r="D767" t="inlineStr">
        <is>
          <t>UPPSALA LÄN</t>
        </is>
      </c>
      <c r="E767" t="inlineStr">
        <is>
          <t>ÖSTHAMMAR</t>
        </is>
      </c>
      <c r="G767" t="n">
        <v>1.3</v>
      </c>
      <c r="H767" t="n">
        <v>0</v>
      </c>
      <c r="I767" t="n">
        <v>0</v>
      </c>
      <c r="J767" t="n">
        <v>0</v>
      </c>
      <c r="K767" t="n">
        <v>0</v>
      </c>
      <c r="L767" t="n">
        <v>0</v>
      </c>
      <c r="M767" t="n">
        <v>0</v>
      </c>
      <c r="N767" t="n">
        <v>0</v>
      </c>
      <c r="O767" t="n">
        <v>0</v>
      </c>
      <c r="P767" t="n">
        <v>0</v>
      </c>
      <c r="Q767" t="n">
        <v>0</v>
      </c>
      <c r="R767" s="2" t="inlineStr"/>
    </row>
    <row r="768" ht="15" customHeight="1">
      <c r="A768" t="inlineStr">
        <is>
          <t>A 73592-2021</t>
        </is>
      </c>
      <c r="B768" s="1" t="n">
        <v>44552.36974537037</v>
      </c>
      <c r="C768" s="1" t="n">
        <v>46070</v>
      </c>
      <c r="D768" t="inlineStr">
        <is>
          <t>UPPSALA LÄN</t>
        </is>
      </c>
      <c r="E768" t="inlineStr">
        <is>
          <t>ÖSTHAMMAR</t>
        </is>
      </c>
      <c r="G768" t="n">
        <v>1.7</v>
      </c>
      <c r="H768" t="n">
        <v>0</v>
      </c>
      <c r="I768" t="n">
        <v>0</v>
      </c>
      <c r="J768" t="n">
        <v>0</v>
      </c>
      <c r="K768" t="n">
        <v>0</v>
      </c>
      <c r="L768" t="n">
        <v>0</v>
      </c>
      <c r="M768" t="n">
        <v>0</v>
      </c>
      <c r="N768" t="n">
        <v>0</v>
      </c>
      <c r="O768" t="n">
        <v>0</v>
      </c>
      <c r="P768" t="n">
        <v>0</v>
      </c>
      <c r="Q768" t="n">
        <v>0</v>
      </c>
      <c r="R768" s="2" t="inlineStr"/>
    </row>
    <row r="769" ht="15" customHeight="1">
      <c r="A769" t="inlineStr">
        <is>
          <t>A 25938-2024</t>
        </is>
      </c>
      <c r="B769" s="1" t="n">
        <v>45467.63127314814</v>
      </c>
      <c r="C769" s="1" t="n">
        <v>46070</v>
      </c>
      <c r="D769" t="inlineStr">
        <is>
          <t>UPPSALA LÄN</t>
        </is>
      </c>
      <c r="E769" t="inlineStr">
        <is>
          <t>ÖSTHAMMAR</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35539-2023</t>
        </is>
      </c>
      <c r="B770" s="1" t="n">
        <v>45147.37006944444</v>
      </c>
      <c r="C770" s="1" t="n">
        <v>46070</v>
      </c>
      <c r="D770" t="inlineStr">
        <is>
          <t>UPPSALA LÄN</t>
        </is>
      </c>
      <c r="E770" t="inlineStr">
        <is>
          <t>ÖSTHAMMAR</t>
        </is>
      </c>
      <c r="G770" t="n">
        <v>1.4</v>
      </c>
      <c r="H770" t="n">
        <v>0</v>
      </c>
      <c r="I770" t="n">
        <v>0</v>
      </c>
      <c r="J770" t="n">
        <v>0</v>
      </c>
      <c r="K770" t="n">
        <v>0</v>
      </c>
      <c r="L770" t="n">
        <v>0</v>
      </c>
      <c r="M770" t="n">
        <v>0</v>
      </c>
      <c r="N770" t="n">
        <v>0</v>
      </c>
      <c r="O770" t="n">
        <v>0</v>
      </c>
      <c r="P770" t="n">
        <v>0</v>
      </c>
      <c r="Q770" t="n">
        <v>0</v>
      </c>
      <c r="R770" s="2" t="inlineStr"/>
    </row>
    <row r="771" ht="15" customHeight="1">
      <c r="A771" t="inlineStr">
        <is>
          <t>A 32744-2022</t>
        </is>
      </c>
      <c r="B771" s="1" t="n">
        <v>44783.70378472222</v>
      </c>
      <c r="C771" s="1" t="n">
        <v>46070</v>
      </c>
      <c r="D771" t="inlineStr">
        <is>
          <t>UPPSALA LÄN</t>
        </is>
      </c>
      <c r="E771" t="inlineStr">
        <is>
          <t>ÖSTHAMMAR</t>
        </is>
      </c>
      <c r="F771" t="inlineStr">
        <is>
          <t>Bergvik skog öst AB</t>
        </is>
      </c>
      <c r="G771" t="n">
        <v>3</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46070</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8006-2023</t>
        </is>
      </c>
      <c r="B773" s="1" t="n">
        <v>44973</v>
      </c>
      <c r="C773" s="1" t="n">
        <v>46070</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13755-2023</t>
        </is>
      </c>
      <c r="B774" s="1" t="n">
        <v>45007</v>
      </c>
      <c r="C774" s="1" t="n">
        <v>46070</v>
      </c>
      <c r="D774" t="inlineStr">
        <is>
          <t>UPPSALA LÄN</t>
        </is>
      </c>
      <c r="E774" t="inlineStr">
        <is>
          <t>ÖSTHAMMAR</t>
        </is>
      </c>
      <c r="G774" t="n">
        <v>2.4</v>
      </c>
      <c r="H774" t="n">
        <v>0</v>
      </c>
      <c r="I774" t="n">
        <v>0</v>
      </c>
      <c r="J774" t="n">
        <v>0</v>
      </c>
      <c r="K774" t="n">
        <v>0</v>
      </c>
      <c r="L774" t="n">
        <v>0</v>
      </c>
      <c r="M774" t="n">
        <v>0</v>
      </c>
      <c r="N774" t="n">
        <v>0</v>
      </c>
      <c r="O774" t="n">
        <v>0</v>
      </c>
      <c r="P774" t="n">
        <v>0</v>
      </c>
      <c r="Q774" t="n">
        <v>0</v>
      </c>
      <c r="R774" s="2" t="inlineStr"/>
    </row>
    <row r="775" ht="15" customHeight="1">
      <c r="A775" t="inlineStr">
        <is>
          <t>A 13771-2023</t>
        </is>
      </c>
      <c r="B775" s="1" t="n">
        <v>45007</v>
      </c>
      <c r="C775" s="1" t="n">
        <v>46070</v>
      </c>
      <c r="D775" t="inlineStr">
        <is>
          <t>UPPSALA LÄN</t>
        </is>
      </c>
      <c r="E775" t="inlineStr">
        <is>
          <t>ÖSTHAMMAR</t>
        </is>
      </c>
      <c r="G775" t="n">
        <v>2.7</v>
      </c>
      <c r="H775" t="n">
        <v>0</v>
      </c>
      <c r="I775" t="n">
        <v>0</v>
      </c>
      <c r="J775" t="n">
        <v>0</v>
      </c>
      <c r="K775" t="n">
        <v>0</v>
      </c>
      <c r="L775" t="n">
        <v>0</v>
      </c>
      <c r="M775" t="n">
        <v>0</v>
      </c>
      <c r="N775" t="n">
        <v>0</v>
      </c>
      <c r="O775" t="n">
        <v>0</v>
      </c>
      <c r="P775" t="n">
        <v>0</v>
      </c>
      <c r="Q775" t="n">
        <v>0</v>
      </c>
      <c r="R775" s="2" t="inlineStr"/>
    </row>
    <row r="776" ht="15" customHeight="1">
      <c r="A776" t="inlineStr">
        <is>
          <t>A 7543-2023</t>
        </is>
      </c>
      <c r="B776" s="1" t="n">
        <v>44972</v>
      </c>
      <c r="C776" s="1" t="n">
        <v>46070</v>
      </c>
      <c r="D776" t="inlineStr">
        <is>
          <t>UPPSALA LÄN</t>
        </is>
      </c>
      <c r="E776" t="inlineStr">
        <is>
          <t>ÖSTHAMMAR</t>
        </is>
      </c>
      <c r="F776" t="inlineStr">
        <is>
          <t>Bergvik skog öst AB</t>
        </is>
      </c>
      <c r="G776" t="n">
        <v>13.3</v>
      </c>
      <c r="H776" t="n">
        <v>0</v>
      </c>
      <c r="I776" t="n">
        <v>0</v>
      </c>
      <c r="J776" t="n">
        <v>0</v>
      </c>
      <c r="K776" t="n">
        <v>0</v>
      </c>
      <c r="L776" t="n">
        <v>0</v>
      </c>
      <c r="M776" t="n">
        <v>0</v>
      </c>
      <c r="N776" t="n">
        <v>0</v>
      </c>
      <c r="O776" t="n">
        <v>0</v>
      </c>
      <c r="P776" t="n">
        <v>0</v>
      </c>
      <c r="Q776" t="n">
        <v>0</v>
      </c>
      <c r="R776" s="2" t="inlineStr"/>
    </row>
    <row r="777" ht="15" customHeight="1">
      <c r="A777" t="inlineStr">
        <is>
          <t>A 49899-2023</t>
        </is>
      </c>
      <c r="B777" s="1" t="n">
        <v>45213</v>
      </c>
      <c r="C777" s="1" t="n">
        <v>46070</v>
      </c>
      <c r="D777" t="inlineStr">
        <is>
          <t>UPPSALA LÄN</t>
        </is>
      </c>
      <c r="E777" t="inlineStr">
        <is>
          <t>ÖSTHAMMAR</t>
        </is>
      </c>
      <c r="G777" t="n">
        <v>6.2</v>
      </c>
      <c r="H777" t="n">
        <v>0</v>
      </c>
      <c r="I777" t="n">
        <v>0</v>
      </c>
      <c r="J777" t="n">
        <v>0</v>
      </c>
      <c r="K777" t="n">
        <v>0</v>
      </c>
      <c r="L777" t="n">
        <v>0</v>
      </c>
      <c r="M777" t="n">
        <v>0</v>
      </c>
      <c r="N777" t="n">
        <v>0</v>
      </c>
      <c r="O777" t="n">
        <v>0</v>
      </c>
      <c r="P777" t="n">
        <v>0</v>
      </c>
      <c r="Q777" t="n">
        <v>0</v>
      </c>
      <c r="R777" s="2" t="inlineStr"/>
    </row>
    <row r="778" ht="15" customHeight="1">
      <c r="A778" t="inlineStr">
        <is>
          <t>A 4676-2025</t>
        </is>
      </c>
      <c r="B778" s="1" t="n">
        <v>45687.8313425926</v>
      </c>
      <c r="C778" s="1" t="n">
        <v>46070</v>
      </c>
      <c r="D778" t="inlineStr">
        <is>
          <t>UPPSALA LÄN</t>
        </is>
      </c>
      <c r="E778" t="inlineStr">
        <is>
          <t>ÖSTHAMMAR</t>
        </is>
      </c>
      <c r="G778" t="n">
        <v>3.7</v>
      </c>
      <c r="H778" t="n">
        <v>0</v>
      </c>
      <c r="I778" t="n">
        <v>0</v>
      </c>
      <c r="J778" t="n">
        <v>0</v>
      </c>
      <c r="K778" t="n">
        <v>0</v>
      </c>
      <c r="L778" t="n">
        <v>0</v>
      </c>
      <c r="M778" t="n">
        <v>0</v>
      </c>
      <c r="N778" t="n">
        <v>0</v>
      </c>
      <c r="O778" t="n">
        <v>0</v>
      </c>
      <c r="P778" t="n">
        <v>0</v>
      </c>
      <c r="Q778" t="n">
        <v>0</v>
      </c>
      <c r="R778" s="2" t="inlineStr"/>
    </row>
    <row r="779" ht="15" customHeight="1">
      <c r="A779" t="inlineStr">
        <is>
          <t>A 17009-2021</t>
        </is>
      </c>
      <c r="B779" s="1" t="n">
        <v>44295.63969907408</v>
      </c>
      <c r="C779" s="1" t="n">
        <v>46070</v>
      </c>
      <c r="D779" t="inlineStr">
        <is>
          <t>UPPSALA LÄN</t>
        </is>
      </c>
      <c r="E779" t="inlineStr">
        <is>
          <t>ÖSTHAMMAR</t>
        </is>
      </c>
      <c r="F779" t="inlineStr">
        <is>
          <t>Bergvik skog öst AB</t>
        </is>
      </c>
      <c r="G779" t="n">
        <v>3.2</v>
      </c>
      <c r="H779" t="n">
        <v>0</v>
      </c>
      <c r="I779" t="n">
        <v>0</v>
      </c>
      <c r="J779" t="n">
        <v>0</v>
      </c>
      <c r="K779" t="n">
        <v>0</v>
      </c>
      <c r="L779" t="n">
        <v>0</v>
      </c>
      <c r="M779" t="n">
        <v>0</v>
      </c>
      <c r="N779" t="n">
        <v>0</v>
      </c>
      <c r="O779" t="n">
        <v>0</v>
      </c>
      <c r="P779" t="n">
        <v>0</v>
      </c>
      <c r="Q779" t="n">
        <v>0</v>
      </c>
      <c r="R779" s="2" t="inlineStr"/>
    </row>
    <row r="780" ht="15" customHeight="1">
      <c r="A780" t="inlineStr">
        <is>
          <t>A 33758-2024</t>
        </is>
      </c>
      <c r="B780" s="1" t="n">
        <v>45520.56896990741</v>
      </c>
      <c r="C780" s="1" t="n">
        <v>46070</v>
      </c>
      <c r="D780" t="inlineStr">
        <is>
          <t>UPPSALA LÄN</t>
        </is>
      </c>
      <c r="E780" t="inlineStr">
        <is>
          <t>ÖSTHAMMAR</t>
        </is>
      </c>
      <c r="G780" t="n">
        <v>6.5</v>
      </c>
      <c r="H780" t="n">
        <v>0</v>
      </c>
      <c r="I780" t="n">
        <v>0</v>
      </c>
      <c r="J780" t="n">
        <v>0</v>
      </c>
      <c r="K780" t="n">
        <v>0</v>
      </c>
      <c r="L780" t="n">
        <v>0</v>
      </c>
      <c r="M780" t="n">
        <v>0</v>
      </c>
      <c r="N780" t="n">
        <v>0</v>
      </c>
      <c r="O780" t="n">
        <v>0</v>
      </c>
      <c r="P780" t="n">
        <v>0</v>
      </c>
      <c r="Q780" t="n">
        <v>0</v>
      </c>
      <c r="R780" s="2" t="inlineStr"/>
    </row>
    <row r="781" ht="15" customHeight="1">
      <c r="A781" t="inlineStr">
        <is>
          <t>A 24259-2022</t>
        </is>
      </c>
      <c r="B781" s="1" t="n">
        <v>44725</v>
      </c>
      <c r="C781" s="1" t="n">
        <v>46070</v>
      </c>
      <c r="D781" t="inlineStr">
        <is>
          <t>UPPSALA LÄN</t>
        </is>
      </c>
      <c r="E781" t="inlineStr">
        <is>
          <t>ÖSTHAMMAR</t>
        </is>
      </c>
      <c r="G781" t="n">
        <v>2.4</v>
      </c>
      <c r="H781" t="n">
        <v>0</v>
      </c>
      <c r="I781" t="n">
        <v>0</v>
      </c>
      <c r="J781" t="n">
        <v>0</v>
      </c>
      <c r="K781" t="n">
        <v>0</v>
      </c>
      <c r="L781" t="n">
        <v>0</v>
      </c>
      <c r="M781" t="n">
        <v>0</v>
      </c>
      <c r="N781" t="n">
        <v>0</v>
      </c>
      <c r="O781" t="n">
        <v>0</v>
      </c>
      <c r="P781" t="n">
        <v>0</v>
      </c>
      <c r="Q781" t="n">
        <v>0</v>
      </c>
      <c r="R781" s="2" t="inlineStr"/>
    </row>
    <row r="782" ht="15" customHeight="1">
      <c r="A782" t="inlineStr">
        <is>
          <t>A 18113-2023</t>
        </is>
      </c>
      <c r="B782" s="1" t="n">
        <v>45040</v>
      </c>
      <c r="C782" s="1" t="n">
        <v>46070</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61216-2022</t>
        </is>
      </c>
      <c r="B783" s="1" t="n">
        <v>44915.55423611111</v>
      </c>
      <c r="C783" s="1" t="n">
        <v>46070</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46070</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69411-2021</t>
        </is>
      </c>
      <c r="B785" s="1" t="n">
        <v>44531.61038194445</v>
      </c>
      <c r="C785" s="1" t="n">
        <v>46070</v>
      </c>
      <c r="D785" t="inlineStr">
        <is>
          <t>UPPSALA LÄN</t>
        </is>
      </c>
      <c r="E785" t="inlineStr">
        <is>
          <t>ÖSTHAMMAR</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26303-2024</t>
        </is>
      </c>
      <c r="B786" s="1" t="n">
        <v>45468</v>
      </c>
      <c r="C786" s="1" t="n">
        <v>46070</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ht="15" customHeight="1">
      <c r="A787" t="inlineStr">
        <is>
          <t>A 7100-2025</t>
        </is>
      </c>
      <c r="B787" s="1" t="n">
        <v>45701.83930555556</v>
      </c>
      <c r="C787" s="1" t="n">
        <v>46070</v>
      </c>
      <c r="D787" t="inlineStr">
        <is>
          <t>UPPSALA LÄN</t>
        </is>
      </c>
      <c r="E787" t="inlineStr">
        <is>
          <t>ÖSTHAMMAR</t>
        </is>
      </c>
      <c r="G787" t="n">
        <v>4.3</v>
      </c>
      <c r="H787" t="n">
        <v>0</v>
      </c>
      <c r="I787" t="n">
        <v>0</v>
      </c>
      <c r="J787" t="n">
        <v>0</v>
      </c>
      <c r="K787" t="n">
        <v>0</v>
      </c>
      <c r="L787" t="n">
        <v>0</v>
      </c>
      <c r="M787" t="n">
        <v>0</v>
      </c>
      <c r="N787" t="n">
        <v>0</v>
      </c>
      <c r="O787" t="n">
        <v>0</v>
      </c>
      <c r="P787" t="n">
        <v>0</v>
      </c>
      <c r="Q787" t="n">
        <v>0</v>
      </c>
      <c r="R787" s="2" t="inlineStr"/>
    </row>
    <row r="788" ht="15" customHeight="1">
      <c r="A788" t="inlineStr">
        <is>
          <t>A 60577-2021</t>
        </is>
      </c>
      <c r="B788" s="1" t="n">
        <v>44496.57019675926</v>
      </c>
      <c r="C788" s="1" t="n">
        <v>46070</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10495-2025</t>
        </is>
      </c>
      <c r="B789" s="1" t="n">
        <v>45721</v>
      </c>
      <c r="C789" s="1" t="n">
        <v>46070</v>
      </c>
      <c r="D789" t="inlineStr">
        <is>
          <t>UPPSALA LÄN</t>
        </is>
      </c>
      <c r="E789" t="inlineStr">
        <is>
          <t>ÖSTHAMMAR</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1791-2023</t>
        </is>
      </c>
      <c r="B790" s="1" t="n">
        <v>44938</v>
      </c>
      <c r="C790" s="1" t="n">
        <v>46070</v>
      </c>
      <c r="D790" t="inlineStr">
        <is>
          <t>UPPSALA LÄN</t>
        </is>
      </c>
      <c r="E790" t="inlineStr">
        <is>
          <t>ÖSTHAMMAR</t>
        </is>
      </c>
      <c r="G790" t="n">
        <v>2</v>
      </c>
      <c r="H790" t="n">
        <v>0</v>
      </c>
      <c r="I790" t="n">
        <v>0</v>
      </c>
      <c r="J790" t="n">
        <v>0</v>
      </c>
      <c r="K790" t="n">
        <v>0</v>
      </c>
      <c r="L790" t="n">
        <v>0</v>
      </c>
      <c r="M790" t="n">
        <v>0</v>
      </c>
      <c r="N790" t="n">
        <v>0</v>
      </c>
      <c r="O790" t="n">
        <v>0</v>
      </c>
      <c r="P790" t="n">
        <v>0</v>
      </c>
      <c r="Q790" t="n">
        <v>0</v>
      </c>
      <c r="R790" s="2" t="inlineStr"/>
    </row>
    <row r="791" ht="15" customHeight="1">
      <c r="A791" t="inlineStr">
        <is>
          <t>A 49796-2024</t>
        </is>
      </c>
      <c r="B791" s="1" t="n">
        <v>45597</v>
      </c>
      <c r="C791" s="1" t="n">
        <v>46070</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21133-2025</t>
        </is>
      </c>
      <c r="B792" s="1" t="n">
        <v>45778.415625</v>
      </c>
      <c r="C792" s="1" t="n">
        <v>46070</v>
      </c>
      <c r="D792" t="inlineStr">
        <is>
          <t>UPPSALA LÄN</t>
        </is>
      </c>
      <c r="E792" t="inlineStr">
        <is>
          <t>ÖSTHAMMAR</t>
        </is>
      </c>
      <c r="G792" t="n">
        <v>1.5</v>
      </c>
      <c r="H792" t="n">
        <v>0</v>
      </c>
      <c r="I792" t="n">
        <v>0</v>
      </c>
      <c r="J792" t="n">
        <v>0</v>
      </c>
      <c r="K792" t="n">
        <v>0</v>
      </c>
      <c r="L792" t="n">
        <v>0</v>
      </c>
      <c r="M792" t="n">
        <v>0</v>
      </c>
      <c r="N792" t="n">
        <v>0</v>
      </c>
      <c r="O792" t="n">
        <v>0</v>
      </c>
      <c r="P792" t="n">
        <v>0</v>
      </c>
      <c r="Q792" t="n">
        <v>0</v>
      </c>
      <c r="R792" s="2" t="inlineStr"/>
    </row>
    <row r="793" ht="15" customHeight="1">
      <c r="A793" t="inlineStr">
        <is>
          <t>A 21132-2025</t>
        </is>
      </c>
      <c r="B793" s="1" t="n">
        <v>45778.4108912037</v>
      </c>
      <c r="C793" s="1" t="n">
        <v>46070</v>
      </c>
      <c r="D793" t="inlineStr">
        <is>
          <t>UPPSALA LÄN</t>
        </is>
      </c>
      <c r="E793" t="inlineStr">
        <is>
          <t>ÖSTHAMMAR</t>
        </is>
      </c>
      <c r="G793" t="n">
        <v>10.1</v>
      </c>
      <c r="H793" t="n">
        <v>0</v>
      </c>
      <c r="I793" t="n">
        <v>0</v>
      </c>
      <c r="J793" t="n">
        <v>0</v>
      </c>
      <c r="K793" t="n">
        <v>0</v>
      </c>
      <c r="L793" t="n">
        <v>0</v>
      </c>
      <c r="M793" t="n">
        <v>0</v>
      </c>
      <c r="N793" t="n">
        <v>0</v>
      </c>
      <c r="O793" t="n">
        <v>0</v>
      </c>
      <c r="P793" t="n">
        <v>0</v>
      </c>
      <c r="Q793" t="n">
        <v>0</v>
      </c>
      <c r="R793" s="2" t="inlineStr"/>
    </row>
    <row r="794" ht="15" customHeight="1">
      <c r="A794" t="inlineStr">
        <is>
          <t>A 42262-2024</t>
        </is>
      </c>
      <c r="B794" s="1" t="n">
        <v>45562</v>
      </c>
      <c r="C794" s="1" t="n">
        <v>46070</v>
      </c>
      <c r="D794" t="inlineStr">
        <is>
          <t>UPPSALA LÄN</t>
        </is>
      </c>
      <c r="E794" t="inlineStr">
        <is>
          <t>ÖSTHAMMAR</t>
        </is>
      </c>
      <c r="F794" t="inlineStr">
        <is>
          <t>Bergvik skog öst AB</t>
        </is>
      </c>
      <c r="G794" t="n">
        <v>1.7</v>
      </c>
      <c r="H794" t="n">
        <v>0</v>
      </c>
      <c r="I794" t="n">
        <v>0</v>
      </c>
      <c r="J794" t="n">
        <v>0</v>
      </c>
      <c r="K794" t="n">
        <v>0</v>
      </c>
      <c r="L794" t="n">
        <v>0</v>
      </c>
      <c r="M794" t="n">
        <v>0</v>
      </c>
      <c r="N794" t="n">
        <v>0</v>
      </c>
      <c r="O794" t="n">
        <v>0</v>
      </c>
      <c r="P794" t="n">
        <v>0</v>
      </c>
      <c r="Q794" t="n">
        <v>0</v>
      </c>
      <c r="R794" s="2" t="inlineStr"/>
    </row>
    <row r="795" ht="15" customHeight="1">
      <c r="A795" t="inlineStr">
        <is>
          <t>A 36954-2024</t>
        </is>
      </c>
      <c r="B795" s="1" t="n">
        <v>45538.71109953704</v>
      </c>
      <c r="C795" s="1" t="n">
        <v>46070</v>
      </c>
      <c r="D795" t="inlineStr">
        <is>
          <t>UPPSALA LÄN</t>
        </is>
      </c>
      <c r="E795" t="inlineStr">
        <is>
          <t>ÖSTHAMMAR</t>
        </is>
      </c>
      <c r="F795" t="inlineStr">
        <is>
          <t>Bergvik skog öst AB</t>
        </is>
      </c>
      <c r="G795" t="n">
        <v>5.1</v>
      </c>
      <c r="H795" t="n">
        <v>0</v>
      </c>
      <c r="I795" t="n">
        <v>0</v>
      </c>
      <c r="J795" t="n">
        <v>0</v>
      </c>
      <c r="K795" t="n">
        <v>0</v>
      </c>
      <c r="L795" t="n">
        <v>0</v>
      </c>
      <c r="M795" t="n">
        <v>0</v>
      </c>
      <c r="N795" t="n">
        <v>0</v>
      </c>
      <c r="O795" t="n">
        <v>0</v>
      </c>
      <c r="P795" t="n">
        <v>0</v>
      </c>
      <c r="Q795" t="n">
        <v>0</v>
      </c>
      <c r="R795" s="2" t="inlineStr"/>
    </row>
    <row r="796" ht="15" customHeight="1">
      <c r="A796" t="inlineStr">
        <is>
          <t>A 33685-2024</t>
        </is>
      </c>
      <c r="B796" s="1" t="n">
        <v>45520.51063657407</v>
      </c>
      <c r="C796" s="1" t="n">
        <v>46070</v>
      </c>
      <c r="D796" t="inlineStr">
        <is>
          <t>UPPSALA LÄN</t>
        </is>
      </c>
      <c r="E796" t="inlineStr">
        <is>
          <t>ÖSTHAMMAR</t>
        </is>
      </c>
      <c r="F796" t="inlineStr">
        <is>
          <t>Bergvik skog öst AB</t>
        </is>
      </c>
      <c r="G796" t="n">
        <v>3.8</v>
      </c>
      <c r="H796" t="n">
        <v>0</v>
      </c>
      <c r="I796" t="n">
        <v>0</v>
      </c>
      <c r="J796" t="n">
        <v>0</v>
      </c>
      <c r="K796" t="n">
        <v>0</v>
      </c>
      <c r="L796" t="n">
        <v>0</v>
      </c>
      <c r="M796" t="n">
        <v>0</v>
      </c>
      <c r="N796" t="n">
        <v>0</v>
      </c>
      <c r="O796" t="n">
        <v>0</v>
      </c>
      <c r="P796" t="n">
        <v>0</v>
      </c>
      <c r="Q796" t="n">
        <v>0</v>
      </c>
      <c r="R796" s="2" t="inlineStr"/>
    </row>
    <row r="797" ht="15" customHeight="1">
      <c r="A797" t="inlineStr">
        <is>
          <t>A 43655-2024</t>
        </is>
      </c>
      <c r="B797" s="1" t="n">
        <v>45569</v>
      </c>
      <c r="C797" s="1" t="n">
        <v>46070</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22488-2025</t>
        </is>
      </c>
      <c r="B798" s="1" t="n">
        <v>45786.64865740741</v>
      </c>
      <c r="C798" s="1" t="n">
        <v>46070</v>
      </c>
      <c r="D798" t="inlineStr">
        <is>
          <t>UPPSALA LÄN</t>
        </is>
      </c>
      <c r="E798" t="inlineStr">
        <is>
          <t>ÖSTHAMMAR</t>
        </is>
      </c>
      <c r="F798" t="inlineStr">
        <is>
          <t>Bergvik skog öst AB</t>
        </is>
      </c>
      <c r="G798" t="n">
        <v>14.9</v>
      </c>
      <c r="H798" t="n">
        <v>0</v>
      </c>
      <c r="I798" t="n">
        <v>0</v>
      </c>
      <c r="J798" t="n">
        <v>0</v>
      </c>
      <c r="K798" t="n">
        <v>0</v>
      </c>
      <c r="L798" t="n">
        <v>0</v>
      </c>
      <c r="M798" t="n">
        <v>0</v>
      </c>
      <c r="N798" t="n">
        <v>0</v>
      </c>
      <c r="O798" t="n">
        <v>0</v>
      </c>
      <c r="P798" t="n">
        <v>0</v>
      </c>
      <c r="Q798" t="n">
        <v>0</v>
      </c>
      <c r="R798" s="2" t="inlineStr"/>
    </row>
    <row r="799" ht="15" customHeight="1">
      <c r="A799" t="inlineStr">
        <is>
          <t>A 14595-2023</t>
        </is>
      </c>
      <c r="B799" s="1" t="n">
        <v>45013.57858796296</v>
      </c>
      <c r="C799" s="1" t="n">
        <v>46070</v>
      </c>
      <c r="D799" t="inlineStr">
        <is>
          <t>UPPSALA LÄN</t>
        </is>
      </c>
      <c r="E799" t="inlineStr">
        <is>
          <t>ÖSTHAMMAR</t>
        </is>
      </c>
      <c r="G799" t="n">
        <v>5</v>
      </c>
      <c r="H799" t="n">
        <v>0</v>
      </c>
      <c r="I799" t="n">
        <v>0</v>
      </c>
      <c r="J799" t="n">
        <v>0</v>
      </c>
      <c r="K799" t="n">
        <v>0</v>
      </c>
      <c r="L799" t="n">
        <v>0</v>
      </c>
      <c r="M799" t="n">
        <v>0</v>
      </c>
      <c r="N799" t="n">
        <v>0</v>
      </c>
      <c r="O799" t="n">
        <v>0</v>
      </c>
      <c r="P799" t="n">
        <v>0</v>
      </c>
      <c r="Q799" t="n">
        <v>0</v>
      </c>
      <c r="R799" s="2" t="inlineStr"/>
    </row>
    <row r="800" ht="15" customHeight="1">
      <c r="A800" t="inlineStr">
        <is>
          <t>A 32483-2024</t>
        </is>
      </c>
      <c r="B800" s="1" t="n">
        <v>45513.36644675926</v>
      </c>
      <c r="C800" s="1" t="n">
        <v>46070</v>
      </c>
      <c r="D800" t="inlineStr">
        <is>
          <t>UPPSALA LÄN</t>
        </is>
      </c>
      <c r="E800" t="inlineStr">
        <is>
          <t>ÖSTHAMMAR</t>
        </is>
      </c>
      <c r="F800" t="inlineStr">
        <is>
          <t>Kyrkan</t>
        </is>
      </c>
      <c r="G800" t="n">
        <v>4.7</v>
      </c>
      <c r="H800" t="n">
        <v>0</v>
      </c>
      <c r="I800" t="n">
        <v>0</v>
      </c>
      <c r="J800" t="n">
        <v>0</v>
      </c>
      <c r="K800" t="n">
        <v>0</v>
      </c>
      <c r="L800" t="n">
        <v>0</v>
      </c>
      <c r="M800" t="n">
        <v>0</v>
      </c>
      <c r="N800" t="n">
        <v>0</v>
      </c>
      <c r="O800" t="n">
        <v>0</v>
      </c>
      <c r="P800" t="n">
        <v>0</v>
      </c>
      <c r="Q800" t="n">
        <v>0</v>
      </c>
      <c r="R800" s="2" t="inlineStr"/>
    </row>
    <row r="801" ht="15" customHeight="1">
      <c r="A801" t="inlineStr">
        <is>
          <t>A 38575-2024</t>
        </is>
      </c>
      <c r="B801" s="1" t="n">
        <v>45546.64221064815</v>
      </c>
      <c r="C801" s="1" t="n">
        <v>46070</v>
      </c>
      <c r="D801" t="inlineStr">
        <is>
          <t>UPPSALA LÄN</t>
        </is>
      </c>
      <c r="E801" t="inlineStr">
        <is>
          <t>ÖSTHAMMAR</t>
        </is>
      </c>
      <c r="F801" t="inlineStr">
        <is>
          <t>Bergvik skog öst AB</t>
        </is>
      </c>
      <c r="G801" t="n">
        <v>5.1</v>
      </c>
      <c r="H801" t="n">
        <v>0</v>
      </c>
      <c r="I801" t="n">
        <v>0</v>
      </c>
      <c r="J801" t="n">
        <v>0</v>
      </c>
      <c r="K801" t="n">
        <v>0</v>
      </c>
      <c r="L801" t="n">
        <v>0</v>
      </c>
      <c r="M801" t="n">
        <v>0</v>
      </c>
      <c r="N801" t="n">
        <v>0</v>
      </c>
      <c r="O801" t="n">
        <v>0</v>
      </c>
      <c r="P801" t="n">
        <v>0</v>
      </c>
      <c r="Q801" t="n">
        <v>0</v>
      </c>
      <c r="R801" s="2" t="inlineStr"/>
    </row>
    <row r="802" ht="15" customHeight="1">
      <c r="A802" t="inlineStr">
        <is>
          <t>A 43685-2024</t>
        </is>
      </c>
      <c r="B802" s="1" t="n">
        <v>45569</v>
      </c>
      <c r="C802" s="1" t="n">
        <v>46070</v>
      </c>
      <c r="D802" t="inlineStr">
        <is>
          <t>UPPSALA LÄN</t>
        </is>
      </c>
      <c r="E802" t="inlineStr">
        <is>
          <t>ÖSTHAMMAR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44796-2024</t>
        </is>
      </c>
      <c r="B803" s="1" t="n">
        <v>45574</v>
      </c>
      <c r="C803" s="1" t="n">
        <v>46070</v>
      </c>
      <c r="D803" t="inlineStr">
        <is>
          <t>UPPSALA LÄN</t>
        </is>
      </c>
      <c r="E803" t="inlineStr">
        <is>
          <t>ÖSTHAMMAR</t>
        </is>
      </c>
      <c r="G803" t="n">
        <v>4.7</v>
      </c>
      <c r="H803" t="n">
        <v>0</v>
      </c>
      <c r="I803" t="n">
        <v>0</v>
      </c>
      <c r="J803" t="n">
        <v>0</v>
      </c>
      <c r="K803" t="n">
        <v>0</v>
      </c>
      <c r="L803" t="n">
        <v>0</v>
      </c>
      <c r="M803" t="n">
        <v>0</v>
      </c>
      <c r="N803" t="n">
        <v>0</v>
      </c>
      <c r="O803" t="n">
        <v>0</v>
      </c>
      <c r="P803" t="n">
        <v>0</v>
      </c>
      <c r="Q803" t="n">
        <v>0</v>
      </c>
      <c r="R803" s="2" t="inlineStr"/>
    </row>
    <row r="804" ht="15" customHeight="1">
      <c r="A804" t="inlineStr">
        <is>
          <t>A 44027-2024</t>
        </is>
      </c>
      <c r="B804" s="1" t="n">
        <v>45572</v>
      </c>
      <c r="C804" s="1" t="n">
        <v>46070</v>
      </c>
      <c r="D804" t="inlineStr">
        <is>
          <t>UPPSALA LÄN</t>
        </is>
      </c>
      <c r="E804" t="inlineStr">
        <is>
          <t>ÖSTHAMMAR</t>
        </is>
      </c>
      <c r="G804" t="n">
        <v>6</v>
      </c>
      <c r="H804" t="n">
        <v>0</v>
      </c>
      <c r="I804" t="n">
        <v>0</v>
      </c>
      <c r="J804" t="n">
        <v>0</v>
      </c>
      <c r="K804" t="n">
        <v>0</v>
      </c>
      <c r="L804" t="n">
        <v>0</v>
      </c>
      <c r="M804" t="n">
        <v>0</v>
      </c>
      <c r="N804" t="n">
        <v>0</v>
      </c>
      <c r="O804" t="n">
        <v>0</v>
      </c>
      <c r="P804" t="n">
        <v>0</v>
      </c>
      <c r="Q804" t="n">
        <v>0</v>
      </c>
      <c r="R804" s="2" t="inlineStr"/>
    </row>
    <row r="805" ht="15" customHeight="1">
      <c r="A805" t="inlineStr">
        <is>
          <t>A 5931-2022</t>
        </is>
      </c>
      <c r="B805" s="1" t="n">
        <v>44598.82700231481</v>
      </c>
      <c r="C805" s="1" t="n">
        <v>46070</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43683-2024</t>
        </is>
      </c>
      <c r="B806" s="1" t="n">
        <v>45569.57518518518</v>
      </c>
      <c r="C806" s="1" t="n">
        <v>46070</v>
      </c>
      <c r="D806" t="inlineStr">
        <is>
          <t>UPPSALA LÄN</t>
        </is>
      </c>
      <c r="E806" t="inlineStr">
        <is>
          <t>ÖSTHAMMAR</t>
        </is>
      </c>
      <c r="G806" t="n">
        <v>4.7</v>
      </c>
      <c r="H806" t="n">
        <v>0</v>
      </c>
      <c r="I806" t="n">
        <v>0</v>
      </c>
      <c r="J806" t="n">
        <v>0</v>
      </c>
      <c r="K806" t="n">
        <v>0</v>
      </c>
      <c r="L806" t="n">
        <v>0</v>
      </c>
      <c r="M806" t="n">
        <v>0</v>
      </c>
      <c r="N806" t="n">
        <v>0</v>
      </c>
      <c r="O806" t="n">
        <v>0</v>
      </c>
      <c r="P806" t="n">
        <v>0</v>
      </c>
      <c r="Q806" t="n">
        <v>0</v>
      </c>
      <c r="R806" s="2" t="inlineStr"/>
    </row>
    <row r="807">
      <c r="A807" t="inlineStr">
        <is>
          <t>A 43993-2024</t>
        </is>
      </c>
      <c r="B807" s="1" t="n">
        <v>45572.52690972222</v>
      </c>
      <c r="C807" s="1" t="n">
        <v>46070</v>
      </c>
      <c r="D807" t="inlineStr">
        <is>
          <t>UPPSALA LÄN</t>
        </is>
      </c>
      <c r="E807" t="inlineStr">
        <is>
          <t>ÖSTHAMMAR</t>
        </is>
      </c>
      <c r="G807" t="n">
        <v>1.5</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2026-02-17T11:38:46Z</dcterms:created>
  <dcterms:modified xmlns:dcterms="http://purl.org/dc/terms/" xmlns:xsi="http://www.w3.org/2001/XMLSchema-instance" xsi:type="dcterms:W3CDTF">2026-02-17T11:38:47Z</dcterms:modified>
</cp:coreProperties>
</file>