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1944-2026</t>
        </is>
      </c>
      <c r="B2" t="inlineStr">
        <is>
          <t>samrådsanmälan</t>
        </is>
      </c>
      <c r="C2" t="inlineStr">
        <is>
          <t>Annan skogsbruksåtgärd</t>
        </is>
      </c>
      <c r="D2" s="1" t="n">
        <v>46204</v>
      </c>
      <c r="E2" s="1" t="n">
        <v>46221</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Y2">
        <f>HYPERLINK("https://klasma.github.io/Logging_0382/klagomål/S 1944-2026 FSC-klagomål.docx", "S 1944-2026")</f>
        <v/>
      </c>
      <c r="Z2">
        <f>HYPERLINK("https://klasma.github.io/Logging_0382/klagomålsmail/S 1944-2026 FSC-klagomål mail.docx", "S 1944-2026")</f>
        <v/>
      </c>
      <c r="AA2">
        <f>HYPERLINK("https://klasma.github.io/Logging_0382/tillsyn/S 1944-2026 tillsynsbegäran.docx", "S 1944-2026")</f>
        <v/>
      </c>
      <c r="AB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Y3">
        <f>HYPERLINK("https://klasma.github.io/Logging_0382/klagomål/S 2443-2023 FSC-klagomål.docx", "S 2443-2023")</f>
        <v/>
      </c>
      <c r="Z3">
        <f>HYPERLINK("https://klasma.github.io/Logging_0382/klagomålsmail/S 2443-2023 FSC-klagomål mail.docx", "S 2443-2023")</f>
        <v/>
      </c>
      <c r="AA3">
        <f>HYPERLINK("https://klasma.github.io/Logging_0382/tillsyn/S 2443-2023 tillsynsbegäran.docx", "S 2443-2023")</f>
        <v/>
      </c>
      <c r="AB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HYPERLINK("https://klasma.github.io/Logging_0382/knärot/A 29556-2023 karta knärot.png", "A 29556-2023")</f>
        <v/>
      </c>
      <c r="Y4">
        <f>HYPERLINK("https://klasma.github.io/Logging_0382/klagomål/A 29556-2023 FSC-klagomål.docx", "A 29556-2023")</f>
        <v/>
      </c>
      <c r="Z4">
        <f>HYPERLINK("https://klasma.github.io/Logging_0382/klagomålsmail/A 29556-2023 FSC-klagomål mail.docx", "A 29556-2023")</f>
        <v/>
      </c>
      <c r="AA4">
        <f>HYPERLINK("https://klasma.github.io/Logging_0382/tillsyn/A 29556-2023 tillsynsbegäran.docx", "A 29556-2023")</f>
        <v/>
      </c>
      <c r="AB4">
        <f>HYPERLINK("https://klasma.github.io/Logging_0382/tillsynsmail/A 29556-2023 tillsynsbegäran mail.docx", "A 29556-2023")</f>
        <v/>
      </c>
      <c r="AC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46221</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Y5">
        <f>HYPERLINK("https://klasma.github.io/Logging_0382/klagomål/A 48241-2024 FSC-klagomål.docx", "A 48241-2024")</f>
        <v/>
      </c>
      <c r="Z5">
        <f>HYPERLINK("https://klasma.github.io/Logging_0382/klagomålsmail/A 48241-2024 FSC-klagomål mail.docx", "A 48241-2024")</f>
        <v/>
      </c>
      <c r="AA5">
        <f>HYPERLINK("https://klasma.github.io/Logging_0382/tillsyn/A 48241-2024 tillsynsbegäran.docx", "A 48241-2024")</f>
        <v/>
      </c>
      <c r="AB5">
        <f>HYPERLINK("https://klasma.github.io/Logging_0382/tillsynsmail/A 48241-2024 tillsynsbegäran mail.docx", "A 48241-2024")</f>
        <v/>
      </c>
      <c r="AC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46221</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Y6">
        <f>HYPERLINK("https://klasma.github.io/Logging_0382/klagomål/S 1641-2023 FSC-klagomål.docx", "S 1641-2023")</f>
        <v/>
      </c>
      <c r="Z6">
        <f>HYPERLINK("https://klasma.github.io/Logging_0382/klagomålsmail/S 1641-2023 FSC-klagomål mail.docx", "S 1641-2023")</f>
        <v/>
      </c>
      <c r="AA6">
        <f>HYPERLINK("https://klasma.github.io/Logging_0382/tillsyn/S 1641-2023 tillsynsbegäran.docx", "S 1641-2023")</f>
        <v/>
      </c>
      <c r="AB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46221</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Y7">
        <f>HYPERLINK("https://klasma.github.io/Logging_0382/klagomål/S 1668-2023 FSC-klagomål.docx", "S 1668-2023")</f>
        <v/>
      </c>
      <c r="Z7">
        <f>HYPERLINK("https://klasma.github.io/Logging_0382/klagomålsmail/S 1668-2023 FSC-klagomål mail.docx", "S 1668-2023")</f>
        <v/>
      </c>
      <c r="AA7">
        <f>HYPERLINK("https://klasma.github.io/Logging_0382/tillsyn/S 1668-2023 tillsynsbegäran.docx", "S 1668-2023")</f>
        <v/>
      </c>
      <c r="AB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46221</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HYPERLINK("https://klasma.github.io/Logging_0382/knärot/A 260-2025 karta knärot.png", "A 260-2025")</f>
        <v/>
      </c>
      <c r="Y8">
        <f>HYPERLINK("https://klasma.github.io/Logging_0382/klagomål/A 260-2025 FSC-klagomål.docx", "A 260-2025")</f>
        <v/>
      </c>
      <c r="Z8">
        <f>HYPERLINK("https://klasma.github.io/Logging_0382/klagomålsmail/A 260-2025 FSC-klagomål mail.docx", "A 260-2025")</f>
        <v/>
      </c>
      <c r="AA8">
        <f>HYPERLINK("https://klasma.github.io/Logging_0382/tillsyn/A 260-2025 tillsynsbegäran.docx", "A 260-2025")</f>
        <v/>
      </c>
      <c r="AB8">
        <f>HYPERLINK("https://klasma.github.io/Logging_0382/tillsynsmail/A 260-2025 tillsynsbegäran mail.docx", "A 260-2025")</f>
        <v/>
      </c>
      <c r="AC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46221</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Y9">
        <f>HYPERLINK("https://klasma.github.io/Logging_0382/klagomål/S 997-2020 FSC-klagomål.docx", "S 997-2020")</f>
        <v/>
      </c>
      <c r="Z9">
        <f>HYPERLINK("https://klasma.github.io/Logging_0382/klagomålsmail/S 997-2020 FSC-klagomål mail.docx", "S 997-2020")</f>
        <v/>
      </c>
      <c r="AA9">
        <f>HYPERLINK("https://klasma.github.io/Logging_0382/tillsyn/S 997-2020 tillsynsbegäran.docx", "S 997-2020")</f>
        <v/>
      </c>
      <c r="AB9">
        <f>HYPERLINK("https://klasma.github.io/Logging_0382/tillsynsmail/S 997-2020 tillsynsbegäran mail.docx", "S 997-2020")</f>
        <v/>
      </c>
      <c r="AC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46221</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Y10">
        <f>HYPERLINK("https://klasma.github.io/Logging_0382/klagomål/A 357-2025 FSC-klagomål.docx", "A 357-2025")</f>
        <v/>
      </c>
      <c r="Z10">
        <f>HYPERLINK("https://klasma.github.io/Logging_0382/klagomålsmail/A 357-2025 FSC-klagomål mail.docx", "A 357-2025")</f>
        <v/>
      </c>
      <c r="AA10">
        <f>HYPERLINK("https://klasma.github.io/Logging_0382/tillsyn/A 357-2025 tillsynsbegäran.docx", "A 357-2025")</f>
        <v/>
      </c>
      <c r="AB10">
        <f>HYPERLINK("https://klasma.github.io/Logging_0382/tillsynsmail/A 357-2025 tillsynsbegäran mail.docx", "A 357-2025")</f>
        <v/>
      </c>
      <c r="AC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46221</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HYPERLINK("https://klasma.github.io/Logging_0382/knärot/A 19253-2026 karta knärot.png", "A 19253-2026")</f>
        <v/>
      </c>
      <c r="Y11">
        <f>HYPERLINK("https://klasma.github.io/Logging_0382/klagomål/A 19253-2026 FSC-klagomål.docx", "A 19253-2026")</f>
        <v/>
      </c>
      <c r="Z11">
        <f>HYPERLINK("https://klasma.github.io/Logging_0382/klagomålsmail/A 19253-2026 FSC-klagomål mail.docx", "A 19253-2026")</f>
        <v/>
      </c>
      <c r="AA11">
        <f>HYPERLINK("https://klasma.github.io/Logging_0382/tillsyn/A 19253-2026 tillsynsbegäran.docx", "A 19253-2026")</f>
        <v/>
      </c>
      <c r="AB11">
        <f>HYPERLINK("https://klasma.github.io/Logging_0382/tillsynsmail/A 19253-2026 tillsynsbegäran mail.docx", "A 19253-2026")</f>
        <v/>
      </c>
      <c r="AC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HYPERLINK("https://klasma.github.io/Logging_0382/knärot/A 19250-2026 karta knärot.png", "A 19250-2026")</f>
        <v/>
      </c>
      <c r="Y12">
        <f>HYPERLINK("https://klasma.github.io/Logging_0382/klagomål/A 19250-2026 FSC-klagomål.docx", "A 19250-2026")</f>
        <v/>
      </c>
      <c r="Z12">
        <f>HYPERLINK("https://klasma.github.io/Logging_0382/klagomålsmail/A 19250-2026 FSC-klagomål mail.docx", "A 19250-2026")</f>
        <v/>
      </c>
      <c r="AA12">
        <f>HYPERLINK("https://klasma.github.io/Logging_0382/tillsyn/A 19250-2026 tillsynsbegäran.docx", "A 19250-2026")</f>
        <v/>
      </c>
      <c r="AB12">
        <f>HYPERLINK("https://klasma.github.io/Logging_0382/tillsynsmail/A 19250-2026 tillsynsbegäran mail.docx", "A 19250-2026")</f>
        <v/>
      </c>
      <c r="AC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46221</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Y13">
        <f>HYPERLINK("https://klasma.github.io/Logging_0382/klagomål/A 21006-2024 FSC-klagomål.docx", "A 21006-2024")</f>
        <v/>
      </c>
      <c r="Z13">
        <f>HYPERLINK("https://klasma.github.io/Logging_0382/klagomålsmail/A 21006-2024 FSC-klagomål mail.docx", "A 21006-2024")</f>
        <v/>
      </c>
      <c r="AA13">
        <f>HYPERLINK("https://klasma.github.io/Logging_0382/tillsyn/A 21006-2024 tillsynsbegäran.docx", "A 21006-2024")</f>
        <v/>
      </c>
      <c r="AB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46221</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4">
        <f>HYPERLINK("https://klasma.github.io/Logging_0382/artfynd/A 1101-2026 artfynd.xlsx", "A 1101-2026")</f>
        <v/>
      </c>
      <c r="W14">
        <f>HYPERLINK("https://klasma.github.io/Logging_0382/kartor/A 1101-2026 karta.png", "A 1101-2026")</f>
        <v/>
      </c>
      <c r="X14">
        <f>HYPERLINK("https://klasma.github.io/Logging_0382/knärot/A 1101-2026 karta knärot.png", "A 1101-2026")</f>
        <v/>
      </c>
      <c r="Y14">
        <f>HYPERLINK("https://klasma.github.io/Logging_0382/klagomål/A 1101-2026 FSC-klagomål.docx", "A 1101-2026")</f>
        <v/>
      </c>
      <c r="Z14">
        <f>HYPERLINK("https://klasma.github.io/Logging_0382/klagomålsmail/A 1101-2026 FSC-klagomål mail.docx", "A 1101-2026")</f>
        <v/>
      </c>
      <c r="AA14">
        <f>HYPERLINK("https://klasma.github.io/Logging_0382/tillsyn/A 1101-2026 tillsynsbegäran.docx", "A 1101-2026")</f>
        <v/>
      </c>
      <c r="AB14">
        <f>HYPERLINK("https://klasma.github.io/Logging_0382/tillsynsmail/A 1101-2026 tillsynsbegäran mail.docx", "A 1101-2026")</f>
        <v/>
      </c>
      <c r="AC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5">
        <f>HYPERLINK("https://klasma.github.io/Logging_0382/artfynd/A 29564-2023 artfynd.xlsx", "A 29564-2023")</f>
        <v/>
      </c>
      <c r="W15">
        <f>HYPERLINK("https://klasma.github.io/Logging_0382/kartor/A 29564-2023 karta.png", "A 29564-2023")</f>
        <v/>
      </c>
      <c r="Y15">
        <f>HYPERLINK("https://klasma.github.io/Logging_0382/klagomål/A 29564-2023 FSC-klagomål.docx", "A 29564-2023")</f>
        <v/>
      </c>
      <c r="Z15">
        <f>HYPERLINK("https://klasma.github.io/Logging_0382/klagomålsmail/A 29564-2023 FSC-klagomål mail.docx", "A 29564-2023")</f>
        <v/>
      </c>
      <c r="AA15">
        <f>HYPERLINK("https://klasma.github.io/Logging_0382/tillsyn/A 29564-2023 tillsynsbegäran.docx", "A 29564-2023")</f>
        <v/>
      </c>
      <c r="AB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46221</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Y16">
        <f>HYPERLINK("https://klasma.github.io/Logging_0382/klagomål/S 3125-2023 FSC-klagomål.docx", "S 3125-2023")</f>
        <v/>
      </c>
      <c r="Z16">
        <f>HYPERLINK("https://klasma.github.io/Logging_0382/klagomålsmail/S 3125-2023 FSC-klagomål mail.docx", "S 3125-2023")</f>
        <v/>
      </c>
      <c r="AA16">
        <f>HYPERLINK("https://klasma.github.io/Logging_0382/tillsyn/S 3125-2023 tillsynsbegäran.docx", "S 3125-2023")</f>
        <v/>
      </c>
      <c r="AB16">
        <f>HYPERLINK("https://klasma.github.io/Logging_0382/tillsynsmail/S 3125-2023 tillsynsbegäran mail.docx", "S 3125-2023")</f>
        <v/>
      </c>
      <c r="AC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46221</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s="2" t="inlineStr">
        <is>
          <t>Skogsalm
Knärot
Sårläka
Vårärt
Granbarkgnagare
Grön sköldmossa
Grönpyrola
Skogsknipprot
Stor aspticka
Stubbspretmossa
Stuplav
Tibast
Tvåblad
Blåsippa
Brudborste
Ekbräken
Kransmossa
Ormbär
Spillkråka
Tofsmes
Nattviol
Revlummer</t>
        </is>
      </c>
      <c r="V17">
        <f>HYPERLINK("https://klasma.github.io/Logging_0382/artfynd/A 26552-2026 artfynd.xlsx", "A 26552-2026")</f>
        <v/>
      </c>
      <c r="W17">
        <f>HYPERLINK("https://klasma.github.io/Logging_0382/kartor/A 26552-2026 karta.png", "A 26552-2026")</f>
        <v/>
      </c>
      <c r="X17">
        <f>HYPERLINK("https://klasma.github.io/Logging_0382/knärot/A 26552-2026 karta knärot.png", "A 26552-2026")</f>
        <v/>
      </c>
      <c r="Y17">
        <f>HYPERLINK("https://klasma.github.io/Logging_0382/klagomål/A 26552-2026 FSC-klagomål.docx", "A 26552-2026")</f>
        <v/>
      </c>
      <c r="Z17">
        <f>HYPERLINK("https://klasma.github.io/Logging_0382/klagomålsmail/A 26552-2026 FSC-klagomål mail.docx", "A 26552-2026")</f>
        <v/>
      </c>
      <c r="AA17">
        <f>HYPERLINK("https://klasma.github.io/Logging_0382/tillsyn/A 26552-2026 tillsynsbegäran.docx", "A 26552-2026")</f>
        <v/>
      </c>
      <c r="AB17">
        <f>HYPERLINK("https://klasma.github.io/Logging_0382/tillsynsmail/A 26552-2026 tillsynsbegäran mail.docx", "A 26552-2026")</f>
        <v/>
      </c>
      <c r="AC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46221</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8">
        <f>HYPERLINK("https://klasma.github.io/Logging_0382/artfynd/A 29831-2026 artfynd.xlsx", "A 29831-2026")</f>
        <v/>
      </c>
      <c r="W18">
        <f>HYPERLINK("https://klasma.github.io/Logging_0382/kartor/A 29831-2026 karta.png", "A 29831-2026")</f>
        <v/>
      </c>
      <c r="X18">
        <f>HYPERLINK("https://klasma.github.io/Logging_0382/knärot/A 29831-2026 karta knärot.png", "A 29831-2026")</f>
        <v/>
      </c>
      <c r="Y18">
        <f>HYPERLINK("https://klasma.github.io/Logging_0382/klagomål/A 29831-2026 FSC-klagomål.docx", "A 29831-2026")</f>
        <v/>
      </c>
      <c r="Z18">
        <f>HYPERLINK("https://klasma.github.io/Logging_0382/klagomålsmail/A 29831-2026 FSC-klagomål mail.docx", "A 29831-2026")</f>
        <v/>
      </c>
      <c r="AA18">
        <f>HYPERLINK("https://klasma.github.io/Logging_0382/tillsyn/A 29831-2026 tillsynsbegäran.docx", "A 29831-2026")</f>
        <v/>
      </c>
      <c r="AB18">
        <f>HYPERLINK("https://klasma.github.io/Logging_0382/tillsynsmail/A 29831-2026 tillsynsbegäran mail.docx", "A 29831-2026")</f>
        <v/>
      </c>
      <c r="AC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46221</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Y19">
        <f>HYPERLINK("https://klasma.github.io/Logging_0382/klagomål/S 7203-2022 FSC-klagomål.docx", "S 7203-2022")</f>
        <v/>
      </c>
      <c r="Z19">
        <f>HYPERLINK("https://klasma.github.io/Logging_0382/klagomålsmail/S 7203-2022 FSC-klagomål mail.docx", "S 7203-2022")</f>
        <v/>
      </c>
      <c r="AA19">
        <f>HYPERLINK("https://klasma.github.io/Logging_0382/tillsyn/S 7203-2022 tillsynsbegäran.docx", "S 7203-2022")</f>
        <v/>
      </c>
      <c r="AB19">
        <f>HYPERLINK("https://klasma.github.io/Logging_0382/tillsynsmail/S 7203-2022 tillsynsbegäran mail.docx", "S 7203-2022")</f>
        <v/>
      </c>
      <c r="AC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46221</v>
      </c>
      <c r="F20" t="inlineStr">
        <is>
          <t>UPPSALA LÄN</t>
        </is>
      </c>
      <c r="G20" t="inlineStr">
        <is>
          <t>ÖSTHAMMAR</t>
        </is>
      </c>
      <c r="H20" t="inlineStr">
        <is>
          <t>Bergvik skog öst AB</t>
        </is>
      </c>
      <c r="I20" t="n">
        <v>4.4</v>
      </c>
      <c r="J20" t="n">
        <v>18</v>
      </c>
      <c r="K20" t="n">
        <v>3</v>
      </c>
      <c r="L20" t="n">
        <v>6</v>
      </c>
      <c r="M20" t="n">
        <v>1</v>
      </c>
      <c r="N20" t="n">
        <v>0</v>
      </c>
      <c r="O20" t="n">
        <v>0</v>
      </c>
      <c r="P20" t="n">
        <v>0</v>
      </c>
      <c r="Q20" t="n">
        <v>7</v>
      </c>
      <c r="R20" t="n">
        <v>1</v>
      </c>
      <c r="S20" t="n">
        <v>21</v>
      </c>
      <c r="T20" t="n">
        <v>54</v>
      </c>
      <c r="U20"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0">
        <f>HYPERLINK("https://klasma.github.io/Logging_0382/artfynd/S 3124-2023 artfynd.xlsx", "S 3124-2023")</f>
        <v/>
      </c>
      <c r="W20">
        <f>HYPERLINK("https://klasma.github.io/Logging_0382/kartor/S 3124-2023 karta.png", "S 3124-2023")</f>
        <v/>
      </c>
      <c r="Y20">
        <f>HYPERLINK("https://klasma.github.io/Logging_0382/klagomål/S 3124-2023 FSC-klagomål.docx", "S 3124-2023")</f>
        <v/>
      </c>
      <c r="Z20">
        <f>HYPERLINK("https://klasma.github.io/Logging_0382/klagomålsmail/S 3124-2023 FSC-klagomål mail.docx", "S 3124-2023")</f>
        <v/>
      </c>
      <c r="AA20">
        <f>HYPERLINK("https://klasma.github.io/Logging_0382/tillsyn/S 3124-2023 tillsynsbegäran.docx", "S 3124-2023")</f>
        <v/>
      </c>
      <c r="AB20">
        <f>HYPERLINK("https://klasma.github.io/Logging_0382/tillsynsmail/S 3124-2023 tillsynsbegäran mail.docx", "S 3124-2023")</f>
        <v/>
      </c>
      <c r="AC20">
        <f>HYPERLINK("https://klasma.github.io/Logging_0382/fåglar/S 3124-2023 prioriterade fågelarter.docx", "S 3124-2023")</f>
        <v/>
      </c>
    </row>
    <row r="21" ht="15" customHeight="1">
      <c r="A21" t="inlineStr">
        <is>
          <t>A 28392-2026</t>
        </is>
      </c>
      <c r="B21" t="inlineStr">
        <is>
          <t>avverkningsanmälan</t>
        </is>
      </c>
      <c r="C21" t="inlineStr">
        <is>
          <t>Föryngringsavverkning</t>
        </is>
      </c>
      <c r="D21" s="1" t="n">
        <v>46196</v>
      </c>
      <c r="E21" s="1" t="n">
        <v>46221</v>
      </c>
      <c r="F21" t="inlineStr">
        <is>
          <t>UPPSALA LÄN</t>
        </is>
      </c>
      <c r="G21" t="inlineStr">
        <is>
          <t>ÖSTHAMMAR</t>
        </is>
      </c>
      <c r="I21" t="n">
        <v>34.4</v>
      </c>
      <c r="J21" t="n">
        <v>7</v>
      </c>
      <c r="K21" t="n">
        <v>8</v>
      </c>
      <c r="L21" t="n">
        <v>5</v>
      </c>
      <c r="M21" t="n">
        <v>1</v>
      </c>
      <c r="N21" t="n">
        <v>0</v>
      </c>
      <c r="O21" t="n">
        <v>0</v>
      </c>
      <c r="P21" t="n">
        <v>0</v>
      </c>
      <c r="Q21" t="n">
        <v>6</v>
      </c>
      <c r="R21" t="n">
        <v>1</v>
      </c>
      <c r="S21" t="n">
        <v>19</v>
      </c>
      <c r="T21" t="n">
        <v>155</v>
      </c>
      <c r="U21" s="2" t="inlineStr">
        <is>
          <t>Knärot
Kattfotslav
Rynkskinn
Sårläka
Ullticka
Vedtrappmossa
Björksplintborre
Bronshjon
Granbarkgnagare
Grönpyrola
Nästrot
Stubbspretmossa
Tvåblad
Vågbandad barkbock
Blåsippa
Kransmossa
Spillkråka
Fläcknycklar
Nattviol</t>
        </is>
      </c>
      <c r="V21">
        <f>HYPERLINK("https://klasma.github.io/Logging_0382/artfynd/A 28392-2026 artfynd.xlsx", "A 28392-2026")</f>
        <v/>
      </c>
      <c r="W21">
        <f>HYPERLINK("https://klasma.github.io/Logging_0382/kartor/A 28392-2026 karta.png", "A 28392-2026")</f>
        <v/>
      </c>
      <c r="X21">
        <f>HYPERLINK("https://klasma.github.io/Logging_0382/knärot/A 28392-2026 karta knärot.png", "A 28392-2026")</f>
        <v/>
      </c>
      <c r="Y21">
        <f>HYPERLINK("https://klasma.github.io/Logging_0382/klagomål/A 28392-2026 FSC-klagomål.docx", "A 28392-2026")</f>
        <v/>
      </c>
      <c r="Z21">
        <f>HYPERLINK("https://klasma.github.io/Logging_0382/klagomålsmail/A 28392-2026 FSC-klagomål mail.docx", "A 28392-2026")</f>
        <v/>
      </c>
      <c r="AA21">
        <f>HYPERLINK("https://klasma.github.io/Logging_0382/tillsyn/A 28392-2026 tillsynsbegäran.docx", "A 28392-2026")</f>
        <v/>
      </c>
      <c r="AB21">
        <f>HYPERLINK("https://klasma.github.io/Logging_0382/tillsynsmail/A 28392-2026 tillsynsbegäran mail.docx", "A 28392-2026")</f>
        <v/>
      </c>
      <c r="AC21">
        <f>HYPERLINK("https://klasma.github.io/Logging_0382/fåglar/A 28392-2026 prioriterade fågelarter.docx", "A 28392-2026")</f>
        <v/>
      </c>
    </row>
    <row r="22" ht="15" customHeight="1">
      <c r="A22" t="inlineStr">
        <is>
          <t>S 3558-2023</t>
        </is>
      </c>
      <c r="B22" t="inlineStr">
        <is>
          <t>samrådsanmälan</t>
        </is>
      </c>
      <c r="C22" t="inlineStr">
        <is>
          <t>Annan skogsbruksåtgärd</t>
        </is>
      </c>
      <c r="D22" s="1" t="n">
        <v>45210</v>
      </c>
      <c r="E22" s="1" t="n">
        <v>46221</v>
      </c>
      <c r="F22" t="inlineStr">
        <is>
          <t>UPPSALA LÄN</t>
        </is>
      </c>
      <c r="G22" t="inlineStr">
        <is>
          <t>ÖSTHAMMAR</t>
        </is>
      </c>
      <c r="I22" t="n">
        <v>11.9</v>
      </c>
      <c r="J22" t="n">
        <v>4</v>
      </c>
      <c r="K22" t="n">
        <v>4</v>
      </c>
      <c r="L22" t="n">
        <v>7</v>
      </c>
      <c r="M22" t="n">
        <v>1</v>
      </c>
      <c r="N22" t="n">
        <v>4</v>
      </c>
      <c r="O22" t="n">
        <v>0</v>
      </c>
      <c r="P22" t="n">
        <v>0</v>
      </c>
      <c r="Q22" t="n">
        <v>12</v>
      </c>
      <c r="R22" t="n">
        <v>5</v>
      </c>
      <c r="S22" t="n">
        <v>19</v>
      </c>
      <c r="T22" t="n">
        <v>33</v>
      </c>
      <c r="U2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2">
        <f>HYPERLINK("https://klasma.github.io/Logging_0382/artfynd/S 3558-2023 artfynd.xlsx", "S 3558-2023")</f>
        <v/>
      </c>
      <c r="W22">
        <f>HYPERLINK("https://klasma.github.io/Logging_0382/kartor/S 3558-2023 karta.png", "S 3558-2023")</f>
        <v/>
      </c>
      <c r="Y22">
        <f>HYPERLINK("https://klasma.github.io/Logging_0382/klagomål/S 3558-2023 FSC-klagomål.docx", "S 3558-2023")</f>
        <v/>
      </c>
      <c r="Z22">
        <f>HYPERLINK("https://klasma.github.io/Logging_0382/klagomålsmail/S 3558-2023 FSC-klagomål mail.docx", "S 3558-2023")</f>
        <v/>
      </c>
      <c r="AA22">
        <f>HYPERLINK("https://klasma.github.io/Logging_0382/tillsyn/S 3558-2023 tillsynsbegäran.docx", "S 3558-2023")</f>
        <v/>
      </c>
      <c r="AB22">
        <f>HYPERLINK("https://klasma.github.io/Logging_0382/tillsynsmail/S 3558-2023 tillsynsbegäran mail.docx", "S 3558-2023")</f>
        <v/>
      </c>
    </row>
    <row r="23" ht="15" customHeight="1">
      <c r="A23" t="inlineStr">
        <is>
          <t>A 49910-2022</t>
        </is>
      </c>
      <c r="B23" t="inlineStr">
        <is>
          <t>avverkningsanmälan</t>
        </is>
      </c>
      <c r="C23" t="inlineStr">
        <is>
          <t>Föryngringsavverkning</t>
        </is>
      </c>
      <c r="D23" s="1" t="n">
        <v>44865</v>
      </c>
      <c r="E23" s="1" t="n">
        <v>46221</v>
      </c>
      <c r="F23" t="inlineStr">
        <is>
          <t>UPPSALA LÄN</t>
        </is>
      </c>
      <c r="G23" t="inlineStr">
        <is>
          <t>ÖSTHAMMAR</t>
        </is>
      </c>
      <c r="H23" t="inlineStr">
        <is>
          <t>Bergvik skog öst AB</t>
        </is>
      </c>
      <c r="I23" t="n">
        <v>5.7</v>
      </c>
      <c r="J23" t="n">
        <v>15</v>
      </c>
      <c r="K23" t="n">
        <v>2</v>
      </c>
      <c r="L23" t="n">
        <v>7</v>
      </c>
      <c r="M23" t="n">
        <v>0</v>
      </c>
      <c r="N23" t="n">
        <v>1</v>
      </c>
      <c r="O23" t="n">
        <v>0</v>
      </c>
      <c r="P23" t="n">
        <v>0</v>
      </c>
      <c r="Q23" t="n">
        <v>8</v>
      </c>
      <c r="R23" t="n">
        <v>1</v>
      </c>
      <c r="S23" t="n">
        <v>16</v>
      </c>
      <c r="T23" t="n">
        <v>21</v>
      </c>
      <c r="U23" s="2" t="inlineStr">
        <is>
          <t>Havstrut
Bivråk
Drillsnäppa
Grönsångare
Ladusvala
Skrattmås
Solvända
Strandskata
Skogsknipprot
Tvåblad
Grönsiska
Svartvit flugsnappare
Sävsparv
Sångsvan
Törnskata
Gullviva</t>
        </is>
      </c>
      <c r="V23">
        <f>HYPERLINK("https://klasma.github.io/Logging_0382/artfynd/A 49910-2022 artfynd.xlsx", "A 49910-2022")</f>
        <v/>
      </c>
      <c r="W23">
        <f>HYPERLINK("https://klasma.github.io/Logging_0382/kartor/A 49910-2022 karta.png", "A 49910-2022")</f>
        <v/>
      </c>
      <c r="Y23">
        <f>HYPERLINK("https://klasma.github.io/Logging_0382/klagomål/A 49910-2022 FSC-klagomål.docx", "A 49910-2022")</f>
        <v/>
      </c>
      <c r="Z23">
        <f>HYPERLINK("https://klasma.github.io/Logging_0382/klagomålsmail/A 49910-2022 FSC-klagomål mail.docx", "A 49910-2022")</f>
        <v/>
      </c>
      <c r="AA23">
        <f>HYPERLINK("https://klasma.github.io/Logging_0382/tillsyn/A 49910-2022 tillsynsbegäran.docx", "A 49910-2022")</f>
        <v/>
      </c>
      <c r="AB23">
        <f>HYPERLINK("https://klasma.github.io/Logging_0382/tillsynsmail/A 49910-2022 tillsynsbegäran mail.docx", "A 49910-2022")</f>
        <v/>
      </c>
      <c r="AC23">
        <f>HYPERLINK("https://klasma.github.io/Logging_0382/fåglar/A 49910-2022 prioriterade fågelarter.docx", "A 49910-2022")</f>
        <v/>
      </c>
    </row>
    <row r="24" ht="15" customHeight="1">
      <c r="A24" t="inlineStr">
        <is>
          <t>A 3733-2025</t>
        </is>
      </c>
      <c r="B24" t="inlineStr">
        <is>
          <t>avverkningsanmälan</t>
        </is>
      </c>
      <c r="C24" t="inlineStr">
        <is>
          <t>Föryngringsavverkning</t>
        </is>
      </c>
      <c r="D24" s="1" t="n">
        <v>45681</v>
      </c>
      <c r="E24" s="1" t="n">
        <v>46221</v>
      </c>
      <c r="F24" t="inlineStr">
        <is>
          <t>UPPSALA LÄN</t>
        </is>
      </c>
      <c r="G24" t="inlineStr">
        <is>
          <t>ÖSTHAMMAR</t>
        </is>
      </c>
      <c r="H24" t="inlineStr">
        <is>
          <t>Bergvik skog öst AB</t>
        </is>
      </c>
      <c r="I24" t="n">
        <v>7.8</v>
      </c>
      <c r="J24" t="n">
        <v>5</v>
      </c>
      <c r="K24" t="n">
        <v>7</v>
      </c>
      <c r="L24" t="n">
        <v>3</v>
      </c>
      <c r="M24" t="n">
        <v>2</v>
      </c>
      <c r="N24" t="n">
        <v>0</v>
      </c>
      <c r="O24" t="n">
        <v>0</v>
      </c>
      <c r="P24" t="n">
        <v>0</v>
      </c>
      <c r="Q24" t="n">
        <v>5</v>
      </c>
      <c r="R24" t="n">
        <v>2</v>
      </c>
      <c r="S24" t="n">
        <v>15</v>
      </c>
      <c r="T24" t="n">
        <v>44</v>
      </c>
      <c r="U24" s="2" t="inlineStr">
        <is>
          <t>Garnlav
Knärot
Kötticka
Talltita
Ullticka
Blåmossa
Brandticka
Bronshjon
Grönpyrola
Rödgul trumpetsvamp
Vedticka
Vågbandad barkbock
Blåsippa
Spillkråka
Kungsfågel</t>
        </is>
      </c>
      <c r="V24">
        <f>HYPERLINK("https://klasma.github.io/Logging_0382/artfynd/A 3733-2025 artfynd.xlsx", "A 3733-2025")</f>
        <v/>
      </c>
      <c r="W24">
        <f>HYPERLINK("https://klasma.github.io/Logging_0382/kartor/A 3733-2025 karta.png", "A 3733-2025")</f>
        <v/>
      </c>
      <c r="X24">
        <f>HYPERLINK("https://klasma.github.io/Logging_0382/knärot/A 3733-2025 karta knärot.png", "A 3733-2025")</f>
        <v/>
      </c>
      <c r="Y24">
        <f>HYPERLINK("https://klasma.github.io/Logging_0382/klagomål/A 3733-2025 FSC-klagomål.docx", "A 3733-2025")</f>
        <v/>
      </c>
      <c r="Z24">
        <f>HYPERLINK("https://klasma.github.io/Logging_0382/klagomålsmail/A 3733-2025 FSC-klagomål mail.docx", "A 3733-2025")</f>
        <v/>
      </c>
      <c r="AA24">
        <f>HYPERLINK("https://klasma.github.io/Logging_0382/tillsyn/A 3733-2025 tillsynsbegäran.docx", "A 3733-2025")</f>
        <v/>
      </c>
      <c r="AB24">
        <f>HYPERLINK("https://klasma.github.io/Logging_0382/tillsynsmail/A 3733-2025 tillsynsbegäran mail.docx", "A 3733-2025")</f>
        <v/>
      </c>
      <c r="AC24">
        <f>HYPERLINK("https://klasma.github.io/Logging_0382/fåglar/A 3733-2025 prioriterade fågelarter.docx", "A 3733-2025")</f>
        <v/>
      </c>
    </row>
    <row r="25" ht="15" customHeight="1">
      <c r="A25" t="inlineStr">
        <is>
          <t>A 19252-2026</t>
        </is>
      </c>
      <c r="B25" t="inlineStr">
        <is>
          <t>avverkningsanmälan</t>
        </is>
      </c>
      <c r="C25" t="inlineStr">
        <is>
          <t>Föryngringsavverkning</t>
        </is>
      </c>
      <c r="D25" s="1" t="n">
        <v>46132</v>
      </c>
      <c r="E25" s="1" t="n">
        <v>46221</v>
      </c>
      <c r="F25" t="inlineStr">
        <is>
          <t>UPPSALA LÄN</t>
        </is>
      </c>
      <c r="G25" t="inlineStr">
        <is>
          <t>ÖSTHAMMAR</t>
        </is>
      </c>
      <c r="H25" t="inlineStr">
        <is>
          <t>Naturvårdsverket</t>
        </is>
      </c>
      <c r="I25" t="n">
        <v>10</v>
      </c>
      <c r="J25" t="n">
        <v>3</v>
      </c>
      <c r="K25" t="n">
        <v>6</v>
      </c>
      <c r="L25" t="n">
        <v>4</v>
      </c>
      <c r="M25" t="n">
        <v>0</v>
      </c>
      <c r="N25" t="n">
        <v>0</v>
      </c>
      <c r="O25" t="n">
        <v>0</v>
      </c>
      <c r="P25" t="n">
        <v>0</v>
      </c>
      <c r="Q25" t="n">
        <v>4</v>
      </c>
      <c r="R25" t="n">
        <v>0</v>
      </c>
      <c r="S25" t="n">
        <v>13</v>
      </c>
      <c r="T25" t="n">
        <v>37</v>
      </c>
      <c r="U25" s="2" t="inlineStr">
        <is>
          <t>Dofttaggsvamp
Skarp dropptaggsvamp
Ullticka
Vedskivlav
Bronshjon
Granbarkgnagare
Grönpyrola
Rödgul trumpetsvamp
Svavelriska
Vedticka
Spillkråka
Tjäder
Fläcknycklar</t>
        </is>
      </c>
      <c r="V25">
        <f>HYPERLINK("https://klasma.github.io/Logging_0382/artfynd/A 19252-2026 artfynd.xlsx", "A 19252-2026")</f>
        <v/>
      </c>
      <c r="W25">
        <f>HYPERLINK("https://klasma.github.io/Logging_0382/kartor/A 19252-2026 karta.png", "A 19252-2026")</f>
        <v/>
      </c>
      <c r="Y25">
        <f>HYPERLINK("https://klasma.github.io/Logging_0382/klagomål/A 19252-2026 FSC-klagomål.docx", "A 19252-2026")</f>
        <v/>
      </c>
      <c r="Z25">
        <f>HYPERLINK("https://klasma.github.io/Logging_0382/klagomålsmail/A 19252-2026 FSC-klagomål mail.docx", "A 19252-2026")</f>
        <v/>
      </c>
      <c r="AA25">
        <f>HYPERLINK("https://klasma.github.io/Logging_0382/tillsyn/A 19252-2026 tillsynsbegäran.docx", "A 19252-2026")</f>
        <v/>
      </c>
      <c r="AB25">
        <f>HYPERLINK("https://klasma.github.io/Logging_0382/tillsynsmail/A 19252-2026 tillsynsbegäran mail.docx", "A 19252-2026")</f>
        <v/>
      </c>
      <c r="AC25">
        <f>HYPERLINK("https://klasma.github.io/Logging_0382/fåglar/A 19252-2026 prioriterade fågelarter.docx", "A 19252-2026")</f>
        <v/>
      </c>
    </row>
    <row r="26" ht="15" customHeight="1">
      <c r="A26" t="inlineStr">
        <is>
          <t>A 15556-2022</t>
        </is>
      </c>
      <c r="B26" t="inlineStr">
        <is>
          <t>avverkningsanmälan</t>
        </is>
      </c>
      <c r="C26" t="inlineStr">
        <is>
          <t>Föryngringsavverkning</t>
        </is>
      </c>
      <c r="D26" s="1" t="n">
        <v>44662</v>
      </c>
      <c r="E26" s="1" t="n">
        <v>46221</v>
      </c>
      <c r="F26" t="inlineStr">
        <is>
          <t>UPPSALA LÄN</t>
        </is>
      </c>
      <c r="G26" t="inlineStr">
        <is>
          <t>ÖSTHAMMAR</t>
        </is>
      </c>
      <c r="I26" t="n">
        <v>9.9</v>
      </c>
      <c r="J26" t="n">
        <v>3</v>
      </c>
      <c r="K26" t="n">
        <v>5</v>
      </c>
      <c r="L26" t="n">
        <v>6</v>
      </c>
      <c r="M26" t="n">
        <v>1</v>
      </c>
      <c r="N26" t="n">
        <v>0</v>
      </c>
      <c r="O26" t="n">
        <v>0</v>
      </c>
      <c r="P26" t="n">
        <v>0</v>
      </c>
      <c r="Q26" t="n">
        <v>7</v>
      </c>
      <c r="R26" t="n">
        <v>1</v>
      </c>
      <c r="S26" t="n">
        <v>12</v>
      </c>
      <c r="T26" t="n">
        <v>16</v>
      </c>
      <c r="U26" s="2" t="inlineStr">
        <is>
          <t>Grönfink
Blek fingersvamp
Gulsparv
Kryddspindling
Kungsspindling
Tallticka
Ullticka
Hasselticka
Olivspindling
Skogsknipprot
Svart trolldruva
Tibast</t>
        </is>
      </c>
      <c r="V26">
        <f>HYPERLINK("https://klasma.github.io/Logging_0382/artfynd/A 15556-2022 artfynd.xlsx", "A 15556-2022")</f>
        <v/>
      </c>
      <c r="W26">
        <f>HYPERLINK("https://klasma.github.io/Logging_0382/kartor/A 15556-2022 karta.png", "A 15556-2022")</f>
        <v/>
      </c>
      <c r="Y26">
        <f>HYPERLINK("https://klasma.github.io/Logging_0382/klagomål/A 15556-2022 FSC-klagomål.docx", "A 15556-2022")</f>
        <v/>
      </c>
      <c r="Z26">
        <f>HYPERLINK("https://klasma.github.io/Logging_0382/klagomålsmail/A 15556-2022 FSC-klagomål mail.docx", "A 15556-2022")</f>
        <v/>
      </c>
      <c r="AA26">
        <f>HYPERLINK("https://klasma.github.io/Logging_0382/tillsyn/A 15556-2022 tillsynsbegäran.docx", "A 15556-2022")</f>
        <v/>
      </c>
      <c r="AB26">
        <f>HYPERLINK("https://klasma.github.io/Logging_0382/tillsynsmail/A 15556-2022 tillsynsbegäran mail.docx", "A 15556-2022")</f>
        <v/>
      </c>
      <c r="AC26">
        <f>HYPERLINK("https://klasma.github.io/Logging_0382/fåglar/A 15556-2022 prioriterade fågelarter.docx", "A 15556-2022")</f>
        <v/>
      </c>
    </row>
    <row r="27" ht="15" customHeight="1">
      <c r="A27" t="inlineStr">
        <is>
          <t>A 56956-2021</t>
        </is>
      </c>
      <c r="B27" t="inlineStr">
        <is>
          <t>avverkningsanmälan</t>
        </is>
      </c>
      <c r="C27" t="inlineStr">
        <is>
          <t>Föryngringsavverkning</t>
        </is>
      </c>
      <c r="D27" s="1" t="n">
        <v>44482</v>
      </c>
      <c r="E27" s="1" t="n">
        <v>46221</v>
      </c>
      <c r="F27" t="inlineStr">
        <is>
          <t>UPPSALA LÄN</t>
        </is>
      </c>
      <c r="G27" t="inlineStr">
        <is>
          <t>ÖSTHAMMAR</t>
        </is>
      </c>
      <c r="I27" t="n">
        <v>6.9</v>
      </c>
      <c r="J27" t="n">
        <v>0</v>
      </c>
      <c r="K27" t="n">
        <v>5</v>
      </c>
      <c r="L27" t="n">
        <v>4</v>
      </c>
      <c r="M27" t="n">
        <v>2</v>
      </c>
      <c r="N27" t="n">
        <v>0</v>
      </c>
      <c r="O27" t="n">
        <v>0</v>
      </c>
      <c r="P27" t="n">
        <v>0</v>
      </c>
      <c r="Q27" t="n">
        <v>6</v>
      </c>
      <c r="R27" t="n">
        <v>2</v>
      </c>
      <c r="S27" t="n">
        <v>11</v>
      </c>
      <c r="T27" t="n">
        <v>13</v>
      </c>
      <c r="U27" s="2" t="inlineStr">
        <is>
          <t>Duvspindling
Kopparspindling
Fjällig taggsvamp s.str.
Grantaggsvamp
Gultoppig fingersvamp
Orange taggsvamp
Anisspindling
Kamjordstjärna
Olivspindling
Rödgul trumpetsvamp
Svavelriska</t>
        </is>
      </c>
      <c r="V27">
        <f>HYPERLINK("https://klasma.github.io/Logging_0382/artfynd/A 56956-2021 artfynd.xlsx", "A 56956-2021")</f>
        <v/>
      </c>
      <c r="W27">
        <f>HYPERLINK("https://klasma.github.io/Logging_0382/kartor/A 56956-2021 karta.png", "A 56956-2021")</f>
        <v/>
      </c>
      <c r="Y27">
        <f>HYPERLINK("https://klasma.github.io/Logging_0382/klagomål/A 56956-2021 FSC-klagomål.docx", "A 56956-2021")</f>
        <v/>
      </c>
      <c r="Z27">
        <f>HYPERLINK("https://klasma.github.io/Logging_0382/klagomålsmail/A 56956-2021 FSC-klagomål mail.docx", "A 56956-2021")</f>
        <v/>
      </c>
      <c r="AA27">
        <f>HYPERLINK("https://klasma.github.io/Logging_0382/tillsyn/A 56956-2021 tillsynsbegäran.docx", "A 56956-2021")</f>
        <v/>
      </c>
      <c r="AB27">
        <f>HYPERLINK("https://klasma.github.io/Logging_0382/tillsynsmail/A 56956-2021 tillsynsbegäran mail.docx", "A 56956-2021")</f>
        <v/>
      </c>
    </row>
    <row r="28" ht="15" customHeight="1">
      <c r="A28" t="inlineStr">
        <is>
          <t>A 1783-2023</t>
        </is>
      </c>
      <c r="B28" t="inlineStr">
        <is>
          <t>avverkningsanmälan</t>
        </is>
      </c>
      <c r="C28" t="inlineStr">
        <is>
          <t>Föryngringsavverkning</t>
        </is>
      </c>
      <c r="D28" s="1" t="n">
        <v>44938</v>
      </c>
      <c r="E28" s="1" t="n">
        <v>46221</v>
      </c>
      <c r="F28" t="inlineStr">
        <is>
          <t>UPPSALA LÄN</t>
        </is>
      </c>
      <c r="G28" t="inlineStr">
        <is>
          <t>ÖSTHAMMAR</t>
        </is>
      </c>
      <c r="I28" t="n">
        <v>4.1</v>
      </c>
      <c r="J28" t="n">
        <v>6</v>
      </c>
      <c r="K28" t="n">
        <v>3</v>
      </c>
      <c r="L28" t="n">
        <v>4</v>
      </c>
      <c r="M28" t="n">
        <v>2</v>
      </c>
      <c r="N28" t="n">
        <v>1</v>
      </c>
      <c r="O28" t="n">
        <v>0</v>
      </c>
      <c r="P28" t="n">
        <v>0</v>
      </c>
      <c r="Q28" t="n">
        <v>7</v>
      </c>
      <c r="R28" t="n">
        <v>3</v>
      </c>
      <c r="S28" t="n">
        <v>11</v>
      </c>
      <c r="T28" t="n">
        <v>15</v>
      </c>
      <c r="U28" s="2" t="inlineStr">
        <is>
          <t>Fjällfotad fingersvamp
Knärot
Lappuggla
Gultoppig fingersvamp
Sårläka
Tallticka
Tretåig hackspett
Skogsknipprot
Tibast
Tvåblad
Fläcknycklar</t>
        </is>
      </c>
      <c r="V28">
        <f>HYPERLINK("https://klasma.github.io/Logging_0382/artfynd/A 1783-2023 artfynd.xlsx", "A 1783-2023")</f>
        <v/>
      </c>
      <c r="W28">
        <f>HYPERLINK("https://klasma.github.io/Logging_0382/kartor/A 1783-2023 karta.png", "A 1783-2023")</f>
        <v/>
      </c>
      <c r="X28">
        <f>HYPERLINK("https://klasma.github.io/Logging_0382/knärot/A 1783-2023 karta knärot.png", "A 1783-2023")</f>
        <v/>
      </c>
      <c r="Y28">
        <f>HYPERLINK("https://klasma.github.io/Logging_0382/klagomål/A 1783-2023 FSC-klagomål.docx", "A 1783-2023")</f>
        <v/>
      </c>
      <c r="Z28">
        <f>HYPERLINK("https://klasma.github.io/Logging_0382/klagomålsmail/A 1783-2023 FSC-klagomål mail.docx", "A 1783-2023")</f>
        <v/>
      </c>
      <c r="AA28">
        <f>HYPERLINK("https://klasma.github.io/Logging_0382/tillsyn/A 1783-2023 tillsynsbegäran.docx", "A 1783-2023")</f>
        <v/>
      </c>
      <c r="AB28">
        <f>HYPERLINK("https://klasma.github.io/Logging_0382/tillsynsmail/A 1783-2023 tillsynsbegäran mail.docx", "A 1783-2023")</f>
        <v/>
      </c>
      <c r="AC28">
        <f>HYPERLINK("https://klasma.github.io/Logging_0382/fåglar/A 1783-2023 prioriterade fågelarter.docx", "A 1783-2023")</f>
        <v/>
      </c>
    </row>
    <row r="29" ht="15" customHeight="1">
      <c r="A29" t="inlineStr">
        <is>
          <t>A 23496-2023</t>
        </is>
      </c>
      <c r="B29" t="inlineStr">
        <is>
          <t>avverkningsanmälan</t>
        </is>
      </c>
      <c r="C29" t="inlineStr">
        <is>
          <t>Föryngringsavverkning</t>
        </is>
      </c>
      <c r="D29" s="1" t="n">
        <v>45076</v>
      </c>
      <c r="E29" s="1" t="n">
        <v>46221</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s="2" t="inlineStr">
        <is>
          <t>Grönfink
Tornseglare
Gulsparv
Järnsparv
Sädesärla
Talltita
Grönsiska
Kungsfågel
Svartvit flugsnappare
Sävsparv
Sångsvan</t>
        </is>
      </c>
      <c r="V29">
        <f>HYPERLINK("https://klasma.github.io/Logging_0382/artfynd/A 23496-2023 artfynd.xlsx", "A 23496-2023")</f>
        <v/>
      </c>
      <c r="W29">
        <f>HYPERLINK("https://klasma.github.io/Logging_0382/kartor/A 23496-2023 karta.png", "A 23496-2023")</f>
        <v/>
      </c>
      <c r="Y29">
        <f>HYPERLINK("https://klasma.github.io/Logging_0382/klagomål/A 23496-2023 FSC-klagomål.docx", "A 23496-2023")</f>
        <v/>
      </c>
      <c r="Z29">
        <f>HYPERLINK("https://klasma.github.io/Logging_0382/klagomålsmail/A 23496-2023 FSC-klagomål mail.docx", "A 23496-2023")</f>
        <v/>
      </c>
      <c r="AA29">
        <f>HYPERLINK("https://klasma.github.io/Logging_0382/tillsyn/A 23496-2023 tillsynsbegäran.docx", "A 23496-2023")</f>
        <v/>
      </c>
      <c r="AB29">
        <f>HYPERLINK("https://klasma.github.io/Logging_0382/tillsynsmail/A 23496-2023 tillsynsbegäran mail.docx", "A 23496-2023")</f>
        <v/>
      </c>
      <c r="AC29">
        <f>HYPERLINK("https://klasma.github.io/Logging_0382/fåglar/A 23496-2023 prioriterade fågelarter.docx", "A 23496-2023")</f>
        <v/>
      </c>
    </row>
    <row r="30" ht="15" customHeight="1">
      <c r="A30" t="inlineStr">
        <is>
          <t>A 55518-2024</t>
        </is>
      </c>
      <c r="B30" t="inlineStr">
        <is>
          <t>avverkningsanmälan</t>
        </is>
      </c>
      <c r="C30" t="inlineStr">
        <is>
          <t>Föryngringsavverkning</t>
        </is>
      </c>
      <c r="D30" s="1" t="n">
        <v>45622</v>
      </c>
      <c r="E30" s="1" t="n">
        <v>46221</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s="2" t="inlineStr">
        <is>
          <t>Knärot
Ullticka
Vedtrappmossa
Bronshjon
Grön sköldmossa
Gullgröppa
Rödgul trumpetsvamp
Stubbspretmossa
Vågbandad barkbock
Blåsippa
Spillkråka</t>
        </is>
      </c>
      <c r="V30">
        <f>HYPERLINK("https://klasma.github.io/Logging_0382/artfynd/A 55518-2024 artfynd.xlsx", "A 55518-2024")</f>
        <v/>
      </c>
      <c r="W30">
        <f>HYPERLINK("https://klasma.github.io/Logging_0382/kartor/A 55518-2024 karta.png", "A 55518-2024")</f>
        <v/>
      </c>
      <c r="X30">
        <f>HYPERLINK("https://klasma.github.io/Logging_0382/knärot/A 55518-2024 karta knärot.png", "A 55518-2024")</f>
        <v/>
      </c>
      <c r="Y30">
        <f>HYPERLINK("https://klasma.github.io/Logging_0382/klagomål/A 55518-2024 FSC-klagomål.docx", "A 55518-2024")</f>
        <v/>
      </c>
      <c r="Z30">
        <f>HYPERLINK("https://klasma.github.io/Logging_0382/klagomålsmail/A 55518-2024 FSC-klagomål mail.docx", "A 55518-2024")</f>
        <v/>
      </c>
      <c r="AA30">
        <f>HYPERLINK("https://klasma.github.io/Logging_0382/tillsyn/A 55518-2024 tillsynsbegäran.docx", "A 55518-2024")</f>
        <v/>
      </c>
      <c r="AB30">
        <f>HYPERLINK("https://klasma.github.io/Logging_0382/tillsynsmail/A 55518-2024 tillsynsbegäran mail.docx", "A 55518-2024")</f>
        <v/>
      </c>
      <c r="AC30">
        <f>HYPERLINK("https://klasma.github.io/Logging_0382/fåglar/A 55518-2024 prioriterade fågelarter.docx", "A 55518-2024")</f>
        <v/>
      </c>
    </row>
    <row r="31" ht="15" customHeight="1">
      <c r="A31" t="inlineStr">
        <is>
          <t>A 221-2025</t>
        </is>
      </c>
      <c r="B31" t="inlineStr">
        <is>
          <t>avverkningsanmälan</t>
        </is>
      </c>
      <c r="C31" t="inlineStr">
        <is>
          <t>Föryngringsavverkning</t>
        </is>
      </c>
      <c r="D31" s="1" t="n">
        <v>45660</v>
      </c>
      <c r="E31" s="1" t="n">
        <v>46221</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s="2" t="inlineStr">
        <is>
          <t>Gul taggsvamp
Fjällig taggsvamp s.str.
Motaggsvamp
Talltita
Ullticka
Grön sköldmossa
Korallblylav
Rödgul trumpetsvamp
Blåsippa
Tallbit
Kungsfågel</t>
        </is>
      </c>
      <c r="V31">
        <f>HYPERLINK("https://klasma.github.io/Logging_0382/artfynd/A 221-2025 artfynd.xlsx", "A 221-2025")</f>
        <v/>
      </c>
      <c r="W31">
        <f>HYPERLINK("https://klasma.github.io/Logging_0382/kartor/A 221-2025 karta.png", "A 221-2025")</f>
        <v/>
      </c>
      <c r="Y31">
        <f>HYPERLINK("https://klasma.github.io/Logging_0382/klagomål/A 221-2025 FSC-klagomål.docx", "A 221-2025")</f>
        <v/>
      </c>
      <c r="Z31">
        <f>HYPERLINK("https://klasma.github.io/Logging_0382/klagomålsmail/A 221-2025 FSC-klagomål mail.docx", "A 221-2025")</f>
        <v/>
      </c>
      <c r="AA31">
        <f>HYPERLINK("https://klasma.github.io/Logging_0382/tillsyn/A 221-2025 tillsynsbegäran.docx", "A 221-2025")</f>
        <v/>
      </c>
      <c r="AB31">
        <f>HYPERLINK("https://klasma.github.io/Logging_0382/tillsynsmail/A 221-2025 tillsynsbegäran mail.docx", "A 221-2025")</f>
        <v/>
      </c>
      <c r="AC31">
        <f>HYPERLINK("https://klasma.github.io/Logging_0382/fåglar/A 221-2025 prioriterade fågelarter.docx", "A 221-2025")</f>
        <v/>
      </c>
    </row>
    <row r="32" ht="15" customHeight="1">
      <c r="A32" t="inlineStr">
        <is>
          <t>A 63054-2025</t>
        </is>
      </c>
      <c r="B32" t="inlineStr">
        <is>
          <t>avverkningsanmälan</t>
        </is>
      </c>
      <c r="C32" t="inlineStr">
        <is>
          <t>Föryngringsavverkning</t>
        </is>
      </c>
      <c r="D32" s="1" t="n">
        <v>46009</v>
      </c>
      <c r="E32" s="1" t="n">
        <v>46221</v>
      </c>
      <c r="F32" t="inlineStr">
        <is>
          <t>UPPSALA LÄN</t>
        </is>
      </c>
      <c r="G32" t="inlineStr">
        <is>
          <t>ÖSTHAMMAR</t>
        </is>
      </c>
      <c r="H32" t="inlineStr">
        <is>
          <t>Kyrkan</t>
        </is>
      </c>
      <c r="I32" t="n">
        <v>6.5</v>
      </c>
      <c r="J32" t="n">
        <v>2</v>
      </c>
      <c r="K32" t="n">
        <v>1</v>
      </c>
      <c r="L32" t="n">
        <v>6</v>
      </c>
      <c r="M32" t="n">
        <v>2</v>
      </c>
      <c r="N32" t="n">
        <v>1</v>
      </c>
      <c r="O32" t="n">
        <v>0</v>
      </c>
      <c r="P32" t="n">
        <v>0</v>
      </c>
      <c r="Q32" t="n">
        <v>9</v>
      </c>
      <c r="R32" t="n">
        <v>3</v>
      </c>
      <c r="S32" t="n">
        <v>11</v>
      </c>
      <c r="T32" t="n">
        <v>19</v>
      </c>
      <c r="U32" s="2" t="inlineStr">
        <is>
          <t>Violgubbe
Knärot
Läderdoftande fingersvamp
Blek fingersvamp
Fjällig taggsvamp s.str.
Gultoppig fingersvamp
Kortskaftad ärgspik
Vedtrappmossa
Vågticka
Svavelriska
Blåsippa</t>
        </is>
      </c>
      <c r="V32">
        <f>HYPERLINK("https://klasma.github.io/Logging_0382/artfynd/A 63054-2025 artfynd.xlsx", "A 63054-2025")</f>
        <v/>
      </c>
      <c r="W32">
        <f>HYPERLINK("https://klasma.github.io/Logging_0382/kartor/A 63054-2025 karta.png", "A 63054-2025")</f>
        <v/>
      </c>
      <c r="X32">
        <f>HYPERLINK("https://klasma.github.io/Logging_0382/knärot/A 63054-2025 karta knärot.png", "A 63054-2025")</f>
        <v/>
      </c>
      <c r="Y32">
        <f>HYPERLINK("https://klasma.github.io/Logging_0382/klagomål/A 63054-2025 FSC-klagomål.docx", "A 63054-2025")</f>
        <v/>
      </c>
      <c r="Z32">
        <f>HYPERLINK("https://klasma.github.io/Logging_0382/klagomålsmail/A 63054-2025 FSC-klagomål mail.docx", "A 63054-2025")</f>
        <v/>
      </c>
      <c r="AA32">
        <f>HYPERLINK("https://klasma.github.io/Logging_0382/tillsyn/A 63054-2025 tillsynsbegäran.docx", "A 63054-2025")</f>
        <v/>
      </c>
      <c r="AB32">
        <f>HYPERLINK("https://klasma.github.io/Logging_0382/tillsynsmail/A 63054-2025 tillsynsbegäran mail.docx", "A 63054-2025")</f>
        <v/>
      </c>
    </row>
    <row r="33" ht="15" customHeight="1">
      <c r="A33" t="inlineStr">
        <is>
          <t>A 45111-2021</t>
        </is>
      </c>
      <c r="B33" t="inlineStr">
        <is>
          <t>avverkningsanmälan</t>
        </is>
      </c>
      <c r="C33" t="inlineStr">
        <is>
          <t>Föryngringsavverkning</t>
        </is>
      </c>
      <c r="D33" s="1" t="n">
        <v>44439</v>
      </c>
      <c r="E33" s="1" t="n">
        <v>46221</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Y33">
        <f>HYPERLINK("https://klasma.github.io/Logging_0382/klagomål/A 45111-2021 FSC-klagomål.docx", "A 45111-2021")</f>
        <v/>
      </c>
      <c r="Z33">
        <f>HYPERLINK("https://klasma.github.io/Logging_0382/klagomålsmail/A 45111-2021 FSC-klagomål mail.docx", "A 45111-2021")</f>
        <v/>
      </c>
      <c r="AA33">
        <f>HYPERLINK("https://klasma.github.io/Logging_0382/tillsyn/A 45111-2021 tillsynsbegäran.docx", "A 45111-2021")</f>
        <v/>
      </c>
      <c r="AB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46221</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s="2" t="inlineStr">
        <is>
          <t>Hussvala
Grönsångare
Gulsparv
Järnsparv
Skrattmås
Grön sköldmossa
Grönsiska
Kungsfågel
Törnskata
Ärtsångare</t>
        </is>
      </c>
      <c r="V34">
        <f>HYPERLINK("https://klasma.github.io/Logging_0382/artfynd/A 46204-2023 artfynd.xlsx", "A 46204-2023")</f>
        <v/>
      </c>
      <c r="W34">
        <f>HYPERLINK("https://klasma.github.io/Logging_0382/kartor/A 46204-2023 karta.png", "A 46204-2023")</f>
        <v/>
      </c>
      <c r="Y34">
        <f>HYPERLINK("https://klasma.github.io/Logging_0382/klagomål/A 46204-2023 FSC-klagomål.docx", "A 46204-2023")</f>
        <v/>
      </c>
      <c r="Z34">
        <f>HYPERLINK("https://klasma.github.io/Logging_0382/klagomålsmail/A 46204-2023 FSC-klagomål mail.docx", "A 46204-2023")</f>
        <v/>
      </c>
      <c r="AA34">
        <f>HYPERLINK("https://klasma.github.io/Logging_0382/tillsyn/A 46204-2023 tillsynsbegäran.docx", "A 46204-2023")</f>
        <v/>
      </c>
      <c r="AB34">
        <f>HYPERLINK("https://klasma.github.io/Logging_0382/tillsynsmail/A 46204-2023 tillsynsbegäran mail.docx", "A 46204-2023")</f>
        <v/>
      </c>
      <c r="AC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46221</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s="2" t="inlineStr">
        <is>
          <t>Rödvingetrast
Talltita
Bronshjon
Mörk husmossa
Nästrot
Tvåblad
Blåsippa
Brudborste
Ormbär
Nattviol</t>
        </is>
      </c>
      <c r="V35">
        <f>HYPERLINK("https://klasma.github.io/Logging_0382/artfynd/A 51154-2025 artfynd.xlsx", "A 51154-2025")</f>
        <v/>
      </c>
      <c r="W35">
        <f>HYPERLINK("https://klasma.github.io/Logging_0382/kartor/A 51154-2025 karta.png", "A 51154-2025")</f>
        <v/>
      </c>
      <c r="Y35">
        <f>HYPERLINK("https://klasma.github.io/Logging_0382/klagomål/A 51154-2025 FSC-klagomål.docx", "A 51154-2025")</f>
        <v/>
      </c>
      <c r="Z35">
        <f>HYPERLINK("https://klasma.github.io/Logging_0382/klagomålsmail/A 51154-2025 FSC-klagomål mail.docx", "A 51154-2025")</f>
        <v/>
      </c>
      <c r="AA35">
        <f>HYPERLINK("https://klasma.github.io/Logging_0382/tillsyn/A 51154-2025 tillsynsbegäran.docx", "A 51154-2025")</f>
        <v/>
      </c>
      <c r="AB35">
        <f>HYPERLINK("https://klasma.github.io/Logging_0382/tillsynsmail/A 51154-2025 tillsynsbegäran mail.docx", "A 51154-2025")</f>
        <v/>
      </c>
      <c r="AC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46221</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s="2" t="inlineStr">
        <is>
          <t>Violgubbe
Skarp dropptaggsvamp
Sårläka
Äggspindling
Anisspindling
Brun klibbskivling
Grönkulla
Kalktallört
Spindelblomster
Svavelriska</t>
        </is>
      </c>
      <c r="V36">
        <f>HYPERLINK("https://klasma.github.io/Logging_0382/artfynd/A 31207-2022 artfynd.xlsx", "A 31207-2022")</f>
        <v/>
      </c>
      <c r="W36">
        <f>HYPERLINK("https://klasma.github.io/Logging_0382/kartor/A 31207-2022 karta.png", "A 31207-2022")</f>
        <v/>
      </c>
      <c r="Y36">
        <f>HYPERLINK("https://klasma.github.io/Logging_0382/klagomål/A 31207-2022 FSC-klagomål.docx", "A 31207-2022")</f>
        <v/>
      </c>
      <c r="Z36">
        <f>HYPERLINK("https://klasma.github.io/Logging_0382/klagomålsmail/A 31207-2022 FSC-klagomål mail.docx", "A 31207-2022")</f>
        <v/>
      </c>
      <c r="AA36">
        <f>HYPERLINK("https://klasma.github.io/Logging_0382/tillsyn/A 31207-2022 tillsynsbegäran.docx", "A 31207-2022")</f>
        <v/>
      </c>
      <c r="AB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46221</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s="2" t="inlineStr">
        <is>
          <t>Knärot
Fjällig taggsvamp s.str.
Puderspindling
Rosenticka
Ullticka
Bronshjon
Granbräken
Gullgröppa
Spillkråka
Kungsfågel</t>
        </is>
      </c>
      <c r="V37">
        <f>HYPERLINK("https://klasma.github.io/Logging_0382/artfynd/A 29832-2026 artfynd.xlsx", "A 29832-2026")</f>
        <v/>
      </c>
      <c r="W37">
        <f>HYPERLINK("https://klasma.github.io/Logging_0382/kartor/A 29832-2026 karta.png", "A 29832-2026")</f>
        <v/>
      </c>
      <c r="X37">
        <f>HYPERLINK("https://klasma.github.io/Logging_0382/knärot/A 29832-2026 karta knärot.png", "A 29832-2026")</f>
        <v/>
      </c>
      <c r="Y37">
        <f>HYPERLINK("https://klasma.github.io/Logging_0382/klagomål/A 29832-2026 FSC-klagomål.docx", "A 29832-2026")</f>
        <v/>
      </c>
      <c r="Z37">
        <f>HYPERLINK("https://klasma.github.io/Logging_0382/klagomålsmail/A 29832-2026 FSC-klagomål mail.docx", "A 29832-2026")</f>
        <v/>
      </c>
      <c r="AA37">
        <f>HYPERLINK("https://klasma.github.io/Logging_0382/tillsyn/A 29832-2026 tillsynsbegäran.docx", "A 29832-2026")</f>
        <v/>
      </c>
      <c r="AB37">
        <f>HYPERLINK("https://klasma.github.io/Logging_0382/tillsynsmail/A 29832-2026 tillsynsbegäran mail.docx", "A 29832-2026")</f>
        <v/>
      </c>
      <c r="AC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Y38">
        <f>HYPERLINK("https://klasma.github.io/Logging_0382/klagomål/S 77-2023 FSC-klagomål.docx", "S 77-2023")</f>
        <v/>
      </c>
      <c r="Z38">
        <f>HYPERLINK("https://klasma.github.io/Logging_0382/klagomålsmail/S 77-2023 FSC-klagomål mail.docx", "S 77-2023")</f>
        <v/>
      </c>
      <c r="AA38">
        <f>HYPERLINK("https://klasma.github.io/Logging_0382/tillsyn/S 77-2023 tillsynsbegäran.docx", "S 77-2023")</f>
        <v/>
      </c>
      <c r="AB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Y39">
        <f>HYPERLINK("https://klasma.github.io/Logging_0382/klagomål/S 1577-2025 FSC-klagomål.docx", "S 1577-2025")</f>
        <v/>
      </c>
      <c r="Z39">
        <f>HYPERLINK("https://klasma.github.io/Logging_0382/klagomålsmail/S 1577-2025 FSC-klagomål mail.docx", "S 1577-2025")</f>
        <v/>
      </c>
      <c r="AA39">
        <f>HYPERLINK("https://klasma.github.io/Logging_0382/tillsyn/S 1577-2025 tillsynsbegäran.docx", "S 1577-2025")</f>
        <v/>
      </c>
      <c r="AB39">
        <f>HYPERLINK("https://klasma.github.io/Logging_0382/tillsynsmail/S 1577-2025 tillsynsbegäran mail.docx", "S 1577-2025")</f>
        <v/>
      </c>
      <c r="AC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46221</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s="2" t="inlineStr">
        <is>
          <t>Bullspindling
Duvspindling
Grangråticka
Blekspindling agg.
Äggspindling
Diskvaxskivling
Olivspindling
Rödgul trumpetsvamp
Svavelriska</t>
        </is>
      </c>
      <c r="V40">
        <f>HYPERLINK("https://klasma.github.io/Logging_0382/artfynd/A 13287-2022 artfynd.xlsx", "A 13287-2022")</f>
        <v/>
      </c>
      <c r="W40">
        <f>HYPERLINK("https://klasma.github.io/Logging_0382/kartor/A 13287-2022 karta.png", "A 13287-2022")</f>
        <v/>
      </c>
      <c r="Y40">
        <f>HYPERLINK("https://klasma.github.io/Logging_0382/klagomål/A 13287-2022 FSC-klagomål.docx", "A 13287-2022")</f>
        <v/>
      </c>
      <c r="Z40">
        <f>HYPERLINK("https://klasma.github.io/Logging_0382/klagomålsmail/A 13287-2022 FSC-klagomål mail.docx", "A 13287-2022")</f>
        <v/>
      </c>
      <c r="AA40">
        <f>HYPERLINK("https://klasma.github.io/Logging_0382/tillsyn/A 13287-2022 tillsynsbegäran.docx", "A 13287-2022")</f>
        <v/>
      </c>
      <c r="AB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46221</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s="2" t="inlineStr">
        <is>
          <t>Garnlav
Knärot
Kattfotslav
Grönpyrola
Vågbandad barkbock
Blåsippa
Spillkråka
Tjäder
Revlummer</t>
        </is>
      </c>
      <c r="V41">
        <f>HYPERLINK("https://klasma.github.io/Logging_0382/artfynd/A 39834-2025 artfynd.xlsx", "A 39834-2025")</f>
        <v/>
      </c>
      <c r="W41">
        <f>HYPERLINK("https://klasma.github.io/Logging_0382/kartor/A 39834-2025 karta.png", "A 39834-2025")</f>
        <v/>
      </c>
      <c r="X41">
        <f>HYPERLINK("https://klasma.github.io/Logging_0382/knärot/A 39834-2025 karta knärot.png", "A 39834-2025")</f>
        <v/>
      </c>
      <c r="Y41">
        <f>HYPERLINK("https://klasma.github.io/Logging_0382/klagomål/A 39834-2025 FSC-klagomål.docx", "A 39834-2025")</f>
        <v/>
      </c>
      <c r="Z41">
        <f>HYPERLINK("https://klasma.github.io/Logging_0382/klagomålsmail/A 39834-2025 FSC-klagomål mail.docx", "A 39834-2025")</f>
        <v/>
      </c>
      <c r="AA41">
        <f>HYPERLINK("https://klasma.github.io/Logging_0382/tillsyn/A 39834-2025 tillsynsbegäran.docx", "A 39834-2025")</f>
        <v/>
      </c>
      <c r="AB41">
        <f>HYPERLINK("https://klasma.github.io/Logging_0382/tillsynsmail/A 39834-2025 tillsynsbegäran mail.docx", "A 39834-2025")</f>
        <v/>
      </c>
      <c r="AC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46221</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s="2" t="inlineStr">
        <is>
          <t>Knärot
Tretåig hackspett
Ullticka
Brandticka
Grönpyrola
Blåsippa
Spillkråka
Tjäder
Revlummer</t>
        </is>
      </c>
      <c r="V42">
        <f>HYPERLINK("https://klasma.github.io/Logging_0382/artfynd/A 52808-2023 artfynd.xlsx", "A 52808-2023")</f>
        <v/>
      </c>
      <c r="W42">
        <f>HYPERLINK("https://klasma.github.io/Logging_0382/kartor/A 52808-2023 karta.png", "A 52808-2023")</f>
        <v/>
      </c>
      <c r="X42">
        <f>HYPERLINK("https://klasma.github.io/Logging_0382/knärot/A 52808-2023 karta knärot.png", "A 52808-2023")</f>
        <v/>
      </c>
      <c r="Y42">
        <f>HYPERLINK("https://klasma.github.io/Logging_0382/klagomål/A 52808-2023 FSC-klagomål.docx", "A 52808-2023")</f>
        <v/>
      </c>
      <c r="Z42">
        <f>HYPERLINK("https://klasma.github.io/Logging_0382/klagomålsmail/A 52808-2023 FSC-klagomål mail.docx", "A 52808-2023")</f>
        <v/>
      </c>
      <c r="AA42">
        <f>HYPERLINK("https://klasma.github.io/Logging_0382/tillsyn/A 52808-2023 tillsynsbegäran.docx", "A 52808-2023")</f>
        <v/>
      </c>
      <c r="AB42">
        <f>HYPERLINK("https://klasma.github.io/Logging_0382/tillsynsmail/A 52808-2023 tillsynsbegäran mail.docx", "A 52808-2023")</f>
        <v/>
      </c>
      <c r="AC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Y43">
        <f>HYPERLINK("https://klasma.github.io/Logging_0382/klagomål/S 2780-2020 FSC-klagomål.docx", "S 2780-2020")</f>
        <v/>
      </c>
      <c r="Z43">
        <f>HYPERLINK("https://klasma.github.io/Logging_0382/klagomålsmail/S 2780-2020 FSC-klagomål mail.docx", "S 2780-2020")</f>
        <v/>
      </c>
      <c r="AA43">
        <f>HYPERLINK("https://klasma.github.io/Logging_0382/tillsyn/S 2780-2020 tillsynsbegäran.docx", "S 2780-2020")</f>
        <v/>
      </c>
      <c r="AB43">
        <f>HYPERLINK("https://klasma.github.io/Logging_0382/tillsynsmail/S 2780-2020 tillsynsbegäran mail.docx", "S 2780-2020")</f>
        <v/>
      </c>
      <c r="AC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Y44">
        <f>HYPERLINK("https://klasma.github.io/Logging_0382/klagomål/A 23498-2023 FSC-klagomål.docx", "A 23498-2023")</f>
        <v/>
      </c>
      <c r="Z44">
        <f>HYPERLINK("https://klasma.github.io/Logging_0382/klagomålsmail/A 23498-2023 FSC-klagomål mail.docx", "A 23498-2023")</f>
        <v/>
      </c>
      <c r="AA44">
        <f>HYPERLINK("https://klasma.github.io/Logging_0382/tillsyn/A 23498-2023 tillsynsbegäran.docx", "A 23498-2023")</f>
        <v/>
      </c>
      <c r="AB44">
        <f>HYPERLINK("https://klasma.github.io/Logging_0382/tillsynsmail/A 23498-2023 tillsynsbegäran mail.docx", "A 23498-2023")</f>
        <v/>
      </c>
      <c r="AC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Y45">
        <f>HYPERLINK("https://klasma.github.io/Logging_0382/klagomål/S 1478-2022 FSC-klagomål.docx", "S 1478-2022")</f>
        <v/>
      </c>
      <c r="Z45">
        <f>HYPERLINK("https://klasma.github.io/Logging_0382/klagomålsmail/S 1478-2022 FSC-klagomål mail.docx", "S 1478-2022")</f>
        <v/>
      </c>
      <c r="AA45">
        <f>HYPERLINK("https://klasma.github.io/Logging_0382/tillsyn/S 1478-2022 tillsynsbegäran.docx", "S 1478-2022")</f>
        <v/>
      </c>
      <c r="AB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Y46">
        <f>HYPERLINK("https://klasma.github.io/Logging_0382/klagomål/S 1588-2026 FSC-klagomål.docx", "S 1588-2026")</f>
        <v/>
      </c>
      <c r="Z46">
        <f>HYPERLINK("https://klasma.github.io/Logging_0382/klagomålsmail/S 1588-2026 FSC-klagomål mail.docx", "S 1588-2026")</f>
        <v/>
      </c>
      <c r="AA46">
        <f>HYPERLINK("https://klasma.github.io/Logging_0382/tillsyn/S 1588-2026 tillsynsbegäran.docx", "S 1588-2026")</f>
        <v/>
      </c>
      <c r="AB46">
        <f>HYPERLINK("https://klasma.github.io/Logging_0382/tillsynsmail/S 1588-2026 tillsynsbegäran mail.docx", "S 1588-2026")</f>
        <v/>
      </c>
      <c r="AC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46221</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s="2" t="inlineStr">
        <is>
          <t>Gyllenfingersvamp
Koppartaggsvamp
Skarp dropptaggsvamp
Äggspindling
Anisspindling
Olivspindling
Trådticka</t>
        </is>
      </c>
      <c r="V47">
        <f>HYPERLINK("https://klasma.github.io/Logging_0382/artfynd/A 9569-2026 artfynd.xlsx", "A 9569-2026")</f>
        <v/>
      </c>
      <c r="W47">
        <f>HYPERLINK("https://klasma.github.io/Logging_0382/kartor/A 9569-2026 karta.png", "A 9569-2026")</f>
        <v/>
      </c>
      <c r="Y47">
        <f>HYPERLINK("https://klasma.github.io/Logging_0382/klagomål/A 9569-2026 FSC-klagomål.docx", "A 9569-2026")</f>
        <v/>
      </c>
      <c r="Z47">
        <f>HYPERLINK("https://klasma.github.io/Logging_0382/klagomålsmail/A 9569-2026 FSC-klagomål mail.docx", "A 9569-2026")</f>
        <v/>
      </c>
      <c r="AA47">
        <f>HYPERLINK("https://klasma.github.io/Logging_0382/tillsyn/A 9569-2026 tillsynsbegäran.docx", "A 9569-2026")</f>
        <v/>
      </c>
      <c r="AB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46221</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s="2" t="inlineStr">
        <is>
          <t>Grönfink
Stare
Gulsparv
Buskskvätta
Svartvit flugsnappare
Törnskata
Ängsnycklar</t>
        </is>
      </c>
      <c r="V48">
        <f>HYPERLINK("https://klasma.github.io/Logging_0382/artfynd/A 43992-2022 artfynd.xlsx", "A 43992-2022")</f>
        <v/>
      </c>
      <c r="W48">
        <f>HYPERLINK("https://klasma.github.io/Logging_0382/kartor/A 43992-2022 karta.png", "A 43992-2022")</f>
        <v/>
      </c>
      <c r="Y48">
        <f>HYPERLINK("https://klasma.github.io/Logging_0382/klagomål/A 43992-2022 FSC-klagomål.docx", "A 43992-2022")</f>
        <v/>
      </c>
      <c r="Z48">
        <f>HYPERLINK("https://klasma.github.io/Logging_0382/klagomålsmail/A 43992-2022 FSC-klagomål mail.docx", "A 43992-2022")</f>
        <v/>
      </c>
      <c r="AA48">
        <f>HYPERLINK("https://klasma.github.io/Logging_0382/tillsyn/A 43992-2022 tillsynsbegäran.docx", "A 43992-2022")</f>
        <v/>
      </c>
      <c r="AB48">
        <f>HYPERLINK("https://klasma.github.io/Logging_0382/tillsynsmail/A 43992-2022 tillsynsbegäran mail.docx", "A 43992-2022")</f>
        <v/>
      </c>
      <c r="AC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46221</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s="2" t="inlineStr">
        <is>
          <t>Sårläka
Nästrot
Skogsknipprot
Tibast
Vågbandad barkbock
Blåsippa
Grönvit nattviol</t>
        </is>
      </c>
      <c r="V49">
        <f>HYPERLINK("https://klasma.github.io/Logging_0382/artfynd/A 46785-2023 artfynd.xlsx", "A 46785-2023")</f>
        <v/>
      </c>
      <c r="W49">
        <f>HYPERLINK("https://klasma.github.io/Logging_0382/kartor/A 46785-2023 karta.png", "A 46785-2023")</f>
        <v/>
      </c>
      <c r="Y49">
        <f>HYPERLINK("https://klasma.github.io/Logging_0382/klagomål/A 46785-2023 FSC-klagomål.docx", "A 46785-2023")</f>
        <v/>
      </c>
      <c r="Z49">
        <f>HYPERLINK("https://klasma.github.io/Logging_0382/klagomålsmail/A 46785-2023 FSC-klagomål mail.docx", "A 46785-2023")</f>
        <v/>
      </c>
      <c r="AA49">
        <f>HYPERLINK("https://klasma.github.io/Logging_0382/tillsyn/A 46785-2023 tillsynsbegäran.docx", "A 46785-2023")</f>
        <v/>
      </c>
      <c r="AB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46221</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s="2" t="inlineStr">
        <is>
          <t>Violgubbe
Gul lammticka
Kopparspindling
Läderdoftande fingersvamp
Orange taggsvamp
Kamjordstjärna
Olivspindling</t>
        </is>
      </c>
      <c r="V50">
        <f>HYPERLINK("https://klasma.github.io/Logging_0382/artfynd/A 33269-2025 artfynd.xlsx", "A 33269-2025")</f>
        <v/>
      </c>
      <c r="W50">
        <f>HYPERLINK("https://klasma.github.io/Logging_0382/kartor/A 33269-2025 karta.png", "A 33269-2025")</f>
        <v/>
      </c>
      <c r="Y50">
        <f>HYPERLINK("https://klasma.github.io/Logging_0382/klagomål/A 33269-2025 FSC-klagomål.docx", "A 33269-2025")</f>
        <v/>
      </c>
      <c r="Z50">
        <f>HYPERLINK("https://klasma.github.io/Logging_0382/klagomålsmail/A 33269-2025 FSC-klagomål mail.docx", "A 33269-2025")</f>
        <v/>
      </c>
      <c r="AA50">
        <f>HYPERLINK("https://klasma.github.io/Logging_0382/tillsyn/A 33269-2025 tillsynsbegäran.docx", "A 33269-2025")</f>
        <v/>
      </c>
      <c r="AB50">
        <f>HYPERLINK("https://klasma.github.io/Logging_0382/tillsynsmail/A 33269-2025 tillsynsbegäran mail.docx", "A 33269-2025")</f>
        <v/>
      </c>
    </row>
    <row r="51" ht="15" customHeight="1">
      <c r="A51" t="inlineStr">
        <is>
          <t>A 55051-2021</t>
        </is>
      </c>
      <c r="B51" t="inlineStr">
        <is>
          <t>avverkningsanmälan</t>
        </is>
      </c>
      <c r="C51" t="inlineStr">
        <is>
          <t>Föryngringsavverkning</t>
        </is>
      </c>
      <c r="D51" s="1" t="n">
        <v>44474</v>
      </c>
      <c r="E51" s="1" t="n">
        <v>46221</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s="2" t="inlineStr">
        <is>
          <t>Silverblåvinge
Ängsblåvinge
Gulpudrad spiklav
Sotlav
Svart trolldruva
Tibast
Blåsippa</t>
        </is>
      </c>
      <c r="V51">
        <f>HYPERLINK("https://klasma.github.io/Logging_0382/artfynd/A 55051-2021 artfynd.xlsx", "A 55051-2021")</f>
        <v/>
      </c>
      <c r="W51">
        <f>HYPERLINK("https://klasma.github.io/Logging_0382/kartor/A 55051-2021 karta.png", "A 55051-2021")</f>
        <v/>
      </c>
      <c r="Y51">
        <f>HYPERLINK("https://klasma.github.io/Logging_0382/klagomål/A 55051-2021 FSC-klagomål.docx", "A 55051-2021")</f>
        <v/>
      </c>
      <c r="Z51">
        <f>HYPERLINK("https://klasma.github.io/Logging_0382/klagomålsmail/A 55051-2021 FSC-klagomål mail.docx", "A 55051-2021")</f>
        <v/>
      </c>
      <c r="AA51">
        <f>HYPERLINK("https://klasma.github.io/Logging_0382/tillsyn/A 55051-2021 tillsynsbegäran.docx", "A 55051-2021")</f>
        <v/>
      </c>
      <c r="AB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46221</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s="2" t="inlineStr">
        <is>
          <t>Talltita
Brandticka
Tibast
Blåsippa
Tjäder
Kungsfågel
Orre</t>
        </is>
      </c>
      <c r="V52">
        <f>HYPERLINK("https://klasma.github.io/Logging_0382/artfynd/S 522-2022 artfynd.xlsx", "S 522-2022")</f>
        <v/>
      </c>
      <c r="W52">
        <f>HYPERLINK("https://klasma.github.io/Logging_0382/kartor/S 522-2022 karta.png", "S 522-2022")</f>
        <v/>
      </c>
      <c r="Y52">
        <f>HYPERLINK("https://klasma.github.io/Logging_0382/klagomål/S 522-2022 FSC-klagomål.docx", "S 522-2022")</f>
        <v/>
      </c>
      <c r="Z52">
        <f>HYPERLINK("https://klasma.github.io/Logging_0382/klagomålsmail/S 522-2022 FSC-klagomål mail.docx", "S 522-2022")</f>
        <v/>
      </c>
      <c r="AA52">
        <f>HYPERLINK("https://klasma.github.io/Logging_0382/tillsyn/S 522-2022 tillsynsbegäran.docx", "S 522-2022")</f>
        <v/>
      </c>
      <c r="AB52">
        <f>HYPERLINK("https://klasma.github.io/Logging_0382/tillsynsmail/S 522-2022 tillsynsbegäran mail.docx", "S 522-2022")</f>
        <v/>
      </c>
      <c r="AC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46221</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s="2" t="inlineStr">
        <is>
          <t>Apelticka
Motaggsvamp
Skarp dropptaggsvamp
Tallticka
Vedskivlav
Nästlav
Revlummer</t>
        </is>
      </c>
      <c r="V53">
        <f>HYPERLINK("https://klasma.github.io/Logging_0382/artfynd/S 2766-2023 artfynd.xlsx", "S 2766-2023")</f>
        <v/>
      </c>
      <c r="W53">
        <f>HYPERLINK("https://klasma.github.io/Logging_0382/kartor/S 2766-2023 karta.png", "S 2766-2023")</f>
        <v/>
      </c>
      <c r="Y53">
        <f>HYPERLINK("https://klasma.github.io/Logging_0382/klagomål/S 2766-2023 FSC-klagomål.docx", "S 2766-2023")</f>
        <v/>
      </c>
      <c r="Z53">
        <f>HYPERLINK("https://klasma.github.io/Logging_0382/klagomålsmail/S 2766-2023 FSC-klagomål mail.docx", "S 2766-2023")</f>
        <v/>
      </c>
      <c r="AA53">
        <f>HYPERLINK("https://klasma.github.io/Logging_0382/tillsyn/S 2766-2023 tillsynsbegäran.docx", "S 2766-2023")</f>
        <v/>
      </c>
      <c r="AB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46221</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HYPERLINK("https://klasma.github.io/Logging_0382/knärot/A 32140-2022 karta knärot.png", "A 32140-2022")</f>
        <v/>
      </c>
      <c r="Y54">
        <f>HYPERLINK("https://klasma.github.io/Logging_0382/klagomål/A 32140-2022 FSC-klagomål.docx", "A 32140-2022")</f>
        <v/>
      </c>
      <c r="Z54">
        <f>HYPERLINK("https://klasma.github.io/Logging_0382/klagomålsmail/A 32140-2022 FSC-klagomål mail.docx", "A 32140-2022")</f>
        <v/>
      </c>
      <c r="AA54">
        <f>HYPERLINK("https://klasma.github.io/Logging_0382/tillsyn/A 32140-2022 tillsynsbegäran.docx", "A 32140-2022")</f>
        <v/>
      </c>
      <c r="AB54">
        <f>HYPERLINK("https://klasma.github.io/Logging_0382/tillsynsmail/A 32140-2022 tillsynsbegäran mail.docx", "A 32140-2022")</f>
        <v/>
      </c>
      <c r="AC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46221</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s="2" t="inlineStr">
        <is>
          <t>Koppartaggsvamp
Gul lammticka
Anisspindling
Kamjordstjärna
Olivspindling
Rödgul trumpetsvamp</t>
        </is>
      </c>
      <c r="V55">
        <f>HYPERLINK("https://klasma.github.io/Logging_0382/artfynd/A 24563-2022 artfynd.xlsx", "A 24563-2022")</f>
        <v/>
      </c>
      <c r="W55">
        <f>HYPERLINK("https://klasma.github.io/Logging_0382/kartor/A 24563-2022 karta.png", "A 24563-2022")</f>
        <v/>
      </c>
      <c r="Y55">
        <f>HYPERLINK("https://klasma.github.io/Logging_0382/klagomål/A 24563-2022 FSC-klagomål.docx", "A 24563-2022")</f>
        <v/>
      </c>
      <c r="Z55">
        <f>HYPERLINK("https://klasma.github.io/Logging_0382/klagomålsmail/A 24563-2022 FSC-klagomål mail.docx", "A 24563-2022")</f>
        <v/>
      </c>
      <c r="AA55">
        <f>HYPERLINK("https://klasma.github.io/Logging_0382/tillsyn/A 24563-2022 tillsynsbegäran.docx", "A 24563-2022")</f>
        <v/>
      </c>
      <c r="AB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46221</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s="2" t="inlineStr">
        <is>
          <t>Gul lammticka
Odörspindling
Sårläka
Nästrot
Zontaggsvamp
Gröngöling</t>
        </is>
      </c>
      <c r="V56">
        <f>HYPERLINK("https://klasma.github.io/Logging_0382/artfynd/A 48277-2023 artfynd.xlsx", "A 48277-2023")</f>
        <v/>
      </c>
      <c r="W56">
        <f>HYPERLINK("https://klasma.github.io/Logging_0382/kartor/A 48277-2023 karta.png", "A 48277-2023")</f>
        <v/>
      </c>
      <c r="Y56">
        <f>HYPERLINK("https://klasma.github.io/Logging_0382/klagomål/A 48277-2023 FSC-klagomål.docx", "A 48277-2023")</f>
        <v/>
      </c>
      <c r="Z56">
        <f>HYPERLINK("https://klasma.github.io/Logging_0382/klagomålsmail/A 48277-2023 FSC-klagomål mail.docx", "A 48277-2023")</f>
        <v/>
      </c>
      <c r="AA56">
        <f>HYPERLINK("https://klasma.github.io/Logging_0382/tillsyn/A 48277-2023 tillsynsbegäran.docx", "A 48277-2023")</f>
        <v/>
      </c>
      <c r="AB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46221</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s="2" t="inlineStr">
        <is>
          <t>Grönsångare
Nordfladdermus
Sädesärla
Mindre flugsnappare
Dvärgpipistrell
Vattenfladdermus</t>
        </is>
      </c>
      <c r="V57">
        <f>HYPERLINK("https://klasma.github.io/Logging_0382/artfynd/A 26552-2022 artfynd.xlsx", "A 26552-2022")</f>
        <v/>
      </c>
      <c r="W57">
        <f>HYPERLINK("https://klasma.github.io/Logging_0382/kartor/A 26552-2022 karta.png", "A 26552-2022")</f>
        <v/>
      </c>
      <c r="Y57">
        <f>HYPERLINK("https://klasma.github.io/Logging_0382/klagomål/A 26552-2022 FSC-klagomål.docx", "A 26552-2022")</f>
        <v/>
      </c>
      <c r="Z57">
        <f>HYPERLINK("https://klasma.github.io/Logging_0382/klagomålsmail/A 26552-2022 FSC-klagomål mail.docx", "A 26552-2022")</f>
        <v/>
      </c>
      <c r="AA57">
        <f>HYPERLINK("https://klasma.github.io/Logging_0382/tillsyn/A 26552-2022 tillsynsbegäran.docx", "A 26552-2022")</f>
        <v/>
      </c>
      <c r="AB57">
        <f>HYPERLINK("https://klasma.github.io/Logging_0382/tillsynsmail/A 26552-2022 tillsynsbegäran mail.docx", "A 26552-2022")</f>
        <v/>
      </c>
      <c r="AC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46221</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s="2" t="inlineStr">
        <is>
          <t>Violgubbe
Knärot
Orange taggsvamp
Skogsknipprot
Tvåblad
Fläcknycklar</t>
        </is>
      </c>
      <c r="V58">
        <f>HYPERLINK("https://klasma.github.io/Logging_0382/artfynd/A 55492-2023 artfynd.xlsx", "A 55492-2023")</f>
        <v/>
      </c>
      <c r="W58">
        <f>HYPERLINK("https://klasma.github.io/Logging_0382/kartor/A 55492-2023 karta.png", "A 55492-2023")</f>
        <v/>
      </c>
      <c r="X58">
        <f>HYPERLINK("https://klasma.github.io/Logging_0382/knärot/A 55492-2023 karta knärot.png", "A 55492-2023")</f>
        <v/>
      </c>
      <c r="Y58">
        <f>HYPERLINK("https://klasma.github.io/Logging_0382/klagomål/A 55492-2023 FSC-klagomål.docx", "A 55492-2023")</f>
        <v/>
      </c>
      <c r="Z58">
        <f>HYPERLINK("https://klasma.github.io/Logging_0382/klagomålsmail/A 55492-2023 FSC-klagomål mail.docx", "A 55492-2023")</f>
        <v/>
      </c>
      <c r="AA58">
        <f>HYPERLINK("https://klasma.github.io/Logging_0382/tillsyn/A 55492-2023 tillsynsbegäran.docx", "A 55492-2023")</f>
        <v/>
      </c>
      <c r="AB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46221</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HYPERLINK("https://klasma.github.io/Logging_0382/knärot/A 39763-2022 karta knärot.png", "A 39763-2022")</f>
        <v/>
      </c>
      <c r="Y59">
        <f>HYPERLINK("https://klasma.github.io/Logging_0382/klagomål/A 39763-2022 FSC-klagomål.docx", "A 39763-2022")</f>
        <v/>
      </c>
      <c r="Z59">
        <f>HYPERLINK("https://klasma.github.io/Logging_0382/klagomålsmail/A 39763-2022 FSC-klagomål mail.docx", "A 39763-2022")</f>
        <v/>
      </c>
      <c r="AA59">
        <f>HYPERLINK("https://klasma.github.io/Logging_0382/tillsyn/A 39763-2022 tillsynsbegäran.docx", "A 39763-2022")</f>
        <v/>
      </c>
      <c r="AB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46221</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Y60">
        <f>HYPERLINK("https://klasma.github.io/Logging_0382/klagomål/A 64564-2021 FSC-klagomål.docx", "A 64564-2021")</f>
        <v/>
      </c>
      <c r="Z60">
        <f>HYPERLINK("https://klasma.github.io/Logging_0382/klagomålsmail/A 64564-2021 FSC-klagomål mail.docx", "A 64564-2021")</f>
        <v/>
      </c>
      <c r="AA60">
        <f>HYPERLINK("https://klasma.github.io/Logging_0382/tillsyn/A 64564-2021 tillsynsbegäran.docx", "A 64564-2021")</f>
        <v/>
      </c>
      <c r="AB60">
        <f>HYPERLINK("https://klasma.github.io/Logging_0382/tillsynsmail/A 64564-2021 tillsynsbegäran mail.docx", "A 64564-2021")</f>
        <v/>
      </c>
      <c r="AC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46221</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HYPERLINK("https://klasma.github.io/Logging_0382/knärot/A 18150-2022 karta knärot.png", "A 18150-2022")</f>
        <v/>
      </c>
      <c r="Y61">
        <f>HYPERLINK("https://klasma.github.io/Logging_0382/klagomål/A 18150-2022 FSC-klagomål.docx", "A 18150-2022")</f>
        <v/>
      </c>
      <c r="Z61">
        <f>HYPERLINK("https://klasma.github.io/Logging_0382/klagomålsmail/A 18150-2022 FSC-klagomål mail.docx", "A 18150-2022")</f>
        <v/>
      </c>
      <c r="AA61">
        <f>HYPERLINK("https://klasma.github.io/Logging_0382/tillsyn/A 18150-2022 tillsynsbegäran.docx", "A 18150-2022")</f>
        <v/>
      </c>
      <c r="AB61">
        <f>HYPERLINK("https://klasma.github.io/Logging_0382/tillsynsmail/A 18150-2022 tillsynsbegäran mail.docx", "A 18150-2022")</f>
        <v/>
      </c>
      <c r="AC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46221</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s="2" t="inlineStr">
        <is>
          <t>Enkelbeckasin
Gulsparv
Grönsiska
Kungsfågel
Sångsvan</t>
        </is>
      </c>
      <c r="V62">
        <f>HYPERLINK("https://klasma.github.io/Logging_0382/artfynd/A 52650-2022 artfynd.xlsx", "A 52650-2022")</f>
        <v/>
      </c>
      <c r="W62">
        <f>HYPERLINK("https://klasma.github.io/Logging_0382/kartor/A 52650-2022 karta.png", "A 52650-2022")</f>
        <v/>
      </c>
      <c r="Y62">
        <f>HYPERLINK("https://klasma.github.io/Logging_0382/klagomål/A 52650-2022 FSC-klagomål.docx", "A 52650-2022")</f>
        <v/>
      </c>
      <c r="Z62">
        <f>HYPERLINK("https://klasma.github.io/Logging_0382/klagomålsmail/A 52650-2022 FSC-klagomål mail.docx", "A 52650-2022")</f>
        <v/>
      </c>
      <c r="AA62">
        <f>HYPERLINK("https://klasma.github.io/Logging_0382/tillsyn/A 52650-2022 tillsynsbegäran.docx", "A 52650-2022")</f>
        <v/>
      </c>
      <c r="AB62">
        <f>HYPERLINK("https://klasma.github.io/Logging_0382/tillsynsmail/A 52650-2022 tillsynsbegäran mail.docx", "A 52650-2022")</f>
        <v/>
      </c>
      <c r="AC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46221</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s="2" t="inlineStr">
        <is>
          <t>Spricktaggsvamp
Grangråticka
Dropptaggsvamp
Grantaggsvamp
Brandmusseron</t>
        </is>
      </c>
      <c r="V63">
        <f>HYPERLINK("https://klasma.github.io/Logging_0382/artfynd/A 25179-2023 artfynd.xlsx", "A 25179-2023")</f>
        <v/>
      </c>
      <c r="W63">
        <f>HYPERLINK("https://klasma.github.io/Logging_0382/kartor/A 25179-2023 karta.png", "A 25179-2023")</f>
        <v/>
      </c>
      <c r="Y63">
        <f>HYPERLINK("https://klasma.github.io/Logging_0382/klagomål/A 25179-2023 FSC-klagomål.docx", "A 25179-2023")</f>
        <v/>
      </c>
      <c r="Z63">
        <f>HYPERLINK("https://klasma.github.io/Logging_0382/klagomålsmail/A 25179-2023 FSC-klagomål mail.docx", "A 25179-2023")</f>
        <v/>
      </c>
      <c r="AA63">
        <f>HYPERLINK("https://klasma.github.io/Logging_0382/tillsyn/A 25179-2023 tillsynsbegäran.docx", "A 25179-2023")</f>
        <v/>
      </c>
      <c r="AB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46221</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s="2" t="inlineStr">
        <is>
          <t>Granrotspindling
Lammticka
Reliktbock
Vintertagging
Vanlig padda</t>
        </is>
      </c>
      <c r="V64">
        <f>HYPERLINK("https://klasma.github.io/Logging_0382/artfynd/A 29679-2023 artfynd.xlsx", "A 29679-2023")</f>
        <v/>
      </c>
      <c r="W64">
        <f>HYPERLINK("https://klasma.github.io/Logging_0382/kartor/A 29679-2023 karta.png", "A 29679-2023")</f>
        <v/>
      </c>
      <c r="Y64">
        <f>HYPERLINK("https://klasma.github.io/Logging_0382/klagomål/A 29679-2023 FSC-klagomål.docx", "A 29679-2023")</f>
        <v/>
      </c>
      <c r="Z64">
        <f>HYPERLINK("https://klasma.github.io/Logging_0382/klagomålsmail/A 29679-2023 FSC-klagomål mail.docx", "A 29679-2023")</f>
        <v/>
      </c>
      <c r="AA64">
        <f>HYPERLINK("https://klasma.github.io/Logging_0382/tillsyn/A 29679-2023 tillsynsbegäran.docx", "A 29679-2023")</f>
        <v/>
      </c>
      <c r="AB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46221</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s="2" t="inlineStr">
        <is>
          <t>Stare
Tofsvipa
Gulsparv
Buskskvätta
Svartvit flugsnappare</t>
        </is>
      </c>
      <c r="V65">
        <f>HYPERLINK("https://klasma.github.io/Logging_0382/artfynd/A 24797-2022 artfynd.xlsx", "A 24797-2022")</f>
        <v/>
      </c>
      <c r="W65">
        <f>HYPERLINK("https://klasma.github.io/Logging_0382/kartor/A 24797-2022 karta.png", "A 24797-2022")</f>
        <v/>
      </c>
      <c r="Y65">
        <f>HYPERLINK("https://klasma.github.io/Logging_0382/klagomål/A 24797-2022 FSC-klagomål.docx", "A 24797-2022")</f>
        <v/>
      </c>
      <c r="Z65">
        <f>HYPERLINK("https://klasma.github.io/Logging_0382/klagomålsmail/A 24797-2022 FSC-klagomål mail.docx", "A 24797-2022")</f>
        <v/>
      </c>
      <c r="AA65">
        <f>HYPERLINK("https://klasma.github.io/Logging_0382/tillsyn/A 24797-2022 tillsynsbegäran.docx", "A 24797-2022")</f>
        <v/>
      </c>
      <c r="AB65">
        <f>HYPERLINK("https://klasma.github.io/Logging_0382/tillsynsmail/A 24797-2022 tillsynsbegäran mail.docx", "A 24797-2022")</f>
        <v/>
      </c>
      <c r="AC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46221</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s="2" t="inlineStr">
        <is>
          <t>Fransig jordstjärna
Guldkremla
Kamjordstjärna
Platt fjädermossa
Svavelriska</t>
        </is>
      </c>
      <c r="V66">
        <f>HYPERLINK("https://klasma.github.io/Logging_0382/artfynd/A 67855-2021 artfynd.xlsx", "A 67855-2021")</f>
        <v/>
      </c>
      <c r="W66">
        <f>HYPERLINK("https://klasma.github.io/Logging_0382/kartor/A 67855-2021 karta.png", "A 67855-2021")</f>
        <v/>
      </c>
      <c r="Y66">
        <f>HYPERLINK("https://klasma.github.io/Logging_0382/klagomål/A 67855-2021 FSC-klagomål.docx", "A 67855-2021")</f>
        <v/>
      </c>
      <c r="Z66">
        <f>HYPERLINK("https://klasma.github.io/Logging_0382/klagomålsmail/A 67855-2021 FSC-klagomål mail.docx", "A 67855-2021")</f>
        <v/>
      </c>
      <c r="AA66">
        <f>HYPERLINK("https://klasma.github.io/Logging_0382/tillsyn/A 67855-2021 tillsynsbegäran.docx", "A 67855-2021")</f>
        <v/>
      </c>
      <c r="AB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46221</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s="2" t="inlineStr">
        <is>
          <t>Skogsalm
Myskmadra
Strävlosta
Underviol
Blåsippa</t>
        </is>
      </c>
      <c r="V67">
        <f>HYPERLINK("https://klasma.github.io/Logging_0382/artfynd/A 17004-2024 artfynd.xlsx", "A 17004-2024")</f>
        <v/>
      </c>
      <c r="W67">
        <f>HYPERLINK("https://klasma.github.io/Logging_0382/kartor/A 17004-2024 karta.png", "A 17004-2024")</f>
        <v/>
      </c>
      <c r="Y67">
        <f>HYPERLINK("https://klasma.github.io/Logging_0382/klagomål/A 17004-2024 FSC-klagomål.docx", "A 17004-2024")</f>
        <v/>
      </c>
      <c r="Z67">
        <f>HYPERLINK("https://klasma.github.io/Logging_0382/klagomålsmail/A 17004-2024 FSC-klagomål mail.docx", "A 17004-2024")</f>
        <v/>
      </c>
      <c r="AA67">
        <f>HYPERLINK("https://klasma.github.io/Logging_0382/tillsyn/A 17004-2024 tillsynsbegäran.docx", "A 17004-2024")</f>
        <v/>
      </c>
      <c r="AB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46221</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s="2" t="inlineStr">
        <is>
          <t>Blåsippa
Kärrbräken
Mattlummer
Vanlig padda
Fläcknycklar</t>
        </is>
      </c>
      <c r="V68">
        <f>HYPERLINK("https://klasma.github.io/Logging_0382/artfynd/S 193-2024 artfynd.xlsx", "S 193-2024")</f>
        <v/>
      </c>
      <c r="W68">
        <f>HYPERLINK("https://klasma.github.io/Logging_0382/kartor/S 193-2024 karta.png", "S 193-2024")</f>
        <v/>
      </c>
      <c r="Y68">
        <f>HYPERLINK("https://klasma.github.io/Logging_0382/klagomål/S 193-2024 FSC-klagomål.docx", "S 193-2024")</f>
        <v/>
      </c>
      <c r="Z68">
        <f>HYPERLINK("https://klasma.github.io/Logging_0382/klagomålsmail/S 193-2024 FSC-klagomål mail.docx", "S 193-2024")</f>
        <v/>
      </c>
      <c r="AA68">
        <f>HYPERLINK("https://klasma.github.io/Logging_0382/tillsyn/S 193-2024 tillsynsbegäran.docx", "S 193-2024")</f>
        <v/>
      </c>
      <c r="AB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46221</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s="2" t="inlineStr">
        <is>
          <t>Jungfrulin
Solvända
Blåsippa
Gullviva</t>
        </is>
      </c>
      <c r="V69">
        <f>HYPERLINK("https://klasma.github.io/Logging_0382/artfynd/A 38233-2024 artfynd.xlsx", "A 38233-2024")</f>
        <v/>
      </c>
      <c r="W69">
        <f>HYPERLINK("https://klasma.github.io/Logging_0382/kartor/A 38233-2024 karta.png", "A 38233-2024")</f>
        <v/>
      </c>
      <c r="Y69">
        <f>HYPERLINK("https://klasma.github.io/Logging_0382/klagomål/A 38233-2024 FSC-klagomål.docx", "A 38233-2024")</f>
        <v/>
      </c>
      <c r="Z69">
        <f>HYPERLINK("https://klasma.github.io/Logging_0382/klagomålsmail/A 38233-2024 FSC-klagomål mail.docx", "A 38233-2024")</f>
        <v/>
      </c>
      <c r="AA69">
        <f>HYPERLINK("https://klasma.github.io/Logging_0382/tillsyn/A 38233-2024 tillsynsbegäran.docx", "A 38233-2024")</f>
        <v/>
      </c>
      <c r="AB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46221</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s="2" t="inlineStr">
        <is>
          <t>Gultoppig fingersvamp
Skarp dropptaggsvamp
Anisspindling
Diskvaxskivling</t>
        </is>
      </c>
      <c r="V70">
        <f>HYPERLINK("https://klasma.github.io/Logging_0382/artfynd/A 48352-2022 artfynd.xlsx", "A 48352-2022")</f>
        <v/>
      </c>
      <c r="W70">
        <f>HYPERLINK("https://klasma.github.io/Logging_0382/kartor/A 48352-2022 karta.png", "A 48352-2022")</f>
        <v/>
      </c>
      <c r="Y70">
        <f>HYPERLINK("https://klasma.github.io/Logging_0382/klagomål/A 48352-2022 FSC-klagomål.docx", "A 48352-2022")</f>
        <v/>
      </c>
      <c r="Z70">
        <f>HYPERLINK("https://klasma.github.io/Logging_0382/klagomålsmail/A 48352-2022 FSC-klagomål mail.docx", "A 48352-2022")</f>
        <v/>
      </c>
      <c r="AA70">
        <f>HYPERLINK("https://klasma.github.io/Logging_0382/tillsyn/A 48352-2022 tillsynsbegäran.docx", "A 48352-2022")</f>
        <v/>
      </c>
      <c r="AB70">
        <f>HYPERLINK("https://klasma.github.io/Logging_0382/tillsynsmail/A 48352-2022 tillsynsbegäran mail.docx", "A 48352-2022")</f>
        <v/>
      </c>
    </row>
    <row r="71" ht="15" customHeight="1">
      <c r="A71" t="inlineStr">
        <is>
          <t>A 4714-2026</t>
        </is>
      </c>
      <c r="B71" t="inlineStr">
        <is>
          <t>avverkningsanmälan</t>
        </is>
      </c>
      <c r="C71" t="inlineStr">
        <is>
          <t>Avverkning för att bevara och utveckla /försöksver</t>
        </is>
      </c>
      <c r="D71" s="1" t="n">
        <v>46048</v>
      </c>
      <c r="E71" s="1" t="n">
        <v>46221</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s="2" t="inlineStr">
        <is>
          <t>Kattfotslav
Nordfladdermus
Sårläka
Spindelblomster</t>
        </is>
      </c>
      <c r="V71">
        <f>HYPERLINK("https://klasma.github.io/Logging_0382/artfynd/A 4714-2026 artfynd.xlsx", "A 4714-2026")</f>
        <v/>
      </c>
      <c r="W71">
        <f>HYPERLINK("https://klasma.github.io/Logging_0382/kartor/A 4714-2026 karta.png", "A 4714-2026")</f>
        <v/>
      </c>
      <c r="Y71">
        <f>HYPERLINK("https://klasma.github.io/Logging_0382/klagomål/A 4714-2026 FSC-klagomål.docx", "A 4714-2026")</f>
        <v/>
      </c>
      <c r="Z71">
        <f>HYPERLINK("https://klasma.github.io/Logging_0382/klagomålsmail/A 4714-2026 FSC-klagomål mail.docx", "A 4714-2026")</f>
        <v/>
      </c>
      <c r="AA71">
        <f>HYPERLINK("https://klasma.github.io/Logging_0382/tillsyn/A 4714-2026 tillsynsbegäran.docx", "A 4714-2026")</f>
        <v/>
      </c>
      <c r="AB71">
        <f>HYPERLINK("https://klasma.github.io/Logging_0382/tillsynsmail/A 4714-2026 tillsynsbegäran mail.docx", "A 4714-2026")</f>
        <v/>
      </c>
    </row>
    <row r="72" ht="15" customHeight="1">
      <c r="A72" t="inlineStr">
        <is>
          <t>A 22287-2023</t>
        </is>
      </c>
      <c r="B72" t="inlineStr">
        <is>
          <t>avverkningsanmälan</t>
        </is>
      </c>
      <c r="C72" t="inlineStr">
        <is>
          <t>Föryngringsavverkning</t>
        </is>
      </c>
      <c r="D72" s="1" t="n">
        <v>45070</v>
      </c>
      <c r="E72" s="1" t="n">
        <v>46221</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s="2" t="inlineStr">
        <is>
          <t>Vårärt
Guckusko
Rödgul trumpetsvamp
Blåsippa</t>
        </is>
      </c>
      <c r="V72">
        <f>HYPERLINK("https://klasma.github.io/Logging_0382/artfynd/A 22287-2023 artfynd.xlsx", "A 22287-2023")</f>
        <v/>
      </c>
      <c r="W72">
        <f>HYPERLINK("https://klasma.github.io/Logging_0382/kartor/A 22287-2023 karta.png", "A 22287-2023")</f>
        <v/>
      </c>
      <c r="Y72">
        <f>HYPERLINK("https://klasma.github.io/Logging_0382/klagomål/A 22287-2023 FSC-klagomål.docx", "A 22287-2023")</f>
        <v/>
      </c>
      <c r="Z72">
        <f>HYPERLINK("https://klasma.github.io/Logging_0382/klagomålsmail/A 22287-2023 FSC-klagomål mail.docx", "A 22287-2023")</f>
        <v/>
      </c>
      <c r="AA72">
        <f>HYPERLINK("https://klasma.github.io/Logging_0382/tillsyn/A 22287-2023 tillsynsbegäran.docx", "A 22287-2023")</f>
        <v/>
      </c>
      <c r="AB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46221</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s="2" t="inlineStr">
        <is>
          <t>Granbarkgnagare
Rödgul trumpetsvamp
Tjäder
Fläcknycklar</t>
        </is>
      </c>
      <c r="V73">
        <f>HYPERLINK("https://klasma.github.io/Logging_0382/artfynd/A 33800-2024 artfynd.xlsx", "A 33800-2024")</f>
        <v/>
      </c>
      <c r="W73">
        <f>HYPERLINK("https://klasma.github.io/Logging_0382/kartor/A 33800-2024 karta.png", "A 33800-2024")</f>
        <v/>
      </c>
      <c r="Y73">
        <f>HYPERLINK("https://klasma.github.io/Logging_0382/klagomål/A 33800-2024 FSC-klagomål.docx", "A 33800-2024")</f>
        <v/>
      </c>
      <c r="Z73">
        <f>HYPERLINK("https://klasma.github.io/Logging_0382/klagomålsmail/A 33800-2024 FSC-klagomål mail.docx", "A 33800-2024")</f>
        <v/>
      </c>
      <c r="AA73">
        <f>HYPERLINK("https://klasma.github.io/Logging_0382/tillsyn/A 33800-2024 tillsynsbegäran.docx", "A 33800-2024")</f>
        <v/>
      </c>
      <c r="AB73">
        <f>HYPERLINK("https://klasma.github.io/Logging_0382/tillsynsmail/A 33800-2024 tillsynsbegäran mail.docx", "A 33800-2024")</f>
        <v/>
      </c>
      <c r="AC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46221</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s="2" t="inlineStr">
        <is>
          <t>Fjällig taggsvamp s.str.
Skarp dropptaggsvamp
Sårläka
Guldkremla</t>
        </is>
      </c>
      <c r="V74">
        <f>HYPERLINK("https://klasma.github.io/Logging_0382/artfynd/A 60889-2025 artfynd.xlsx", "A 60889-2025")</f>
        <v/>
      </c>
      <c r="W74">
        <f>HYPERLINK("https://klasma.github.io/Logging_0382/kartor/A 60889-2025 karta.png", "A 60889-2025")</f>
        <v/>
      </c>
      <c r="Y74">
        <f>HYPERLINK("https://klasma.github.io/Logging_0382/klagomål/A 60889-2025 FSC-klagomål.docx", "A 60889-2025")</f>
        <v/>
      </c>
      <c r="Z74">
        <f>HYPERLINK("https://klasma.github.io/Logging_0382/klagomålsmail/A 60889-2025 FSC-klagomål mail.docx", "A 60889-2025")</f>
        <v/>
      </c>
      <c r="AA74">
        <f>HYPERLINK("https://klasma.github.io/Logging_0382/tillsyn/A 60889-2025 tillsynsbegäran.docx", "A 60889-2025")</f>
        <v/>
      </c>
      <c r="AB74">
        <f>HYPERLINK("https://klasma.github.io/Logging_0382/tillsynsmail/A 60889-2025 tillsynsbegäran mail.docx", "A 60889-2025")</f>
        <v/>
      </c>
    </row>
    <row r="75" ht="15" customHeight="1">
      <c r="A75" t="inlineStr">
        <is>
          <t>A 26522-2026</t>
        </is>
      </c>
      <c r="B75" t="inlineStr">
        <is>
          <t>avverkningsanmälan</t>
        </is>
      </c>
      <c r="C75" t="inlineStr">
        <is>
          <t>Föryngringsavverkning</t>
        </is>
      </c>
      <c r="D75" s="1" t="n">
        <v>46183</v>
      </c>
      <c r="E75" s="1" t="n">
        <v>46221</v>
      </c>
      <c r="F75" t="inlineStr">
        <is>
          <t>UPPSALA LÄN</t>
        </is>
      </c>
      <c r="G75" t="inlineStr">
        <is>
          <t>ÖSTHAMMAR</t>
        </is>
      </c>
      <c r="I75" t="n">
        <v>0.9</v>
      </c>
      <c r="J75" t="n">
        <v>1</v>
      </c>
      <c r="K75" t="n">
        <v>0</v>
      </c>
      <c r="L75" t="n">
        <v>3</v>
      </c>
      <c r="M75" t="n">
        <v>0</v>
      </c>
      <c r="N75" t="n">
        <v>0</v>
      </c>
      <c r="O75" t="n">
        <v>0</v>
      </c>
      <c r="P75" t="n">
        <v>0</v>
      </c>
      <c r="Q75" t="n">
        <v>3</v>
      </c>
      <c r="R75" t="n">
        <v>0</v>
      </c>
      <c r="S75" t="n">
        <v>4</v>
      </c>
      <c r="T75" t="n">
        <v>8</v>
      </c>
      <c r="U75" s="2" t="inlineStr">
        <is>
          <t>Flentimotej
Solvända
Säfferot
Gullviva</t>
        </is>
      </c>
      <c r="V75">
        <f>HYPERLINK("https://klasma.github.io/Logging_0382/artfynd/A 26522-2026 artfynd.xlsx", "A 26522-2026")</f>
        <v/>
      </c>
      <c r="W75">
        <f>HYPERLINK("https://klasma.github.io/Logging_0382/kartor/A 26522-2026 karta.png", "A 26522-2026")</f>
        <v/>
      </c>
      <c r="Y75">
        <f>HYPERLINK("https://klasma.github.io/Logging_0382/klagomål/A 26522-2026 FSC-klagomål.docx", "A 26522-2026")</f>
        <v/>
      </c>
      <c r="Z75">
        <f>HYPERLINK("https://klasma.github.io/Logging_0382/klagomålsmail/A 26522-2026 FSC-klagomål mail.docx", "A 26522-2026")</f>
        <v/>
      </c>
      <c r="AA75">
        <f>HYPERLINK("https://klasma.github.io/Logging_0382/tillsyn/A 26522-2026 tillsynsbegäran.docx", "A 26522-2026")</f>
        <v/>
      </c>
      <c r="AB75">
        <f>HYPERLINK("https://klasma.github.io/Logging_0382/tillsynsmail/A 26522-2026 tillsynsbegäran mail.docx", "A 26522-2026")</f>
        <v/>
      </c>
    </row>
    <row r="76" ht="15" customHeight="1">
      <c r="A76" t="inlineStr">
        <is>
          <t>A 9683-2023</t>
        </is>
      </c>
      <c r="B76" t="inlineStr">
        <is>
          <t>avverkningsanmälan</t>
        </is>
      </c>
      <c r="C76" t="inlineStr">
        <is>
          <t>Föryngringsavverkning</t>
        </is>
      </c>
      <c r="D76" s="1" t="n">
        <v>44984</v>
      </c>
      <c r="E76" s="1" t="n">
        <v>46221</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s="2" t="inlineStr">
        <is>
          <t>Solvända
Tvåblad
Blåsippa
Gullviva</t>
        </is>
      </c>
      <c r="V76">
        <f>HYPERLINK("https://klasma.github.io/Logging_0382/artfynd/A 9683-2023 artfynd.xlsx", "A 9683-2023")</f>
        <v/>
      </c>
      <c r="W76">
        <f>HYPERLINK("https://klasma.github.io/Logging_0382/kartor/A 9683-2023 karta.png", "A 9683-2023")</f>
        <v/>
      </c>
      <c r="Y76">
        <f>HYPERLINK("https://klasma.github.io/Logging_0382/klagomål/A 9683-2023 FSC-klagomål.docx", "A 9683-2023")</f>
        <v/>
      </c>
      <c r="Z76">
        <f>HYPERLINK("https://klasma.github.io/Logging_0382/klagomålsmail/A 9683-2023 FSC-klagomål mail.docx", "A 9683-2023")</f>
        <v/>
      </c>
      <c r="AA76">
        <f>HYPERLINK("https://klasma.github.io/Logging_0382/tillsyn/A 9683-2023 tillsynsbegäran.docx", "A 9683-2023")</f>
        <v/>
      </c>
      <c r="AB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46221</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s="2" t="inlineStr">
        <is>
          <t>Vedtrappmossa
Flagellkvastmossa
Skogshakmossa
Grönvit nattviol</t>
        </is>
      </c>
      <c r="V77">
        <f>HYPERLINK("https://klasma.github.io/Logging_0382/artfynd/S 413-2025 artfynd.xlsx", "S 413-2025")</f>
        <v/>
      </c>
      <c r="W77">
        <f>HYPERLINK("https://klasma.github.io/Logging_0382/kartor/S 413-2025 karta.png", "S 413-2025")</f>
        <v/>
      </c>
      <c r="Y77">
        <f>HYPERLINK("https://klasma.github.io/Logging_0382/klagomål/S 413-2025 FSC-klagomål.docx", "S 413-2025")</f>
        <v/>
      </c>
      <c r="Z77">
        <f>HYPERLINK("https://klasma.github.io/Logging_0382/klagomålsmail/S 413-2025 FSC-klagomål mail.docx", "S 413-2025")</f>
        <v/>
      </c>
      <c r="AA77">
        <f>HYPERLINK("https://klasma.github.io/Logging_0382/tillsyn/S 413-2025 tillsynsbegäran.docx", "S 413-2025")</f>
        <v/>
      </c>
      <c r="AB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46221</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s="2" t="inlineStr">
        <is>
          <t>Vårärt
Korallblylav
Skinnlav
Stor aspticka</t>
        </is>
      </c>
      <c r="V78">
        <f>HYPERLINK("https://klasma.github.io/Logging_0382/artfynd/S 1089-2024 artfynd.xlsx", "S 1089-2024")</f>
        <v/>
      </c>
      <c r="W78">
        <f>HYPERLINK("https://klasma.github.io/Logging_0382/kartor/S 1089-2024 karta.png", "S 1089-2024")</f>
        <v/>
      </c>
      <c r="Y78">
        <f>HYPERLINK("https://klasma.github.io/Logging_0382/klagomål/S 1089-2024 FSC-klagomål.docx", "S 1089-2024")</f>
        <v/>
      </c>
      <c r="Z78">
        <f>HYPERLINK("https://klasma.github.io/Logging_0382/klagomålsmail/S 1089-2024 FSC-klagomål mail.docx", "S 1089-2024")</f>
        <v/>
      </c>
      <c r="AA78">
        <f>HYPERLINK("https://klasma.github.io/Logging_0382/tillsyn/S 1089-2024 tillsynsbegäran.docx", "S 1089-2024")</f>
        <v/>
      </c>
      <c r="AB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46221</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s="2" t="inlineStr">
        <is>
          <t>Järnsparv
Kungsfågel
Svartvit flugsnappare</t>
        </is>
      </c>
      <c r="V79">
        <f>HYPERLINK("https://klasma.github.io/Logging_0382/artfynd/A 52651-2022 artfynd.xlsx", "A 52651-2022")</f>
        <v/>
      </c>
      <c r="W79">
        <f>HYPERLINK("https://klasma.github.io/Logging_0382/kartor/A 52651-2022 karta.png", "A 52651-2022")</f>
        <v/>
      </c>
      <c r="Y79">
        <f>HYPERLINK("https://klasma.github.io/Logging_0382/klagomål/A 52651-2022 FSC-klagomål.docx", "A 52651-2022")</f>
        <v/>
      </c>
      <c r="Z79">
        <f>HYPERLINK("https://klasma.github.io/Logging_0382/klagomålsmail/A 52651-2022 FSC-klagomål mail.docx", "A 52651-2022")</f>
        <v/>
      </c>
      <c r="AA79">
        <f>HYPERLINK("https://klasma.github.io/Logging_0382/tillsyn/A 52651-2022 tillsynsbegäran.docx", "A 52651-2022")</f>
        <v/>
      </c>
      <c r="AB79">
        <f>HYPERLINK("https://klasma.github.io/Logging_0382/tillsynsmail/A 52651-2022 tillsynsbegäran mail.docx", "A 52651-2022")</f>
        <v/>
      </c>
      <c r="AC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46221</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s="2" t="inlineStr">
        <is>
          <t>Solvända
Skogsknipprot
Tvåblad</t>
        </is>
      </c>
      <c r="V80">
        <f>HYPERLINK("https://klasma.github.io/Logging_0382/artfynd/A 11385-2024 artfynd.xlsx", "A 11385-2024")</f>
        <v/>
      </c>
      <c r="W80">
        <f>HYPERLINK("https://klasma.github.io/Logging_0382/kartor/A 11385-2024 karta.png", "A 11385-2024")</f>
        <v/>
      </c>
      <c r="Y80">
        <f>HYPERLINK("https://klasma.github.io/Logging_0382/klagomål/A 11385-2024 FSC-klagomål.docx", "A 11385-2024")</f>
        <v/>
      </c>
      <c r="Z80">
        <f>HYPERLINK("https://klasma.github.io/Logging_0382/klagomålsmail/A 11385-2024 FSC-klagomål mail.docx", "A 11385-2024")</f>
        <v/>
      </c>
      <c r="AA80">
        <f>HYPERLINK("https://klasma.github.io/Logging_0382/tillsyn/A 11385-2024 tillsynsbegäran.docx", "A 11385-2024")</f>
        <v/>
      </c>
      <c r="AB80">
        <f>HYPERLINK("https://klasma.github.io/Logging_0382/tillsynsmail/A 11385-2024 tillsynsbegäran mail.docx", "A 11385-2024")</f>
        <v/>
      </c>
    </row>
    <row r="81" ht="15" customHeight="1">
      <c r="A81" t="inlineStr">
        <is>
          <t>A 60898-2025</t>
        </is>
      </c>
      <c r="B81" t="inlineStr">
        <is>
          <t>avverkningsanmälan</t>
        </is>
      </c>
      <c r="C81" t="inlineStr">
        <is>
          <t>Föryngringsavverkning</t>
        </is>
      </c>
      <c r="D81" s="1" t="n">
        <v>45999</v>
      </c>
      <c r="E81" s="1" t="n">
        <v>46221</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s="2" t="inlineStr">
        <is>
          <t>Gullpudra
Anisspindling
Svavelriska</t>
        </is>
      </c>
      <c r="V81">
        <f>HYPERLINK("https://klasma.github.io/Logging_0382/artfynd/A 60898-2025 artfynd.xlsx", "A 60898-2025")</f>
        <v/>
      </c>
      <c r="W81">
        <f>HYPERLINK("https://klasma.github.io/Logging_0382/kartor/A 60898-2025 karta.png", "A 60898-2025")</f>
        <v/>
      </c>
      <c r="Y81">
        <f>HYPERLINK("https://klasma.github.io/Logging_0382/klagomål/A 60898-2025 FSC-klagomål.docx", "A 60898-2025")</f>
        <v/>
      </c>
      <c r="Z81">
        <f>HYPERLINK("https://klasma.github.io/Logging_0382/klagomålsmail/A 60898-2025 FSC-klagomål mail.docx", "A 60898-2025")</f>
        <v/>
      </c>
      <c r="AA81">
        <f>HYPERLINK("https://klasma.github.io/Logging_0382/tillsyn/A 60898-2025 tillsynsbegäran.docx", "A 60898-2025")</f>
        <v/>
      </c>
      <c r="AB81">
        <f>HYPERLINK("https://klasma.github.io/Logging_0382/tillsynsmail/A 60898-2025 tillsynsbegäran mail.docx", "A 60898-2025")</f>
        <v/>
      </c>
    </row>
    <row r="82" ht="15" customHeight="1">
      <c r="A82" t="inlineStr">
        <is>
          <t>A 22375-2024</t>
        </is>
      </c>
      <c r="B82" t="inlineStr">
        <is>
          <t>avverkningsanmälan</t>
        </is>
      </c>
      <c r="C82" t="inlineStr">
        <is>
          <t>Föryngringsavverkning</t>
        </is>
      </c>
      <c r="D82" s="1" t="n">
        <v>45446</v>
      </c>
      <c r="E82" s="1" t="n">
        <v>46221</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s="2" t="inlineStr">
        <is>
          <t>Mindre bastardsvärmare
Stortimjan
Slåtterfibbla</t>
        </is>
      </c>
      <c r="V82">
        <f>HYPERLINK("https://klasma.github.io/Logging_0382/artfynd/A 22375-2024 artfynd.xlsx", "A 22375-2024")</f>
        <v/>
      </c>
      <c r="W82">
        <f>HYPERLINK("https://klasma.github.io/Logging_0382/kartor/A 22375-2024 karta.png", "A 22375-2024")</f>
        <v/>
      </c>
      <c r="Y82">
        <f>HYPERLINK("https://klasma.github.io/Logging_0382/klagomål/A 22375-2024 FSC-klagomål.docx", "A 22375-2024")</f>
        <v/>
      </c>
      <c r="Z82">
        <f>HYPERLINK("https://klasma.github.io/Logging_0382/klagomålsmail/A 22375-2024 FSC-klagomål mail.docx", "A 22375-2024")</f>
        <v/>
      </c>
      <c r="AA82">
        <f>HYPERLINK("https://klasma.github.io/Logging_0382/tillsyn/A 22375-2024 tillsynsbegäran.docx", "A 22375-2024")</f>
        <v/>
      </c>
      <c r="AB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46221</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s="2" t="inlineStr">
        <is>
          <t>Solvända
Tvåblad
Gullviva</t>
        </is>
      </c>
      <c r="V83">
        <f>HYPERLINK("https://klasma.github.io/Logging_0382/artfynd/A 58878-2022 artfynd.xlsx", "A 58878-2022")</f>
        <v/>
      </c>
      <c r="W83">
        <f>HYPERLINK("https://klasma.github.io/Logging_0382/kartor/A 58878-2022 karta.png", "A 58878-2022")</f>
        <v/>
      </c>
      <c r="Y83">
        <f>HYPERLINK("https://klasma.github.io/Logging_0382/klagomål/A 58878-2022 FSC-klagomål.docx", "A 58878-2022")</f>
        <v/>
      </c>
      <c r="Z83">
        <f>HYPERLINK("https://klasma.github.io/Logging_0382/klagomålsmail/A 58878-2022 FSC-klagomål mail.docx", "A 58878-2022")</f>
        <v/>
      </c>
      <c r="AA83">
        <f>HYPERLINK("https://klasma.github.io/Logging_0382/tillsyn/A 58878-2022 tillsynsbegäran.docx", "A 58878-2022")</f>
        <v/>
      </c>
      <c r="AB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46221</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s="2" t="inlineStr">
        <is>
          <t>Ask
Ängsstarr
Guckusko</t>
        </is>
      </c>
      <c r="V84">
        <f>HYPERLINK("https://klasma.github.io/Logging_0382/artfynd/A 17694-2026 artfynd.xlsx", "A 17694-2026")</f>
        <v/>
      </c>
      <c r="W84">
        <f>HYPERLINK("https://klasma.github.io/Logging_0382/kartor/A 17694-2026 karta.png", "A 17694-2026")</f>
        <v/>
      </c>
      <c r="Y84">
        <f>HYPERLINK("https://klasma.github.io/Logging_0382/klagomål/A 17694-2026 FSC-klagomål.docx", "A 17694-2026")</f>
        <v/>
      </c>
      <c r="Z84">
        <f>HYPERLINK("https://klasma.github.io/Logging_0382/klagomålsmail/A 17694-2026 FSC-klagomål mail.docx", "A 17694-2026")</f>
        <v/>
      </c>
      <c r="AA84">
        <f>HYPERLINK("https://klasma.github.io/Logging_0382/tillsyn/A 17694-2026 tillsynsbegäran.docx", "A 17694-2026")</f>
        <v/>
      </c>
      <c r="AB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46221</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s="2" t="inlineStr">
        <is>
          <t>Krisslesköldbagge
Skogsklocka
Vårärt</t>
        </is>
      </c>
      <c r="V85">
        <f>HYPERLINK("https://klasma.github.io/Logging_0382/artfynd/A 73981-2021 artfynd.xlsx", "A 73981-2021")</f>
        <v/>
      </c>
      <c r="W85">
        <f>HYPERLINK("https://klasma.github.io/Logging_0382/kartor/A 73981-2021 karta.png", "A 73981-2021")</f>
        <v/>
      </c>
      <c r="Y85">
        <f>HYPERLINK("https://klasma.github.io/Logging_0382/klagomål/A 73981-2021 FSC-klagomål.docx", "A 73981-2021")</f>
        <v/>
      </c>
      <c r="Z85">
        <f>HYPERLINK("https://klasma.github.io/Logging_0382/klagomålsmail/A 73981-2021 FSC-klagomål mail.docx", "A 73981-2021")</f>
        <v/>
      </c>
      <c r="AA85">
        <f>HYPERLINK("https://klasma.github.io/Logging_0382/tillsyn/A 73981-2021 tillsynsbegäran.docx", "A 73981-2021")</f>
        <v/>
      </c>
      <c r="AB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46221</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s="2" t="inlineStr">
        <is>
          <t>Mindre hackspett
Blåsippa
Gullviva</t>
        </is>
      </c>
      <c r="V86">
        <f>HYPERLINK("https://klasma.github.io/Logging_0382/artfynd/A 25098-2022 artfynd.xlsx", "A 25098-2022")</f>
        <v/>
      </c>
      <c r="W86">
        <f>HYPERLINK("https://klasma.github.io/Logging_0382/kartor/A 25098-2022 karta.png", "A 25098-2022")</f>
        <v/>
      </c>
      <c r="Y86">
        <f>HYPERLINK("https://klasma.github.io/Logging_0382/klagomål/A 25098-2022 FSC-klagomål.docx", "A 25098-2022")</f>
        <v/>
      </c>
      <c r="Z86">
        <f>HYPERLINK("https://klasma.github.io/Logging_0382/klagomålsmail/A 25098-2022 FSC-klagomål mail.docx", "A 25098-2022")</f>
        <v/>
      </c>
      <c r="AA86">
        <f>HYPERLINK("https://klasma.github.io/Logging_0382/tillsyn/A 25098-2022 tillsynsbegäran.docx", "A 25098-2022")</f>
        <v/>
      </c>
      <c r="AB86">
        <f>HYPERLINK("https://klasma.github.io/Logging_0382/tillsynsmail/A 25098-2022 tillsynsbegäran mail.docx", "A 25098-2022")</f>
        <v/>
      </c>
      <c r="AC86">
        <f>HYPERLINK("https://klasma.github.io/Logging_0382/fåglar/A 25098-2022 prioriterade fågelarter.docx", "A 25098-2022")</f>
        <v/>
      </c>
    </row>
    <row r="87" ht="15" customHeight="1">
      <c r="A87" t="inlineStr">
        <is>
          <t>A 23125-2026</t>
        </is>
      </c>
      <c r="B87" t="inlineStr">
        <is>
          <t>avverkningsanmälan</t>
        </is>
      </c>
      <c r="C87" t="inlineStr">
        <is>
          <t>Föryngringsavverkning</t>
        </is>
      </c>
      <c r="D87" s="1" t="n">
        <v>46161</v>
      </c>
      <c r="E87" s="1" t="n">
        <v>46221</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s="2" t="inlineStr">
        <is>
          <t>Blek stjärnmossa
Bårdlav
Blåsippa</t>
        </is>
      </c>
      <c r="V87">
        <f>HYPERLINK("https://klasma.github.io/Logging_0382/artfynd/A 23125-2026 artfynd.xlsx", "A 23125-2026")</f>
        <v/>
      </c>
      <c r="W87">
        <f>HYPERLINK("https://klasma.github.io/Logging_0382/kartor/A 23125-2026 karta.png", "A 23125-2026")</f>
        <v/>
      </c>
      <c r="Y87">
        <f>HYPERLINK("https://klasma.github.io/Logging_0382/klagomål/A 23125-2026 FSC-klagomål.docx", "A 23125-2026")</f>
        <v/>
      </c>
      <c r="Z87">
        <f>HYPERLINK("https://klasma.github.io/Logging_0382/klagomålsmail/A 23125-2026 FSC-klagomål mail.docx", "A 23125-2026")</f>
        <v/>
      </c>
      <c r="AA87">
        <f>HYPERLINK("https://klasma.github.io/Logging_0382/tillsyn/A 23125-2026 tillsynsbegäran.docx", "A 23125-2026")</f>
        <v/>
      </c>
      <c r="AB87">
        <f>HYPERLINK("https://klasma.github.io/Logging_0382/tillsynsmail/A 23125-2026 tillsynsbegäran mail.docx", "A 23125-2026")</f>
        <v/>
      </c>
    </row>
    <row r="88" ht="15" customHeight="1">
      <c r="A88" t="inlineStr">
        <is>
          <t>A 17947-2022</t>
        </is>
      </c>
      <c r="B88" t="inlineStr">
        <is>
          <t>avverkningsanmälan</t>
        </is>
      </c>
      <c r="C88" t="inlineStr">
        <is>
          <t>Föryngringsavverkning</t>
        </is>
      </c>
      <c r="D88" s="1" t="n">
        <v>44683</v>
      </c>
      <c r="E88" s="1" t="n">
        <v>46221</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s="2" t="inlineStr">
        <is>
          <t>Slåtterfibbla
Solvända
Tvåblad</t>
        </is>
      </c>
      <c r="V88">
        <f>HYPERLINK("https://klasma.github.io/Logging_0382/artfynd/A 17947-2022 artfynd.xlsx", "A 17947-2022")</f>
        <v/>
      </c>
      <c r="W88">
        <f>HYPERLINK("https://klasma.github.io/Logging_0382/kartor/A 17947-2022 karta.png", "A 17947-2022")</f>
        <v/>
      </c>
      <c r="Y88">
        <f>HYPERLINK("https://klasma.github.io/Logging_0382/klagomål/A 17947-2022 FSC-klagomål.docx", "A 17947-2022")</f>
        <v/>
      </c>
      <c r="Z88">
        <f>HYPERLINK("https://klasma.github.io/Logging_0382/klagomålsmail/A 17947-2022 FSC-klagomål mail.docx", "A 17947-2022")</f>
        <v/>
      </c>
      <c r="AA88">
        <f>HYPERLINK("https://klasma.github.io/Logging_0382/tillsyn/A 17947-2022 tillsynsbegäran.docx", "A 17947-2022")</f>
        <v/>
      </c>
      <c r="AB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46221</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s="2" t="inlineStr">
        <is>
          <t>Violgubbe
Dofttaggsvamp
Zontaggsvamp</t>
        </is>
      </c>
      <c r="V89">
        <f>HYPERLINK("https://klasma.github.io/Logging_0382/artfynd/A 24606-2024 artfynd.xlsx", "A 24606-2024")</f>
        <v/>
      </c>
      <c r="W89">
        <f>HYPERLINK("https://klasma.github.io/Logging_0382/kartor/A 24606-2024 karta.png", "A 24606-2024")</f>
        <v/>
      </c>
      <c r="Y89">
        <f>HYPERLINK("https://klasma.github.io/Logging_0382/klagomål/A 24606-2024 FSC-klagomål.docx", "A 24606-2024")</f>
        <v/>
      </c>
      <c r="Z89">
        <f>HYPERLINK("https://klasma.github.io/Logging_0382/klagomålsmail/A 24606-2024 FSC-klagomål mail.docx", "A 24606-2024")</f>
        <v/>
      </c>
      <c r="AA89">
        <f>HYPERLINK("https://klasma.github.io/Logging_0382/tillsyn/A 24606-2024 tillsynsbegäran.docx", "A 24606-2024")</f>
        <v/>
      </c>
      <c r="AB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46221</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s="2" t="inlineStr">
        <is>
          <t>Violgubbe
Fjällig taggsvamp s.str.
Stor aspticka</t>
        </is>
      </c>
      <c r="V90">
        <f>HYPERLINK("https://klasma.github.io/Logging_0382/artfynd/S 4491-2023 artfynd.xlsx", "S 4491-2023")</f>
        <v/>
      </c>
      <c r="W90">
        <f>HYPERLINK("https://klasma.github.io/Logging_0382/kartor/S 4491-2023 karta.png", "S 4491-2023")</f>
        <v/>
      </c>
      <c r="Y90">
        <f>HYPERLINK("https://klasma.github.io/Logging_0382/klagomål/S 4491-2023 FSC-klagomål.docx", "S 4491-2023")</f>
        <v/>
      </c>
      <c r="Z90">
        <f>HYPERLINK("https://klasma.github.io/Logging_0382/klagomålsmail/S 4491-2023 FSC-klagomål mail.docx", "S 4491-2023")</f>
        <v/>
      </c>
      <c r="AA90">
        <f>HYPERLINK("https://klasma.github.io/Logging_0382/tillsyn/S 4491-2023 tillsynsbegäran.docx", "S 4491-2023")</f>
        <v/>
      </c>
      <c r="AB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46221</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s="2" t="inlineStr">
        <is>
          <t>Gul lammticka
Brun klibbskivling
Tibast</t>
        </is>
      </c>
      <c r="V91">
        <f>HYPERLINK("https://klasma.github.io/Logging_0382/artfynd/S 2399-2025 artfynd.xlsx", "S 2399-2025")</f>
        <v/>
      </c>
      <c r="W91">
        <f>HYPERLINK("https://klasma.github.io/Logging_0382/kartor/S 2399-2025 karta.png", "S 2399-2025")</f>
        <v/>
      </c>
      <c r="Y91">
        <f>HYPERLINK("https://klasma.github.io/Logging_0382/klagomål/S 2399-2025 FSC-klagomål.docx", "S 2399-2025")</f>
        <v/>
      </c>
      <c r="Z91">
        <f>HYPERLINK("https://klasma.github.io/Logging_0382/klagomålsmail/S 2399-2025 FSC-klagomål mail.docx", "S 2399-2025")</f>
        <v/>
      </c>
      <c r="AA91">
        <f>HYPERLINK("https://klasma.github.io/Logging_0382/tillsyn/S 2399-2025 tillsynsbegäran.docx", "S 2399-2025")</f>
        <v/>
      </c>
      <c r="AB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46221</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s="2" t="inlineStr">
        <is>
          <t>Garnlav
Motaggsvamp
Grön sköldmossa</t>
        </is>
      </c>
      <c r="V92">
        <f>HYPERLINK("https://klasma.github.io/Logging_0382/artfynd/S 752-2026 artfynd.xlsx", "S 752-2026")</f>
        <v/>
      </c>
      <c r="W92">
        <f>HYPERLINK("https://klasma.github.io/Logging_0382/kartor/S 752-2026 karta.png", "S 752-2026")</f>
        <v/>
      </c>
      <c r="Y92">
        <f>HYPERLINK("https://klasma.github.io/Logging_0382/klagomål/S 752-2026 FSC-klagomål.docx", "S 752-2026")</f>
        <v/>
      </c>
      <c r="Z92">
        <f>HYPERLINK("https://klasma.github.io/Logging_0382/klagomålsmail/S 752-2026 FSC-klagomål mail.docx", "S 752-2026")</f>
        <v/>
      </c>
      <c r="AA92">
        <f>HYPERLINK("https://klasma.github.io/Logging_0382/tillsyn/S 752-2026 tillsynsbegäran.docx", "S 752-2026")</f>
        <v/>
      </c>
      <c r="AB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46221</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s="2" t="inlineStr">
        <is>
          <t>Violgubbe
Blek fingersvamp</t>
        </is>
      </c>
      <c r="V93">
        <f>HYPERLINK("https://klasma.github.io/Logging_0382/artfynd/A 60078-2021 artfynd.xlsx", "A 60078-2021")</f>
        <v/>
      </c>
      <c r="W93">
        <f>HYPERLINK("https://klasma.github.io/Logging_0382/kartor/A 60078-2021 karta.png", "A 60078-2021")</f>
        <v/>
      </c>
      <c r="Y93">
        <f>HYPERLINK("https://klasma.github.io/Logging_0382/klagomål/A 60078-2021 FSC-klagomål.docx", "A 60078-2021")</f>
        <v/>
      </c>
      <c r="Z93">
        <f>HYPERLINK("https://klasma.github.io/Logging_0382/klagomålsmail/A 60078-2021 FSC-klagomål mail.docx", "A 60078-2021")</f>
        <v/>
      </c>
      <c r="AA93">
        <f>HYPERLINK("https://klasma.github.io/Logging_0382/tillsyn/A 60078-2021 tillsynsbegäran.docx", "A 60078-2021")</f>
        <v/>
      </c>
      <c r="AB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46221</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s="2" t="inlineStr">
        <is>
          <t>Vedtrappmossa
Spillkråka</t>
        </is>
      </c>
      <c r="V94">
        <f>HYPERLINK("https://klasma.github.io/Logging_0382/artfynd/A 65165-2021 artfynd.xlsx", "A 65165-2021")</f>
        <v/>
      </c>
      <c r="W94">
        <f>HYPERLINK("https://klasma.github.io/Logging_0382/kartor/A 65165-2021 karta.png", "A 65165-2021")</f>
        <v/>
      </c>
      <c r="X94">
        <f>HYPERLINK("https://klasma.github.io/Logging_0382/knärot/A 65165-2021 karta knärot.png", "A 65165-2021")</f>
        <v/>
      </c>
      <c r="Y94">
        <f>HYPERLINK("https://klasma.github.io/Logging_0382/klagomål/A 65165-2021 FSC-klagomål.docx", "A 65165-2021")</f>
        <v/>
      </c>
      <c r="Z94">
        <f>HYPERLINK("https://klasma.github.io/Logging_0382/klagomålsmail/A 65165-2021 FSC-klagomål mail.docx", "A 65165-2021")</f>
        <v/>
      </c>
      <c r="AA94">
        <f>HYPERLINK("https://klasma.github.io/Logging_0382/tillsyn/A 65165-2021 tillsynsbegäran.docx", "A 65165-2021")</f>
        <v/>
      </c>
      <c r="AB94">
        <f>HYPERLINK("https://klasma.github.io/Logging_0382/tillsynsmail/A 65165-2021 tillsynsbegäran mail.docx", "A 65165-2021")</f>
        <v/>
      </c>
      <c r="AC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46221</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s="2" t="inlineStr">
        <is>
          <t>Anisspindling
Skogsknipprot</t>
        </is>
      </c>
      <c r="V95">
        <f>HYPERLINK("https://klasma.github.io/Logging_0382/artfynd/A 49871-2021 artfynd.xlsx", "A 49871-2021")</f>
        <v/>
      </c>
      <c r="W95">
        <f>HYPERLINK("https://klasma.github.io/Logging_0382/kartor/A 49871-2021 karta.png", "A 49871-2021")</f>
        <v/>
      </c>
      <c r="Y95">
        <f>HYPERLINK("https://klasma.github.io/Logging_0382/klagomål/A 49871-2021 FSC-klagomål.docx", "A 49871-2021")</f>
        <v/>
      </c>
      <c r="Z95">
        <f>HYPERLINK("https://klasma.github.io/Logging_0382/klagomålsmail/A 49871-2021 FSC-klagomål mail.docx", "A 49871-2021")</f>
        <v/>
      </c>
      <c r="AA95">
        <f>HYPERLINK("https://klasma.github.io/Logging_0382/tillsyn/A 49871-2021 tillsynsbegäran.docx", "A 49871-2021")</f>
        <v/>
      </c>
      <c r="AB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46221</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s="2" t="inlineStr">
        <is>
          <t>Jättesvampmal
Olivspindling</t>
        </is>
      </c>
      <c r="V96">
        <f>HYPERLINK("https://klasma.github.io/Logging_0382/artfynd/A 2168-2022 artfynd.xlsx", "A 2168-2022")</f>
        <v/>
      </c>
      <c r="W96">
        <f>HYPERLINK("https://klasma.github.io/Logging_0382/kartor/A 2168-2022 karta.png", "A 2168-2022")</f>
        <v/>
      </c>
      <c r="Y96">
        <f>HYPERLINK("https://klasma.github.io/Logging_0382/klagomål/A 2168-2022 FSC-klagomål.docx", "A 2168-2022")</f>
        <v/>
      </c>
      <c r="Z96">
        <f>HYPERLINK("https://klasma.github.io/Logging_0382/klagomålsmail/A 2168-2022 FSC-klagomål mail.docx", "A 2168-2022")</f>
        <v/>
      </c>
      <c r="AA96">
        <f>HYPERLINK("https://klasma.github.io/Logging_0382/tillsyn/A 2168-2022 tillsynsbegäran.docx", "A 2168-2022")</f>
        <v/>
      </c>
      <c r="AB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46221</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s="2" t="inlineStr">
        <is>
          <t>Gul lammticka
Olivspindling</t>
        </is>
      </c>
      <c r="V97">
        <f>HYPERLINK("https://klasma.github.io/Logging_0382/artfynd/A 32064-2022 artfynd.xlsx", "A 32064-2022")</f>
        <v/>
      </c>
      <c r="W97">
        <f>HYPERLINK("https://klasma.github.io/Logging_0382/kartor/A 32064-2022 karta.png", "A 32064-2022")</f>
        <v/>
      </c>
      <c r="Y97">
        <f>HYPERLINK("https://klasma.github.io/Logging_0382/klagomål/A 32064-2022 FSC-klagomål.docx", "A 32064-2022")</f>
        <v/>
      </c>
      <c r="Z97">
        <f>HYPERLINK("https://klasma.github.io/Logging_0382/klagomålsmail/A 32064-2022 FSC-klagomål mail.docx", "A 32064-2022")</f>
        <v/>
      </c>
      <c r="AA97">
        <f>HYPERLINK("https://klasma.github.io/Logging_0382/tillsyn/A 32064-2022 tillsynsbegäran.docx", "A 32064-2022")</f>
        <v/>
      </c>
      <c r="AB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46221</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s="2" t="inlineStr">
        <is>
          <t>Nordfladdermus
Dvärgpipistrell</t>
        </is>
      </c>
      <c r="V98">
        <f>HYPERLINK("https://klasma.github.io/Logging_0382/artfynd/A 21422-2023 artfynd.xlsx", "A 21422-2023")</f>
        <v/>
      </c>
      <c r="W98">
        <f>HYPERLINK("https://klasma.github.io/Logging_0382/kartor/A 21422-2023 karta.png", "A 21422-2023")</f>
        <v/>
      </c>
      <c r="Y98">
        <f>HYPERLINK("https://klasma.github.io/Logging_0382/klagomål/A 21422-2023 FSC-klagomål.docx", "A 21422-2023")</f>
        <v/>
      </c>
      <c r="Z98">
        <f>HYPERLINK("https://klasma.github.io/Logging_0382/klagomålsmail/A 21422-2023 FSC-klagomål mail.docx", "A 21422-2023")</f>
        <v/>
      </c>
      <c r="AA98">
        <f>HYPERLINK("https://klasma.github.io/Logging_0382/tillsyn/A 21422-2023 tillsynsbegäran.docx", "A 21422-2023")</f>
        <v/>
      </c>
      <c r="AB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46221</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s="2" t="inlineStr">
        <is>
          <t>Bronshjon
Vågbandad barkbock</t>
        </is>
      </c>
      <c r="V99">
        <f>HYPERLINK("https://klasma.github.io/Logging_0382/artfynd/A 18539-2024 artfynd.xlsx", "A 18539-2024")</f>
        <v/>
      </c>
      <c r="W99">
        <f>HYPERLINK("https://klasma.github.io/Logging_0382/kartor/A 18539-2024 karta.png", "A 18539-2024")</f>
        <v/>
      </c>
      <c r="Y99">
        <f>HYPERLINK("https://klasma.github.io/Logging_0382/klagomål/A 18539-2024 FSC-klagomål.docx", "A 18539-2024")</f>
        <v/>
      </c>
      <c r="Z99">
        <f>HYPERLINK("https://klasma.github.io/Logging_0382/klagomålsmail/A 18539-2024 FSC-klagomål mail.docx", "A 18539-2024")</f>
        <v/>
      </c>
      <c r="AA99">
        <f>HYPERLINK("https://klasma.github.io/Logging_0382/tillsyn/A 18539-2024 tillsynsbegäran.docx", "A 18539-2024")</f>
        <v/>
      </c>
      <c r="AB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46221</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s="2" t="inlineStr">
        <is>
          <t>Kamjordstjärna
Repestarr</t>
        </is>
      </c>
      <c r="V100">
        <f>HYPERLINK("https://klasma.github.io/Logging_0382/artfynd/A 54666-2022 artfynd.xlsx", "A 54666-2022")</f>
        <v/>
      </c>
      <c r="W100">
        <f>HYPERLINK("https://klasma.github.io/Logging_0382/kartor/A 54666-2022 karta.png", "A 54666-2022")</f>
        <v/>
      </c>
      <c r="Y100">
        <f>HYPERLINK("https://klasma.github.io/Logging_0382/klagomål/A 54666-2022 FSC-klagomål.docx", "A 54666-2022")</f>
        <v/>
      </c>
      <c r="Z100">
        <f>HYPERLINK("https://klasma.github.io/Logging_0382/klagomålsmail/A 54666-2022 FSC-klagomål mail.docx", "A 54666-2022")</f>
        <v/>
      </c>
      <c r="AA100">
        <f>HYPERLINK("https://klasma.github.io/Logging_0382/tillsyn/A 54666-2022 tillsynsbegäran.docx", "A 54666-2022")</f>
        <v/>
      </c>
      <c r="AB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46221</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s="2" t="inlineStr">
        <is>
          <t>Sexfläckig bastardsvärmare
Slåtterfibbla</t>
        </is>
      </c>
      <c r="V101">
        <f>HYPERLINK("https://klasma.github.io/Logging_0382/artfynd/A 46629-2024 artfynd.xlsx", "A 46629-2024")</f>
        <v/>
      </c>
      <c r="W101">
        <f>HYPERLINK("https://klasma.github.io/Logging_0382/kartor/A 46629-2024 karta.png", "A 46629-2024")</f>
        <v/>
      </c>
      <c r="Y101">
        <f>HYPERLINK("https://klasma.github.io/Logging_0382/klagomål/A 46629-2024 FSC-klagomål.docx", "A 46629-2024")</f>
        <v/>
      </c>
      <c r="Z101">
        <f>HYPERLINK("https://klasma.github.io/Logging_0382/klagomålsmail/A 46629-2024 FSC-klagomål mail.docx", "A 46629-2024")</f>
        <v/>
      </c>
      <c r="AA101">
        <f>HYPERLINK("https://klasma.github.io/Logging_0382/tillsyn/A 46629-2024 tillsynsbegäran.docx", "A 46629-2024")</f>
        <v/>
      </c>
      <c r="AB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46221</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s="2" t="inlineStr">
        <is>
          <t>Tofsvipa
Grönsiska</t>
        </is>
      </c>
      <c r="V102">
        <f>HYPERLINK("https://klasma.github.io/Logging_0382/artfynd/A 51708-2025 artfynd.xlsx", "A 51708-2025")</f>
        <v/>
      </c>
      <c r="W102">
        <f>HYPERLINK("https://klasma.github.io/Logging_0382/kartor/A 51708-2025 karta.png", "A 51708-2025")</f>
        <v/>
      </c>
      <c r="Y102">
        <f>HYPERLINK("https://klasma.github.io/Logging_0382/klagomål/A 51708-2025 FSC-klagomål.docx", "A 51708-2025")</f>
        <v/>
      </c>
      <c r="Z102">
        <f>HYPERLINK("https://klasma.github.io/Logging_0382/klagomålsmail/A 51708-2025 FSC-klagomål mail.docx", "A 51708-2025")</f>
        <v/>
      </c>
      <c r="AA102">
        <f>HYPERLINK("https://klasma.github.io/Logging_0382/tillsyn/A 51708-2025 tillsynsbegäran.docx", "A 51708-2025")</f>
        <v/>
      </c>
      <c r="AB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46221</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s="2" t="inlineStr">
        <is>
          <t>Kattfotslav
Granbarkgnagare</t>
        </is>
      </c>
      <c r="V103">
        <f>HYPERLINK("https://klasma.github.io/Logging_0382/artfynd/A 61400-2025 artfynd.xlsx", "A 61400-2025")</f>
        <v/>
      </c>
      <c r="W103">
        <f>HYPERLINK("https://klasma.github.io/Logging_0382/kartor/A 61400-2025 karta.png", "A 61400-2025")</f>
        <v/>
      </c>
      <c r="Y103">
        <f>HYPERLINK("https://klasma.github.io/Logging_0382/klagomål/A 61400-2025 FSC-klagomål.docx", "A 61400-2025")</f>
        <v/>
      </c>
      <c r="Z103">
        <f>HYPERLINK("https://klasma.github.io/Logging_0382/klagomålsmail/A 61400-2025 FSC-klagomål mail.docx", "A 61400-2025")</f>
        <v/>
      </c>
      <c r="AA103">
        <f>HYPERLINK("https://klasma.github.io/Logging_0382/tillsyn/A 61400-2025 tillsynsbegäran.docx", "A 61400-2025")</f>
        <v/>
      </c>
      <c r="AB103">
        <f>HYPERLINK("https://klasma.github.io/Logging_0382/tillsynsmail/A 61400-2025 tillsynsbegäran mail.docx", "A 61400-2025")</f>
        <v/>
      </c>
    </row>
    <row r="104" ht="15" customHeight="1">
      <c r="A104" t="inlineStr">
        <is>
          <t>A 9646-2024</t>
        </is>
      </c>
      <c r="B104" t="inlineStr">
        <is>
          <t>avverkningsanmälan</t>
        </is>
      </c>
      <c r="C104" t="inlineStr">
        <is>
          <t>Föryngringsavverkning</t>
        </is>
      </c>
      <c r="D104" s="1" t="n">
        <v>45362</v>
      </c>
      <c r="E104" s="1" t="n">
        <v>46221</v>
      </c>
      <c r="F104" t="inlineStr">
        <is>
          <t>UPPSALA LÄN</t>
        </is>
      </c>
      <c r="G104" t="inlineStr">
        <is>
          <t>ÖSTHAMMAR</t>
        </is>
      </c>
      <c r="I104" t="n">
        <v>1.6</v>
      </c>
      <c r="J104" t="n">
        <v>0</v>
      </c>
      <c r="K104" t="n">
        <v>0</v>
      </c>
      <c r="L104" t="n">
        <v>1</v>
      </c>
      <c r="M104" t="n">
        <v>0</v>
      </c>
      <c r="N104" t="n">
        <v>1</v>
      </c>
      <c r="O104" t="n">
        <v>0</v>
      </c>
      <c r="P104" t="n">
        <v>0</v>
      </c>
      <c r="Q104" t="n">
        <v>2</v>
      </c>
      <c r="R104" t="n">
        <v>1</v>
      </c>
      <c r="S104" t="n">
        <v>2</v>
      </c>
      <c r="T104" t="n">
        <v>2</v>
      </c>
      <c r="U104" s="2" t="inlineStr">
        <is>
          <t>Violgubbe
Gultoppig fingersvamp</t>
        </is>
      </c>
      <c r="V104">
        <f>HYPERLINK("https://klasma.github.io/Logging_0382/artfynd/A 9646-2024 artfynd.xlsx", "A 9646-2024")</f>
        <v/>
      </c>
      <c r="W104">
        <f>HYPERLINK("https://klasma.github.io/Logging_0382/kartor/A 9646-2024 karta.png", "A 9646-2024")</f>
        <v/>
      </c>
      <c r="Y104">
        <f>HYPERLINK("https://klasma.github.io/Logging_0382/klagomål/A 9646-2024 FSC-klagomål.docx", "A 9646-2024")</f>
        <v/>
      </c>
      <c r="Z104">
        <f>HYPERLINK("https://klasma.github.io/Logging_0382/klagomålsmail/A 9646-2024 FSC-klagomål mail.docx", "A 9646-2024")</f>
        <v/>
      </c>
      <c r="AA104">
        <f>HYPERLINK("https://klasma.github.io/Logging_0382/tillsyn/A 9646-2024 tillsynsbegäran.docx", "A 9646-2024")</f>
        <v/>
      </c>
      <c r="AB104">
        <f>HYPERLINK("https://klasma.github.io/Logging_0382/tillsynsmail/A 9646-2024 tillsynsbegäran mail.docx", "A 9646-2024")</f>
        <v/>
      </c>
    </row>
    <row r="105" ht="15" customHeight="1">
      <c r="A105" t="inlineStr">
        <is>
          <t>A 13279-2022</t>
        </is>
      </c>
      <c r="B105" t="inlineStr">
        <is>
          <t>avverkningsanmälan</t>
        </is>
      </c>
      <c r="C105" t="inlineStr">
        <is>
          <t>Föryngringsavverkning</t>
        </is>
      </c>
      <c r="D105" s="1" t="n">
        <v>44644</v>
      </c>
      <c r="E105" s="1" t="n">
        <v>46221</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s="2" t="inlineStr">
        <is>
          <t>Tvåblad
Gullviva</t>
        </is>
      </c>
      <c r="V105">
        <f>HYPERLINK("https://klasma.github.io/Logging_0382/artfynd/A 13279-2022 artfynd.xlsx", "A 13279-2022")</f>
        <v/>
      </c>
      <c r="W105">
        <f>HYPERLINK("https://klasma.github.io/Logging_0382/kartor/A 13279-2022 karta.png", "A 13279-2022")</f>
        <v/>
      </c>
      <c r="Y105">
        <f>HYPERLINK("https://klasma.github.io/Logging_0382/klagomål/A 13279-2022 FSC-klagomål.docx", "A 13279-2022")</f>
        <v/>
      </c>
      <c r="Z105">
        <f>HYPERLINK("https://klasma.github.io/Logging_0382/klagomålsmail/A 13279-2022 FSC-klagomål mail.docx", "A 13279-2022")</f>
        <v/>
      </c>
      <c r="AA105">
        <f>HYPERLINK("https://klasma.github.io/Logging_0382/tillsyn/A 13279-2022 tillsynsbegäran.docx", "A 13279-2022")</f>
        <v/>
      </c>
      <c r="AB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46221</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s="2" t="inlineStr">
        <is>
          <t>Klasefibbla
Slåtterfibbla</t>
        </is>
      </c>
      <c r="V106">
        <f>HYPERLINK("https://klasma.github.io/Logging_0382/artfynd/A 20871-2026 artfynd.xlsx", "A 20871-2026")</f>
        <v/>
      </c>
      <c r="W106">
        <f>HYPERLINK("https://klasma.github.io/Logging_0382/kartor/A 20871-2026 karta.png", "A 20871-2026")</f>
        <v/>
      </c>
      <c r="Y106">
        <f>HYPERLINK("https://klasma.github.io/Logging_0382/klagomål/A 20871-2026 FSC-klagomål.docx", "A 20871-2026")</f>
        <v/>
      </c>
      <c r="Z106">
        <f>HYPERLINK("https://klasma.github.io/Logging_0382/klagomålsmail/A 20871-2026 FSC-klagomål mail.docx", "A 20871-2026")</f>
        <v/>
      </c>
      <c r="AA106">
        <f>HYPERLINK("https://klasma.github.io/Logging_0382/tillsyn/A 20871-2026 tillsynsbegäran.docx", "A 20871-2026")</f>
        <v/>
      </c>
      <c r="AB106">
        <f>HYPERLINK("https://klasma.github.io/Logging_0382/tillsynsmail/A 20871-2026 tillsynsbegäran mail.docx", "A 20871-2026")</f>
        <v/>
      </c>
    </row>
    <row r="107" ht="15" customHeight="1">
      <c r="A107" t="inlineStr">
        <is>
          <t>A 21451-2026</t>
        </is>
      </c>
      <c r="B107" t="inlineStr">
        <is>
          <t>avverkningsanmälan</t>
        </is>
      </c>
      <c r="C107" t="inlineStr">
        <is>
          <t>Föryngringsavverkning</t>
        </is>
      </c>
      <c r="D107" s="1" t="n">
        <v>46146</v>
      </c>
      <c r="E107" s="1" t="n">
        <v>46221</v>
      </c>
      <c r="F107" t="inlineStr">
        <is>
          <t>UPPSALA LÄN</t>
        </is>
      </c>
      <c r="G107" t="inlineStr">
        <is>
          <t>ÖSTHAMMAR</t>
        </is>
      </c>
      <c r="I107" t="n">
        <v>0.7</v>
      </c>
      <c r="J107" t="n">
        <v>0</v>
      </c>
      <c r="K107" t="n">
        <v>0</v>
      </c>
      <c r="L107" t="n">
        <v>2</v>
      </c>
      <c r="M107" t="n">
        <v>0</v>
      </c>
      <c r="N107" t="n">
        <v>0</v>
      </c>
      <c r="O107" t="n">
        <v>0</v>
      </c>
      <c r="P107" t="n">
        <v>0</v>
      </c>
      <c r="Q107" t="n">
        <v>2</v>
      </c>
      <c r="R107" t="n">
        <v>0</v>
      </c>
      <c r="S107" t="n">
        <v>2</v>
      </c>
      <c r="T107" t="n">
        <v>4</v>
      </c>
      <c r="U107" s="2" t="inlineStr">
        <is>
          <t>Slåtterfibbla
Vårärt</t>
        </is>
      </c>
      <c r="V107">
        <f>HYPERLINK("https://klasma.github.io/Logging_0382/artfynd/A 21451-2026 artfynd.xlsx", "A 21451-2026")</f>
        <v/>
      </c>
      <c r="W107">
        <f>HYPERLINK("https://klasma.github.io/Logging_0382/kartor/A 21451-2026 karta.png", "A 21451-2026")</f>
        <v/>
      </c>
      <c r="Y107">
        <f>HYPERLINK("https://klasma.github.io/Logging_0382/klagomål/A 21451-2026 FSC-klagomål.docx", "A 21451-2026")</f>
        <v/>
      </c>
      <c r="Z107">
        <f>HYPERLINK("https://klasma.github.io/Logging_0382/klagomålsmail/A 21451-2026 FSC-klagomål mail.docx", "A 21451-2026")</f>
        <v/>
      </c>
      <c r="AA107">
        <f>HYPERLINK("https://klasma.github.io/Logging_0382/tillsyn/A 21451-2026 tillsynsbegäran.docx", "A 21451-2026")</f>
        <v/>
      </c>
      <c r="AB107">
        <f>HYPERLINK("https://klasma.github.io/Logging_0382/tillsynsmail/A 21451-2026 tillsynsbegäran mail.docx", "A 21451-2026")</f>
        <v/>
      </c>
    </row>
    <row r="108" ht="15" customHeight="1">
      <c r="A108" t="inlineStr">
        <is>
          <t>A 19009-2023</t>
        </is>
      </c>
      <c r="B108" t="inlineStr">
        <is>
          <t>avverkningsanmälan</t>
        </is>
      </c>
      <c r="C108" t="inlineStr">
        <is>
          <t>Föryngringsavverkning</t>
        </is>
      </c>
      <c r="D108" s="1" t="n">
        <v>45045</v>
      </c>
      <c r="E108" s="1" t="n">
        <v>46221</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s="2" t="inlineStr">
        <is>
          <t>Slåtterfibbla
Gullviva</t>
        </is>
      </c>
      <c r="V108">
        <f>HYPERLINK("https://klasma.github.io/Logging_0382/artfynd/A 19009-2023 artfynd.xlsx", "A 19009-2023")</f>
        <v/>
      </c>
      <c r="W108">
        <f>HYPERLINK("https://klasma.github.io/Logging_0382/kartor/A 19009-2023 karta.png", "A 19009-2023")</f>
        <v/>
      </c>
      <c r="Y108">
        <f>HYPERLINK("https://klasma.github.io/Logging_0382/klagomål/A 19009-2023 FSC-klagomål.docx", "A 19009-2023")</f>
        <v/>
      </c>
      <c r="Z108">
        <f>HYPERLINK("https://klasma.github.io/Logging_0382/klagomålsmail/A 19009-2023 FSC-klagomål mail.docx", "A 19009-2023")</f>
        <v/>
      </c>
      <c r="AA108">
        <f>HYPERLINK("https://klasma.github.io/Logging_0382/tillsyn/A 19009-2023 tillsynsbegäran.docx", "A 19009-2023")</f>
        <v/>
      </c>
      <c r="AB108">
        <f>HYPERLINK("https://klasma.github.io/Logging_0382/tillsynsmail/A 19009-2023 tillsynsbegäran mail.docx", "A 19009-2023")</f>
        <v/>
      </c>
    </row>
    <row r="109" ht="15" customHeight="1">
      <c r="A109" t="inlineStr">
        <is>
          <t>A 21453-2023</t>
        </is>
      </c>
      <c r="B109" t="inlineStr">
        <is>
          <t>avverkningsanmälan</t>
        </is>
      </c>
      <c r="C109" t="inlineStr">
        <is>
          <t>Föryngringsavverkning</t>
        </is>
      </c>
      <c r="D109" s="1" t="n">
        <v>45063</v>
      </c>
      <c r="E109" s="1" t="n">
        <v>46221</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s="2" t="inlineStr">
        <is>
          <t>Fransig jordstjärna
Blåsippa</t>
        </is>
      </c>
      <c r="V109">
        <f>HYPERLINK("https://klasma.github.io/Logging_0382/artfynd/A 21453-2023 artfynd.xlsx", "A 21453-2023")</f>
        <v/>
      </c>
      <c r="W109">
        <f>HYPERLINK("https://klasma.github.io/Logging_0382/kartor/A 21453-2023 karta.png", "A 21453-2023")</f>
        <v/>
      </c>
      <c r="Y109">
        <f>HYPERLINK("https://klasma.github.io/Logging_0382/klagomål/A 21453-2023 FSC-klagomål.docx", "A 21453-2023")</f>
        <v/>
      </c>
      <c r="Z109">
        <f>HYPERLINK("https://klasma.github.io/Logging_0382/klagomålsmail/A 21453-2023 FSC-klagomål mail.docx", "A 21453-2023")</f>
        <v/>
      </c>
      <c r="AA109">
        <f>HYPERLINK("https://klasma.github.io/Logging_0382/tillsyn/A 21453-2023 tillsynsbegäran.docx", "A 21453-2023")</f>
        <v/>
      </c>
      <c r="AB109">
        <f>HYPERLINK("https://klasma.github.io/Logging_0382/tillsynsmail/A 21453-2023 tillsynsbegäran mail.docx", "A 21453-2023")</f>
        <v/>
      </c>
    </row>
    <row r="110" ht="15" customHeight="1">
      <c r="A110" t="inlineStr">
        <is>
          <t>A 14859-2025</t>
        </is>
      </c>
      <c r="B110" t="inlineStr">
        <is>
          <t>avverkningsanmälan</t>
        </is>
      </c>
      <c r="C110" t="inlineStr">
        <is>
          <t>Föryngringsavverkning</t>
        </is>
      </c>
      <c r="D110" s="1" t="n">
        <v>45743</v>
      </c>
      <c r="E110" s="1" t="n">
        <v>46221</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s="2" t="inlineStr">
        <is>
          <t>Klasefibbla
Solvända</t>
        </is>
      </c>
      <c r="V110">
        <f>HYPERLINK("https://klasma.github.io/Logging_0382/artfynd/A 14859-2025 artfynd.xlsx", "A 14859-2025")</f>
        <v/>
      </c>
      <c r="W110">
        <f>HYPERLINK("https://klasma.github.io/Logging_0382/kartor/A 14859-2025 karta.png", "A 14859-2025")</f>
        <v/>
      </c>
      <c r="Y110">
        <f>HYPERLINK("https://klasma.github.io/Logging_0382/klagomål/A 14859-2025 FSC-klagomål.docx", "A 14859-2025")</f>
        <v/>
      </c>
      <c r="Z110">
        <f>HYPERLINK("https://klasma.github.io/Logging_0382/klagomålsmail/A 14859-2025 FSC-klagomål mail.docx", "A 14859-2025")</f>
        <v/>
      </c>
      <c r="AA110">
        <f>HYPERLINK("https://klasma.github.io/Logging_0382/tillsyn/A 14859-2025 tillsynsbegäran.docx", "A 14859-2025")</f>
        <v/>
      </c>
      <c r="AB110">
        <f>HYPERLINK("https://klasma.github.io/Logging_0382/tillsynsmail/A 14859-2025 tillsynsbegäran mail.docx", "A 14859-2025")</f>
        <v/>
      </c>
    </row>
    <row r="111" ht="15" customHeight="1">
      <c r="A111" t="inlineStr">
        <is>
          <t>A 20553-2025</t>
        </is>
      </c>
      <c r="B111" t="inlineStr">
        <is>
          <t>avverkningsanmälan</t>
        </is>
      </c>
      <c r="C111" t="inlineStr">
        <is>
          <t>Föryngringsavverkning</t>
        </is>
      </c>
      <c r="D111" s="1" t="n">
        <v>45775</v>
      </c>
      <c r="E111" s="1" t="n">
        <v>46221</v>
      </c>
      <c r="F111" t="inlineStr">
        <is>
          <t>UPPSALA LÄN</t>
        </is>
      </c>
      <c r="G111" t="inlineStr">
        <is>
          <t>ÖSTHAMMAR</t>
        </is>
      </c>
      <c r="I111" t="n">
        <v>0.4</v>
      </c>
      <c r="J111" t="n">
        <v>0</v>
      </c>
      <c r="K111" t="n">
        <v>2</v>
      </c>
      <c r="L111" t="n">
        <v>0</v>
      </c>
      <c r="M111" t="n">
        <v>0</v>
      </c>
      <c r="N111" t="n">
        <v>0</v>
      </c>
      <c r="O111" t="n">
        <v>0</v>
      </c>
      <c r="P111" t="n">
        <v>0</v>
      </c>
      <c r="Q111" t="n">
        <v>0</v>
      </c>
      <c r="R111" t="n">
        <v>0</v>
      </c>
      <c r="S111" t="n">
        <v>2</v>
      </c>
      <c r="T111" t="n">
        <v>2</v>
      </c>
      <c r="U111" s="2" t="inlineStr">
        <is>
          <t>Jättesvampmal
Robust tickgnagare</t>
        </is>
      </c>
      <c r="V111">
        <f>HYPERLINK("https://klasma.github.io/Logging_0382/artfynd/A 20553-2025 artfynd.xlsx", "A 20553-2025")</f>
        <v/>
      </c>
      <c r="W111">
        <f>HYPERLINK("https://klasma.github.io/Logging_0382/kartor/A 20553-2025 karta.png", "A 20553-2025")</f>
        <v/>
      </c>
      <c r="Y111">
        <f>HYPERLINK("https://klasma.github.io/Logging_0382/klagomål/A 20553-2025 FSC-klagomål.docx", "A 20553-2025")</f>
        <v/>
      </c>
      <c r="Z111">
        <f>HYPERLINK("https://klasma.github.io/Logging_0382/klagomålsmail/A 20553-2025 FSC-klagomål mail.docx", "A 20553-2025")</f>
        <v/>
      </c>
      <c r="AA111">
        <f>HYPERLINK("https://klasma.github.io/Logging_0382/tillsyn/A 20553-2025 tillsynsbegäran.docx", "A 20553-2025")</f>
        <v/>
      </c>
      <c r="AB111">
        <f>HYPERLINK("https://klasma.github.io/Logging_0382/tillsynsmail/A 20553-2025 tillsynsbegäran mail.docx", "A 20553-2025")</f>
        <v/>
      </c>
    </row>
    <row r="112" ht="15" customHeight="1">
      <c r="A112" t="inlineStr">
        <is>
          <t>A 21862-2023</t>
        </is>
      </c>
      <c r="B112" t="inlineStr">
        <is>
          <t>avverkningsanmälan</t>
        </is>
      </c>
      <c r="C112" t="inlineStr">
        <is>
          <t>Föryngringsavverkning</t>
        </is>
      </c>
      <c r="D112" s="1" t="n">
        <v>45068</v>
      </c>
      <c r="E112" s="1" t="n">
        <v>46221</v>
      </c>
      <c r="F112" t="inlineStr">
        <is>
          <t>UPPSALA LÄN</t>
        </is>
      </c>
      <c r="G112" t="inlineStr">
        <is>
          <t>ÖSTHAMMAR</t>
        </is>
      </c>
      <c r="I112" t="n">
        <v>0.5</v>
      </c>
      <c r="J112" t="n">
        <v>2</v>
      </c>
      <c r="K112" t="n">
        <v>0</v>
      </c>
      <c r="L112" t="n">
        <v>1</v>
      </c>
      <c r="M112" t="n">
        <v>0</v>
      </c>
      <c r="N112" t="n">
        <v>0</v>
      </c>
      <c r="O112" t="n">
        <v>0</v>
      </c>
      <c r="P112" t="n">
        <v>0</v>
      </c>
      <c r="Q112" t="n">
        <v>1</v>
      </c>
      <c r="R112" t="n">
        <v>0</v>
      </c>
      <c r="S112" t="n">
        <v>2</v>
      </c>
      <c r="T112" t="n">
        <v>2</v>
      </c>
      <c r="U112" s="2" t="inlineStr">
        <is>
          <t>Nordfladdermus
Vattenfladdermus</t>
        </is>
      </c>
      <c r="V112">
        <f>HYPERLINK("https://klasma.github.io/Logging_0382/artfynd/A 21862-2023 artfynd.xlsx", "A 21862-2023")</f>
        <v/>
      </c>
      <c r="W112">
        <f>HYPERLINK("https://klasma.github.io/Logging_0382/kartor/A 21862-2023 karta.png", "A 21862-2023")</f>
        <v/>
      </c>
      <c r="Y112">
        <f>HYPERLINK("https://klasma.github.io/Logging_0382/klagomål/A 21862-2023 FSC-klagomål.docx", "A 21862-2023")</f>
        <v/>
      </c>
      <c r="Z112">
        <f>HYPERLINK("https://klasma.github.io/Logging_0382/klagomålsmail/A 21862-2023 FSC-klagomål mail.docx", "A 21862-2023")</f>
        <v/>
      </c>
      <c r="AA112">
        <f>HYPERLINK("https://klasma.github.io/Logging_0382/tillsyn/A 21862-2023 tillsynsbegäran.docx", "A 21862-2023")</f>
        <v/>
      </c>
      <c r="AB112">
        <f>HYPERLINK("https://klasma.github.io/Logging_0382/tillsynsmail/A 21862-2023 tillsynsbegäran mail.docx", "A 21862-2023")</f>
        <v/>
      </c>
    </row>
    <row r="113" ht="15" customHeight="1">
      <c r="A113" t="inlineStr">
        <is>
          <t>A 14203-2024</t>
        </is>
      </c>
      <c r="B113" t="inlineStr">
        <is>
          <t>avverkningsanmälan</t>
        </is>
      </c>
      <c r="C113" t="inlineStr">
        <is>
          <t>Föryngringsavverkning</t>
        </is>
      </c>
      <c r="D113" s="1" t="n">
        <v>45393</v>
      </c>
      <c r="E113" s="1" t="n">
        <v>46221</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s="2" t="inlineStr">
        <is>
          <t>Scharlakansvaxing
Blodvaxing</t>
        </is>
      </c>
      <c r="V113">
        <f>HYPERLINK("https://klasma.github.io/Logging_0382/artfynd/A 14203-2024 artfynd.xlsx", "A 14203-2024")</f>
        <v/>
      </c>
      <c r="W113">
        <f>HYPERLINK("https://klasma.github.io/Logging_0382/kartor/A 14203-2024 karta.png", "A 14203-2024")</f>
        <v/>
      </c>
      <c r="Y113">
        <f>HYPERLINK("https://klasma.github.io/Logging_0382/klagomål/A 14203-2024 FSC-klagomål.docx", "A 14203-2024")</f>
        <v/>
      </c>
      <c r="Z113">
        <f>HYPERLINK("https://klasma.github.io/Logging_0382/klagomålsmail/A 14203-2024 FSC-klagomål mail.docx", "A 14203-2024")</f>
        <v/>
      </c>
      <c r="AA113">
        <f>HYPERLINK("https://klasma.github.io/Logging_0382/tillsyn/A 14203-2024 tillsynsbegäran.docx", "A 14203-2024")</f>
        <v/>
      </c>
      <c r="AB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46221</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s="2" t="inlineStr">
        <is>
          <t>Gul lammticka
Brandmusseron</t>
        </is>
      </c>
      <c r="V114">
        <f>HYPERLINK("https://klasma.github.io/Logging_0382/artfynd/S 4493-2022 artfynd.xlsx", "S 4493-2022")</f>
        <v/>
      </c>
      <c r="W114">
        <f>HYPERLINK("https://klasma.github.io/Logging_0382/kartor/S 4493-2022 karta.png", "S 4493-2022")</f>
        <v/>
      </c>
      <c r="Y114">
        <f>HYPERLINK("https://klasma.github.io/Logging_0382/klagomål/S 4493-2022 FSC-klagomål.docx", "S 4493-2022")</f>
        <v/>
      </c>
      <c r="Z114">
        <f>HYPERLINK("https://klasma.github.io/Logging_0382/klagomålsmail/S 4493-2022 FSC-klagomål mail.docx", "S 4493-2022")</f>
        <v/>
      </c>
      <c r="AA114">
        <f>HYPERLINK("https://klasma.github.io/Logging_0382/tillsyn/S 4493-2022 tillsynsbegäran.docx", "S 4493-2022")</f>
        <v/>
      </c>
      <c r="AB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46221</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s="2" t="inlineStr">
        <is>
          <t>Ask
Drillsnäppa</t>
        </is>
      </c>
      <c r="V115">
        <f>HYPERLINK("https://klasma.github.io/Logging_0382/artfynd/S 6023-2022 artfynd.xlsx", "S 6023-2022")</f>
        <v/>
      </c>
      <c r="W115">
        <f>HYPERLINK("https://klasma.github.io/Logging_0382/kartor/S 6023-2022 karta.png", "S 6023-2022")</f>
        <v/>
      </c>
      <c r="Y115">
        <f>HYPERLINK("https://klasma.github.io/Logging_0382/klagomål/S 6023-2022 FSC-klagomål.docx", "S 6023-2022")</f>
        <v/>
      </c>
      <c r="Z115">
        <f>HYPERLINK("https://klasma.github.io/Logging_0382/klagomålsmail/S 6023-2022 FSC-klagomål mail.docx", "S 6023-2022")</f>
        <v/>
      </c>
      <c r="AA115">
        <f>HYPERLINK("https://klasma.github.io/Logging_0382/tillsyn/S 6023-2022 tillsynsbegäran.docx", "S 6023-2022")</f>
        <v/>
      </c>
      <c r="AB115">
        <f>HYPERLINK("https://klasma.github.io/Logging_0382/tillsynsmail/S 6023-2022 tillsynsbegäran mail.docx", "S 6023-2022")</f>
        <v/>
      </c>
      <c r="AC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46221</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s="2" t="inlineStr">
        <is>
          <t>Skogsödla</t>
        </is>
      </c>
      <c r="V116">
        <f>HYPERLINK("https://klasma.github.io/Logging_0382/artfynd/A 18732-2022 artfynd.xlsx", "A 18732-2022")</f>
        <v/>
      </c>
      <c r="W116">
        <f>HYPERLINK("https://klasma.github.io/Logging_0382/kartor/A 18732-2022 karta.png", "A 18732-2022")</f>
        <v/>
      </c>
      <c r="Y116">
        <f>HYPERLINK("https://klasma.github.io/Logging_0382/klagomål/A 18732-2022 FSC-klagomål.docx", "A 18732-2022")</f>
        <v/>
      </c>
      <c r="Z116">
        <f>HYPERLINK("https://klasma.github.io/Logging_0382/klagomålsmail/A 18732-2022 FSC-klagomål mail.docx", "A 18732-2022")</f>
        <v/>
      </c>
      <c r="AA116">
        <f>HYPERLINK("https://klasma.github.io/Logging_0382/tillsyn/A 18732-2022 tillsynsbegäran.docx", "A 18732-2022")</f>
        <v/>
      </c>
      <c r="AB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46221</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s="2" t="inlineStr">
        <is>
          <t>Slåtterfibbla</t>
        </is>
      </c>
      <c r="V117">
        <f>HYPERLINK("https://klasma.github.io/Logging_0382/artfynd/A 38442-2022 artfynd.xlsx", "A 38442-2022")</f>
        <v/>
      </c>
      <c r="W117">
        <f>HYPERLINK("https://klasma.github.io/Logging_0382/kartor/A 38442-2022 karta.png", "A 38442-2022")</f>
        <v/>
      </c>
      <c r="Y117">
        <f>HYPERLINK("https://klasma.github.io/Logging_0382/klagomål/A 38442-2022 FSC-klagomål.docx", "A 38442-2022")</f>
        <v/>
      </c>
      <c r="Z117">
        <f>HYPERLINK("https://klasma.github.io/Logging_0382/klagomålsmail/A 38442-2022 FSC-klagomål mail.docx", "A 38442-2022")</f>
        <v/>
      </c>
      <c r="AA117">
        <f>HYPERLINK("https://klasma.github.io/Logging_0382/tillsyn/A 38442-2022 tillsynsbegäran.docx", "A 38442-2022")</f>
        <v/>
      </c>
      <c r="AB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46221</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s="2" t="inlineStr">
        <is>
          <t>Slåtterfibbla</t>
        </is>
      </c>
      <c r="V118">
        <f>HYPERLINK("https://klasma.github.io/Logging_0382/artfynd/A 10294-2022 artfynd.xlsx", "A 10294-2022")</f>
        <v/>
      </c>
      <c r="W118">
        <f>HYPERLINK("https://klasma.github.io/Logging_0382/kartor/A 10294-2022 karta.png", "A 10294-2022")</f>
        <v/>
      </c>
      <c r="Y118">
        <f>HYPERLINK("https://klasma.github.io/Logging_0382/klagomål/A 10294-2022 FSC-klagomål.docx", "A 10294-2022")</f>
        <v/>
      </c>
      <c r="Z118">
        <f>HYPERLINK("https://klasma.github.io/Logging_0382/klagomålsmail/A 10294-2022 FSC-klagomål mail.docx", "A 10294-2022")</f>
        <v/>
      </c>
      <c r="AA118">
        <f>HYPERLINK("https://klasma.github.io/Logging_0382/tillsyn/A 10294-2022 tillsynsbegäran.docx", "A 10294-2022")</f>
        <v/>
      </c>
      <c r="AB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46221</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s="2" t="inlineStr">
        <is>
          <t>Klasefibbla</t>
        </is>
      </c>
      <c r="V119">
        <f>HYPERLINK("https://klasma.github.io/Logging_0382/artfynd/A 61536-2021 artfynd.xlsx", "A 61536-2021")</f>
        <v/>
      </c>
      <c r="W119">
        <f>HYPERLINK("https://klasma.github.io/Logging_0382/kartor/A 61536-2021 karta.png", "A 61536-2021")</f>
        <v/>
      </c>
      <c r="Y119">
        <f>HYPERLINK("https://klasma.github.io/Logging_0382/klagomål/A 61536-2021 FSC-klagomål.docx", "A 61536-2021")</f>
        <v/>
      </c>
      <c r="Z119">
        <f>HYPERLINK("https://klasma.github.io/Logging_0382/klagomålsmail/A 61536-2021 FSC-klagomål mail.docx", "A 61536-2021")</f>
        <v/>
      </c>
      <c r="AA119">
        <f>HYPERLINK("https://klasma.github.io/Logging_0382/tillsyn/A 61536-2021 tillsynsbegäran.docx", "A 61536-2021")</f>
        <v/>
      </c>
      <c r="AB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46221</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s="2" t="inlineStr">
        <is>
          <t>Ullticka</t>
        </is>
      </c>
      <c r="V120">
        <f>HYPERLINK("https://klasma.github.io/Logging_0382/artfynd/A 22887-2022 artfynd.xlsx", "A 22887-2022")</f>
        <v/>
      </c>
      <c r="W120">
        <f>HYPERLINK("https://klasma.github.io/Logging_0382/kartor/A 22887-2022 karta.png", "A 22887-2022")</f>
        <v/>
      </c>
      <c r="Y120">
        <f>HYPERLINK("https://klasma.github.io/Logging_0382/klagomål/A 22887-2022 FSC-klagomål.docx", "A 22887-2022")</f>
        <v/>
      </c>
      <c r="Z120">
        <f>HYPERLINK("https://klasma.github.io/Logging_0382/klagomålsmail/A 22887-2022 FSC-klagomål mail.docx", "A 22887-2022")</f>
        <v/>
      </c>
      <c r="AA120">
        <f>HYPERLINK("https://klasma.github.io/Logging_0382/tillsyn/A 22887-2022 tillsynsbegäran.docx", "A 22887-2022")</f>
        <v/>
      </c>
      <c r="AB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46221</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s="2" t="inlineStr">
        <is>
          <t>Grönpyrola</t>
        </is>
      </c>
      <c r="V121">
        <f>HYPERLINK("https://klasma.github.io/Logging_0382/artfynd/A 34418-2022 artfynd.xlsx", "A 34418-2022")</f>
        <v/>
      </c>
      <c r="W121">
        <f>HYPERLINK("https://klasma.github.io/Logging_0382/kartor/A 34418-2022 karta.png", "A 34418-2022")</f>
        <v/>
      </c>
      <c r="Y121">
        <f>HYPERLINK("https://klasma.github.io/Logging_0382/klagomål/A 34418-2022 FSC-klagomål.docx", "A 34418-2022")</f>
        <v/>
      </c>
      <c r="Z121">
        <f>HYPERLINK("https://klasma.github.io/Logging_0382/klagomålsmail/A 34418-2022 FSC-klagomål mail.docx", "A 34418-2022")</f>
        <v/>
      </c>
      <c r="AA121">
        <f>HYPERLINK("https://klasma.github.io/Logging_0382/tillsyn/A 34418-2022 tillsynsbegäran.docx", "A 34418-2022")</f>
        <v/>
      </c>
      <c r="AB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46221</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s="2" t="inlineStr">
        <is>
          <t>Kornknarr</t>
        </is>
      </c>
      <c r="V122">
        <f>HYPERLINK("https://klasma.github.io/Logging_0382/artfynd/A 11017-2023 artfynd.xlsx", "A 11017-2023")</f>
        <v/>
      </c>
      <c r="W122">
        <f>HYPERLINK("https://klasma.github.io/Logging_0382/kartor/A 11017-2023 karta.png", "A 11017-2023")</f>
        <v/>
      </c>
      <c r="Y122">
        <f>HYPERLINK("https://klasma.github.io/Logging_0382/klagomål/A 11017-2023 FSC-klagomål.docx", "A 11017-2023")</f>
        <v/>
      </c>
      <c r="Z122">
        <f>HYPERLINK("https://klasma.github.io/Logging_0382/klagomålsmail/A 11017-2023 FSC-klagomål mail.docx", "A 11017-2023")</f>
        <v/>
      </c>
      <c r="AA122">
        <f>HYPERLINK("https://klasma.github.io/Logging_0382/tillsyn/A 11017-2023 tillsynsbegäran.docx", "A 11017-2023")</f>
        <v/>
      </c>
      <c r="AB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46221</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s="2" t="inlineStr">
        <is>
          <t>Hällebräcka</t>
        </is>
      </c>
      <c r="V123">
        <f>HYPERLINK("https://klasma.github.io/Logging_0382/artfynd/A 36904-2023 artfynd.xlsx", "A 36904-2023")</f>
        <v/>
      </c>
      <c r="W123">
        <f>HYPERLINK("https://klasma.github.io/Logging_0382/kartor/A 36904-2023 karta.png", "A 36904-2023")</f>
        <v/>
      </c>
      <c r="Y123">
        <f>HYPERLINK("https://klasma.github.io/Logging_0382/klagomål/A 36904-2023 FSC-klagomål.docx", "A 36904-2023")</f>
        <v/>
      </c>
      <c r="Z123">
        <f>HYPERLINK("https://klasma.github.io/Logging_0382/klagomålsmail/A 36904-2023 FSC-klagomål mail.docx", "A 36904-2023")</f>
        <v/>
      </c>
      <c r="AA123">
        <f>HYPERLINK("https://klasma.github.io/Logging_0382/tillsyn/A 36904-2023 tillsynsbegäran.docx", "A 36904-2023")</f>
        <v/>
      </c>
      <c r="AB123">
        <f>HYPERLINK("https://klasma.github.io/Logging_0382/tillsynsmail/A 36904-2023 tillsynsbegäran mail.docx", "A 36904-2023")</f>
        <v/>
      </c>
    </row>
    <row r="124" ht="15" customHeight="1">
      <c r="A124" t="inlineStr">
        <is>
          <t>A 52818-2022</t>
        </is>
      </c>
      <c r="B124" t="inlineStr">
        <is>
          <t>avverkningsanmälan</t>
        </is>
      </c>
      <c r="C124" t="inlineStr">
        <is>
          <t>Föryngringsavverkning</t>
        </is>
      </c>
      <c r="D124" s="1" t="n">
        <v>44875</v>
      </c>
      <c r="E124" s="1" t="n">
        <v>46221</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s="2" t="inlineStr">
        <is>
          <t>Guckusko</t>
        </is>
      </c>
      <c r="V124">
        <f>HYPERLINK("https://klasma.github.io/Logging_0382/artfynd/A 52818-2022 artfynd.xlsx", "A 52818-2022")</f>
        <v/>
      </c>
      <c r="W124">
        <f>HYPERLINK("https://klasma.github.io/Logging_0382/kartor/A 52818-2022 karta.png", "A 52818-2022")</f>
        <v/>
      </c>
      <c r="Y124">
        <f>HYPERLINK("https://klasma.github.io/Logging_0382/klagomål/A 52818-2022 FSC-klagomål.docx", "A 52818-2022")</f>
        <v/>
      </c>
      <c r="Z124">
        <f>HYPERLINK("https://klasma.github.io/Logging_0382/klagomålsmail/A 52818-2022 FSC-klagomål mail.docx", "A 52818-2022")</f>
        <v/>
      </c>
      <c r="AA124">
        <f>HYPERLINK("https://klasma.github.io/Logging_0382/tillsyn/A 52818-2022 tillsynsbegäran.docx", "A 52818-2022")</f>
        <v/>
      </c>
      <c r="AB124">
        <f>HYPERLINK("https://klasma.github.io/Logging_0382/tillsynsmail/A 52818-2022 tillsynsbegäran mail.docx", "A 52818-2022")</f>
        <v/>
      </c>
    </row>
    <row r="125" ht="15" customHeight="1">
      <c r="A125" t="inlineStr">
        <is>
          <t>A 20634-2024</t>
        </is>
      </c>
      <c r="B125" t="inlineStr">
        <is>
          <t>avverkningsanmälan</t>
        </is>
      </c>
      <c r="C125" t="inlineStr">
        <is>
          <t>Föryngringsavverkning</t>
        </is>
      </c>
      <c r="D125" s="1" t="n">
        <v>45436</v>
      </c>
      <c r="E125" s="1" t="n">
        <v>46221</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s="2" t="inlineStr">
        <is>
          <t>Skarp dropptaggsvamp</t>
        </is>
      </c>
      <c r="V125">
        <f>HYPERLINK("https://klasma.github.io/Logging_0382/artfynd/A 20634-2024 artfynd.xlsx", "A 20634-2024")</f>
        <v/>
      </c>
      <c r="W125">
        <f>HYPERLINK("https://klasma.github.io/Logging_0382/kartor/A 20634-2024 karta.png", "A 20634-2024")</f>
        <v/>
      </c>
      <c r="Y125">
        <f>HYPERLINK("https://klasma.github.io/Logging_0382/klagomål/A 20634-2024 FSC-klagomål.docx", "A 20634-2024")</f>
        <v/>
      </c>
      <c r="Z125">
        <f>HYPERLINK("https://klasma.github.io/Logging_0382/klagomålsmail/A 20634-2024 FSC-klagomål mail.docx", "A 20634-2024")</f>
        <v/>
      </c>
      <c r="AA125">
        <f>HYPERLINK("https://klasma.github.io/Logging_0382/tillsyn/A 20634-2024 tillsynsbegäran.docx", "A 20634-2024")</f>
        <v/>
      </c>
      <c r="AB125">
        <f>HYPERLINK("https://klasma.github.io/Logging_0382/tillsynsmail/A 20634-2024 tillsynsbegäran mail.docx", "A 20634-2024")</f>
        <v/>
      </c>
    </row>
    <row r="126" ht="15" customHeight="1">
      <c r="A126" t="inlineStr">
        <is>
          <t>A 4984-2024</t>
        </is>
      </c>
      <c r="B126" t="inlineStr">
        <is>
          <t>avverkningsanmälan</t>
        </is>
      </c>
      <c r="C126" t="inlineStr">
        <is>
          <t>Föryngringsavverkning</t>
        </is>
      </c>
      <c r="D126" s="1" t="n">
        <v>45329</v>
      </c>
      <c r="E126" s="1" t="n">
        <v>46221</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s="2" t="inlineStr">
        <is>
          <t>Guckusko</t>
        </is>
      </c>
      <c r="V126">
        <f>HYPERLINK("https://klasma.github.io/Logging_0382/artfynd/A 4984-2024 artfynd.xlsx", "A 4984-2024")</f>
        <v/>
      </c>
      <c r="W126">
        <f>HYPERLINK("https://klasma.github.io/Logging_0382/kartor/A 4984-2024 karta.png", "A 4984-2024")</f>
        <v/>
      </c>
      <c r="Y126">
        <f>HYPERLINK("https://klasma.github.io/Logging_0382/klagomål/A 4984-2024 FSC-klagomål.docx", "A 4984-2024")</f>
        <v/>
      </c>
      <c r="Z126">
        <f>HYPERLINK("https://klasma.github.io/Logging_0382/klagomålsmail/A 4984-2024 FSC-klagomål mail.docx", "A 4984-2024")</f>
        <v/>
      </c>
      <c r="AA126">
        <f>HYPERLINK("https://klasma.github.io/Logging_0382/tillsyn/A 4984-2024 tillsynsbegäran.docx", "A 4984-2024")</f>
        <v/>
      </c>
      <c r="AB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46221</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s="2" t="inlineStr">
        <is>
          <t>Vedtrappmossa</t>
        </is>
      </c>
      <c r="V127">
        <f>HYPERLINK("https://klasma.github.io/Logging_0382/artfynd/A 2947-2025 artfynd.xlsx", "A 2947-2025")</f>
        <v/>
      </c>
      <c r="W127">
        <f>HYPERLINK("https://klasma.github.io/Logging_0382/kartor/A 2947-2025 karta.png", "A 2947-2025")</f>
        <v/>
      </c>
      <c r="Y127">
        <f>HYPERLINK("https://klasma.github.io/Logging_0382/klagomål/A 2947-2025 FSC-klagomål.docx", "A 2947-2025")</f>
        <v/>
      </c>
      <c r="Z127">
        <f>HYPERLINK("https://klasma.github.io/Logging_0382/klagomålsmail/A 2947-2025 FSC-klagomål mail.docx", "A 2947-2025")</f>
        <v/>
      </c>
      <c r="AA127">
        <f>HYPERLINK("https://klasma.github.io/Logging_0382/tillsyn/A 2947-2025 tillsynsbegäran.docx", "A 2947-2025")</f>
        <v/>
      </c>
      <c r="AB127">
        <f>HYPERLINK("https://klasma.github.io/Logging_0382/tillsynsmail/A 2947-2025 tillsynsbegäran mail.docx", "A 2947-2025")</f>
        <v/>
      </c>
    </row>
    <row r="128" ht="15" customHeight="1">
      <c r="A128" t="inlineStr">
        <is>
          <t>A 40570-2025</t>
        </is>
      </c>
      <c r="B128" t="inlineStr">
        <is>
          <t>avverkningsanmälan</t>
        </is>
      </c>
      <c r="C128" t="inlineStr">
        <is>
          <t>Föryngringsavverkning</t>
        </is>
      </c>
      <c r="D128" s="1" t="n">
        <v>45896</v>
      </c>
      <c r="E128" s="1" t="n">
        <v>46221</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s="2" t="inlineStr">
        <is>
          <t>Skogskorn</t>
        </is>
      </c>
      <c r="V128">
        <f>HYPERLINK("https://klasma.github.io/Logging_0382/artfynd/A 40570-2025 artfynd.xlsx", "A 40570-2025")</f>
        <v/>
      </c>
      <c r="W128">
        <f>HYPERLINK("https://klasma.github.io/Logging_0382/kartor/A 40570-2025 karta.png", "A 40570-2025")</f>
        <v/>
      </c>
      <c r="Y128">
        <f>HYPERLINK("https://klasma.github.io/Logging_0382/klagomål/A 40570-2025 FSC-klagomål.docx", "A 40570-2025")</f>
        <v/>
      </c>
      <c r="Z128">
        <f>HYPERLINK("https://klasma.github.io/Logging_0382/klagomålsmail/A 40570-2025 FSC-klagomål mail.docx", "A 40570-2025")</f>
        <v/>
      </c>
      <c r="AA128">
        <f>HYPERLINK("https://klasma.github.io/Logging_0382/tillsyn/A 40570-2025 tillsynsbegäran.docx", "A 40570-2025")</f>
        <v/>
      </c>
      <c r="AB128">
        <f>HYPERLINK("https://klasma.github.io/Logging_0382/tillsynsmail/A 40570-2025 tillsynsbegäran mail.docx", "A 40570-2025")</f>
        <v/>
      </c>
    </row>
    <row r="129" ht="15" customHeight="1">
      <c r="A129" t="inlineStr">
        <is>
          <t>A 6507-2026</t>
        </is>
      </c>
      <c r="B129" t="inlineStr">
        <is>
          <t>avverkningsanmälan</t>
        </is>
      </c>
      <c r="C129" t="inlineStr">
        <is>
          <t>Föryngringsavverkning</t>
        </is>
      </c>
      <c r="D129" s="1" t="n">
        <v>46056</v>
      </c>
      <c r="E129" s="1" t="n">
        <v>46221</v>
      </c>
      <c r="F129" t="inlineStr">
        <is>
          <t>UPPSALA LÄN</t>
        </is>
      </c>
      <c r="G129" t="inlineStr">
        <is>
          <t>ÖSTHAMMAR</t>
        </is>
      </c>
      <c r="H129" t="inlineStr">
        <is>
          <t>Bergvik skog öst AB</t>
        </is>
      </c>
      <c r="I129" t="n">
        <v>1.5</v>
      </c>
      <c r="J129" t="n">
        <v>0</v>
      </c>
      <c r="K129" t="n">
        <v>1</v>
      </c>
      <c r="L129" t="n">
        <v>0</v>
      </c>
      <c r="M129" t="n">
        <v>0</v>
      </c>
      <c r="N129" t="n">
        <v>0</v>
      </c>
      <c r="O129" t="n">
        <v>0</v>
      </c>
      <c r="P129" t="n">
        <v>0</v>
      </c>
      <c r="Q129" t="n">
        <v>0</v>
      </c>
      <c r="R129" t="n">
        <v>0</v>
      </c>
      <c r="S129" t="n">
        <v>1</v>
      </c>
      <c r="T129" t="n">
        <v>1</v>
      </c>
      <c r="U129" s="2" t="inlineStr">
        <is>
          <t>Tibast</t>
        </is>
      </c>
      <c r="V129">
        <f>HYPERLINK("https://klasma.github.io/Logging_0382/artfynd/A 6507-2026 artfynd.xlsx", "A 6507-2026")</f>
        <v/>
      </c>
      <c r="W129">
        <f>HYPERLINK("https://klasma.github.io/Logging_0382/kartor/A 6507-2026 karta.png", "A 6507-2026")</f>
        <v/>
      </c>
      <c r="Y129">
        <f>HYPERLINK("https://klasma.github.io/Logging_0382/klagomål/A 6507-2026 FSC-klagomål.docx", "A 6507-2026")</f>
        <v/>
      </c>
      <c r="Z129">
        <f>HYPERLINK("https://klasma.github.io/Logging_0382/klagomålsmail/A 6507-2026 FSC-klagomål mail.docx", "A 6507-2026")</f>
        <v/>
      </c>
      <c r="AA129">
        <f>HYPERLINK("https://klasma.github.io/Logging_0382/tillsyn/A 6507-2026 tillsynsbegäran.docx", "A 6507-2026")</f>
        <v/>
      </c>
      <c r="AB129">
        <f>HYPERLINK("https://klasma.github.io/Logging_0382/tillsynsmail/A 6507-2026 tillsynsbegäran mail.docx", "A 6507-2026")</f>
        <v/>
      </c>
    </row>
    <row r="130" ht="15" customHeight="1">
      <c r="A130" t="inlineStr">
        <is>
          <t>A 22209-2022</t>
        </is>
      </c>
      <c r="B130" t="inlineStr">
        <is>
          <t>avverkningsanmälan</t>
        </is>
      </c>
      <c r="C130" t="inlineStr">
        <is>
          <t>Föryngringsavverkning</t>
        </is>
      </c>
      <c r="D130" s="1" t="n">
        <v>44712</v>
      </c>
      <c r="E130" s="1" t="n">
        <v>46221</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s="2" t="inlineStr">
        <is>
          <t>Blåsippa</t>
        </is>
      </c>
      <c r="V130">
        <f>HYPERLINK("https://klasma.github.io/Logging_0382/artfynd/A 22209-2022 artfynd.xlsx", "A 22209-2022")</f>
        <v/>
      </c>
      <c r="W130">
        <f>HYPERLINK("https://klasma.github.io/Logging_0382/kartor/A 22209-2022 karta.png", "A 22209-2022")</f>
        <v/>
      </c>
      <c r="Y130">
        <f>HYPERLINK("https://klasma.github.io/Logging_0382/klagomål/A 22209-2022 FSC-klagomål.docx", "A 22209-2022")</f>
        <v/>
      </c>
      <c r="Z130">
        <f>HYPERLINK("https://klasma.github.io/Logging_0382/klagomålsmail/A 22209-2022 FSC-klagomål mail.docx", "A 22209-2022")</f>
        <v/>
      </c>
      <c r="AA130">
        <f>HYPERLINK("https://klasma.github.io/Logging_0382/tillsyn/A 22209-2022 tillsynsbegäran.docx", "A 22209-2022")</f>
        <v/>
      </c>
      <c r="AB130">
        <f>HYPERLINK("https://klasma.github.io/Logging_0382/tillsynsmail/A 22209-2022 tillsynsbegäran mail.docx", "A 22209-2022")</f>
        <v/>
      </c>
    </row>
    <row r="131" ht="15" customHeight="1">
      <c r="A131" t="inlineStr">
        <is>
          <t>A 7855-2026</t>
        </is>
      </c>
      <c r="B131" t="inlineStr">
        <is>
          <t>avverkningsanmälan</t>
        </is>
      </c>
      <c r="C131" t="inlineStr">
        <is>
          <t>Föryngringsavverkning</t>
        </is>
      </c>
      <c r="D131" s="1" t="n">
        <v>46062</v>
      </c>
      <c r="E131" s="1" t="n">
        <v>46221</v>
      </c>
      <c r="F131" t="inlineStr">
        <is>
          <t>UPPSALA LÄN</t>
        </is>
      </c>
      <c r="G131" t="inlineStr">
        <is>
          <t>ÖSTHAMMAR</t>
        </is>
      </c>
      <c r="I131" t="n">
        <v>3.8</v>
      </c>
      <c r="J131" t="n">
        <v>0</v>
      </c>
      <c r="K131" t="n">
        <v>0</v>
      </c>
      <c r="L131" t="n">
        <v>1</v>
      </c>
      <c r="M131" t="n">
        <v>0</v>
      </c>
      <c r="N131" t="n">
        <v>0</v>
      </c>
      <c r="O131" t="n">
        <v>0</v>
      </c>
      <c r="P131" t="n">
        <v>0</v>
      </c>
      <c r="Q131" t="n">
        <v>1</v>
      </c>
      <c r="R131" t="n">
        <v>0</v>
      </c>
      <c r="S131" t="n">
        <v>1</v>
      </c>
      <c r="T131" t="n">
        <v>1</v>
      </c>
      <c r="U131" s="2" t="inlineStr">
        <is>
          <t>Skogsklocka</t>
        </is>
      </c>
      <c r="V131">
        <f>HYPERLINK("https://klasma.github.io/Logging_0382/artfynd/A 7855-2026 artfynd.xlsx", "A 7855-2026")</f>
        <v/>
      </c>
      <c r="W131">
        <f>HYPERLINK("https://klasma.github.io/Logging_0382/kartor/A 7855-2026 karta.png", "A 7855-2026")</f>
        <v/>
      </c>
      <c r="Y131">
        <f>HYPERLINK("https://klasma.github.io/Logging_0382/klagomål/A 7855-2026 FSC-klagomål.docx", "A 7855-2026")</f>
        <v/>
      </c>
      <c r="Z131">
        <f>HYPERLINK("https://klasma.github.io/Logging_0382/klagomålsmail/A 7855-2026 FSC-klagomål mail.docx", "A 7855-2026")</f>
        <v/>
      </c>
      <c r="AA131">
        <f>HYPERLINK("https://klasma.github.io/Logging_0382/tillsyn/A 7855-2026 tillsynsbegäran.docx", "A 7855-2026")</f>
        <v/>
      </c>
      <c r="AB131">
        <f>HYPERLINK("https://klasma.github.io/Logging_0382/tillsynsmail/A 7855-2026 tillsynsbegäran mail.docx", "A 7855-2026")</f>
        <v/>
      </c>
    </row>
    <row r="132" ht="15" customHeight="1">
      <c r="A132" t="inlineStr">
        <is>
          <t>A 7470-2022</t>
        </is>
      </c>
      <c r="B132" t="inlineStr">
        <is>
          <t>avverkningsanmälan</t>
        </is>
      </c>
      <c r="C132" t="inlineStr">
        <is>
          <t>Föryngringsavverkning</t>
        </is>
      </c>
      <c r="D132" s="1" t="n">
        <v>44607</v>
      </c>
      <c r="E132" s="1" t="n">
        <v>46221</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s="2" t="inlineStr">
        <is>
          <t>Grön sköldmossa</t>
        </is>
      </c>
      <c r="V132">
        <f>HYPERLINK("https://klasma.github.io/Logging_0382/artfynd/A 7470-2022 artfynd.xlsx", "A 7470-2022")</f>
        <v/>
      </c>
      <c r="W132">
        <f>HYPERLINK("https://klasma.github.io/Logging_0382/kartor/A 7470-2022 karta.png", "A 7470-2022")</f>
        <v/>
      </c>
      <c r="Y132">
        <f>HYPERLINK("https://klasma.github.io/Logging_0382/klagomål/A 7470-2022 FSC-klagomål.docx", "A 7470-2022")</f>
        <v/>
      </c>
      <c r="Z132">
        <f>HYPERLINK("https://klasma.github.io/Logging_0382/klagomålsmail/A 7470-2022 FSC-klagomål mail.docx", "A 7470-2022")</f>
        <v/>
      </c>
      <c r="AA132">
        <f>HYPERLINK("https://klasma.github.io/Logging_0382/tillsyn/A 7470-2022 tillsynsbegäran.docx", "A 7470-2022")</f>
        <v/>
      </c>
      <c r="AB132">
        <f>HYPERLINK("https://klasma.github.io/Logging_0382/tillsynsmail/A 7470-2022 tillsynsbegäran mail.docx", "A 7470-2022")</f>
        <v/>
      </c>
    </row>
    <row r="133" ht="15" customHeight="1">
      <c r="A133" t="inlineStr">
        <is>
          <t>A 49899-2023</t>
        </is>
      </c>
      <c r="B133" t="inlineStr">
        <is>
          <t>avverkningsanmälan</t>
        </is>
      </c>
      <c r="C133" t="inlineStr">
        <is>
          <t>Avverkning för att bevara och utveckla /försöksver</t>
        </is>
      </c>
      <c r="D133" s="1" t="n">
        <v>45213</v>
      </c>
      <c r="E133" s="1" t="n">
        <v>46221</v>
      </c>
      <c r="F133" t="inlineStr">
        <is>
          <t>UPPSALA LÄN</t>
        </is>
      </c>
      <c r="G133" t="inlineStr">
        <is>
          <t>ÖSTHAMMAR</t>
        </is>
      </c>
      <c r="I133" t="n">
        <v>6.2</v>
      </c>
      <c r="J133" t="n">
        <v>1</v>
      </c>
      <c r="K133" t="n">
        <v>0</v>
      </c>
      <c r="L133" t="n">
        <v>0</v>
      </c>
      <c r="M133" t="n">
        <v>0</v>
      </c>
      <c r="N133" t="n">
        <v>0</v>
      </c>
      <c r="O133" t="n">
        <v>0</v>
      </c>
      <c r="P133" t="n">
        <v>0</v>
      </c>
      <c r="Q133" t="n">
        <v>0</v>
      </c>
      <c r="R133" t="n">
        <v>0</v>
      </c>
      <c r="S133" t="n">
        <v>1</v>
      </c>
      <c r="T133" t="n">
        <v>1</v>
      </c>
      <c r="U133" s="2" t="inlineStr">
        <is>
          <t>Grönvit nattviol</t>
        </is>
      </c>
      <c r="V133">
        <f>HYPERLINK("https://klasma.github.io/Logging_0382/artfynd/A 49899-2023 artfynd.xlsx", "A 49899-2023")</f>
        <v/>
      </c>
      <c r="W133">
        <f>HYPERLINK("https://klasma.github.io/Logging_0382/kartor/A 49899-2023 karta.png", "A 49899-2023")</f>
        <v/>
      </c>
      <c r="Y133">
        <f>HYPERLINK("https://klasma.github.io/Logging_0382/klagomål/A 49899-2023 FSC-klagomål.docx", "A 49899-2023")</f>
        <v/>
      </c>
      <c r="Z133">
        <f>HYPERLINK("https://klasma.github.io/Logging_0382/klagomålsmail/A 49899-2023 FSC-klagomål mail.docx", "A 49899-2023")</f>
        <v/>
      </c>
      <c r="AA133">
        <f>HYPERLINK("https://klasma.github.io/Logging_0382/tillsyn/A 49899-2023 tillsynsbegäran.docx", "A 49899-2023")</f>
        <v/>
      </c>
      <c r="AB133">
        <f>HYPERLINK("https://klasma.github.io/Logging_0382/tillsynsmail/A 49899-2023 tillsynsbegäran mail.docx", "A 49899-2023")</f>
        <v/>
      </c>
    </row>
    <row r="134" ht="15" customHeight="1">
      <c r="A134" t="inlineStr">
        <is>
          <t>A 14006-2026</t>
        </is>
      </c>
      <c r="B134" t="inlineStr">
        <is>
          <t>avverkningsanmälan</t>
        </is>
      </c>
      <c r="C134" t="inlineStr">
        <is>
          <t>Föryngringsavverkning</t>
        </is>
      </c>
      <c r="D134" s="1" t="n">
        <v>46098</v>
      </c>
      <c r="E134" s="1" t="n">
        <v>46221</v>
      </c>
      <c r="F134" t="inlineStr">
        <is>
          <t>UPPSALA LÄN</t>
        </is>
      </c>
      <c r="G134" t="inlineStr">
        <is>
          <t>ÖSTHAMMAR</t>
        </is>
      </c>
      <c r="I134" t="n">
        <v>2</v>
      </c>
      <c r="J134" t="n">
        <v>0</v>
      </c>
      <c r="K134" t="n">
        <v>0</v>
      </c>
      <c r="L134" t="n">
        <v>0</v>
      </c>
      <c r="M134" t="n">
        <v>1</v>
      </c>
      <c r="N134" t="n">
        <v>0</v>
      </c>
      <c r="O134" t="n">
        <v>0</v>
      </c>
      <c r="P134" t="n">
        <v>0</v>
      </c>
      <c r="Q134" t="n">
        <v>1</v>
      </c>
      <c r="R134" t="n">
        <v>1</v>
      </c>
      <c r="S134" t="n">
        <v>1</v>
      </c>
      <c r="T134" t="n">
        <v>1</v>
      </c>
      <c r="U134" s="2" t="inlineStr">
        <is>
          <t>Igelkott</t>
        </is>
      </c>
      <c r="V134">
        <f>HYPERLINK("https://klasma.github.io/Logging_0382/artfynd/A 14006-2026 artfynd.xlsx", "A 14006-2026")</f>
        <v/>
      </c>
      <c r="W134">
        <f>HYPERLINK("https://klasma.github.io/Logging_0382/kartor/A 14006-2026 karta.png", "A 14006-2026")</f>
        <v/>
      </c>
      <c r="Y134">
        <f>HYPERLINK("https://klasma.github.io/Logging_0382/klagomål/A 14006-2026 FSC-klagomål.docx", "A 14006-2026")</f>
        <v/>
      </c>
      <c r="Z134">
        <f>HYPERLINK("https://klasma.github.io/Logging_0382/klagomålsmail/A 14006-2026 FSC-klagomål mail.docx", "A 14006-2026")</f>
        <v/>
      </c>
      <c r="AA134">
        <f>HYPERLINK("https://klasma.github.io/Logging_0382/tillsyn/A 14006-2026 tillsynsbegäran.docx", "A 14006-2026")</f>
        <v/>
      </c>
      <c r="AB134">
        <f>HYPERLINK("https://klasma.github.io/Logging_0382/tillsynsmail/A 14006-2026 tillsynsbegäran mail.docx", "A 14006-2026")</f>
        <v/>
      </c>
    </row>
    <row r="135" ht="15" customHeight="1">
      <c r="A135" t="inlineStr">
        <is>
          <t>A 8014-2026</t>
        </is>
      </c>
      <c r="B135" t="inlineStr">
        <is>
          <t>avverkningsanmälan</t>
        </is>
      </c>
      <c r="C135" t="inlineStr">
        <is>
          <t>Föryngringsavverkning</t>
        </is>
      </c>
      <c r="D135" s="1" t="n">
        <v>46063</v>
      </c>
      <c r="E135" s="1" t="n">
        <v>46221</v>
      </c>
      <c r="F135" t="inlineStr">
        <is>
          <t>UPPSALA LÄN</t>
        </is>
      </c>
      <c r="G135" t="inlineStr">
        <is>
          <t>ÖSTHAMMAR</t>
        </is>
      </c>
      <c r="I135" t="n">
        <v>15.2</v>
      </c>
      <c r="J135" t="n">
        <v>1</v>
      </c>
      <c r="K135" t="n">
        <v>1</v>
      </c>
      <c r="L135" t="n">
        <v>0</v>
      </c>
      <c r="M135" t="n">
        <v>0</v>
      </c>
      <c r="N135" t="n">
        <v>0</v>
      </c>
      <c r="O135" t="n">
        <v>0</v>
      </c>
      <c r="P135" t="n">
        <v>0</v>
      </c>
      <c r="Q135" t="n">
        <v>0</v>
      </c>
      <c r="R135" t="n">
        <v>0</v>
      </c>
      <c r="S135" t="n">
        <v>1</v>
      </c>
      <c r="T135" t="n">
        <v>1</v>
      </c>
      <c r="U135" s="2" t="inlineStr">
        <is>
          <t>Skogsknipprot</t>
        </is>
      </c>
      <c r="V135">
        <f>HYPERLINK("https://klasma.github.io/Logging_0382/artfynd/A 8014-2026 artfynd.xlsx", "A 8014-2026")</f>
        <v/>
      </c>
      <c r="W135">
        <f>HYPERLINK("https://klasma.github.io/Logging_0382/kartor/A 8014-2026 karta.png", "A 8014-2026")</f>
        <v/>
      </c>
      <c r="Y135">
        <f>HYPERLINK("https://klasma.github.io/Logging_0382/klagomål/A 8014-2026 FSC-klagomål.docx", "A 8014-2026")</f>
        <v/>
      </c>
      <c r="Z135">
        <f>HYPERLINK("https://klasma.github.io/Logging_0382/klagomålsmail/A 8014-2026 FSC-klagomål mail.docx", "A 8014-2026")</f>
        <v/>
      </c>
      <c r="AA135">
        <f>HYPERLINK("https://klasma.github.io/Logging_0382/tillsyn/A 8014-2026 tillsynsbegäran.docx", "A 8014-2026")</f>
        <v/>
      </c>
      <c r="AB135">
        <f>HYPERLINK("https://klasma.github.io/Logging_0382/tillsynsmail/A 8014-2026 tillsynsbegäran mail.docx", "A 8014-2026")</f>
        <v/>
      </c>
    </row>
    <row r="136" ht="15" customHeight="1">
      <c r="A136" t="inlineStr">
        <is>
          <t>A 37296-2023</t>
        </is>
      </c>
      <c r="B136" t="inlineStr">
        <is>
          <t>avverkningsanmälan</t>
        </is>
      </c>
      <c r="C136" t="inlineStr">
        <is>
          <t>Föryngringsavverkning</t>
        </is>
      </c>
      <c r="D136" s="1" t="n">
        <v>45156</v>
      </c>
      <c r="E136" s="1" t="n">
        <v>46221</v>
      </c>
      <c r="F136" t="inlineStr">
        <is>
          <t>UPPSALA LÄN</t>
        </is>
      </c>
      <c r="G136" t="inlineStr">
        <is>
          <t>ÖSTHAMMAR</t>
        </is>
      </c>
      <c r="I136" t="n">
        <v>4.7</v>
      </c>
      <c r="J136" t="n">
        <v>1</v>
      </c>
      <c r="K136" t="n">
        <v>0</v>
      </c>
      <c r="L136" t="n">
        <v>0</v>
      </c>
      <c r="M136" t="n">
        <v>1</v>
      </c>
      <c r="N136" t="n">
        <v>0</v>
      </c>
      <c r="O136" t="n">
        <v>0</v>
      </c>
      <c r="P136" t="n">
        <v>0</v>
      </c>
      <c r="Q136" t="n">
        <v>1</v>
      </c>
      <c r="R136" t="n">
        <v>1</v>
      </c>
      <c r="S136" t="n">
        <v>1</v>
      </c>
      <c r="T136" t="n">
        <v>1</v>
      </c>
      <c r="U136" s="2" t="inlineStr">
        <is>
          <t>Backsippa</t>
        </is>
      </c>
      <c r="V136">
        <f>HYPERLINK("https://klasma.github.io/Logging_0382/artfynd/A 37296-2023 artfynd.xlsx", "A 37296-2023")</f>
        <v/>
      </c>
      <c r="W136">
        <f>HYPERLINK("https://klasma.github.io/Logging_0382/kartor/A 37296-2023 karta.png", "A 37296-2023")</f>
        <v/>
      </c>
      <c r="Y136">
        <f>HYPERLINK("https://klasma.github.io/Logging_0382/klagomål/A 37296-2023 FSC-klagomål.docx", "A 37296-2023")</f>
        <v/>
      </c>
      <c r="Z136">
        <f>HYPERLINK("https://klasma.github.io/Logging_0382/klagomålsmail/A 37296-2023 FSC-klagomål mail.docx", "A 37296-2023")</f>
        <v/>
      </c>
      <c r="AA136">
        <f>HYPERLINK("https://klasma.github.io/Logging_0382/tillsyn/A 37296-2023 tillsynsbegäran.docx", "A 37296-2023")</f>
        <v/>
      </c>
      <c r="AB136">
        <f>HYPERLINK("https://klasma.github.io/Logging_0382/tillsynsmail/A 37296-2023 tillsynsbegäran mail.docx", "A 37296-2023")</f>
        <v/>
      </c>
    </row>
    <row r="137" ht="15" customHeight="1">
      <c r="A137" t="inlineStr">
        <is>
          <t>A 65989-2021</t>
        </is>
      </c>
      <c r="B137" t="inlineStr">
        <is>
          <t>avverkningsanmälan</t>
        </is>
      </c>
      <c r="C137" t="inlineStr">
        <is>
          <t>Föryngringsavverkning</t>
        </is>
      </c>
      <c r="D137" s="1" t="n">
        <v>44517</v>
      </c>
      <c r="E137" s="1" t="n">
        <v>46221</v>
      </c>
      <c r="F137" t="inlineStr">
        <is>
          <t>UPPSALA LÄN</t>
        </is>
      </c>
      <c r="G137" t="inlineStr">
        <is>
          <t>ÖSTHAMMAR</t>
        </is>
      </c>
      <c r="I137" t="n">
        <v>6.9</v>
      </c>
      <c r="J137" t="n">
        <v>1</v>
      </c>
      <c r="K137" t="n">
        <v>1</v>
      </c>
      <c r="L137" t="n">
        <v>0</v>
      </c>
      <c r="M137" t="n">
        <v>0</v>
      </c>
      <c r="N137" t="n">
        <v>0</v>
      </c>
      <c r="O137" t="n">
        <v>0</v>
      </c>
      <c r="P137" t="n">
        <v>0</v>
      </c>
      <c r="Q137" t="n">
        <v>0</v>
      </c>
      <c r="R137" t="n">
        <v>0</v>
      </c>
      <c r="S137" t="n">
        <v>1</v>
      </c>
      <c r="T137" t="n">
        <v>2</v>
      </c>
      <c r="U137" s="2" t="inlineStr">
        <is>
          <t>Skogsknipprot</t>
        </is>
      </c>
      <c r="V137">
        <f>HYPERLINK("https://klasma.github.io/Logging_0382/artfynd/A 65989-2021 artfynd.xlsx", "A 65989-2021")</f>
        <v/>
      </c>
      <c r="W137">
        <f>HYPERLINK("https://klasma.github.io/Logging_0382/kartor/A 65989-2021 karta.png", "A 65989-2021")</f>
        <v/>
      </c>
      <c r="Y137">
        <f>HYPERLINK("https://klasma.github.io/Logging_0382/klagomål/A 65989-2021 FSC-klagomål.docx", "A 65989-2021")</f>
        <v/>
      </c>
      <c r="Z137">
        <f>HYPERLINK("https://klasma.github.io/Logging_0382/klagomålsmail/A 65989-2021 FSC-klagomål mail.docx", "A 65989-2021")</f>
        <v/>
      </c>
      <c r="AA137">
        <f>HYPERLINK("https://klasma.github.io/Logging_0382/tillsyn/A 65989-2021 tillsynsbegäran.docx", "A 65989-2021")</f>
        <v/>
      </c>
      <c r="AB137">
        <f>HYPERLINK("https://klasma.github.io/Logging_0382/tillsynsmail/A 65989-2021 tillsynsbegäran mail.docx", "A 65989-2021")</f>
        <v/>
      </c>
    </row>
    <row r="138" ht="15" customHeight="1">
      <c r="A138" t="inlineStr">
        <is>
          <t>A 7446-2022</t>
        </is>
      </c>
      <c r="B138" t="inlineStr">
        <is>
          <t>avverkningsanmälan</t>
        </is>
      </c>
      <c r="C138" t="inlineStr">
        <is>
          <t>Föryngringsavverkning</t>
        </is>
      </c>
      <c r="D138" s="1" t="n">
        <v>44606</v>
      </c>
      <c r="E138" s="1" t="n">
        <v>46221</v>
      </c>
      <c r="F138" t="inlineStr">
        <is>
          <t>UPPSALA LÄN</t>
        </is>
      </c>
      <c r="G138" t="inlineStr">
        <is>
          <t>ÖSTHAMMAR</t>
        </is>
      </c>
      <c r="I138" t="n">
        <v>5</v>
      </c>
      <c r="J138" t="n">
        <v>1</v>
      </c>
      <c r="K138" t="n">
        <v>0</v>
      </c>
      <c r="L138" t="n">
        <v>0</v>
      </c>
      <c r="M138" t="n">
        <v>0</v>
      </c>
      <c r="N138" t="n">
        <v>0</v>
      </c>
      <c r="O138" t="n">
        <v>0</v>
      </c>
      <c r="P138" t="n">
        <v>0</v>
      </c>
      <c r="Q138" t="n">
        <v>0</v>
      </c>
      <c r="R138" t="n">
        <v>0</v>
      </c>
      <c r="S138" t="n">
        <v>1</v>
      </c>
      <c r="T138" t="n">
        <v>1</v>
      </c>
      <c r="U138" s="2" t="inlineStr">
        <is>
          <t>Mattlummer</t>
        </is>
      </c>
      <c r="V138">
        <f>HYPERLINK("https://klasma.github.io/Logging_0382/artfynd/A 7446-2022 artfynd.xlsx", "A 7446-2022")</f>
        <v/>
      </c>
      <c r="W138">
        <f>HYPERLINK("https://klasma.github.io/Logging_0382/kartor/A 7446-2022 karta.png", "A 7446-2022")</f>
        <v/>
      </c>
      <c r="Y138">
        <f>HYPERLINK("https://klasma.github.io/Logging_0382/klagomål/A 7446-2022 FSC-klagomål.docx", "A 7446-2022")</f>
        <v/>
      </c>
      <c r="Z138">
        <f>HYPERLINK("https://klasma.github.io/Logging_0382/klagomålsmail/A 7446-2022 FSC-klagomål mail.docx", "A 7446-2022")</f>
        <v/>
      </c>
      <c r="AA138">
        <f>HYPERLINK("https://klasma.github.io/Logging_0382/tillsyn/A 7446-2022 tillsynsbegäran.docx", "A 7446-2022")</f>
        <v/>
      </c>
      <c r="AB138">
        <f>HYPERLINK("https://klasma.github.io/Logging_0382/tillsynsmail/A 7446-2022 tillsynsbegäran mail.docx", "A 7446-2022")</f>
        <v/>
      </c>
    </row>
    <row r="139" ht="15" customHeight="1">
      <c r="A139" t="inlineStr">
        <is>
          <t>A 1227-2022</t>
        </is>
      </c>
      <c r="B139" t="inlineStr">
        <is>
          <t>avverkningsanmälan</t>
        </is>
      </c>
      <c r="C139" t="inlineStr">
        <is>
          <t>Föryngringsavverkning</t>
        </is>
      </c>
      <c r="D139" s="1" t="n">
        <v>44572</v>
      </c>
      <c r="E139" s="1" t="n">
        <v>46221</v>
      </c>
      <c r="F139" t="inlineStr">
        <is>
          <t>UPPSALA LÄN</t>
        </is>
      </c>
      <c r="G139" t="inlineStr">
        <is>
          <t>ÖSTHAMMAR</t>
        </is>
      </c>
      <c r="I139" t="n">
        <v>1.7</v>
      </c>
      <c r="J139" t="n">
        <v>0</v>
      </c>
      <c r="K139" t="n">
        <v>1</v>
      </c>
      <c r="L139" t="n">
        <v>0</v>
      </c>
      <c r="M139" t="n">
        <v>0</v>
      </c>
      <c r="N139" t="n">
        <v>0</v>
      </c>
      <c r="O139" t="n">
        <v>0</v>
      </c>
      <c r="P139" t="n">
        <v>0</v>
      </c>
      <c r="Q139" t="n">
        <v>0</v>
      </c>
      <c r="R139" t="n">
        <v>0</v>
      </c>
      <c r="S139" t="n">
        <v>1</v>
      </c>
      <c r="T139" t="n">
        <v>1</v>
      </c>
      <c r="U139" s="2" t="inlineStr">
        <is>
          <t>Guldkremla</t>
        </is>
      </c>
      <c r="V139">
        <f>HYPERLINK("https://klasma.github.io/Logging_0382/artfynd/A 1227-2022 artfynd.xlsx", "A 1227-2022")</f>
        <v/>
      </c>
      <c r="W139">
        <f>HYPERLINK("https://klasma.github.io/Logging_0382/kartor/A 1227-2022 karta.png", "A 1227-2022")</f>
        <v/>
      </c>
      <c r="Y139">
        <f>HYPERLINK("https://klasma.github.io/Logging_0382/klagomål/A 1227-2022 FSC-klagomål.docx", "A 1227-2022")</f>
        <v/>
      </c>
      <c r="Z139">
        <f>HYPERLINK("https://klasma.github.io/Logging_0382/klagomålsmail/A 1227-2022 FSC-klagomål mail.docx", "A 1227-2022")</f>
        <v/>
      </c>
      <c r="AA139">
        <f>HYPERLINK("https://klasma.github.io/Logging_0382/tillsyn/A 1227-2022 tillsynsbegäran.docx", "A 1227-2022")</f>
        <v/>
      </c>
      <c r="AB139">
        <f>HYPERLINK("https://klasma.github.io/Logging_0382/tillsynsmail/A 1227-2022 tillsynsbegäran mail.docx", "A 1227-2022")</f>
        <v/>
      </c>
    </row>
    <row r="140" ht="15" customHeight="1">
      <c r="A140" t="inlineStr">
        <is>
          <t>A 13358-2024</t>
        </is>
      </c>
      <c r="B140" t="inlineStr">
        <is>
          <t>avverkningsanmälan</t>
        </is>
      </c>
      <c r="C140" t="inlineStr">
        <is>
          <t>Föryngringsavverkning</t>
        </is>
      </c>
      <c r="D140" s="1" t="n">
        <v>45387</v>
      </c>
      <c r="E140" s="1" t="n">
        <v>46221</v>
      </c>
      <c r="F140" t="inlineStr">
        <is>
          <t>UPPSALA LÄN</t>
        </is>
      </c>
      <c r="G140" t="inlineStr">
        <is>
          <t>ÖSTHAMMAR</t>
        </is>
      </c>
      <c r="I140" t="n">
        <v>2.2</v>
      </c>
      <c r="J140" t="n">
        <v>1</v>
      </c>
      <c r="K140" t="n">
        <v>0</v>
      </c>
      <c r="L140" t="n">
        <v>0</v>
      </c>
      <c r="M140" t="n">
        <v>0</v>
      </c>
      <c r="N140" t="n">
        <v>1</v>
      </c>
      <c r="O140" t="n">
        <v>0</v>
      </c>
      <c r="P140" t="n">
        <v>0</v>
      </c>
      <c r="Q140" t="n">
        <v>1</v>
      </c>
      <c r="R140" t="n">
        <v>1</v>
      </c>
      <c r="S140" t="n">
        <v>1</v>
      </c>
      <c r="T140" t="n">
        <v>1</v>
      </c>
      <c r="U140" s="2" t="inlineStr">
        <is>
          <t>Kornknarr</t>
        </is>
      </c>
      <c r="V140">
        <f>HYPERLINK("https://klasma.github.io/Logging_0382/artfynd/A 13358-2024 artfynd.xlsx", "A 13358-2024")</f>
        <v/>
      </c>
      <c r="W140">
        <f>HYPERLINK("https://klasma.github.io/Logging_0382/kartor/A 13358-2024 karta.png", "A 13358-2024")</f>
        <v/>
      </c>
      <c r="Y140">
        <f>HYPERLINK("https://klasma.github.io/Logging_0382/klagomål/A 13358-2024 FSC-klagomål.docx", "A 13358-2024")</f>
        <v/>
      </c>
      <c r="Z140">
        <f>HYPERLINK("https://klasma.github.io/Logging_0382/klagomålsmail/A 13358-2024 FSC-klagomål mail.docx", "A 13358-2024")</f>
        <v/>
      </c>
      <c r="AA140">
        <f>HYPERLINK("https://klasma.github.io/Logging_0382/tillsyn/A 13358-2024 tillsynsbegäran.docx", "A 13358-2024")</f>
        <v/>
      </c>
      <c r="AB140">
        <f>HYPERLINK("https://klasma.github.io/Logging_0382/tillsynsmail/A 13358-2024 tillsynsbegäran mail.docx", "A 13358-2024")</f>
        <v/>
      </c>
    </row>
    <row r="141" ht="15" customHeight="1">
      <c r="A141" t="inlineStr">
        <is>
          <t>A 38600-2023</t>
        </is>
      </c>
      <c r="B141" t="inlineStr">
        <is>
          <t>avverkningsanmälan</t>
        </is>
      </c>
      <c r="C141" t="inlineStr">
        <is>
          <t>Avverkning för annat ändamål</t>
        </is>
      </c>
      <c r="D141" s="1" t="n">
        <v>45162</v>
      </c>
      <c r="E141" s="1" t="n">
        <v>46221</v>
      </c>
      <c r="F141" t="inlineStr">
        <is>
          <t>UPPSALA LÄN</t>
        </is>
      </c>
      <c r="G141" t="inlineStr">
        <is>
          <t>ÖSTHAMMAR</t>
        </is>
      </c>
      <c r="H141" t="inlineStr">
        <is>
          <t>Bergvik skog väst AB</t>
        </is>
      </c>
      <c r="I141" t="n">
        <v>0.1</v>
      </c>
      <c r="J141" t="n">
        <v>1</v>
      </c>
      <c r="K141" t="n">
        <v>0</v>
      </c>
      <c r="L141" t="n">
        <v>0</v>
      </c>
      <c r="M141" t="n">
        <v>0</v>
      </c>
      <c r="N141" t="n">
        <v>0</v>
      </c>
      <c r="O141" t="n">
        <v>0</v>
      </c>
      <c r="P141" t="n">
        <v>0</v>
      </c>
      <c r="Q141" t="n">
        <v>0</v>
      </c>
      <c r="R141" t="n">
        <v>0</v>
      </c>
      <c r="S141" t="n">
        <v>1</v>
      </c>
      <c r="T141" t="n">
        <v>1</v>
      </c>
      <c r="U141" s="2" t="inlineStr">
        <is>
          <t>Blåsippa</t>
        </is>
      </c>
      <c r="V141">
        <f>HYPERLINK("https://klasma.github.io/Logging_0382/artfynd/A 38600-2023 artfynd.xlsx", "A 38600-2023")</f>
        <v/>
      </c>
      <c r="W141">
        <f>HYPERLINK("https://klasma.github.io/Logging_0382/kartor/A 38600-2023 karta.png", "A 38600-2023")</f>
        <v/>
      </c>
      <c r="Y141">
        <f>HYPERLINK("https://klasma.github.io/Logging_0382/klagomål/A 38600-2023 FSC-klagomål.docx", "A 38600-2023")</f>
        <v/>
      </c>
      <c r="Z141">
        <f>HYPERLINK("https://klasma.github.io/Logging_0382/klagomålsmail/A 38600-2023 FSC-klagomål mail.docx", "A 38600-2023")</f>
        <v/>
      </c>
      <c r="AA141">
        <f>HYPERLINK("https://klasma.github.io/Logging_0382/tillsyn/A 38600-2023 tillsynsbegäran.docx", "A 38600-2023")</f>
        <v/>
      </c>
      <c r="AB141">
        <f>HYPERLINK("https://klasma.github.io/Logging_0382/tillsynsmail/A 38600-2023 tillsynsbegäran mail.docx", "A 38600-2023")</f>
        <v/>
      </c>
    </row>
    <row r="142" ht="15" customHeight="1">
      <c r="A142" t="inlineStr">
        <is>
          <t>A 30605-2025</t>
        </is>
      </c>
      <c r="B142" t="inlineStr">
        <is>
          <t>avverkningsanmälan</t>
        </is>
      </c>
      <c r="C142" t="inlineStr">
        <is>
          <t>Föryngringsavverkning</t>
        </is>
      </c>
      <c r="D142" s="1" t="n">
        <v>45831</v>
      </c>
      <c r="E142" s="1" t="n">
        <v>46221</v>
      </c>
      <c r="F142" t="inlineStr">
        <is>
          <t>UPPSALA LÄN</t>
        </is>
      </c>
      <c r="G142" t="inlineStr">
        <is>
          <t>ÖSTHAMMAR</t>
        </is>
      </c>
      <c r="I142" t="n">
        <v>1.7</v>
      </c>
      <c r="J142" t="n">
        <v>0</v>
      </c>
      <c r="K142" t="n">
        <v>0</v>
      </c>
      <c r="L142" t="n">
        <v>0</v>
      </c>
      <c r="M142" t="n">
        <v>1</v>
      </c>
      <c r="N142" t="n">
        <v>0</v>
      </c>
      <c r="O142" t="n">
        <v>0</v>
      </c>
      <c r="P142" t="n">
        <v>0</v>
      </c>
      <c r="Q142" t="n">
        <v>1</v>
      </c>
      <c r="R142" t="n">
        <v>1</v>
      </c>
      <c r="S142" t="n">
        <v>1</v>
      </c>
      <c r="T142" t="n">
        <v>1</v>
      </c>
      <c r="U142" s="2" t="inlineStr">
        <is>
          <t>Plattsäv</t>
        </is>
      </c>
      <c r="V142">
        <f>HYPERLINK("https://klasma.github.io/Logging_0382/artfynd/A 30605-2025 artfynd.xlsx", "A 30605-2025")</f>
        <v/>
      </c>
      <c r="W142">
        <f>HYPERLINK("https://klasma.github.io/Logging_0382/kartor/A 30605-2025 karta.png", "A 30605-2025")</f>
        <v/>
      </c>
      <c r="Y142">
        <f>HYPERLINK("https://klasma.github.io/Logging_0382/klagomål/A 30605-2025 FSC-klagomål.docx", "A 30605-2025")</f>
        <v/>
      </c>
      <c r="Z142">
        <f>HYPERLINK("https://klasma.github.io/Logging_0382/klagomålsmail/A 30605-2025 FSC-klagomål mail.docx", "A 30605-2025")</f>
        <v/>
      </c>
      <c r="AA142">
        <f>HYPERLINK("https://klasma.github.io/Logging_0382/tillsyn/A 30605-2025 tillsynsbegäran.docx", "A 30605-2025")</f>
        <v/>
      </c>
      <c r="AB142">
        <f>HYPERLINK("https://klasma.github.io/Logging_0382/tillsynsmail/A 30605-2025 tillsynsbegäran mail.docx", "A 30605-2025")</f>
        <v/>
      </c>
    </row>
    <row r="143" ht="15" customHeight="1">
      <c r="A143" t="inlineStr">
        <is>
          <t>A 20396-2026</t>
        </is>
      </c>
      <c r="B143" t="inlineStr">
        <is>
          <t>avverkningsanmälan</t>
        </is>
      </c>
      <c r="C143" t="inlineStr">
        <is>
          <t>Föryngringsavverkning</t>
        </is>
      </c>
      <c r="D143" s="1" t="n">
        <v>46139</v>
      </c>
      <c r="E143" s="1" t="n">
        <v>46221</v>
      </c>
      <c r="F143" t="inlineStr">
        <is>
          <t>UPPSALA LÄN</t>
        </is>
      </c>
      <c r="G143" t="inlineStr">
        <is>
          <t>ÖSTHAMMAR</t>
        </is>
      </c>
      <c r="I143" t="n">
        <v>1.4</v>
      </c>
      <c r="J143" t="n">
        <v>1</v>
      </c>
      <c r="K143" t="n">
        <v>0</v>
      </c>
      <c r="L143" t="n">
        <v>1</v>
      </c>
      <c r="M143" t="n">
        <v>0</v>
      </c>
      <c r="N143" t="n">
        <v>0</v>
      </c>
      <c r="O143" t="n">
        <v>0</v>
      </c>
      <c r="P143" t="n">
        <v>0</v>
      </c>
      <c r="Q143" t="n">
        <v>1</v>
      </c>
      <c r="R143" t="n">
        <v>0</v>
      </c>
      <c r="S143" t="n">
        <v>1</v>
      </c>
      <c r="T143" t="n">
        <v>1</v>
      </c>
      <c r="U143" s="2" t="inlineStr">
        <is>
          <t>Bivråk</t>
        </is>
      </c>
      <c r="V143">
        <f>HYPERLINK("https://klasma.github.io/Logging_0382/artfynd/A 20396-2026 artfynd.xlsx", "A 20396-2026")</f>
        <v/>
      </c>
      <c r="W143">
        <f>HYPERLINK("https://klasma.github.io/Logging_0382/kartor/A 20396-2026 karta.png", "A 20396-2026")</f>
        <v/>
      </c>
      <c r="Y143">
        <f>HYPERLINK("https://klasma.github.io/Logging_0382/klagomål/A 20396-2026 FSC-klagomål.docx", "A 20396-2026")</f>
        <v/>
      </c>
      <c r="Z143">
        <f>HYPERLINK("https://klasma.github.io/Logging_0382/klagomålsmail/A 20396-2026 FSC-klagomål mail.docx", "A 20396-2026")</f>
        <v/>
      </c>
      <c r="AA143">
        <f>HYPERLINK("https://klasma.github.io/Logging_0382/tillsyn/A 20396-2026 tillsynsbegäran.docx", "A 20396-2026")</f>
        <v/>
      </c>
      <c r="AB143">
        <f>HYPERLINK("https://klasma.github.io/Logging_0382/tillsynsmail/A 20396-2026 tillsynsbegäran mail.docx", "A 20396-2026")</f>
        <v/>
      </c>
      <c r="AC143">
        <f>HYPERLINK("https://klasma.github.io/Logging_0382/fåglar/A 20396-2026 prioriterade fågelarter.docx", "A 20396-2026")</f>
        <v/>
      </c>
    </row>
    <row r="144" ht="15" customHeight="1">
      <c r="A144" t="inlineStr">
        <is>
          <t>A 10034-2023</t>
        </is>
      </c>
      <c r="B144" t="inlineStr">
        <is>
          <t>avverkningsanmälan</t>
        </is>
      </c>
      <c r="C144" t="inlineStr">
        <is>
          <t>Avverkning för annat ändamål</t>
        </is>
      </c>
      <c r="D144" s="1" t="n">
        <v>44985</v>
      </c>
      <c r="E144" s="1" t="n">
        <v>46221</v>
      </c>
      <c r="F144" t="inlineStr">
        <is>
          <t>UPPSALA LÄN</t>
        </is>
      </c>
      <c r="G144" t="inlineStr">
        <is>
          <t>ÖSTHAMMAR</t>
        </is>
      </c>
      <c r="I144" t="n">
        <v>2.1</v>
      </c>
      <c r="J144" t="n">
        <v>1</v>
      </c>
      <c r="K144" t="n">
        <v>0</v>
      </c>
      <c r="L144" t="n">
        <v>0</v>
      </c>
      <c r="M144" t="n">
        <v>0</v>
      </c>
      <c r="N144" t="n">
        <v>0</v>
      </c>
      <c r="O144" t="n">
        <v>0</v>
      </c>
      <c r="P144" t="n">
        <v>0</v>
      </c>
      <c r="Q144" t="n">
        <v>0</v>
      </c>
      <c r="R144" t="n">
        <v>0</v>
      </c>
      <c r="S144" t="n">
        <v>1</v>
      </c>
      <c r="T144" t="n">
        <v>1</v>
      </c>
      <c r="U144" s="2" t="inlineStr">
        <is>
          <t>Blåsippa</t>
        </is>
      </c>
      <c r="V144">
        <f>HYPERLINK("https://klasma.github.io/Logging_0382/artfynd/A 10034-2023 artfynd.xlsx", "A 10034-2023")</f>
        <v/>
      </c>
      <c r="W144">
        <f>HYPERLINK("https://klasma.github.io/Logging_0382/kartor/A 10034-2023 karta.png", "A 10034-2023")</f>
        <v/>
      </c>
      <c r="Y144">
        <f>HYPERLINK("https://klasma.github.io/Logging_0382/klagomål/A 10034-2023 FSC-klagomål.docx", "A 10034-2023")</f>
        <v/>
      </c>
      <c r="Z144">
        <f>HYPERLINK("https://klasma.github.io/Logging_0382/klagomålsmail/A 10034-2023 FSC-klagomål mail.docx", "A 10034-2023")</f>
        <v/>
      </c>
      <c r="AA144">
        <f>HYPERLINK("https://klasma.github.io/Logging_0382/tillsyn/A 10034-2023 tillsynsbegäran.docx", "A 10034-2023")</f>
        <v/>
      </c>
      <c r="AB144">
        <f>HYPERLINK("https://klasma.github.io/Logging_0382/tillsynsmail/A 10034-2023 tillsynsbegäran mail.docx", "A 10034-2023")</f>
        <v/>
      </c>
    </row>
    <row r="145" ht="15" customHeight="1">
      <c r="A145" t="inlineStr">
        <is>
          <t>A 34090-2023</t>
        </is>
      </c>
      <c r="B145" t="inlineStr">
        <is>
          <t>avverkningsanmälan</t>
        </is>
      </c>
      <c r="C145" t="inlineStr">
        <is>
          <t>Föryngringsavverkning</t>
        </is>
      </c>
      <c r="D145" s="1" t="n">
        <v>45135</v>
      </c>
      <c r="E145" s="1" t="n">
        <v>46221</v>
      </c>
      <c r="F145" t="inlineStr">
        <is>
          <t>UPPSALA LÄN</t>
        </is>
      </c>
      <c r="G145" t="inlineStr">
        <is>
          <t>ÖSTHAMMAR</t>
        </is>
      </c>
      <c r="H145" t="inlineStr">
        <is>
          <t>Bergvik skog öst AB</t>
        </is>
      </c>
      <c r="I145" t="n">
        <v>5.7</v>
      </c>
      <c r="J145" t="n">
        <v>1</v>
      </c>
      <c r="K145" t="n">
        <v>0</v>
      </c>
      <c r="L145" t="n">
        <v>0</v>
      </c>
      <c r="M145" t="n">
        <v>0</v>
      </c>
      <c r="N145" t="n">
        <v>0</v>
      </c>
      <c r="O145" t="n">
        <v>0</v>
      </c>
      <c r="P145" t="n">
        <v>0</v>
      </c>
      <c r="Q145" t="n">
        <v>0</v>
      </c>
      <c r="R145" t="n">
        <v>0</v>
      </c>
      <c r="S145" t="n">
        <v>1</v>
      </c>
      <c r="T145" t="n">
        <v>1</v>
      </c>
      <c r="U145" s="2" t="inlineStr">
        <is>
          <t>Spillkråka</t>
        </is>
      </c>
      <c r="V145">
        <f>HYPERLINK("https://klasma.github.io/Logging_0382/artfynd/A 34090-2023 artfynd.xlsx", "A 34090-2023")</f>
        <v/>
      </c>
      <c r="W145">
        <f>HYPERLINK("https://klasma.github.io/Logging_0382/kartor/A 34090-2023 karta.png", "A 34090-2023")</f>
        <v/>
      </c>
      <c r="Y145">
        <f>HYPERLINK("https://klasma.github.io/Logging_0382/klagomål/A 34090-2023 FSC-klagomål.docx", "A 34090-2023")</f>
        <v/>
      </c>
      <c r="Z145">
        <f>HYPERLINK("https://klasma.github.io/Logging_0382/klagomålsmail/A 34090-2023 FSC-klagomål mail.docx", "A 34090-2023")</f>
        <v/>
      </c>
      <c r="AA145">
        <f>HYPERLINK("https://klasma.github.io/Logging_0382/tillsyn/A 34090-2023 tillsynsbegäran.docx", "A 34090-2023")</f>
        <v/>
      </c>
      <c r="AB145">
        <f>HYPERLINK("https://klasma.github.io/Logging_0382/tillsynsmail/A 34090-2023 tillsynsbegäran mail.docx", "A 34090-2023")</f>
        <v/>
      </c>
      <c r="AC145">
        <f>HYPERLINK("https://klasma.github.io/Logging_0382/fåglar/A 34090-2023 prioriterade fågelarter.docx", "A 34090-2023")</f>
        <v/>
      </c>
    </row>
    <row r="146" ht="15" customHeight="1">
      <c r="A146" t="inlineStr">
        <is>
          <t>A 22409-2026</t>
        </is>
      </c>
      <c r="B146" t="inlineStr">
        <is>
          <t>avverkningsanmälan</t>
        </is>
      </c>
      <c r="C146" t="inlineStr">
        <is>
          <t>Föryngringsavverkning</t>
        </is>
      </c>
      <c r="D146" s="1" t="n">
        <v>46154</v>
      </c>
      <c r="E146" s="1" t="n">
        <v>46221</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s="2" t="inlineStr">
        <is>
          <t>Backklöver</t>
        </is>
      </c>
      <c r="V146">
        <f>HYPERLINK("https://klasma.github.io/Logging_0382/artfynd/A 22409-2026 artfynd.xlsx", "A 22409-2026")</f>
        <v/>
      </c>
      <c r="W146">
        <f>HYPERLINK("https://klasma.github.io/Logging_0382/kartor/A 22409-2026 karta.png", "A 22409-2026")</f>
        <v/>
      </c>
      <c r="Y146">
        <f>HYPERLINK("https://klasma.github.io/Logging_0382/klagomål/A 22409-2026 FSC-klagomål.docx", "A 22409-2026")</f>
        <v/>
      </c>
      <c r="Z146">
        <f>HYPERLINK("https://klasma.github.io/Logging_0382/klagomålsmail/A 22409-2026 FSC-klagomål mail.docx", "A 22409-2026")</f>
        <v/>
      </c>
      <c r="AA146">
        <f>HYPERLINK("https://klasma.github.io/Logging_0382/tillsyn/A 22409-2026 tillsynsbegäran.docx", "A 22409-2026")</f>
        <v/>
      </c>
      <c r="AB146">
        <f>HYPERLINK("https://klasma.github.io/Logging_0382/tillsynsmail/A 22409-2026 tillsynsbegäran mail.docx", "A 22409-2026")</f>
        <v/>
      </c>
    </row>
    <row r="147" ht="15" customHeight="1">
      <c r="A147" t="inlineStr">
        <is>
          <t>A 28024-2026</t>
        </is>
      </c>
      <c r="B147" t="inlineStr">
        <is>
          <t>avverkningsanmälan</t>
        </is>
      </c>
      <c r="C147" t="inlineStr">
        <is>
          <t>Föryngringsavverkning</t>
        </is>
      </c>
      <c r="D147" s="1" t="n">
        <v>46195</v>
      </c>
      <c r="E147" s="1" t="n">
        <v>46221</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s="2" t="inlineStr">
        <is>
          <t>Tjäder</t>
        </is>
      </c>
      <c r="V147">
        <f>HYPERLINK("https://klasma.github.io/Logging_0382/artfynd/A 28024-2026 artfynd.xlsx", "A 28024-2026")</f>
        <v/>
      </c>
      <c r="W147">
        <f>HYPERLINK("https://klasma.github.io/Logging_0382/kartor/A 28024-2026 karta.png", "A 28024-2026")</f>
        <v/>
      </c>
      <c r="Y147">
        <f>HYPERLINK("https://klasma.github.io/Logging_0382/klagomål/A 28024-2026 FSC-klagomål.docx", "A 28024-2026")</f>
        <v/>
      </c>
      <c r="Z147">
        <f>HYPERLINK("https://klasma.github.io/Logging_0382/klagomålsmail/A 28024-2026 FSC-klagomål mail.docx", "A 28024-2026")</f>
        <v/>
      </c>
      <c r="AA147">
        <f>HYPERLINK("https://klasma.github.io/Logging_0382/tillsyn/A 28024-2026 tillsynsbegäran.docx", "A 28024-2026")</f>
        <v/>
      </c>
      <c r="AB147">
        <f>HYPERLINK("https://klasma.github.io/Logging_0382/tillsynsmail/A 28024-2026 tillsynsbegäran mail.docx", "A 28024-2026")</f>
        <v/>
      </c>
      <c r="AC147">
        <f>HYPERLINK("https://klasma.github.io/Logging_0382/fåglar/A 28024-2026 prioriterade fågelarter.docx", "A 28024-2026")</f>
        <v/>
      </c>
    </row>
    <row r="148" ht="15" customHeight="1">
      <c r="A148" t="inlineStr">
        <is>
          <t>A 9052-2023</t>
        </is>
      </c>
      <c r="B148" t="inlineStr">
        <is>
          <t>avverkningsanmälan</t>
        </is>
      </c>
      <c r="C148" t="inlineStr">
        <is>
          <t>Avverkning för annat ändamål</t>
        </is>
      </c>
      <c r="D148" s="1" t="n">
        <v>44979</v>
      </c>
      <c r="E148" s="1" t="n">
        <v>46221</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s="2" t="inlineStr">
        <is>
          <t>Slåtterfibbla</t>
        </is>
      </c>
      <c r="V148">
        <f>HYPERLINK("https://klasma.github.io/Logging_0382/artfynd/A 9052-2023 artfynd.xlsx", "A 9052-2023")</f>
        <v/>
      </c>
      <c r="W148">
        <f>HYPERLINK("https://klasma.github.io/Logging_0382/kartor/A 9052-2023 karta.png", "A 9052-2023")</f>
        <v/>
      </c>
      <c r="Y148">
        <f>HYPERLINK("https://klasma.github.io/Logging_0382/klagomål/A 9052-2023 FSC-klagomål.docx", "A 9052-2023")</f>
        <v/>
      </c>
      <c r="Z148">
        <f>HYPERLINK("https://klasma.github.io/Logging_0382/klagomålsmail/A 9052-2023 FSC-klagomål mail.docx", "A 9052-2023")</f>
        <v/>
      </c>
      <c r="AA148">
        <f>HYPERLINK("https://klasma.github.io/Logging_0382/tillsyn/A 9052-2023 tillsynsbegäran.docx", "A 9052-2023")</f>
        <v/>
      </c>
      <c r="AB148">
        <f>HYPERLINK("https://klasma.github.io/Logging_0382/tillsynsmail/A 9052-2023 tillsynsbegäran mail.docx", "A 9052-2023")</f>
        <v/>
      </c>
    </row>
    <row r="149" ht="15" customHeight="1">
      <c r="A149" t="inlineStr">
        <is>
          <t>A 13755-2023</t>
        </is>
      </c>
      <c r="B149" t="inlineStr">
        <is>
          <t>avverkningsanmälan</t>
        </is>
      </c>
      <c r="C149" t="inlineStr">
        <is>
          <t>Föryngringsavverkning</t>
        </is>
      </c>
      <c r="D149" s="1" t="n">
        <v>45007</v>
      </c>
      <c r="E149" s="1" t="n">
        <v>46221</v>
      </c>
      <c r="F149" t="inlineStr">
        <is>
          <t>UPPSALA LÄN</t>
        </is>
      </c>
      <c r="G149" t="inlineStr">
        <is>
          <t>ÖSTHAMMAR</t>
        </is>
      </c>
      <c r="I149" t="n">
        <v>2.4</v>
      </c>
      <c r="J149" t="n">
        <v>1</v>
      </c>
      <c r="K149" t="n">
        <v>1</v>
      </c>
      <c r="L149" t="n">
        <v>0</v>
      </c>
      <c r="M149" t="n">
        <v>0</v>
      </c>
      <c r="N149" t="n">
        <v>0</v>
      </c>
      <c r="O149" t="n">
        <v>0</v>
      </c>
      <c r="P149" t="n">
        <v>0</v>
      </c>
      <c r="Q149" t="n">
        <v>0</v>
      </c>
      <c r="R149" t="n">
        <v>0</v>
      </c>
      <c r="S149" t="n">
        <v>1</v>
      </c>
      <c r="T149" t="n">
        <v>2</v>
      </c>
      <c r="U149" s="2" t="inlineStr">
        <is>
          <t>Guckusko</t>
        </is>
      </c>
      <c r="V149">
        <f>HYPERLINK("https://klasma.github.io/Logging_0382/artfynd/A 13755-2023 artfynd.xlsx", "A 13755-2023")</f>
        <v/>
      </c>
      <c r="W149">
        <f>HYPERLINK("https://klasma.github.io/Logging_0382/kartor/A 13755-2023 karta.png", "A 13755-2023")</f>
        <v/>
      </c>
      <c r="Y149">
        <f>HYPERLINK("https://klasma.github.io/Logging_0382/klagomål/A 13755-2023 FSC-klagomål.docx", "A 13755-2023")</f>
        <v/>
      </c>
      <c r="Z149">
        <f>HYPERLINK("https://klasma.github.io/Logging_0382/klagomålsmail/A 13755-2023 FSC-klagomål mail.docx", "A 13755-2023")</f>
        <v/>
      </c>
      <c r="AA149">
        <f>HYPERLINK("https://klasma.github.io/Logging_0382/tillsyn/A 13755-2023 tillsynsbegäran.docx", "A 13755-2023")</f>
        <v/>
      </c>
      <c r="AB149">
        <f>HYPERLINK("https://klasma.github.io/Logging_0382/tillsynsmail/A 13755-2023 tillsynsbegäran mail.docx", "A 13755-2023")</f>
        <v/>
      </c>
    </row>
    <row r="150" ht="15" customHeight="1">
      <c r="A150" t="inlineStr">
        <is>
          <t>A 28046-2026</t>
        </is>
      </c>
      <c r="B150" t="inlineStr">
        <is>
          <t>avverkningsanmälan</t>
        </is>
      </c>
      <c r="C150" t="inlineStr">
        <is>
          <t>Föryngringsavverkning</t>
        </is>
      </c>
      <c r="D150" s="1" t="n">
        <v>46195</v>
      </c>
      <c r="E150" s="1" t="n">
        <v>46221</v>
      </c>
      <c r="F150" t="inlineStr">
        <is>
          <t>UPPSALA LÄN</t>
        </is>
      </c>
      <c r="G150" t="inlineStr">
        <is>
          <t>ÖSTHAMMAR</t>
        </is>
      </c>
      <c r="H150" t="inlineStr">
        <is>
          <t>Övriga Aktiebolag</t>
        </is>
      </c>
      <c r="I150" t="n">
        <v>21.2</v>
      </c>
      <c r="J150" t="n">
        <v>1</v>
      </c>
      <c r="K150" t="n">
        <v>0</v>
      </c>
      <c r="L150" t="n">
        <v>0</v>
      </c>
      <c r="M150" t="n">
        <v>1</v>
      </c>
      <c r="N150" t="n">
        <v>0</v>
      </c>
      <c r="O150" t="n">
        <v>0</v>
      </c>
      <c r="P150" t="n">
        <v>0</v>
      </c>
      <c r="Q150" t="n">
        <v>1</v>
      </c>
      <c r="R150" t="n">
        <v>1</v>
      </c>
      <c r="S150" t="n">
        <v>1</v>
      </c>
      <c r="T150" t="n">
        <v>1</v>
      </c>
      <c r="U150" s="2" t="inlineStr">
        <is>
          <t>Hällebräcka</t>
        </is>
      </c>
      <c r="V150">
        <f>HYPERLINK("https://klasma.github.io/Logging_0382/artfynd/A 28046-2026 artfynd.xlsx", "A 28046-2026")</f>
        <v/>
      </c>
      <c r="W150">
        <f>HYPERLINK("https://klasma.github.io/Logging_0382/kartor/A 28046-2026 karta.png", "A 28046-2026")</f>
        <v/>
      </c>
      <c r="Y150">
        <f>HYPERLINK("https://klasma.github.io/Logging_0382/klagomål/A 28046-2026 FSC-klagomål.docx", "A 28046-2026")</f>
        <v/>
      </c>
      <c r="Z150">
        <f>HYPERLINK("https://klasma.github.io/Logging_0382/klagomålsmail/A 28046-2026 FSC-klagomål mail.docx", "A 28046-2026")</f>
        <v/>
      </c>
      <c r="AA150">
        <f>HYPERLINK("https://klasma.github.io/Logging_0382/tillsyn/A 28046-2026 tillsynsbegäran.docx", "A 28046-2026")</f>
        <v/>
      </c>
      <c r="AB150">
        <f>HYPERLINK("https://klasma.github.io/Logging_0382/tillsynsmail/A 28046-2026 tillsynsbegäran mail.docx", "A 28046-2026")</f>
        <v/>
      </c>
    </row>
    <row r="151" ht="15" customHeight="1">
      <c r="A151" t="inlineStr">
        <is>
          <t>A 61257-2022</t>
        </is>
      </c>
      <c r="B151" t="inlineStr">
        <is>
          <t>avverkningsanmälan</t>
        </is>
      </c>
      <c r="C151" t="inlineStr">
        <is>
          <t>Föryngringsavverkning</t>
        </is>
      </c>
      <c r="D151" s="1" t="n">
        <v>44915</v>
      </c>
      <c r="E151" s="1" t="n">
        <v>46221</v>
      </c>
      <c r="F151" t="inlineStr">
        <is>
          <t>UPPSALA LÄN</t>
        </is>
      </c>
      <c r="G151" t="inlineStr">
        <is>
          <t>ÖSTHAMMAR</t>
        </is>
      </c>
      <c r="I151" t="n">
        <v>1</v>
      </c>
      <c r="J151" t="n">
        <v>1</v>
      </c>
      <c r="K151" t="n">
        <v>0</v>
      </c>
      <c r="L151" t="n">
        <v>0</v>
      </c>
      <c r="M151" t="n">
        <v>1</v>
      </c>
      <c r="N151" t="n">
        <v>0</v>
      </c>
      <c r="O151" t="n">
        <v>0</v>
      </c>
      <c r="P151" t="n">
        <v>0</v>
      </c>
      <c r="Q151" t="n">
        <v>1</v>
      </c>
      <c r="R151" t="n">
        <v>1</v>
      </c>
      <c r="S151" t="n">
        <v>1</v>
      </c>
      <c r="T151" t="n">
        <v>1</v>
      </c>
      <c r="U151" s="2" t="inlineStr">
        <is>
          <t>Hällebräcka</t>
        </is>
      </c>
      <c r="V151">
        <f>HYPERLINK("https://klasma.github.io/Logging_0382/artfynd/A 61257-2022 artfynd.xlsx", "A 61257-2022")</f>
        <v/>
      </c>
      <c r="W151">
        <f>HYPERLINK("https://klasma.github.io/Logging_0382/kartor/A 61257-2022 karta.png", "A 61257-2022")</f>
        <v/>
      </c>
      <c r="Y151">
        <f>HYPERLINK("https://klasma.github.io/Logging_0382/klagomål/A 61257-2022 FSC-klagomål.docx", "A 61257-2022")</f>
        <v/>
      </c>
      <c r="Z151">
        <f>HYPERLINK("https://klasma.github.io/Logging_0382/klagomålsmail/A 61257-2022 FSC-klagomål mail.docx", "A 61257-2022")</f>
        <v/>
      </c>
      <c r="AA151">
        <f>HYPERLINK("https://klasma.github.io/Logging_0382/tillsyn/A 61257-2022 tillsynsbegäran.docx", "A 61257-2022")</f>
        <v/>
      </c>
      <c r="AB151">
        <f>HYPERLINK("https://klasma.github.io/Logging_0382/tillsynsmail/A 61257-2022 tillsynsbegäran mail.docx", "A 61257-2022")</f>
        <v/>
      </c>
    </row>
    <row r="152" ht="15" customHeight="1">
      <c r="A152" t="inlineStr">
        <is>
          <t>A 14706-2023</t>
        </is>
      </c>
      <c r="B152" t="inlineStr">
        <is>
          <t>avverkningsanmälan</t>
        </is>
      </c>
      <c r="C152" t="inlineStr">
        <is>
          <t>Föryngringsavverkning</t>
        </is>
      </c>
      <c r="D152" s="1" t="n">
        <v>45013</v>
      </c>
      <c r="E152" s="1" t="n">
        <v>46221</v>
      </c>
      <c r="F152" t="inlineStr">
        <is>
          <t>UPPSALA LÄN</t>
        </is>
      </c>
      <c r="G152" t="inlineStr">
        <is>
          <t>ÖSTHAMMAR</t>
        </is>
      </c>
      <c r="I152" t="n">
        <v>0.9</v>
      </c>
      <c r="J152" t="n">
        <v>0</v>
      </c>
      <c r="K152" t="n">
        <v>1</v>
      </c>
      <c r="L152" t="n">
        <v>0</v>
      </c>
      <c r="M152" t="n">
        <v>0</v>
      </c>
      <c r="N152" t="n">
        <v>0</v>
      </c>
      <c r="O152" t="n">
        <v>0</v>
      </c>
      <c r="P152" t="n">
        <v>0</v>
      </c>
      <c r="Q152" t="n">
        <v>0</v>
      </c>
      <c r="R152" t="n">
        <v>0</v>
      </c>
      <c r="S152" t="n">
        <v>1</v>
      </c>
      <c r="T152" t="n">
        <v>1</v>
      </c>
      <c r="U152" s="2" t="inlineStr">
        <is>
          <t>Olivspindling</t>
        </is>
      </c>
      <c r="V152">
        <f>HYPERLINK("https://klasma.github.io/Logging_0382/artfynd/A 14706-2023 artfynd.xlsx", "A 14706-2023")</f>
        <v/>
      </c>
      <c r="W152">
        <f>HYPERLINK("https://klasma.github.io/Logging_0382/kartor/A 14706-2023 karta.png", "A 14706-2023")</f>
        <v/>
      </c>
      <c r="Y152">
        <f>HYPERLINK("https://klasma.github.io/Logging_0382/klagomål/A 14706-2023 FSC-klagomål.docx", "A 14706-2023")</f>
        <v/>
      </c>
      <c r="Z152">
        <f>HYPERLINK("https://klasma.github.io/Logging_0382/klagomålsmail/A 14706-2023 FSC-klagomål mail.docx", "A 14706-2023")</f>
        <v/>
      </c>
      <c r="AA152">
        <f>HYPERLINK("https://klasma.github.io/Logging_0382/tillsyn/A 14706-2023 tillsynsbegäran.docx", "A 14706-2023")</f>
        <v/>
      </c>
      <c r="AB152">
        <f>HYPERLINK("https://klasma.github.io/Logging_0382/tillsynsmail/A 14706-2023 tillsynsbegäran mail.docx", "A 14706-2023")</f>
        <v/>
      </c>
    </row>
    <row r="153" ht="15" customHeight="1">
      <c r="A153" t="inlineStr">
        <is>
          <t>A 30703-2026</t>
        </is>
      </c>
      <c r="B153" t="inlineStr">
        <is>
          <t>avverkningsanmälan</t>
        </is>
      </c>
      <c r="C153" t="inlineStr">
        <is>
          <t>Föryngringsavverkning</t>
        </is>
      </c>
      <c r="D153" s="1" t="n">
        <v>46211</v>
      </c>
      <c r="E153" s="1" t="n">
        <v>46221</v>
      </c>
      <c r="F153" t="inlineStr">
        <is>
          <t>UPPSALA LÄN</t>
        </is>
      </c>
      <c r="G153" t="inlineStr">
        <is>
          <t>ÖSTHAMMAR</t>
        </is>
      </c>
      <c r="H153" t="inlineStr">
        <is>
          <t>Bergvik skog öst AB</t>
        </is>
      </c>
      <c r="I153" t="n">
        <v>0.9</v>
      </c>
      <c r="J153" t="n">
        <v>1</v>
      </c>
      <c r="K153" t="n">
        <v>1</v>
      </c>
      <c r="L153" t="n">
        <v>0</v>
      </c>
      <c r="M153" t="n">
        <v>0</v>
      </c>
      <c r="N153" t="n">
        <v>0</v>
      </c>
      <c r="O153" t="n">
        <v>0</v>
      </c>
      <c r="P153" t="n">
        <v>0</v>
      </c>
      <c r="Q153" t="n">
        <v>0</v>
      </c>
      <c r="R153" t="n">
        <v>0</v>
      </c>
      <c r="S153" t="n">
        <v>1</v>
      </c>
      <c r="T153" t="n">
        <v>1</v>
      </c>
      <c r="U153" s="2" t="inlineStr">
        <is>
          <t>Skogsknipprot</t>
        </is>
      </c>
      <c r="V153">
        <f>HYPERLINK("https://klasma.github.io/Logging_0382/artfynd/A 30703-2026 artfynd.xlsx", "A 30703-2026")</f>
        <v/>
      </c>
      <c r="W153">
        <f>HYPERLINK("https://klasma.github.io/Logging_0382/kartor/A 30703-2026 karta.png", "A 30703-2026")</f>
        <v/>
      </c>
      <c r="Y153">
        <f>HYPERLINK("https://klasma.github.io/Logging_0382/klagomål/A 30703-2026 FSC-klagomål.docx", "A 30703-2026")</f>
        <v/>
      </c>
      <c r="Z153">
        <f>HYPERLINK("https://klasma.github.io/Logging_0382/klagomålsmail/A 30703-2026 FSC-klagomål mail.docx", "A 30703-2026")</f>
        <v/>
      </c>
      <c r="AA153">
        <f>HYPERLINK("https://klasma.github.io/Logging_0382/tillsyn/A 30703-2026 tillsynsbegäran.docx", "A 30703-2026")</f>
        <v/>
      </c>
      <c r="AB153">
        <f>HYPERLINK("https://klasma.github.io/Logging_0382/tillsynsmail/A 30703-2026 tillsynsbegäran mail.docx", "A 30703-2026")</f>
        <v/>
      </c>
    </row>
    <row r="154" ht="15" customHeight="1">
      <c r="A154" t="inlineStr">
        <is>
          <t>A 61574-2025</t>
        </is>
      </c>
      <c r="B154" t="inlineStr">
        <is>
          <t>avverkningsanmälan</t>
        </is>
      </c>
      <c r="C154" t="inlineStr">
        <is>
          <t>Föryngringsavverkning</t>
        </is>
      </c>
      <c r="D154" s="1" t="n">
        <v>46002</v>
      </c>
      <c r="E154" s="1" t="n">
        <v>46221</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s="2" t="inlineStr">
        <is>
          <t>Hällebräcka</t>
        </is>
      </c>
      <c r="V154">
        <f>HYPERLINK("https://klasma.github.io/Logging_0382/artfynd/A 61574-2025 artfynd.xlsx", "A 61574-2025")</f>
        <v/>
      </c>
      <c r="W154">
        <f>HYPERLINK("https://klasma.github.io/Logging_0382/kartor/A 61574-2025 karta.png", "A 61574-2025")</f>
        <v/>
      </c>
      <c r="Y154">
        <f>HYPERLINK("https://klasma.github.io/Logging_0382/klagomål/A 61574-2025 FSC-klagomål.docx", "A 61574-2025")</f>
        <v/>
      </c>
      <c r="Z154">
        <f>HYPERLINK("https://klasma.github.io/Logging_0382/klagomålsmail/A 61574-2025 FSC-klagomål mail.docx", "A 61574-2025")</f>
        <v/>
      </c>
      <c r="AA154">
        <f>HYPERLINK("https://klasma.github.io/Logging_0382/tillsyn/A 61574-2025 tillsynsbegäran.docx", "A 61574-2025")</f>
        <v/>
      </c>
      <c r="AB154">
        <f>HYPERLINK("https://klasma.github.io/Logging_0382/tillsynsmail/A 61574-2025 tillsynsbegäran mail.docx", "A 61574-2025")</f>
        <v/>
      </c>
    </row>
    <row r="155" ht="15" customHeight="1">
      <c r="A155" t="inlineStr">
        <is>
          <t>A 6046-2025</t>
        </is>
      </c>
      <c r="B155" t="inlineStr">
        <is>
          <t>avverkningsanmälan</t>
        </is>
      </c>
      <c r="C155" t="inlineStr">
        <is>
          <t>Föryngringsavverkning</t>
        </is>
      </c>
      <c r="D155" s="1" t="n">
        <v>45695</v>
      </c>
      <c r="E155" s="1" t="n">
        <v>46221</v>
      </c>
      <c r="F155" t="inlineStr">
        <is>
          <t>UPPSALA LÄN</t>
        </is>
      </c>
      <c r="G155" t="inlineStr">
        <is>
          <t>ÖSTHAMMAR</t>
        </is>
      </c>
      <c r="I155" t="n">
        <v>0.8</v>
      </c>
      <c r="J155" t="n">
        <v>1</v>
      </c>
      <c r="K155" t="n">
        <v>0</v>
      </c>
      <c r="L155" t="n">
        <v>0</v>
      </c>
      <c r="M155" t="n">
        <v>1</v>
      </c>
      <c r="N155" t="n">
        <v>0</v>
      </c>
      <c r="O155" t="n">
        <v>0</v>
      </c>
      <c r="P155" t="n">
        <v>0</v>
      </c>
      <c r="Q155" t="n">
        <v>1</v>
      </c>
      <c r="R155" t="n">
        <v>1</v>
      </c>
      <c r="S155" t="n">
        <v>1</v>
      </c>
      <c r="T155" t="n">
        <v>2</v>
      </c>
      <c r="U155" s="2" t="inlineStr">
        <is>
          <t>Knärot</t>
        </is>
      </c>
      <c r="V155">
        <f>HYPERLINK("https://klasma.github.io/Logging_0382/artfynd/A 6046-2025 artfynd.xlsx", "A 6046-2025")</f>
        <v/>
      </c>
      <c r="W155">
        <f>HYPERLINK("https://klasma.github.io/Logging_0382/kartor/A 6046-2025 karta.png", "A 6046-2025")</f>
        <v/>
      </c>
      <c r="X155">
        <f>HYPERLINK("https://klasma.github.io/Logging_0382/knärot/A 6046-2025 karta knärot.png", "A 6046-2025")</f>
        <v/>
      </c>
      <c r="Y155">
        <f>HYPERLINK("https://klasma.github.io/Logging_0382/klagomål/A 6046-2025 FSC-klagomål.docx", "A 6046-2025")</f>
        <v/>
      </c>
      <c r="Z155">
        <f>HYPERLINK("https://klasma.github.io/Logging_0382/klagomålsmail/A 6046-2025 FSC-klagomål mail.docx", "A 6046-2025")</f>
        <v/>
      </c>
      <c r="AA155">
        <f>HYPERLINK("https://klasma.github.io/Logging_0382/tillsyn/A 6046-2025 tillsynsbegäran.docx", "A 6046-2025")</f>
        <v/>
      </c>
      <c r="AB155">
        <f>HYPERLINK("https://klasma.github.io/Logging_0382/tillsynsmail/A 6046-2025 tillsynsbegäran mail.docx", "A 6046-2025")</f>
        <v/>
      </c>
    </row>
    <row r="156" ht="15" customHeight="1">
      <c r="A156" t="inlineStr">
        <is>
          <t>A 58270-2023</t>
        </is>
      </c>
      <c r="B156" t="inlineStr">
        <is>
          <t>avverkningsanmälan</t>
        </is>
      </c>
      <c r="C156" t="inlineStr">
        <is>
          <t>Föryngringsavverkning</t>
        </is>
      </c>
      <c r="D156" s="1" t="n">
        <v>45250</v>
      </c>
      <c r="E156" s="1" t="n">
        <v>46221</v>
      </c>
      <c r="F156" t="inlineStr">
        <is>
          <t>UPPSALA LÄN</t>
        </is>
      </c>
      <c r="G156" t="inlineStr">
        <is>
          <t>ÖSTHAMMAR</t>
        </is>
      </c>
      <c r="I156" t="n">
        <v>1.3</v>
      </c>
      <c r="J156" t="n">
        <v>1</v>
      </c>
      <c r="K156" t="n">
        <v>0</v>
      </c>
      <c r="L156" t="n">
        <v>0</v>
      </c>
      <c r="M156" t="n">
        <v>0</v>
      </c>
      <c r="N156" t="n">
        <v>0</v>
      </c>
      <c r="O156" t="n">
        <v>0</v>
      </c>
      <c r="P156" t="n">
        <v>0</v>
      </c>
      <c r="Q156" t="n">
        <v>0</v>
      </c>
      <c r="R156" t="n">
        <v>0</v>
      </c>
      <c r="S156" t="n">
        <v>1</v>
      </c>
      <c r="T156" t="n">
        <v>1</v>
      </c>
      <c r="U156" s="2" t="inlineStr">
        <is>
          <t>Gullviva</t>
        </is>
      </c>
      <c r="V156">
        <f>HYPERLINK("https://klasma.github.io/Logging_0382/artfynd/A 58270-2023 artfynd.xlsx", "A 58270-2023")</f>
        <v/>
      </c>
      <c r="W156">
        <f>HYPERLINK("https://klasma.github.io/Logging_0382/kartor/A 58270-2023 karta.png", "A 58270-2023")</f>
        <v/>
      </c>
      <c r="Y156">
        <f>HYPERLINK("https://klasma.github.io/Logging_0382/klagomål/A 58270-2023 FSC-klagomål.docx", "A 58270-2023")</f>
        <v/>
      </c>
      <c r="Z156">
        <f>HYPERLINK("https://klasma.github.io/Logging_0382/klagomålsmail/A 58270-2023 FSC-klagomål mail.docx", "A 58270-2023")</f>
        <v/>
      </c>
      <c r="AA156">
        <f>HYPERLINK("https://klasma.github.io/Logging_0382/tillsyn/A 58270-2023 tillsynsbegäran.docx", "A 58270-2023")</f>
        <v/>
      </c>
      <c r="AB156">
        <f>HYPERLINK("https://klasma.github.io/Logging_0382/tillsynsmail/A 58270-2023 tillsynsbegäran mail.docx", "A 58270-2023")</f>
        <v/>
      </c>
    </row>
    <row r="157" ht="15" customHeight="1">
      <c r="A157" t="inlineStr">
        <is>
          <t>A 30700-2026</t>
        </is>
      </c>
      <c r="B157" t="inlineStr">
        <is>
          <t>avverkningsanmälan</t>
        </is>
      </c>
      <c r="C157" t="inlineStr">
        <is>
          <t>Föryngringsavverkning</t>
        </is>
      </c>
      <c r="D157" s="1" t="n">
        <v>46211</v>
      </c>
      <c r="E157" s="1" t="n">
        <v>46221</v>
      </c>
      <c r="F157" t="inlineStr">
        <is>
          <t>UPPSALA LÄN</t>
        </is>
      </c>
      <c r="G157" t="inlineStr">
        <is>
          <t>ÖSTHAMMAR</t>
        </is>
      </c>
      <c r="H157" t="inlineStr">
        <is>
          <t>Bergvik skog öst AB</t>
        </is>
      </c>
      <c r="I157" t="n">
        <v>0.8</v>
      </c>
      <c r="J157" t="n">
        <v>1</v>
      </c>
      <c r="K157" t="n">
        <v>1</v>
      </c>
      <c r="L157" t="n">
        <v>0</v>
      </c>
      <c r="M157" t="n">
        <v>0</v>
      </c>
      <c r="N157" t="n">
        <v>0</v>
      </c>
      <c r="O157" t="n">
        <v>0</v>
      </c>
      <c r="P157" t="n">
        <v>0</v>
      </c>
      <c r="Q157" t="n">
        <v>0</v>
      </c>
      <c r="R157" t="n">
        <v>0</v>
      </c>
      <c r="S157" t="n">
        <v>1</v>
      </c>
      <c r="T157" t="n">
        <v>1</v>
      </c>
      <c r="U157" s="2" t="inlineStr">
        <is>
          <t>Skogsknipprot</t>
        </is>
      </c>
      <c r="V157">
        <f>HYPERLINK("https://klasma.github.io/Logging_0382/artfynd/A 30700-2026 artfynd.xlsx", "A 30700-2026")</f>
        <v/>
      </c>
      <c r="W157">
        <f>HYPERLINK("https://klasma.github.io/Logging_0382/kartor/A 30700-2026 karta.png", "A 30700-2026")</f>
        <v/>
      </c>
      <c r="Y157">
        <f>HYPERLINK("https://klasma.github.io/Logging_0382/klagomål/A 30700-2026 FSC-klagomål.docx", "A 30700-2026")</f>
        <v/>
      </c>
      <c r="Z157">
        <f>HYPERLINK("https://klasma.github.io/Logging_0382/klagomålsmail/A 30700-2026 FSC-klagomål mail.docx", "A 30700-2026")</f>
        <v/>
      </c>
      <c r="AA157">
        <f>HYPERLINK("https://klasma.github.io/Logging_0382/tillsyn/A 30700-2026 tillsynsbegäran.docx", "A 30700-2026")</f>
        <v/>
      </c>
      <c r="AB157">
        <f>HYPERLINK("https://klasma.github.io/Logging_0382/tillsynsmail/A 30700-2026 tillsynsbegäran mail.docx", "A 30700-2026")</f>
        <v/>
      </c>
    </row>
    <row r="158" ht="15" customHeight="1">
      <c r="A158" t="inlineStr">
        <is>
          <t>A 24033-2023</t>
        </is>
      </c>
      <c r="B158" t="inlineStr">
        <is>
          <t>avverkningsanmälan</t>
        </is>
      </c>
      <c r="C158" t="inlineStr">
        <is>
          <t>Föryngringsavverkning</t>
        </is>
      </c>
      <c r="D158" s="1" t="n">
        <v>45078</v>
      </c>
      <c r="E158" s="1" t="n">
        <v>46221</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s="2" t="inlineStr">
        <is>
          <t>Vattenfladdermus</t>
        </is>
      </c>
      <c r="V158">
        <f>HYPERLINK("https://klasma.github.io/Logging_0382/artfynd/A 24033-2023 artfynd.xlsx", "A 24033-2023")</f>
        <v/>
      </c>
      <c r="W158">
        <f>HYPERLINK("https://klasma.github.io/Logging_0382/kartor/A 24033-2023 karta.png", "A 24033-2023")</f>
        <v/>
      </c>
      <c r="Y158">
        <f>HYPERLINK("https://klasma.github.io/Logging_0382/klagomål/A 24033-2023 FSC-klagomål.docx", "A 24033-2023")</f>
        <v/>
      </c>
      <c r="Z158">
        <f>HYPERLINK("https://klasma.github.io/Logging_0382/klagomålsmail/A 24033-2023 FSC-klagomål mail.docx", "A 24033-2023")</f>
        <v/>
      </c>
      <c r="AA158">
        <f>HYPERLINK("https://klasma.github.io/Logging_0382/tillsyn/A 24033-2023 tillsynsbegäran.docx", "A 24033-2023")</f>
        <v/>
      </c>
      <c r="AB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46221</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s="2" t="inlineStr">
        <is>
          <t>Vårärt</t>
        </is>
      </c>
      <c r="V159">
        <f>HYPERLINK("https://klasma.github.io/Logging_0382/artfynd/A 12262-2023 artfynd.xlsx", "A 12262-2023")</f>
        <v/>
      </c>
      <c r="W159">
        <f>HYPERLINK("https://klasma.github.io/Logging_0382/kartor/A 12262-2023 karta.png", "A 12262-2023")</f>
        <v/>
      </c>
      <c r="Y159">
        <f>HYPERLINK("https://klasma.github.io/Logging_0382/klagomål/A 12262-2023 FSC-klagomål.docx", "A 12262-2023")</f>
        <v/>
      </c>
      <c r="Z159">
        <f>HYPERLINK("https://klasma.github.io/Logging_0382/klagomålsmail/A 12262-2023 FSC-klagomål mail.docx", "A 12262-2023")</f>
        <v/>
      </c>
      <c r="AA159">
        <f>HYPERLINK("https://klasma.github.io/Logging_0382/tillsyn/A 12262-2023 tillsynsbegäran.docx", "A 12262-2023")</f>
        <v/>
      </c>
      <c r="AB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46221</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s="2" t="inlineStr">
        <is>
          <t>Backklöver</t>
        </is>
      </c>
      <c r="V160">
        <f>HYPERLINK("https://klasma.github.io/Logging_0382/artfynd/A 37865-2023 artfynd.xlsx", "A 37865-2023")</f>
        <v/>
      </c>
      <c r="W160">
        <f>HYPERLINK("https://klasma.github.io/Logging_0382/kartor/A 37865-2023 karta.png", "A 37865-2023")</f>
        <v/>
      </c>
      <c r="Y160">
        <f>HYPERLINK("https://klasma.github.io/Logging_0382/klagomål/A 37865-2023 FSC-klagomål.docx", "A 37865-2023")</f>
        <v/>
      </c>
      <c r="Z160">
        <f>HYPERLINK("https://klasma.github.io/Logging_0382/klagomålsmail/A 37865-2023 FSC-klagomål mail.docx", "A 37865-2023")</f>
        <v/>
      </c>
      <c r="AA160">
        <f>HYPERLINK("https://klasma.github.io/Logging_0382/tillsyn/A 37865-2023 tillsynsbegäran.docx", "A 37865-2023")</f>
        <v/>
      </c>
      <c r="AB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46221</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s="2" t="inlineStr">
        <is>
          <t>Flattoppad klubbsvamp</t>
        </is>
      </c>
      <c r="V161">
        <f>HYPERLINK("https://klasma.github.io/Logging_0382/artfynd/A 12753-2024 artfynd.xlsx", "A 12753-2024")</f>
        <v/>
      </c>
      <c r="W161">
        <f>HYPERLINK("https://klasma.github.io/Logging_0382/kartor/A 12753-2024 karta.png", "A 12753-2024")</f>
        <v/>
      </c>
      <c r="Y161">
        <f>HYPERLINK("https://klasma.github.io/Logging_0382/klagomål/A 12753-2024 FSC-klagomål.docx", "A 12753-2024")</f>
        <v/>
      </c>
      <c r="Z161">
        <f>HYPERLINK("https://klasma.github.io/Logging_0382/klagomålsmail/A 12753-2024 FSC-klagomål mail.docx", "A 12753-2024")</f>
        <v/>
      </c>
      <c r="AA161">
        <f>HYPERLINK("https://klasma.github.io/Logging_0382/tillsyn/A 12753-2024 tillsynsbegäran.docx", "A 12753-2024")</f>
        <v/>
      </c>
      <c r="AB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46221</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s="2" t="inlineStr">
        <is>
          <t>Gul taggsvamp</t>
        </is>
      </c>
      <c r="V162">
        <f>HYPERLINK("https://klasma.github.io/Logging_0382/artfynd/A 63615-2021 artfynd.xlsx", "A 63615-2021")</f>
        <v/>
      </c>
      <c r="W162">
        <f>HYPERLINK("https://klasma.github.io/Logging_0382/kartor/A 63615-2021 karta.png", "A 63615-2021")</f>
        <v/>
      </c>
      <c r="Y162">
        <f>HYPERLINK("https://klasma.github.io/Logging_0382/klagomål/A 63615-2021 FSC-klagomål.docx", "A 63615-2021")</f>
        <v/>
      </c>
      <c r="Z162">
        <f>HYPERLINK("https://klasma.github.io/Logging_0382/klagomålsmail/A 63615-2021 FSC-klagomål mail.docx", "A 63615-2021")</f>
        <v/>
      </c>
      <c r="AA162">
        <f>HYPERLINK("https://klasma.github.io/Logging_0382/tillsyn/A 63615-2021 tillsynsbegäran.docx", "A 63615-2021")</f>
        <v/>
      </c>
      <c r="AB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46221</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s="2" t="inlineStr">
        <is>
          <t>Blåsippa</t>
        </is>
      </c>
      <c r="V163">
        <f>HYPERLINK("https://klasma.github.io/Logging_0382/artfynd/A 32483-2024 artfynd.xlsx", "A 32483-2024")</f>
        <v/>
      </c>
      <c r="W163">
        <f>HYPERLINK("https://klasma.github.io/Logging_0382/kartor/A 32483-2024 karta.png", "A 32483-2024")</f>
        <v/>
      </c>
      <c r="Y163">
        <f>HYPERLINK("https://klasma.github.io/Logging_0382/klagomål/A 32483-2024 FSC-klagomål.docx", "A 32483-2024")</f>
        <v/>
      </c>
      <c r="Z163">
        <f>HYPERLINK("https://klasma.github.io/Logging_0382/klagomålsmail/A 32483-2024 FSC-klagomål mail.docx", "A 32483-2024")</f>
        <v/>
      </c>
      <c r="AA163">
        <f>HYPERLINK("https://klasma.github.io/Logging_0382/tillsyn/A 32483-2024 tillsynsbegäran.docx", "A 32483-2024")</f>
        <v/>
      </c>
      <c r="AB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46221</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s="2" t="inlineStr">
        <is>
          <t>Aspgelélav</t>
        </is>
      </c>
      <c r="V164">
        <f>HYPERLINK("https://klasma.github.io/Logging_0382/artfynd/S 3291-2022 artfynd.xlsx", "S 3291-2022")</f>
        <v/>
      </c>
      <c r="W164">
        <f>HYPERLINK("https://klasma.github.io/Logging_0382/kartor/S 3291-2022 karta.png", "S 3291-2022")</f>
        <v/>
      </c>
      <c r="Y164">
        <f>HYPERLINK("https://klasma.github.io/Logging_0382/klagomål/S 3291-2022 FSC-klagomål.docx", "S 3291-2022")</f>
        <v/>
      </c>
      <c r="Z164">
        <f>HYPERLINK("https://klasma.github.io/Logging_0382/klagomålsmail/S 3291-2022 FSC-klagomål mail.docx", "S 3291-2022")</f>
        <v/>
      </c>
      <c r="AA164">
        <f>HYPERLINK("https://klasma.github.io/Logging_0382/tillsyn/S 3291-2022 tillsynsbegäran.docx", "S 3291-2022")</f>
        <v/>
      </c>
      <c r="AB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46221</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s="2" t="inlineStr">
        <is>
          <t>Aspgelélav</t>
        </is>
      </c>
      <c r="V165">
        <f>HYPERLINK("https://klasma.github.io/Logging_0382/artfynd/S 1001-2022 artfynd.xlsx", "S 1001-2022")</f>
        <v/>
      </c>
      <c r="W165">
        <f>HYPERLINK("https://klasma.github.io/Logging_0382/kartor/S 1001-2022 karta.png", "S 1001-2022")</f>
        <v/>
      </c>
      <c r="Y165">
        <f>HYPERLINK("https://klasma.github.io/Logging_0382/klagomål/S 1001-2022 FSC-klagomål.docx", "S 1001-2022")</f>
        <v/>
      </c>
      <c r="Z165">
        <f>HYPERLINK("https://klasma.github.io/Logging_0382/klagomålsmail/S 1001-2022 FSC-klagomål mail.docx", "S 1001-2022")</f>
        <v/>
      </c>
      <c r="AA165">
        <f>HYPERLINK("https://klasma.github.io/Logging_0382/tillsyn/S 1001-2022 tillsynsbegäran.docx", "S 1001-2022")</f>
        <v/>
      </c>
      <c r="AB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46221</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s="2" t="inlineStr">
        <is>
          <t>Nästrot</t>
        </is>
      </c>
      <c r="V166">
        <f>HYPERLINK("https://klasma.github.io/Logging_0382/artfynd/S 1922-2023 artfynd.xlsx", "S 1922-2023")</f>
        <v/>
      </c>
      <c r="W166">
        <f>HYPERLINK("https://klasma.github.io/Logging_0382/kartor/S 1922-2023 karta.png", "S 1922-2023")</f>
        <v/>
      </c>
      <c r="Y166">
        <f>HYPERLINK("https://klasma.github.io/Logging_0382/klagomål/S 1922-2023 FSC-klagomål.docx", "S 1922-2023")</f>
        <v/>
      </c>
      <c r="Z166">
        <f>HYPERLINK("https://klasma.github.io/Logging_0382/klagomålsmail/S 1922-2023 FSC-klagomål mail.docx", "S 1922-2023")</f>
        <v/>
      </c>
      <c r="AA166">
        <f>HYPERLINK("https://klasma.github.io/Logging_0382/tillsyn/S 1922-2023 tillsynsbegäran.docx", "S 1922-2023")</f>
        <v/>
      </c>
      <c r="AB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46221</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s="2" t="inlineStr">
        <is>
          <t>Diskvaxskivling</t>
        </is>
      </c>
      <c r="V167">
        <f>HYPERLINK("https://klasma.github.io/Logging_0382/artfynd/S 3586-2023 artfynd.xlsx", "S 3586-2023")</f>
        <v/>
      </c>
      <c r="W167">
        <f>HYPERLINK("https://klasma.github.io/Logging_0382/kartor/S 3586-2023 karta.png", "S 3586-2023")</f>
        <v/>
      </c>
      <c r="Y167">
        <f>HYPERLINK("https://klasma.github.io/Logging_0382/klagomål/S 3586-2023 FSC-klagomål.docx", "S 3586-2023")</f>
        <v/>
      </c>
      <c r="Z167">
        <f>HYPERLINK("https://klasma.github.io/Logging_0382/klagomålsmail/S 3586-2023 FSC-klagomål mail.docx", "S 3586-2023")</f>
        <v/>
      </c>
      <c r="AA167">
        <f>HYPERLINK("https://klasma.github.io/Logging_0382/tillsyn/S 3586-2023 tillsynsbegäran.docx", "S 3586-2023")</f>
        <v/>
      </c>
      <c r="AB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46221</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s="2" t="inlineStr">
        <is>
          <t>Granbarkgnagare</t>
        </is>
      </c>
      <c r="V168">
        <f>HYPERLINK("https://klasma.github.io/Logging_0382/artfynd/S 3126-2023 artfynd.xlsx", "S 3126-2023")</f>
        <v/>
      </c>
      <c r="W168">
        <f>HYPERLINK("https://klasma.github.io/Logging_0382/kartor/S 3126-2023 karta.png", "S 3126-2023")</f>
        <v/>
      </c>
      <c r="Y168">
        <f>HYPERLINK("https://klasma.github.io/Logging_0382/klagomål/S 3126-2023 FSC-klagomål.docx", "S 3126-2023")</f>
        <v/>
      </c>
      <c r="Z168">
        <f>HYPERLINK("https://klasma.github.io/Logging_0382/klagomålsmail/S 3126-2023 FSC-klagomål mail.docx", "S 3126-2023")</f>
        <v/>
      </c>
      <c r="AA168">
        <f>HYPERLINK("https://klasma.github.io/Logging_0382/tillsyn/S 3126-2023 tillsynsbegäran.docx", "S 3126-2023")</f>
        <v/>
      </c>
      <c r="AB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46221</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s="2" t="inlineStr">
        <is>
          <t>Violgubbe</t>
        </is>
      </c>
      <c r="V169">
        <f>HYPERLINK("https://klasma.github.io/Logging_0382/artfynd/S 1000-2023 artfynd.xlsx", "S 1000-2023")</f>
        <v/>
      </c>
      <c r="W169">
        <f>HYPERLINK("https://klasma.github.io/Logging_0382/kartor/S 1000-2023 karta.png", "S 1000-2023")</f>
        <v/>
      </c>
      <c r="Y169">
        <f>HYPERLINK("https://klasma.github.io/Logging_0382/klagomål/S 1000-2023 FSC-klagomål.docx", "S 1000-2023")</f>
        <v/>
      </c>
      <c r="Z169">
        <f>HYPERLINK("https://klasma.github.io/Logging_0382/klagomålsmail/S 1000-2023 FSC-klagomål mail.docx", "S 1000-2023")</f>
        <v/>
      </c>
      <c r="AA169">
        <f>HYPERLINK("https://klasma.github.io/Logging_0382/tillsyn/S 1000-2023 tillsynsbegäran.docx", "S 1000-2023")</f>
        <v/>
      </c>
      <c r="AB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46221</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s="2" t="inlineStr">
        <is>
          <t>Gul taggsvamp</t>
        </is>
      </c>
      <c r="V170">
        <f>HYPERLINK("https://klasma.github.io/Logging_0382/artfynd/S 8274-2021 artfynd.xlsx", "S 8274-2021")</f>
        <v/>
      </c>
      <c r="W170">
        <f>HYPERLINK("https://klasma.github.io/Logging_0382/kartor/S 8274-2021 karta.png", "S 8274-2021")</f>
        <v/>
      </c>
      <c r="Y170">
        <f>HYPERLINK("https://klasma.github.io/Logging_0382/klagomål/S 8274-2021 FSC-klagomål.docx", "S 8274-2021")</f>
        <v/>
      </c>
      <c r="Z170">
        <f>HYPERLINK("https://klasma.github.io/Logging_0382/klagomålsmail/S 8274-2021 FSC-klagomål mail.docx", "S 8274-2021")</f>
        <v/>
      </c>
      <c r="AA170">
        <f>HYPERLINK("https://klasma.github.io/Logging_0382/tillsyn/S 8274-2021 tillsynsbegäran.docx", "S 8274-2021")</f>
        <v/>
      </c>
      <c r="AB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46221</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s="2" t="inlineStr">
        <is>
          <t>Nästrot</t>
        </is>
      </c>
      <c r="V171">
        <f>HYPERLINK("https://klasma.github.io/Logging_0382/artfynd/S 1926-2023 artfynd.xlsx", "S 1926-2023")</f>
        <v/>
      </c>
      <c r="W171">
        <f>HYPERLINK("https://klasma.github.io/Logging_0382/kartor/S 1926-2023 karta.png", "S 1926-2023")</f>
        <v/>
      </c>
      <c r="Y171">
        <f>HYPERLINK("https://klasma.github.io/Logging_0382/klagomål/S 1926-2023 FSC-klagomål.docx", "S 1926-2023")</f>
        <v/>
      </c>
      <c r="Z171">
        <f>HYPERLINK("https://klasma.github.io/Logging_0382/klagomålsmail/S 1926-2023 FSC-klagomål mail.docx", "S 1926-2023")</f>
        <v/>
      </c>
      <c r="AA171">
        <f>HYPERLINK("https://klasma.github.io/Logging_0382/tillsyn/S 1926-2023 tillsynsbegäran.docx", "S 1926-2023")</f>
        <v/>
      </c>
      <c r="AB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46221</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s="2" t="inlineStr">
        <is>
          <t>Flagellkvastmossa</t>
        </is>
      </c>
      <c r="V172">
        <f>HYPERLINK("https://klasma.github.io/Logging_0382/artfynd/S 1836-2025 artfynd.xlsx", "S 1836-2025")</f>
        <v/>
      </c>
      <c r="W172">
        <f>HYPERLINK("https://klasma.github.io/Logging_0382/kartor/S 1836-2025 karta.png", "S 1836-2025")</f>
        <v/>
      </c>
      <c r="Y172">
        <f>HYPERLINK("https://klasma.github.io/Logging_0382/klagomål/S 1836-2025 FSC-klagomål.docx", "S 1836-2025")</f>
        <v/>
      </c>
      <c r="Z172">
        <f>HYPERLINK("https://klasma.github.io/Logging_0382/klagomålsmail/S 1836-2025 FSC-klagomål mail.docx", "S 1836-2025")</f>
        <v/>
      </c>
      <c r="AA172">
        <f>HYPERLINK("https://klasma.github.io/Logging_0382/tillsyn/S 1836-2025 tillsynsbegäran.docx", "S 1836-2025")</f>
        <v/>
      </c>
      <c r="AB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46221</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s="2" t="inlineStr">
        <is>
          <t>Skogsknipprot</t>
        </is>
      </c>
      <c r="V173">
        <f>HYPERLINK("https://klasma.github.io/Logging_0382/artfynd/S 785-2025 artfynd.xlsx", "S 785-2025")</f>
        <v/>
      </c>
      <c r="W173">
        <f>HYPERLINK("https://klasma.github.io/Logging_0382/kartor/S 785-2025 karta.png", "S 785-2025")</f>
        <v/>
      </c>
      <c r="Y173">
        <f>HYPERLINK("https://klasma.github.io/Logging_0382/klagomål/S 785-2025 FSC-klagomål.docx", "S 785-2025")</f>
        <v/>
      </c>
      <c r="Z173">
        <f>HYPERLINK("https://klasma.github.io/Logging_0382/klagomålsmail/S 785-2025 FSC-klagomål mail.docx", "S 785-2025")</f>
        <v/>
      </c>
      <c r="AA173">
        <f>HYPERLINK("https://klasma.github.io/Logging_0382/tillsyn/S 785-2025 tillsynsbegäran.docx", "S 785-2025")</f>
        <v/>
      </c>
      <c r="AB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46221</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s="2" t="inlineStr">
        <is>
          <t>Guckusko</t>
        </is>
      </c>
      <c r="V174">
        <f>HYPERLINK("https://klasma.github.io/Logging_0382/artfynd/S 941-2026 artfynd.xlsx", "S 941-2026")</f>
        <v/>
      </c>
      <c r="W174">
        <f>HYPERLINK("https://klasma.github.io/Logging_0382/kartor/S 941-2026 karta.png", "S 941-2026")</f>
        <v/>
      </c>
      <c r="Y174">
        <f>HYPERLINK("https://klasma.github.io/Logging_0382/klagomål/S 941-2026 FSC-klagomål.docx", "S 941-2026")</f>
        <v/>
      </c>
      <c r="Z174">
        <f>HYPERLINK("https://klasma.github.io/Logging_0382/klagomålsmail/S 941-2026 FSC-klagomål mail.docx", "S 941-2026")</f>
        <v/>
      </c>
      <c r="AA174">
        <f>HYPERLINK("https://klasma.github.io/Logging_0382/tillsyn/S 941-2026 tillsynsbegäran.docx", "S 941-2026")</f>
        <v/>
      </c>
      <c r="AB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46221</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s="2" t="inlineStr">
        <is>
          <t>Guckusko</t>
        </is>
      </c>
      <c r="V175">
        <f>HYPERLINK("https://klasma.github.io/Logging_0382/artfynd/S 1833-2026 artfynd.xlsx", "S 1833-2026")</f>
        <v/>
      </c>
      <c r="W175">
        <f>HYPERLINK("https://klasma.github.io/Logging_0382/kartor/S 1833-2026 karta.png", "S 1833-2026")</f>
        <v/>
      </c>
      <c r="Y175">
        <f>HYPERLINK("https://klasma.github.io/Logging_0382/klagomål/S 1833-2026 FSC-klagomål.docx", "S 1833-2026")</f>
        <v/>
      </c>
      <c r="Z175">
        <f>HYPERLINK("https://klasma.github.io/Logging_0382/klagomålsmail/S 1833-2026 FSC-klagomål mail.docx", "S 1833-2026")</f>
        <v/>
      </c>
      <c r="AA175">
        <f>HYPERLINK("https://klasma.github.io/Logging_0382/tillsyn/S 1833-2026 tillsynsbegäran.docx", "S 1833-2026")</f>
        <v/>
      </c>
      <c r="AB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46221</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25434-2022</t>
        </is>
      </c>
      <c r="B177" t="inlineStr">
        <is>
          <t>avverkningsanmälan</t>
        </is>
      </c>
      <c r="C177" t="inlineStr">
        <is>
          <t>Föryngringsavverkning</t>
        </is>
      </c>
      <c r="D177" s="1" t="n">
        <v>44732</v>
      </c>
      <c r="E177" s="1" t="n">
        <v>46221</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8775-2022</t>
        </is>
      </c>
      <c r="B178" t="inlineStr">
        <is>
          <t>avverkningsanmälan</t>
        </is>
      </c>
      <c r="C178" t="inlineStr">
        <is>
          <t>Föryngringsavverkning</t>
        </is>
      </c>
      <c r="D178" s="1" t="n">
        <v>44614</v>
      </c>
      <c r="E178" s="1" t="n">
        <v>46221</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25076-2022</t>
        </is>
      </c>
      <c r="B179" t="inlineStr">
        <is>
          <t>avverkningsanmälan</t>
        </is>
      </c>
      <c r="C179" t="inlineStr">
        <is>
          <t>Avverkning för annat ändamål</t>
        </is>
      </c>
      <c r="D179" s="1" t="n">
        <v>44729</v>
      </c>
      <c r="E179" s="1" t="n">
        <v>46221</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10287-2022</t>
        </is>
      </c>
      <c r="B180" t="inlineStr">
        <is>
          <t>avverkningsanmälan</t>
        </is>
      </c>
      <c r="C180" t="inlineStr">
        <is>
          <t>Föryngringsavverkning</t>
        </is>
      </c>
      <c r="D180" s="1" t="n">
        <v>44622</v>
      </c>
      <c r="E180" s="1" t="n">
        <v>46221</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61555-2021</t>
        </is>
      </c>
      <c r="B181" t="inlineStr">
        <is>
          <t>avverkningsanmälan</t>
        </is>
      </c>
      <c r="C181" t="inlineStr">
        <is>
          <t>Föryngringsavverkning</t>
        </is>
      </c>
      <c r="D181" s="1" t="n">
        <v>44501</v>
      </c>
      <c r="E181" s="1" t="n">
        <v>46221</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10288-2022</t>
        </is>
      </c>
      <c r="B182" t="inlineStr">
        <is>
          <t>avverkningsanmälan</t>
        </is>
      </c>
      <c r="C182" t="inlineStr">
        <is>
          <t>Föryngringsavverkning</t>
        </is>
      </c>
      <c r="D182" s="1" t="n">
        <v>44622</v>
      </c>
      <c r="E182" s="1" t="n">
        <v>46221</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18727-2022</t>
        </is>
      </c>
      <c r="B183" t="inlineStr">
        <is>
          <t>avverkningsanmälan</t>
        </is>
      </c>
      <c r="C183" t="inlineStr">
        <is>
          <t>Föryngringsavverkning</t>
        </is>
      </c>
      <c r="D183" s="1" t="n">
        <v>44687</v>
      </c>
      <c r="E183" s="1" t="n">
        <v>46221</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15847-2022</t>
        </is>
      </c>
      <c r="B184" t="inlineStr">
        <is>
          <t>avverkningsanmälan</t>
        </is>
      </c>
      <c r="C184" t="inlineStr">
        <is>
          <t>Föryngringsavverkning</t>
        </is>
      </c>
      <c r="D184" s="1" t="n">
        <v>44664</v>
      </c>
      <c r="E184" s="1" t="n">
        <v>46221</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14271-2022</t>
        </is>
      </c>
      <c r="B185" t="inlineStr">
        <is>
          <t>avverkningsanmälan</t>
        </is>
      </c>
      <c r="C185" t="inlineStr">
        <is>
          <t>Föryngringsavverkning</t>
        </is>
      </c>
      <c r="D185" s="1" t="n">
        <v>44651</v>
      </c>
      <c r="E185" s="1" t="n">
        <v>46221</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13238-2022</t>
        </is>
      </c>
      <c r="B186" t="inlineStr">
        <is>
          <t>avverkningsanmälan</t>
        </is>
      </c>
      <c r="C186" t="inlineStr">
        <is>
          <t>Föryngringsavverkning</t>
        </is>
      </c>
      <c r="D186" s="1" t="n">
        <v>44644</v>
      </c>
      <c r="E186" s="1" t="n">
        <v>46221</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s="2" t="inlineStr"/>
    </row>
    <row r="187" ht="15" customHeight="1">
      <c r="A187" t="inlineStr">
        <is>
          <t>A 51055-2022</t>
        </is>
      </c>
      <c r="B187" t="inlineStr">
        <is>
          <t>avverkningsanmälan</t>
        </is>
      </c>
      <c r="C187" t="inlineStr">
        <is>
          <t>Föryngringsavverkning</t>
        </is>
      </c>
      <c r="D187" s="1" t="n">
        <v>44868</v>
      </c>
      <c r="E187" s="1" t="n">
        <v>46221</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59498-2021</t>
        </is>
      </c>
      <c r="B188" t="inlineStr">
        <is>
          <t>avverkningsanmälan</t>
        </is>
      </c>
      <c r="C188" t="inlineStr">
        <is>
          <t>Föryngringsavverkning</t>
        </is>
      </c>
      <c r="D188" s="1" t="n">
        <v>44491</v>
      </c>
      <c r="E188" s="1" t="n">
        <v>46221</v>
      </c>
      <c r="F188" t="inlineStr">
        <is>
          <t>UPPSALA LÄN</t>
        </is>
      </c>
      <c r="G188" t="inlineStr">
        <is>
          <t>ÖSTHAMMAR</t>
        </is>
      </c>
      <c r="H188" t="inlineStr">
        <is>
          <t>Bergvik skog öst AB</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61746-2021</t>
        </is>
      </c>
      <c r="B189" t="inlineStr">
        <is>
          <t>avverkningsanmälan</t>
        </is>
      </c>
      <c r="C189" t="inlineStr">
        <is>
          <t>Föryngringsavverkning</t>
        </is>
      </c>
      <c r="D189" s="1" t="n">
        <v>44498</v>
      </c>
      <c r="E189" s="1" t="n">
        <v>46221</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44019-2022</t>
        </is>
      </c>
      <c r="B190" t="inlineStr">
        <is>
          <t>avverkningsanmälan</t>
        </is>
      </c>
      <c r="C190" t="inlineStr">
        <is>
          <t>Föryngringsavverkning</t>
        </is>
      </c>
      <c r="D190" s="1" t="n">
        <v>44838</v>
      </c>
      <c r="E190" s="1" t="n">
        <v>46221</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19174-2022</t>
        </is>
      </c>
      <c r="B191" t="inlineStr">
        <is>
          <t>avverkningsanmälan</t>
        </is>
      </c>
      <c r="C191" t="inlineStr">
        <is>
          <t>Föryngringsavverkning</t>
        </is>
      </c>
      <c r="D191" s="1" t="n">
        <v>44691</v>
      </c>
      <c r="E191" s="1" t="n">
        <v>46221</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2108-2022</t>
        </is>
      </c>
      <c r="B192" t="inlineStr">
        <is>
          <t>avverkningsanmälan</t>
        </is>
      </c>
      <c r="C192" t="inlineStr">
        <is>
          <t>Föryngringsavverkning</t>
        </is>
      </c>
      <c r="D192" s="1" t="n">
        <v>44577</v>
      </c>
      <c r="E192" s="1" t="n">
        <v>46221</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51412-2021</t>
        </is>
      </c>
      <c r="B193" t="inlineStr">
        <is>
          <t>avverkningsanmälan</t>
        </is>
      </c>
      <c r="C193" t="inlineStr">
        <is>
          <t>Föryngringsavverkning</t>
        </is>
      </c>
      <c r="D193" s="1" t="n">
        <v>44461</v>
      </c>
      <c r="E193" s="1" t="n">
        <v>46221</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15456-2022</t>
        </is>
      </c>
      <c r="B194" t="inlineStr">
        <is>
          <t>avverkningsanmälan</t>
        </is>
      </c>
      <c r="C194" t="inlineStr">
        <is>
          <t>Föryngringsavverkning</t>
        </is>
      </c>
      <c r="D194" s="1" t="n">
        <v>44661</v>
      </c>
      <c r="E194" s="1" t="n">
        <v>46221</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67859-2021</t>
        </is>
      </c>
      <c r="B195" t="inlineStr">
        <is>
          <t>avverkningsanmälan</t>
        </is>
      </c>
      <c r="C195" t="inlineStr">
        <is>
          <t>Föryngringsavverkning</t>
        </is>
      </c>
      <c r="D195" s="1" t="n">
        <v>44525</v>
      </c>
      <c r="E195" s="1" t="n">
        <v>46221</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13867-2022</t>
        </is>
      </c>
      <c r="B196" t="inlineStr">
        <is>
          <t>avverkningsanmälan</t>
        </is>
      </c>
      <c r="C196" t="inlineStr">
        <is>
          <t>Föryngringsavverkning</t>
        </is>
      </c>
      <c r="D196" s="1" t="n">
        <v>44649</v>
      </c>
      <c r="E196" s="1" t="n">
        <v>46221</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10298-2022</t>
        </is>
      </c>
      <c r="B197" t="inlineStr">
        <is>
          <t>avverkningsanmälan</t>
        </is>
      </c>
      <c r="C197" t="inlineStr">
        <is>
          <t>Föryngringsavverkning</t>
        </is>
      </c>
      <c r="D197" s="1" t="n">
        <v>44622</v>
      </c>
      <c r="E197" s="1" t="n">
        <v>46221</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8556-2022</t>
        </is>
      </c>
      <c r="B198" t="inlineStr">
        <is>
          <t>avverkningsanmälan</t>
        </is>
      </c>
      <c r="C198" t="inlineStr">
        <is>
          <t>Föryngringsavverkning</t>
        </is>
      </c>
      <c r="D198" s="1" t="n">
        <v>44613</v>
      </c>
      <c r="E198" s="1" t="n">
        <v>46221</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4315-2022</t>
        </is>
      </c>
      <c r="B199" t="inlineStr">
        <is>
          <t>avverkningsanmälan</t>
        </is>
      </c>
      <c r="C199" t="inlineStr">
        <is>
          <t>Föryngringsavverkning</t>
        </is>
      </c>
      <c r="D199" s="1" t="n">
        <v>44588</v>
      </c>
      <c r="E199" s="1" t="n">
        <v>46221</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24138-2022</t>
        </is>
      </c>
      <c r="B200" t="inlineStr">
        <is>
          <t>avverkningsanmälan</t>
        </is>
      </c>
      <c r="C200" t="inlineStr">
        <is>
          <t>Föryngringsavverkning</t>
        </is>
      </c>
      <c r="D200" s="1" t="n">
        <v>44725</v>
      </c>
      <c r="E200" s="1" t="n">
        <v>46221</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24149-2022</t>
        </is>
      </c>
      <c r="B201" t="inlineStr">
        <is>
          <t>avverkningsanmälan</t>
        </is>
      </c>
      <c r="C201" t="inlineStr">
        <is>
          <t>Föryngringsavverkning</t>
        </is>
      </c>
      <c r="D201" s="1" t="n">
        <v>44725</v>
      </c>
      <c r="E201" s="1" t="n">
        <v>46221</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66549-2021</t>
        </is>
      </c>
      <c r="B202" t="inlineStr">
        <is>
          <t>avverkningsanmälan</t>
        </is>
      </c>
      <c r="C202" t="inlineStr">
        <is>
          <t>Föryngringsavverkning</t>
        </is>
      </c>
      <c r="D202" s="1" t="n">
        <v>44519</v>
      </c>
      <c r="E202" s="1" t="n">
        <v>46221</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s="2" t="inlineStr"/>
    </row>
    <row r="203" ht="15" customHeight="1">
      <c r="A203" t="inlineStr">
        <is>
          <t>A 47163-2022</t>
        </is>
      </c>
      <c r="B203" t="inlineStr">
        <is>
          <t>avverkningsanmälan</t>
        </is>
      </c>
      <c r="C203" t="inlineStr">
        <is>
          <t>Föryngringsavverkning</t>
        </is>
      </c>
      <c r="D203" s="1" t="n">
        <v>44852</v>
      </c>
      <c r="E203" s="1" t="n">
        <v>46221</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5932-2022</t>
        </is>
      </c>
      <c r="B204" t="inlineStr">
        <is>
          <t>avverkningsanmälan</t>
        </is>
      </c>
      <c r="C204" t="inlineStr">
        <is>
          <t>Föryngringsavverkning</t>
        </is>
      </c>
      <c r="D204" s="1" t="n">
        <v>44598</v>
      </c>
      <c r="E204" s="1" t="n">
        <v>46221</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s="2" t="inlineStr"/>
    </row>
    <row r="205" ht="15" customHeight="1">
      <c r="A205" t="inlineStr">
        <is>
          <t>A 48308-2021</t>
        </is>
      </c>
      <c r="B205" t="inlineStr">
        <is>
          <t>avverkningsanmälan</t>
        </is>
      </c>
      <c r="C205" t="inlineStr">
        <is>
          <t>Föryngringsavverkning</t>
        </is>
      </c>
      <c r="D205" s="1" t="n">
        <v>44450</v>
      </c>
      <c r="E205" s="1" t="n">
        <v>46221</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19287-2022</t>
        </is>
      </c>
      <c r="B206" t="inlineStr">
        <is>
          <t>avverkningsanmälan</t>
        </is>
      </c>
      <c r="C206" t="inlineStr">
        <is>
          <t>Föryngringsavverkning</t>
        </is>
      </c>
      <c r="D206" s="1" t="n">
        <v>44692</v>
      </c>
      <c r="E206" s="1" t="n">
        <v>46221</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51612-2021</t>
        </is>
      </c>
      <c r="B207" t="inlineStr">
        <is>
          <t>avverkningsanmälan</t>
        </is>
      </c>
      <c r="C207" t="inlineStr">
        <is>
          <t>Föryngringsavverkning</t>
        </is>
      </c>
      <c r="D207" s="1" t="n">
        <v>44462</v>
      </c>
      <c r="E207" s="1" t="n">
        <v>46221</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19181-2022</t>
        </is>
      </c>
      <c r="B208" t="inlineStr">
        <is>
          <t>avverkningsanmälan</t>
        </is>
      </c>
      <c r="C208" t="inlineStr">
        <is>
          <t>Föryngringsavverkning</t>
        </is>
      </c>
      <c r="D208" s="1" t="n">
        <v>44691</v>
      </c>
      <c r="E208" s="1" t="n">
        <v>46221</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19707-2022</t>
        </is>
      </c>
      <c r="B209" t="inlineStr">
        <is>
          <t>avverkningsanmälan</t>
        </is>
      </c>
      <c r="C209" t="inlineStr">
        <is>
          <t>Föryngringsavverkning</t>
        </is>
      </c>
      <c r="D209" s="1" t="n">
        <v>44694</v>
      </c>
      <c r="E209" s="1" t="n">
        <v>46221</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15334-2022</t>
        </is>
      </c>
      <c r="B210" t="inlineStr">
        <is>
          <t>avverkningsanmälan</t>
        </is>
      </c>
      <c r="C210" t="inlineStr">
        <is>
          <t>Föryngringsavverkning</t>
        </is>
      </c>
      <c r="D210" s="1" t="n">
        <v>44659</v>
      </c>
      <c r="E210" s="1" t="n">
        <v>46221</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43469-2021</t>
        </is>
      </c>
      <c r="B211" t="inlineStr">
        <is>
          <t>avverkningsanmälan</t>
        </is>
      </c>
      <c r="C211" t="inlineStr">
        <is>
          <t>Föryngringsavverkning</t>
        </is>
      </c>
      <c r="D211" s="1" t="n">
        <v>44432</v>
      </c>
      <c r="E211" s="1" t="n">
        <v>46221</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s="2" t="inlineStr"/>
    </row>
    <row r="212" ht="15" customHeight="1">
      <c r="A212" t="inlineStr">
        <is>
          <t>A 49914-2022</t>
        </is>
      </c>
      <c r="B212" t="inlineStr">
        <is>
          <t>avverkningsanmälan</t>
        </is>
      </c>
      <c r="C212" t="inlineStr">
        <is>
          <t>Föryngringsavverkning</t>
        </is>
      </c>
      <c r="D212" s="1" t="n">
        <v>44865</v>
      </c>
      <c r="E212" s="1" t="n">
        <v>46221</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22945-2022</t>
        </is>
      </c>
      <c r="B213" t="inlineStr">
        <is>
          <t>avverkningsanmälan</t>
        </is>
      </c>
      <c r="C213" t="inlineStr">
        <is>
          <t>Föryngringsavverkning</t>
        </is>
      </c>
      <c r="D213" s="1" t="n">
        <v>44715</v>
      </c>
      <c r="E213" s="1" t="n">
        <v>46221</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15845-2022</t>
        </is>
      </c>
      <c r="B214" t="inlineStr">
        <is>
          <t>avverkningsanmälan</t>
        </is>
      </c>
      <c r="C214" t="inlineStr">
        <is>
          <t>Föryngringsavverkning</t>
        </is>
      </c>
      <c r="D214" s="1" t="n">
        <v>44664</v>
      </c>
      <c r="E214" s="1" t="n">
        <v>46221</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30209-2022</t>
        </is>
      </c>
      <c r="B215" t="inlineStr">
        <is>
          <t>avverkningsanmälan</t>
        </is>
      </c>
      <c r="C215" t="inlineStr">
        <is>
          <t>Föryngringsavverkning</t>
        </is>
      </c>
      <c r="D215" s="1" t="n">
        <v>44757</v>
      </c>
      <c r="E215" s="1" t="n">
        <v>46221</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49334-2022</t>
        </is>
      </c>
      <c r="B216" t="inlineStr">
        <is>
          <t>avverkningsanmälan</t>
        </is>
      </c>
      <c r="C216" t="inlineStr">
        <is>
          <t>Avverkning för att bevara och utveckla /försöksver</t>
        </is>
      </c>
      <c r="D216" s="1" t="n">
        <v>44861</v>
      </c>
      <c r="E216" s="1" t="n">
        <v>46221</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52295-2022</t>
        </is>
      </c>
      <c r="B217" t="inlineStr">
        <is>
          <t>avverkningsanmälan</t>
        </is>
      </c>
      <c r="C217" t="inlineStr">
        <is>
          <t>Föryngringsavverkning</t>
        </is>
      </c>
      <c r="D217" s="1" t="n">
        <v>44873</v>
      </c>
      <c r="E217" s="1" t="n">
        <v>46221</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41558-2021</t>
        </is>
      </c>
      <c r="B218" t="inlineStr">
        <is>
          <t>avverkningsanmälan</t>
        </is>
      </c>
      <c r="C218" t="inlineStr">
        <is>
          <t>Föryngringsavverkning</t>
        </is>
      </c>
      <c r="D218" s="1" t="n">
        <v>44425</v>
      </c>
      <c r="E218" s="1" t="n">
        <v>46221</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15457-2022</t>
        </is>
      </c>
      <c r="B219" t="inlineStr">
        <is>
          <t>avverkningsanmälan</t>
        </is>
      </c>
      <c r="C219" t="inlineStr">
        <is>
          <t>Föryngringsavverkning</t>
        </is>
      </c>
      <c r="D219" s="1" t="n">
        <v>44661</v>
      </c>
      <c r="E219" s="1" t="n">
        <v>46221</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61560-2021</t>
        </is>
      </c>
      <c r="B220" t="inlineStr">
        <is>
          <t>avverkningsanmälan</t>
        </is>
      </c>
      <c r="C220" t="inlineStr">
        <is>
          <t>Föryngringsavverkning</t>
        </is>
      </c>
      <c r="D220" s="1" t="n">
        <v>44501</v>
      </c>
      <c r="E220" s="1" t="n">
        <v>46221</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37570-2022</t>
        </is>
      </c>
      <c r="B221" t="inlineStr">
        <is>
          <t>avverkningsanmälan</t>
        </is>
      </c>
      <c r="C221" t="inlineStr">
        <is>
          <t>Föryngringsavverkning</t>
        </is>
      </c>
      <c r="D221" s="1" t="n">
        <v>44809</v>
      </c>
      <c r="E221" s="1" t="n">
        <v>46221</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37545-2022</t>
        </is>
      </c>
      <c r="B222" t="inlineStr">
        <is>
          <t>avverkningsanmälan</t>
        </is>
      </c>
      <c r="C222" t="inlineStr">
        <is>
          <t>Föryngringsavverkning</t>
        </is>
      </c>
      <c r="D222" s="1" t="n">
        <v>44809</v>
      </c>
      <c r="E222" s="1" t="n">
        <v>46221</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38501-2022</t>
        </is>
      </c>
      <c r="B223" t="inlineStr">
        <is>
          <t>avverkningsanmälan</t>
        </is>
      </c>
      <c r="C223" t="inlineStr">
        <is>
          <t>Avverkning för annat ändamål</t>
        </is>
      </c>
      <c r="D223" s="1" t="n">
        <v>44813</v>
      </c>
      <c r="E223" s="1" t="n">
        <v>46221</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37813-2022</t>
        </is>
      </c>
      <c r="B224" t="inlineStr">
        <is>
          <t>avverkningsanmälan</t>
        </is>
      </c>
      <c r="C224" t="inlineStr">
        <is>
          <t>Föryngringsavverkning</t>
        </is>
      </c>
      <c r="D224" s="1" t="n">
        <v>44810</v>
      </c>
      <c r="E224" s="1" t="n">
        <v>46221</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11987-2022</t>
        </is>
      </c>
      <c r="B225" t="inlineStr">
        <is>
          <t>avverkningsanmälan</t>
        </is>
      </c>
      <c r="C225" t="inlineStr">
        <is>
          <t>Föryngringsavverkning</t>
        </is>
      </c>
      <c r="D225" s="1" t="n">
        <v>44635</v>
      </c>
      <c r="E225" s="1" t="n">
        <v>46221</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22207-2022</t>
        </is>
      </c>
      <c r="B226" t="inlineStr">
        <is>
          <t>avverkningsanmälan</t>
        </is>
      </c>
      <c r="C226" t="inlineStr">
        <is>
          <t>Föryngringsavverkning</t>
        </is>
      </c>
      <c r="D226" s="1" t="n">
        <v>44712</v>
      </c>
      <c r="E226" s="1" t="n">
        <v>46221</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16184-2022</t>
        </is>
      </c>
      <c r="B227" t="inlineStr">
        <is>
          <t>avverkningsanmälan</t>
        </is>
      </c>
      <c r="C227" t="inlineStr">
        <is>
          <t>Föryngringsavverkning</t>
        </is>
      </c>
      <c r="D227" s="1" t="n">
        <v>44669</v>
      </c>
      <c r="E227" s="1" t="n">
        <v>46221</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18736-2022</t>
        </is>
      </c>
      <c r="B228" t="inlineStr">
        <is>
          <t>avverkningsanmälan</t>
        </is>
      </c>
      <c r="C228" t="inlineStr">
        <is>
          <t>Föryngringsavverkning</t>
        </is>
      </c>
      <c r="D228" s="1" t="n">
        <v>44687</v>
      </c>
      <c r="E228" s="1" t="n">
        <v>46221</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7871-2022</t>
        </is>
      </c>
      <c r="B229" t="inlineStr">
        <is>
          <t>avverkningsanmälan</t>
        </is>
      </c>
      <c r="C229" t="inlineStr">
        <is>
          <t>Föryngringsavverkning</t>
        </is>
      </c>
      <c r="D229" s="1" t="n">
        <v>44608</v>
      </c>
      <c r="E229" s="1" t="n">
        <v>46221</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24817-2022</t>
        </is>
      </c>
      <c r="B230" t="inlineStr">
        <is>
          <t>avverkningsanmälan</t>
        </is>
      </c>
      <c r="C230" t="inlineStr">
        <is>
          <t>Avverkning för annat ändamål</t>
        </is>
      </c>
      <c r="D230" s="1" t="n">
        <v>44728</v>
      </c>
      <c r="E230" s="1" t="n">
        <v>46221</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s="2" t="inlineStr"/>
    </row>
    <row r="231" ht="15" customHeight="1">
      <c r="A231" t="inlineStr">
        <is>
          <t>A 51906-2022</t>
        </is>
      </c>
      <c r="B231" t="inlineStr">
        <is>
          <t>avverkningsanmälan</t>
        </is>
      </c>
      <c r="C231" t="inlineStr">
        <is>
          <t>Föryngringsavverkning</t>
        </is>
      </c>
      <c r="D231" s="1" t="n">
        <v>44872</v>
      </c>
      <c r="E231" s="1" t="n">
        <v>46221</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31182-2022</t>
        </is>
      </c>
      <c r="B232" t="inlineStr">
        <is>
          <t>avverkningsanmälan</t>
        </is>
      </c>
      <c r="C232" t="inlineStr">
        <is>
          <t>Föryngringsavverkning</t>
        </is>
      </c>
      <c r="D232" s="1" t="n">
        <v>44770</v>
      </c>
      <c r="E232" s="1" t="n">
        <v>46221</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26534-2022</t>
        </is>
      </c>
      <c r="B233" t="inlineStr">
        <is>
          <t>avverkningsanmälan</t>
        </is>
      </c>
      <c r="C233" t="inlineStr">
        <is>
          <t>Föryngringsavverkning</t>
        </is>
      </c>
      <c r="D233" s="1" t="n">
        <v>44739</v>
      </c>
      <c r="E233" s="1" t="n">
        <v>46221</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52898-2021</t>
        </is>
      </c>
      <c r="B234" t="inlineStr">
        <is>
          <t>avverkningsanmälan</t>
        </is>
      </c>
      <c r="C234" t="inlineStr">
        <is>
          <t>Föryngringsavverkning</t>
        </is>
      </c>
      <c r="D234" s="1" t="n">
        <v>44467</v>
      </c>
      <c r="E234" s="1" t="n">
        <v>46221</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9789-2022</t>
        </is>
      </c>
      <c r="B235" t="inlineStr">
        <is>
          <t>avverkningsanmälan</t>
        </is>
      </c>
      <c r="C235" t="inlineStr">
        <is>
          <t>Föryngringsavverkning</t>
        </is>
      </c>
      <c r="D235" s="1" t="n">
        <v>44620</v>
      </c>
      <c r="E235" s="1" t="n">
        <v>46221</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18734-2022</t>
        </is>
      </c>
      <c r="B236" t="inlineStr">
        <is>
          <t>avverkningsanmälan</t>
        </is>
      </c>
      <c r="C236" t="inlineStr">
        <is>
          <t>Föryngringsavverkning</t>
        </is>
      </c>
      <c r="D236" s="1" t="n">
        <v>44687</v>
      </c>
      <c r="E236" s="1" t="n">
        <v>46221</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s="2" t="inlineStr"/>
    </row>
    <row r="237" ht="15" customHeight="1">
      <c r="A237" t="inlineStr">
        <is>
          <t>A 11884-2022</t>
        </is>
      </c>
      <c r="B237" t="inlineStr">
        <is>
          <t>avverkningsanmälan</t>
        </is>
      </c>
      <c r="C237" t="inlineStr">
        <is>
          <t>Föryngringsavverkning</t>
        </is>
      </c>
      <c r="D237" s="1" t="n">
        <v>44635</v>
      </c>
      <c r="E237" s="1" t="n">
        <v>46221</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17013-2022</t>
        </is>
      </c>
      <c r="B238" t="inlineStr">
        <is>
          <t>avverkningsanmälan</t>
        </is>
      </c>
      <c r="C238" t="inlineStr">
        <is>
          <t>Föryngringsavverkning</t>
        </is>
      </c>
      <c r="D238" s="1" t="n">
        <v>44676</v>
      </c>
      <c r="E238" s="1" t="n">
        <v>46221</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s="2" t="inlineStr"/>
    </row>
    <row r="239" ht="15" customHeight="1">
      <c r="A239" t="inlineStr">
        <is>
          <t>A 12999-2022</t>
        </is>
      </c>
      <c r="B239" t="inlineStr">
        <is>
          <t>avverkningsanmälan</t>
        </is>
      </c>
      <c r="C239" t="inlineStr">
        <is>
          <t>Föryngringsavverkning</t>
        </is>
      </c>
      <c r="D239" s="1" t="n">
        <v>44643</v>
      </c>
      <c r="E239" s="1" t="n">
        <v>46221</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16185-2022</t>
        </is>
      </c>
      <c r="B240" t="inlineStr">
        <is>
          <t>avverkningsanmälan</t>
        </is>
      </c>
      <c r="C240" t="inlineStr">
        <is>
          <t>Föryngringsavverkning</t>
        </is>
      </c>
      <c r="D240" s="1" t="n">
        <v>44669</v>
      </c>
      <c r="E240" s="1" t="n">
        <v>46221</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52544-2021</t>
        </is>
      </c>
      <c r="B241" t="inlineStr">
        <is>
          <t>avverkningsanmälan</t>
        </is>
      </c>
      <c r="C241" t="inlineStr">
        <is>
          <t>Föryngringsavverkning</t>
        </is>
      </c>
      <c r="D241" s="1" t="n">
        <v>44466</v>
      </c>
      <c r="E241" s="1" t="n">
        <v>46221</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19040-2023</t>
        </is>
      </c>
      <c r="B242" t="inlineStr">
        <is>
          <t>avverkningsanmälan</t>
        </is>
      </c>
      <c r="C242" t="inlineStr">
        <is>
          <t>Föryngringsavverkning</t>
        </is>
      </c>
      <c r="D242" s="1" t="n">
        <v>45047</v>
      </c>
      <c r="E242" s="1" t="n">
        <v>46221</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18838-2023</t>
        </is>
      </c>
      <c r="B243" t="inlineStr">
        <is>
          <t>avverkningsanmälan</t>
        </is>
      </c>
      <c r="C243" t="inlineStr">
        <is>
          <t>Föryngringsavverkning</t>
        </is>
      </c>
      <c r="D243" s="1" t="n">
        <v>45044</v>
      </c>
      <c r="E243" s="1" t="n">
        <v>46221</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38702-2022</t>
        </is>
      </c>
      <c r="B244" t="inlineStr">
        <is>
          <t>avverkningsanmälan</t>
        </is>
      </c>
      <c r="C244" t="inlineStr">
        <is>
          <t>Föryngringsavverkning</t>
        </is>
      </c>
      <c r="D244" s="1" t="n">
        <v>44814</v>
      </c>
      <c r="E244" s="1" t="n">
        <v>46221</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49097-2022</t>
        </is>
      </c>
      <c r="B245" t="inlineStr">
        <is>
          <t>avverkningsanmälan</t>
        </is>
      </c>
      <c r="C245" t="inlineStr">
        <is>
          <t>Föryngringsavverkning</t>
        </is>
      </c>
      <c r="D245" s="1" t="n">
        <v>44860</v>
      </c>
      <c r="E245" s="1" t="n">
        <v>46221</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s="2" t="inlineStr"/>
    </row>
    <row r="246" ht="15" customHeight="1">
      <c r="A246" t="inlineStr">
        <is>
          <t>A 28421-2023</t>
        </is>
      </c>
      <c r="B246" t="inlineStr">
        <is>
          <t>avverkningsanmälan</t>
        </is>
      </c>
      <c r="C246" t="inlineStr">
        <is>
          <t>Föryngringsavverkning</t>
        </is>
      </c>
      <c r="D246" s="1" t="n">
        <v>45102</v>
      </c>
      <c r="E246" s="1" t="n">
        <v>46221</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17867-2024</t>
        </is>
      </c>
      <c r="B247" t="inlineStr">
        <is>
          <t>avverkningsanmälan</t>
        </is>
      </c>
      <c r="C247" t="inlineStr">
        <is>
          <t>Föryngringsavverkning</t>
        </is>
      </c>
      <c r="D247" s="1" t="n">
        <v>45419</v>
      </c>
      <c r="E247" s="1" t="n">
        <v>46221</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s="2" t="inlineStr"/>
    </row>
    <row r="248" ht="15" customHeight="1">
      <c r="A248" t="inlineStr">
        <is>
          <t>A 12756-2024</t>
        </is>
      </c>
      <c r="B248" t="inlineStr">
        <is>
          <t>avverkningsanmälan</t>
        </is>
      </c>
      <c r="C248" t="inlineStr">
        <is>
          <t>Föryngringsavverkning</t>
        </is>
      </c>
      <c r="D248" s="1" t="n">
        <v>45384</v>
      </c>
      <c r="E248" s="1" t="n">
        <v>46221</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57-2023</t>
        </is>
      </c>
      <c r="B249" t="inlineStr">
        <is>
          <t>avverkningsanmälan</t>
        </is>
      </c>
      <c r="C249" t="inlineStr">
        <is>
          <t>Föryngringsavverkning</t>
        </is>
      </c>
      <c r="D249" s="1" t="n">
        <v>44928</v>
      </c>
      <c r="E249" s="1" t="n">
        <v>46221</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59-2023</t>
        </is>
      </c>
      <c r="B250" t="inlineStr">
        <is>
          <t>avverkningsanmälan</t>
        </is>
      </c>
      <c r="C250" t="inlineStr">
        <is>
          <t>Föryngringsavverkning</t>
        </is>
      </c>
      <c r="D250" s="1" t="n">
        <v>44928</v>
      </c>
      <c r="E250" s="1" t="n">
        <v>46221</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19947-2024</t>
        </is>
      </c>
      <c r="B251" t="inlineStr">
        <is>
          <t>avverkningsanmälan</t>
        </is>
      </c>
      <c r="C251" t="inlineStr">
        <is>
          <t>Föryngringsavverkning</t>
        </is>
      </c>
      <c r="D251" s="1" t="n">
        <v>45433</v>
      </c>
      <c r="E251" s="1" t="n">
        <v>46221</v>
      </c>
      <c r="F251" t="inlineStr">
        <is>
          <t>UPPSALA LÄN</t>
        </is>
      </c>
      <c r="G251" t="inlineStr">
        <is>
          <t>ÖSTHAMMAR</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25252-2024</t>
        </is>
      </c>
      <c r="B252" t="inlineStr">
        <is>
          <t>avverkningsanmälan</t>
        </is>
      </c>
      <c r="C252" t="inlineStr">
        <is>
          <t>Föryngringsavverkning</t>
        </is>
      </c>
      <c r="D252" s="1" t="n">
        <v>45462</v>
      </c>
      <c r="E252" s="1" t="n">
        <v>46221</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56382-2022</t>
        </is>
      </c>
      <c r="B253" t="inlineStr">
        <is>
          <t>avverkningsanmälan</t>
        </is>
      </c>
      <c r="C253" t="inlineStr">
        <is>
          <t>Föryngringsavverkning</t>
        </is>
      </c>
      <c r="D253" s="1" t="n">
        <v>44890</v>
      </c>
      <c r="E253" s="1" t="n">
        <v>46221</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14433-2024</t>
        </is>
      </c>
      <c r="B254" t="inlineStr">
        <is>
          <t>avverkningsanmälan</t>
        </is>
      </c>
      <c r="C254" t="inlineStr">
        <is>
          <t>Föryngringsavverkning</t>
        </is>
      </c>
      <c r="D254" s="1" t="n">
        <v>45394</v>
      </c>
      <c r="E254" s="1" t="n">
        <v>46221</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25938-2024</t>
        </is>
      </c>
      <c r="B255" t="inlineStr">
        <is>
          <t>avverkningsanmälan</t>
        </is>
      </c>
      <c r="C255" t="inlineStr">
        <is>
          <t>Föryngringsavverkning</t>
        </is>
      </c>
      <c r="D255" s="1" t="n">
        <v>45467</v>
      </c>
      <c r="E255" s="1" t="n">
        <v>46221</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5877-2023</t>
        </is>
      </c>
      <c r="B256" t="inlineStr">
        <is>
          <t>avverkningsanmälan</t>
        </is>
      </c>
      <c r="C256" t="inlineStr">
        <is>
          <t>Föryngringsavverkning</t>
        </is>
      </c>
      <c r="D256" s="1" t="n">
        <v>44963</v>
      </c>
      <c r="E256" s="1" t="n">
        <v>46221</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33552-2024</t>
        </is>
      </c>
      <c r="B257" t="inlineStr">
        <is>
          <t>avverkningsanmälan</t>
        </is>
      </c>
      <c r="C257" t="inlineStr">
        <is>
          <t>Föryngringsavverkning</t>
        </is>
      </c>
      <c r="D257" s="1" t="n">
        <v>45519</v>
      </c>
      <c r="E257" s="1" t="n">
        <v>46221</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59731-2023</t>
        </is>
      </c>
      <c r="B258" t="inlineStr">
        <is>
          <t>avverkningsanmälan</t>
        </is>
      </c>
      <c r="C258" t="inlineStr">
        <is>
          <t>Föryngringsavverkning</t>
        </is>
      </c>
      <c r="D258" s="1" t="n">
        <v>45257</v>
      </c>
      <c r="E258" s="1" t="n">
        <v>46221</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5429-2023</t>
        </is>
      </c>
      <c r="B259" t="inlineStr">
        <is>
          <t>avverkningsanmälan</t>
        </is>
      </c>
      <c r="C259" t="inlineStr">
        <is>
          <t>Föryngringsavverkning</t>
        </is>
      </c>
      <c r="D259" s="1" t="n">
        <v>44959</v>
      </c>
      <c r="E259" s="1" t="n">
        <v>46221</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34607-2023</t>
        </is>
      </c>
      <c r="B260" t="inlineStr">
        <is>
          <t>avverkningsanmälan</t>
        </is>
      </c>
      <c r="C260" t="inlineStr">
        <is>
          <t>Föryngringsavverkning</t>
        </is>
      </c>
      <c r="D260" s="1" t="n">
        <v>45138</v>
      </c>
      <c r="E260" s="1" t="n">
        <v>46221</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s="2" t="inlineStr"/>
    </row>
    <row r="261" ht="15" customHeight="1">
      <c r="A261" t="inlineStr">
        <is>
          <t>A 52659-2021</t>
        </is>
      </c>
      <c r="B261" t="inlineStr">
        <is>
          <t>avverkningsanmälan</t>
        </is>
      </c>
      <c r="C261" t="inlineStr">
        <is>
          <t>Föryngringsavverkning</t>
        </is>
      </c>
      <c r="D261" s="1" t="n">
        <v>44466</v>
      </c>
      <c r="E261" s="1" t="n">
        <v>46221</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56969-2022</t>
        </is>
      </c>
      <c r="B262" t="inlineStr">
        <is>
          <t>avverkningsanmälan</t>
        </is>
      </c>
      <c r="C262" t="inlineStr">
        <is>
          <t>Föryngringsavverkning</t>
        </is>
      </c>
      <c r="D262" s="1" t="n">
        <v>44894</v>
      </c>
      <c r="E262" s="1" t="n">
        <v>46221</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s="2" t="inlineStr"/>
    </row>
    <row r="263" ht="15" customHeight="1">
      <c r="A263" t="inlineStr">
        <is>
          <t>A 56260-2022</t>
        </is>
      </c>
      <c r="B263" t="inlineStr">
        <is>
          <t>avverkningsanmälan</t>
        </is>
      </c>
      <c r="C263" t="inlineStr">
        <is>
          <t>Avverkning för annat ändamål</t>
        </is>
      </c>
      <c r="D263" s="1" t="n">
        <v>44890</v>
      </c>
      <c r="E263" s="1" t="n">
        <v>46221</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7876-2023</t>
        </is>
      </c>
      <c r="B264" t="inlineStr">
        <is>
          <t>avverkningsanmälan</t>
        </is>
      </c>
      <c r="C264" t="inlineStr">
        <is>
          <t>Föryngringsavverkning</t>
        </is>
      </c>
      <c r="D264" s="1" t="n">
        <v>44973</v>
      </c>
      <c r="E264" s="1" t="n">
        <v>46221</v>
      </c>
      <c r="F264" t="inlineStr">
        <is>
          <t>UPPSALA LÄN</t>
        </is>
      </c>
      <c r="G264" t="inlineStr">
        <is>
          <t>ÖSTHAMMAR</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35539-2023</t>
        </is>
      </c>
      <c r="B265" t="inlineStr">
        <is>
          <t>avverkningsanmälan</t>
        </is>
      </c>
      <c r="C265" t="inlineStr">
        <is>
          <t>Föryngringsavverkning</t>
        </is>
      </c>
      <c r="D265" s="1" t="n">
        <v>45147</v>
      </c>
      <c r="E265" s="1" t="n">
        <v>46221</v>
      </c>
      <c r="F265" t="inlineStr">
        <is>
          <t>UPPSALA LÄN</t>
        </is>
      </c>
      <c r="G265" t="inlineStr">
        <is>
          <t>ÖSTHAMMAR</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29231-2024</t>
        </is>
      </c>
      <c r="B266" t="inlineStr">
        <is>
          <t>avverkningsanmälan</t>
        </is>
      </c>
      <c r="C266" t="inlineStr">
        <is>
          <t>Föryngringsavverkning</t>
        </is>
      </c>
      <c r="D266" s="1" t="n">
        <v>45482</v>
      </c>
      <c r="E266" s="1" t="n">
        <v>46221</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64811-2021</t>
        </is>
      </c>
      <c r="B267" t="inlineStr">
        <is>
          <t>avverkningsanmälan</t>
        </is>
      </c>
      <c r="C267" t="inlineStr">
        <is>
          <t>Föryngringsavverkning</t>
        </is>
      </c>
      <c r="D267" s="1" t="n">
        <v>44512</v>
      </c>
      <c r="E267" s="1" t="n">
        <v>46221</v>
      </c>
      <c r="F267" t="inlineStr">
        <is>
          <t>UPPSALA LÄN</t>
        </is>
      </c>
      <c r="G267" t="inlineStr">
        <is>
          <t>ÖSTHAMMAR</t>
        </is>
      </c>
      <c r="I267" t="n">
        <v>4.2</v>
      </c>
      <c r="J267" t="n">
        <v>0</v>
      </c>
      <c r="K267" t="n">
        <v>0</v>
      </c>
      <c r="L267" t="n">
        <v>0</v>
      </c>
      <c r="M267" t="n">
        <v>0</v>
      </c>
      <c r="N267" t="n">
        <v>0</v>
      </c>
      <c r="O267" t="n">
        <v>0</v>
      </c>
      <c r="P267" t="n">
        <v>0</v>
      </c>
      <c r="Q267" t="n">
        <v>0</v>
      </c>
      <c r="R267" t="n">
        <v>0</v>
      </c>
      <c r="S267" t="n">
        <v>0</v>
      </c>
      <c r="T267" t="n">
        <v>0</v>
      </c>
      <c r="U267" s="2" t="inlineStr"/>
    </row>
    <row r="268" ht="15" customHeight="1">
      <c r="A268" t="inlineStr">
        <is>
          <t>A 8830-2023</t>
        </is>
      </c>
      <c r="B268" t="inlineStr">
        <is>
          <t>avverkningsanmälan</t>
        </is>
      </c>
      <c r="C268" t="inlineStr">
        <is>
          <t>Föryngringsavverkning</t>
        </is>
      </c>
      <c r="D268" s="1" t="n">
        <v>44978</v>
      </c>
      <c r="E268" s="1" t="n">
        <v>46221</v>
      </c>
      <c r="F268" t="inlineStr">
        <is>
          <t>UPPSALA LÄN</t>
        </is>
      </c>
      <c r="G268" t="inlineStr">
        <is>
          <t>ÖSTHAMMAR</t>
        </is>
      </c>
      <c r="H268" t="inlineStr">
        <is>
          <t>Bergvik skog öst AB</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6106-2024</t>
        </is>
      </c>
      <c r="B269" t="inlineStr">
        <is>
          <t>avverkningsanmälan</t>
        </is>
      </c>
      <c r="C269" t="inlineStr">
        <is>
          <t>Föryngringsavverkning</t>
        </is>
      </c>
      <c r="D269" s="1" t="n">
        <v>45337</v>
      </c>
      <c r="E269" s="1" t="n">
        <v>46221</v>
      </c>
      <c r="F269" t="inlineStr">
        <is>
          <t>UPPSALA LÄN</t>
        </is>
      </c>
      <c r="G269" t="inlineStr">
        <is>
          <t>ÖSTHAMMAR</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62295-2022</t>
        </is>
      </c>
      <c r="B270" t="inlineStr">
        <is>
          <t>avverkningsanmälan</t>
        </is>
      </c>
      <c r="C270" t="inlineStr">
        <is>
          <t>Föryngringsavverkning</t>
        </is>
      </c>
      <c r="D270" s="1" t="n">
        <v>44916</v>
      </c>
      <c r="E270" s="1" t="n">
        <v>46221</v>
      </c>
      <c r="F270" t="inlineStr">
        <is>
          <t>UPPSALA LÄN</t>
        </is>
      </c>
      <c r="G270" t="inlineStr">
        <is>
          <t>ÖSTHAMMAR</t>
        </is>
      </c>
      <c r="I270" t="n">
        <v>3.3</v>
      </c>
      <c r="J270" t="n">
        <v>0</v>
      </c>
      <c r="K270" t="n">
        <v>0</v>
      </c>
      <c r="L270" t="n">
        <v>0</v>
      </c>
      <c r="M270" t="n">
        <v>0</v>
      </c>
      <c r="N270" t="n">
        <v>0</v>
      </c>
      <c r="O270" t="n">
        <v>0</v>
      </c>
      <c r="P270" t="n">
        <v>0</v>
      </c>
      <c r="Q270" t="n">
        <v>0</v>
      </c>
      <c r="R270" t="n">
        <v>0</v>
      </c>
      <c r="S270" t="n">
        <v>0</v>
      </c>
      <c r="T270" t="n">
        <v>0</v>
      </c>
      <c r="U270" s="2" t="inlineStr"/>
    </row>
    <row r="271" ht="15" customHeight="1">
      <c r="A271" t="inlineStr">
        <is>
          <t>A 32815-2024</t>
        </is>
      </c>
      <c r="B271" t="inlineStr">
        <is>
          <t>avverkningsanmälan</t>
        </is>
      </c>
      <c r="C271" t="inlineStr">
        <is>
          <t>Föryngringsavverkning</t>
        </is>
      </c>
      <c r="D271" s="1" t="n">
        <v>45516</v>
      </c>
      <c r="E271" s="1" t="n">
        <v>46221</v>
      </c>
      <c r="F271" t="inlineStr">
        <is>
          <t>UPPSALA LÄN</t>
        </is>
      </c>
      <c r="G271" t="inlineStr">
        <is>
          <t>ÖSTHAMMAR</t>
        </is>
      </c>
      <c r="H271" t="inlineStr">
        <is>
          <t>Bergvik skog öst AB</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32884-2024</t>
        </is>
      </c>
      <c r="B272" t="inlineStr">
        <is>
          <t>avverkningsanmälan</t>
        </is>
      </c>
      <c r="C272" t="inlineStr">
        <is>
          <t>Föryngringsavverkning</t>
        </is>
      </c>
      <c r="D272" s="1" t="n">
        <v>45516</v>
      </c>
      <c r="E272" s="1" t="n">
        <v>46221</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7543-2023</t>
        </is>
      </c>
      <c r="B273" t="inlineStr">
        <is>
          <t>avverkningsanmälan</t>
        </is>
      </c>
      <c r="C273" t="inlineStr">
        <is>
          <t>Föryngringsavverkning</t>
        </is>
      </c>
      <c r="D273" s="1" t="n">
        <v>44972</v>
      </c>
      <c r="E273" s="1" t="n">
        <v>46221</v>
      </c>
      <c r="F273" t="inlineStr">
        <is>
          <t>UPPSALA LÄN</t>
        </is>
      </c>
      <c r="G273" t="inlineStr">
        <is>
          <t>ÖSTHAMMAR</t>
        </is>
      </c>
      <c r="H273" t="inlineStr">
        <is>
          <t>Bergvik skog öst AB</t>
        </is>
      </c>
      <c r="I273" t="n">
        <v>13.3</v>
      </c>
      <c r="J273" t="n">
        <v>0</v>
      </c>
      <c r="K273" t="n">
        <v>0</v>
      </c>
      <c r="L273" t="n">
        <v>0</v>
      </c>
      <c r="M273" t="n">
        <v>0</v>
      </c>
      <c r="N273" t="n">
        <v>0</v>
      </c>
      <c r="O273" t="n">
        <v>0</v>
      </c>
      <c r="P273" t="n">
        <v>0</v>
      </c>
      <c r="Q273" t="n">
        <v>0</v>
      </c>
      <c r="R273" t="n">
        <v>0</v>
      </c>
      <c r="S273" t="n">
        <v>0</v>
      </c>
      <c r="T273" t="n">
        <v>0</v>
      </c>
      <c r="U273" s="2" t="inlineStr"/>
    </row>
    <row r="274" ht="15" customHeight="1">
      <c r="A274" t="inlineStr">
        <is>
          <t>A 74429-2021</t>
        </is>
      </c>
      <c r="B274" t="inlineStr">
        <is>
          <t>avverkningsanmälan</t>
        </is>
      </c>
      <c r="C274" t="inlineStr">
        <is>
          <t>Föryngringsavverkning</t>
        </is>
      </c>
      <c r="D274" s="1" t="n">
        <v>44560</v>
      </c>
      <c r="E274" s="1" t="n">
        <v>46221</v>
      </c>
      <c r="F274" t="inlineStr">
        <is>
          <t>UPPSALA LÄN</t>
        </is>
      </c>
      <c r="G274" t="inlineStr">
        <is>
          <t>ÖSTHAMMAR</t>
        </is>
      </c>
      <c r="H274" t="inlineStr">
        <is>
          <t>Bergvik skog öst AB</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61261-2022</t>
        </is>
      </c>
      <c r="B275" t="inlineStr">
        <is>
          <t>avverkningsanmälan</t>
        </is>
      </c>
      <c r="C275" t="inlineStr">
        <is>
          <t>Föryngringsavverkning</t>
        </is>
      </c>
      <c r="D275" s="1" t="n">
        <v>44915</v>
      </c>
      <c r="E275" s="1" t="n">
        <v>46221</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58297-2024</t>
        </is>
      </c>
      <c r="B276" t="inlineStr">
        <is>
          <t>avverkningsanmälan</t>
        </is>
      </c>
      <c r="C276" t="inlineStr">
        <is>
          <t>Föryngringsavverkning</t>
        </is>
      </c>
      <c r="D276" s="1" t="n">
        <v>45632</v>
      </c>
      <c r="E276" s="1" t="n">
        <v>46221</v>
      </c>
      <c r="F276" t="inlineStr">
        <is>
          <t>UPPSALA LÄN</t>
        </is>
      </c>
      <c r="G276" t="inlineStr">
        <is>
          <t>ÖSTHAMMAR</t>
        </is>
      </c>
      <c r="I276" t="n">
        <v>5.1</v>
      </c>
      <c r="J276" t="n">
        <v>0</v>
      </c>
      <c r="K276" t="n">
        <v>0</v>
      </c>
      <c r="L276" t="n">
        <v>0</v>
      </c>
      <c r="M276" t="n">
        <v>0</v>
      </c>
      <c r="N276" t="n">
        <v>0</v>
      </c>
      <c r="O276" t="n">
        <v>0</v>
      </c>
      <c r="P276" t="n">
        <v>0</v>
      </c>
      <c r="Q276" t="n">
        <v>0</v>
      </c>
      <c r="R276" t="n">
        <v>0</v>
      </c>
      <c r="S276" t="n">
        <v>0</v>
      </c>
      <c r="T276" t="n">
        <v>0</v>
      </c>
      <c r="U276" s="2" t="inlineStr"/>
    </row>
    <row r="277" ht="15" customHeight="1">
      <c r="A277" t="inlineStr">
        <is>
          <t>A 26330-2025</t>
        </is>
      </c>
      <c r="B277" t="inlineStr">
        <is>
          <t>avverkningsanmälan</t>
        </is>
      </c>
      <c r="C277" t="inlineStr">
        <is>
          <t>Föryngringsavverkning</t>
        </is>
      </c>
      <c r="D277" s="1" t="n">
        <v>45805</v>
      </c>
      <c r="E277" s="1" t="n">
        <v>46221</v>
      </c>
      <c r="F277" t="inlineStr">
        <is>
          <t>UPPSALA LÄN</t>
        </is>
      </c>
      <c r="G277" t="inlineStr">
        <is>
          <t>ÖSTHAMMAR</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3055-2026</t>
        </is>
      </c>
      <c r="B278" t="inlineStr">
        <is>
          <t>avverkningsanmälan</t>
        </is>
      </c>
      <c r="C278" t="inlineStr">
        <is>
          <t>Föryngringsavverkning</t>
        </is>
      </c>
      <c r="D278" s="1" t="n">
        <v>46039</v>
      </c>
      <c r="E278" s="1" t="n">
        <v>46221</v>
      </c>
      <c r="F278" t="inlineStr">
        <is>
          <t>UPPSALA LÄN</t>
        </is>
      </c>
      <c r="G278" t="inlineStr">
        <is>
          <t>ÖSTHAMMAR</t>
        </is>
      </c>
      <c r="H278" t="inlineStr">
        <is>
          <t>Bergvik skog öst AB</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52661-2022</t>
        </is>
      </c>
      <c r="B279" t="inlineStr">
        <is>
          <t>avverkningsanmälan</t>
        </is>
      </c>
      <c r="C279" t="inlineStr">
        <is>
          <t>Föryngringsavverkning</t>
        </is>
      </c>
      <c r="D279" s="1" t="n">
        <v>44874</v>
      </c>
      <c r="E279" s="1" t="n">
        <v>46221</v>
      </c>
      <c r="F279" t="inlineStr">
        <is>
          <t>UPPSALA LÄN</t>
        </is>
      </c>
      <c r="G279" t="inlineStr">
        <is>
          <t>ÖSTHAMMAR</t>
        </is>
      </c>
      <c r="H279" t="inlineStr">
        <is>
          <t>Bergvik skog öst AB</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3732-2022</t>
        </is>
      </c>
      <c r="B280" t="inlineStr">
        <is>
          <t>avverkningsanmälan</t>
        </is>
      </c>
      <c r="C280" t="inlineStr">
        <is>
          <t>Föryngringsavverkning</t>
        </is>
      </c>
      <c r="D280" s="1" t="n">
        <v>44586</v>
      </c>
      <c r="E280" s="1" t="n">
        <v>46221</v>
      </c>
      <c r="F280" t="inlineStr">
        <is>
          <t>UPPSALA LÄN</t>
        </is>
      </c>
      <c r="G280" t="inlineStr">
        <is>
          <t>ÖSTHAMMAR</t>
        </is>
      </c>
      <c r="H280" t="inlineStr">
        <is>
          <t>Bergvik skog öst AB</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38003-2024</t>
        </is>
      </c>
      <c r="B281" t="inlineStr">
        <is>
          <t>avverkningsanmälan</t>
        </is>
      </c>
      <c r="C281" t="inlineStr">
        <is>
          <t>Föryngringsavverkning</t>
        </is>
      </c>
      <c r="D281" s="1" t="n">
        <v>45544</v>
      </c>
      <c r="E281" s="1" t="n">
        <v>46221</v>
      </c>
      <c r="F281" t="inlineStr">
        <is>
          <t>UPPSALA LÄN</t>
        </is>
      </c>
      <c r="G281" t="inlineStr">
        <is>
          <t>ÖSTHAMMAR</t>
        </is>
      </c>
      <c r="H281" t="inlineStr">
        <is>
          <t>Naturvårdsverket</t>
        </is>
      </c>
      <c r="I281" t="n">
        <v>4.2</v>
      </c>
      <c r="J281" t="n">
        <v>0</v>
      </c>
      <c r="K281" t="n">
        <v>0</v>
      </c>
      <c r="L281" t="n">
        <v>0</v>
      </c>
      <c r="M281" t="n">
        <v>0</v>
      </c>
      <c r="N281" t="n">
        <v>0</v>
      </c>
      <c r="O281" t="n">
        <v>0</v>
      </c>
      <c r="P281" t="n">
        <v>0</v>
      </c>
      <c r="Q281" t="n">
        <v>0</v>
      </c>
      <c r="R281" t="n">
        <v>0</v>
      </c>
      <c r="S281" t="n">
        <v>0</v>
      </c>
      <c r="T281" t="n">
        <v>0</v>
      </c>
      <c r="U281" s="2" t="inlineStr"/>
    </row>
    <row r="282" ht="15" customHeight="1">
      <c r="A282" t="inlineStr">
        <is>
          <t>A 3095-2026</t>
        </is>
      </c>
      <c r="B282" t="inlineStr">
        <is>
          <t>avverkningsanmälan</t>
        </is>
      </c>
      <c r="C282" t="inlineStr">
        <is>
          <t>Föryngringsavverkning</t>
        </is>
      </c>
      <c r="D282" s="1" t="n">
        <v>46040</v>
      </c>
      <c r="E282" s="1" t="n">
        <v>46221</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1575-2025</t>
        </is>
      </c>
      <c r="B283" t="inlineStr">
        <is>
          <t>avverkningsanmälan</t>
        </is>
      </c>
      <c r="C283" t="inlineStr">
        <is>
          <t>Avverkning för annat ändamål</t>
        </is>
      </c>
      <c r="D283" s="1" t="n">
        <v>45670</v>
      </c>
      <c r="E283" s="1" t="n">
        <v>46221</v>
      </c>
      <c r="F283" t="inlineStr">
        <is>
          <t>UPPSALA LÄN</t>
        </is>
      </c>
      <c r="G283" t="inlineStr">
        <is>
          <t>ÖSTHAMMAR</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16141-2022</t>
        </is>
      </c>
      <c r="B284" t="inlineStr">
        <is>
          <t>avverkningsanmälan</t>
        </is>
      </c>
      <c r="C284" t="inlineStr">
        <is>
          <t>Föryngringsavverkning</t>
        </is>
      </c>
      <c r="D284" s="1" t="n">
        <v>44665</v>
      </c>
      <c r="E284" s="1" t="n">
        <v>46221</v>
      </c>
      <c r="F284" t="inlineStr">
        <is>
          <t>UPPSALA LÄN</t>
        </is>
      </c>
      <c r="G284" t="inlineStr">
        <is>
          <t>ÖSTHAMMAR</t>
        </is>
      </c>
      <c r="H284" t="inlineStr">
        <is>
          <t>Bergvik skog öst AB</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28152-2024</t>
        </is>
      </c>
      <c r="B285" t="inlineStr">
        <is>
          <t>avverkningsanmälan</t>
        </is>
      </c>
      <c r="C285" t="inlineStr">
        <is>
          <t>Föryngringsavverkning</t>
        </is>
      </c>
      <c r="D285" s="1" t="n">
        <v>45476</v>
      </c>
      <c r="E285" s="1" t="n">
        <v>46221</v>
      </c>
      <c r="F285" t="inlineStr">
        <is>
          <t>UPPSALA LÄN</t>
        </is>
      </c>
      <c r="G285" t="inlineStr">
        <is>
          <t>ÖSTHAMMAR</t>
        </is>
      </c>
      <c r="H285" t="inlineStr">
        <is>
          <t>Bergvik skog öst AB</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70495-2021</t>
        </is>
      </c>
      <c r="B286" t="inlineStr">
        <is>
          <t>avverkningsanmälan</t>
        </is>
      </c>
      <c r="C286" t="inlineStr">
        <is>
          <t>Föryngringsavverkning</t>
        </is>
      </c>
      <c r="D286" s="1" t="n">
        <v>44536</v>
      </c>
      <c r="E286" s="1" t="n">
        <v>46221</v>
      </c>
      <c r="F286" t="inlineStr">
        <is>
          <t>UPPSALA LÄN</t>
        </is>
      </c>
      <c r="G286" t="inlineStr">
        <is>
          <t>ÖSTHAMMAR</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57453-2022</t>
        </is>
      </c>
      <c r="B287" t="inlineStr">
        <is>
          <t>avverkningsanmälan</t>
        </is>
      </c>
      <c r="C287" t="inlineStr">
        <is>
          <t>Föryngringsavverkning</t>
        </is>
      </c>
      <c r="D287" s="1" t="n">
        <v>44896</v>
      </c>
      <c r="E287" s="1" t="n">
        <v>46221</v>
      </c>
      <c r="F287" t="inlineStr">
        <is>
          <t>UPPSALA LÄN</t>
        </is>
      </c>
      <c r="G287" t="inlineStr">
        <is>
          <t>ÖSTHAMMAR</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57462-2022</t>
        </is>
      </c>
      <c r="B288" t="inlineStr">
        <is>
          <t>avverkningsanmälan</t>
        </is>
      </c>
      <c r="C288" t="inlineStr">
        <is>
          <t>Föryngringsavverkning</t>
        </is>
      </c>
      <c r="D288" s="1" t="n">
        <v>44896</v>
      </c>
      <c r="E288" s="1" t="n">
        <v>46221</v>
      </c>
      <c r="F288" t="inlineStr">
        <is>
          <t>UPPSALA LÄN</t>
        </is>
      </c>
      <c r="G288" t="inlineStr">
        <is>
          <t>ÖSTHAMMAR</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3926-2026</t>
        </is>
      </c>
      <c r="B289" t="inlineStr">
        <is>
          <t>avverkningsanmälan</t>
        </is>
      </c>
      <c r="C289" t="inlineStr">
        <is>
          <t>Föryngringsavverkning</t>
        </is>
      </c>
      <c r="D289" s="1" t="n">
        <v>46043</v>
      </c>
      <c r="E289" s="1" t="n">
        <v>46221</v>
      </c>
      <c r="F289" t="inlineStr">
        <is>
          <t>UPPSALA LÄN</t>
        </is>
      </c>
      <c r="G289" t="inlineStr">
        <is>
          <t>ÖSTHAMMAR</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27347-2025</t>
        </is>
      </c>
      <c r="B290" t="inlineStr">
        <is>
          <t>avverkningsanmälan</t>
        </is>
      </c>
      <c r="C290" t="inlineStr">
        <is>
          <t>Föryngringsavverkning</t>
        </is>
      </c>
      <c r="D290" s="1" t="n">
        <v>45812</v>
      </c>
      <c r="E290" s="1" t="n">
        <v>46221</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27132-2025</t>
        </is>
      </c>
      <c r="B291" t="inlineStr">
        <is>
          <t>avverkningsanmälan</t>
        </is>
      </c>
      <c r="C291" t="inlineStr">
        <is>
          <t>Föryngringsavverkning</t>
        </is>
      </c>
      <c r="D291" s="1" t="n">
        <v>45811</v>
      </c>
      <c r="E291" s="1" t="n">
        <v>46221</v>
      </c>
      <c r="F291" t="inlineStr">
        <is>
          <t>UPPSALA LÄN</t>
        </is>
      </c>
      <c r="G291" t="inlineStr">
        <is>
          <t>ÖSTHAMMAR</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8330-2025</t>
        </is>
      </c>
      <c r="B292" t="inlineStr">
        <is>
          <t>avverkningsanmälan</t>
        </is>
      </c>
      <c r="C292" t="inlineStr">
        <is>
          <t>Föryngringsavverkning</t>
        </is>
      </c>
      <c r="D292" s="1" t="n">
        <v>45708</v>
      </c>
      <c r="E292" s="1" t="n">
        <v>46221</v>
      </c>
      <c r="F292" t="inlineStr">
        <is>
          <t>UPPSALA LÄN</t>
        </is>
      </c>
      <c r="G292" t="inlineStr">
        <is>
          <t>ÖSTHAMMAR</t>
        </is>
      </c>
      <c r="H292" t="inlineStr">
        <is>
          <t>Övriga Aktiebolag</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27920-2025</t>
        </is>
      </c>
      <c r="B293" t="inlineStr">
        <is>
          <t>avverkningsanmälan</t>
        </is>
      </c>
      <c r="C293" t="inlineStr">
        <is>
          <t>Föryngringsavverkning</t>
        </is>
      </c>
      <c r="D293" s="1" t="n">
        <v>45817</v>
      </c>
      <c r="E293" s="1" t="n">
        <v>46221</v>
      </c>
      <c r="F293" t="inlineStr">
        <is>
          <t>UPPSALA LÄN</t>
        </is>
      </c>
      <c r="G293" t="inlineStr">
        <is>
          <t>ÖSTHAMMAR</t>
        </is>
      </c>
      <c r="H293" t="inlineStr">
        <is>
          <t>Bergvik skog öst AB</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61817-2021</t>
        </is>
      </c>
      <c r="B294" t="inlineStr">
        <is>
          <t>avverkningsanmälan</t>
        </is>
      </c>
      <c r="C294" t="inlineStr">
        <is>
          <t>Föryngringsavverkning</t>
        </is>
      </c>
      <c r="D294" s="1" t="n">
        <v>44501</v>
      </c>
      <c r="E294" s="1" t="n">
        <v>46221</v>
      </c>
      <c r="F294" t="inlineStr">
        <is>
          <t>UPPSALA LÄN</t>
        </is>
      </c>
      <c r="G294" t="inlineStr">
        <is>
          <t>ÖSTHAMMAR</t>
        </is>
      </c>
      <c r="H294" t="inlineStr">
        <is>
          <t>Bergvik skog öst AB</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73982-2021</t>
        </is>
      </c>
      <c r="B295" t="inlineStr">
        <is>
          <t>avverkningsanmälan</t>
        </is>
      </c>
      <c r="C295" t="inlineStr">
        <is>
          <t>Föryngringsavverkning</t>
        </is>
      </c>
      <c r="D295" s="1" t="n">
        <v>44555</v>
      </c>
      <c r="E295" s="1" t="n">
        <v>46221</v>
      </c>
      <c r="F295" t="inlineStr">
        <is>
          <t>UPPSALA LÄN</t>
        </is>
      </c>
      <c r="G295" t="inlineStr">
        <is>
          <t>ÖSTHAMMAR</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3642-2026</t>
        </is>
      </c>
      <c r="B296" t="inlineStr">
        <is>
          <t>avverkningsanmälan</t>
        </is>
      </c>
      <c r="C296" t="inlineStr">
        <is>
          <t>Föryngringsavverkning</t>
        </is>
      </c>
      <c r="D296" s="1" t="n">
        <v>46043</v>
      </c>
      <c r="E296" s="1" t="n">
        <v>46221</v>
      </c>
      <c r="F296" t="inlineStr">
        <is>
          <t>UPPSALA LÄN</t>
        </is>
      </c>
      <c r="G296" t="inlineStr">
        <is>
          <t>ÖSTHAMMAR</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3668-2026</t>
        </is>
      </c>
      <c r="B297" t="inlineStr">
        <is>
          <t>avverkningsanmälan</t>
        </is>
      </c>
      <c r="C297" t="inlineStr">
        <is>
          <t>Föryngringsavverkning</t>
        </is>
      </c>
      <c r="D297" s="1" t="n">
        <v>46043</v>
      </c>
      <c r="E297" s="1" t="n">
        <v>46221</v>
      </c>
      <c r="F297" t="inlineStr">
        <is>
          <t>UPPSALA LÄN</t>
        </is>
      </c>
      <c r="G297" t="inlineStr">
        <is>
          <t>ÖSTHAMMAR</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14272-2025</t>
        </is>
      </c>
      <c r="B298" t="inlineStr">
        <is>
          <t>avverkningsanmälan</t>
        </is>
      </c>
      <c r="C298" t="inlineStr">
        <is>
          <t>Föryngringsavverkning</t>
        </is>
      </c>
      <c r="D298" s="1" t="n">
        <v>45740</v>
      </c>
      <c r="E298" s="1" t="n">
        <v>46221</v>
      </c>
      <c r="F298" t="inlineStr">
        <is>
          <t>UPPSALA LÄN</t>
        </is>
      </c>
      <c r="G298" t="inlineStr">
        <is>
          <t>ÖSTHAMMAR</t>
        </is>
      </c>
      <c r="I298" t="n">
        <v>5.7</v>
      </c>
      <c r="J298" t="n">
        <v>0</v>
      </c>
      <c r="K298" t="n">
        <v>0</v>
      </c>
      <c r="L298" t="n">
        <v>0</v>
      </c>
      <c r="M298" t="n">
        <v>0</v>
      </c>
      <c r="N298" t="n">
        <v>0</v>
      </c>
      <c r="O298" t="n">
        <v>0</v>
      </c>
      <c r="P298" t="n">
        <v>0</v>
      </c>
      <c r="Q298" t="n">
        <v>0</v>
      </c>
      <c r="R298" t="n">
        <v>0</v>
      </c>
      <c r="S298" t="n">
        <v>0</v>
      </c>
      <c r="T298" t="n">
        <v>0</v>
      </c>
      <c r="U298" s="2" t="inlineStr"/>
    </row>
    <row r="299" ht="15" customHeight="1">
      <c r="A299" t="inlineStr">
        <is>
          <t>A 27660-2023</t>
        </is>
      </c>
      <c r="B299" t="inlineStr">
        <is>
          <t>avverkningsanmälan</t>
        </is>
      </c>
      <c r="C299" t="inlineStr">
        <is>
          <t>Föryngringsavverkning</t>
        </is>
      </c>
      <c r="D299" s="1" t="n">
        <v>45097</v>
      </c>
      <c r="E299" s="1" t="n">
        <v>46221</v>
      </c>
      <c r="F299" t="inlineStr">
        <is>
          <t>UPPSALA LÄN</t>
        </is>
      </c>
      <c r="G299" t="inlineStr">
        <is>
          <t>ÖSTHAMMAR</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4570-2026</t>
        </is>
      </c>
      <c r="B300" t="inlineStr">
        <is>
          <t>avverkningsanmälan</t>
        </is>
      </c>
      <c r="C300" t="inlineStr">
        <is>
          <t>Föryngringsavverkning</t>
        </is>
      </c>
      <c r="D300" s="1" t="n">
        <v>46048</v>
      </c>
      <c r="E300" s="1" t="n">
        <v>46221</v>
      </c>
      <c r="F300" t="inlineStr">
        <is>
          <t>UPPSALA LÄN</t>
        </is>
      </c>
      <c r="G300" t="inlineStr">
        <is>
          <t>ÖSTHAMMAR</t>
        </is>
      </c>
      <c r="H300" t="inlineStr">
        <is>
          <t>Allmännings- och besparingsskogar</t>
        </is>
      </c>
      <c r="I300" t="n">
        <v>7.1</v>
      </c>
      <c r="J300" t="n">
        <v>0</v>
      </c>
      <c r="K300" t="n">
        <v>0</v>
      </c>
      <c r="L300" t="n">
        <v>0</v>
      </c>
      <c r="M300" t="n">
        <v>0</v>
      </c>
      <c r="N300" t="n">
        <v>0</v>
      </c>
      <c r="O300" t="n">
        <v>0</v>
      </c>
      <c r="P300" t="n">
        <v>0</v>
      </c>
      <c r="Q300" t="n">
        <v>0</v>
      </c>
      <c r="R300" t="n">
        <v>0</v>
      </c>
      <c r="S300" t="n">
        <v>0</v>
      </c>
      <c r="T300" t="n">
        <v>0</v>
      </c>
      <c r="U300" s="2" t="inlineStr"/>
    </row>
    <row r="301" ht="15" customHeight="1">
      <c r="A301" t="inlineStr">
        <is>
          <t>A 27509-2025</t>
        </is>
      </c>
      <c r="B301" t="inlineStr">
        <is>
          <t>avverkningsanmälan</t>
        </is>
      </c>
      <c r="C301" t="inlineStr">
        <is>
          <t>Föryngringsavverkning</t>
        </is>
      </c>
      <c r="D301" s="1" t="n">
        <v>45813</v>
      </c>
      <c r="E301" s="1" t="n">
        <v>46221</v>
      </c>
      <c r="F301" t="inlineStr">
        <is>
          <t>UPPSALA LÄN</t>
        </is>
      </c>
      <c r="G301" t="inlineStr">
        <is>
          <t>ÖSTHAMMAR</t>
        </is>
      </c>
      <c r="H301" t="inlineStr">
        <is>
          <t>Bergvik skog öst AB</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62394-2022</t>
        </is>
      </c>
      <c r="B302" t="inlineStr">
        <is>
          <t>avverkningsanmälan</t>
        </is>
      </c>
      <c r="C302" t="inlineStr">
        <is>
          <t>Föryngringsavverkning</t>
        </is>
      </c>
      <c r="D302" s="1" t="n">
        <v>44923</v>
      </c>
      <c r="E302" s="1" t="n">
        <v>46221</v>
      </c>
      <c r="F302" t="inlineStr">
        <is>
          <t>UPPSALA LÄN</t>
        </is>
      </c>
      <c r="G302" t="inlineStr">
        <is>
          <t>ÖSTHAMMAR</t>
        </is>
      </c>
      <c r="H302" t="inlineStr">
        <is>
          <t>Bergvik skog öst AB</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27486-2025</t>
        </is>
      </c>
      <c r="B303" t="inlineStr">
        <is>
          <t>avverkningsanmälan</t>
        </is>
      </c>
      <c r="C303" t="inlineStr">
        <is>
          <t>Föryngringsavverkning</t>
        </is>
      </c>
      <c r="D303" s="1" t="n">
        <v>45813</v>
      </c>
      <c r="E303" s="1" t="n">
        <v>46221</v>
      </c>
      <c r="F303" t="inlineStr">
        <is>
          <t>UPPSALA LÄN</t>
        </is>
      </c>
      <c r="G303" t="inlineStr">
        <is>
          <t>ÖSTHAMMAR</t>
        </is>
      </c>
      <c r="H303" t="inlineStr">
        <is>
          <t>Bergvik skog öst AB</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27490-2025</t>
        </is>
      </c>
      <c r="B304" t="inlineStr">
        <is>
          <t>avverkningsanmälan</t>
        </is>
      </c>
      <c r="C304" t="inlineStr">
        <is>
          <t>Föryngringsavverkning</t>
        </is>
      </c>
      <c r="D304" s="1" t="n">
        <v>45813</v>
      </c>
      <c r="E304" s="1" t="n">
        <v>46221</v>
      </c>
      <c r="F304" t="inlineStr">
        <is>
          <t>UPPSALA LÄN</t>
        </is>
      </c>
      <c r="G304" t="inlineStr">
        <is>
          <t>ÖSTHAMMAR</t>
        </is>
      </c>
      <c r="H304" t="inlineStr">
        <is>
          <t>Bergvik skog öst AB</t>
        </is>
      </c>
      <c r="I304" t="n">
        <v>6.1</v>
      </c>
      <c r="J304" t="n">
        <v>0</v>
      </c>
      <c r="K304" t="n">
        <v>0</v>
      </c>
      <c r="L304" t="n">
        <v>0</v>
      </c>
      <c r="M304" t="n">
        <v>0</v>
      </c>
      <c r="N304" t="n">
        <v>0</v>
      </c>
      <c r="O304" t="n">
        <v>0</v>
      </c>
      <c r="P304" t="n">
        <v>0</v>
      </c>
      <c r="Q304" t="n">
        <v>0</v>
      </c>
      <c r="R304" t="n">
        <v>0</v>
      </c>
      <c r="S304" t="n">
        <v>0</v>
      </c>
      <c r="T304" t="n">
        <v>0</v>
      </c>
      <c r="U304" s="2" t="inlineStr"/>
    </row>
    <row r="305" ht="15" customHeight="1">
      <c r="A305" t="inlineStr">
        <is>
          <t>A 27494-2025</t>
        </is>
      </c>
      <c r="B305" t="inlineStr">
        <is>
          <t>avverkningsanmälan</t>
        </is>
      </c>
      <c r="C305" t="inlineStr">
        <is>
          <t>Föryngringsavverkning</t>
        </is>
      </c>
      <c r="D305" s="1" t="n">
        <v>45813</v>
      </c>
      <c r="E305" s="1" t="n">
        <v>46221</v>
      </c>
      <c r="F305" t="inlineStr">
        <is>
          <t>UPPSALA LÄN</t>
        </is>
      </c>
      <c r="G305" t="inlineStr">
        <is>
          <t>ÖSTHAMMAR</t>
        </is>
      </c>
      <c r="H305" t="inlineStr">
        <is>
          <t>Bergvik skog öst AB</t>
        </is>
      </c>
      <c r="I305" t="n">
        <v>23.4</v>
      </c>
      <c r="J305" t="n">
        <v>0</v>
      </c>
      <c r="K305" t="n">
        <v>0</v>
      </c>
      <c r="L305" t="n">
        <v>0</v>
      </c>
      <c r="M305" t="n">
        <v>0</v>
      </c>
      <c r="N305" t="n">
        <v>0</v>
      </c>
      <c r="O305" t="n">
        <v>0</v>
      </c>
      <c r="P305" t="n">
        <v>0</v>
      </c>
      <c r="Q305" t="n">
        <v>0</v>
      </c>
      <c r="R305" t="n">
        <v>0</v>
      </c>
      <c r="S305" t="n">
        <v>0</v>
      </c>
      <c r="T305" t="n">
        <v>0</v>
      </c>
      <c r="U305" s="2" t="inlineStr"/>
    </row>
    <row r="306" ht="15" customHeight="1">
      <c r="A306" t="inlineStr">
        <is>
          <t>A 29384-2025</t>
        </is>
      </c>
      <c r="B306" t="inlineStr">
        <is>
          <t>avverkningsanmälan</t>
        </is>
      </c>
      <c r="C306" t="inlineStr">
        <is>
          <t>Föryngringsavverkning</t>
        </is>
      </c>
      <c r="D306" s="1" t="n">
        <v>45824</v>
      </c>
      <c r="E306" s="1" t="n">
        <v>46221</v>
      </c>
      <c r="F306" t="inlineStr">
        <is>
          <t>UPPSALA LÄN</t>
        </is>
      </c>
      <c r="G306" t="inlineStr">
        <is>
          <t>ÖSTHAMMAR</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6153-2022</t>
        </is>
      </c>
      <c r="B307" t="inlineStr">
        <is>
          <t>avverkningsanmälan</t>
        </is>
      </c>
      <c r="C307" t="inlineStr">
        <is>
          <t>Föryngringsavverkning</t>
        </is>
      </c>
      <c r="D307" s="1" t="n">
        <v>44599</v>
      </c>
      <c r="E307" s="1" t="n">
        <v>46221</v>
      </c>
      <c r="F307" t="inlineStr">
        <is>
          <t>UPPSALA LÄN</t>
        </is>
      </c>
      <c r="G307" t="inlineStr">
        <is>
          <t>ÖSTHAMMAR</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1800-2023</t>
        </is>
      </c>
      <c r="B308" t="inlineStr">
        <is>
          <t>avverkningsanmälan</t>
        </is>
      </c>
      <c r="C308" t="inlineStr">
        <is>
          <t>Föryngringsavverkning</t>
        </is>
      </c>
      <c r="D308" s="1" t="n">
        <v>44938</v>
      </c>
      <c r="E308" s="1" t="n">
        <v>46221</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47341-2023</t>
        </is>
      </c>
      <c r="B309" t="inlineStr">
        <is>
          <t>avverkningsanmälan</t>
        </is>
      </c>
      <c r="C309" t="inlineStr">
        <is>
          <t>Föryngringsavverkning</t>
        </is>
      </c>
      <c r="D309" s="1" t="n">
        <v>45202</v>
      </c>
      <c r="E309" s="1" t="n">
        <v>46221</v>
      </c>
      <c r="F309" t="inlineStr">
        <is>
          <t>UPPSALA LÄN</t>
        </is>
      </c>
      <c r="G309" t="inlineStr">
        <is>
          <t>ÖSTHAMMAR</t>
        </is>
      </c>
      <c r="I309" t="n">
        <v>4.9</v>
      </c>
      <c r="J309" t="n">
        <v>0</v>
      </c>
      <c r="K309" t="n">
        <v>0</v>
      </c>
      <c r="L309" t="n">
        <v>0</v>
      </c>
      <c r="M309" t="n">
        <v>0</v>
      </c>
      <c r="N309" t="n">
        <v>0</v>
      </c>
      <c r="O309" t="n">
        <v>0</v>
      </c>
      <c r="P309" t="n">
        <v>0</v>
      </c>
      <c r="Q309" t="n">
        <v>0</v>
      </c>
      <c r="R309" t="n">
        <v>0</v>
      </c>
      <c r="S309" t="n">
        <v>0</v>
      </c>
      <c r="T309" t="n">
        <v>0</v>
      </c>
      <c r="U309" s="2" t="inlineStr"/>
    </row>
    <row r="310" ht="15" customHeight="1">
      <c r="A310" t="inlineStr">
        <is>
          <t>A 40416-2025</t>
        </is>
      </c>
      <c r="B310" t="inlineStr">
        <is>
          <t>avverkningsanmälan</t>
        </is>
      </c>
      <c r="C310" t="inlineStr">
        <is>
          <t>Föryngringsavverkning</t>
        </is>
      </c>
      <c r="D310" s="1" t="n">
        <v>45895</v>
      </c>
      <c r="E310" s="1" t="n">
        <v>46221</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40462-2025</t>
        </is>
      </c>
      <c r="B311" t="inlineStr">
        <is>
          <t>avverkningsanmälan</t>
        </is>
      </c>
      <c r="C311" t="inlineStr">
        <is>
          <t>Föryngringsavverkning</t>
        </is>
      </c>
      <c r="D311" s="1" t="n">
        <v>45895</v>
      </c>
      <c r="E311" s="1" t="n">
        <v>46221</v>
      </c>
      <c r="F311" t="inlineStr">
        <is>
          <t>UPPSALA LÄN</t>
        </is>
      </c>
      <c r="G311" t="inlineStr">
        <is>
          <t>ÖSTHAMMAR</t>
        </is>
      </c>
      <c r="I311" t="n">
        <v>4.5</v>
      </c>
      <c r="J311" t="n">
        <v>0</v>
      </c>
      <c r="K311" t="n">
        <v>0</v>
      </c>
      <c r="L311" t="n">
        <v>0</v>
      </c>
      <c r="M311" t="n">
        <v>0</v>
      </c>
      <c r="N311" t="n">
        <v>0</v>
      </c>
      <c r="O311" t="n">
        <v>0</v>
      </c>
      <c r="P311" t="n">
        <v>0</v>
      </c>
      <c r="Q311" t="n">
        <v>0</v>
      </c>
      <c r="R311" t="n">
        <v>0</v>
      </c>
      <c r="S311" t="n">
        <v>0</v>
      </c>
      <c r="T311" t="n">
        <v>0</v>
      </c>
      <c r="U311" s="2" t="inlineStr"/>
    </row>
    <row r="312" ht="15" customHeight="1">
      <c r="A312" t="inlineStr">
        <is>
          <t>A 40382-2025</t>
        </is>
      </c>
      <c r="B312" t="inlineStr">
        <is>
          <t>avverkningsanmälan</t>
        </is>
      </c>
      <c r="C312" t="inlineStr">
        <is>
          <t>Föryngringsavverkning</t>
        </is>
      </c>
      <c r="D312" s="1" t="n">
        <v>45895</v>
      </c>
      <c r="E312" s="1" t="n">
        <v>46221</v>
      </c>
      <c r="F312" t="inlineStr">
        <is>
          <t>UPPSALA LÄN</t>
        </is>
      </c>
      <c r="G312" t="inlineStr">
        <is>
          <t>ÖSTHAMMAR</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40384-2025</t>
        </is>
      </c>
      <c r="B313" t="inlineStr">
        <is>
          <t>avverkningsanmälan</t>
        </is>
      </c>
      <c r="C313" t="inlineStr">
        <is>
          <t>Föryngringsavverkning</t>
        </is>
      </c>
      <c r="D313" s="1" t="n">
        <v>45895</v>
      </c>
      <c r="E313" s="1" t="n">
        <v>46221</v>
      </c>
      <c r="F313" t="inlineStr">
        <is>
          <t>UPPSALA LÄN</t>
        </is>
      </c>
      <c r="G313" t="inlineStr">
        <is>
          <t>ÖSTHAMMAR</t>
        </is>
      </c>
      <c r="I313" t="n">
        <v>8.699999999999999</v>
      </c>
      <c r="J313" t="n">
        <v>0</v>
      </c>
      <c r="K313" t="n">
        <v>0</v>
      </c>
      <c r="L313" t="n">
        <v>0</v>
      </c>
      <c r="M313" t="n">
        <v>0</v>
      </c>
      <c r="N313" t="n">
        <v>0</v>
      </c>
      <c r="O313" t="n">
        <v>0</v>
      </c>
      <c r="P313" t="n">
        <v>0</v>
      </c>
      <c r="Q313" t="n">
        <v>0</v>
      </c>
      <c r="R313" t="n">
        <v>0</v>
      </c>
      <c r="S313" t="n">
        <v>0</v>
      </c>
      <c r="T313" t="n">
        <v>0</v>
      </c>
      <c r="U313" s="2" t="inlineStr"/>
    </row>
    <row r="314" ht="15" customHeight="1">
      <c r="A314" t="inlineStr">
        <is>
          <t>A 40460-2025</t>
        </is>
      </c>
      <c r="B314" t="inlineStr">
        <is>
          <t>avverkningsanmälan</t>
        </is>
      </c>
      <c r="C314" t="inlineStr">
        <is>
          <t>Föryngringsavverkning</t>
        </is>
      </c>
      <c r="D314" s="1" t="n">
        <v>45895</v>
      </c>
      <c r="E314" s="1" t="n">
        <v>46221</v>
      </c>
      <c r="F314" t="inlineStr">
        <is>
          <t>UPPSALA LÄN</t>
        </is>
      </c>
      <c r="G314" t="inlineStr">
        <is>
          <t>ÖSTHAMMAR</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61216-2022</t>
        </is>
      </c>
      <c r="B315" t="inlineStr">
        <is>
          <t>avverkningsanmälan</t>
        </is>
      </c>
      <c r="C315" t="inlineStr">
        <is>
          <t>Föryngringsavverkning</t>
        </is>
      </c>
      <c r="D315" s="1" t="n">
        <v>44915</v>
      </c>
      <c r="E315" s="1" t="n">
        <v>46221</v>
      </c>
      <c r="F315" t="inlineStr">
        <is>
          <t>UPPSALA LÄN</t>
        </is>
      </c>
      <c r="G315" t="inlineStr">
        <is>
          <t>ÖSTHAMMAR</t>
        </is>
      </c>
      <c r="I315" t="n">
        <v>2.9</v>
      </c>
      <c r="J315" t="n">
        <v>0</v>
      </c>
      <c r="K315" t="n">
        <v>0</v>
      </c>
      <c r="L315" t="n">
        <v>0</v>
      </c>
      <c r="M315" t="n">
        <v>0</v>
      </c>
      <c r="N315" t="n">
        <v>0</v>
      </c>
      <c r="O315" t="n">
        <v>0</v>
      </c>
      <c r="P315" t="n">
        <v>0</v>
      </c>
      <c r="Q315" t="n">
        <v>0</v>
      </c>
      <c r="R315" t="n">
        <v>0</v>
      </c>
      <c r="S315" t="n">
        <v>0</v>
      </c>
      <c r="T315" t="n">
        <v>0</v>
      </c>
      <c r="U315" s="2" t="inlineStr"/>
    </row>
    <row r="316" ht="15" customHeight="1">
      <c r="A316" t="inlineStr">
        <is>
          <t>A 70008-2021</t>
        </is>
      </c>
      <c r="B316" t="inlineStr">
        <is>
          <t>avverkningsanmälan</t>
        </is>
      </c>
      <c r="C316" t="inlineStr">
        <is>
          <t>Föryngringsavverkning</t>
        </is>
      </c>
      <c r="D316" s="1" t="n">
        <v>44533</v>
      </c>
      <c r="E316" s="1" t="n">
        <v>46221</v>
      </c>
      <c r="F316" t="inlineStr">
        <is>
          <t>UPPSALA LÄN</t>
        </is>
      </c>
      <c r="G316" t="inlineStr">
        <is>
          <t>ÖSTHAMMAR</t>
        </is>
      </c>
      <c r="H316" t="inlineStr">
        <is>
          <t>Sveaskog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41220-2025</t>
        </is>
      </c>
      <c r="B317" t="inlineStr">
        <is>
          <t>avverkningsanmälan</t>
        </is>
      </c>
      <c r="C317" t="inlineStr">
        <is>
          <t>Föryngringsavverkning</t>
        </is>
      </c>
      <c r="D317" s="1" t="n">
        <v>45898</v>
      </c>
      <c r="E317" s="1" t="n">
        <v>46221</v>
      </c>
      <c r="F317" t="inlineStr">
        <is>
          <t>UPPSALA LÄN</t>
        </is>
      </c>
      <c r="G317" t="inlineStr">
        <is>
          <t>ÖSTHAMMAR</t>
        </is>
      </c>
      <c r="H317" t="inlineStr">
        <is>
          <t>Bergvik skog öst AB</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30504-2025</t>
        </is>
      </c>
      <c r="B318" t="inlineStr">
        <is>
          <t>avverkningsanmälan</t>
        </is>
      </c>
      <c r="C318" t="inlineStr">
        <is>
          <t>Föryngringsavverkning</t>
        </is>
      </c>
      <c r="D318" s="1" t="n">
        <v>45830</v>
      </c>
      <c r="E318" s="1" t="n">
        <v>46221</v>
      </c>
      <c r="F318" t="inlineStr">
        <is>
          <t>UPPSALA LÄN</t>
        </is>
      </c>
      <c r="G318" t="inlineStr">
        <is>
          <t>ÖSTHAMMAR</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24401-2025</t>
        </is>
      </c>
      <c r="B319" t="inlineStr">
        <is>
          <t>avverkningsanmälan</t>
        </is>
      </c>
      <c r="C319" t="inlineStr">
        <is>
          <t>Föryngringsavverkning</t>
        </is>
      </c>
      <c r="D319" s="1" t="n">
        <v>45797</v>
      </c>
      <c r="E319" s="1" t="n">
        <v>46221</v>
      </c>
      <c r="F319" t="inlineStr">
        <is>
          <t>UPPSALA LÄN</t>
        </is>
      </c>
      <c r="G319" t="inlineStr">
        <is>
          <t>ÖSTHAMMAR</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30503-2025</t>
        </is>
      </c>
      <c r="B320" t="inlineStr">
        <is>
          <t>avverkningsanmälan</t>
        </is>
      </c>
      <c r="C320" t="inlineStr">
        <is>
          <t>Föryngringsavverkning</t>
        </is>
      </c>
      <c r="D320" s="1" t="n">
        <v>45830</v>
      </c>
      <c r="E320" s="1" t="n">
        <v>46221</v>
      </c>
      <c r="F320" t="inlineStr">
        <is>
          <t>UPPSALA LÄN</t>
        </is>
      </c>
      <c r="G320" t="inlineStr">
        <is>
          <t>ÖSTHAMMAR</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2733-2023</t>
        </is>
      </c>
      <c r="B321" t="inlineStr">
        <is>
          <t>avverkningsanmälan</t>
        </is>
      </c>
      <c r="C321" t="inlineStr">
        <is>
          <t>Avverkning för annat ändamål</t>
        </is>
      </c>
      <c r="D321" s="1" t="n">
        <v>44943</v>
      </c>
      <c r="E321" s="1" t="n">
        <v>46221</v>
      </c>
      <c r="F321" t="inlineStr">
        <is>
          <t>UPPSALA LÄN</t>
        </is>
      </c>
      <c r="G321" t="inlineStr">
        <is>
          <t>ÖSTHAMMAR</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5469-2026</t>
        </is>
      </c>
      <c r="B322" t="inlineStr">
        <is>
          <t>avverkningsanmälan</t>
        </is>
      </c>
      <c r="C322" t="inlineStr">
        <is>
          <t>Avverkning för annat ändamål</t>
        </is>
      </c>
      <c r="D322" s="1" t="n">
        <v>46050</v>
      </c>
      <c r="E322" s="1" t="n">
        <v>46221</v>
      </c>
      <c r="F322" t="inlineStr">
        <is>
          <t>UPPSALA LÄN</t>
        </is>
      </c>
      <c r="G322" t="inlineStr">
        <is>
          <t>ÖSTHAMMAR</t>
        </is>
      </c>
      <c r="H322" t="inlineStr">
        <is>
          <t>Övriga Aktiebolag</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24408-2025</t>
        </is>
      </c>
      <c r="B323" t="inlineStr">
        <is>
          <t>avverkningsanmälan</t>
        </is>
      </c>
      <c r="C323" t="inlineStr">
        <is>
          <t>Föryngringsavverkning</t>
        </is>
      </c>
      <c r="D323" s="1" t="n">
        <v>45797</v>
      </c>
      <c r="E323" s="1" t="n">
        <v>46221</v>
      </c>
      <c r="F323" t="inlineStr">
        <is>
          <t>UPPSALA LÄN</t>
        </is>
      </c>
      <c r="G323" t="inlineStr">
        <is>
          <t>ÖSTHAMMAR</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30610-2025</t>
        </is>
      </c>
      <c r="B324" t="inlineStr">
        <is>
          <t>avverkningsanmälan</t>
        </is>
      </c>
      <c r="C324" t="inlineStr">
        <is>
          <t>Föryngringsavverkning</t>
        </is>
      </c>
      <c r="D324" s="1" t="n">
        <v>45831</v>
      </c>
      <c r="E324" s="1" t="n">
        <v>46221</v>
      </c>
      <c r="F324" t="inlineStr">
        <is>
          <t>UPPSALA LÄN</t>
        </is>
      </c>
      <c r="G324" t="inlineStr">
        <is>
          <t>ÖSTHAMMAR</t>
        </is>
      </c>
      <c r="I324" t="n">
        <v>0.2</v>
      </c>
      <c r="J324" t="n">
        <v>0</v>
      </c>
      <c r="K324" t="n">
        <v>0</v>
      </c>
      <c r="L324" t="n">
        <v>0</v>
      </c>
      <c r="M324" t="n">
        <v>0</v>
      </c>
      <c r="N324" t="n">
        <v>0</v>
      </c>
      <c r="O324" t="n">
        <v>0</v>
      </c>
      <c r="P324" t="n">
        <v>0</v>
      </c>
      <c r="Q324" t="n">
        <v>0</v>
      </c>
      <c r="R324" t="n">
        <v>0</v>
      </c>
      <c r="S324" t="n">
        <v>0</v>
      </c>
      <c r="T324" t="n">
        <v>0</v>
      </c>
      <c r="U324" s="2" t="inlineStr"/>
    </row>
    <row r="325" ht="15" customHeight="1">
      <c r="A325" t="inlineStr">
        <is>
          <t>A 31579-2025</t>
        </is>
      </c>
      <c r="B325" t="inlineStr">
        <is>
          <t>avverkningsanmälan</t>
        </is>
      </c>
      <c r="C325" t="inlineStr">
        <is>
          <t>Föryngringsavverkning</t>
        </is>
      </c>
      <c r="D325" s="1" t="n">
        <v>45833</v>
      </c>
      <c r="E325" s="1" t="n">
        <v>46221</v>
      </c>
      <c r="F325" t="inlineStr">
        <is>
          <t>UPPSALA LÄN</t>
        </is>
      </c>
      <c r="G325" t="inlineStr">
        <is>
          <t>ÖSTHAMMAR</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12812-2024</t>
        </is>
      </c>
      <c r="B326" t="inlineStr">
        <is>
          <t>avverkningsanmälan</t>
        </is>
      </c>
      <c r="C326" t="inlineStr">
        <is>
          <t>Föryngringsavverkning</t>
        </is>
      </c>
      <c r="D326" s="1" t="n">
        <v>45384</v>
      </c>
      <c r="E326" s="1" t="n">
        <v>46221</v>
      </c>
      <c r="F326" t="inlineStr">
        <is>
          <t>UPPSALA LÄN</t>
        </is>
      </c>
      <c r="G326" t="inlineStr">
        <is>
          <t>ÖSTHAMMAR</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24389-2025</t>
        </is>
      </c>
      <c r="B327" t="inlineStr">
        <is>
          <t>avverkningsanmälan</t>
        </is>
      </c>
      <c r="C327" t="inlineStr">
        <is>
          <t>Föryngringsavverkning</t>
        </is>
      </c>
      <c r="D327" s="1" t="n">
        <v>45797</v>
      </c>
      <c r="E327" s="1" t="n">
        <v>46221</v>
      </c>
      <c r="F327" t="inlineStr">
        <is>
          <t>UPPSALA LÄN</t>
        </is>
      </c>
      <c r="G327" t="inlineStr">
        <is>
          <t>ÖSTHAMMAR</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28099-2025</t>
        </is>
      </c>
      <c r="B328" t="inlineStr">
        <is>
          <t>avverkningsanmälan</t>
        </is>
      </c>
      <c r="C328" t="inlineStr">
        <is>
          <t>Föryngringsavverkning</t>
        </is>
      </c>
      <c r="D328" s="1" t="n">
        <v>45817</v>
      </c>
      <c r="E328" s="1" t="n">
        <v>46221</v>
      </c>
      <c r="F328" t="inlineStr">
        <is>
          <t>UPPSALA LÄN</t>
        </is>
      </c>
      <c r="G328" t="inlineStr">
        <is>
          <t>ÖSTHAMMAR</t>
        </is>
      </c>
      <c r="H328" t="inlineStr">
        <is>
          <t>Bergvik skog öst AB</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42940-2025</t>
        </is>
      </c>
      <c r="B329" t="inlineStr">
        <is>
          <t>avverkningsanmälan</t>
        </is>
      </c>
      <c r="C329" t="inlineStr">
        <is>
          <t>Föryngringsavverkning</t>
        </is>
      </c>
      <c r="D329" s="1" t="n">
        <v>45909</v>
      </c>
      <c r="E329" s="1" t="n">
        <v>46221</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31574-2022</t>
        </is>
      </c>
      <c r="B330" t="inlineStr">
        <is>
          <t>avverkningsanmälan</t>
        </is>
      </c>
      <c r="C330" t="inlineStr">
        <is>
          <t>Föryngringsavverkning</t>
        </is>
      </c>
      <c r="D330" s="1" t="n">
        <v>44775</v>
      </c>
      <c r="E330" s="1" t="n">
        <v>46221</v>
      </c>
      <c r="F330" t="inlineStr">
        <is>
          <t>UPPSALA LÄN</t>
        </is>
      </c>
      <c r="G330" t="inlineStr">
        <is>
          <t>ÖSTHAMMAR</t>
        </is>
      </c>
      <c r="I330" t="n">
        <v>29.7</v>
      </c>
      <c r="J330" t="n">
        <v>0</v>
      </c>
      <c r="K330" t="n">
        <v>0</v>
      </c>
      <c r="L330" t="n">
        <v>0</v>
      </c>
      <c r="M330" t="n">
        <v>0</v>
      </c>
      <c r="N330" t="n">
        <v>0</v>
      </c>
      <c r="O330" t="n">
        <v>0</v>
      </c>
      <c r="P330" t="n">
        <v>0</v>
      </c>
      <c r="Q330" t="n">
        <v>0</v>
      </c>
      <c r="R330" t="n">
        <v>0</v>
      </c>
      <c r="S330" t="n">
        <v>0</v>
      </c>
      <c r="T330" t="n">
        <v>0</v>
      </c>
      <c r="U330" s="2" t="inlineStr"/>
    </row>
    <row r="331" ht="15" customHeight="1">
      <c r="A331" t="inlineStr">
        <is>
          <t>A 27476-2025</t>
        </is>
      </c>
      <c r="B331" t="inlineStr">
        <is>
          <t>avverkningsanmälan</t>
        </is>
      </c>
      <c r="C331" t="inlineStr">
        <is>
          <t>Föryngringsavverkning</t>
        </is>
      </c>
      <c r="D331" s="1" t="n">
        <v>45813</v>
      </c>
      <c r="E331" s="1" t="n">
        <v>46221</v>
      </c>
      <c r="F331" t="inlineStr">
        <is>
          <t>UPPSALA LÄN</t>
        </is>
      </c>
      <c r="G331" t="inlineStr">
        <is>
          <t>ÖSTHAMMAR</t>
        </is>
      </c>
      <c r="H331" t="inlineStr">
        <is>
          <t>Bergvik skog öst AB</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24181-2022</t>
        </is>
      </c>
      <c r="B332" t="inlineStr">
        <is>
          <t>avverkningsanmälan</t>
        </is>
      </c>
      <c r="C332" t="inlineStr">
        <is>
          <t>Föryngringsavverkning</t>
        </is>
      </c>
      <c r="D332" s="1" t="n">
        <v>44725</v>
      </c>
      <c r="E332" s="1" t="n">
        <v>46221</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21478-2023</t>
        </is>
      </c>
      <c r="B333" t="inlineStr">
        <is>
          <t>avverkningsanmälan</t>
        </is>
      </c>
      <c r="C333" t="inlineStr">
        <is>
          <t>Föryngringsavverkning</t>
        </is>
      </c>
      <c r="D333" s="1" t="n">
        <v>45063</v>
      </c>
      <c r="E333" s="1" t="n">
        <v>46221</v>
      </c>
      <c r="F333" t="inlineStr">
        <is>
          <t>UPPSALA LÄN</t>
        </is>
      </c>
      <c r="G333" t="inlineStr">
        <is>
          <t>ÖSTHAMMAR</t>
        </is>
      </c>
      <c r="I333" t="n">
        <v>0.4</v>
      </c>
      <c r="J333" t="n">
        <v>0</v>
      </c>
      <c r="K333" t="n">
        <v>0</v>
      </c>
      <c r="L333" t="n">
        <v>0</v>
      </c>
      <c r="M333" t="n">
        <v>0</v>
      </c>
      <c r="N333" t="n">
        <v>0</v>
      </c>
      <c r="O333" t="n">
        <v>0</v>
      </c>
      <c r="P333" t="n">
        <v>0</v>
      </c>
      <c r="Q333" t="n">
        <v>0</v>
      </c>
      <c r="R333" t="n">
        <v>0</v>
      </c>
      <c r="S333" t="n">
        <v>0</v>
      </c>
      <c r="T333" t="n">
        <v>0</v>
      </c>
      <c r="U333" s="2" t="inlineStr"/>
    </row>
    <row r="334" ht="15" customHeight="1">
      <c r="A334" t="inlineStr">
        <is>
          <t>A 33529-2025</t>
        </is>
      </c>
      <c r="B334" t="inlineStr">
        <is>
          <t>avverkningsanmälan</t>
        </is>
      </c>
      <c r="C334" t="inlineStr">
        <is>
          <t>Föryngringsavverkning</t>
        </is>
      </c>
      <c r="D334" s="1" t="n">
        <v>45841</v>
      </c>
      <c r="E334" s="1" t="n">
        <v>46221</v>
      </c>
      <c r="F334" t="inlineStr">
        <is>
          <t>UPPSALA LÄN</t>
        </is>
      </c>
      <c r="G334" t="inlineStr">
        <is>
          <t>ÖSTHAMMAR</t>
        </is>
      </c>
      <c r="H334" t="inlineStr">
        <is>
          <t>Bergvik skog öst AB</t>
        </is>
      </c>
      <c r="I334" t="n">
        <v>11.8</v>
      </c>
      <c r="J334" t="n">
        <v>0</v>
      </c>
      <c r="K334" t="n">
        <v>0</v>
      </c>
      <c r="L334" t="n">
        <v>0</v>
      </c>
      <c r="M334" t="n">
        <v>0</v>
      </c>
      <c r="N334" t="n">
        <v>0</v>
      </c>
      <c r="O334" t="n">
        <v>0</v>
      </c>
      <c r="P334" t="n">
        <v>0</v>
      </c>
      <c r="Q334" t="n">
        <v>0</v>
      </c>
      <c r="R334" t="n">
        <v>0</v>
      </c>
      <c r="S334" t="n">
        <v>0</v>
      </c>
      <c r="T334" t="n">
        <v>0</v>
      </c>
      <c r="U334" s="2" t="inlineStr"/>
    </row>
    <row r="335" ht="15" customHeight="1">
      <c r="A335" t="inlineStr">
        <is>
          <t>A 6522-2026</t>
        </is>
      </c>
      <c r="B335" t="inlineStr">
        <is>
          <t>avverkningsanmälan</t>
        </is>
      </c>
      <c r="C335" t="inlineStr">
        <is>
          <t>Föryngringsavverkning</t>
        </is>
      </c>
      <c r="D335" s="1" t="n">
        <v>46056</v>
      </c>
      <c r="E335" s="1" t="n">
        <v>46221</v>
      </c>
      <c r="F335" t="inlineStr">
        <is>
          <t>UPPSALA LÄN</t>
        </is>
      </c>
      <c r="G335" t="inlineStr">
        <is>
          <t>ÖSTHAMMAR</t>
        </is>
      </c>
      <c r="H335" t="inlineStr">
        <is>
          <t>Bergvik skog öst AB</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6517-2026</t>
        </is>
      </c>
      <c r="B336" t="inlineStr">
        <is>
          <t>avverkningsanmälan</t>
        </is>
      </c>
      <c r="C336" t="inlineStr">
        <is>
          <t>Föryngringsavverkning</t>
        </is>
      </c>
      <c r="D336" s="1" t="n">
        <v>46056</v>
      </c>
      <c r="E336" s="1" t="n">
        <v>46221</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6635-2026</t>
        </is>
      </c>
      <c r="B337" t="inlineStr">
        <is>
          <t>avverkningsanmälan</t>
        </is>
      </c>
      <c r="C337" t="inlineStr">
        <is>
          <t>Föryngringsavverkning</t>
        </is>
      </c>
      <c r="D337" s="1" t="n">
        <v>46056</v>
      </c>
      <c r="E337" s="1" t="n">
        <v>46221</v>
      </c>
      <c r="F337" t="inlineStr">
        <is>
          <t>UPPSALA LÄN</t>
        </is>
      </c>
      <c r="G337" t="inlineStr">
        <is>
          <t>ÖSTHAMMAR</t>
        </is>
      </c>
      <c r="H337" t="inlineStr">
        <is>
          <t>Bergvik skog öst AB</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33972-2025</t>
        </is>
      </c>
      <c r="B338" t="inlineStr">
        <is>
          <t>avverkningsanmälan</t>
        </is>
      </c>
      <c r="C338" t="inlineStr">
        <is>
          <t>Föryngringsavverkning</t>
        </is>
      </c>
      <c r="D338" s="1" t="n">
        <v>45842</v>
      </c>
      <c r="E338" s="1" t="n">
        <v>46221</v>
      </c>
      <c r="F338" t="inlineStr">
        <is>
          <t>UPPSALA LÄN</t>
        </is>
      </c>
      <c r="G338" t="inlineStr">
        <is>
          <t>ÖSTHAMMAR</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26395-2025</t>
        </is>
      </c>
      <c r="B339" t="inlineStr">
        <is>
          <t>avverkningsanmälan</t>
        </is>
      </c>
      <c r="C339" t="inlineStr">
        <is>
          <t>Föryngringsavverkning</t>
        </is>
      </c>
      <c r="D339" s="1" t="n">
        <v>45807</v>
      </c>
      <c r="E339" s="1" t="n">
        <v>46221</v>
      </c>
      <c r="F339" t="inlineStr">
        <is>
          <t>UPPSALA LÄN</t>
        </is>
      </c>
      <c r="G339" t="inlineStr">
        <is>
          <t>ÖSTHAMMAR</t>
        </is>
      </c>
      <c r="I339" t="n">
        <v>7</v>
      </c>
      <c r="J339" t="n">
        <v>0</v>
      </c>
      <c r="K339" t="n">
        <v>0</v>
      </c>
      <c r="L339" t="n">
        <v>0</v>
      </c>
      <c r="M339" t="n">
        <v>0</v>
      </c>
      <c r="N339" t="n">
        <v>0</v>
      </c>
      <c r="O339" t="n">
        <v>0</v>
      </c>
      <c r="P339" t="n">
        <v>0</v>
      </c>
      <c r="Q339" t="n">
        <v>0</v>
      </c>
      <c r="R339" t="n">
        <v>0</v>
      </c>
      <c r="S339" t="n">
        <v>0</v>
      </c>
      <c r="T339" t="n">
        <v>0</v>
      </c>
      <c r="U339" s="2" t="inlineStr"/>
    </row>
    <row r="340" ht="15" customHeight="1">
      <c r="A340" t="inlineStr">
        <is>
          <t>A 45993-2025</t>
        </is>
      </c>
      <c r="B340" t="inlineStr">
        <is>
          <t>avverkningsanmälan</t>
        </is>
      </c>
      <c r="C340" t="inlineStr">
        <is>
          <t>Föryngringsavverkning</t>
        </is>
      </c>
      <c r="D340" s="1" t="n">
        <v>45924</v>
      </c>
      <c r="E340" s="1" t="n">
        <v>46221</v>
      </c>
      <c r="F340" t="inlineStr">
        <is>
          <t>UPPSALA LÄN</t>
        </is>
      </c>
      <c r="G340" t="inlineStr">
        <is>
          <t>ÖSTHAMMAR</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10117-2025</t>
        </is>
      </c>
      <c r="B341" t="inlineStr">
        <is>
          <t>avverkningsanmälan</t>
        </is>
      </c>
      <c r="C341" t="inlineStr">
        <is>
          <t>Föryngringsavverkning</t>
        </is>
      </c>
      <c r="D341" s="1" t="n">
        <v>45719</v>
      </c>
      <c r="E341" s="1" t="n">
        <v>46221</v>
      </c>
      <c r="F341" t="inlineStr">
        <is>
          <t>UPPSALA LÄN</t>
        </is>
      </c>
      <c r="G341" t="inlineStr">
        <is>
          <t>ÖSTHAMMAR</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6511-2026</t>
        </is>
      </c>
      <c r="B342" t="inlineStr">
        <is>
          <t>avverkningsanmälan</t>
        </is>
      </c>
      <c r="C342" t="inlineStr">
        <is>
          <t>Föryngringsavverkning</t>
        </is>
      </c>
      <c r="D342" s="1" t="n">
        <v>46056</v>
      </c>
      <c r="E342" s="1" t="n">
        <v>46221</v>
      </c>
      <c r="F342" t="inlineStr">
        <is>
          <t>UPPSALA LÄN</t>
        </is>
      </c>
      <c r="G342" t="inlineStr">
        <is>
          <t>ÖSTHAMMAR</t>
        </is>
      </c>
      <c r="H342" t="inlineStr">
        <is>
          <t>Bergvik skog öst AB</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25418-2022</t>
        </is>
      </c>
      <c r="B343" t="inlineStr">
        <is>
          <t>avverkningsanmälan</t>
        </is>
      </c>
      <c r="C343" t="inlineStr">
        <is>
          <t>Föryngringsavverkning</t>
        </is>
      </c>
      <c r="D343" s="1" t="n">
        <v>44732</v>
      </c>
      <c r="E343" s="1" t="n">
        <v>46221</v>
      </c>
      <c r="F343" t="inlineStr">
        <is>
          <t>UPPSALA LÄN</t>
        </is>
      </c>
      <c r="G343" t="inlineStr">
        <is>
          <t>ÖSTHAMMAR</t>
        </is>
      </c>
      <c r="I343" t="n">
        <v>2.8</v>
      </c>
      <c r="J343" t="n">
        <v>0</v>
      </c>
      <c r="K343" t="n">
        <v>0</v>
      </c>
      <c r="L343" t="n">
        <v>0</v>
      </c>
      <c r="M343" t="n">
        <v>0</v>
      </c>
      <c r="N343" t="n">
        <v>0</v>
      </c>
      <c r="O343" t="n">
        <v>0</v>
      </c>
      <c r="P343" t="n">
        <v>0</v>
      </c>
      <c r="Q343" t="n">
        <v>0</v>
      </c>
      <c r="R343" t="n">
        <v>0</v>
      </c>
      <c r="S343" t="n">
        <v>0</v>
      </c>
      <c r="T343" t="n">
        <v>0</v>
      </c>
      <c r="U343" s="2" t="inlineStr"/>
    </row>
    <row r="344" ht="15" customHeight="1">
      <c r="A344" t="inlineStr">
        <is>
          <t>A 25859-2024</t>
        </is>
      </c>
      <c r="B344" t="inlineStr">
        <is>
          <t>avverkningsanmälan</t>
        </is>
      </c>
      <c r="C344" t="inlineStr">
        <is>
          <t>Föryngringsavverkning</t>
        </is>
      </c>
      <c r="D344" s="1" t="n">
        <v>45467</v>
      </c>
      <c r="E344" s="1" t="n">
        <v>46221</v>
      </c>
      <c r="F344" t="inlineStr">
        <is>
          <t>UPPSALA LÄN</t>
        </is>
      </c>
      <c r="G344" t="inlineStr">
        <is>
          <t>ÖSTHAMMAR</t>
        </is>
      </c>
      <c r="I344" t="n">
        <v>7.9</v>
      </c>
      <c r="J344" t="n">
        <v>0</v>
      </c>
      <c r="K344" t="n">
        <v>0</v>
      </c>
      <c r="L344" t="n">
        <v>0</v>
      </c>
      <c r="M344" t="n">
        <v>0</v>
      </c>
      <c r="N344" t="n">
        <v>0</v>
      </c>
      <c r="O344" t="n">
        <v>0</v>
      </c>
      <c r="P344" t="n">
        <v>0</v>
      </c>
      <c r="Q344" t="n">
        <v>0</v>
      </c>
      <c r="R344" t="n">
        <v>0</v>
      </c>
      <c r="S344" t="n">
        <v>0</v>
      </c>
      <c r="T344" t="n">
        <v>0</v>
      </c>
      <c r="U344" s="2" t="inlineStr"/>
    </row>
    <row r="345" ht="15" customHeight="1">
      <c r="A345" t="inlineStr">
        <is>
          <t>A 19640-2025</t>
        </is>
      </c>
      <c r="B345" t="inlineStr">
        <is>
          <t>avverkningsanmälan</t>
        </is>
      </c>
      <c r="C345" t="inlineStr">
        <is>
          <t>Föryngringsavverkning</t>
        </is>
      </c>
      <c r="D345" s="1" t="n">
        <v>45770</v>
      </c>
      <c r="E345" s="1" t="n">
        <v>46221</v>
      </c>
      <c r="F345" t="inlineStr">
        <is>
          <t>UPPSALA LÄN</t>
        </is>
      </c>
      <c r="G345" t="inlineStr">
        <is>
          <t>ÖSTHAMMAR</t>
        </is>
      </c>
      <c r="H345" t="inlineStr">
        <is>
          <t>Övriga Aktiebolag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62391-2022</t>
        </is>
      </c>
      <c r="B346" t="inlineStr">
        <is>
          <t>avverkningsanmälan</t>
        </is>
      </c>
      <c r="C346" t="inlineStr">
        <is>
          <t>Föryngringsavverkning</t>
        </is>
      </c>
      <c r="D346" s="1" t="n">
        <v>44923</v>
      </c>
      <c r="E346" s="1" t="n">
        <v>46221</v>
      </c>
      <c r="F346" t="inlineStr">
        <is>
          <t>UPPSALA LÄN</t>
        </is>
      </c>
      <c r="G346" t="inlineStr">
        <is>
          <t>ÖSTHAMMAR</t>
        </is>
      </c>
      <c r="H346" t="inlineStr">
        <is>
          <t>Bergvik skog öst AB</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31485-2023</t>
        </is>
      </c>
      <c r="B347" t="inlineStr">
        <is>
          <t>avverkningsanmälan</t>
        </is>
      </c>
      <c r="C347" t="inlineStr">
        <is>
          <t>Föryngringsavverkning</t>
        </is>
      </c>
      <c r="D347" s="1" t="n">
        <v>45114</v>
      </c>
      <c r="E347" s="1" t="n">
        <v>46221</v>
      </c>
      <c r="F347" t="inlineStr">
        <is>
          <t>UPPSALA LÄN</t>
        </is>
      </c>
      <c r="G347" t="inlineStr">
        <is>
          <t>ÖSTHAMMAR</t>
        </is>
      </c>
      <c r="H347" t="inlineStr">
        <is>
          <t>Bergvik skog öst AB</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32744-2022</t>
        </is>
      </c>
      <c r="B348" t="inlineStr">
        <is>
          <t>avverkningsanmälan</t>
        </is>
      </c>
      <c r="C348" t="inlineStr">
        <is>
          <t>Föryngringsavverkning</t>
        </is>
      </c>
      <c r="D348" s="1" t="n">
        <v>44783</v>
      </c>
      <c r="E348" s="1" t="n">
        <v>46221</v>
      </c>
      <c r="F348" t="inlineStr">
        <is>
          <t>UPPSALA LÄN</t>
        </is>
      </c>
      <c r="G348" t="inlineStr">
        <is>
          <t>ÖSTHAMMAR</t>
        </is>
      </c>
      <c r="H348" t="inlineStr">
        <is>
          <t>Bergvik skog öst AB</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47615-2025</t>
        </is>
      </c>
      <c r="B349" t="inlineStr">
        <is>
          <t>avverkningsanmälan</t>
        </is>
      </c>
      <c r="C349" t="inlineStr">
        <is>
          <t>Föryngringsavverkning</t>
        </is>
      </c>
      <c r="D349" s="1" t="n">
        <v>45931</v>
      </c>
      <c r="E349" s="1" t="n">
        <v>46221</v>
      </c>
      <c r="F349" t="inlineStr">
        <is>
          <t>UPPSALA LÄN</t>
        </is>
      </c>
      <c r="G349" t="inlineStr">
        <is>
          <t>ÖSTHAMMAR</t>
        </is>
      </c>
      <c r="I349" t="n">
        <v>7</v>
      </c>
      <c r="J349" t="n">
        <v>0</v>
      </c>
      <c r="K349" t="n">
        <v>0</v>
      </c>
      <c r="L349" t="n">
        <v>0</v>
      </c>
      <c r="M349" t="n">
        <v>0</v>
      </c>
      <c r="N349" t="n">
        <v>0</v>
      </c>
      <c r="O349" t="n">
        <v>0</v>
      </c>
      <c r="P349" t="n">
        <v>0</v>
      </c>
      <c r="Q349" t="n">
        <v>0</v>
      </c>
      <c r="R349" t="n">
        <v>0</v>
      </c>
      <c r="S349" t="n">
        <v>0</v>
      </c>
      <c r="T349" t="n">
        <v>0</v>
      </c>
      <c r="U349" s="2" t="inlineStr"/>
    </row>
    <row r="350" ht="15" customHeight="1">
      <c r="A350" t="inlineStr">
        <is>
          <t>A 4559-2022</t>
        </is>
      </c>
      <c r="B350" t="inlineStr">
        <is>
          <t>avverkningsanmälan</t>
        </is>
      </c>
      <c r="C350" t="inlineStr">
        <is>
          <t>Föryngringsavverkning</t>
        </is>
      </c>
      <c r="D350" s="1" t="n">
        <v>44591</v>
      </c>
      <c r="E350" s="1" t="n">
        <v>46221</v>
      </c>
      <c r="F350" t="inlineStr">
        <is>
          <t>UPPSALA LÄN</t>
        </is>
      </c>
      <c r="G350" t="inlineStr">
        <is>
          <t>ÖSTHAMMAR</t>
        </is>
      </c>
      <c r="H350" t="inlineStr">
        <is>
          <t>Bergvik skog öst AB</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11643-2022</t>
        </is>
      </c>
      <c r="B351" t="inlineStr">
        <is>
          <t>avverkningsanmälan</t>
        </is>
      </c>
      <c r="C351" t="inlineStr">
        <is>
          <t>Föryngringsavverkning</t>
        </is>
      </c>
      <c r="D351" s="1" t="n">
        <v>44631</v>
      </c>
      <c r="E351" s="1" t="n">
        <v>46221</v>
      </c>
      <c r="F351" t="inlineStr">
        <is>
          <t>UPPSALA LÄN</t>
        </is>
      </c>
      <c r="G351" t="inlineStr">
        <is>
          <t>ÖSTHAMMAR</t>
        </is>
      </c>
      <c r="H351" t="inlineStr">
        <is>
          <t>Bergvik skog öst AB</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17929-2025</t>
        </is>
      </c>
      <c r="B352" t="inlineStr">
        <is>
          <t>avverkningsanmälan</t>
        </is>
      </c>
      <c r="C352" t="inlineStr">
        <is>
          <t>Föryngringsavverkning</t>
        </is>
      </c>
      <c r="D352" s="1" t="n">
        <v>45759</v>
      </c>
      <c r="E352" s="1" t="n">
        <v>46221</v>
      </c>
      <c r="F352" t="inlineStr">
        <is>
          <t>UPPSALA LÄN</t>
        </is>
      </c>
      <c r="G352" t="inlineStr">
        <is>
          <t>ÖSTHAMMAR</t>
        </is>
      </c>
      <c r="I352" t="n">
        <v>3.4</v>
      </c>
      <c r="J352" t="n">
        <v>0</v>
      </c>
      <c r="K352" t="n">
        <v>0</v>
      </c>
      <c r="L352" t="n">
        <v>0</v>
      </c>
      <c r="M352" t="n">
        <v>0</v>
      </c>
      <c r="N352" t="n">
        <v>0</v>
      </c>
      <c r="O352" t="n">
        <v>0</v>
      </c>
      <c r="P352" t="n">
        <v>0</v>
      </c>
      <c r="Q352" t="n">
        <v>0</v>
      </c>
      <c r="R352" t="n">
        <v>0</v>
      </c>
      <c r="S352" t="n">
        <v>0</v>
      </c>
      <c r="T352" t="n">
        <v>0</v>
      </c>
      <c r="U352" s="2" t="inlineStr"/>
    </row>
    <row r="353" ht="15" customHeight="1">
      <c r="A353" t="inlineStr">
        <is>
          <t>A 7241-2026</t>
        </is>
      </c>
      <c r="B353" t="inlineStr">
        <is>
          <t>avverkningsanmälan</t>
        </is>
      </c>
      <c r="C353" t="inlineStr">
        <is>
          <t>Föryngringsavverkning</t>
        </is>
      </c>
      <c r="D353" s="1" t="n">
        <v>46058</v>
      </c>
      <c r="E353" s="1" t="n">
        <v>46221</v>
      </c>
      <c r="F353" t="inlineStr">
        <is>
          <t>UPPSALA LÄN</t>
        </is>
      </c>
      <c r="G353" t="inlineStr">
        <is>
          <t>ÖSTHAMMAR</t>
        </is>
      </c>
      <c r="H353" t="inlineStr">
        <is>
          <t>Övriga Aktiebolag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7262-2026</t>
        </is>
      </c>
      <c r="B354" t="inlineStr">
        <is>
          <t>avverkningsanmälan</t>
        </is>
      </c>
      <c r="C354" t="inlineStr">
        <is>
          <t>Föryngringsavverkning</t>
        </is>
      </c>
      <c r="D354" s="1" t="n">
        <v>46058</v>
      </c>
      <c r="E354" s="1" t="n">
        <v>46221</v>
      </c>
      <c r="F354" t="inlineStr">
        <is>
          <t>UPPSALA LÄN</t>
        </is>
      </c>
      <c r="G354" t="inlineStr">
        <is>
          <t>ÖSTHAMMAR</t>
        </is>
      </c>
      <c r="H354" t="inlineStr">
        <is>
          <t>Övriga Aktiebolag</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11036-2023</t>
        </is>
      </c>
      <c r="B355" t="inlineStr">
        <is>
          <t>avverkningsanmälan</t>
        </is>
      </c>
      <c r="C355" t="inlineStr">
        <is>
          <t>Föryngringsavverkning</t>
        </is>
      </c>
      <c r="D355" s="1" t="n">
        <v>44991</v>
      </c>
      <c r="E355" s="1" t="n">
        <v>46221</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3418-2025</t>
        </is>
      </c>
      <c r="B356" t="inlineStr">
        <is>
          <t>avverkningsanmälan</t>
        </is>
      </c>
      <c r="C356" t="inlineStr">
        <is>
          <t>Föryngringsavverkning</t>
        </is>
      </c>
      <c r="D356" s="1" t="n">
        <v>45680</v>
      </c>
      <c r="E356" s="1" t="n">
        <v>46221</v>
      </c>
      <c r="F356" t="inlineStr">
        <is>
          <t>UPPSALA LÄN</t>
        </is>
      </c>
      <c r="G356" t="inlineStr">
        <is>
          <t>ÖSTHAMMAR</t>
        </is>
      </c>
      <c r="H356" t="inlineStr">
        <is>
          <t>Bergvik skog väst AB</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14505-2023</t>
        </is>
      </c>
      <c r="B357" t="inlineStr">
        <is>
          <t>avverkningsanmälan</t>
        </is>
      </c>
      <c r="C357" t="inlineStr">
        <is>
          <t>Föryngringsavverkning</t>
        </is>
      </c>
      <c r="D357" s="1" t="n">
        <v>45012</v>
      </c>
      <c r="E357" s="1" t="n">
        <v>46221</v>
      </c>
      <c r="F357" t="inlineStr">
        <is>
          <t>UPPSALA LÄN</t>
        </is>
      </c>
      <c r="G357" t="inlineStr">
        <is>
          <t>ÖSTHAMMAR</t>
        </is>
      </c>
      <c r="H357" t="inlineStr">
        <is>
          <t>Bergvik skog öst AB</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60577-2021</t>
        </is>
      </c>
      <c r="B358" t="inlineStr">
        <is>
          <t>avverkningsanmälan</t>
        </is>
      </c>
      <c r="C358" t="inlineStr">
        <is>
          <t>Föryngringsavverkning</t>
        </is>
      </c>
      <c r="D358" s="1" t="n">
        <v>44496</v>
      </c>
      <c r="E358" s="1" t="n">
        <v>46221</v>
      </c>
      <c r="F358" t="inlineStr">
        <is>
          <t>UPPSALA LÄN</t>
        </is>
      </c>
      <c r="G358" t="inlineStr">
        <is>
          <t>ÖSTHAMMAR</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36451-2025</t>
        </is>
      </c>
      <c r="B359" t="inlineStr">
        <is>
          <t>avverkningsanmälan</t>
        </is>
      </c>
      <c r="C359" t="inlineStr">
        <is>
          <t>Föryngringsavverkning</t>
        </is>
      </c>
      <c r="D359" s="1" t="n">
        <v>45869</v>
      </c>
      <c r="E359" s="1" t="n">
        <v>46221</v>
      </c>
      <c r="F359" t="inlineStr">
        <is>
          <t>UPPSALA LÄN</t>
        </is>
      </c>
      <c r="G359" t="inlineStr">
        <is>
          <t>ÖSTHAMMAR</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48854-2025</t>
        </is>
      </c>
      <c r="B360" t="inlineStr">
        <is>
          <t>avverkningsanmälan</t>
        </is>
      </c>
      <c r="C360" t="inlineStr">
        <is>
          <t>Föryngringsavverkning</t>
        </is>
      </c>
      <c r="D360" s="1" t="n">
        <v>45937</v>
      </c>
      <c r="E360" s="1" t="n">
        <v>46221</v>
      </c>
      <c r="F360" t="inlineStr">
        <is>
          <t>UPPSALA LÄN</t>
        </is>
      </c>
      <c r="G360" t="inlineStr">
        <is>
          <t>ÖSTHAMMAR</t>
        </is>
      </c>
      <c r="H360" t="inlineStr">
        <is>
          <t>Övriga Aktiebolag</t>
        </is>
      </c>
      <c r="I360" t="n">
        <v>18.9</v>
      </c>
      <c r="J360" t="n">
        <v>0</v>
      </c>
      <c r="K360" t="n">
        <v>0</v>
      </c>
      <c r="L360" t="n">
        <v>0</v>
      </c>
      <c r="M360" t="n">
        <v>0</v>
      </c>
      <c r="N360" t="n">
        <v>0</v>
      </c>
      <c r="O360" t="n">
        <v>0</v>
      </c>
      <c r="P360" t="n">
        <v>0</v>
      </c>
      <c r="Q360" t="n">
        <v>0</v>
      </c>
      <c r="R360" t="n">
        <v>0</v>
      </c>
      <c r="S360" t="n">
        <v>0</v>
      </c>
      <c r="T360" t="n">
        <v>0</v>
      </c>
      <c r="U360" s="2" t="inlineStr"/>
    </row>
    <row r="361" ht="15" customHeight="1">
      <c r="A361" t="inlineStr">
        <is>
          <t>A 62695-2023</t>
        </is>
      </c>
      <c r="B361" t="inlineStr">
        <is>
          <t>avverkningsanmälan</t>
        </is>
      </c>
      <c r="C361" t="inlineStr">
        <is>
          <t>Föryngringsavverkning</t>
        </is>
      </c>
      <c r="D361" s="1" t="n">
        <v>45271</v>
      </c>
      <c r="E361" s="1" t="n">
        <v>46221</v>
      </c>
      <c r="F361" t="inlineStr">
        <is>
          <t>UPPSALA LÄN</t>
        </is>
      </c>
      <c r="G361" t="inlineStr">
        <is>
          <t>ÖSTHAMMAR</t>
        </is>
      </c>
      <c r="I361" t="n">
        <v>5.3</v>
      </c>
      <c r="J361" t="n">
        <v>0</v>
      </c>
      <c r="K361" t="n">
        <v>0</v>
      </c>
      <c r="L361" t="n">
        <v>0</v>
      </c>
      <c r="M361" t="n">
        <v>0</v>
      </c>
      <c r="N361" t="n">
        <v>0</v>
      </c>
      <c r="O361" t="n">
        <v>0</v>
      </c>
      <c r="P361" t="n">
        <v>0</v>
      </c>
      <c r="Q361" t="n">
        <v>0</v>
      </c>
      <c r="R361" t="n">
        <v>0</v>
      </c>
      <c r="S361" t="n">
        <v>0</v>
      </c>
      <c r="T361" t="n">
        <v>0</v>
      </c>
      <c r="U361" s="2" t="inlineStr"/>
    </row>
    <row r="362" ht="15" customHeight="1">
      <c r="A362" t="inlineStr">
        <is>
          <t>A 6884-2026</t>
        </is>
      </c>
      <c r="B362" t="inlineStr">
        <is>
          <t>avverkningsanmälan</t>
        </is>
      </c>
      <c r="C362" t="inlineStr">
        <is>
          <t>Föryngringsavverkning</t>
        </is>
      </c>
      <c r="D362" s="1" t="n">
        <v>46057</v>
      </c>
      <c r="E362" s="1" t="n">
        <v>46221</v>
      </c>
      <c r="F362" t="inlineStr">
        <is>
          <t>UPPSALA LÄN</t>
        </is>
      </c>
      <c r="G362" t="inlineStr">
        <is>
          <t>ÖSTHAMMAR</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54437-2024</t>
        </is>
      </c>
      <c r="B363" t="inlineStr">
        <is>
          <t>avverkningsanmälan</t>
        </is>
      </c>
      <c r="C363" t="inlineStr">
        <is>
          <t>Föryngringsavverkning</t>
        </is>
      </c>
      <c r="D363" s="1" t="n">
        <v>45617</v>
      </c>
      <c r="E363" s="1" t="n">
        <v>46221</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23742-2024</t>
        </is>
      </c>
      <c r="B364" t="inlineStr">
        <is>
          <t>avverkningsanmälan</t>
        </is>
      </c>
      <c r="C364" t="inlineStr">
        <is>
          <t>Föryngringsavverkning</t>
        </is>
      </c>
      <c r="D364" s="1" t="n">
        <v>45455</v>
      </c>
      <c r="E364" s="1" t="n">
        <v>46221</v>
      </c>
      <c r="F364" t="inlineStr">
        <is>
          <t>UPPSALA LÄN</t>
        </is>
      </c>
      <c r="G364" t="inlineStr">
        <is>
          <t>ÖSTHAMMAR</t>
        </is>
      </c>
      <c r="H364" t="inlineStr">
        <is>
          <t>Bergvik skog öst AB</t>
        </is>
      </c>
      <c r="I364" t="n">
        <v>2.2</v>
      </c>
      <c r="J364" t="n">
        <v>0</v>
      </c>
      <c r="K364" t="n">
        <v>0</v>
      </c>
      <c r="L364" t="n">
        <v>0</v>
      </c>
      <c r="M364" t="n">
        <v>0</v>
      </c>
      <c r="N364" t="n">
        <v>0</v>
      </c>
      <c r="O364" t="n">
        <v>0</v>
      </c>
      <c r="P364" t="n">
        <v>0</v>
      </c>
      <c r="Q364" t="n">
        <v>0</v>
      </c>
      <c r="R364" t="n">
        <v>0</v>
      </c>
      <c r="S364" t="n">
        <v>0</v>
      </c>
      <c r="T364" t="n">
        <v>0</v>
      </c>
      <c r="U364" s="2" t="inlineStr"/>
    </row>
    <row r="365" ht="15" customHeight="1">
      <c r="A365" t="inlineStr">
        <is>
          <t>A 7118-2023</t>
        </is>
      </c>
      <c r="B365" t="inlineStr">
        <is>
          <t>avverkningsanmälan</t>
        </is>
      </c>
      <c r="C365" t="inlineStr">
        <is>
          <t>Föryngringsavverkning</t>
        </is>
      </c>
      <c r="D365" s="1" t="n">
        <v>44970</v>
      </c>
      <c r="E365" s="1" t="n">
        <v>46221</v>
      </c>
      <c r="F365" t="inlineStr">
        <is>
          <t>UPPSALA LÄN</t>
        </is>
      </c>
      <c r="G365" t="inlineStr">
        <is>
          <t>ÖSTHAMMAR</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51379-2025</t>
        </is>
      </c>
      <c r="B366" t="inlineStr">
        <is>
          <t>avverkningsanmälan</t>
        </is>
      </c>
      <c r="C366" t="inlineStr">
        <is>
          <t>Föryngringsavverkning</t>
        </is>
      </c>
      <c r="D366" s="1" t="n">
        <v>45950</v>
      </c>
      <c r="E366" s="1" t="n">
        <v>46221</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55086-2024</t>
        </is>
      </c>
      <c r="B367" t="inlineStr">
        <is>
          <t>avverkningsanmälan</t>
        </is>
      </c>
      <c r="C367" t="inlineStr">
        <is>
          <t>Föryngringsavverkning</t>
        </is>
      </c>
      <c r="D367" s="1" t="n">
        <v>45621</v>
      </c>
      <c r="E367" s="1" t="n">
        <v>46221</v>
      </c>
      <c r="F367" t="inlineStr">
        <is>
          <t>UPPSALA LÄN</t>
        </is>
      </c>
      <c r="G367" t="inlineStr">
        <is>
          <t>ÖSTHAMMAR</t>
        </is>
      </c>
      <c r="H367" t="inlineStr">
        <is>
          <t>Sveaskog</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55090-2024</t>
        </is>
      </c>
      <c r="B368" t="inlineStr">
        <is>
          <t>avverkningsanmälan</t>
        </is>
      </c>
      <c r="C368" t="inlineStr">
        <is>
          <t>Föryngringsavverkning</t>
        </is>
      </c>
      <c r="D368" s="1" t="n">
        <v>45621</v>
      </c>
      <c r="E368" s="1" t="n">
        <v>46221</v>
      </c>
      <c r="F368" t="inlineStr">
        <is>
          <t>UPPSALA LÄN</t>
        </is>
      </c>
      <c r="G368" t="inlineStr">
        <is>
          <t>ÖSTHAMMAR</t>
        </is>
      </c>
      <c r="H368" t="inlineStr">
        <is>
          <t>Sveaskog</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55093-2024</t>
        </is>
      </c>
      <c r="B369" t="inlineStr">
        <is>
          <t>avverkningsanmälan</t>
        </is>
      </c>
      <c r="C369" t="inlineStr">
        <is>
          <t>Föryngringsavverkning</t>
        </is>
      </c>
      <c r="D369" s="1" t="n">
        <v>45621</v>
      </c>
      <c r="E369" s="1" t="n">
        <v>46221</v>
      </c>
      <c r="F369" t="inlineStr">
        <is>
          <t>UPPSALA LÄN</t>
        </is>
      </c>
      <c r="G369" t="inlineStr">
        <is>
          <t>ÖSTHAMMAR</t>
        </is>
      </c>
      <c r="H369" t="inlineStr">
        <is>
          <t>Sveaskog</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51266-2025</t>
        </is>
      </c>
      <c r="B370" t="inlineStr">
        <is>
          <t>avverkningsanmälan</t>
        </is>
      </c>
      <c r="C370" t="inlineStr">
        <is>
          <t>Föryngringsavverkning</t>
        </is>
      </c>
      <c r="D370" s="1" t="n">
        <v>45949</v>
      </c>
      <c r="E370" s="1" t="n">
        <v>46221</v>
      </c>
      <c r="F370" t="inlineStr">
        <is>
          <t>UPPSALA LÄN</t>
        </is>
      </c>
      <c r="G370" t="inlineStr">
        <is>
          <t>ÖSTHAMMAR</t>
        </is>
      </c>
      <c r="H370" t="inlineStr">
        <is>
          <t>Bergvik skog öst AB</t>
        </is>
      </c>
      <c r="I370" t="n">
        <v>4.7</v>
      </c>
      <c r="J370" t="n">
        <v>0</v>
      </c>
      <c r="K370" t="n">
        <v>0</v>
      </c>
      <c r="L370" t="n">
        <v>0</v>
      </c>
      <c r="M370" t="n">
        <v>0</v>
      </c>
      <c r="N370" t="n">
        <v>0</v>
      </c>
      <c r="O370" t="n">
        <v>0</v>
      </c>
      <c r="P370" t="n">
        <v>0</v>
      </c>
      <c r="Q370" t="n">
        <v>0</v>
      </c>
      <c r="R370" t="n">
        <v>0</v>
      </c>
      <c r="S370" t="n">
        <v>0</v>
      </c>
      <c r="T370" t="n">
        <v>0</v>
      </c>
      <c r="U370" s="2" t="inlineStr"/>
    </row>
    <row r="371" ht="15" customHeight="1">
      <c r="A371" t="inlineStr">
        <is>
          <t>A 51156-2025</t>
        </is>
      </c>
      <c r="B371" t="inlineStr">
        <is>
          <t>avverkningsanmälan</t>
        </is>
      </c>
      <c r="C371" t="inlineStr">
        <is>
          <t>Föryngringsavverkning</t>
        </is>
      </c>
      <c r="D371" s="1" t="n">
        <v>45947</v>
      </c>
      <c r="E371" s="1" t="n">
        <v>46221</v>
      </c>
      <c r="F371" t="inlineStr">
        <is>
          <t>UPPSALA LÄN</t>
        </is>
      </c>
      <c r="G371" t="inlineStr">
        <is>
          <t>ÖSTHAMMAR</t>
        </is>
      </c>
      <c r="H371" t="inlineStr">
        <is>
          <t>Allmännings- och besparingsskogar</t>
        </is>
      </c>
      <c r="I371" t="n">
        <v>2.8</v>
      </c>
      <c r="J371" t="n">
        <v>0</v>
      </c>
      <c r="K371" t="n">
        <v>0</v>
      </c>
      <c r="L371" t="n">
        <v>0</v>
      </c>
      <c r="M371" t="n">
        <v>0</v>
      </c>
      <c r="N371" t="n">
        <v>0</v>
      </c>
      <c r="O371" t="n">
        <v>0</v>
      </c>
      <c r="P371" t="n">
        <v>0</v>
      </c>
      <c r="Q371" t="n">
        <v>0</v>
      </c>
      <c r="R371" t="n">
        <v>0</v>
      </c>
      <c r="S371" t="n">
        <v>0</v>
      </c>
      <c r="T371" t="n">
        <v>0</v>
      </c>
      <c r="U371" s="2" t="inlineStr"/>
    </row>
    <row r="372" ht="15" customHeight="1">
      <c r="A372" t="inlineStr">
        <is>
          <t>A 51255-2025</t>
        </is>
      </c>
      <c r="B372" t="inlineStr">
        <is>
          <t>avverkningsanmälan</t>
        </is>
      </c>
      <c r="C372" t="inlineStr">
        <is>
          <t>Föryngringsavverkning</t>
        </is>
      </c>
      <c r="D372" s="1" t="n">
        <v>45949</v>
      </c>
      <c r="E372" s="1" t="n">
        <v>46221</v>
      </c>
      <c r="F372" t="inlineStr">
        <is>
          <t>UPPSALA LÄN</t>
        </is>
      </c>
      <c r="G372" t="inlineStr">
        <is>
          <t>ÖSTHAMMAR</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51265-2025</t>
        </is>
      </c>
      <c r="B373" t="inlineStr">
        <is>
          <t>avverkningsanmälan</t>
        </is>
      </c>
      <c r="C373" t="inlineStr">
        <is>
          <t>Föryngringsavverkning</t>
        </is>
      </c>
      <c r="D373" s="1" t="n">
        <v>45949</v>
      </c>
      <c r="E373" s="1" t="n">
        <v>46221</v>
      </c>
      <c r="F373" t="inlineStr">
        <is>
          <t>UPPSALA LÄN</t>
        </is>
      </c>
      <c r="G373" t="inlineStr">
        <is>
          <t>ÖSTHAMMAR</t>
        </is>
      </c>
      <c r="H373" t="inlineStr">
        <is>
          <t>Bergvik skog öst AB</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51254-2025</t>
        </is>
      </c>
      <c r="B374" t="inlineStr">
        <is>
          <t>avverkningsanmälan</t>
        </is>
      </c>
      <c r="C374" t="inlineStr">
        <is>
          <t>Föryngringsavverkning</t>
        </is>
      </c>
      <c r="D374" s="1" t="n">
        <v>45948</v>
      </c>
      <c r="E374" s="1" t="n">
        <v>46221</v>
      </c>
      <c r="F374" t="inlineStr">
        <is>
          <t>UPPSALA LÄN</t>
        </is>
      </c>
      <c r="G374" t="inlineStr">
        <is>
          <t>ÖSTHAMMAR</t>
        </is>
      </c>
      <c r="I374" t="n">
        <v>8.9</v>
      </c>
      <c r="J374" t="n">
        <v>0</v>
      </c>
      <c r="K374" t="n">
        <v>0</v>
      </c>
      <c r="L374" t="n">
        <v>0</v>
      </c>
      <c r="M374" t="n">
        <v>0</v>
      </c>
      <c r="N374" t="n">
        <v>0</v>
      </c>
      <c r="O374" t="n">
        <v>0</v>
      </c>
      <c r="P374" t="n">
        <v>0</v>
      </c>
      <c r="Q374" t="n">
        <v>0</v>
      </c>
      <c r="R374" t="n">
        <v>0</v>
      </c>
      <c r="S374" t="n">
        <v>0</v>
      </c>
      <c r="T374" t="n">
        <v>0</v>
      </c>
      <c r="U374" s="2" t="inlineStr"/>
    </row>
    <row r="375" ht="15" customHeight="1">
      <c r="A375" t="inlineStr">
        <is>
          <t>A 28432-2023</t>
        </is>
      </c>
      <c r="B375" t="inlineStr">
        <is>
          <t>avverkningsanmälan</t>
        </is>
      </c>
      <c r="C375" t="inlineStr">
        <is>
          <t>Föryngringsavverkning</t>
        </is>
      </c>
      <c r="D375" s="1" t="n">
        <v>45102</v>
      </c>
      <c r="E375" s="1" t="n">
        <v>46221</v>
      </c>
      <c r="F375" t="inlineStr">
        <is>
          <t>UPPSALA LÄN</t>
        </is>
      </c>
      <c r="G375" t="inlineStr">
        <is>
          <t>ÖSTHAMMAR</t>
        </is>
      </c>
      <c r="H375" t="inlineStr">
        <is>
          <t>Bergvik skog öst AB</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43915-2023</t>
        </is>
      </c>
      <c r="B376" t="inlineStr">
        <is>
          <t>avverkningsanmälan</t>
        </is>
      </c>
      <c r="C376" t="inlineStr">
        <is>
          <t>Föryngringsavverkning</t>
        </is>
      </c>
      <c r="D376" s="1" t="n">
        <v>45187</v>
      </c>
      <c r="E376" s="1" t="n">
        <v>46221</v>
      </c>
      <c r="F376" t="inlineStr">
        <is>
          <t>UPPSALA LÄN</t>
        </is>
      </c>
      <c r="G376" t="inlineStr">
        <is>
          <t>ÖSTHAMMAR</t>
        </is>
      </c>
      <c r="H376" t="inlineStr">
        <is>
          <t>Bergvik skog öst AB</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8291-2026</t>
        </is>
      </c>
      <c r="B377" t="inlineStr">
        <is>
          <t>avverkningsanmälan</t>
        </is>
      </c>
      <c r="C377" t="inlineStr">
        <is>
          <t>Föryngringsavverkning</t>
        </is>
      </c>
      <c r="D377" s="1" t="n">
        <v>46064</v>
      </c>
      <c r="E377" s="1" t="n">
        <v>46221</v>
      </c>
      <c r="F377" t="inlineStr">
        <is>
          <t>UPPSALA LÄN</t>
        </is>
      </c>
      <c r="G377" t="inlineStr">
        <is>
          <t>ÖSTHAMMAR</t>
        </is>
      </c>
      <c r="I377" t="n">
        <v>4.5</v>
      </c>
      <c r="J377" t="n">
        <v>0</v>
      </c>
      <c r="K377" t="n">
        <v>0</v>
      </c>
      <c r="L377" t="n">
        <v>0</v>
      </c>
      <c r="M377" t="n">
        <v>0</v>
      </c>
      <c r="N377" t="n">
        <v>0</v>
      </c>
      <c r="O377" t="n">
        <v>0</v>
      </c>
      <c r="P377" t="n">
        <v>0</v>
      </c>
      <c r="Q377" t="n">
        <v>0</v>
      </c>
      <c r="R377" t="n">
        <v>0</v>
      </c>
      <c r="S377" t="n">
        <v>0</v>
      </c>
      <c r="T377" t="n">
        <v>0</v>
      </c>
      <c r="U377" s="2" t="inlineStr"/>
    </row>
    <row r="378" ht="15" customHeight="1">
      <c r="A378" t="inlineStr">
        <is>
          <t>A 8269-2026</t>
        </is>
      </c>
      <c r="B378" t="inlineStr">
        <is>
          <t>avverkningsanmälan</t>
        </is>
      </c>
      <c r="C378" t="inlineStr">
        <is>
          <t>Föryngringsavverkning</t>
        </is>
      </c>
      <c r="D378" s="1" t="n">
        <v>46064</v>
      </c>
      <c r="E378" s="1" t="n">
        <v>46221</v>
      </c>
      <c r="F378" t="inlineStr">
        <is>
          <t>UPPSALA LÄN</t>
        </is>
      </c>
      <c r="G378" t="inlineStr">
        <is>
          <t>ÖSTHAMMAR</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13352-2023</t>
        </is>
      </c>
      <c r="B379" t="inlineStr">
        <is>
          <t>avverkningsanmälan</t>
        </is>
      </c>
      <c r="C379" t="inlineStr">
        <is>
          <t>Föryngringsavverkning</t>
        </is>
      </c>
      <c r="D379" s="1" t="n">
        <v>45005</v>
      </c>
      <c r="E379" s="1" t="n">
        <v>46221</v>
      </c>
      <c r="F379" t="inlineStr">
        <is>
          <t>UPPSALA LÄN</t>
        </is>
      </c>
      <c r="G379" t="inlineStr">
        <is>
          <t>ÖSTHAMMAR</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8086-2026</t>
        </is>
      </c>
      <c r="B380" t="inlineStr">
        <is>
          <t>avverkningsanmälan</t>
        </is>
      </c>
      <c r="C380" t="inlineStr">
        <is>
          <t>Föryngringsavverkning</t>
        </is>
      </c>
      <c r="D380" s="1" t="n">
        <v>46063</v>
      </c>
      <c r="E380" s="1" t="n">
        <v>46221</v>
      </c>
      <c r="F380" t="inlineStr">
        <is>
          <t>UPPSALA LÄN</t>
        </is>
      </c>
      <c r="G380" t="inlineStr">
        <is>
          <t>ÖSTHAMMAR</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42213-2025</t>
        </is>
      </c>
      <c r="B381" t="inlineStr">
        <is>
          <t>avverkningsanmälan</t>
        </is>
      </c>
      <c r="C381" t="inlineStr">
        <is>
          <t>Föryngringsavverkning</t>
        </is>
      </c>
      <c r="D381" s="1" t="n">
        <v>45904</v>
      </c>
      <c r="E381" s="1" t="n">
        <v>46221</v>
      </c>
      <c r="F381" t="inlineStr">
        <is>
          <t>UPPSALA LÄN</t>
        </is>
      </c>
      <c r="G381" t="inlineStr">
        <is>
          <t>ÖSTHAMMAR</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36343-2022</t>
        </is>
      </c>
      <c r="B382" t="inlineStr">
        <is>
          <t>avverkningsanmälan</t>
        </is>
      </c>
      <c r="C382" t="inlineStr">
        <is>
          <t>Föryngringsavverkning</t>
        </is>
      </c>
      <c r="D382" s="1" t="n">
        <v>44803</v>
      </c>
      <c r="E382" s="1" t="n">
        <v>46221</v>
      </c>
      <c r="F382" t="inlineStr">
        <is>
          <t>UPPSALA LÄN</t>
        </is>
      </c>
      <c r="G382" t="inlineStr">
        <is>
          <t>ÖSTHAMMAR</t>
        </is>
      </c>
      <c r="H382" t="inlineStr">
        <is>
          <t>Bergvik skog öst AB</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8030-2026</t>
        </is>
      </c>
      <c r="B383" t="inlineStr">
        <is>
          <t>avverkningsanmälan</t>
        </is>
      </c>
      <c r="C383" t="inlineStr">
        <is>
          <t>Föryngringsavverkning</t>
        </is>
      </c>
      <c r="D383" s="1" t="n">
        <v>46063</v>
      </c>
      <c r="E383" s="1" t="n">
        <v>46221</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18731-2022</t>
        </is>
      </c>
      <c r="B384" t="inlineStr">
        <is>
          <t>avverkningsanmälan</t>
        </is>
      </c>
      <c r="C384" t="inlineStr">
        <is>
          <t>Föryngringsavverkning</t>
        </is>
      </c>
      <c r="D384" s="1" t="n">
        <v>44687</v>
      </c>
      <c r="E384" s="1" t="n">
        <v>46221</v>
      </c>
      <c r="F384" t="inlineStr">
        <is>
          <t>UPPSALA LÄN</t>
        </is>
      </c>
      <c r="G384" t="inlineStr">
        <is>
          <t>ÖSTHAMMAR</t>
        </is>
      </c>
      <c r="I384" t="n">
        <v>4.9</v>
      </c>
      <c r="J384" t="n">
        <v>0</v>
      </c>
      <c r="K384" t="n">
        <v>0</v>
      </c>
      <c r="L384" t="n">
        <v>0</v>
      </c>
      <c r="M384" t="n">
        <v>0</v>
      </c>
      <c r="N384" t="n">
        <v>0</v>
      </c>
      <c r="O384" t="n">
        <v>0</v>
      </c>
      <c r="P384" t="n">
        <v>0</v>
      </c>
      <c r="Q384" t="n">
        <v>0</v>
      </c>
      <c r="R384" t="n">
        <v>0</v>
      </c>
      <c r="S384" t="n">
        <v>0</v>
      </c>
      <c r="T384" t="n">
        <v>0</v>
      </c>
      <c r="U384" s="2" t="inlineStr"/>
    </row>
    <row r="385" ht="15" customHeight="1">
      <c r="A385" t="inlineStr">
        <is>
          <t>A 23495-2023</t>
        </is>
      </c>
      <c r="B385" t="inlineStr">
        <is>
          <t>avverkningsanmälan</t>
        </is>
      </c>
      <c r="C385" t="inlineStr">
        <is>
          <t>Föryngringsavverkning</t>
        </is>
      </c>
      <c r="D385" s="1" t="n">
        <v>45076</v>
      </c>
      <c r="E385" s="1" t="n">
        <v>46221</v>
      </c>
      <c r="F385" t="inlineStr">
        <is>
          <t>UPPSALA LÄN</t>
        </is>
      </c>
      <c r="G385" t="inlineStr">
        <is>
          <t>ÖSTHAMMAR</t>
        </is>
      </c>
      <c r="H385" t="inlineStr">
        <is>
          <t>Sveaskog</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8525-2026</t>
        </is>
      </c>
      <c r="B386" t="inlineStr">
        <is>
          <t>avverkningsanmälan</t>
        </is>
      </c>
      <c r="C386" t="inlineStr">
        <is>
          <t>Föryngringsavverkning</t>
        </is>
      </c>
      <c r="D386" s="1" t="n">
        <v>46065</v>
      </c>
      <c r="E386" s="1" t="n">
        <v>46221</v>
      </c>
      <c r="F386" t="inlineStr">
        <is>
          <t>UPPSALA LÄN</t>
        </is>
      </c>
      <c r="G386" t="inlineStr">
        <is>
          <t>ÖSTHAMMAR</t>
        </is>
      </c>
      <c r="H386" t="inlineStr">
        <is>
          <t>Övriga Aktiebolag</t>
        </is>
      </c>
      <c r="I386" t="n">
        <v>4.8</v>
      </c>
      <c r="J386" t="n">
        <v>0</v>
      </c>
      <c r="K386" t="n">
        <v>0</v>
      </c>
      <c r="L386" t="n">
        <v>0</v>
      </c>
      <c r="M386" t="n">
        <v>0</v>
      </c>
      <c r="N386" t="n">
        <v>0</v>
      </c>
      <c r="O386" t="n">
        <v>0</v>
      </c>
      <c r="P386" t="n">
        <v>0</v>
      </c>
      <c r="Q386" t="n">
        <v>0</v>
      </c>
      <c r="R386" t="n">
        <v>0</v>
      </c>
      <c r="S386" t="n">
        <v>0</v>
      </c>
      <c r="T386" t="n">
        <v>0</v>
      </c>
      <c r="U386" s="2" t="inlineStr"/>
    </row>
    <row r="387" ht="15" customHeight="1">
      <c r="A387" t="inlineStr">
        <is>
          <t>A 8530-2026</t>
        </is>
      </c>
      <c r="B387" t="inlineStr">
        <is>
          <t>avverkningsanmälan</t>
        </is>
      </c>
      <c r="C387" t="inlineStr">
        <is>
          <t>Föryngringsavverkning</t>
        </is>
      </c>
      <c r="D387" s="1" t="n">
        <v>46065</v>
      </c>
      <c r="E387" s="1" t="n">
        <v>46221</v>
      </c>
      <c r="F387" t="inlineStr">
        <is>
          <t>UPPSALA LÄN</t>
        </is>
      </c>
      <c r="G387" t="inlineStr">
        <is>
          <t>ÖSTHAMMAR</t>
        </is>
      </c>
      <c r="H387" t="inlineStr">
        <is>
          <t>Övriga Aktiebolag</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17085-2025</t>
        </is>
      </c>
      <c r="B388" t="inlineStr">
        <is>
          <t>avverkningsanmälan</t>
        </is>
      </c>
      <c r="C388" t="inlineStr">
        <is>
          <t>Föryngringsavverkning</t>
        </is>
      </c>
      <c r="D388" s="1" t="n">
        <v>45755</v>
      </c>
      <c r="E388" s="1" t="n">
        <v>46221</v>
      </c>
      <c r="F388" t="inlineStr">
        <is>
          <t>UPPSALA LÄN</t>
        </is>
      </c>
      <c r="G388" t="inlineStr">
        <is>
          <t>ÖSTHAMMAR</t>
        </is>
      </c>
      <c r="H388" t="inlineStr">
        <is>
          <t>Bergvik skog öst AB</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53735-2025</t>
        </is>
      </c>
      <c r="B389" t="inlineStr">
        <is>
          <t>avverkningsanmälan</t>
        </is>
      </c>
      <c r="C389" t="inlineStr">
        <is>
          <t>Föryngringsavverkning</t>
        </is>
      </c>
      <c r="D389" s="1" t="n">
        <v>45960</v>
      </c>
      <c r="E389" s="1" t="n">
        <v>46221</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53737-2025</t>
        </is>
      </c>
      <c r="B390" t="inlineStr">
        <is>
          <t>avverkningsanmälan</t>
        </is>
      </c>
      <c r="C390" t="inlineStr">
        <is>
          <t>Föryngringsavverkning</t>
        </is>
      </c>
      <c r="D390" s="1" t="n">
        <v>45960</v>
      </c>
      <c r="E390" s="1" t="n">
        <v>46221</v>
      </c>
      <c r="F390" t="inlineStr">
        <is>
          <t>UPPSALA LÄN</t>
        </is>
      </c>
      <c r="G390" t="inlineStr">
        <is>
          <t>ÖSTHAMMAR</t>
        </is>
      </c>
      <c r="H390" t="inlineStr">
        <is>
          <t>Bergvik skog öst AB</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9664-2026</t>
        </is>
      </c>
      <c r="B391" t="inlineStr">
        <is>
          <t>avverkningsanmälan</t>
        </is>
      </c>
      <c r="C391" t="inlineStr">
        <is>
          <t>Föryngringsavverkning</t>
        </is>
      </c>
      <c r="D391" s="1" t="n">
        <v>46072</v>
      </c>
      <c r="E391" s="1" t="n">
        <v>46221</v>
      </c>
      <c r="F391" t="inlineStr">
        <is>
          <t>UPPSALA LÄN</t>
        </is>
      </c>
      <c r="G391" t="inlineStr">
        <is>
          <t>ÖSTHAMMAR</t>
        </is>
      </c>
      <c r="H391" t="inlineStr">
        <is>
          <t>Bergvik skog öst AB</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8592-2022</t>
        </is>
      </c>
      <c r="B392" t="inlineStr">
        <is>
          <t>avverkningsanmälan</t>
        </is>
      </c>
      <c r="C392" t="inlineStr">
        <is>
          <t>Föryngringsavverkning</t>
        </is>
      </c>
      <c r="D392" s="1" t="n">
        <v>44613</v>
      </c>
      <c r="E392" s="1" t="n">
        <v>46221</v>
      </c>
      <c r="F392" t="inlineStr">
        <is>
          <t>UPPSALA LÄN</t>
        </is>
      </c>
      <c r="G392" t="inlineStr">
        <is>
          <t>ÖSTHAMMAR</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54647-2025</t>
        </is>
      </c>
      <c r="B393" t="inlineStr">
        <is>
          <t>avverkningsanmälan</t>
        </is>
      </c>
      <c r="C393" t="inlineStr">
        <is>
          <t>Föryngringsavverkning</t>
        </is>
      </c>
      <c r="D393" s="1" t="n">
        <v>45966</v>
      </c>
      <c r="E393" s="1" t="n">
        <v>46221</v>
      </c>
      <c r="F393" t="inlineStr">
        <is>
          <t>UPPSALA LÄN</t>
        </is>
      </c>
      <c r="G393" t="inlineStr">
        <is>
          <t>ÖSTHAMMAR</t>
        </is>
      </c>
      <c r="I393" t="n">
        <v>4.3</v>
      </c>
      <c r="J393" t="n">
        <v>0</v>
      </c>
      <c r="K393" t="n">
        <v>0</v>
      </c>
      <c r="L393" t="n">
        <v>0</v>
      </c>
      <c r="M393" t="n">
        <v>0</v>
      </c>
      <c r="N393" t="n">
        <v>0</v>
      </c>
      <c r="O393" t="n">
        <v>0</v>
      </c>
      <c r="P393" t="n">
        <v>0</v>
      </c>
      <c r="Q393" t="n">
        <v>0</v>
      </c>
      <c r="R393" t="n">
        <v>0</v>
      </c>
      <c r="S393" t="n">
        <v>0</v>
      </c>
      <c r="T393" t="n">
        <v>0</v>
      </c>
      <c r="U393" s="2" t="inlineStr"/>
    </row>
    <row r="394" ht="15" customHeight="1">
      <c r="A394" t="inlineStr">
        <is>
          <t>A 54649-2025</t>
        </is>
      </c>
      <c r="B394" t="inlineStr">
        <is>
          <t>avverkningsanmälan</t>
        </is>
      </c>
      <c r="C394" t="inlineStr">
        <is>
          <t>Föryngringsavverkning</t>
        </is>
      </c>
      <c r="D394" s="1" t="n">
        <v>45966</v>
      </c>
      <c r="E394" s="1" t="n">
        <v>46221</v>
      </c>
      <c r="F394" t="inlineStr">
        <is>
          <t>UPPSALA LÄN</t>
        </is>
      </c>
      <c r="G394" t="inlineStr">
        <is>
          <t>ÖSTHAMMAR</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60047-2021</t>
        </is>
      </c>
      <c r="B395" t="inlineStr">
        <is>
          <t>avverkningsanmälan</t>
        </is>
      </c>
      <c r="C395" t="inlineStr">
        <is>
          <t>Föryngringsavverkning</t>
        </is>
      </c>
      <c r="D395" s="1" t="n">
        <v>44495</v>
      </c>
      <c r="E395" s="1" t="n">
        <v>46221</v>
      </c>
      <c r="F395" t="inlineStr">
        <is>
          <t>UPPSALA LÄN</t>
        </is>
      </c>
      <c r="G395" t="inlineStr">
        <is>
          <t>ÖSTHAMMAR</t>
        </is>
      </c>
      <c r="H395" t="inlineStr">
        <is>
          <t>Övriga Aktiebolag</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30086-2023</t>
        </is>
      </c>
      <c r="B396" t="inlineStr">
        <is>
          <t>avverkningsanmälan</t>
        </is>
      </c>
      <c r="C396" t="inlineStr">
        <is>
          <t>Föryngringsavverkning</t>
        </is>
      </c>
      <c r="D396" s="1" t="n">
        <v>45110</v>
      </c>
      <c r="E396" s="1" t="n">
        <v>46221</v>
      </c>
      <c r="F396" t="inlineStr">
        <is>
          <t>UPPSALA LÄN</t>
        </is>
      </c>
      <c r="G396" t="inlineStr">
        <is>
          <t>ÖSTHAMMAR</t>
        </is>
      </c>
      <c r="I396" t="n">
        <v>3.5</v>
      </c>
      <c r="J396" t="n">
        <v>0</v>
      </c>
      <c r="K396" t="n">
        <v>0</v>
      </c>
      <c r="L396" t="n">
        <v>0</v>
      </c>
      <c r="M396" t="n">
        <v>0</v>
      </c>
      <c r="N396" t="n">
        <v>0</v>
      </c>
      <c r="O396" t="n">
        <v>0</v>
      </c>
      <c r="P396" t="n">
        <v>0</v>
      </c>
      <c r="Q396" t="n">
        <v>0</v>
      </c>
      <c r="R396" t="n">
        <v>0</v>
      </c>
      <c r="S396" t="n">
        <v>0</v>
      </c>
      <c r="T396" t="n">
        <v>0</v>
      </c>
      <c r="U396" s="2" t="inlineStr"/>
    </row>
    <row r="397" ht="15" customHeight="1">
      <c r="A397" t="inlineStr">
        <is>
          <t>A 11008-2023</t>
        </is>
      </c>
      <c r="B397" t="inlineStr">
        <is>
          <t>avverkningsanmälan</t>
        </is>
      </c>
      <c r="C397" t="inlineStr">
        <is>
          <t>Föryngringsavverkning</t>
        </is>
      </c>
      <c r="D397" s="1" t="n">
        <v>44991</v>
      </c>
      <c r="E397" s="1" t="n">
        <v>46221</v>
      </c>
      <c r="F397" t="inlineStr">
        <is>
          <t>UPPSALA LÄN</t>
        </is>
      </c>
      <c r="G397" t="inlineStr">
        <is>
          <t>ÖSTHAMMAR</t>
        </is>
      </c>
      <c r="H397" t="inlineStr">
        <is>
          <t>Bergvik skog öst AB</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56757-2025</t>
        </is>
      </c>
      <c r="B398" t="inlineStr">
        <is>
          <t>avverkningsanmälan</t>
        </is>
      </c>
      <c r="C398" t="inlineStr">
        <is>
          <t>Föryngringsavverkning</t>
        </is>
      </c>
      <c r="D398" s="1" t="n">
        <v>45978</v>
      </c>
      <c r="E398" s="1" t="n">
        <v>46221</v>
      </c>
      <c r="F398" t="inlineStr">
        <is>
          <t>UPPSALA LÄN</t>
        </is>
      </c>
      <c r="G398" t="inlineStr">
        <is>
          <t>ÖSTHAMMAR</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56823-2025</t>
        </is>
      </c>
      <c r="B399" t="inlineStr">
        <is>
          <t>avverkningsanmälan</t>
        </is>
      </c>
      <c r="C399" t="inlineStr">
        <is>
          <t>Föryngringsavverkning</t>
        </is>
      </c>
      <c r="D399" s="1" t="n">
        <v>45978</v>
      </c>
      <c r="E399" s="1" t="n">
        <v>46221</v>
      </c>
      <c r="F399" t="inlineStr">
        <is>
          <t>UPPSALA LÄN</t>
        </is>
      </c>
      <c r="G399" t="inlineStr">
        <is>
          <t>ÖSTHAMMAR</t>
        </is>
      </c>
      <c r="I399" t="n">
        <v>0.1</v>
      </c>
      <c r="J399" t="n">
        <v>0</v>
      </c>
      <c r="K399" t="n">
        <v>0</v>
      </c>
      <c r="L399" t="n">
        <v>0</v>
      </c>
      <c r="M399" t="n">
        <v>0</v>
      </c>
      <c r="N399" t="n">
        <v>0</v>
      </c>
      <c r="O399" t="n">
        <v>0</v>
      </c>
      <c r="P399" t="n">
        <v>0</v>
      </c>
      <c r="Q399" t="n">
        <v>0</v>
      </c>
      <c r="R399" t="n">
        <v>0</v>
      </c>
      <c r="S399" t="n">
        <v>0</v>
      </c>
      <c r="T399" t="n">
        <v>0</v>
      </c>
      <c r="U399" s="2" t="inlineStr"/>
    </row>
    <row r="400" ht="15" customHeight="1">
      <c r="A400" t="inlineStr">
        <is>
          <t>A 56748-2025</t>
        </is>
      </c>
      <c r="B400" t="inlineStr">
        <is>
          <t>avverkningsanmälan</t>
        </is>
      </c>
      <c r="C400" t="inlineStr">
        <is>
          <t>Föryngringsavverkning</t>
        </is>
      </c>
      <c r="D400" s="1" t="n">
        <v>45978</v>
      </c>
      <c r="E400" s="1" t="n">
        <v>46221</v>
      </c>
      <c r="F400" t="inlineStr">
        <is>
          <t>UPPSALA LÄN</t>
        </is>
      </c>
      <c r="G400" t="inlineStr">
        <is>
          <t>ÖSTHAMMAR</t>
        </is>
      </c>
      <c r="H400" t="inlineStr">
        <is>
          <t>Sveaskog</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56753-2025</t>
        </is>
      </c>
      <c r="B401" t="inlineStr">
        <is>
          <t>avverkningsanmälan</t>
        </is>
      </c>
      <c r="C401" t="inlineStr">
        <is>
          <t>Föryngringsavverkning</t>
        </is>
      </c>
      <c r="D401" s="1" t="n">
        <v>45978</v>
      </c>
      <c r="E401" s="1" t="n">
        <v>46221</v>
      </c>
      <c r="F401" t="inlineStr">
        <is>
          <t>UPPSALA LÄN</t>
        </is>
      </c>
      <c r="G401" t="inlineStr">
        <is>
          <t>ÖSTHAMMAR</t>
        </is>
      </c>
      <c r="H401" t="inlineStr">
        <is>
          <t>Sveaskog</t>
        </is>
      </c>
      <c r="I401" t="n">
        <v>8.6</v>
      </c>
      <c r="J401" t="n">
        <v>0</v>
      </c>
      <c r="K401" t="n">
        <v>0</v>
      </c>
      <c r="L401" t="n">
        <v>0</v>
      </c>
      <c r="M401" t="n">
        <v>0</v>
      </c>
      <c r="N401" t="n">
        <v>0</v>
      </c>
      <c r="O401" t="n">
        <v>0</v>
      </c>
      <c r="P401" t="n">
        <v>0</v>
      </c>
      <c r="Q401" t="n">
        <v>0</v>
      </c>
      <c r="R401" t="n">
        <v>0</v>
      </c>
      <c r="S401" t="n">
        <v>0</v>
      </c>
      <c r="T401" t="n">
        <v>0</v>
      </c>
      <c r="U401" s="2" t="inlineStr"/>
    </row>
    <row r="402" ht="15" customHeight="1">
      <c r="A402" t="inlineStr">
        <is>
          <t>A 58324-2023</t>
        </is>
      </c>
      <c r="B402" t="inlineStr">
        <is>
          <t>avverkningsanmälan</t>
        </is>
      </c>
      <c r="C402" t="inlineStr">
        <is>
          <t>Föryngringsavverkning</t>
        </is>
      </c>
      <c r="D402" s="1" t="n">
        <v>45250</v>
      </c>
      <c r="E402" s="1" t="n">
        <v>46221</v>
      </c>
      <c r="F402" t="inlineStr">
        <is>
          <t>UPPSALA LÄN</t>
        </is>
      </c>
      <c r="G402" t="inlineStr">
        <is>
          <t>ÖSTHAMMAR</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12263-2026</t>
        </is>
      </c>
      <c r="B403" t="inlineStr">
        <is>
          <t>avverkningsanmälan</t>
        </is>
      </c>
      <c r="C403" t="inlineStr">
        <is>
          <t>Föryngringsavverkning</t>
        </is>
      </c>
      <c r="D403" s="1" t="n">
        <v>46087</v>
      </c>
      <c r="E403" s="1" t="n">
        <v>46221</v>
      </c>
      <c r="F403" t="inlineStr">
        <is>
          <t>UPPSALA LÄN</t>
        </is>
      </c>
      <c r="G403" t="inlineStr">
        <is>
          <t>ÖSTHAMMAR</t>
        </is>
      </c>
      <c r="H403" t="inlineStr">
        <is>
          <t>Övriga Aktiebolag</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69411-2021</t>
        </is>
      </c>
      <c r="B404" t="inlineStr">
        <is>
          <t>avverkningsanmälan</t>
        </is>
      </c>
      <c r="C404" t="inlineStr">
        <is>
          <t>Föryngringsavverkning</t>
        </is>
      </c>
      <c r="D404" s="1" t="n">
        <v>44531</v>
      </c>
      <c r="E404" s="1" t="n">
        <v>46221</v>
      </c>
      <c r="F404" t="inlineStr">
        <is>
          <t>UPPSALA LÄN</t>
        </is>
      </c>
      <c r="G404" t="inlineStr">
        <is>
          <t>ÖSTHAMMAR</t>
        </is>
      </c>
      <c r="H404" t="inlineStr">
        <is>
          <t>Bergvik skog öst AB</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12150-2026</t>
        </is>
      </c>
      <c r="B405" t="inlineStr">
        <is>
          <t>avverkningsanmälan</t>
        </is>
      </c>
      <c r="C405" t="inlineStr">
        <is>
          <t>Föryngringsavverkning</t>
        </is>
      </c>
      <c r="D405" s="1" t="n">
        <v>46086</v>
      </c>
      <c r="E405" s="1" t="n">
        <v>46221</v>
      </c>
      <c r="F405" t="inlineStr">
        <is>
          <t>UPPSALA LÄN</t>
        </is>
      </c>
      <c r="G405" t="inlineStr">
        <is>
          <t>ÖSTHAMMAR</t>
        </is>
      </c>
      <c r="H405" t="inlineStr">
        <is>
          <t>Bergvik skog öst AB</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12261-2026</t>
        </is>
      </c>
      <c r="B406" t="inlineStr">
        <is>
          <t>avverkningsanmälan</t>
        </is>
      </c>
      <c r="C406" t="inlineStr">
        <is>
          <t>Föryngringsavverkning</t>
        </is>
      </c>
      <c r="D406" s="1" t="n">
        <v>46087</v>
      </c>
      <c r="E406" s="1" t="n">
        <v>46221</v>
      </c>
      <c r="F406" t="inlineStr">
        <is>
          <t>UPPSALA LÄN</t>
        </is>
      </c>
      <c r="G406" t="inlineStr">
        <is>
          <t>ÖSTHAMMAR</t>
        </is>
      </c>
      <c r="H406" t="inlineStr">
        <is>
          <t>Övriga Aktiebolag</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12262-2026</t>
        </is>
      </c>
      <c r="B407" t="inlineStr">
        <is>
          <t>avverkningsanmälan</t>
        </is>
      </c>
      <c r="C407" t="inlineStr">
        <is>
          <t>Föryngringsavverkning</t>
        </is>
      </c>
      <c r="D407" s="1" t="n">
        <v>46087</v>
      </c>
      <c r="E407" s="1" t="n">
        <v>46221</v>
      </c>
      <c r="F407" t="inlineStr">
        <is>
          <t>UPPSALA LÄN</t>
        </is>
      </c>
      <c r="G407" t="inlineStr">
        <is>
          <t>ÖSTHAMMAR</t>
        </is>
      </c>
      <c r="H407" t="inlineStr">
        <is>
          <t>Övriga Aktiebolag</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12151-2026</t>
        </is>
      </c>
      <c r="B408" t="inlineStr">
        <is>
          <t>avverkningsanmälan</t>
        </is>
      </c>
      <c r="C408" t="inlineStr">
        <is>
          <t>Föryngringsavverkning</t>
        </is>
      </c>
      <c r="D408" s="1" t="n">
        <v>46086</v>
      </c>
      <c r="E408" s="1" t="n">
        <v>46221</v>
      </c>
      <c r="F408" t="inlineStr">
        <is>
          <t>UPPSALA LÄN</t>
        </is>
      </c>
      <c r="G408" t="inlineStr">
        <is>
          <t>ÖSTHAMMAR</t>
        </is>
      </c>
      <c r="H408" t="inlineStr">
        <is>
          <t>Bergvik skog öst AB</t>
        </is>
      </c>
      <c r="I408" t="n">
        <v>9.199999999999999</v>
      </c>
      <c r="J408" t="n">
        <v>0</v>
      </c>
      <c r="K408" t="n">
        <v>0</v>
      </c>
      <c r="L408" t="n">
        <v>0</v>
      </c>
      <c r="M408" t="n">
        <v>0</v>
      </c>
      <c r="N408" t="n">
        <v>0</v>
      </c>
      <c r="O408" t="n">
        <v>0</v>
      </c>
      <c r="P408" t="n">
        <v>0</v>
      </c>
      <c r="Q408" t="n">
        <v>0</v>
      </c>
      <c r="R408" t="n">
        <v>0</v>
      </c>
      <c r="S408" t="n">
        <v>0</v>
      </c>
      <c r="T408" t="n">
        <v>0</v>
      </c>
      <c r="U408" s="2" t="inlineStr"/>
    </row>
    <row r="409" ht="15" customHeight="1">
      <c r="A409" t="inlineStr">
        <is>
          <t>A 12387-2026</t>
        </is>
      </c>
      <c r="B409" t="inlineStr">
        <is>
          <t>avverkningsanmälan</t>
        </is>
      </c>
      <c r="C409" t="inlineStr">
        <is>
          <t>Föryngringsavverkning</t>
        </is>
      </c>
      <c r="D409" s="1" t="n">
        <v>46090</v>
      </c>
      <c r="E409" s="1" t="n">
        <v>46221</v>
      </c>
      <c r="F409" t="inlineStr">
        <is>
          <t>UPPSALA LÄN</t>
        </is>
      </c>
      <c r="G409" t="inlineStr">
        <is>
          <t>ÖSTHAMMAR</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58399-2025</t>
        </is>
      </c>
      <c r="B410" t="inlineStr">
        <is>
          <t>avverkningsanmälan</t>
        </is>
      </c>
      <c r="C410" t="inlineStr">
        <is>
          <t>Föryngringsavverkning</t>
        </is>
      </c>
      <c r="D410" s="1" t="n">
        <v>45985</v>
      </c>
      <c r="E410" s="1" t="n">
        <v>46221</v>
      </c>
      <c r="F410" t="inlineStr">
        <is>
          <t>UPPSALA LÄN</t>
        </is>
      </c>
      <c r="G410" t="inlineStr">
        <is>
          <t>ÖSTHAMMAR</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49831-2023</t>
        </is>
      </c>
      <c r="B411" t="inlineStr">
        <is>
          <t>avverkningsanmälan</t>
        </is>
      </c>
      <c r="C411" t="inlineStr">
        <is>
          <t>Föryngringsavverkning</t>
        </is>
      </c>
      <c r="D411" s="1" t="n">
        <v>45212</v>
      </c>
      <c r="E411" s="1" t="n">
        <v>46221</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5855-2022</t>
        </is>
      </c>
      <c r="B412" t="inlineStr">
        <is>
          <t>avverkningsanmälan</t>
        </is>
      </c>
      <c r="C412" t="inlineStr">
        <is>
          <t>Föryngringsavverkning</t>
        </is>
      </c>
      <c r="D412" s="1" t="n">
        <v>44596</v>
      </c>
      <c r="E412" s="1" t="n">
        <v>46221</v>
      </c>
      <c r="F412" t="inlineStr">
        <is>
          <t>UPPSALA LÄN</t>
        </is>
      </c>
      <c r="G412" t="inlineStr">
        <is>
          <t>ÖSTHAMMAR</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54366-2023</t>
        </is>
      </c>
      <c r="B413" t="inlineStr">
        <is>
          <t>avverkningsanmälan</t>
        </is>
      </c>
      <c r="C413" t="inlineStr">
        <is>
          <t>Föryngringsavverkning</t>
        </is>
      </c>
      <c r="D413" s="1" t="n">
        <v>45233</v>
      </c>
      <c r="E413" s="1" t="n">
        <v>46221</v>
      </c>
      <c r="F413" t="inlineStr">
        <is>
          <t>UPPSALA LÄN</t>
        </is>
      </c>
      <c r="G413" t="inlineStr">
        <is>
          <t>ÖSTHAMMAR</t>
        </is>
      </c>
      <c r="H413" t="inlineStr">
        <is>
          <t>Bergvik skog öst AB</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13472-2026</t>
        </is>
      </c>
      <c r="B414" t="inlineStr">
        <is>
          <t>avverkningsanmälan</t>
        </is>
      </c>
      <c r="C414" t="inlineStr">
        <is>
          <t>Föryngringsavverkning</t>
        </is>
      </c>
      <c r="D414" s="1" t="n">
        <v>46094</v>
      </c>
      <c r="E414" s="1" t="n">
        <v>46221</v>
      </c>
      <c r="F414" t="inlineStr">
        <is>
          <t>UPPSALA LÄN</t>
        </is>
      </c>
      <c r="G414" t="inlineStr">
        <is>
          <t>ÖSTHAMMAR</t>
        </is>
      </c>
      <c r="H414" t="inlineStr">
        <is>
          <t>Övriga Aktiebolag</t>
        </is>
      </c>
      <c r="I414" t="n">
        <v>4</v>
      </c>
      <c r="J414" t="n">
        <v>0</v>
      </c>
      <c r="K414" t="n">
        <v>0</v>
      </c>
      <c r="L414" t="n">
        <v>0</v>
      </c>
      <c r="M414" t="n">
        <v>0</v>
      </c>
      <c r="N414" t="n">
        <v>0</v>
      </c>
      <c r="O414" t="n">
        <v>0</v>
      </c>
      <c r="P414" t="n">
        <v>0</v>
      </c>
      <c r="Q414" t="n">
        <v>0</v>
      </c>
      <c r="R414" t="n">
        <v>0</v>
      </c>
      <c r="S414" t="n">
        <v>0</v>
      </c>
      <c r="T414" t="n">
        <v>0</v>
      </c>
      <c r="U414" s="2" t="inlineStr"/>
    </row>
    <row r="415" ht="15" customHeight="1">
      <c r="A415" t="inlineStr">
        <is>
          <t>A 60603-2025</t>
        </is>
      </c>
      <c r="B415" t="inlineStr">
        <is>
          <t>avverkningsanmälan</t>
        </is>
      </c>
      <c r="C415" t="inlineStr">
        <is>
          <t>Föryngringsavverkning</t>
        </is>
      </c>
      <c r="D415" s="1" t="n">
        <v>45996</v>
      </c>
      <c r="E415" s="1" t="n">
        <v>46221</v>
      </c>
      <c r="F415" t="inlineStr">
        <is>
          <t>UPPSALA LÄN</t>
        </is>
      </c>
      <c r="G415" t="inlineStr">
        <is>
          <t>ÖSTHAMMAR</t>
        </is>
      </c>
      <c r="I415" t="n">
        <v>4.7</v>
      </c>
      <c r="J415" t="n">
        <v>0</v>
      </c>
      <c r="K415" t="n">
        <v>0</v>
      </c>
      <c r="L415" t="n">
        <v>0</v>
      </c>
      <c r="M415" t="n">
        <v>0</v>
      </c>
      <c r="N415" t="n">
        <v>0</v>
      </c>
      <c r="O415" t="n">
        <v>0</v>
      </c>
      <c r="P415" t="n">
        <v>0</v>
      </c>
      <c r="Q415" t="n">
        <v>0</v>
      </c>
      <c r="R415" t="n">
        <v>0</v>
      </c>
      <c r="S415" t="n">
        <v>0</v>
      </c>
      <c r="T415" t="n">
        <v>0</v>
      </c>
      <c r="U415" s="2" t="inlineStr"/>
    </row>
    <row r="416" ht="15" customHeight="1">
      <c r="A416" t="inlineStr">
        <is>
          <t>A 51364-2021</t>
        </is>
      </c>
      <c r="B416" t="inlineStr">
        <is>
          <t>avverkningsanmälan</t>
        </is>
      </c>
      <c r="C416" t="inlineStr">
        <is>
          <t>Föryngringsavverkning</t>
        </is>
      </c>
      <c r="D416" s="1" t="n">
        <v>44461</v>
      </c>
      <c r="E416" s="1" t="n">
        <v>46221</v>
      </c>
      <c r="F416" t="inlineStr">
        <is>
          <t>UPPSALA LÄN</t>
        </is>
      </c>
      <c r="G416" t="inlineStr">
        <is>
          <t>ÖSTHAMMAR</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57156-2025</t>
        </is>
      </c>
      <c r="B417" t="inlineStr">
        <is>
          <t>avverkningsanmälan</t>
        </is>
      </c>
      <c r="C417" t="inlineStr">
        <is>
          <t>Föryngringsavverkning</t>
        </is>
      </c>
      <c r="D417" s="1" t="n">
        <v>45979</v>
      </c>
      <c r="E417" s="1" t="n">
        <v>46221</v>
      </c>
      <c r="F417" t="inlineStr">
        <is>
          <t>UPPSALA LÄN</t>
        </is>
      </c>
      <c r="G417" t="inlineStr">
        <is>
          <t>ÖSTHAMMAR</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14030-2026</t>
        </is>
      </c>
      <c r="B418" t="inlineStr">
        <is>
          <t>avverkningsanmälan</t>
        </is>
      </c>
      <c r="C418" t="inlineStr">
        <is>
          <t>Föryngringsavverkning</t>
        </is>
      </c>
      <c r="D418" s="1" t="n">
        <v>46098</v>
      </c>
      <c r="E418" s="1" t="n">
        <v>46221</v>
      </c>
      <c r="F418" t="inlineStr">
        <is>
          <t>UPPSALA LÄN</t>
        </is>
      </c>
      <c r="G418" t="inlineStr">
        <is>
          <t>ÖSTHAMMAR</t>
        </is>
      </c>
      <c r="H418" t="inlineStr">
        <is>
          <t>Bergvik skog öst AB</t>
        </is>
      </c>
      <c r="I418" t="n">
        <v>8.4</v>
      </c>
      <c r="J418" t="n">
        <v>0</v>
      </c>
      <c r="K418" t="n">
        <v>0</v>
      </c>
      <c r="L418" t="n">
        <v>0</v>
      </c>
      <c r="M418" t="n">
        <v>0</v>
      </c>
      <c r="N418" t="n">
        <v>0</v>
      </c>
      <c r="O418" t="n">
        <v>0</v>
      </c>
      <c r="P418" t="n">
        <v>0</v>
      </c>
      <c r="Q418" t="n">
        <v>0</v>
      </c>
      <c r="R418" t="n">
        <v>0</v>
      </c>
      <c r="S418" t="n">
        <v>0</v>
      </c>
      <c r="T418" t="n">
        <v>0</v>
      </c>
      <c r="U418" s="2" t="inlineStr"/>
    </row>
    <row r="419" ht="15" customHeight="1">
      <c r="A419" t="inlineStr">
        <is>
          <t>A 60910-2025</t>
        </is>
      </c>
      <c r="B419" t="inlineStr">
        <is>
          <t>avverkningsanmälan</t>
        </is>
      </c>
      <c r="C419" t="inlineStr">
        <is>
          <t>Föryngringsavverkning</t>
        </is>
      </c>
      <c r="D419" s="1" t="n">
        <v>45999</v>
      </c>
      <c r="E419" s="1" t="n">
        <v>46221</v>
      </c>
      <c r="F419" t="inlineStr">
        <is>
          <t>UPPSALA LÄN</t>
        </is>
      </c>
      <c r="G419" t="inlineStr">
        <is>
          <t>ÖSTHAMMAR</t>
        </is>
      </c>
      <c r="I419" t="n">
        <v>3.5</v>
      </c>
      <c r="J419" t="n">
        <v>0</v>
      </c>
      <c r="K419" t="n">
        <v>0</v>
      </c>
      <c r="L419" t="n">
        <v>0</v>
      </c>
      <c r="M419" t="n">
        <v>0</v>
      </c>
      <c r="N419" t="n">
        <v>0</v>
      </c>
      <c r="O419" t="n">
        <v>0</v>
      </c>
      <c r="P419" t="n">
        <v>0</v>
      </c>
      <c r="Q419" t="n">
        <v>0</v>
      </c>
      <c r="R419" t="n">
        <v>0</v>
      </c>
      <c r="S419" t="n">
        <v>0</v>
      </c>
      <c r="T419" t="n">
        <v>0</v>
      </c>
      <c r="U419" s="2" t="inlineStr"/>
    </row>
    <row r="420" ht="15" customHeight="1">
      <c r="A420" t="inlineStr">
        <is>
          <t>A 14031-2026</t>
        </is>
      </c>
      <c r="B420" t="inlineStr">
        <is>
          <t>avverkningsanmälan</t>
        </is>
      </c>
      <c r="C420" t="inlineStr">
        <is>
          <t>Föryngringsavverkning</t>
        </is>
      </c>
      <c r="D420" s="1" t="n">
        <v>46098</v>
      </c>
      <c r="E420" s="1" t="n">
        <v>46221</v>
      </c>
      <c r="F420" t="inlineStr">
        <is>
          <t>UPPSALA LÄN</t>
        </is>
      </c>
      <c r="G420" t="inlineStr">
        <is>
          <t>ÖSTHAMMAR</t>
        </is>
      </c>
      <c r="H420" t="inlineStr">
        <is>
          <t>Bergvik skog öst AB</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61062-2023</t>
        </is>
      </c>
      <c r="B421" t="inlineStr">
        <is>
          <t>avverkningsanmälan</t>
        </is>
      </c>
      <c r="C421" t="inlineStr">
        <is>
          <t>Föryngringsavverkning</t>
        </is>
      </c>
      <c r="D421" s="1" t="n">
        <v>45259</v>
      </c>
      <c r="E421" s="1" t="n">
        <v>46221</v>
      </c>
      <c r="F421" t="inlineStr">
        <is>
          <t>UPPSALA LÄN</t>
        </is>
      </c>
      <c r="G421" t="inlineStr">
        <is>
          <t>ÖSTHAMMAR</t>
        </is>
      </c>
      <c r="I421" t="n">
        <v>5.3</v>
      </c>
      <c r="J421" t="n">
        <v>0</v>
      </c>
      <c r="K421" t="n">
        <v>0</v>
      </c>
      <c r="L421" t="n">
        <v>0</v>
      </c>
      <c r="M421" t="n">
        <v>0</v>
      </c>
      <c r="N421" t="n">
        <v>0</v>
      </c>
      <c r="O421" t="n">
        <v>0</v>
      </c>
      <c r="P421" t="n">
        <v>0</v>
      </c>
      <c r="Q421" t="n">
        <v>0</v>
      </c>
      <c r="R421" t="n">
        <v>0</v>
      </c>
      <c r="S421" t="n">
        <v>0</v>
      </c>
      <c r="T421" t="n">
        <v>0</v>
      </c>
      <c r="U421" s="2" t="inlineStr"/>
    </row>
    <row r="422" ht="15" customHeight="1">
      <c r="A422" t="inlineStr">
        <is>
          <t>A 14007-2026</t>
        </is>
      </c>
      <c r="B422" t="inlineStr">
        <is>
          <t>avverkningsanmälan</t>
        </is>
      </c>
      <c r="C422" t="inlineStr">
        <is>
          <t>Föryngringsavverkning</t>
        </is>
      </c>
      <c r="D422" s="1" t="n">
        <v>46098</v>
      </c>
      <c r="E422" s="1" t="n">
        <v>46221</v>
      </c>
      <c r="F422" t="inlineStr">
        <is>
          <t>UPPSALA LÄN</t>
        </is>
      </c>
      <c r="G422" t="inlineStr">
        <is>
          <t>ÖSTHAMMAR</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61443-2024</t>
        </is>
      </c>
      <c r="B423" t="inlineStr">
        <is>
          <t>avverkningsanmälan</t>
        </is>
      </c>
      <c r="C423" t="inlineStr">
        <is>
          <t>Föryngringsavverkning</t>
        </is>
      </c>
      <c r="D423" s="1" t="n">
        <v>45646</v>
      </c>
      <c r="E423" s="1" t="n">
        <v>46221</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26612-2023</t>
        </is>
      </c>
      <c r="B424" t="inlineStr">
        <is>
          <t>avverkningsanmälan</t>
        </is>
      </c>
      <c r="C424" t="inlineStr">
        <is>
          <t>Föryngringsavverkning</t>
        </is>
      </c>
      <c r="D424" s="1" t="n">
        <v>45089</v>
      </c>
      <c r="E424" s="1" t="n">
        <v>46221</v>
      </c>
      <c r="F424" t="inlineStr">
        <is>
          <t>UPPSALA LÄN</t>
        </is>
      </c>
      <c r="G424" t="inlineStr">
        <is>
          <t>ÖSTHAMMAR</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61838-2025</t>
        </is>
      </c>
      <c r="B425" t="inlineStr">
        <is>
          <t>avverkningsanmälan</t>
        </is>
      </c>
      <c r="C425" t="inlineStr">
        <is>
          <t>Föryngringsavverkning</t>
        </is>
      </c>
      <c r="D425" s="1" t="n">
        <v>46003</v>
      </c>
      <c r="E425" s="1" t="n">
        <v>46221</v>
      </c>
      <c r="F425" t="inlineStr">
        <is>
          <t>UPPSALA LÄN</t>
        </is>
      </c>
      <c r="G425" t="inlineStr">
        <is>
          <t>ÖSTHAMMAR</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25897-2023</t>
        </is>
      </c>
      <c r="B426" t="inlineStr">
        <is>
          <t>avverkningsanmälan</t>
        </is>
      </c>
      <c r="C426" t="inlineStr">
        <is>
          <t>Föryngringsavverkning</t>
        </is>
      </c>
      <c r="D426" s="1" t="n">
        <v>45090</v>
      </c>
      <c r="E426" s="1" t="n">
        <v>46221</v>
      </c>
      <c r="F426" t="inlineStr">
        <is>
          <t>UPPSALA LÄN</t>
        </is>
      </c>
      <c r="G426" t="inlineStr">
        <is>
          <t>ÖSTHAMMAR</t>
        </is>
      </c>
      <c r="H426" t="inlineStr">
        <is>
          <t>Bergvik skog öst AB</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20046-2023</t>
        </is>
      </c>
      <c r="B427" t="inlineStr">
        <is>
          <t>avverkningsanmälan</t>
        </is>
      </c>
      <c r="C427" t="inlineStr">
        <is>
          <t>Avverkning för annat ändamål</t>
        </is>
      </c>
      <c r="D427" s="1" t="n">
        <v>45054</v>
      </c>
      <c r="E427" s="1" t="n">
        <v>46221</v>
      </c>
      <c r="F427" t="inlineStr">
        <is>
          <t>UPPSALA LÄN</t>
        </is>
      </c>
      <c r="G427" t="inlineStr">
        <is>
          <t>ÖSTHAMMAR</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41478-2024</t>
        </is>
      </c>
      <c r="B428" t="inlineStr">
        <is>
          <t>avverkningsanmälan</t>
        </is>
      </c>
      <c r="C428" t="inlineStr">
        <is>
          <t>Föryngringsavverkning</t>
        </is>
      </c>
      <c r="D428" s="1" t="n">
        <v>45560</v>
      </c>
      <c r="E428" s="1" t="n">
        <v>46221</v>
      </c>
      <c r="F428" t="inlineStr">
        <is>
          <t>UPPSALA LÄN</t>
        </is>
      </c>
      <c r="G428" t="inlineStr">
        <is>
          <t>ÖSTHAMMAR</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62745-2025</t>
        </is>
      </c>
      <c r="B429" t="inlineStr">
        <is>
          <t>avverkningsanmälan</t>
        </is>
      </c>
      <c r="C429" t="inlineStr">
        <is>
          <t>Föryngringsavverkning</t>
        </is>
      </c>
      <c r="D429" s="1" t="n">
        <v>46008</v>
      </c>
      <c r="E429" s="1" t="n">
        <v>46221</v>
      </c>
      <c r="F429" t="inlineStr">
        <is>
          <t>UPPSALA LÄN</t>
        </is>
      </c>
      <c r="G429" t="inlineStr">
        <is>
          <t>ÖSTHAMMAR</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3638-2022</t>
        </is>
      </c>
      <c r="B430" t="inlineStr">
        <is>
          <t>avverkningsanmälan</t>
        </is>
      </c>
      <c r="C430" t="inlineStr">
        <is>
          <t>Föryngringsavverkning</t>
        </is>
      </c>
      <c r="D430" s="1" t="n">
        <v>44578</v>
      </c>
      <c r="E430" s="1" t="n">
        <v>46221</v>
      </c>
      <c r="F430" t="inlineStr">
        <is>
          <t>UPPSALA LÄN</t>
        </is>
      </c>
      <c r="G430" t="inlineStr">
        <is>
          <t>ÖSTHAMMAR</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15006-2026</t>
        </is>
      </c>
      <c r="B431" t="inlineStr">
        <is>
          <t>avverkningsanmälan</t>
        </is>
      </c>
      <c r="C431" t="inlineStr">
        <is>
          <t>Föryngringsavverkning</t>
        </is>
      </c>
      <c r="D431" s="1" t="n">
        <v>46104</v>
      </c>
      <c r="E431" s="1" t="n">
        <v>46221</v>
      </c>
      <c r="F431" t="inlineStr">
        <is>
          <t>UPPSALA LÄN</t>
        </is>
      </c>
      <c r="G431" t="inlineStr">
        <is>
          <t>ÖSTHAMMAR</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17969-2023</t>
        </is>
      </c>
      <c r="B432" t="inlineStr">
        <is>
          <t>avverkningsanmälan</t>
        </is>
      </c>
      <c r="C432" t="inlineStr">
        <is>
          <t>Föryngringsavverkning</t>
        </is>
      </c>
      <c r="D432" s="1" t="n">
        <v>45040</v>
      </c>
      <c r="E432" s="1" t="n">
        <v>46221</v>
      </c>
      <c r="F432" t="inlineStr">
        <is>
          <t>UPPSALA LÄN</t>
        </is>
      </c>
      <c r="G432" t="inlineStr">
        <is>
          <t>ÖSTHAMMAR</t>
        </is>
      </c>
      <c r="I432" t="n">
        <v>5.4</v>
      </c>
      <c r="J432" t="n">
        <v>0</v>
      </c>
      <c r="K432" t="n">
        <v>0</v>
      </c>
      <c r="L432" t="n">
        <v>0</v>
      </c>
      <c r="M432" t="n">
        <v>0</v>
      </c>
      <c r="N432" t="n">
        <v>0</v>
      </c>
      <c r="O432" t="n">
        <v>0</v>
      </c>
      <c r="P432" t="n">
        <v>0</v>
      </c>
      <c r="Q432" t="n">
        <v>0</v>
      </c>
      <c r="R432" t="n">
        <v>0</v>
      </c>
      <c r="S432" t="n">
        <v>0</v>
      </c>
      <c r="T432" t="n">
        <v>0</v>
      </c>
      <c r="U432" s="2" t="inlineStr"/>
    </row>
    <row r="433" ht="15" customHeight="1">
      <c r="A433" t="inlineStr">
        <is>
          <t>A 12528-2024</t>
        </is>
      </c>
      <c r="B433" t="inlineStr">
        <is>
          <t>avverkningsanmälan</t>
        </is>
      </c>
      <c r="C433" t="inlineStr">
        <is>
          <t>Föryngringsavverkning</t>
        </is>
      </c>
      <c r="D433" s="1" t="n">
        <v>45379</v>
      </c>
      <c r="E433" s="1" t="n">
        <v>46221</v>
      </c>
      <c r="F433" t="inlineStr">
        <is>
          <t>UPPSALA LÄN</t>
        </is>
      </c>
      <c r="G433" t="inlineStr">
        <is>
          <t>ÖSTHAMMAR</t>
        </is>
      </c>
      <c r="H433" t="inlineStr">
        <is>
          <t>Bergvik skog öst AB</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4228-2023</t>
        </is>
      </c>
      <c r="B434" t="inlineStr">
        <is>
          <t>avverkningsanmälan</t>
        </is>
      </c>
      <c r="C434" t="inlineStr">
        <is>
          <t>Föryngringsavverkning</t>
        </is>
      </c>
      <c r="D434" s="1" t="n">
        <v>44953</v>
      </c>
      <c r="E434" s="1" t="n">
        <v>46221</v>
      </c>
      <c r="F434" t="inlineStr">
        <is>
          <t>UPPSALA LÄN</t>
        </is>
      </c>
      <c r="G434" t="inlineStr">
        <is>
          <t>ÖSTHAMMAR</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15452-2026</t>
        </is>
      </c>
      <c r="B435" t="inlineStr">
        <is>
          <t>avverkningsanmälan</t>
        </is>
      </c>
      <c r="C435" t="inlineStr">
        <is>
          <t>Föryngringsavverkning</t>
        </is>
      </c>
      <c r="D435" s="1" t="n">
        <v>46106</v>
      </c>
      <c r="E435" s="1" t="n">
        <v>46221</v>
      </c>
      <c r="F435" t="inlineStr">
        <is>
          <t>UPPSALA LÄN</t>
        </is>
      </c>
      <c r="G435" t="inlineStr">
        <is>
          <t>ÖSTHAMMAR</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18091-2023</t>
        </is>
      </c>
      <c r="B436" t="inlineStr">
        <is>
          <t>avverkningsanmälan</t>
        </is>
      </c>
      <c r="C436" t="inlineStr">
        <is>
          <t>Föryngringsavverkning</t>
        </is>
      </c>
      <c r="D436" s="1" t="n">
        <v>45040</v>
      </c>
      <c r="E436" s="1" t="n">
        <v>46221</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15744-2026</t>
        </is>
      </c>
      <c r="B437" t="inlineStr">
        <is>
          <t>avverkningsanmälan</t>
        </is>
      </c>
      <c r="C437" t="inlineStr">
        <is>
          <t>Föryngringsavverkning</t>
        </is>
      </c>
      <c r="D437" s="1" t="n">
        <v>46107</v>
      </c>
      <c r="E437" s="1" t="n">
        <v>46221</v>
      </c>
      <c r="F437" t="inlineStr">
        <is>
          <t>UPPSALA LÄN</t>
        </is>
      </c>
      <c r="G437" t="inlineStr">
        <is>
          <t>ÖSTHAMMAR</t>
        </is>
      </c>
      <c r="H437" t="inlineStr">
        <is>
          <t>Bergvik skog öst AB</t>
        </is>
      </c>
      <c r="I437" t="n">
        <v>7.8</v>
      </c>
      <c r="J437" t="n">
        <v>0</v>
      </c>
      <c r="K437" t="n">
        <v>0</v>
      </c>
      <c r="L437" t="n">
        <v>0</v>
      </c>
      <c r="M437" t="n">
        <v>0</v>
      </c>
      <c r="N437" t="n">
        <v>0</v>
      </c>
      <c r="O437" t="n">
        <v>0</v>
      </c>
      <c r="P437" t="n">
        <v>0</v>
      </c>
      <c r="Q437" t="n">
        <v>0</v>
      </c>
      <c r="R437" t="n">
        <v>0</v>
      </c>
      <c r="S437" t="n">
        <v>0</v>
      </c>
      <c r="T437" t="n">
        <v>0</v>
      </c>
      <c r="U437" s="2" t="inlineStr"/>
    </row>
    <row r="438" ht="15" customHeight="1">
      <c r="A438" t="inlineStr">
        <is>
          <t>A 66779-2021</t>
        </is>
      </c>
      <c r="B438" t="inlineStr">
        <is>
          <t>avverkningsanmälan</t>
        </is>
      </c>
      <c r="C438" t="inlineStr">
        <is>
          <t>Föryngringsavverkning</t>
        </is>
      </c>
      <c r="D438" s="1" t="n">
        <v>44522</v>
      </c>
      <c r="E438" s="1" t="n">
        <v>46221</v>
      </c>
      <c r="F438" t="inlineStr">
        <is>
          <t>UPPSALA LÄN</t>
        </is>
      </c>
      <c r="G438" t="inlineStr">
        <is>
          <t>ÖSTHAMMAR</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23197-2023</t>
        </is>
      </c>
      <c r="B439" t="inlineStr">
        <is>
          <t>avverkningsanmälan</t>
        </is>
      </c>
      <c r="C439" t="inlineStr">
        <is>
          <t>Föryngringsavverkning</t>
        </is>
      </c>
      <c r="D439" s="1" t="n">
        <v>45075</v>
      </c>
      <c r="E439" s="1" t="n">
        <v>46221</v>
      </c>
      <c r="F439" t="inlineStr">
        <is>
          <t>UPPSALA LÄN</t>
        </is>
      </c>
      <c r="G439" t="inlineStr">
        <is>
          <t>ÖSTHAMMAR</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60079-2022</t>
        </is>
      </c>
      <c r="B440" t="inlineStr">
        <is>
          <t>avverkningsanmälan</t>
        </is>
      </c>
      <c r="C440" t="inlineStr">
        <is>
          <t>Föryngringsavverkning</t>
        </is>
      </c>
      <c r="D440" s="1" t="n">
        <v>44909</v>
      </c>
      <c r="E440" s="1" t="n">
        <v>46221</v>
      </c>
      <c r="F440" t="inlineStr">
        <is>
          <t>UPPSALA LÄN</t>
        </is>
      </c>
      <c r="G440" t="inlineStr">
        <is>
          <t>ÖSTHAMMAR</t>
        </is>
      </c>
      <c r="I440" t="n">
        <v>9.6</v>
      </c>
      <c r="J440" t="n">
        <v>0</v>
      </c>
      <c r="K440" t="n">
        <v>0</v>
      </c>
      <c r="L440" t="n">
        <v>0</v>
      </c>
      <c r="M440" t="n">
        <v>0</v>
      </c>
      <c r="N440" t="n">
        <v>0</v>
      </c>
      <c r="O440" t="n">
        <v>0</v>
      </c>
      <c r="P440" t="n">
        <v>0</v>
      </c>
      <c r="Q440" t="n">
        <v>0</v>
      </c>
      <c r="R440" t="n">
        <v>0</v>
      </c>
      <c r="S440" t="n">
        <v>0</v>
      </c>
      <c r="T440" t="n">
        <v>0</v>
      </c>
      <c r="U440" s="2" t="inlineStr"/>
    </row>
    <row r="441" ht="15" customHeight="1">
      <c r="A441" t="inlineStr">
        <is>
          <t>A 15748-2026</t>
        </is>
      </c>
      <c r="B441" t="inlineStr">
        <is>
          <t>avverkningsanmälan</t>
        </is>
      </c>
      <c r="C441" t="inlineStr">
        <is>
          <t>Föryngringsavverkning</t>
        </is>
      </c>
      <c r="D441" s="1" t="n">
        <v>46107</v>
      </c>
      <c r="E441" s="1" t="n">
        <v>46221</v>
      </c>
      <c r="F441" t="inlineStr">
        <is>
          <t>UPPSALA LÄN</t>
        </is>
      </c>
      <c r="G441" t="inlineStr">
        <is>
          <t>ÖSTHAMMAR</t>
        </is>
      </c>
      <c r="H441" t="inlineStr">
        <is>
          <t>Bergvik skog öst AB</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9267-2024</t>
        </is>
      </c>
      <c r="B442" t="inlineStr">
        <is>
          <t>avverkningsanmälan</t>
        </is>
      </c>
      <c r="C442" t="inlineStr">
        <is>
          <t>Föryngringsavverkning</t>
        </is>
      </c>
      <c r="D442" s="1" t="n">
        <v>45358</v>
      </c>
      <c r="E442" s="1" t="n">
        <v>46221</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15475-2026</t>
        </is>
      </c>
      <c r="B443" t="inlineStr">
        <is>
          <t>avverkningsanmälan</t>
        </is>
      </c>
      <c r="C443" t="inlineStr">
        <is>
          <t>Föryngringsavverkning</t>
        </is>
      </c>
      <c r="D443" s="1" t="n">
        <v>46106</v>
      </c>
      <c r="E443" s="1" t="n">
        <v>46221</v>
      </c>
      <c r="F443" t="inlineStr">
        <is>
          <t>UPPSALA LÄN</t>
        </is>
      </c>
      <c r="G443" t="inlineStr">
        <is>
          <t>ÖSTHAMMAR</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15478-2026</t>
        </is>
      </c>
      <c r="B444" t="inlineStr">
        <is>
          <t>avverkningsanmälan</t>
        </is>
      </c>
      <c r="C444" t="inlineStr">
        <is>
          <t>Föryngringsavverkning</t>
        </is>
      </c>
      <c r="D444" s="1" t="n">
        <v>46106</v>
      </c>
      <c r="E444" s="1" t="n">
        <v>46221</v>
      </c>
      <c r="F444" t="inlineStr">
        <is>
          <t>UPPSALA LÄN</t>
        </is>
      </c>
      <c r="G444" t="inlineStr">
        <is>
          <t>ÖSTHAMMAR</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16359-2026</t>
        </is>
      </c>
      <c r="B445" t="inlineStr">
        <is>
          <t>avverkningsanmälan</t>
        </is>
      </c>
      <c r="C445" t="inlineStr">
        <is>
          <t>Föryngringsavverkning</t>
        </is>
      </c>
      <c r="D445" s="1" t="n">
        <v>46111</v>
      </c>
      <c r="E445" s="1" t="n">
        <v>46221</v>
      </c>
      <c r="F445" t="inlineStr">
        <is>
          <t>UPPSALA LÄN</t>
        </is>
      </c>
      <c r="G445" t="inlineStr">
        <is>
          <t>ÖSTHAMMAR</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35316-2024</t>
        </is>
      </c>
      <c r="B446" t="inlineStr">
        <is>
          <t>avverkningsanmälan</t>
        </is>
      </c>
      <c r="C446" t="inlineStr">
        <is>
          <t>Föryngringsavverkning</t>
        </is>
      </c>
      <c r="D446" s="1" t="n">
        <v>45530</v>
      </c>
      <c r="E446" s="1" t="n">
        <v>46221</v>
      </c>
      <c r="F446" t="inlineStr">
        <is>
          <t>UPPSALA LÄN</t>
        </is>
      </c>
      <c r="G446" t="inlineStr">
        <is>
          <t>ÖSTHAMMAR</t>
        </is>
      </c>
      <c r="H446" t="inlineStr">
        <is>
          <t>Bergvik skog öst AB</t>
        </is>
      </c>
      <c r="I446" t="n">
        <v>2.1</v>
      </c>
      <c r="J446" t="n">
        <v>0</v>
      </c>
      <c r="K446" t="n">
        <v>0</v>
      </c>
      <c r="L446" t="n">
        <v>0</v>
      </c>
      <c r="M446" t="n">
        <v>0</v>
      </c>
      <c r="N446" t="n">
        <v>0</v>
      </c>
      <c r="O446" t="n">
        <v>0</v>
      </c>
      <c r="P446" t="n">
        <v>0</v>
      </c>
      <c r="Q446" t="n">
        <v>0</v>
      </c>
      <c r="R446" t="n">
        <v>0</v>
      </c>
      <c r="S446" t="n">
        <v>0</v>
      </c>
      <c r="T446" t="n">
        <v>0</v>
      </c>
      <c r="U446" s="2" t="inlineStr"/>
    </row>
    <row r="447" ht="15" customHeight="1">
      <c r="A447" t="inlineStr">
        <is>
          <t>A 16042-2026</t>
        </is>
      </c>
      <c r="B447" t="inlineStr">
        <is>
          <t>avverkningsanmälan</t>
        </is>
      </c>
      <c r="C447" t="inlineStr">
        <is>
          <t>Föryngringsavverkning</t>
        </is>
      </c>
      <c r="D447" s="1" t="n">
        <v>46108</v>
      </c>
      <c r="E447" s="1" t="n">
        <v>46221</v>
      </c>
      <c r="F447" t="inlineStr">
        <is>
          <t>UPPSALA LÄN</t>
        </is>
      </c>
      <c r="G447" t="inlineStr">
        <is>
          <t>ÖSTHAMMAR</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38571-2023</t>
        </is>
      </c>
      <c r="B448" t="inlineStr">
        <is>
          <t>avverkningsanmälan</t>
        </is>
      </c>
      <c r="C448" t="inlineStr">
        <is>
          <t>Föryngringsavverkning</t>
        </is>
      </c>
      <c r="D448" s="1" t="n">
        <v>45162</v>
      </c>
      <c r="E448" s="1" t="n">
        <v>46221</v>
      </c>
      <c r="F448" t="inlineStr">
        <is>
          <t>UPPSALA LÄN</t>
        </is>
      </c>
      <c r="G448" t="inlineStr">
        <is>
          <t>ÖSTHAMMAR</t>
        </is>
      </c>
      <c r="H448" t="inlineStr">
        <is>
          <t>Bergvik skog öst AB</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7560-2023</t>
        </is>
      </c>
      <c r="B449" t="inlineStr">
        <is>
          <t>avverkningsanmälan</t>
        </is>
      </c>
      <c r="C449" t="inlineStr">
        <is>
          <t>Föryngringsavverkning</t>
        </is>
      </c>
      <c r="D449" s="1" t="n">
        <v>44972</v>
      </c>
      <c r="E449" s="1" t="n">
        <v>46221</v>
      </c>
      <c r="F449" t="inlineStr">
        <is>
          <t>UPPSALA LÄN</t>
        </is>
      </c>
      <c r="G449" t="inlineStr">
        <is>
          <t>ÖSTHAMMAR</t>
        </is>
      </c>
      <c r="H449" t="inlineStr">
        <is>
          <t>Bergvik skog öst AB</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16038-2026</t>
        </is>
      </c>
      <c r="B450" t="inlineStr">
        <is>
          <t>avverkningsanmälan</t>
        </is>
      </c>
      <c r="C450" t="inlineStr">
        <is>
          <t>Föryngringsavverkning</t>
        </is>
      </c>
      <c r="D450" s="1" t="n">
        <v>46108</v>
      </c>
      <c r="E450" s="1" t="n">
        <v>46221</v>
      </c>
      <c r="F450" t="inlineStr">
        <is>
          <t>UPPSALA LÄN</t>
        </is>
      </c>
      <c r="G450" t="inlineStr">
        <is>
          <t>ÖSTHAMMAR</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74436-2021</t>
        </is>
      </c>
      <c r="B451" t="inlineStr">
        <is>
          <t>avverkningsanmälan</t>
        </is>
      </c>
      <c r="C451" t="inlineStr">
        <is>
          <t>Föryngringsavverkning</t>
        </is>
      </c>
      <c r="D451" s="1" t="n">
        <v>44560</v>
      </c>
      <c r="E451" s="1" t="n">
        <v>46221</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16788-2026</t>
        </is>
      </c>
      <c r="B452" t="inlineStr">
        <is>
          <t>avverkningsanmälan</t>
        </is>
      </c>
      <c r="C452" t="inlineStr">
        <is>
          <t>Föryngringsavverkning</t>
        </is>
      </c>
      <c r="D452" s="1" t="n">
        <v>46113</v>
      </c>
      <c r="E452" s="1" t="n">
        <v>46221</v>
      </c>
      <c r="F452" t="inlineStr">
        <is>
          <t>UPPSALA LÄN</t>
        </is>
      </c>
      <c r="G452" t="inlineStr">
        <is>
          <t>ÖSTHAMMAR</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16494-2026</t>
        </is>
      </c>
      <c r="B453" t="inlineStr">
        <is>
          <t>avverkningsanmälan</t>
        </is>
      </c>
      <c r="C453" t="inlineStr">
        <is>
          <t>Föryngringsavverkning</t>
        </is>
      </c>
      <c r="D453" s="1" t="n">
        <v>46112</v>
      </c>
      <c r="E453" s="1" t="n">
        <v>46221</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16796-2026</t>
        </is>
      </c>
      <c r="B454" t="inlineStr">
        <is>
          <t>avverkningsanmälan</t>
        </is>
      </c>
      <c r="C454" t="inlineStr">
        <is>
          <t>Föryngringsavverkning</t>
        </is>
      </c>
      <c r="D454" s="1" t="n">
        <v>46113</v>
      </c>
      <c r="E454" s="1" t="n">
        <v>46221</v>
      </c>
      <c r="F454" t="inlineStr">
        <is>
          <t>UPPSALA LÄN</t>
        </is>
      </c>
      <c r="G454" t="inlineStr">
        <is>
          <t>ÖSTHAMMAR</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32778-2023</t>
        </is>
      </c>
      <c r="B455" t="inlineStr">
        <is>
          <t>avverkningsanmälan</t>
        </is>
      </c>
      <c r="C455" t="inlineStr">
        <is>
          <t>Föryngringsavverkning</t>
        </is>
      </c>
      <c r="D455" s="1" t="n">
        <v>45123</v>
      </c>
      <c r="E455" s="1" t="n">
        <v>46221</v>
      </c>
      <c r="F455" t="inlineStr">
        <is>
          <t>UPPSALA LÄN</t>
        </is>
      </c>
      <c r="G455" t="inlineStr">
        <is>
          <t>ÖSTHAMMAR</t>
        </is>
      </c>
      <c r="H455" t="inlineStr">
        <is>
          <t>Bergvik skog öst AB</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33680-2024</t>
        </is>
      </c>
      <c r="B456" t="inlineStr">
        <is>
          <t>avverkningsanmälan</t>
        </is>
      </c>
      <c r="C456" t="inlineStr">
        <is>
          <t>Föryngringsavverkning</t>
        </is>
      </c>
      <c r="D456" s="1" t="n">
        <v>45520</v>
      </c>
      <c r="E456" s="1" t="n">
        <v>46221</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16498-2026</t>
        </is>
      </c>
      <c r="B457" t="inlineStr">
        <is>
          <t>avverkningsanmälan</t>
        </is>
      </c>
      <c r="C457" t="inlineStr">
        <is>
          <t>Föryngringsavverkning</t>
        </is>
      </c>
      <c r="D457" s="1" t="n">
        <v>46112</v>
      </c>
      <c r="E457" s="1" t="n">
        <v>46221</v>
      </c>
      <c r="F457" t="inlineStr">
        <is>
          <t>UPPSALA LÄN</t>
        </is>
      </c>
      <c r="G457" t="inlineStr">
        <is>
          <t>ÖSTHAMMAR</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16522-2026</t>
        </is>
      </c>
      <c r="B458" t="inlineStr">
        <is>
          <t>avverkningsanmälan</t>
        </is>
      </c>
      <c r="C458" t="inlineStr">
        <is>
          <t>Föryngringsavverkning</t>
        </is>
      </c>
      <c r="D458" s="1" t="n">
        <v>46112</v>
      </c>
      <c r="E458" s="1" t="n">
        <v>46221</v>
      </c>
      <c r="F458" t="inlineStr">
        <is>
          <t>UPPSALA LÄN</t>
        </is>
      </c>
      <c r="G458" t="inlineStr">
        <is>
          <t>ÖSTHAMMAR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16640-2026</t>
        </is>
      </c>
      <c r="B459" t="inlineStr">
        <is>
          <t>avverkningsanmälan</t>
        </is>
      </c>
      <c r="C459" t="inlineStr">
        <is>
          <t>Föryngringsavverkning</t>
        </is>
      </c>
      <c r="D459" s="1" t="n">
        <v>46112</v>
      </c>
      <c r="E459" s="1" t="n">
        <v>46221</v>
      </c>
      <c r="F459" t="inlineStr">
        <is>
          <t>UPPSALA LÄN</t>
        </is>
      </c>
      <c r="G459" t="inlineStr">
        <is>
          <t>ÖSTHAMMAR</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7944-2023</t>
        </is>
      </c>
      <c r="B460" t="inlineStr">
        <is>
          <t>avverkningsanmälan</t>
        </is>
      </c>
      <c r="C460" t="inlineStr">
        <is>
          <t>Föryngringsavverkning</t>
        </is>
      </c>
      <c r="D460" s="1" t="n">
        <v>44973</v>
      </c>
      <c r="E460" s="1" t="n">
        <v>46221</v>
      </c>
      <c r="F460" t="inlineStr">
        <is>
          <t>UPPSALA LÄN</t>
        </is>
      </c>
      <c r="G460" t="inlineStr">
        <is>
          <t>ÖSTHAMMAR</t>
        </is>
      </c>
      <c r="I460" t="n">
        <v>4.6</v>
      </c>
      <c r="J460" t="n">
        <v>0</v>
      </c>
      <c r="K460" t="n">
        <v>0</v>
      </c>
      <c r="L460" t="n">
        <v>0</v>
      </c>
      <c r="M460" t="n">
        <v>0</v>
      </c>
      <c r="N460" t="n">
        <v>0</v>
      </c>
      <c r="O460" t="n">
        <v>0</v>
      </c>
      <c r="P460" t="n">
        <v>0</v>
      </c>
      <c r="Q460" t="n">
        <v>0</v>
      </c>
      <c r="R460" t="n">
        <v>0</v>
      </c>
      <c r="S460" t="n">
        <v>0</v>
      </c>
      <c r="T460" t="n">
        <v>0</v>
      </c>
      <c r="U460" s="2" t="inlineStr"/>
    </row>
    <row r="461" ht="15" customHeight="1">
      <c r="A461" t="inlineStr">
        <is>
          <t>A 8616-2023</t>
        </is>
      </c>
      <c r="B461" t="inlineStr">
        <is>
          <t>avverkningsanmälan</t>
        </is>
      </c>
      <c r="C461" t="inlineStr">
        <is>
          <t>Föryngringsavverkning</t>
        </is>
      </c>
      <c r="D461" s="1" t="n">
        <v>44977</v>
      </c>
      <c r="E461" s="1" t="n">
        <v>46221</v>
      </c>
      <c r="F461" t="inlineStr">
        <is>
          <t>UPPSALA LÄN</t>
        </is>
      </c>
      <c r="G461" t="inlineStr">
        <is>
          <t>ÖSTHAMMAR</t>
        </is>
      </c>
      <c r="H461" t="inlineStr">
        <is>
          <t>Bergvik skog öst AB</t>
        </is>
      </c>
      <c r="I461" t="n">
        <v>0.2</v>
      </c>
      <c r="J461" t="n">
        <v>0</v>
      </c>
      <c r="K461" t="n">
        <v>0</v>
      </c>
      <c r="L461" t="n">
        <v>0</v>
      </c>
      <c r="M461" t="n">
        <v>0</v>
      </c>
      <c r="N461" t="n">
        <v>0</v>
      </c>
      <c r="O461" t="n">
        <v>0</v>
      </c>
      <c r="P461" t="n">
        <v>0</v>
      </c>
      <c r="Q461" t="n">
        <v>0</v>
      </c>
      <c r="R461" t="n">
        <v>0</v>
      </c>
      <c r="S461" t="n">
        <v>0</v>
      </c>
      <c r="T461" t="n">
        <v>0</v>
      </c>
      <c r="U461" s="2" t="inlineStr"/>
    </row>
    <row r="462" ht="15" customHeight="1">
      <c r="A462" t="inlineStr">
        <is>
          <t>A 17198-2026</t>
        </is>
      </c>
      <c r="B462" t="inlineStr">
        <is>
          <t>avverkningsanmälan</t>
        </is>
      </c>
      <c r="C462" t="inlineStr">
        <is>
          <t>Föryngringsavverkning</t>
        </is>
      </c>
      <c r="D462" s="1" t="n">
        <v>46118</v>
      </c>
      <c r="E462" s="1" t="n">
        <v>46221</v>
      </c>
      <c r="F462" t="inlineStr">
        <is>
          <t>UPPSALA LÄN</t>
        </is>
      </c>
      <c r="G462" t="inlineStr">
        <is>
          <t>ÖSTHAMMAR</t>
        </is>
      </c>
      <c r="H462" t="inlineStr">
        <is>
          <t>Bergvik skog öst AB</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17926-2026</t>
        </is>
      </c>
      <c r="B463" t="inlineStr">
        <is>
          <t>avverkningsanmälan</t>
        </is>
      </c>
      <c r="C463" t="inlineStr">
        <is>
          <t>Föryngringsavverkning</t>
        </is>
      </c>
      <c r="D463" s="1" t="n">
        <v>46122</v>
      </c>
      <c r="E463" s="1" t="n">
        <v>46221</v>
      </c>
      <c r="F463" t="inlineStr">
        <is>
          <t>UPPSALA LÄN</t>
        </is>
      </c>
      <c r="G463" t="inlineStr">
        <is>
          <t>ÖSTHAMMAR</t>
        </is>
      </c>
      <c r="H463" t="inlineStr">
        <is>
          <t>Bergvik skog öst AB</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17760-2026</t>
        </is>
      </c>
      <c r="B464" t="inlineStr">
        <is>
          <t>avverkningsanmälan</t>
        </is>
      </c>
      <c r="C464" t="inlineStr">
        <is>
          <t>Föryngringsavverkning</t>
        </is>
      </c>
      <c r="D464" s="1" t="n">
        <v>46122</v>
      </c>
      <c r="E464" s="1" t="n">
        <v>46221</v>
      </c>
      <c r="F464" t="inlineStr">
        <is>
          <t>UPPSALA LÄN</t>
        </is>
      </c>
      <c r="G464" t="inlineStr">
        <is>
          <t>ÖSTHAMMAR</t>
        </is>
      </c>
      <c r="H464" t="inlineStr">
        <is>
          <t>Bergvik skog öst AB</t>
        </is>
      </c>
      <c r="I464" t="n">
        <v>3.6</v>
      </c>
      <c r="J464" t="n">
        <v>0</v>
      </c>
      <c r="K464" t="n">
        <v>0</v>
      </c>
      <c r="L464" t="n">
        <v>0</v>
      </c>
      <c r="M464" t="n">
        <v>0</v>
      </c>
      <c r="N464" t="n">
        <v>0</v>
      </c>
      <c r="O464" t="n">
        <v>0</v>
      </c>
      <c r="P464" t="n">
        <v>0</v>
      </c>
      <c r="Q464" t="n">
        <v>0</v>
      </c>
      <c r="R464" t="n">
        <v>0</v>
      </c>
      <c r="S464" t="n">
        <v>0</v>
      </c>
      <c r="T464" t="n">
        <v>0</v>
      </c>
      <c r="U464" s="2" t="inlineStr"/>
    </row>
    <row r="465" ht="15" customHeight="1">
      <c r="A465" t="inlineStr">
        <is>
          <t>A 17764-2026</t>
        </is>
      </c>
      <c r="B465" t="inlineStr">
        <is>
          <t>avverkningsanmälan</t>
        </is>
      </c>
      <c r="C465" t="inlineStr">
        <is>
          <t>Föryngringsavverkning</t>
        </is>
      </c>
      <c r="D465" s="1" t="n">
        <v>46122</v>
      </c>
      <c r="E465" s="1" t="n">
        <v>46221</v>
      </c>
      <c r="F465" t="inlineStr">
        <is>
          <t>UPPSALA LÄN</t>
        </is>
      </c>
      <c r="G465" t="inlineStr">
        <is>
          <t>ÖSTHAMMAR</t>
        </is>
      </c>
      <c r="H465" t="inlineStr">
        <is>
          <t>Bergvik skog öst AB</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47614-2025</t>
        </is>
      </c>
      <c r="B466" t="inlineStr">
        <is>
          <t>avverkningsanmälan</t>
        </is>
      </c>
      <c r="C466" t="inlineStr">
        <is>
          <t>Föryngringsavverkning</t>
        </is>
      </c>
      <c r="D466" s="1" t="n">
        <v>45931</v>
      </c>
      <c r="E466" s="1" t="n">
        <v>46221</v>
      </c>
      <c r="F466" t="inlineStr">
        <is>
          <t>UPPSALA LÄN</t>
        </is>
      </c>
      <c r="G466" t="inlineStr">
        <is>
          <t>ÖSTHAMMAR</t>
        </is>
      </c>
      <c r="I466" t="n">
        <v>22.8</v>
      </c>
      <c r="J466" t="n">
        <v>0</v>
      </c>
      <c r="K466" t="n">
        <v>0</v>
      </c>
      <c r="L466" t="n">
        <v>0</v>
      </c>
      <c r="M466" t="n">
        <v>0</v>
      </c>
      <c r="N466" t="n">
        <v>0</v>
      </c>
      <c r="O466" t="n">
        <v>0</v>
      </c>
      <c r="P466" t="n">
        <v>0</v>
      </c>
      <c r="Q466" t="n">
        <v>0</v>
      </c>
      <c r="R466" t="n">
        <v>0</v>
      </c>
      <c r="S466" t="n">
        <v>0</v>
      </c>
      <c r="T466" t="n">
        <v>0</v>
      </c>
      <c r="U466" s="2" t="inlineStr"/>
    </row>
    <row r="467" ht="15" customHeight="1">
      <c r="A467" t="inlineStr">
        <is>
          <t>A 17767-2026</t>
        </is>
      </c>
      <c r="B467" t="inlineStr">
        <is>
          <t>avverkningsanmälan</t>
        </is>
      </c>
      <c r="C467" t="inlineStr">
        <is>
          <t>Föryngringsavverkning</t>
        </is>
      </c>
      <c r="D467" s="1" t="n">
        <v>46122</v>
      </c>
      <c r="E467" s="1" t="n">
        <v>46221</v>
      </c>
      <c r="F467" t="inlineStr">
        <is>
          <t>UPPSALA LÄN</t>
        </is>
      </c>
      <c r="G467" t="inlineStr">
        <is>
          <t>ÖSTHAMMAR</t>
        </is>
      </c>
      <c r="H467" t="inlineStr">
        <is>
          <t>Bergvik skog öst AB</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73965-2021</t>
        </is>
      </c>
      <c r="B468" t="inlineStr">
        <is>
          <t>avverkningsanmälan</t>
        </is>
      </c>
      <c r="C468" t="inlineStr">
        <is>
          <t>Föryngringsavverkning</t>
        </is>
      </c>
      <c r="D468" s="1" t="n">
        <v>44553</v>
      </c>
      <c r="E468" s="1" t="n">
        <v>46221</v>
      </c>
      <c r="F468" t="inlineStr">
        <is>
          <t>UPPSALA LÄN</t>
        </is>
      </c>
      <c r="G468" t="inlineStr">
        <is>
          <t>ÖSTHAMMAR</t>
        </is>
      </c>
      <c r="H468" t="inlineStr">
        <is>
          <t>Bergvik skog öst AB</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73592-2021</t>
        </is>
      </c>
      <c r="B469" t="inlineStr">
        <is>
          <t>avverkningsanmälan</t>
        </is>
      </c>
      <c r="C469" t="inlineStr">
        <is>
          <t>Föryngringsavverkning</t>
        </is>
      </c>
      <c r="D469" s="1" t="n">
        <v>44552</v>
      </c>
      <c r="E469" s="1" t="n">
        <v>46221</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31479-2023</t>
        </is>
      </c>
      <c r="B470" t="inlineStr">
        <is>
          <t>avverkningsanmälan</t>
        </is>
      </c>
      <c r="C470" t="inlineStr">
        <is>
          <t>Föryngringsavverkning</t>
        </is>
      </c>
      <c r="D470" s="1" t="n">
        <v>45114</v>
      </c>
      <c r="E470" s="1" t="n">
        <v>46221</v>
      </c>
      <c r="F470" t="inlineStr">
        <is>
          <t>UPPSALA LÄN</t>
        </is>
      </c>
      <c r="G470" t="inlineStr">
        <is>
          <t>ÖSTHAMMAR</t>
        </is>
      </c>
      <c r="H470" t="inlineStr">
        <is>
          <t>Bergvik skog öst AB</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24128-2023</t>
        </is>
      </c>
      <c r="B471" t="inlineStr">
        <is>
          <t>avverkningsanmälan</t>
        </is>
      </c>
      <c r="C471" t="inlineStr">
        <is>
          <t>Föryngringsavverkning</t>
        </is>
      </c>
      <c r="D471" s="1" t="n">
        <v>45079</v>
      </c>
      <c r="E471" s="1" t="n">
        <v>46221</v>
      </c>
      <c r="F471" t="inlineStr">
        <is>
          <t>UPPSALA LÄN</t>
        </is>
      </c>
      <c r="G471" t="inlineStr">
        <is>
          <t>ÖSTHAMMAR</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35918-2023</t>
        </is>
      </c>
      <c r="B472" t="inlineStr">
        <is>
          <t>avverkningsanmälan</t>
        </is>
      </c>
      <c r="C472" t="inlineStr">
        <is>
          <t>Föryngringsavverkning</t>
        </is>
      </c>
      <c r="D472" s="1" t="n">
        <v>45148</v>
      </c>
      <c r="E472" s="1" t="n">
        <v>46221</v>
      </c>
      <c r="F472" t="inlineStr">
        <is>
          <t>UPPSALA LÄN</t>
        </is>
      </c>
      <c r="G472" t="inlineStr">
        <is>
          <t>ÖSTHAMMAR</t>
        </is>
      </c>
      <c r="H472" t="inlineStr">
        <is>
          <t>Bergvik skog öst AB</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18760-2026</t>
        </is>
      </c>
      <c r="B473" t="inlineStr">
        <is>
          <t>avverkningsanmälan</t>
        </is>
      </c>
      <c r="C473" t="inlineStr">
        <is>
          <t>Föryngringsavverkning</t>
        </is>
      </c>
      <c r="D473" s="1" t="n">
        <v>46128</v>
      </c>
      <c r="E473" s="1" t="n">
        <v>46221</v>
      </c>
      <c r="F473" t="inlineStr">
        <is>
          <t>UPPSALA LÄN</t>
        </is>
      </c>
      <c r="G473" t="inlineStr">
        <is>
          <t>ÖSTHAMMAR</t>
        </is>
      </c>
      <c r="H473" t="inlineStr">
        <is>
          <t>Bergvik skog öst AB</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4004-2023</t>
        </is>
      </c>
      <c r="B474" t="inlineStr">
        <is>
          <t>avverkningsanmälan</t>
        </is>
      </c>
      <c r="C474" t="inlineStr">
        <is>
          <t>Föryngringsavverkning</t>
        </is>
      </c>
      <c r="D474" s="1" t="n">
        <v>44952</v>
      </c>
      <c r="E474" s="1" t="n">
        <v>46221</v>
      </c>
      <c r="F474" t="inlineStr">
        <is>
          <t>UPPSALA LÄN</t>
        </is>
      </c>
      <c r="G474" t="inlineStr">
        <is>
          <t>ÖSTHAMMAR</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19258-2026</t>
        </is>
      </c>
      <c r="B475" t="inlineStr">
        <is>
          <t>avverkningsanmälan</t>
        </is>
      </c>
      <c r="C475" t="inlineStr">
        <is>
          <t>Föryngringsavverkning</t>
        </is>
      </c>
      <c r="D475" s="1" t="n">
        <v>46132</v>
      </c>
      <c r="E475" s="1" t="n">
        <v>46221</v>
      </c>
      <c r="F475" t="inlineStr">
        <is>
          <t>UPPSALA LÄN</t>
        </is>
      </c>
      <c r="G475" t="inlineStr">
        <is>
          <t>ÖSTHAMMAR</t>
        </is>
      </c>
      <c r="H475" t="inlineStr">
        <is>
          <t>Naturvårdsverket</t>
        </is>
      </c>
      <c r="I475" t="n">
        <v>18.6</v>
      </c>
      <c r="J475" t="n">
        <v>0</v>
      </c>
      <c r="K475" t="n">
        <v>0</v>
      </c>
      <c r="L475" t="n">
        <v>0</v>
      </c>
      <c r="M475" t="n">
        <v>0</v>
      </c>
      <c r="N475" t="n">
        <v>0</v>
      </c>
      <c r="O475" t="n">
        <v>0</v>
      </c>
      <c r="P475" t="n">
        <v>0</v>
      </c>
      <c r="Q475" t="n">
        <v>0</v>
      </c>
      <c r="R475" t="n">
        <v>0</v>
      </c>
      <c r="S475" t="n">
        <v>0</v>
      </c>
      <c r="T475" t="n">
        <v>0</v>
      </c>
      <c r="U475" s="2" t="inlineStr"/>
    </row>
    <row r="476" ht="15" customHeight="1">
      <c r="A476" t="inlineStr">
        <is>
          <t>A 18758-2026</t>
        </is>
      </c>
      <c r="B476" t="inlineStr">
        <is>
          <t>avverkningsanmälan</t>
        </is>
      </c>
      <c r="C476" t="inlineStr">
        <is>
          <t>Föryngringsavverkning</t>
        </is>
      </c>
      <c r="D476" s="1" t="n">
        <v>46128</v>
      </c>
      <c r="E476" s="1" t="n">
        <v>46221</v>
      </c>
      <c r="F476" t="inlineStr">
        <is>
          <t>UPPSALA LÄN</t>
        </is>
      </c>
      <c r="G476" t="inlineStr">
        <is>
          <t>ÖSTHAMMAR</t>
        </is>
      </c>
      <c r="H476" t="inlineStr">
        <is>
          <t>Bergvik skog öst AB</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18761-2026</t>
        </is>
      </c>
      <c r="B477" t="inlineStr">
        <is>
          <t>avverkningsanmälan</t>
        </is>
      </c>
      <c r="C477" t="inlineStr">
        <is>
          <t>Föryngringsavverkning</t>
        </is>
      </c>
      <c r="D477" s="1" t="n">
        <v>46128</v>
      </c>
      <c r="E477" s="1" t="n">
        <v>46221</v>
      </c>
      <c r="F477" t="inlineStr">
        <is>
          <t>UPPSALA LÄN</t>
        </is>
      </c>
      <c r="G477" t="inlineStr">
        <is>
          <t>ÖSTHAMMAR</t>
        </is>
      </c>
      <c r="H477" t="inlineStr">
        <is>
          <t>Bergvik skog öst AB</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35474-2023</t>
        </is>
      </c>
      <c r="B478" t="inlineStr">
        <is>
          <t>avverkningsanmälan</t>
        </is>
      </c>
      <c r="C478" t="inlineStr">
        <is>
          <t>Föryngringsavverkning</t>
        </is>
      </c>
      <c r="D478" s="1" t="n">
        <v>45146</v>
      </c>
      <c r="E478" s="1" t="n">
        <v>46221</v>
      </c>
      <c r="F478" t="inlineStr">
        <is>
          <t>UPPSALA LÄN</t>
        </is>
      </c>
      <c r="G478" t="inlineStr">
        <is>
          <t>ÖSTHAMMAR</t>
        </is>
      </c>
      <c r="H478" t="inlineStr">
        <is>
          <t>Sveaskog</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26303-2024</t>
        </is>
      </c>
      <c r="B479" t="inlineStr">
        <is>
          <t>avverkningsanmälan</t>
        </is>
      </c>
      <c r="C479" t="inlineStr">
        <is>
          <t>Föryngringsavverkning</t>
        </is>
      </c>
      <c r="D479" s="1" t="n">
        <v>45468</v>
      </c>
      <c r="E479" s="1" t="n">
        <v>46221</v>
      </c>
      <c r="F479" t="inlineStr">
        <is>
          <t>UPPSALA LÄN</t>
        </is>
      </c>
      <c r="G479" t="inlineStr">
        <is>
          <t>ÖSTHAMMAR</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44152-2024</t>
        </is>
      </c>
      <c r="B480" t="inlineStr">
        <is>
          <t>avverkningsanmälan</t>
        </is>
      </c>
      <c r="C480" t="inlineStr">
        <is>
          <t>Föryngringsavverkning</t>
        </is>
      </c>
      <c r="D480" s="1" t="n">
        <v>45572</v>
      </c>
      <c r="E480" s="1" t="n">
        <v>46221</v>
      </c>
      <c r="F480" t="inlineStr">
        <is>
          <t>UPPSALA LÄN</t>
        </is>
      </c>
      <c r="G480" t="inlineStr">
        <is>
          <t>ÖSTHAMMAR</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4561-2022</t>
        </is>
      </c>
      <c r="B481" t="inlineStr">
        <is>
          <t>avverkningsanmälan</t>
        </is>
      </c>
      <c r="C481" t="inlineStr">
        <is>
          <t>Föryngringsavverkning</t>
        </is>
      </c>
      <c r="D481" s="1" t="n">
        <v>44591</v>
      </c>
      <c r="E481" s="1" t="n">
        <v>46221</v>
      </c>
      <c r="F481" t="inlineStr">
        <is>
          <t>UPPSALA LÄN</t>
        </is>
      </c>
      <c r="G481" t="inlineStr">
        <is>
          <t>ÖSTHAMMAR</t>
        </is>
      </c>
      <c r="H481" t="inlineStr">
        <is>
          <t>Bergvik skog öst AB</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19485-2026</t>
        </is>
      </c>
      <c r="B482" t="inlineStr">
        <is>
          <t>avverkningsanmälan</t>
        </is>
      </c>
      <c r="C482" t="inlineStr">
        <is>
          <t>Föryngringsavverkning</t>
        </is>
      </c>
      <c r="D482" s="1" t="n">
        <v>46134</v>
      </c>
      <c r="E482" s="1" t="n">
        <v>46221</v>
      </c>
      <c r="F482" t="inlineStr">
        <is>
          <t>UPPSALA LÄN</t>
        </is>
      </c>
      <c r="G482" t="inlineStr">
        <is>
          <t>ÖSTHAMMAR</t>
        </is>
      </c>
      <c r="H482" t="inlineStr">
        <is>
          <t>Övriga Aktiebolag</t>
        </is>
      </c>
      <c r="I482" t="n">
        <v>12.1</v>
      </c>
      <c r="J482" t="n">
        <v>0</v>
      </c>
      <c r="K482" t="n">
        <v>0</v>
      </c>
      <c r="L482" t="n">
        <v>0</v>
      </c>
      <c r="M482" t="n">
        <v>0</v>
      </c>
      <c r="N482" t="n">
        <v>0</v>
      </c>
      <c r="O482" t="n">
        <v>0</v>
      </c>
      <c r="P482" t="n">
        <v>0</v>
      </c>
      <c r="Q482" t="n">
        <v>0</v>
      </c>
      <c r="R482" t="n">
        <v>0</v>
      </c>
      <c r="S482" t="n">
        <v>0</v>
      </c>
      <c r="T482" t="n">
        <v>0</v>
      </c>
      <c r="U482" s="2" t="inlineStr"/>
    </row>
    <row r="483" ht="15" customHeight="1">
      <c r="A483" t="inlineStr">
        <is>
          <t>A 19631-2026</t>
        </is>
      </c>
      <c r="B483" t="inlineStr">
        <is>
          <t>avverkningsanmälan</t>
        </is>
      </c>
      <c r="C483" t="inlineStr">
        <is>
          <t>Föryngringsavverkning</t>
        </is>
      </c>
      <c r="D483" s="1" t="n">
        <v>46134</v>
      </c>
      <c r="E483" s="1" t="n">
        <v>46221</v>
      </c>
      <c r="F483" t="inlineStr">
        <is>
          <t>UPPSALA LÄN</t>
        </is>
      </c>
      <c r="G483" t="inlineStr">
        <is>
          <t>ÖSTHAMMAR</t>
        </is>
      </c>
      <c r="H483" t="inlineStr">
        <is>
          <t>Övriga Aktiebolag</t>
        </is>
      </c>
      <c r="I483" t="n">
        <v>4.2</v>
      </c>
      <c r="J483" t="n">
        <v>0</v>
      </c>
      <c r="K483" t="n">
        <v>0</v>
      </c>
      <c r="L483" t="n">
        <v>0</v>
      </c>
      <c r="M483" t="n">
        <v>0</v>
      </c>
      <c r="N483" t="n">
        <v>0</v>
      </c>
      <c r="O483" t="n">
        <v>0</v>
      </c>
      <c r="P483" t="n">
        <v>0</v>
      </c>
      <c r="Q483" t="n">
        <v>0</v>
      </c>
      <c r="R483" t="n">
        <v>0</v>
      </c>
      <c r="S483" t="n">
        <v>0</v>
      </c>
      <c r="T483" t="n">
        <v>0</v>
      </c>
      <c r="U483" s="2" t="inlineStr"/>
    </row>
    <row r="484" ht="15" customHeight="1">
      <c r="A484" t="inlineStr">
        <is>
          <t>A 20058-2026</t>
        </is>
      </c>
      <c r="B484" t="inlineStr">
        <is>
          <t>avverkningsanmälan</t>
        </is>
      </c>
      <c r="C484" t="inlineStr">
        <is>
          <t>Föryngringsavverkning</t>
        </is>
      </c>
      <c r="D484" s="1" t="n">
        <v>46136</v>
      </c>
      <c r="E484" s="1" t="n">
        <v>46221</v>
      </c>
      <c r="F484" t="inlineStr">
        <is>
          <t>UPPSALA LÄN</t>
        </is>
      </c>
      <c r="G484" t="inlineStr">
        <is>
          <t>ÖSTHAMMAR</t>
        </is>
      </c>
      <c r="I484" t="n">
        <v>3.4</v>
      </c>
      <c r="J484" t="n">
        <v>0</v>
      </c>
      <c r="K484" t="n">
        <v>0</v>
      </c>
      <c r="L484" t="n">
        <v>0</v>
      </c>
      <c r="M484" t="n">
        <v>0</v>
      </c>
      <c r="N484" t="n">
        <v>0</v>
      </c>
      <c r="O484" t="n">
        <v>0</v>
      </c>
      <c r="P484" t="n">
        <v>0</v>
      </c>
      <c r="Q484" t="n">
        <v>0</v>
      </c>
      <c r="R484" t="n">
        <v>0</v>
      </c>
      <c r="S484" t="n">
        <v>0</v>
      </c>
      <c r="T484" t="n">
        <v>0</v>
      </c>
      <c r="U484" s="2" t="inlineStr"/>
    </row>
    <row r="485" ht="15" customHeight="1">
      <c r="A485" t="inlineStr">
        <is>
          <t>A 33271-2025</t>
        </is>
      </c>
      <c r="B485" t="inlineStr">
        <is>
          <t>avverkningsanmälan</t>
        </is>
      </c>
      <c r="C485" t="inlineStr">
        <is>
          <t>Föryngringsavverkning</t>
        </is>
      </c>
      <c r="D485" s="1" t="n">
        <v>45840</v>
      </c>
      <c r="E485" s="1" t="n">
        <v>46221</v>
      </c>
      <c r="F485" t="inlineStr">
        <is>
          <t>UPPSALA LÄN</t>
        </is>
      </c>
      <c r="G485" t="inlineStr">
        <is>
          <t>ÖSTHAMMAR</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19901-2026</t>
        </is>
      </c>
      <c r="B486" t="inlineStr">
        <is>
          <t>avverkningsanmälan</t>
        </is>
      </c>
      <c r="C486" t="inlineStr">
        <is>
          <t>Föryngringsavverkning</t>
        </is>
      </c>
      <c r="D486" s="1" t="n">
        <v>46136</v>
      </c>
      <c r="E486" s="1" t="n">
        <v>46221</v>
      </c>
      <c r="F486" t="inlineStr">
        <is>
          <t>UPPSALA LÄN</t>
        </is>
      </c>
      <c r="G486" t="inlineStr">
        <is>
          <t>ÖSTHAMMAR</t>
        </is>
      </c>
      <c r="H486" t="inlineStr">
        <is>
          <t>Övriga Aktiebolag</t>
        </is>
      </c>
      <c r="I486" t="n">
        <v>8.800000000000001</v>
      </c>
      <c r="J486" t="n">
        <v>0</v>
      </c>
      <c r="K486" t="n">
        <v>0</v>
      </c>
      <c r="L486" t="n">
        <v>0</v>
      </c>
      <c r="M486" t="n">
        <v>0</v>
      </c>
      <c r="N486" t="n">
        <v>0</v>
      </c>
      <c r="O486" t="n">
        <v>0</v>
      </c>
      <c r="P486" t="n">
        <v>0</v>
      </c>
      <c r="Q486" t="n">
        <v>0</v>
      </c>
      <c r="R486" t="n">
        <v>0</v>
      </c>
      <c r="S486" t="n">
        <v>0</v>
      </c>
      <c r="T486" t="n">
        <v>0</v>
      </c>
      <c r="U486" s="2" t="inlineStr"/>
    </row>
    <row r="487" ht="15" customHeight="1">
      <c r="A487" t="inlineStr">
        <is>
          <t>A 45307-2023</t>
        </is>
      </c>
      <c r="B487" t="inlineStr">
        <is>
          <t>avverkningsanmälan</t>
        </is>
      </c>
      <c r="C487" t="inlineStr">
        <is>
          <t>Föryngringsavverkning</t>
        </is>
      </c>
      <c r="D487" s="1" t="n">
        <v>45191</v>
      </c>
      <c r="E487" s="1" t="n">
        <v>46221</v>
      </c>
      <c r="F487" t="inlineStr">
        <is>
          <t>UPPSALA LÄN</t>
        </is>
      </c>
      <c r="G487" t="inlineStr">
        <is>
          <t>ÖSTHAMMAR</t>
        </is>
      </c>
      <c r="H487" t="inlineStr">
        <is>
          <t>Bergvik skog öst AB</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19771-2026</t>
        </is>
      </c>
      <c r="B488" t="inlineStr">
        <is>
          <t>avverkningsanmälan</t>
        </is>
      </c>
      <c r="C488" t="inlineStr">
        <is>
          <t>Föryngringsavverkning</t>
        </is>
      </c>
      <c r="D488" s="1" t="n">
        <v>46135</v>
      </c>
      <c r="E488" s="1" t="n">
        <v>46221</v>
      </c>
      <c r="F488" t="inlineStr">
        <is>
          <t>UPPSALA LÄN</t>
        </is>
      </c>
      <c r="G488" t="inlineStr">
        <is>
          <t>ÖSTHAMMAR</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6661-2024</t>
        </is>
      </c>
      <c r="B489" t="inlineStr">
        <is>
          <t>avverkningsanmälan</t>
        </is>
      </c>
      <c r="C489" t="inlineStr">
        <is>
          <t>Föryngringsavverkning</t>
        </is>
      </c>
      <c r="D489" s="1" t="n">
        <v>45341</v>
      </c>
      <c r="E489" s="1" t="n">
        <v>46221</v>
      </c>
      <c r="F489" t="inlineStr">
        <is>
          <t>UPPSALA LÄN</t>
        </is>
      </c>
      <c r="G489" t="inlineStr">
        <is>
          <t>ÖSTHAMMAR</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5933-2022</t>
        </is>
      </c>
      <c r="B490" t="inlineStr">
        <is>
          <t>avverkningsanmälan</t>
        </is>
      </c>
      <c r="C490" t="inlineStr">
        <is>
          <t>Föryngringsavverkning</t>
        </is>
      </c>
      <c r="D490" s="1" t="n">
        <v>44598</v>
      </c>
      <c r="E490" s="1" t="n">
        <v>46221</v>
      </c>
      <c r="F490" t="inlineStr">
        <is>
          <t>UPPSALA LÄN</t>
        </is>
      </c>
      <c r="G490" t="inlineStr">
        <is>
          <t>ÖSTHAMMAR</t>
        </is>
      </c>
      <c r="H490" t="inlineStr">
        <is>
          <t>Bergvik skog öst AB</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29873-2023</t>
        </is>
      </c>
      <c r="B491" t="inlineStr">
        <is>
          <t>avverkningsanmälan</t>
        </is>
      </c>
      <c r="C491" t="inlineStr">
        <is>
          <t>Föryngringsavverkning</t>
        </is>
      </c>
      <c r="D491" s="1" t="n">
        <v>45107</v>
      </c>
      <c r="E491" s="1" t="n">
        <v>46221</v>
      </c>
      <c r="F491" t="inlineStr">
        <is>
          <t>UPPSALA LÄN</t>
        </is>
      </c>
      <c r="G491" t="inlineStr">
        <is>
          <t>ÖSTHAMMAR</t>
        </is>
      </c>
      <c r="H491" t="inlineStr">
        <is>
          <t>Naturvårdsverket</t>
        </is>
      </c>
      <c r="I491" t="n">
        <v>7.8</v>
      </c>
      <c r="J491" t="n">
        <v>0</v>
      </c>
      <c r="K491" t="n">
        <v>0</v>
      </c>
      <c r="L491" t="n">
        <v>0</v>
      </c>
      <c r="M491" t="n">
        <v>0</v>
      </c>
      <c r="N491" t="n">
        <v>0</v>
      </c>
      <c r="O491" t="n">
        <v>0</v>
      </c>
      <c r="P491" t="n">
        <v>0</v>
      </c>
      <c r="Q491" t="n">
        <v>0</v>
      </c>
      <c r="R491" t="n">
        <v>0</v>
      </c>
      <c r="S491" t="n">
        <v>0</v>
      </c>
      <c r="T491" t="n">
        <v>0</v>
      </c>
      <c r="U491" s="2" t="inlineStr"/>
    </row>
    <row r="492" ht="15" customHeight="1">
      <c r="A492" t="inlineStr">
        <is>
          <t>A 24174-2025</t>
        </is>
      </c>
      <c r="B492" t="inlineStr">
        <is>
          <t>avverkningsanmälan</t>
        </is>
      </c>
      <c r="C492" t="inlineStr">
        <is>
          <t>Föryngringsavverkning</t>
        </is>
      </c>
      <c r="D492" s="1" t="n">
        <v>45796</v>
      </c>
      <c r="E492" s="1" t="n">
        <v>46221</v>
      </c>
      <c r="F492" t="inlineStr">
        <is>
          <t>UPPSALA LÄN</t>
        </is>
      </c>
      <c r="G492" t="inlineStr">
        <is>
          <t>ÖSTHAMMAR</t>
        </is>
      </c>
      <c r="I492" t="n">
        <v>4.9</v>
      </c>
      <c r="J492" t="n">
        <v>0</v>
      </c>
      <c r="K492" t="n">
        <v>0</v>
      </c>
      <c r="L492" t="n">
        <v>0</v>
      </c>
      <c r="M492" t="n">
        <v>0</v>
      </c>
      <c r="N492" t="n">
        <v>0</v>
      </c>
      <c r="O492" t="n">
        <v>0</v>
      </c>
      <c r="P492" t="n">
        <v>0</v>
      </c>
      <c r="Q492" t="n">
        <v>0</v>
      </c>
      <c r="R492" t="n">
        <v>0</v>
      </c>
      <c r="S492" t="n">
        <v>0</v>
      </c>
      <c r="T492" t="n">
        <v>0</v>
      </c>
      <c r="U492" s="2" t="inlineStr"/>
    </row>
    <row r="493" ht="15" customHeight="1">
      <c r="A493" t="inlineStr">
        <is>
          <t>A 64885-2021</t>
        </is>
      </c>
      <c r="B493" t="inlineStr">
        <is>
          <t>avverkningsanmälan</t>
        </is>
      </c>
      <c r="C493" t="inlineStr">
        <is>
          <t>Föryngringsavverkning</t>
        </is>
      </c>
      <c r="D493" s="1" t="n">
        <v>44512</v>
      </c>
      <c r="E493" s="1" t="n">
        <v>46221</v>
      </c>
      <c r="F493" t="inlineStr">
        <is>
          <t>UPPSALA LÄN</t>
        </is>
      </c>
      <c r="G493" t="inlineStr">
        <is>
          <t>ÖSTHAMMAR</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6892-2022</t>
        </is>
      </c>
      <c r="B494" t="inlineStr">
        <is>
          <t>avverkningsanmälan</t>
        </is>
      </c>
      <c r="C494" t="inlineStr">
        <is>
          <t>Föryngringsavverkning</t>
        </is>
      </c>
      <c r="D494" s="1" t="n">
        <v>44602</v>
      </c>
      <c r="E494" s="1" t="n">
        <v>46221</v>
      </c>
      <c r="F494" t="inlineStr">
        <is>
          <t>UPPSALA LÄN</t>
        </is>
      </c>
      <c r="G494" t="inlineStr">
        <is>
          <t>ÖSTHAMMAR</t>
        </is>
      </c>
      <c r="H494" t="inlineStr">
        <is>
          <t>Bergvik skog öst AB</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13044-2022</t>
        </is>
      </c>
      <c r="B495" t="inlineStr">
        <is>
          <t>avverkningsanmälan</t>
        </is>
      </c>
      <c r="C495" t="inlineStr">
        <is>
          <t>Föryngringsavverkning</t>
        </is>
      </c>
      <c r="D495" s="1" t="n">
        <v>44643</v>
      </c>
      <c r="E495" s="1" t="n">
        <v>46221</v>
      </c>
      <c r="F495" t="inlineStr">
        <is>
          <t>UPPSALA LÄN</t>
        </is>
      </c>
      <c r="G495" t="inlineStr">
        <is>
          <t>ÖSTHAMMAR</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28442-2025</t>
        </is>
      </c>
      <c r="B496" t="inlineStr">
        <is>
          <t>avverkningsanmälan</t>
        </is>
      </c>
      <c r="C496" t="inlineStr">
        <is>
          <t>Föryngringsavverkning</t>
        </is>
      </c>
      <c r="D496" s="1" t="n">
        <v>45819</v>
      </c>
      <c r="E496" s="1" t="n">
        <v>46221</v>
      </c>
      <c r="F496" t="inlineStr">
        <is>
          <t>UPPSALA LÄN</t>
        </is>
      </c>
      <c r="G496" t="inlineStr">
        <is>
          <t>ÖSTHAMMAR</t>
        </is>
      </c>
      <c r="H496" t="inlineStr">
        <is>
          <t>Övriga Aktiebolag</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21133-2025</t>
        </is>
      </c>
      <c r="B497" t="inlineStr">
        <is>
          <t>avverkningsanmälan</t>
        </is>
      </c>
      <c r="C497" t="inlineStr">
        <is>
          <t>Föryngringsavverkning</t>
        </is>
      </c>
      <c r="D497" s="1" t="n">
        <v>45778</v>
      </c>
      <c r="E497" s="1" t="n">
        <v>46221</v>
      </c>
      <c r="F497" t="inlineStr">
        <is>
          <t>UPPSALA LÄN</t>
        </is>
      </c>
      <c r="G497" t="inlineStr">
        <is>
          <t>ÖSTHAMMAR</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26319-2025</t>
        </is>
      </c>
      <c r="B498" t="inlineStr">
        <is>
          <t>avverkningsanmälan</t>
        </is>
      </c>
      <c r="C498" t="inlineStr">
        <is>
          <t>Föryngringsavverkning</t>
        </is>
      </c>
      <c r="D498" s="1" t="n">
        <v>45805</v>
      </c>
      <c r="E498" s="1" t="n">
        <v>46221</v>
      </c>
      <c r="F498" t="inlineStr">
        <is>
          <t>UPPSALA LÄN</t>
        </is>
      </c>
      <c r="G498" t="inlineStr">
        <is>
          <t>ÖSTHAMMAR</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52694-2023</t>
        </is>
      </c>
      <c r="B499" t="inlineStr">
        <is>
          <t>avverkningsanmälan</t>
        </is>
      </c>
      <c r="C499" t="inlineStr">
        <is>
          <t>Föryngringsavverkning</t>
        </is>
      </c>
      <c r="D499" s="1" t="n">
        <v>45225</v>
      </c>
      <c r="E499" s="1" t="n">
        <v>46221</v>
      </c>
      <c r="F499" t="inlineStr">
        <is>
          <t>UPPSALA LÄN</t>
        </is>
      </c>
      <c r="G499" t="inlineStr">
        <is>
          <t>ÖSTHAMMAR</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12654-2025</t>
        </is>
      </c>
      <c r="B500" t="inlineStr">
        <is>
          <t>avverkningsanmälan</t>
        </is>
      </c>
      <c r="C500" t="inlineStr">
        <is>
          <t>Föryngringsavverkning</t>
        </is>
      </c>
      <c r="D500" s="1" t="n">
        <v>45733</v>
      </c>
      <c r="E500" s="1" t="n">
        <v>46221</v>
      </c>
      <c r="F500" t="inlineStr">
        <is>
          <t>UPPSALA LÄN</t>
        </is>
      </c>
      <c r="G500" t="inlineStr">
        <is>
          <t>ÖSTHAMMAR</t>
        </is>
      </c>
      <c r="I500" t="n">
        <v>9.9</v>
      </c>
      <c r="J500" t="n">
        <v>0</v>
      </c>
      <c r="K500" t="n">
        <v>0</v>
      </c>
      <c r="L500" t="n">
        <v>0</v>
      </c>
      <c r="M500" t="n">
        <v>0</v>
      </c>
      <c r="N500" t="n">
        <v>0</v>
      </c>
      <c r="O500" t="n">
        <v>0</v>
      </c>
      <c r="P500" t="n">
        <v>0</v>
      </c>
      <c r="Q500" t="n">
        <v>0</v>
      </c>
      <c r="R500" t="n">
        <v>0</v>
      </c>
      <c r="S500" t="n">
        <v>0</v>
      </c>
      <c r="T500" t="n">
        <v>0</v>
      </c>
      <c r="U500" s="2" t="inlineStr"/>
    </row>
    <row r="501" ht="15" customHeight="1">
      <c r="A501" t="inlineStr">
        <is>
          <t>A 24493-2023</t>
        </is>
      </c>
      <c r="B501" t="inlineStr">
        <is>
          <t>avverkningsanmälan</t>
        </is>
      </c>
      <c r="C501" t="inlineStr">
        <is>
          <t>Föryngringsavverkning</t>
        </is>
      </c>
      <c r="D501" s="1" t="n">
        <v>45082</v>
      </c>
      <c r="E501" s="1" t="n">
        <v>46221</v>
      </c>
      <c r="F501" t="inlineStr">
        <is>
          <t>UPPSALA LÄN</t>
        </is>
      </c>
      <c r="G501" t="inlineStr">
        <is>
          <t>ÖSTHAMMAR</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26161-2026</t>
        </is>
      </c>
      <c r="B502" t="inlineStr">
        <is>
          <t>avverkningsanmälan</t>
        </is>
      </c>
      <c r="C502" t="inlineStr">
        <is>
          <t>Föryngringsavverkning</t>
        </is>
      </c>
      <c r="D502" s="1" t="n">
        <v>46181</v>
      </c>
      <c r="E502" s="1" t="n">
        <v>46221</v>
      </c>
      <c r="F502" t="inlineStr">
        <is>
          <t>UPPSALA LÄN</t>
        </is>
      </c>
      <c r="G502" t="inlineStr">
        <is>
          <t>ÖSTHAMMAR</t>
        </is>
      </c>
      <c r="H502" t="inlineStr">
        <is>
          <t>Bergvik skog öst AB</t>
        </is>
      </c>
      <c r="I502" t="n">
        <v>9.1</v>
      </c>
      <c r="J502" t="n">
        <v>0</v>
      </c>
      <c r="K502" t="n">
        <v>0</v>
      </c>
      <c r="L502" t="n">
        <v>0</v>
      </c>
      <c r="M502" t="n">
        <v>0</v>
      </c>
      <c r="N502" t="n">
        <v>0</v>
      </c>
      <c r="O502" t="n">
        <v>0</v>
      </c>
      <c r="P502" t="n">
        <v>0</v>
      </c>
      <c r="Q502" t="n">
        <v>0</v>
      </c>
      <c r="R502" t="n">
        <v>0</v>
      </c>
      <c r="S502" t="n">
        <v>0</v>
      </c>
      <c r="T502" t="n">
        <v>0</v>
      </c>
      <c r="U502" s="2" t="inlineStr"/>
    </row>
    <row r="503" ht="15" customHeight="1">
      <c r="A503" t="inlineStr">
        <is>
          <t>A 34742-2022</t>
        </is>
      </c>
      <c r="B503" t="inlineStr">
        <is>
          <t>avverkningsanmälan</t>
        </is>
      </c>
      <c r="C503" t="inlineStr">
        <is>
          <t>Föryngringsavverkning</t>
        </is>
      </c>
      <c r="D503" s="1" t="n">
        <v>44795</v>
      </c>
      <c r="E503" s="1" t="n">
        <v>46221</v>
      </c>
      <c r="F503" t="inlineStr">
        <is>
          <t>UPPSALA LÄN</t>
        </is>
      </c>
      <c r="G503" t="inlineStr">
        <is>
          <t>ÖSTHAMMAR</t>
        </is>
      </c>
      <c r="H503" t="inlineStr">
        <is>
          <t>Bergvik skog öst AB</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25983-2026</t>
        </is>
      </c>
      <c r="B504" t="inlineStr">
        <is>
          <t>avverkningsanmälan</t>
        </is>
      </c>
      <c r="C504" t="inlineStr">
        <is>
          <t>Avverkning för annat ändamål</t>
        </is>
      </c>
      <c r="D504" s="1" t="n">
        <v>46181</v>
      </c>
      <c r="E504" s="1" t="n">
        <v>46221</v>
      </c>
      <c r="F504" t="inlineStr">
        <is>
          <t>UPPSALA LÄN</t>
        </is>
      </c>
      <c r="G504" t="inlineStr">
        <is>
          <t>ÖSTHAMMAR</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46399-2023</t>
        </is>
      </c>
      <c r="B505" t="inlineStr">
        <is>
          <t>avverkningsanmälan</t>
        </is>
      </c>
      <c r="C505" t="inlineStr">
        <is>
          <t>Föryngringsavverkning</t>
        </is>
      </c>
      <c r="D505" s="1" t="n">
        <v>45197</v>
      </c>
      <c r="E505" s="1" t="n">
        <v>46221</v>
      </c>
      <c r="F505" t="inlineStr">
        <is>
          <t>UPPSALA LÄN</t>
        </is>
      </c>
      <c r="G505" t="inlineStr">
        <is>
          <t>ÖSTHAMMAR</t>
        </is>
      </c>
      <c r="I505" t="n">
        <v>5.8</v>
      </c>
      <c r="J505" t="n">
        <v>0</v>
      </c>
      <c r="K505" t="n">
        <v>0</v>
      </c>
      <c r="L505" t="n">
        <v>0</v>
      </c>
      <c r="M505" t="n">
        <v>0</v>
      </c>
      <c r="N505" t="n">
        <v>0</v>
      </c>
      <c r="O505" t="n">
        <v>0</v>
      </c>
      <c r="P505" t="n">
        <v>0</v>
      </c>
      <c r="Q505" t="n">
        <v>0</v>
      </c>
      <c r="R505" t="n">
        <v>0</v>
      </c>
      <c r="S505" t="n">
        <v>0</v>
      </c>
      <c r="T505" t="n">
        <v>0</v>
      </c>
      <c r="U505" s="2" t="inlineStr"/>
    </row>
    <row r="506" ht="15" customHeight="1">
      <c r="A506" t="inlineStr">
        <is>
          <t>A 2352-2026</t>
        </is>
      </c>
      <c r="B506" t="inlineStr">
        <is>
          <t>avverkningsanmälan</t>
        </is>
      </c>
      <c r="C506" t="inlineStr">
        <is>
          <t>Föryngringsavverkning</t>
        </is>
      </c>
      <c r="D506" s="1" t="n">
        <v>46034</v>
      </c>
      <c r="E506" s="1" t="n">
        <v>46221</v>
      </c>
      <c r="F506" t="inlineStr">
        <is>
          <t>UPPSALA LÄN</t>
        </is>
      </c>
      <c r="G506" t="inlineStr">
        <is>
          <t>ÖSTHAMMAR</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55079-2024</t>
        </is>
      </c>
      <c r="B507" t="inlineStr">
        <is>
          <t>avverkningsanmälan</t>
        </is>
      </c>
      <c r="C507" t="inlineStr">
        <is>
          <t>Föryngringsavverkning</t>
        </is>
      </c>
      <c r="D507" s="1" t="n">
        <v>45621</v>
      </c>
      <c r="E507" s="1" t="n">
        <v>46221</v>
      </c>
      <c r="F507" t="inlineStr">
        <is>
          <t>UPPSALA LÄN</t>
        </is>
      </c>
      <c r="G507" t="inlineStr">
        <is>
          <t>ÖSTHAMMAR</t>
        </is>
      </c>
      <c r="H507" t="inlineStr">
        <is>
          <t>Sveaskog</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36873-2022</t>
        </is>
      </c>
      <c r="B508" t="inlineStr">
        <is>
          <t>avverkningsanmälan</t>
        </is>
      </c>
      <c r="C508" t="inlineStr">
        <is>
          <t>Föryngringsavverkning</t>
        </is>
      </c>
      <c r="D508" s="1" t="n">
        <v>44805</v>
      </c>
      <c r="E508" s="1" t="n">
        <v>46221</v>
      </c>
      <c r="F508" t="inlineStr">
        <is>
          <t>UPPSALA LÄN</t>
        </is>
      </c>
      <c r="G508" t="inlineStr">
        <is>
          <t>ÖSTHAMMAR</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53733-2023</t>
        </is>
      </c>
      <c r="B509" t="inlineStr">
        <is>
          <t>avverkningsanmälan</t>
        </is>
      </c>
      <c r="C509" t="inlineStr">
        <is>
          <t>Föryngringsavverkning</t>
        </is>
      </c>
      <c r="D509" s="1" t="n">
        <v>45230</v>
      </c>
      <c r="E509" s="1" t="n">
        <v>46221</v>
      </c>
      <c r="F509" t="inlineStr">
        <is>
          <t>UPPSALA LÄN</t>
        </is>
      </c>
      <c r="G509" t="inlineStr">
        <is>
          <t>ÖSTHAMMAR</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53735-2023</t>
        </is>
      </c>
      <c r="B510" t="inlineStr">
        <is>
          <t>avverkningsanmälan</t>
        </is>
      </c>
      <c r="C510" t="inlineStr">
        <is>
          <t>Föryngringsavverkning</t>
        </is>
      </c>
      <c r="D510" s="1" t="n">
        <v>45230</v>
      </c>
      <c r="E510" s="1" t="n">
        <v>46221</v>
      </c>
      <c r="F510" t="inlineStr">
        <is>
          <t>UPPSALA LÄN</t>
        </is>
      </c>
      <c r="G510" t="inlineStr">
        <is>
          <t>ÖSTHAMMAR</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56658-2025</t>
        </is>
      </c>
      <c r="B511" t="inlineStr">
        <is>
          <t>avverkningsanmälan</t>
        </is>
      </c>
      <c r="C511" t="inlineStr">
        <is>
          <t>Föryngringsavverkning</t>
        </is>
      </c>
      <c r="D511" s="1" t="n">
        <v>45975</v>
      </c>
      <c r="E511" s="1" t="n">
        <v>46221</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21522-2022</t>
        </is>
      </c>
      <c r="B512" t="inlineStr">
        <is>
          <t>avverkningsanmälan</t>
        </is>
      </c>
      <c r="C512" t="inlineStr">
        <is>
          <t>Föryngringsavverkning</t>
        </is>
      </c>
      <c r="D512" s="1" t="n">
        <v>44706</v>
      </c>
      <c r="E512" s="1" t="n">
        <v>46221</v>
      </c>
      <c r="F512" t="inlineStr">
        <is>
          <t>UPPSALA LÄN</t>
        </is>
      </c>
      <c r="G512" t="inlineStr">
        <is>
          <t>ÖSTHAMMAR</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14187-2022</t>
        </is>
      </c>
      <c r="B513" t="inlineStr">
        <is>
          <t>avverkningsanmälan</t>
        </is>
      </c>
      <c r="C513" t="inlineStr">
        <is>
          <t>Föryngringsavverkning</t>
        </is>
      </c>
      <c r="D513" s="1" t="n">
        <v>44651</v>
      </c>
      <c r="E513" s="1" t="n">
        <v>46221</v>
      </c>
      <c r="F513" t="inlineStr">
        <is>
          <t>UPPSALA LÄN</t>
        </is>
      </c>
      <c r="G513" t="inlineStr">
        <is>
          <t>ÖSTHAMMAR</t>
        </is>
      </c>
      <c r="H513" t="inlineStr">
        <is>
          <t>Övriga Aktiebolag</t>
        </is>
      </c>
      <c r="I513" t="n">
        <v>14.1</v>
      </c>
      <c r="J513" t="n">
        <v>0</v>
      </c>
      <c r="K513" t="n">
        <v>0</v>
      </c>
      <c r="L513" t="n">
        <v>0</v>
      </c>
      <c r="M513" t="n">
        <v>0</v>
      </c>
      <c r="N513" t="n">
        <v>0</v>
      </c>
      <c r="O513" t="n">
        <v>0</v>
      </c>
      <c r="P513" t="n">
        <v>0</v>
      </c>
      <c r="Q513" t="n">
        <v>0</v>
      </c>
      <c r="R513" t="n">
        <v>0</v>
      </c>
      <c r="S513" t="n">
        <v>0</v>
      </c>
      <c r="T513" t="n">
        <v>0</v>
      </c>
      <c r="U513" s="2" t="inlineStr"/>
    </row>
    <row r="514" ht="15" customHeight="1">
      <c r="A514" t="inlineStr">
        <is>
          <t>A 17938-2025</t>
        </is>
      </c>
      <c r="B514" t="inlineStr">
        <is>
          <t>avverkningsanmälan</t>
        </is>
      </c>
      <c r="C514" t="inlineStr">
        <is>
          <t>Föryngringsavverkning</t>
        </is>
      </c>
      <c r="D514" s="1" t="n">
        <v>45760</v>
      </c>
      <c r="E514" s="1" t="n">
        <v>46221</v>
      </c>
      <c r="F514" t="inlineStr">
        <is>
          <t>UPPSALA LÄN</t>
        </is>
      </c>
      <c r="G514" t="inlineStr">
        <is>
          <t>ÖSTHAMMAR</t>
        </is>
      </c>
      <c r="H514" t="inlineStr">
        <is>
          <t>Bergvik skog öst AB</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7997-2022</t>
        </is>
      </c>
      <c r="B515" t="inlineStr">
        <is>
          <t>avverkningsanmälan</t>
        </is>
      </c>
      <c r="C515" t="inlineStr">
        <is>
          <t>Föryngringsavverkning</t>
        </is>
      </c>
      <c r="D515" s="1" t="n">
        <v>44609</v>
      </c>
      <c r="E515" s="1" t="n">
        <v>46221</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4676-2025</t>
        </is>
      </c>
      <c r="B516" t="inlineStr">
        <is>
          <t>avverkningsanmälan</t>
        </is>
      </c>
      <c r="C516" t="inlineStr">
        <is>
          <t>Föryngringsavverkning</t>
        </is>
      </c>
      <c r="D516" s="1" t="n">
        <v>45687</v>
      </c>
      <c r="E516" s="1" t="n">
        <v>46221</v>
      </c>
      <c r="F516" t="inlineStr">
        <is>
          <t>UPPSALA LÄN</t>
        </is>
      </c>
      <c r="G516" t="inlineStr">
        <is>
          <t>ÖSTHAMMAR</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26162-2026</t>
        </is>
      </c>
      <c r="B517" t="inlineStr">
        <is>
          <t>avverkningsanmälan</t>
        </is>
      </c>
      <c r="C517" t="inlineStr">
        <is>
          <t>Föryngringsavverkning</t>
        </is>
      </c>
      <c r="D517" s="1" t="n">
        <v>46181</v>
      </c>
      <c r="E517" s="1" t="n">
        <v>46221</v>
      </c>
      <c r="F517" t="inlineStr">
        <is>
          <t>UPPSALA LÄN</t>
        </is>
      </c>
      <c r="G517" t="inlineStr">
        <is>
          <t>ÖSTHAMMAR</t>
        </is>
      </c>
      <c r="H517" t="inlineStr">
        <is>
          <t>Bergvik skog öst AB</t>
        </is>
      </c>
      <c r="I517" t="n">
        <v>8.300000000000001</v>
      </c>
      <c r="J517" t="n">
        <v>0</v>
      </c>
      <c r="K517" t="n">
        <v>0</v>
      </c>
      <c r="L517" t="n">
        <v>0</v>
      </c>
      <c r="M517" t="n">
        <v>0</v>
      </c>
      <c r="N517" t="n">
        <v>0</v>
      </c>
      <c r="O517" t="n">
        <v>0</v>
      </c>
      <c r="P517" t="n">
        <v>0</v>
      </c>
      <c r="Q517" t="n">
        <v>0</v>
      </c>
      <c r="R517" t="n">
        <v>0</v>
      </c>
      <c r="S517" t="n">
        <v>0</v>
      </c>
      <c r="T517" t="n">
        <v>0</v>
      </c>
      <c r="U517" s="2" t="inlineStr"/>
    </row>
    <row r="518" ht="15" customHeight="1">
      <c r="A518" t="inlineStr">
        <is>
          <t>A 55837-2023</t>
        </is>
      </c>
      <c r="B518" t="inlineStr">
        <is>
          <t>avverkningsanmälan</t>
        </is>
      </c>
      <c r="C518" t="inlineStr">
        <is>
          <t>Föryngringsavverkning</t>
        </is>
      </c>
      <c r="D518" s="1" t="n">
        <v>45239</v>
      </c>
      <c r="E518" s="1" t="n">
        <v>46221</v>
      </c>
      <c r="F518" t="inlineStr">
        <is>
          <t>UPPSALA LÄN</t>
        </is>
      </c>
      <c r="G518" t="inlineStr">
        <is>
          <t>ÖSTHAMMAR</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13093-2022</t>
        </is>
      </c>
      <c r="B519" t="inlineStr">
        <is>
          <t>avverkningsanmälan</t>
        </is>
      </c>
      <c r="C519" t="inlineStr">
        <is>
          <t>Föryngringsavverkning</t>
        </is>
      </c>
      <c r="D519" s="1" t="n">
        <v>44643</v>
      </c>
      <c r="E519" s="1" t="n">
        <v>46221</v>
      </c>
      <c r="F519" t="inlineStr">
        <is>
          <t>UPPSALA LÄN</t>
        </is>
      </c>
      <c r="G519" t="inlineStr">
        <is>
          <t>ÖSTHAMMAR</t>
        </is>
      </c>
      <c r="H519" t="inlineStr">
        <is>
          <t>Bergvik skog öst AB</t>
        </is>
      </c>
      <c r="I519" t="n">
        <v>3.2</v>
      </c>
      <c r="J519" t="n">
        <v>0</v>
      </c>
      <c r="K519" t="n">
        <v>0</v>
      </c>
      <c r="L519" t="n">
        <v>0</v>
      </c>
      <c r="M519" t="n">
        <v>0</v>
      </c>
      <c r="N519" t="n">
        <v>0</v>
      </c>
      <c r="O519" t="n">
        <v>0</v>
      </c>
      <c r="P519" t="n">
        <v>0</v>
      </c>
      <c r="Q519" t="n">
        <v>0</v>
      </c>
      <c r="R519" t="n">
        <v>0</v>
      </c>
      <c r="S519" t="n">
        <v>0</v>
      </c>
      <c r="T519" t="n">
        <v>0</v>
      </c>
      <c r="U519" s="2" t="inlineStr"/>
    </row>
    <row r="520" ht="15" customHeight="1">
      <c r="A520" t="inlineStr">
        <is>
          <t>A 45795-2023</t>
        </is>
      </c>
      <c r="B520" t="inlineStr">
        <is>
          <t>avverkningsanmälan</t>
        </is>
      </c>
      <c r="C520" t="inlineStr">
        <is>
          <t>Avverkning för annat ändamål</t>
        </is>
      </c>
      <c r="D520" s="1" t="n">
        <v>45195</v>
      </c>
      <c r="E520" s="1" t="n">
        <v>46221</v>
      </c>
      <c r="F520" t="inlineStr">
        <is>
          <t>UPPSALA LÄN</t>
        </is>
      </c>
      <c r="G520" t="inlineStr">
        <is>
          <t>ÖSTHAMMAR</t>
        </is>
      </c>
      <c r="I520" t="n">
        <v>4</v>
      </c>
      <c r="J520" t="n">
        <v>0</v>
      </c>
      <c r="K520" t="n">
        <v>0</v>
      </c>
      <c r="L520" t="n">
        <v>0</v>
      </c>
      <c r="M520" t="n">
        <v>0</v>
      </c>
      <c r="N520" t="n">
        <v>0</v>
      </c>
      <c r="O520" t="n">
        <v>0</v>
      </c>
      <c r="P520" t="n">
        <v>0</v>
      </c>
      <c r="Q520" t="n">
        <v>0</v>
      </c>
      <c r="R520" t="n">
        <v>0</v>
      </c>
      <c r="S520" t="n">
        <v>0</v>
      </c>
      <c r="T520" t="n">
        <v>0</v>
      </c>
      <c r="U520" s="2" t="inlineStr"/>
    </row>
    <row r="521" ht="15" customHeight="1">
      <c r="A521" t="inlineStr">
        <is>
          <t>A 31956-2025</t>
        </is>
      </c>
      <c r="B521" t="inlineStr">
        <is>
          <t>avverkningsanmälan</t>
        </is>
      </c>
      <c r="C521" t="inlineStr">
        <is>
          <t>Föryngringsavverkning</t>
        </is>
      </c>
      <c r="D521" s="1" t="n">
        <v>45835</v>
      </c>
      <c r="E521" s="1" t="n">
        <v>46221</v>
      </c>
      <c r="F521" t="inlineStr">
        <is>
          <t>UPPSALA LÄN</t>
        </is>
      </c>
      <c r="G521" t="inlineStr">
        <is>
          <t>ÖSTHAMMAR</t>
        </is>
      </c>
      <c r="H521" t="inlineStr">
        <is>
          <t>Övriga Aktiebolag</t>
        </is>
      </c>
      <c r="I521" t="n">
        <v>4.2</v>
      </c>
      <c r="J521" t="n">
        <v>0</v>
      </c>
      <c r="K521" t="n">
        <v>0</v>
      </c>
      <c r="L521" t="n">
        <v>0</v>
      </c>
      <c r="M521" t="n">
        <v>0</v>
      </c>
      <c r="N521" t="n">
        <v>0</v>
      </c>
      <c r="O521" t="n">
        <v>0</v>
      </c>
      <c r="P521" t="n">
        <v>0</v>
      </c>
      <c r="Q521" t="n">
        <v>0</v>
      </c>
      <c r="R521" t="n">
        <v>0</v>
      </c>
      <c r="S521" t="n">
        <v>0</v>
      </c>
      <c r="T521" t="n">
        <v>0</v>
      </c>
      <c r="U521" s="2" t="inlineStr"/>
    </row>
    <row r="522" ht="15" customHeight="1">
      <c r="A522" t="inlineStr">
        <is>
          <t>A 27352-2025</t>
        </is>
      </c>
      <c r="B522" t="inlineStr">
        <is>
          <t>avverkningsanmälan</t>
        </is>
      </c>
      <c r="C522" t="inlineStr">
        <is>
          <t>Föryngringsavverkning</t>
        </is>
      </c>
      <c r="D522" s="1" t="n">
        <v>45812</v>
      </c>
      <c r="E522" s="1" t="n">
        <v>46221</v>
      </c>
      <c r="F522" t="inlineStr">
        <is>
          <t>UPPSALA LÄN</t>
        </is>
      </c>
      <c r="G522" t="inlineStr">
        <is>
          <t>ÖSTHAMMAR</t>
        </is>
      </c>
      <c r="I522" t="n">
        <v>2.5</v>
      </c>
      <c r="J522" t="n">
        <v>0</v>
      </c>
      <c r="K522" t="n">
        <v>0</v>
      </c>
      <c r="L522" t="n">
        <v>0</v>
      </c>
      <c r="M522" t="n">
        <v>0</v>
      </c>
      <c r="N522" t="n">
        <v>0</v>
      </c>
      <c r="O522" t="n">
        <v>0</v>
      </c>
      <c r="P522" t="n">
        <v>0</v>
      </c>
      <c r="Q522" t="n">
        <v>0</v>
      </c>
      <c r="R522" t="n">
        <v>0</v>
      </c>
      <c r="S522" t="n">
        <v>0</v>
      </c>
      <c r="T522" t="n">
        <v>0</v>
      </c>
      <c r="U522" s="2" t="inlineStr"/>
    </row>
    <row r="523" ht="15" customHeight="1">
      <c r="A523" t="inlineStr">
        <is>
          <t>A 18183-2022</t>
        </is>
      </c>
      <c r="B523" t="inlineStr">
        <is>
          <t>avverkningsanmälan</t>
        </is>
      </c>
      <c r="C523" t="inlineStr">
        <is>
          <t>Föryngringsavverkning</t>
        </is>
      </c>
      <c r="D523" s="1" t="n">
        <v>44684</v>
      </c>
      <c r="E523" s="1" t="n">
        <v>46221</v>
      </c>
      <c r="F523" t="inlineStr">
        <is>
          <t>UPPSALA LÄN</t>
        </is>
      </c>
      <c r="G523" t="inlineStr">
        <is>
          <t>ÖSTHAMMAR</t>
        </is>
      </c>
      <c r="I523" t="n">
        <v>0.2</v>
      </c>
      <c r="J523" t="n">
        <v>0</v>
      </c>
      <c r="K523" t="n">
        <v>0</v>
      </c>
      <c r="L523" t="n">
        <v>0</v>
      </c>
      <c r="M523" t="n">
        <v>0</v>
      </c>
      <c r="N523" t="n">
        <v>0</v>
      </c>
      <c r="O523" t="n">
        <v>0</v>
      </c>
      <c r="P523" t="n">
        <v>0</v>
      </c>
      <c r="Q523" t="n">
        <v>0</v>
      </c>
      <c r="R523" t="n">
        <v>0</v>
      </c>
      <c r="S523" t="n">
        <v>0</v>
      </c>
      <c r="T523" t="n">
        <v>0</v>
      </c>
      <c r="U523" s="2" t="inlineStr"/>
    </row>
    <row r="524" ht="15" customHeight="1">
      <c r="A524" t="inlineStr">
        <is>
          <t>A 26159-2026</t>
        </is>
      </c>
      <c r="B524" t="inlineStr">
        <is>
          <t>avverkningsanmälan</t>
        </is>
      </c>
      <c r="C524" t="inlineStr">
        <is>
          <t>Föryngringsavverkning</t>
        </is>
      </c>
      <c r="D524" s="1" t="n">
        <v>46181</v>
      </c>
      <c r="E524" s="1" t="n">
        <v>46221</v>
      </c>
      <c r="F524" t="inlineStr">
        <is>
          <t>UPPSALA LÄN</t>
        </is>
      </c>
      <c r="G524" t="inlineStr">
        <is>
          <t>ÖSTHAMMAR</t>
        </is>
      </c>
      <c r="H524" t="inlineStr">
        <is>
          <t>Bergvik skog öst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26160-2026</t>
        </is>
      </c>
      <c r="B525" t="inlineStr">
        <is>
          <t>avverkningsanmälan</t>
        </is>
      </c>
      <c r="C525" t="inlineStr">
        <is>
          <t>Föryngringsavverkning</t>
        </is>
      </c>
      <c r="D525" s="1" t="n">
        <v>46181</v>
      </c>
      <c r="E525" s="1" t="n">
        <v>46221</v>
      </c>
      <c r="F525" t="inlineStr">
        <is>
          <t>UPPSALA LÄN</t>
        </is>
      </c>
      <c r="G525" t="inlineStr">
        <is>
          <t>ÖSTHAMMAR</t>
        </is>
      </c>
      <c r="H525" t="inlineStr">
        <is>
          <t>Bergvik skog öst AB</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20393-2026</t>
        </is>
      </c>
      <c r="B526" t="inlineStr">
        <is>
          <t>avverkningsanmälan</t>
        </is>
      </c>
      <c r="C526" t="inlineStr">
        <is>
          <t>Föryngringsavverkning</t>
        </is>
      </c>
      <c r="D526" s="1" t="n">
        <v>46139</v>
      </c>
      <c r="E526" s="1" t="n">
        <v>46221</v>
      </c>
      <c r="F526" t="inlineStr">
        <is>
          <t>UPPSALA LÄN</t>
        </is>
      </c>
      <c r="G526" t="inlineStr">
        <is>
          <t>ÖSTHAMMAR</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26305-2026</t>
        </is>
      </c>
      <c r="B527" t="inlineStr">
        <is>
          <t>avverkningsanmälan</t>
        </is>
      </c>
      <c r="C527" t="inlineStr">
        <is>
          <t>Föryngringsavverkning</t>
        </is>
      </c>
      <c r="D527" s="1" t="n">
        <v>46182</v>
      </c>
      <c r="E527" s="1" t="n">
        <v>46221</v>
      </c>
      <c r="F527" t="inlineStr">
        <is>
          <t>UPPSALA LÄN</t>
        </is>
      </c>
      <c r="G527" t="inlineStr">
        <is>
          <t>ÖSTHAMMAR</t>
        </is>
      </c>
      <c r="I527" t="n">
        <v>6.4</v>
      </c>
      <c r="J527" t="n">
        <v>0</v>
      </c>
      <c r="K527" t="n">
        <v>0</v>
      </c>
      <c r="L527" t="n">
        <v>0</v>
      </c>
      <c r="M527" t="n">
        <v>0</v>
      </c>
      <c r="N527" t="n">
        <v>0</v>
      </c>
      <c r="O527" t="n">
        <v>0</v>
      </c>
      <c r="P527" t="n">
        <v>0</v>
      </c>
      <c r="Q527" t="n">
        <v>0</v>
      </c>
      <c r="R527" t="n">
        <v>0</v>
      </c>
      <c r="S527" t="n">
        <v>0</v>
      </c>
      <c r="T527" t="n">
        <v>0</v>
      </c>
      <c r="U527" s="2" t="inlineStr"/>
    </row>
    <row r="528" ht="15" customHeight="1">
      <c r="A528" t="inlineStr">
        <is>
          <t>A 28170-2023</t>
        </is>
      </c>
      <c r="B528" t="inlineStr">
        <is>
          <t>avverkningsanmälan</t>
        </is>
      </c>
      <c r="C528" t="inlineStr">
        <is>
          <t>Föryngringsavverkning</t>
        </is>
      </c>
      <c r="D528" s="1" t="n">
        <v>45093</v>
      </c>
      <c r="E528" s="1" t="n">
        <v>46221</v>
      </c>
      <c r="F528" t="inlineStr">
        <is>
          <t>UPPSALA LÄN</t>
        </is>
      </c>
      <c r="G528" t="inlineStr">
        <is>
          <t>ÖSTHAMMAR</t>
        </is>
      </c>
      <c r="I528" t="n">
        <v>7.2</v>
      </c>
      <c r="J528" t="n">
        <v>0</v>
      </c>
      <c r="K528" t="n">
        <v>0</v>
      </c>
      <c r="L528" t="n">
        <v>0</v>
      </c>
      <c r="M528" t="n">
        <v>0</v>
      </c>
      <c r="N528" t="n">
        <v>0</v>
      </c>
      <c r="O528" t="n">
        <v>0</v>
      </c>
      <c r="P528" t="n">
        <v>0</v>
      </c>
      <c r="Q528" t="n">
        <v>0</v>
      </c>
      <c r="R528" t="n">
        <v>0</v>
      </c>
      <c r="S528" t="n">
        <v>0</v>
      </c>
      <c r="T528" t="n">
        <v>0</v>
      </c>
      <c r="U528" s="2" t="inlineStr"/>
    </row>
    <row r="529" ht="15" customHeight="1">
      <c r="A529" t="inlineStr">
        <is>
          <t>A 2358-2026</t>
        </is>
      </c>
      <c r="B529" t="inlineStr">
        <is>
          <t>avverkningsanmälan</t>
        </is>
      </c>
      <c r="C529" t="inlineStr">
        <is>
          <t>Föryngringsavverkning</t>
        </is>
      </c>
      <c r="D529" s="1" t="n">
        <v>46034</v>
      </c>
      <c r="E529" s="1" t="n">
        <v>46221</v>
      </c>
      <c r="F529" t="inlineStr">
        <is>
          <t>UPPSALA LÄN</t>
        </is>
      </c>
      <c r="G529" t="inlineStr">
        <is>
          <t>ÖSTHAMMAR</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A 6120-2024</t>
        </is>
      </c>
      <c r="B530" t="inlineStr">
        <is>
          <t>avverkningsanmälan</t>
        </is>
      </c>
      <c r="C530" t="inlineStr">
        <is>
          <t>Föryngringsavverkning</t>
        </is>
      </c>
      <c r="D530" s="1" t="n">
        <v>45337</v>
      </c>
      <c r="E530" s="1" t="n">
        <v>46221</v>
      </c>
      <c r="F530" t="inlineStr">
        <is>
          <t>UPPSALA LÄN</t>
        </is>
      </c>
      <c r="G530" t="inlineStr">
        <is>
          <t>ÖSTHAMMAR</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16933-2022</t>
        </is>
      </c>
      <c r="B531" t="inlineStr">
        <is>
          <t>avverkningsanmälan</t>
        </is>
      </c>
      <c r="C531" t="inlineStr">
        <is>
          <t>Föryngringsavverkning</t>
        </is>
      </c>
      <c r="D531" s="1" t="n">
        <v>44676</v>
      </c>
      <c r="E531" s="1" t="n">
        <v>46221</v>
      </c>
      <c r="F531" t="inlineStr">
        <is>
          <t>UPPSALA LÄN</t>
        </is>
      </c>
      <c r="G531" t="inlineStr">
        <is>
          <t>ÖSTHAMMAR</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23741-2024</t>
        </is>
      </c>
      <c r="B532" t="inlineStr">
        <is>
          <t>avverkningsanmälan</t>
        </is>
      </c>
      <c r="C532" t="inlineStr">
        <is>
          <t>Föryngringsavverkning</t>
        </is>
      </c>
      <c r="D532" s="1" t="n">
        <v>45455</v>
      </c>
      <c r="E532" s="1" t="n">
        <v>46221</v>
      </c>
      <c r="F532" t="inlineStr">
        <is>
          <t>UPPSALA LÄN</t>
        </is>
      </c>
      <c r="G532" t="inlineStr">
        <is>
          <t>ÖSTHAMMAR</t>
        </is>
      </c>
      <c r="H532" t="inlineStr">
        <is>
          <t>Bergvik skog öst AB</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9264-2024</t>
        </is>
      </c>
      <c r="B533" t="inlineStr">
        <is>
          <t>avverkningsanmälan</t>
        </is>
      </c>
      <c r="C533" t="inlineStr">
        <is>
          <t>Föryngringsavverkning</t>
        </is>
      </c>
      <c r="D533" s="1" t="n">
        <v>45358</v>
      </c>
      <c r="E533" s="1" t="n">
        <v>46221</v>
      </c>
      <c r="F533" t="inlineStr">
        <is>
          <t>UPPSALA LÄN</t>
        </is>
      </c>
      <c r="G533" t="inlineStr">
        <is>
          <t>ÖSTHAMMAR</t>
        </is>
      </c>
      <c r="H533" t="inlineStr">
        <is>
          <t>Bergvik skog öst AB</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20394-2026</t>
        </is>
      </c>
      <c r="B534" t="inlineStr">
        <is>
          <t>avverkningsanmälan</t>
        </is>
      </c>
      <c r="C534" t="inlineStr">
        <is>
          <t>Föryngringsavverkning</t>
        </is>
      </c>
      <c r="D534" s="1" t="n">
        <v>46139</v>
      </c>
      <c r="E534" s="1" t="n">
        <v>46221</v>
      </c>
      <c r="F534" t="inlineStr">
        <is>
          <t>UPPSALA LÄN</t>
        </is>
      </c>
      <c r="G534" t="inlineStr">
        <is>
          <t>ÖSTHAMMAR</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57043-2022</t>
        </is>
      </c>
      <c r="B535" t="inlineStr">
        <is>
          <t>avverkningsanmälan</t>
        </is>
      </c>
      <c r="C535" t="inlineStr">
        <is>
          <t>Föryngringsavverkning</t>
        </is>
      </c>
      <c r="D535" s="1" t="n">
        <v>44895</v>
      </c>
      <c r="E535" s="1" t="n">
        <v>46221</v>
      </c>
      <c r="F535" t="inlineStr">
        <is>
          <t>UPPSALA LÄN</t>
        </is>
      </c>
      <c r="G535" t="inlineStr">
        <is>
          <t>ÖSTHAMMAR</t>
        </is>
      </c>
      <c r="H535" t="inlineStr">
        <is>
          <t>Bergvik skog öst AB</t>
        </is>
      </c>
      <c r="I535" t="n">
        <v>5.7</v>
      </c>
      <c r="J535" t="n">
        <v>0</v>
      </c>
      <c r="K535" t="n">
        <v>0</v>
      </c>
      <c r="L535" t="n">
        <v>0</v>
      </c>
      <c r="M535" t="n">
        <v>0</v>
      </c>
      <c r="N535" t="n">
        <v>0</v>
      </c>
      <c r="O535" t="n">
        <v>0</v>
      </c>
      <c r="P535" t="n">
        <v>0</v>
      </c>
      <c r="Q535" t="n">
        <v>0</v>
      </c>
      <c r="R535" t="n">
        <v>0</v>
      </c>
      <c r="S535" t="n">
        <v>0</v>
      </c>
      <c r="T535" t="n">
        <v>0</v>
      </c>
      <c r="U535" s="2" t="inlineStr"/>
    </row>
    <row r="536" ht="15" customHeight="1">
      <c r="A536" t="inlineStr">
        <is>
          <t>A 47390-2023</t>
        </is>
      </c>
      <c r="B536" t="inlineStr">
        <is>
          <t>avverkningsanmälan</t>
        </is>
      </c>
      <c r="C536" t="inlineStr">
        <is>
          <t>Föryngringsavverkning</t>
        </is>
      </c>
      <c r="D536" s="1" t="n">
        <v>45202</v>
      </c>
      <c r="E536" s="1" t="n">
        <v>46221</v>
      </c>
      <c r="F536" t="inlineStr">
        <is>
          <t>UPPSALA LÄN</t>
        </is>
      </c>
      <c r="G536" t="inlineStr">
        <is>
          <t>ÖSTHAMMAR</t>
        </is>
      </c>
      <c r="I536" t="n">
        <v>3.7</v>
      </c>
      <c r="J536" t="n">
        <v>0</v>
      </c>
      <c r="K536" t="n">
        <v>0</v>
      </c>
      <c r="L536" t="n">
        <v>0</v>
      </c>
      <c r="M536" t="n">
        <v>0</v>
      </c>
      <c r="N536" t="n">
        <v>0</v>
      </c>
      <c r="O536" t="n">
        <v>0</v>
      </c>
      <c r="P536" t="n">
        <v>0</v>
      </c>
      <c r="Q536" t="n">
        <v>0</v>
      </c>
      <c r="R536" t="n">
        <v>0</v>
      </c>
      <c r="S536" t="n">
        <v>0</v>
      </c>
      <c r="T536" t="n">
        <v>0</v>
      </c>
      <c r="U536" s="2" t="inlineStr"/>
    </row>
    <row r="537" ht="15" customHeight="1">
      <c r="A537" t="inlineStr">
        <is>
          <t>A 20796-2026</t>
        </is>
      </c>
      <c r="B537" t="inlineStr">
        <is>
          <t>avverkningsanmälan</t>
        </is>
      </c>
      <c r="C537" t="inlineStr">
        <is>
          <t>Föryngringsavverkning</t>
        </is>
      </c>
      <c r="D537" s="1" t="n">
        <v>46141</v>
      </c>
      <c r="E537" s="1" t="n">
        <v>46221</v>
      </c>
      <c r="F537" t="inlineStr">
        <is>
          <t>UPPSALA LÄN</t>
        </is>
      </c>
      <c r="G537" t="inlineStr">
        <is>
          <t>ÖSTHAMMAR</t>
        </is>
      </c>
      <c r="H537" t="inlineStr">
        <is>
          <t>Bergvik skog öst AB</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15928-2022</t>
        </is>
      </c>
      <c r="B538" t="inlineStr">
        <is>
          <t>avverkningsanmälan</t>
        </is>
      </c>
      <c r="C538" t="inlineStr">
        <is>
          <t>Föryngringsavverkning</t>
        </is>
      </c>
      <c r="D538" s="1" t="n">
        <v>44664</v>
      </c>
      <c r="E538" s="1" t="n">
        <v>46221</v>
      </c>
      <c r="F538" t="inlineStr">
        <is>
          <t>UPPSALA LÄN</t>
        </is>
      </c>
      <c r="G538" t="inlineStr">
        <is>
          <t>ÖSTHAMMAR</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20779-2026</t>
        </is>
      </c>
      <c r="B539" t="inlineStr">
        <is>
          <t>avverkningsanmälan</t>
        </is>
      </c>
      <c r="C539" t="inlineStr">
        <is>
          <t>Föryngringsavverkning</t>
        </is>
      </c>
      <c r="D539" s="1" t="n">
        <v>46141</v>
      </c>
      <c r="E539" s="1" t="n">
        <v>46221</v>
      </c>
      <c r="F539" t="inlineStr">
        <is>
          <t>UPPSALA LÄN</t>
        </is>
      </c>
      <c r="G539" t="inlineStr">
        <is>
          <t>ÖSTHAMMAR</t>
        </is>
      </c>
      <c r="H539" t="inlineStr">
        <is>
          <t>Övriga Aktiebolag</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26524-2026</t>
        </is>
      </c>
      <c r="B540" t="inlineStr">
        <is>
          <t>avverkningsanmälan</t>
        </is>
      </c>
      <c r="C540" t="inlineStr">
        <is>
          <t>Föryngringsavverkning</t>
        </is>
      </c>
      <c r="D540" s="1" t="n">
        <v>46183</v>
      </c>
      <c r="E540" s="1" t="n">
        <v>46221</v>
      </c>
      <c r="F540" t="inlineStr">
        <is>
          <t>UPPSALA LÄN</t>
        </is>
      </c>
      <c r="G540" t="inlineStr">
        <is>
          <t>ÖSTHAMMAR</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26581-2026</t>
        </is>
      </c>
      <c r="B541" t="inlineStr">
        <is>
          <t>avverkningsanmälan</t>
        </is>
      </c>
      <c r="C541" t="inlineStr">
        <is>
          <t>Föryngringsavverkning</t>
        </is>
      </c>
      <c r="D541" s="1" t="n">
        <v>46183</v>
      </c>
      <c r="E541" s="1" t="n">
        <v>46221</v>
      </c>
      <c r="F541" t="inlineStr">
        <is>
          <t>UPPSALA LÄN</t>
        </is>
      </c>
      <c r="G541" t="inlineStr">
        <is>
          <t>ÖSTHAMMAR</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28228-2022</t>
        </is>
      </c>
      <c r="B542" t="inlineStr">
        <is>
          <t>avverkningsanmälan</t>
        </is>
      </c>
      <c r="C542" t="inlineStr">
        <is>
          <t>Föryngringsavverkning</t>
        </is>
      </c>
      <c r="D542" s="1" t="n">
        <v>44746</v>
      </c>
      <c r="E542" s="1" t="n">
        <v>46221</v>
      </c>
      <c r="F542" t="inlineStr">
        <is>
          <t>UPPSALA LÄN</t>
        </is>
      </c>
      <c r="G542" t="inlineStr">
        <is>
          <t>ÖSTHAMMAR</t>
        </is>
      </c>
      <c r="I542" t="n">
        <v>2.7</v>
      </c>
      <c r="J542" t="n">
        <v>0</v>
      </c>
      <c r="K542" t="n">
        <v>0</v>
      </c>
      <c r="L542" t="n">
        <v>0</v>
      </c>
      <c r="M542" t="n">
        <v>0</v>
      </c>
      <c r="N542" t="n">
        <v>0</v>
      </c>
      <c r="O542" t="n">
        <v>0</v>
      </c>
      <c r="P542" t="n">
        <v>0</v>
      </c>
      <c r="Q542" t="n">
        <v>0</v>
      </c>
      <c r="R542" t="n">
        <v>0</v>
      </c>
      <c r="S542" t="n">
        <v>0</v>
      </c>
      <c r="T542" t="n">
        <v>0</v>
      </c>
      <c r="U542" s="2" t="inlineStr"/>
    </row>
    <row r="543" ht="15" customHeight="1">
      <c r="A543" t="inlineStr">
        <is>
          <t>A 15445-2022</t>
        </is>
      </c>
      <c r="B543" t="inlineStr">
        <is>
          <t>avverkningsanmälan</t>
        </is>
      </c>
      <c r="C543" t="inlineStr">
        <is>
          <t>Föryngringsavverkning</t>
        </is>
      </c>
      <c r="D543" s="1" t="n">
        <v>44660</v>
      </c>
      <c r="E543" s="1" t="n">
        <v>46221</v>
      </c>
      <c r="F543" t="inlineStr">
        <is>
          <t>UPPSALA LÄN</t>
        </is>
      </c>
      <c r="G543" t="inlineStr">
        <is>
          <t>ÖSTHAMMAR</t>
        </is>
      </c>
      <c r="H543" t="inlineStr">
        <is>
          <t>Bergvik skog öst AB</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14878-2026</t>
        </is>
      </c>
      <c r="B544" t="inlineStr">
        <is>
          <t>avverkningsanmälan</t>
        </is>
      </c>
      <c r="C544" t="inlineStr">
        <is>
          <t>Föryngringsavverkning</t>
        </is>
      </c>
      <c r="D544" s="1" t="n">
        <v>46104</v>
      </c>
      <c r="E544" s="1" t="n">
        <v>46221</v>
      </c>
      <c r="F544" t="inlineStr">
        <is>
          <t>UPPSALA LÄN</t>
        </is>
      </c>
      <c r="G544" t="inlineStr">
        <is>
          <t>ÖSTHAMMAR</t>
        </is>
      </c>
      <c r="H544" t="inlineStr">
        <is>
          <t>Övriga Aktiebolag</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14124-2022</t>
        </is>
      </c>
      <c r="B545" t="inlineStr">
        <is>
          <t>avverkningsanmälan</t>
        </is>
      </c>
      <c r="C545" t="inlineStr">
        <is>
          <t>Föryngringsavverkning</t>
        </is>
      </c>
      <c r="D545" s="1" t="n">
        <v>44651</v>
      </c>
      <c r="E545" s="1" t="n">
        <v>46221</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20786-2026</t>
        </is>
      </c>
      <c r="B546" t="inlineStr">
        <is>
          <t>avverkningsanmälan</t>
        </is>
      </c>
      <c r="C546" t="inlineStr">
        <is>
          <t>Föryngringsavverkning</t>
        </is>
      </c>
      <c r="D546" s="1" t="n">
        <v>46141</v>
      </c>
      <c r="E546" s="1" t="n">
        <v>46221</v>
      </c>
      <c r="F546" t="inlineStr">
        <is>
          <t>UPPSALA LÄN</t>
        </is>
      </c>
      <c r="G546" t="inlineStr">
        <is>
          <t>ÖSTHAMMAR</t>
        </is>
      </c>
      <c r="H546" t="inlineStr">
        <is>
          <t>Bergvik skog öst AB</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37812-2022</t>
        </is>
      </c>
      <c r="B547" t="inlineStr">
        <is>
          <t>avverkningsanmälan</t>
        </is>
      </c>
      <c r="C547" t="inlineStr">
        <is>
          <t>Föryngringsavverkning</t>
        </is>
      </c>
      <c r="D547" s="1" t="n">
        <v>44810</v>
      </c>
      <c r="E547" s="1" t="n">
        <v>46221</v>
      </c>
      <c r="F547" t="inlineStr">
        <is>
          <t>UPPSALA LÄN</t>
        </is>
      </c>
      <c r="G547" t="inlineStr">
        <is>
          <t>ÖSTHAMMAR</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41821-2023</t>
        </is>
      </c>
      <c r="B548" t="inlineStr">
        <is>
          <t>avverkningsanmälan</t>
        </is>
      </c>
      <c r="C548" t="inlineStr">
        <is>
          <t>Föryngringsavverkning</t>
        </is>
      </c>
      <c r="D548" s="1" t="n">
        <v>45176</v>
      </c>
      <c r="E548" s="1" t="n">
        <v>46221</v>
      </c>
      <c r="F548" t="inlineStr">
        <is>
          <t>UPPSALA LÄN</t>
        </is>
      </c>
      <c r="G548" t="inlineStr">
        <is>
          <t>ÖSTHAMMAR</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32742-2022</t>
        </is>
      </c>
      <c r="B549" t="inlineStr">
        <is>
          <t>avverkningsanmälan</t>
        </is>
      </c>
      <c r="C549" t="inlineStr">
        <is>
          <t>Föryngringsavverkning</t>
        </is>
      </c>
      <c r="D549" s="1" t="n">
        <v>44783</v>
      </c>
      <c r="E549" s="1" t="n">
        <v>46221</v>
      </c>
      <c r="F549" t="inlineStr">
        <is>
          <t>UPPSALA LÄN</t>
        </is>
      </c>
      <c r="G549" t="inlineStr">
        <is>
          <t>ÖSTHAMMAR</t>
        </is>
      </c>
      <c r="H549" t="inlineStr">
        <is>
          <t>Bergvik skog öst AB</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41308-2023</t>
        </is>
      </c>
      <c r="B550" t="inlineStr">
        <is>
          <t>avverkningsanmälan</t>
        </is>
      </c>
      <c r="C550" t="inlineStr">
        <is>
          <t>Föryngringsavverkning</t>
        </is>
      </c>
      <c r="D550" s="1" t="n">
        <v>45174</v>
      </c>
      <c r="E550" s="1" t="n">
        <v>46221</v>
      </c>
      <c r="F550" t="inlineStr">
        <is>
          <t>UPPSALA LÄN</t>
        </is>
      </c>
      <c r="G550" t="inlineStr">
        <is>
          <t>ÖSTHAMMAR</t>
        </is>
      </c>
      <c r="H550" t="inlineStr">
        <is>
          <t>Övriga Aktiebolag</t>
        </is>
      </c>
      <c r="I550" t="n">
        <v>2.8</v>
      </c>
      <c r="J550" t="n">
        <v>0</v>
      </c>
      <c r="K550" t="n">
        <v>0</v>
      </c>
      <c r="L550" t="n">
        <v>0</v>
      </c>
      <c r="M550" t="n">
        <v>0</v>
      </c>
      <c r="N550" t="n">
        <v>0</v>
      </c>
      <c r="O550" t="n">
        <v>0</v>
      </c>
      <c r="P550" t="n">
        <v>0</v>
      </c>
      <c r="Q550" t="n">
        <v>0</v>
      </c>
      <c r="R550" t="n">
        <v>0</v>
      </c>
      <c r="S550" t="n">
        <v>0</v>
      </c>
      <c r="T550" t="n">
        <v>0</v>
      </c>
      <c r="U550" s="2" t="inlineStr"/>
    </row>
    <row r="551" ht="15" customHeight="1">
      <c r="A551" t="inlineStr">
        <is>
          <t>A 49833-2023</t>
        </is>
      </c>
      <c r="B551" t="inlineStr">
        <is>
          <t>avverkningsanmälan</t>
        </is>
      </c>
      <c r="C551" t="inlineStr">
        <is>
          <t>Föryngringsavverkning</t>
        </is>
      </c>
      <c r="D551" s="1" t="n">
        <v>45212</v>
      </c>
      <c r="E551" s="1" t="n">
        <v>46221</v>
      </c>
      <c r="F551" t="inlineStr">
        <is>
          <t>UPPSALA LÄN</t>
        </is>
      </c>
      <c r="G551" t="inlineStr">
        <is>
          <t>ÖSTHAMMAR</t>
        </is>
      </c>
      <c r="H551" t="inlineStr">
        <is>
          <t>Bergvik skog öst AB</t>
        </is>
      </c>
      <c r="I551" t="n">
        <v>0.4</v>
      </c>
      <c r="J551" t="n">
        <v>0</v>
      </c>
      <c r="K551" t="n">
        <v>0</v>
      </c>
      <c r="L551" t="n">
        <v>0</v>
      </c>
      <c r="M551" t="n">
        <v>0</v>
      </c>
      <c r="N551" t="n">
        <v>0</v>
      </c>
      <c r="O551" t="n">
        <v>0</v>
      </c>
      <c r="P551" t="n">
        <v>0</v>
      </c>
      <c r="Q551" t="n">
        <v>0</v>
      </c>
      <c r="R551" t="n">
        <v>0</v>
      </c>
      <c r="S551" t="n">
        <v>0</v>
      </c>
      <c r="T551" t="n">
        <v>0</v>
      </c>
      <c r="U551" s="2" t="inlineStr"/>
    </row>
    <row r="552" ht="15" customHeight="1">
      <c r="A552" t="inlineStr">
        <is>
          <t>A 17433-2025</t>
        </is>
      </c>
      <c r="B552" t="inlineStr">
        <is>
          <t>avverkningsanmälan</t>
        </is>
      </c>
      <c r="C552" t="inlineStr">
        <is>
          <t>Föryngringsavverkning</t>
        </is>
      </c>
      <c r="D552" s="1" t="n">
        <v>45757</v>
      </c>
      <c r="E552" s="1" t="n">
        <v>46221</v>
      </c>
      <c r="F552" t="inlineStr">
        <is>
          <t>UPPSALA LÄN</t>
        </is>
      </c>
      <c r="G552" t="inlineStr">
        <is>
          <t>ÖSTHAMMAR</t>
        </is>
      </c>
      <c r="H552" t="inlineStr">
        <is>
          <t>Övriga Aktiebolag</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45550-2023</t>
        </is>
      </c>
      <c r="B553" t="inlineStr">
        <is>
          <t>avverkningsanmälan</t>
        </is>
      </c>
      <c r="C553" t="inlineStr">
        <is>
          <t>Föryngringsavverkning</t>
        </is>
      </c>
      <c r="D553" s="1" t="n">
        <v>45194</v>
      </c>
      <c r="E553" s="1" t="n">
        <v>46221</v>
      </c>
      <c r="F553" t="inlineStr">
        <is>
          <t>UPPSALA LÄN</t>
        </is>
      </c>
      <c r="G553" t="inlineStr">
        <is>
          <t>ÖSTHAMMAR</t>
        </is>
      </c>
      <c r="H553" t="inlineStr">
        <is>
          <t>Bergvik skog öst AB</t>
        </is>
      </c>
      <c r="I553" t="n">
        <v>0.4</v>
      </c>
      <c r="J553" t="n">
        <v>0</v>
      </c>
      <c r="K553" t="n">
        <v>0</v>
      </c>
      <c r="L553" t="n">
        <v>0</v>
      </c>
      <c r="M553" t="n">
        <v>0</v>
      </c>
      <c r="N553" t="n">
        <v>0</v>
      </c>
      <c r="O553" t="n">
        <v>0</v>
      </c>
      <c r="P553" t="n">
        <v>0</v>
      </c>
      <c r="Q553" t="n">
        <v>0</v>
      </c>
      <c r="R553" t="n">
        <v>0</v>
      </c>
      <c r="S553" t="n">
        <v>0</v>
      </c>
      <c r="T553" t="n">
        <v>0</v>
      </c>
      <c r="U553" s="2" t="inlineStr"/>
    </row>
    <row r="554" ht="15" customHeight="1">
      <c r="A554" t="inlineStr">
        <is>
          <t>A 54368-2023</t>
        </is>
      </c>
      <c r="B554" t="inlineStr">
        <is>
          <t>avverkningsanmälan</t>
        </is>
      </c>
      <c r="C554" t="inlineStr">
        <is>
          <t>Föryngringsavverkning</t>
        </is>
      </c>
      <c r="D554" s="1" t="n">
        <v>45233</v>
      </c>
      <c r="E554" s="1" t="n">
        <v>46221</v>
      </c>
      <c r="F554" t="inlineStr">
        <is>
          <t>UPPSALA LÄN</t>
        </is>
      </c>
      <c r="G554" t="inlineStr">
        <is>
          <t>ÖSTHAMMAR</t>
        </is>
      </c>
      <c r="H554" t="inlineStr">
        <is>
          <t>Bergvik skog öst AB</t>
        </is>
      </c>
      <c r="I554" t="n">
        <v>3</v>
      </c>
      <c r="J554" t="n">
        <v>0</v>
      </c>
      <c r="K554" t="n">
        <v>0</v>
      </c>
      <c r="L554" t="n">
        <v>0</v>
      </c>
      <c r="M554" t="n">
        <v>0</v>
      </c>
      <c r="N554" t="n">
        <v>0</v>
      </c>
      <c r="O554" t="n">
        <v>0</v>
      </c>
      <c r="P554" t="n">
        <v>0</v>
      </c>
      <c r="Q554" t="n">
        <v>0</v>
      </c>
      <c r="R554" t="n">
        <v>0</v>
      </c>
      <c r="S554" t="n">
        <v>0</v>
      </c>
      <c r="T554" t="n">
        <v>0</v>
      </c>
      <c r="U554" s="2" t="inlineStr"/>
    </row>
    <row r="555" ht="15" customHeight="1">
      <c r="A555" t="inlineStr">
        <is>
          <t>A 14989-2026</t>
        </is>
      </c>
      <c r="B555" t="inlineStr">
        <is>
          <t>avverkningsanmälan</t>
        </is>
      </c>
      <c r="C555" t="inlineStr">
        <is>
          <t>Föryngringsavverkning</t>
        </is>
      </c>
      <c r="D555" s="1" t="n">
        <v>46104</v>
      </c>
      <c r="E555" s="1" t="n">
        <v>46221</v>
      </c>
      <c r="F555" t="inlineStr">
        <is>
          <t>UPPSALA LÄN</t>
        </is>
      </c>
      <c r="G555" t="inlineStr">
        <is>
          <t>ÖSTHAMMAR</t>
        </is>
      </c>
      <c r="H555" t="inlineStr">
        <is>
          <t>Övriga Aktiebolag</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26778-2026</t>
        </is>
      </c>
      <c r="B556" t="inlineStr">
        <is>
          <t>avverkningsanmälan</t>
        </is>
      </c>
      <c r="C556" t="inlineStr">
        <is>
          <t>Föryngringsavverkning</t>
        </is>
      </c>
      <c r="D556" s="1" t="n">
        <v>46184</v>
      </c>
      <c r="E556" s="1" t="n">
        <v>46221</v>
      </c>
      <c r="F556" t="inlineStr">
        <is>
          <t>UPPSALA LÄN</t>
        </is>
      </c>
      <c r="G556" t="inlineStr">
        <is>
          <t>ÖSTHAMMAR</t>
        </is>
      </c>
      <c r="I556" t="n">
        <v>12.5</v>
      </c>
      <c r="J556" t="n">
        <v>0</v>
      </c>
      <c r="K556" t="n">
        <v>0</v>
      </c>
      <c r="L556" t="n">
        <v>0</v>
      </c>
      <c r="M556" t="n">
        <v>0</v>
      </c>
      <c r="N556" t="n">
        <v>0</v>
      </c>
      <c r="O556" t="n">
        <v>0</v>
      </c>
      <c r="P556" t="n">
        <v>0</v>
      </c>
      <c r="Q556" t="n">
        <v>0</v>
      </c>
      <c r="R556" t="n">
        <v>0</v>
      </c>
      <c r="S556" t="n">
        <v>0</v>
      </c>
      <c r="T556" t="n">
        <v>0</v>
      </c>
      <c r="U556" s="2" t="inlineStr"/>
    </row>
    <row r="557" ht="15" customHeight="1">
      <c r="A557" t="inlineStr">
        <is>
          <t>A 20776-2026</t>
        </is>
      </c>
      <c r="B557" t="inlineStr">
        <is>
          <t>avverkningsanmälan</t>
        </is>
      </c>
      <c r="C557" t="inlineStr">
        <is>
          <t>Föryngringsavverkning</t>
        </is>
      </c>
      <c r="D557" s="1" t="n">
        <v>46141</v>
      </c>
      <c r="E557" s="1" t="n">
        <v>46221</v>
      </c>
      <c r="F557" t="inlineStr">
        <is>
          <t>UPPSALA LÄN</t>
        </is>
      </c>
      <c r="G557" t="inlineStr">
        <is>
          <t>ÖSTHAMMAR</t>
        </is>
      </c>
      <c r="H557" t="inlineStr">
        <is>
          <t>Övriga Aktiebolag</t>
        </is>
      </c>
      <c r="I557" t="n">
        <v>3</v>
      </c>
      <c r="J557" t="n">
        <v>0</v>
      </c>
      <c r="K557" t="n">
        <v>0</v>
      </c>
      <c r="L557" t="n">
        <v>0</v>
      </c>
      <c r="M557" t="n">
        <v>0</v>
      </c>
      <c r="N557" t="n">
        <v>0</v>
      </c>
      <c r="O557" t="n">
        <v>0</v>
      </c>
      <c r="P557" t="n">
        <v>0</v>
      </c>
      <c r="Q557" t="n">
        <v>0</v>
      </c>
      <c r="R557" t="n">
        <v>0</v>
      </c>
      <c r="S557" t="n">
        <v>0</v>
      </c>
      <c r="T557" t="n">
        <v>0</v>
      </c>
      <c r="U557" s="2" t="inlineStr"/>
    </row>
    <row r="558" ht="15" customHeight="1">
      <c r="A558" t="inlineStr">
        <is>
          <t>A 7216-2025</t>
        </is>
      </c>
      <c r="B558" t="inlineStr">
        <is>
          <t>avverkningsanmälan</t>
        </is>
      </c>
      <c r="C558" t="inlineStr">
        <is>
          <t>Föryngringsavverkning</t>
        </is>
      </c>
      <c r="D558" s="1" t="n">
        <v>45702</v>
      </c>
      <c r="E558" s="1" t="n">
        <v>46221</v>
      </c>
      <c r="F558" t="inlineStr">
        <is>
          <t>UPPSALA LÄN</t>
        </is>
      </c>
      <c r="G558" t="inlineStr">
        <is>
          <t>ÖSTHAMMAR</t>
        </is>
      </c>
      <c r="H558" t="inlineStr">
        <is>
          <t>Övriga Aktiebolag</t>
        </is>
      </c>
      <c r="I558" t="n">
        <v>12.5</v>
      </c>
      <c r="J558" t="n">
        <v>0</v>
      </c>
      <c r="K558" t="n">
        <v>0</v>
      </c>
      <c r="L558" t="n">
        <v>0</v>
      </c>
      <c r="M558" t="n">
        <v>0</v>
      </c>
      <c r="N558" t="n">
        <v>0</v>
      </c>
      <c r="O558" t="n">
        <v>0</v>
      </c>
      <c r="P558" t="n">
        <v>0</v>
      </c>
      <c r="Q558" t="n">
        <v>0</v>
      </c>
      <c r="R558" t="n">
        <v>0</v>
      </c>
      <c r="S558" t="n">
        <v>0</v>
      </c>
      <c r="T558" t="n">
        <v>0</v>
      </c>
      <c r="U558" s="2" t="inlineStr"/>
    </row>
    <row r="559" ht="15" customHeight="1">
      <c r="A559" t="inlineStr">
        <is>
          <t>A 21448-2026</t>
        </is>
      </c>
      <c r="B559" t="inlineStr">
        <is>
          <t>avverkningsanmälan</t>
        </is>
      </c>
      <c r="C559" t="inlineStr">
        <is>
          <t>Föryngringsavverkning</t>
        </is>
      </c>
      <c r="D559" s="1" t="n">
        <v>46146</v>
      </c>
      <c r="E559" s="1" t="n">
        <v>46221</v>
      </c>
      <c r="F559" t="inlineStr">
        <is>
          <t>UPPSALA LÄN</t>
        </is>
      </c>
      <c r="G559" t="inlineStr">
        <is>
          <t>ÖSTHAMMAR</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31137-2022</t>
        </is>
      </c>
      <c r="B560" t="inlineStr">
        <is>
          <t>avverkningsanmälan</t>
        </is>
      </c>
      <c r="C560" t="inlineStr">
        <is>
          <t>Föryngringsavverkning</t>
        </is>
      </c>
      <c r="D560" s="1" t="n">
        <v>44770</v>
      </c>
      <c r="E560" s="1" t="n">
        <v>46221</v>
      </c>
      <c r="F560" t="inlineStr">
        <is>
          <t>UPPSALA LÄN</t>
        </is>
      </c>
      <c r="G560" t="inlineStr">
        <is>
          <t>ÖSTHAMMAR</t>
        </is>
      </c>
      <c r="H560" t="inlineStr">
        <is>
          <t>Bergvik skog öst AB</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44815-2022</t>
        </is>
      </c>
      <c r="B561" t="inlineStr">
        <is>
          <t>avverkningsanmälan</t>
        </is>
      </c>
      <c r="C561" t="inlineStr">
        <is>
          <t>Föryngringsavverkning</t>
        </is>
      </c>
      <c r="D561" s="1" t="n">
        <v>44841</v>
      </c>
      <c r="E561" s="1" t="n">
        <v>46221</v>
      </c>
      <c r="F561" t="inlineStr">
        <is>
          <t>UPPSALA LÄN</t>
        </is>
      </c>
      <c r="G561" t="inlineStr">
        <is>
          <t>ÖSTHAMMAR</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29753-2022</t>
        </is>
      </c>
      <c r="B562" t="inlineStr">
        <is>
          <t>avverkningsanmälan</t>
        </is>
      </c>
      <c r="C562" t="inlineStr">
        <is>
          <t>Föryngringsavverkning</t>
        </is>
      </c>
      <c r="D562" s="1" t="n">
        <v>44755</v>
      </c>
      <c r="E562" s="1" t="n">
        <v>46221</v>
      </c>
      <c r="F562" t="inlineStr">
        <is>
          <t>UPPSALA LÄN</t>
        </is>
      </c>
      <c r="G562" t="inlineStr">
        <is>
          <t>ÖSTHAMMAR</t>
        </is>
      </c>
      <c r="I562" t="n">
        <v>9.4</v>
      </c>
      <c r="J562" t="n">
        <v>0</v>
      </c>
      <c r="K562" t="n">
        <v>0</v>
      </c>
      <c r="L562" t="n">
        <v>0</v>
      </c>
      <c r="M562" t="n">
        <v>0</v>
      </c>
      <c r="N562" t="n">
        <v>0</v>
      </c>
      <c r="O562" t="n">
        <v>0</v>
      </c>
      <c r="P562" t="n">
        <v>0</v>
      </c>
      <c r="Q562" t="n">
        <v>0</v>
      </c>
      <c r="R562" t="n">
        <v>0</v>
      </c>
      <c r="S562" t="n">
        <v>0</v>
      </c>
      <c r="T562" t="n">
        <v>0</v>
      </c>
      <c r="U562" s="2" t="inlineStr"/>
    </row>
    <row r="563" ht="15" customHeight="1">
      <c r="A563" t="inlineStr">
        <is>
          <t>A 52629-2023</t>
        </is>
      </c>
      <c r="B563" t="inlineStr">
        <is>
          <t>avverkningsanmälan</t>
        </is>
      </c>
      <c r="C563" t="inlineStr">
        <is>
          <t>Föryngringsavverkning</t>
        </is>
      </c>
      <c r="D563" s="1" t="n">
        <v>45225</v>
      </c>
      <c r="E563" s="1" t="n">
        <v>46221</v>
      </c>
      <c r="F563" t="inlineStr">
        <is>
          <t>UPPSALA LÄN</t>
        </is>
      </c>
      <c r="G563" t="inlineStr">
        <is>
          <t>ÖSTHAMMAR</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21389-2026</t>
        </is>
      </c>
      <c r="B564" t="inlineStr">
        <is>
          <t>avverkningsanmälan</t>
        </is>
      </c>
      <c r="C564" t="inlineStr">
        <is>
          <t>Föryngringsavverkning</t>
        </is>
      </c>
      <c r="D564" s="1" t="n">
        <v>46147</v>
      </c>
      <c r="E564" s="1" t="n">
        <v>46221</v>
      </c>
      <c r="F564" t="inlineStr">
        <is>
          <t>UPPSALA LÄN</t>
        </is>
      </c>
      <c r="G564" t="inlineStr">
        <is>
          <t>ÖSTHAMMAR</t>
        </is>
      </c>
      <c r="I564" t="n">
        <v>3</v>
      </c>
      <c r="J564" t="n">
        <v>0</v>
      </c>
      <c r="K564" t="n">
        <v>0</v>
      </c>
      <c r="L564" t="n">
        <v>0</v>
      </c>
      <c r="M564" t="n">
        <v>0</v>
      </c>
      <c r="N564" t="n">
        <v>0</v>
      </c>
      <c r="O564" t="n">
        <v>0</v>
      </c>
      <c r="P564" t="n">
        <v>0</v>
      </c>
      <c r="Q564" t="n">
        <v>0</v>
      </c>
      <c r="R564" t="n">
        <v>0</v>
      </c>
      <c r="S564" t="n">
        <v>0</v>
      </c>
      <c r="T564" t="n">
        <v>0</v>
      </c>
      <c r="U564" s="2" t="inlineStr"/>
    </row>
    <row r="565" ht="15" customHeight="1">
      <c r="A565" t="inlineStr">
        <is>
          <t>A 9642-2024</t>
        </is>
      </c>
      <c r="B565" t="inlineStr">
        <is>
          <t>avverkningsanmälan</t>
        </is>
      </c>
      <c r="C565" t="inlineStr">
        <is>
          <t>Föryngringsavverkning</t>
        </is>
      </c>
      <c r="D565" s="1" t="n">
        <v>45362</v>
      </c>
      <c r="E565" s="1" t="n">
        <v>46221</v>
      </c>
      <c r="F565" t="inlineStr">
        <is>
          <t>UPPSALA LÄN</t>
        </is>
      </c>
      <c r="G565" t="inlineStr">
        <is>
          <t>ÖSTHAMMAR</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31549-2022</t>
        </is>
      </c>
      <c r="B566" t="inlineStr">
        <is>
          <t>avverkningsanmälan</t>
        </is>
      </c>
      <c r="C566" t="inlineStr">
        <is>
          <t>Föryngringsavverkning</t>
        </is>
      </c>
      <c r="D566" s="1" t="n">
        <v>44775</v>
      </c>
      <c r="E566" s="1" t="n">
        <v>46221</v>
      </c>
      <c r="F566" t="inlineStr">
        <is>
          <t>UPPSALA LÄN</t>
        </is>
      </c>
      <c r="G566" t="inlineStr">
        <is>
          <t>ÖSTHAMMAR</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47522-2023</t>
        </is>
      </c>
      <c r="B567" t="inlineStr">
        <is>
          <t>avverkningsanmälan</t>
        </is>
      </c>
      <c r="C567" t="inlineStr">
        <is>
          <t>Föryngringsavverkning</t>
        </is>
      </c>
      <c r="D567" s="1" t="n">
        <v>45203</v>
      </c>
      <c r="E567" s="1" t="n">
        <v>46221</v>
      </c>
      <c r="F567" t="inlineStr">
        <is>
          <t>UPPSALA LÄN</t>
        </is>
      </c>
      <c r="G567" t="inlineStr">
        <is>
          <t>ÖSTHAMMAR</t>
        </is>
      </c>
      <c r="H567" t="inlineStr">
        <is>
          <t>Bergvik skog öst AB</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13738-2023</t>
        </is>
      </c>
      <c r="B568" t="inlineStr">
        <is>
          <t>avverkningsanmälan</t>
        </is>
      </c>
      <c r="C568" t="inlineStr">
        <is>
          <t>Föryngringsavverkning</t>
        </is>
      </c>
      <c r="D568" s="1" t="n">
        <v>45007</v>
      </c>
      <c r="E568" s="1" t="n">
        <v>46221</v>
      </c>
      <c r="F568" t="inlineStr">
        <is>
          <t>UPPSALA LÄN</t>
        </is>
      </c>
      <c r="G568" t="inlineStr">
        <is>
          <t>ÖSTHAMMAR</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21360-2026</t>
        </is>
      </c>
      <c r="B569" t="inlineStr">
        <is>
          <t>avverkningsanmälan</t>
        </is>
      </c>
      <c r="C569" t="inlineStr">
        <is>
          <t>Föryngringsavverkning</t>
        </is>
      </c>
      <c r="D569" s="1" t="n">
        <v>46147</v>
      </c>
      <c r="E569" s="1" t="n">
        <v>46221</v>
      </c>
      <c r="F569" t="inlineStr">
        <is>
          <t>UPPSALA LÄN</t>
        </is>
      </c>
      <c r="G569" t="inlineStr">
        <is>
          <t>ÖSTHAMMAR</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34971-2022</t>
        </is>
      </c>
      <c r="B570" t="inlineStr">
        <is>
          <t>avverkningsanmälan</t>
        </is>
      </c>
      <c r="C570" t="inlineStr">
        <is>
          <t>Föryngringsavverkning</t>
        </is>
      </c>
      <c r="D570" s="1" t="n">
        <v>44796</v>
      </c>
      <c r="E570" s="1" t="n">
        <v>46221</v>
      </c>
      <c r="F570" t="inlineStr">
        <is>
          <t>UPPSALA LÄN</t>
        </is>
      </c>
      <c r="G570" t="inlineStr">
        <is>
          <t>ÖSTHAMMAR</t>
        </is>
      </c>
      <c r="H570" t="inlineStr">
        <is>
          <t>Bergvik skog öst AB</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55646-2021</t>
        </is>
      </c>
      <c r="B571" t="inlineStr">
        <is>
          <t>avverkningsanmälan</t>
        </is>
      </c>
      <c r="C571" t="inlineStr">
        <is>
          <t>Föryngringsavverkning</t>
        </is>
      </c>
      <c r="D571" s="1" t="n">
        <v>44476</v>
      </c>
      <c r="E571" s="1" t="n">
        <v>46221</v>
      </c>
      <c r="F571" t="inlineStr">
        <is>
          <t>UPPSALA LÄN</t>
        </is>
      </c>
      <c r="G571" t="inlineStr">
        <is>
          <t>ÖSTHAMMAR</t>
        </is>
      </c>
      <c r="H571" t="inlineStr">
        <is>
          <t>Bergvik skog öst AB</t>
        </is>
      </c>
      <c r="I571" t="n">
        <v>0.2</v>
      </c>
      <c r="J571" t="n">
        <v>0</v>
      </c>
      <c r="K571" t="n">
        <v>0</v>
      </c>
      <c r="L571" t="n">
        <v>0</v>
      </c>
      <c r="M571" t="n">
        <v>0</v>
      </c>
      <c r="N571" t="n">
        <v>0</v>
      </c>
      <c r="O571" t="n">
        <v>0</v>
      </c>
      <c r="P571" t="n">
        <v>0</v>
      </c>
      <c r="Q571" t="n">
        <v>0</v>
      </c>
      <c r="R571" t="n">
        <v>0</v>
      </c>
      <c r="S571" t="n">
        <v>0</v>
      </c>
      <c r="T571" t="n">
        <v>0</v>
      </c>
      <c r="U571" s="2" t="inlineStr"/>
    </row>
    <row r="572" ht="15" customHeight="1">
      <c r="A572" t="inlineStr">
        <is>
          <t>A 21765-2026</t>
        </is>
      </c>
      <c r="B572" t="inlineStr">
        <is>
          <t>avverkningsanmälan</t>
        </is>
      </c>
      <c r="C572" t="inlineStr">
        <is>
          <t>Föryngringsavverkning</t>
        </is>
      </c>
      <c r="D572" s="1" t="n">
        <v>46150</v>
      </c>
      <c r="E572" s="1" t="n">
        <v>46221</v>
      </c>
      <c r="F572" t="inlineStr">
        <is>
          <t>UPPSALA LÄN</t>
        </is>
      </c>
      <c r="G572" t="inlineStr">
        <is>
          <t>ÖSTHAMMAR</t>
        </is>
      </c>
      <c r="H572" t="inlineStr">
        <is>
          <t>Övriga Aktiebolag</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20038-2023</t>
        </is>
      </c>
      <c r="B573" t="inlineStr">
        <is>
          <t>avverkningsanmälan</t>
        </is>
      </c>
      <c r="C573" t="inlineStr">
        <is>
          <t>Föryngringsavverkning</t>
        </is>
      </c>
      <c r="D573" s="1" t="n">
        <v>45054</v>
      </c>
      <c r="E573" s="1" t="n">
        <v>46221</v>
      </c>
      <c r="F573" t="inlineStr">
        <is>
          <t>UPPSALA LÄN</t>
        </is>
      </c>
      <c r="G573" t="inlineStr">
        <is>
          <t>ÖSTHAMMAR</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6121-2024</t>
        </is>
      </c>
      <c r="B574" t="inlineStr">
        <is>
          <t>avverkningsanmälan</t>
        </is>
      </c>
      <c r="C574" t="inlineStr">
        <is>
          <t>Föryngringsavverkning</t>
        </is>
      </c>
      <c r="D574" s="1" t="n">
        <v>45337</v>
      </c>
      <c r="E574" s="1" t="n">
        <v>46221</v>
      </c>
      <c r="F574" t="inlineStr">
        <is>
          <t>UPPSALA LÄN</t>
        </is>
      </c>
      <c r="G574" t="inlineStr">
        <is>
          <t>ÖSTHAMMAR</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60555-2023</t>
        </is>
      </c>
      <c r="B575" t="inlineStr">
        <is>
          <t>avverkningsanmälan</t>
        </is>
      </c>
      <c r="C575" t="inlineStr">
        <is>
          <t>Föryngringsavverkning</t>
        </is>
      </c>
      <c r="D575" s="1" t="n">
        <v>45259</v>
      </c>
      <c r="E575" s="1" t="n">
        <v>46221</v>
      </c>
      <c r="F575" t="inlineStr">
        <is>
          <t>UPPSALA LÄN</t>
        </is>
      </c>
      <c r="G575" t="inlineStr">
        <is>
          <t>ÖSTHAMMAR</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22059-2026</t>
        </is>
      </c>
      <c r="B576" t="inlineStr">
        <is>
          <t>avverkningsanmälan</t>
        </is>
      </c>
      <c r="C576" t="inlineStr">
        <is>
          <t>Föryngringsavverkning</t>
        </is>
      </c>
      <c r="D576" s="1" t="n">
        <v>46153</v>
      </c>
      <c r="E576" s="1" t="n">
        <v>46221</v>
      </c>
      <c r="F576" t="inlineStr">
        <is>
          <t>UPPSALA LÄN</t>
        </is>
      </c>
      <c r="G576" t="inlineStr">
        <is>
          <t>ÖSTHAMMAR</t>
        </is>
      </c>
      <c r="I576" t="n">
        <v>7.5</v>
      </c>
      <c r="J576" t="n">
        <v>0</v>
      </c>
      <c r="K576" t="n">
        <v>0</v>
      </c>
      <c r="L576" t="n">
        <v>0</v>
      </c>
      <c r="M576" t="n">
        <v>0</v>
      </c>
      <c r="N576" t="n">
        <v>0</v>
      </c>
      <c r="O576" t="n">
        <v>0</v>
      </c>
      <c r="P576" t="n">
        <v>0</v>
      </c>
      <c r="Q576" t="n">
        <v>0</v>
      </c>
      <c r="R576" t="n">
        <v>0</v>
      </c>
      <c r="S576" t="n">
        <v>0</v>
      </c>
      <c r="T576" t="n">
        <v>0</v>
      </c>
      <c r="U576" s="2" t="inlineStr"/>
    </row>
    <row r="577" ht="15" customHeight="1">
      <c r="A577" t="inlineStr">
        <is>
          <t>A 27958-2026</t>
        </is>
      </c>
      <c r="B577" t="inlineStr">
        <is>
          <t>avverkningsanmälan</t>
        </is>
      </c>
      <c r="C577" t="inlineStr">
        <is>
          <t>Föryngringsavverkning</t>
        </is>
      </c>
      <c r="D577" s="1" t="n">
        <v>46194</v>
      </c>
      <c r="E577" s="1" t="n">
        <v>46221</v>
      </c>
      <c r="F577" t="inlineStr">
        <is>
          <t>UPPSALA LÄN</t>
        </is>
      </c>
      <c r="G577" t="inlineStr">
        <is>
          <t>ÖSTHAMMAR</t>
        </is>
      </c>
      <c r="H577" t="inlineStr">
        <is>
          <t>Bergvik skog öst AB</t>
        </is>
      </c>
      <c r="I577" t="n">
        <v>2.9</v>
      </c>
      <c r="J577" t="n">
        <v>0</v>
      </c>
      <c r="K577" t="n">
        <v>0</v>
      </c>
      <c r="L577" t="n">
        <v>0</v>
      </c>
      <c r="M577" t="n">
        <v>0</v>
      </c>
      <c r="N577" t="n">
        <v>0</v>
      </c>
      <c r="O577" t="n">
        <v>0</v>
      </c>
      <c r="P577" t="n">
        <v>0</v>
      </c>
      <c r="Q577" t="n">
        <v>0</v>
      </c>
      <c r="R577" t="n">
        <v>0</v>
      </c>
      <c r="S577" t="n">
        <v>0</v>
      </c>
      <c r="T577" t="n">
        <v>0</v>
      </c>
      <c r="U577" s="2" t="inlineStr"/>
    </row>
    <row r="578" ht="15" customHeight="1">
      <c r="A578" t="inlineStr">
        <is>
          <t>A 60584-2021</t>
        </is>
      </c>
      <c r="B578" t="inlineStr">
        <is>
          <t>avverkningsanmälan</t>
        </is>
      </c>
      <c r="C578" t="inlineStr">
        <is>
          <t>Föryngringsavverkning</t>
        </is>
      </c>
      <c r="D578" s="1" t="n">
        <v>44496</v>
      </c>
      <c r="E578" s="1" t="n">
        <v>46221</v>
      </c>
      <c r="F578" t="inlineStr">
        <is>
          <t>UPPSALA LÄN</t>
        </is>
      </c>
      <c r="G578" t="inlineStr">
        <is>
          <t>ÖSTHAMMAR</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22241-2026</t>
        </is>
      </c>
      <c r="B579" t="inlineStr">
        <is>
          <t>avverkningsanmälan</t>
        </is>
      </c>
      <c r="C579" t="inlineStr">
        <is>
          <t>Föryngringsavverkning</t>
        </is>
      </c>
      <c r="D579" s="1" t="n">
        <v>46154</v>
      </c>
      <c r="E579" s="1" t="n">
        <v>46221</v>
      </c>
      <c r="F579" t="inlineStr">
        <is>
          <t>UPPSALA LÄN</t>
        </is>
      </c>
      <c r="G579" t="inlineStr">
        <is>
          <t>ÖSTHAMMAR</t>
        </is>
      </c>
      <c r="H579" t="inlineStr">
        <is>
          <t>Övriga Aktiebolag</t>
        </is>
      </c>
      <c r="I579" t="n">
        <v>14.6</v>
      </c>
      <c r="J579" t="n">
        <v>0</v>
      </c>
      <c r="K579" t="n">
        <v>0</v>
      </c>
      <c r="L579" t="n">
        <v>0</v>
      </c>
      <c r="M579" t="n">
        <v>0</v>
      </c>
      <c r="N579" t="n">
        <v>0</v>
      </c>
      <c r="O579" t="n">
        <v>0</v>
      </c>
      <c r="P579" t="n">
        <v>0</v>
      </c>
      <c r="Q579" t="n">
        <v>0</v>
      </c>
      <c r="R579" t="n">
        <v>0</v>
      </c>
      <c r="S579" t="n">
        <v>0</v>
      </c>
      <c r="T579" t="n">
        <v>0</v>
      </c>
      <c r="U579" s="2" t="inlineStr"/>
    </row>
    <row r="580" ht="15" customHeight="1">
      <c r="A580" t="inlineStr">
        <is>
          <t>A 48719-2023</t>
        </is>
      </c>
      <c r="B580" t="inlineStr">
        <is>
          <t>avverkningsanmälan</t>
        </is>
      </c>
      <c r="C580" t="inlineStr">
        <is>
          <t>Föryngringsavverkning</t>
        </is>
      </c>
      <c r="D580" s="1" t="n">
        <v>45208</v>
      </c>
      <c r="E580" s="1" t="n">
        <v>46221</v>
      </c>
      <c r="F580" t="inlineStr">
        <is>
          <t>UPPSALA LÄN</t>
        </is>
      </c>
      <c r="G580" t="inlineStr">
        <is>
          <t>ÖSTHAMMAR</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28021-2026</t>
        </is>
      </c>
      <c r="B581" t="inlineStr">
        <is>
          <t>avverkningsanmälan</t>
        </is>
      </c>
      <c r="C581" t="inlineStr">
        <is>
          <t>Föryngringsavverkning</t>
        </is>
      </c>
      <c r="D581" s="1" t="n">
        <v>46195</v>
      </c>
      <c r="E581" s="1" t="n">
        <v>46221</v>
      </c>
      <c r="F581" t="inlineStr">
        <is>
          <t>UPPSALA LÄN</t>
        </is>
      </c>
      <c r="G581" t="inlineStr">
        <is>
          <t>ÖSTHAMMAR</t>
        </is>
      </c>
      <c r="H581" t="inlineStr">
        <is>
          <t>Bergvik skog öst AB</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33601-2024</t>
        </is>
      </c>
      <c r="B582" t="inlineStr">
        <is>
          <t>avverkningsanmälan</t>
        </is>
      </c>
      <c r="C582" t="inlineStr">
        <is>
          <t>Föryngringsavverkning</t>
        </is>
      </c>
      <c r="D582" s="1" t="n">
        <v>45520</v>
      </c>
      <c r="E582" s="1" t="n">
        <v>46221</v>
      </c>
      <c r="F582" t="inlineStr">
        <is>
          <t>UPPSALA LÄN</t>
        </is>
      </c>
      <c r="G582" t="inlineStr">
        <is>
          <t>ÖSTHAMMAR</t>
        </is>
      </c>
      <c r="H582" t="inlineStr">
        <is>
          <t>Övriga Aktiebolag</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28385-2026</t>
        </is>
      </c>
      <c r="B583" t="inlineStr">
        <is>
          <t>avverkningsanmälan</t>
        </is>
      </c>
      <c r="C583" t="inlineStr">
        <is>
          <t>Föryngringsavverkning</t>
        </is>
      </c>
      <c r="D583" s="1" t="n">
        <v>46196</v>
      </c>
      <c r="E583" s="1" t="n">
        <v>46221</v>
      </c>
      <c r="F583" t="inlineStr">
        <is>
          <t>UPPSALA LÄN</t>
        </is>
      </c>
      <c r="G583" t="inlineStr">
        <is>
          <t>ÖSTHAMMAR</t>
        </is>
      </c>
      <c r="H583" t="inlineStr">
        <is>
          <t>Bergvik skog öst AB</t>
        </is>
      </c>
      <c r="I583" t="n">
        <v>18.6</v>
      </c>
      <c r="J583" t="n">
        <v>0</v>
      </c>
      <c r="K583" t="n">
        <v>0</v>
      </c>
      <c r="L583" t="n">
        <v>0</v>
      </c>
      <c r="M583" t="n">
        <v>0</v>
      </c>
      <c r="N583" t="n">
        <v>0</v>
      </c>
      <c r="O583" t="n">
        <v>0</v>
      </c>
      <c r="P583" t="n">
        <v>0</v>
      </c>
      <c r="Q583" t="n">
        <v>0</v>
      </c>
      <c r="R583" t="n">
        <v>0</v>
      </c>
      <c r="S583" t="n">
        <v>0</v>
      </c>
      <c r="T583" t="n">
        <v>0</v>
      </c>
      <c r="U583" s="2" t="inlineStr"/>
    </row>
    <row r="584" ht="15" customHeight="1">
      <c r="A584" t="inlineStr">
        <is>
          <t>A 30755-2024</t>
        </is>
      </c>
      <c r="B584" t="inlineStr">
        <is>
          <t>avverkningsanmälan</t>
        </is>
      </c>
      <c r="C584" t="inlineStr">
        <is>
          <t>Föryngringsavverkning</t>
        </is>
      </c>
      <c r="D584" s="1" t="n">
        <v>45496</v>
      </c>
      <c r="E584" s="1" t="n">
        <v>46221</v>
      </c>
      <c r="F584" t="inlineStr">
        <is>
          <t>UPPSALA LÄN</t>
        </is>
      </c>
      <c r="G584" t="inlineStr">
        <is>
          <t>ÖSTHAMMAR</t>
        </is>
      </c>
      <c r="H584" t="inlineStr">
        <is>
          <t>Bergvik skog öst AB</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22641-2026</t>
        </is>
      </c>
      <c r="B585" t="inlineStr">
        <is>
          <t>avverkningsanmälan</t>
        </is>
      </c>
      <c r="C585" t="inlineStr">
        <is>
          <t>Föryngringsavverkning</t>
        </is>
      </c>
      <c r="D585" s="1" t="n">
        <v>46155</v>
      </c>
      <c r="E585" s="1" t="n">
        <v>46221</v>
      </c>
      <c r="F585" t="inlineStr">
        <is>
          <t>UPPSALA LÄN</t>
        </is>
      </c>
      <c r="G585" t="inlineStr">
        <is>
          <t>ÖSTHAMMAR</t>
        </is>
      </c>
      <c r="I585" t="n">
        <v>6.3</v>
      </c>
      <c r="J585" t="n">
        <v>0</v>
      </c>
      <c r="K585" t="n">
        <v>0</v>
      </c>
      <c r="L585" t="n">
        <v>0</v>
      </c>
      <c r="M585" t="n">
        <v>0</v>
      </c>
      <c r="N585" t="n">
        <v>0</v>
      </c>
      <c r="O585" t="n">
        <v>0</v>
      </c>
      <c r="P585" t="n">
        <v>0</v>
      </c>
      <c r="Q585" t="n">
        <v>0</v>
      </c>
      <c r="R585" t="n">
        <v>0</v>
      </c>
      <c r="S585" t="n">
        <v>0</v>
      </c>
      <c r="T585" t="n">
        <v>0</v>
      </c>
      <c r="U585" s="2" t="inlineStr"/>
    </row>
    <row r="586" ht="15" customHeight="1">
      <c r="A586" t="inlineStr">
        <is>
          <t>A 33760-2024</t>
        </is>
      </c>
      <c r="B586" t="inlineStr">
        <is>
          <t>avverkningsanmälan</t>
        </is>
      </c>
      <c r="C586" t="inlineStr">
        <is>
          <t>Föryngringsavverkning</t>
        </is>
      </c>
      <c r="D586" s="1" t="n">
        <v>45520</v>
      </c>
      <c r="E586" s="1" t="n">
        <v>46221</v>
      </c>
      <c r="F586" t="inlineStr">
        <is>
          <t>UPPSALA LÄN</t>
        </is>
      </c>
      <c r="G586" t="inlineStr">
        <is>
          <t>ÖSTHAMMAR</t>
        </is>
      </c>
      <c r="H586" t="inlineStr">
        <is>
          <t>Övriga Aktiebolag</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3725-2022</t>
        </is>
      </c>
      <c r="B587" t="inlineStr">
        <is>
          <t>avverkningsanmälan</t>
        </is>
      </c>
      <c r="C587" t="inlineStr">
        <is>
          <t>Avverkning för annat ändamål</t>
        </is>
      </c>
      <c r="D587" s="1" t="n">
        <v>44586</v>
      </c>
      <c r="E587" s="1" t="n">
        <v>46221</v>
      </c>
      <c r="F587" t="inlineStr">
        <is>
          <t>UPPSALA LÄN</t>
        </is>
      </c>
      <c r="G587" t="inlineStr">
        <is>
          <t>ÖSTHAMMAR</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8006-2023</t>
        </is>
      </c>
      <c r="B588" t="inlineStr">
        <is>
          <t>avverkningsanmälan</t>
        </is>
      </c>
      <c r="C588" t="inlineStr">
        <is>
          <t>Föryngringsavverkning</t>
        </is>
      </c>
      <c r="D588" s="1" t="n">
        <v>44973</v>
      </c>
      <c r="E588" s="1" t="n">
        <v>46221</v>
      </c>
      <c r="F588" t="inlineStr">
        <is>
          <t>UPPSALA LÄN</t>
        </is>
      </c>
      <c r="G588" t="inlineStr">
        <is>
          <t>ÖSTHAMMAR</t>
        </is>
      </c>
      <c r="H588" t="inlineStr">
        <is>
          <t>Bergvik skog öst AB</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22567-2026</t>
        </is>
      </c>
      <c r="B589" t="inlineStr">
        <is>
          <t>avverkningsanmälan</t>
        </is>
      </c>
      <c r="C589" t="inlineStr">
        <is>
          <t>Föryngringsavverkning</t>
        </is>
      </c>
      <c r="D589" s="1" t="n">
        <v>46155</v>
      </c>
      <c r="E589" s="1" t="n">
        <v>46221</v>
      </c>
      <c r="F589" t="inlineStr">
        <is>
          <t>UPPSALA LÄN</t>
        </is>
      </c>
      <c r="G589" t="inlineStr">
        <is>
          <t>ÖSTHAMMAR</t>
        </is>
      </c>
      <c r="H589" t="inlineStr">
        <is>
          <t>Bergvik skog öst AB</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11469-2023</t>
        </is>
      </c>
      <c r="B590" t="inlineStr">
        <is>
          <t>avverkningsanmälan</t>
        </is>
      </c>
      <c r="C590" t="inlineStr">
        <is>
          <t>Föryngringsavverkning</t>
        </is>
      </c>
      <c r="D590" s="1" t="n">
        <v>44993</v>
      </c>
      <c r="E590" s="1" t="n">
        <v>46221</v>
      </c>
      <c r="F590" t="inlineStr">
        <is>
          <t>UPPSALA LÄN</t>
        </is>
      </c>
      <c r="G590" t="inlineStr">
        <is>
          <t>ÖSTHAMMAR</t>
        </is>
      </c>
      <c r="H590" t="inlineStr">
        <is>
          <t>Bergvik skog öst AB</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22709-2026</t>
        </is>
      </c>
      <c r="B591" t="inlineStr">
        <is>
          <t>avverkningsanmälan</t>
        </is>
      </c>
      <c r="C591" t="inlineStr">
        <is>
          <t>Föryngringsavverkning</t>
        </is>
      </c>
      <c r="D591" s="1" t="n">
        <v>46156</v>
      </c>
      <c r="E591" s="1" t="n">
        <v>46221</v>
      </c>
      <c r="F591" t="inlineStr">
        <is>
          <t>UPPSALA LÄN</t>
        </is>
      </c>
      <c r="G591" t="inlineStr">
        <is>
          <t>ÖSTHAMMAR</t>
        </is>
      </c>
      <c r="H591" t="inlineStr">
        <is>
          <t>Övriga Aktiebolag</t>
        </is>
      </c>
      <c r="I591" t="n">
        <v>15.5</v>
      </c>
      <c r="J591" t="n">
        <v>0</v>
      </c>
      <c r="K591" t="n">
        <v>0</v>
      </c>
      <c r="L591" t="n">
        <v>0</v>
      </c>
      <c r="M591" t="n">
        <v>0</v>
      </c>
      <c r="N591" t="n">
        <v>0</v>
      </c>
      <c r="O591" t="n">
        <v>0</v>
      </c>
      <c r="P591" t="n">
        <v>0</v>
      </c>
      <c r="Q591" t="n">
        <v>0</v>
      </c>
      <c r="R591" t="n">
        <v>0</v>
      </c>
      <c r="S591" t="n">
        <v>0</v>
      </c>
      <c r="T591" t="n">
        <v>0</v>
      </c>
      <c r="U591" s="2" t="inlineStr"/>
    </row>
    <row r="592" ht="15" customHeight="1">
      <c r="A592" t="inlineStr">
        <is>
          <t>A 22640-2026</t>
        </is>
      </c>
      <c r="B592" t="inlineStr">
        <is>
          <t>avverkningsanmälan</t>
        </is>
      </c>
      <c r="C592" t="inlineStr">
        <is>
          <t>Föryngringsavverkning</t>
        </is>
      </c>
      <c r="D592" s="1" t="n">
        <v>46155</v>
      </c>
      <c r="E592" s="1" t="n">
        <v>46221</v>
      </c>
      <c r="F592" t="inlineStr">
        <is>
          <t>UPPSALA LÄN</t>
        </is>
      </c>
      <c r="G592" t="inlineStr">
        <is>
          <t>ÖSTHAMMAR</t>
        </is>
      </c>
      <c r="H592" t="inlineStr">
        <is>
          <t>Bergvik skog öst AB</t>
        </is>
      </c>
      <c r="I592" t="n">
        <v>19.4</v>
      </c>
      <c r="J592" t="n">
        <v>0</v>
      </c>
      <c r="K592" t="n">
        <v>0</v>
      </c>
      <c r="L592" t="n">
        <v>0</v>
      </c>
      <c r="M592" t="n">
        <v>0</v>
      </c>
      <c r="N592" t="n">
        <v>0</v>
      </c>
      <c r="O592" t="n">
        <v>0</v>
      </c>
      <c r="P592" t="n">
        <v>0</v>
      </c>
      <c r="Q592" t="n">
        <v>0</v>
      </c>
      <c r="R592" t="n">
        <v>0</v>
      </c>
      <c r="S592" t="n">
        <v>0</v>
      </c>
      <c r="T592" t="n">
        <v>0</v>
      </c>
      <c r="U592" s="2" t="inlineStr"/>
    </row>
    <row r="593" ht="15" customHeight="1">
      <c r="A593" t="inlineStr">
        <is>
          <t>A 18113-2023</t>
        </is>
      </c>
      <c r="B593" t="inlineStr">
        <is>
          <t>avverkningsanmälan</t>
        </is>
      </c>
      <c r="C593" t="inlineStr">
        <is>
          <t>Föryngringsavverkning</t>
        </is>
      </c>
      <c r="D593" s="1" t="n">
        <v>45040</v>
      </c>
      <c r="E593" s="1" t="n">
        <v>46221</v>
      </c>
      <c r="F593" t="inlineStr">
        <is>
          <t>UPPSALA LÄN</t>
        </is>
      </c>
      <c r="G593" t="inlineStr">
        <is>
          <t>ÖSTHAMMAR</t>
        </is>
      </c>
      <c r="I593" t="n">
        <v>2.1</v>
      </c>
      <c r="J593" t="n">
        <v>0</v>
      </c>
      <c r="K593" t="n">
        <v>0</v>
      </c>
      <c r="L593" t="n">
        <v>0</v>
      </c>
      <c r="M593" t="n">
        <v>0</v>
      </c>
      <c r="N593" t="n">
        <v>0</v>
      </c>
      <c r="O593" t="n">
        <v>0</v>
      </c>
      <c r="P593" t="n">
        <v>0</v>
      </c>
      <c r="Q593" t="n">
        <v>0</v>
      </c>
      <c r="R593" t="n">
        <v>0</v>
      </c>
      <c r="S593" t="n">
        <v>0</v>
      </c>
      <c r="T593" t="n">
        <v>0</v>
      </c>
      <c r="U593" s="2" t="inlineStr"/>
    </row>
    <row r="594" ht="15" customHeight="1">
      <c r="A594" t="inlineStr">
        <is>
          <t>A 22642-2026</t>
        </is>
      </c>
      <c r="B594" t="inlineStr">
        <is>
          <t>avverkningsanmälan</t>
        </is>
      </c>
      <c r="C594" t="inlineStr">
        <is>
          <t>Föryngringsavverkning</t>
        </is>
      </c>
      <c r="D594" s="1" t="n">
        <v>46155</v>
      </c>
      <c r="E594" s="1" t="n">
        <v>46221</v>
      </c>
      <c r="F594" t="inlineStr">
        <is>
          <t>UPPSALA LÄN</t>
        </is>
      </c>
      <c r="G594" t="inlineStr">
        <is>
          <t>ÖSTHAMMAR</t>
        </is>
      </c>
      <c r="H594" t="inlineStr">
        <is>
          <t>Bergvik skog öst AB</t>
        </is>
      </c>
      <c r="I594" t="n">
        <v>10</v>
      </c>
      <c r="J594" t="n">
        <v>0</v>
      </c>
      <c r="K594" t="n">
        <v>0</v>
      </c>
      <c r="L594" t="n">
        <v>0</v>
      </c>
      <c r="M594" t="n">
        <v>0</v>
      </c>
      <c r="N594" t="n">
        <v>0</v>
      </c>
      <c r="O594" t="n">
        <v>0</v>
      </c>
      <c r="P594" t="n">
        <v>0</v>
      </c>
      <c r="Q594" t="n">
        <v>0</v>
      </c>
      <c r="R594" t="n">
        <v>0</v>
      </c>
      <c r="S594" t="n">
        <v>0</v>
      </c>
      <c r="T594" t="n">
        <v>0</v>
      </c>
      <c r="U594" s="2" t="inlineStr"/>
    </row>
    <row r="595" ht="15" customHeight="1">
      <c r="A595" t="inlineStr">
        <is>
          <t>A 52389-2022</t>
        </is>
      </c>
      <c r="B595" t="inlineStr">
        <is>
          <t>avverkningsanmälan</t>
        </is>
      </c>
      <c r="C595" t="inlineStr">
        <is>
          <t>Föryngringsavverkning</t>
        </is>
      </c>
      <c r="D595" s="1" t="n">
        <v>44874</v>
      </c>
      <c r="E595" s="1" t="n">
        <v>46221</v>
      </c>
      <c r="F595" t="inlineStr">
        <is>
          <t>UPPSALA LÄN</t>
        </is>
      </c>
      <c r="G595" t="inlineStr">
        <is>
          <t>ÖSTHAMMAR</t>
        </is>
      </c>
      <c r="I595" t="n">
        <v>3.1</v>
      </c>
      <c r="J595" t="n">
        <v>0</v>
      </c>
      <c r="K595" t="n">
        <v>0</v>
      </c>
      <c r="L595" t="n">
        <v>0</v>
      </c>
      <c r="M595" t="n">
        <v>0</v>
      </c>
      <c r="N595" t="n">
        <v>0</v>
      </c>
      <c r="O595" t="n">
        <v>0</v>
      </c>
      <c r="P595" t="n">
        <v>0</v>
      </c>
      <c r="Q595" t="n">
        <v>0</v>
      </c>
      <c r="R595" t="n">
        <v>0</v>
      </c>
      <c r="S595" t="n">
        <v>0</v>
      </c>
      <c r="T595" t="n">
        <v>0</v>
      </c>
      <c r="U595" s="2" t="inlineStr"/>
    </row>
    <row r="596" ht="15" customHeight="1">
      <c r="A596" t="inlineStr">
        <is>
          <t>A 1238-2022</t>
        </is>
      </c>
      <c r="B596" t="inlineStr">
        <is>
          <t>avverkningsanmälan</t>
        </is>
      </c>
      <c r="C596" t="inlineStr">
        <is>
          <t>Föryngringsavverkning</t>
        </is>
      </c>
      <c r="D596" s="1" t="n">
        <v>44572</v>
      </c>
      <c r="E596" s="1" t="n">
        <v>46221</v>
      </c>
      <c r="F596" t="inlineStr">
        <is>
          <t>UPPSALA LÄN</t>
        </is>
      </c>
      <c r="G596" t="inlineStr">
        <is>
          <t>ÖSTHAMMAR</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3327-2023</t>
        </is>
      </c>
      <c r="B597" t="inlineStr">
        <is>
          <t>avverkningsanmälan</t>
        </is>
      </c>
      <c r="C597" t="inlineStr">
        <is>
          <t>Föryngringsavverkning</t>
        </is>
      </c>
      <c r="D597" s="1" t="n">
        <v>44949</v>
      </c>
      <c r="E597" s="1" t="n">
        <v>46221</v>
      </c>
      <c r="F597" t="inlineStr">
        <is>
          <t>UPPSALA LÄN</t>
        </is>
      </c>
      <c r="G597" t="inlineStr">
        <is>
          <t>ÖSTHAMMAR</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4233-2023</t>
        </is>
      </c>
      <c r="B598" t="inlineStr">
        <is>
          <t>avverkningsanmälan</t>
        </is>
      </c>
      <c r="C598" t="inlineStr">
        <is>
          <t>Föryngringsavverkning</t>
        </is>
      </c>
      <c r="D598" s="1" t="n">
        <v>44953</v>
      </c>
      <c r="E598" s="1" t="n">
        <v>46221</v>
      </c>
      <c r="F598" t="inlineStr">
        <is>
          <t>UPPSALA LÄN</t>
        </is>
      </c>
      <c r="G598" t="inlineStr">
        <is>
          <t>ÖSTHAMMAR</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29106-2026</t>
        </is>
      </c>
      <c r="B599" t="inlineStr">
        <is>
          <t>avverkningsanmälan</t>
        </is>
      </c>
      <c r="C599" t="inlineStr">
        <is>
          <t>Föryngringsavverkning</t>
        </is>
      </c>
      <c r="D599" s="1" t="n">
        <v>46200</v>
      </c>
      <c r="E599" s="1" t="n">
        <v>46221</v>
      </c>
      <c r="F599" t="inlineStr">
        <is>
          <t>UPPSALA LÄN</t>
        </is>
      </c>
      <c r="G599" t="inlineStr">
        <is>
          <t>ÖSTHAMMAR</t>
        </is>
      </c>
      <c r="H599" t="inlineStr">
        <is>
          <t>Bergvik skog öst AB</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29100-2026</t>
        </is>
      </c>
      <c r="B600" t="inlineStr">
        <is>
          <t>avverkningsanmälan</t>
        </is>
      </c>
      <c r="C600" t="inlineStr">
        <is>
          <t>Föryngringsavverkning</t>
        </is>
      </c>
      <c r="D600" s="1" t="n">
        <v>46200</v>
      </c>
      <c r="E600" s="1" t="n">
        <v>46221</v>
      </c>
      <c r="F600" t="inlineStr">
        <is>
          <t>UPPSALA LÄN</t>
        </is>
      </c>
      <c r="G600" t="inlineStr">
        <is>
          <t>ÖSTHAMMAR</t>
        </is>
      </c>
      <c r="H600" t="inlineStr">
        <is>
          <t>Bergvik skog öst AB</t>
        </is>
      </c>
      <c r="I600" t="n">
        <v>7</v>
      </c>
      <c r="J600" t="n">
        <v>0</v>
      </c>
      <c r="K600" t="n">
        <v>0</v>
      </c>
      <c r="L600" t="n">
        <v>0</v>
      </c>
      <c r="M600" t="n">
        <v>0</v>
      </c>
      <c r="N600" t="n">
        <v>0</v>
      </c>
      <c r="O600" t="n">
        <v>0</v>
      </c>
      <c r="P600" t="n">
        <v>0</v>
      </c>
      <c r="Q600" t="n">
        <v>0</v>
      </c>
      <c r="R600" t="n">
        <v>0</v>
      </c>
      <c r="S600" t="n">
        <v>0</v>
      </c>
      <c r="T600" t="n">
        <v>0</v>
      </c>
      <c r="U600" s="2" t="inlineStr"/>
    </row>
    <row r="601" ht="15" customHeight="1">
      <c r="A601" t="inlineStr">
        <is>
          <t>A 30811-2023</t>
        </is>
      </c>
      <c r="B601" t="inlineStr">
        <is>
          <t>avverkningsanmälan</t>
        </is>
      </c>
      <c r="C601" t="inlineStr">
        <is>
          <t>Föryngringsavverkning</t>
        </is>
      </c>
      <c r="D601" s="1" t="n">
        <v>45112</v>
      </c>
      <c r="E601" s="1" t="n">
        <v>46221</v>
      </c>
      <c r="F601" t="inlineStr">
        <is>
          <t>UPPSALA LÄN</t>
        </is>
      </c>
      <c r="G601" t="inlineStr">
        <is>
          <t>ÖSTHAMMAR</t>
        </is>
      </c>
      <c r="H601" t="inlineStr">
        <is>
          <t>Bergvik skog öst AB</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26557-2022</t>
        </is>
      </c>
      <c r="B602" t="inlineStr">
        <is>
          <t>avverkningsanmälan</t>
        </is>
      </c>
      <c r="C602" t="inlineStr">
        <is>
          <t>Föryngringsavverkning</t>
        </is>
      </c>
      <c r="D602" s="1" t="n">
        <v>44739</v>
      </c>
      <c r="E602" s="1" t="n">
        <v>46221</v>
      </c>
      <c r="F602" t="inlineStr">
        <is>
          <t>UPPSALA LÄN</t>
        </is>
      </c>
      <c r="G602" t="inlineStr">
        <is>
          <t>ÖSTHAMMAR</t>
        </is>
      </c>
      <c r="H602" t="inlineStr">
        <is>
          <t>Övriga statliga verk och myndigheter</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28949-2026</t>
        </is>
      </c>
      <c r="B603" t="inlineStr">
        <is>
          <t>avverkningsanmälan</t>
        </is>
      </c>
      <c r="C603" t="inlineStr">
        <is>
          <t>Föryngringsavverkning</t>
        </is>
      </c>
      <c r="D603" s="1" t="n">
        <v>46199</v>
      </c>
      <c r="E603" s="1" t="n">
        <v>46221</v>
      </c>
      <c r="F603" t="inlineStr">
        <is>
          <t>UPPSALA LÄN</t>
        </is>
      </c>
      <c r="G603" t="inlineStr">
        <is>
          <t>ÖSTHAMMAR</t>
        </is>
      </c>
      <c r="H603" t="inlineStr">
        <is>
          <t>Naturvårdsverket</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8708-2022</t>
        </is>
      </c>
      <c r="B604" t="inlineStr">
        <is>
          <t>avverkningsanmälan</t>
        </is>
      </c>
      <c r="C604" t="inlineStr">
        <is>
          <t>Föryngringsavverkning</t>
        </is>
      </c>
      <c r="D604" s="1" t="n">
        <v>44613</v>
      </c>
      <c r="E604" s="1" t="n">
        <v>46221</v>
      </c>
      <c r="F604" t="inlineStr">
        <is>
          <t>UPPSALA LÄN</t>
        </is>
      </c>
      <c r="G604" t="inlineStr">
        <is>
          <t>ÖSTHAMMAR</t>
        </is>
      </c>
      <c r="I604" t="n">
        <v>4.3</v>
      </c>
      <c r="J604" t="n">
        <v>0</v>
      </c>
      <c r="K604" t="n">
        <v>0</v>
      </c>
      <c r="L604" t="n">
        <v>0</v>
      </c>
      <c r="M604" t="n">
        <v>0</v>
      </c>
      <c r="N604" t="n">
        <v>0</v>
      </c>
      <c r="O604" t="n">
        <v>0</v>
      </c>
      <c r="P604" t="n">
        <v>0</v>
      </c>
      <c r="Q604" t="n">
        <v>0</v>
      </c>
      <c r="R604" t="n">
        <v>0</v>
      </c>
      <c r="S604" t="n">
        <v>0</v>
      </c>
      <c r="T604" t="n">
        <v>0</v>
      </c>
      <c r="U604" s="2" t="inlineStr"/>
    </row>
    <row r="605" ht="15" customHeight="1">
      <c r="A605" t="inlineStr">
        <is>
          <t>A 28973-2026</t>
        </is>
      </c>
      <c r="B605" t="inlineStr">
        <is>
          <t>avverkningsanmälan</t>
        </is>
      </c>
      <c r="C605" t="inlineStr">
        <is>
          <t>Föryngringsavverkning</t>
        </is>
      </c>
      <c r="D605" s="1" t="n">
        <v>46199</v>
      </c>
      <c r="E605" s="1" t="n">
        <v>46221</v>
      </c>
      <c r="F605" t="inlineStr">
        <is>
          <t>UPPSALA LÄN</t>
        </is>
      </c>
      <c r="G605" t="inlineStr">
        <is>
          <t>ÖSTHAMMAR</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28938-2026</t>
        </is>
      </c>
      <c r="B606" t="inlineStr">
        <is>
          <t>avverkningsanmälan</t>
        </is>
      </c>
      <c r="C606" t="inlineStr">
        <is>
          <t>Föryngringsavverkning</t>
        </is>
      </c>
      <c r="D606" s="1" t="n">
        <v>46199</v>
      </c>
      <c r="E606" s="1" t="n">
        <v>46221</v>
      </c>
      <c r="F606" t="inlineStr">
        <is>
          <t>UPPSALA LÄN</t>
        </is>
      </c>
      <c r="G606" t="inlineStr">
        <is>
          <t>ÖSTHAMMAR</t>
        </is>
      </c>
      <c r="H606" t="inlineStr">
        <is>
          <t>Övriga Aktiebolag</t>
        </is>
      </c>
      <c r="I606" t="n">
        <v>3.6</v>
      </c>
      <c r="J606" t="n">
        <v>0</v>
      </c>
      <c r="K606" t="n">
        <v>0</v>
      </c>
      <c r="L606" t="n">
        <v>0</v>
      </c>
      <c r="M606" t="n">
        <v>0</v>
      </c>
      <c r="N606" t="n">
        <v>0</v>
      </c>
      <c r="O606" t="n">
        <v>0</v>
      </c>
      <c r="P606" t="n">
        <v>0</v>
      </c>
      <c r="Q606" t="n">
        <v>0</v>
      </c>
      <c r="R606" t="n">
        <v>0</v>
      </c>
      <c r="S606" t="n">
        <v>0</v>
      </c>
      <c r="T606" t="n">
        <v>0</v>
      </c>
      <c r="U606" s="2" t="inlineStr"/>
    </row>
    <row r="607" ht="15" customHeight="1">
      <c r="A607" t="inlineStr">
        <is>
          <t>A 29101-2026</t>
        </is>
      </c>
      <c r="B607" t="inlineStr">
        <is>
          <t>avverkningsanmälan</t>
        </is>
      </c>
      <c r="C607" t="inlineStr">
        <is>
          <t>Föryngringsavverkning</t>
        </is>
      </c>
      <c r="D607" s="1" t="n">
        <v>46200</v>
      </c>
      <c r="E607" s="1" t="n">
        <v>46221</v>
      </c>
      <c r="F607" t="inlineStr">
        <is>
          <t>UPPSALA LÄN</t>
        </is>
      </c>
      <c r="G607" t="inlineStr">
        <is>
          <t>ÖSTHAMMAR</t>
        </is>
      </c>
      <c r="H607" t="inlineStr">
        <is>
          <t>Bergvik skog öst AB</t>
        </is>
      </c>
      <c r="I607" t="n">
        <v>0.3</v>
      </c>
      <c r="J607" t="n">
        <v>0</v>
      </c>
      <c r="K607" t="n">
        <v>0</v>
      </c>
      <c r="L607" t="n">
        <v>0</v>
      </c>
      <c r="M607" t="n">
        <v>0</v>
      </c>
      <c r="N607" t="n">
        <v>0</v>
      </c>
      <c r="O607" t="n">
        <v>0</v>
      </c>
      <c r="P607" t="n">
        <v>0</v>
      </c>
      <c r="Q607" t="n">
        <v>0</v>
      </c>
      <c r="R607" t="n">
        <v>0</v>
      </c>
      <c r="S607" t="n">
        <v>0</v>
      </c>
      <c r="T607" t="n">
        <v>0</v>
      </c>
      <c r="U607" s="2" t="inlineStr"/>
    </row>
    <row r="608" ht="15" customHeight="1">
      <c r="A608" t="inlineStr">
        <is>
          <t>A 25269-2024</t>
        </is>
      </c>
      <c r="B608" t="inlineStr">
        <is>
          <t>avverkningsanmälan</t>
        </is>
      </c>
      <c r="C608" t="inlineStr">
        <is>
          <t>Föryngringsavverkning</t>
        </is>
      </c>
      <c r="D608" s="1" t="n">
        <v>45462</v>
      </c>
      <c r="E608" s="1" t="n">
        <v>46221</v>
      </c>
      <c r="F608" t="inlineStr">
        <is>
          <t>UPPSALA LÄN</t>
        </is>
      </c>
      <c r="G608" t="inlineStr">
        <is>
          <t>ÖSTHAMMAR</t>
        </is>
      </c>
      <c r="H608" t="inlineStr">
        <is>
          <t>Bergvik skog öst AB</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59382-2022</t>
        </is>
      </c>
      <c r="B609" t="inlineStr">
        <is>
          <t>avverkningsanmälan</t>
        </is>
      </c>
      <c r="C609" t="inlineStr">
        <is>
          <t>Föryngringsavverkning</t>
        </is>
      </c>
      <c r="D609" s="1" t="n">
        <v>44905</v>
      </c>
      <c r="E609" s="1" t="n">
        <v>46221</v>
      </c>
      <c r="F609" t="inlineStr">
        <is>
          <t>UPPSALA LÄN</t>
        </is>
      </c>
      <c r="G609" t="inlineStr">
        <is>
          <t>ÖSTHAMMAR</t>
        </is>
      </c>
      <c r="I609" t="n">
        <v>2.9</v>
      </c>
      <c r="J609" t="n">
        <v>0</v>
      </c>
      <c r="K609" t="n">
        <v>0</v>
      </c>
      <c r="L609" t="n">
        <v>0</v>
      </c>
      <c r="M609" t="n">
        <v>0</v>
      </c>
      <c r="N609" t="n">
        <v>0</v>
      </c>
      <c r="O609" t="n">
        <v>0</v>
      </c>
      <c r="P609" t="n">
        <v>0</v>
      </c>
      <c r="Q609" t="n">
        <v>0</v>
      </c>
      <c r="R609" t="n">
        <v>0</v>
      </c>
      <c r="S609" t="n">
        <v>0</v>
      </c>
      <c r="T609" t="n">
        <v>0</v>
      </c>
      <c r="U609" s="2" t="inlineStr"/>
    </row>
    <row r="610" ht="15" customHeight="1">
      <c r="A610" t="inlineStr">
        <is>
          <t>A 25969-2023</t>
        </is>
      </c>
      <c r="B610" t="inlineStr">
        <is>
          <t>avverkningsanmälan</t>
        </is>
      </c>
      <c r="C610" t="inlineStr">
        <is>
          <t>Föryngringsavverkning</t>
        </is>
      </c>
      <c r="D610" s="1" t="n">
        <v>45090</v>
      </c>
      <c r="E610" s="1" t="n">
        <v>46221</v>
      </c>
      <c r="F610" t="inlineStr">
        <is>
          <t>UPPSALA LÄN</t>
        </is>
      </c>
      <c r="G610" t="inlineStr">
        <is>
          <t>ÖSTHAMMAR</t>
        </is>
      </c>
      <c r="H610" t="inlineStr">
        <is>
          <t>Sveaskog</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56903-2023</t>
        </is>
      </c>
      <c r="B611" t="inlineStr">
        <is>
          <t>avverkningsanmälan</t>
        </is>
      </c>
      <c r="C611" t="inlineStr">
        <is>
          <t>Föryngringsavverkning</t>
        </is>
      </c>
      <c r="D611" s="1" t="n">
        <v>45244</v>
      </c>
      <c r="E611" s="1" t="n">
        <v>46221</v>
      </c>
      <c r="F611" t="inlineStr">
        <is>
          <t>UPPSALA LÄN</t>
        </is>
      </c>
      <c r="G611" t="inlineStr">
        <is>
          <t>ÖSTHAMMAR</t>
        </is>
      </c>
      <c r="I611" t="n">
        <v>3.1</v>
      </c>
      <c r="J611" t="n">
        <v>0</v>
      </c>
      <c r="K611" t="n">
        <v>0</v>
      </c>
      <c r="L611" t="n">
        <v>0</v>
      </c>
      <c r="M611" t="n">
        <v>0</v>
      </c>
      <c r="N611" t="n">
        <v>0</v>
      </c>
      <c r="O611" t="n">
        <v>0</v>
      </c>
      <c r="P611" t="n">
        <v>0</v>
      </c>
      <c r="Q611" t="n">
        <v>0</v>
      </c>
      <c r="R611" t="n">
        <v>0</v>
      </c>
      <c r="S611" t="n">
        <v>0</v>
      </c>
      <c r="T611" t="n">
        <v>0</v>
      </c>
      <c r="U611" s="2" t="inlineStr"/>
    </row>
    <row r="612" ht="15" customHeight="1">
      <c r="A612" t="inlineStr">
        <is>
          <t>A 67151-2021</t>
        </is>
      </c>
      <c r="B612" t="inlineStr">
        <is>
          <t>avverkningsanmälan</t>
        </is>
      </c>
      <c r="C612" t="inlineStr">
        <is>
          <t>Föryngringsavverkning</t>
        </is>
      </c>
      <c r="D612" s="1" t="n">
        <v>44523</v>
      </c>
      <c r="E612" s="1" t="n">
        <v>46221</v>
      </c>
      <c r="F612" t="inlineStr">
        <is>
          <t>UPPSALA LÄN</t>
        </is>
      </c>
      <c r="G612" t="inlineStr">
        <is>
          <t>ÖSTHAMMAR</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29824-2023</t>
        </is>
      </c>
      <c r="B613" t="inlineStr">
        <is>
          <t>avverkningsanmälan</t>
        </is>
      </c>
      <c r="C613" t="inlineStr">
        <is>
          <t>Föryngringsavverkning</t>
        </is>
      </c>
      <c r="D613" s="1" t="n">
        <v>45107</v>
      </c>
      <c r="E613" s="1" t="n">
        <v>46221</v>
      </c>
      <c r="F613" t="inlineStr">
        <is>
          <t>UPPSALA LÄN</t>
        </is>
      </c>
      <c r="G613" t="inlineStr">
        <is>
          <t>ÖSTHAMMAR</t>
        </is>
      </c>
      <c r="H613" t="inlineStr">
        <is>
          <t>Naturvårdsverket</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64586-2021</t>
        </is>
      </c>
      <c r="B614" t="inlineStr">
        <is>
          <t>avverkningsanmälan</t>
        </is>
      </c>
      <c r="C614" t="inlineStr">
        <is>
          <t>Föryngringsavverkning</t>
        </is>
      </c>
      <c r="D614" s="1" t="n">
        <v>44511</v>
      </c>
      <c r="E614" s="1" t="n">
        <v>46221</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31896-2025</t>
        </is>
      </c>
      <c r="B615" t="inlineStr">
        <is>
          <t>avverkningsanmälan</t>
        </is>
      </c>
      <c r="C615" t="inlineStr">
        <is>
          <t>Föryngringsavverkning</t>
        </is>
      </c>
      <c r="D615" s="1" t="n">
        <v>45834</v>
      </c>
      <c r="E615" s="1" t="n">
        <v>46221</v>
      </c>
      <c r="F615" t="inlineStr">
        <is>
          <t>UPPSALA LÄN</t>
        </is>
      </c>
      <c r="G615" t="inlineStr">
        <is>
          <t>ÖSTHAMMAR</t>
        </is>
      </c>
      <c r="I615" t="n">
        <v>4.1</v>
      </c>
      <c r="J615" t="n">
        <v>0</v>
      </c>
      <c r="K615" t="n">
        <v>0</v>
      </c>
      <c r="L615" t="n">
        <v>0</v>
      </c>
      <c r="M615" t="n">
        <v>0</v>
      </c>
      <c r="N615" t="n">
        <v>0</v>
      </c>
      <c r="O615" t="n">
        <v>0</v>
      </c>
      <c r="P615" t="n">
        <v>0</v>
      </c>
      <c r="Q615" t="n">
        <v>0</v>
      </c>
      <c r="R615" t="n">
        <v>0</v>
      </c>
      <c r="S615" t="n">
        <v>0</v>
      </c>
      <c r="T615" t="n">
        <v>0</v>
      </c>
      <c r="U615" s="2" t="inlineStr"/>
    </row>
    <row r="616" ht="15" customHeight="1">
      <c r="A616" t="inlineStr">
        <is>
          <t>A 23363-2023</t>
        </is>
      </c>
      <c r="B616" t="inlineStr">
        <is>
          <t>avverkningsanmälan</t>
        </is>
      </c>
      <c r="C616" t="inlineStr">
        <is>
          <t>Föryngringsavverkning</t>
        </is>
      </c>
      <c r="D616" s="1" t="n">
        <v>45076</v>
      </c>
      <c r="E616" s="1" t="n">
        <v>46221</v>
      </c>
      <c r="F616" t="inlineStr">
        <is>
          <t>UPPSALA LÄN</t>
        </is>
      </c>
      <c r="G616" t="inlineStr">
        <is>
          <t>ÖSTHAMMAR</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27308-2023</t>
        </is>
      </c>
      <c r="B617" t="inlineStr">
        <is>
          <t>avverkningsanmälan</t>
        </is>
      </c>
      <c r="C617" t="inlineStr">
        <is>
          <t>Föryngringsavverkning</t>
        </is>
      </c>
      <c r="D617" s="1" t="n">
        <v>45096</v>
      </c>
      <c r="E617" s="1" t="n">
        <v>46221</v>
      </c>
      <c r="F617" t="inlineStr">
        <is>
          <t>UPPSALA LÄN</t>
        </is>
      </c>
      <c r="G617" t="inlineStr">
        <is>
          <t>ÖSTHAMMAR</t>
        </is>
      </c>
      <c r="H617" t="inlineStr">
        <is>
          <t>Bergvik skog öst AB</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64774-2023</t>
        </is>
      </c>
      <c r="B618" t="inlineStr">
        <is>
          <t>avverkningsanmälan</t>
        </is>
      </c>
      <c r="C618" t="inlineStr">
        <is>
          <t>Avverkning för annat ändamål</t>
        </is>
      </c>
      <c r="D618" s="1" t="n">
        <v>45282</v>
      </c>
      <c r="E618" s="1" t="n">
        <v>46221</v>
      </c>
      <c r="F618" t="inlineStr">
        <is>
          <t>UPPSALA LÄN</t>
        </is>
      </c>
      <c r="G618" t="inlineStr">
        <is>
          <t>ÖSTHAMMAR</t>
        </is>
      </c>
      <c r="H618" t="inlineStr">
        <is>
          <t>Övriga Aktiebolag</t>
        </is>
      </c>
      <c r="I618" t="n">
        <v>3.7</v>
      </c>
      <c r="J618" t="n">
        <v>0</v>
      </c>
      <c r="K618" t="n">
        <v>0</v>
      </c>
      <c r="L618" t="n">
        <v>0</v>
      </c>
      <c r="M618" t="n">
        <v>0</v>
      </c>
      <c r="N618" t="n">
        <v>0</v>
      </c>
      <c r="O618" t="n">
        <v>0</v>
      </c>
      <c r="P618" t="n">
        <v>0</v>
      </c>
      <c r="Q618" t="n">
        <v>0</v>
      </c>
      <c r="R618" t="n">
        <v>0</v>
      </c>
      <c r="S618" t="n">
        <v>0</v>
      </c>
      <c r="T618" t="n">
        <v>0</v>
      </c>
      <c r="U618" s="2" t="inlineStr"/>
    </row>
    <row r="619" ht="15" customHeight="1">
      <c r="A619" t="inlineStr">
        <is>
          <t>A 65020-2021</t>
        </is>
      </c>
      <c r="B619" t="inlineStr">
        <is>
          <t>avverkningsanmälan</t>
        </is>
      </c>
      <c r="C619" t="inlineStr">
        <is>
          <t>Avverkning för att bevara och utveckla /försöksver</t>
        </is>
      </c>
      <c r="D619" s="1" t="n">
        <v>44515</v>
      </c>
      <c r="E619" s="1" t="n">
        <v>46221</v>
      </c>
      <c r="F619" t="inlineStr">
        <is>
          <t>UPPSALA LÄN</t>
        </is>
      </c>
      <c r="G619" t="inlineStr">
        <is>
          <t>ÖSTHAMMAR</t>
        </is>
      </c>
      <c r="H619" t="inlineStr">
        <is>
          <t>Sveaskog</t>
        </is>
      </c>
      <c r="I619" t="n">
        <v>4.7</v>
      </c>
      <c r="J619" t="n">
        <v>0</v>
      </c>
      <c r="K619" t="n">
        <v>0</v>
      </c>
      <c r="L619" t="n">
        <v>0</v>
      </c>
      <c r="M619" t="n">
        <v>0</v>
      </c>
      <c r="N619" t="n">
        <v>0</v>
      </c>
      <c r="O619" t="n">
        <v>0</v>
      </c>
      <c r="P619" t="n">
        <v>0</v>
      </c>
      <c r="Q619" t="n">
        <v>0</v>
      </c>
      <c r="R619" t="n">
        <v>0</v>
      </c>
      <c r="S619" t="n">
        <v>0</v>
      </c>
      <c r="T619" t="n">
        <v>0</v>
      </c>
      <c r="U619" s="2" t="inlineStr"/>
    </row>
    <row r="620" ht="15" customHeight="1">
      <c r="A620" t="inlineStr">
        <is>
          <t>A 30189-2026</t>
        </is>
      </c>
      <c r="B620" t="inlineStr">
        <is>
          <t>avverkningsanmälan</t>
        </is>
      </c>
      <c r="C620" t="inlineStr">
        <is>
          <t>Föryngringsavverkning</t>
        </is>
      </c>
      <c r="D620" s="1" t="n">
        <v>46206</v>
      </c>
      <c r="E620" s="1" t="n">
        <v>46221</v>
      </c>
      <c r="F620" t="inlineStr">
        <is>
          <t>UPPSALA LÄN</t>
        </is>
      </c>
      <c r="G620" t="inlineStr">
        <is>
          <t>ÖSTHAMMAR</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2085-2022</t>
        </is>
      </c>
      <c r="B621" t="inlineStr">
        <is>
          <t>avverkningsanmälan</t>
        </is>
      </c>
      <c r="C621" t="inlineStr">
        <is>
          <t>Föryngringsavverkning</t>
        </is>
      </c>
      <c r="D621" s="1" t="n">
        <v>44576</v>
      </c>
      <c r="E621" s="1" t="n">
        <v>46221</v>
      </c>
      <c r="F621" t="inlineStr">
        <is>
          <t>UPPSALA LÄN</t>
        </is>
      </c>
      <c r="G621" t="inlineStr">
        <is>
          <t>ÖSTHAMMAR</t>
        </is>
      </c>
      <c r="H621" t="inlineStr">
        <is>
          <t>Bergvik skog öst AB</t>
        </is>
      </c>
      <c r="I621" t="n">
        <v>1.6</v>
      </c>
      <c r="J621" t="n">
        <v>0</v>
      </c>
      <c r="K621" t="n">
        <v>0</v>
      </c>
      <c r="L621" t="n">
        <v>0</v>
      </c>
      <c r="M621" t="n">
        <v>0</v>
      </c>
      <c r="N621" t="n">
        <v>0</v>
      </c>
      <c r="O621" t="n">
        <v>0</v>
      </c>
      <c r="P621" t="n">
        <v>0</v>
      </c>
      <c r="Q621" t="n">
        <v>0</v>
      </c>
      <c r="R621" t="n">
        <v>0</v>
      </c>
      <c r="S621" t="n">
        <v>0</v>
      </c>
      <c r="T621" t="n">
        <v>0</v>
      </c>
      <c r="U621" s="2" t="inlineStr"/>
    </row>
    <row r="622" ht="15" customHeight="1">
      <c r="A622" t="inlineStr">
        <is>
          <t>A 14671-2022</t>
        </is>
      </c>
      <c r="B622" t="inlineStr">
        <is>
          <t>avverkningsanmälan</t>
        </is>
      </c>
      <c r="C622" t="inlineStr">
        <is>
          <t>Föryngringsavverkning</t>
        </is>
      </c>
      <c r="D622" s="1" t="n">
        <v>44655</v>
      </c>
      <c r="E622" s="1" t="n">
        <v>46221</v>
      </c>
      <c r="F622" t="inlineStr">
        <is>
          <t>UPPSALA LÄN</t>
        </is>
      </c>
      <c r="G622" t="inlineStr">
        <is>
          <t>ÖSTHAMMAR</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30242-2026</t>
        </is>
      </c>
      <c r="B623" t="inlineStr">
        <is>
          <t>avverkningsanmälan</t>
        </is>
      </c>
      <c r="C623" t="inlineStr">
        <is>
          <t>Föryngringsavverkning</t>
        </is>
      </c>
      <c r="D623" s="1" t="n">
        <v>46206</v>
      </c>
      <c r="E623" s="1" t="n">
        <v>46221</v>
      </c>
      <c r="F623" t="inlineStr">
        <is>
          <t>UPPSALA LÄN</t>
        </is>
      </c>
      <c r="G623" t="inlineStr">
        <is>
          <t>ÖSTHAMMAR</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12215-2023</t>
        </is>
      </c>
      <c r="B624" t="inlineStr">
        <is>
          <t>avverkningsanmälan</t>
        </is>
      </c>
      <c r="C624" t="inlineStr">
        <is>
          <t>Föryngringsavverkning</t>
        </is>
      </c>
      <c r="D624" s="1" t="n">
        <v>44998</v>
      </c>
      <c r="E624" s="1" t="n">
        <v>46221</v>
      </c>
      <c r="F624" t="inlineStr">
        <is>
          <t>UPPSALA LÄN</t>
        </is>
      </c>
      <c r="G624" t="inlineStr">
        <is>
          <t>ÖSTHAMMAR</t>
        </is>
      </c>
      <c r="I624" t="n">
        <v>5.1</v>
      </c>
      <c r="J624" t="n">
        <v>0</v>
      </c>
      <c r="K624" t="n">
        <v>0</v>
      </c>
      <c r="L624" t="n">
        <v>0</v>
      </c>
      <c r="M624" t="n">
        <v>0</v>
      </c>
      <c r="N624" t="n">
        <v>0</v>
      </c>
      <c r="O624" t="n">
        <v>0</v>
      </c>
      <c r="P624" t="n">
        <v>0</v>
      </c>
      <c r="Q624" t="n">
        <v>0</v>
      </c>
      <c r="R624" t="n">
        <v>0</v>
      </c>
      <c r="S624" t="n">
        <v>0</v>
      </c>
      <c r="T624" t="n">
        <v>0</v>
      </c>
      <c r="U624" s="2" t="inlineStr"/>
    </row>
    <row r="625" ht="15" customHeight="1">
      <c r="A625" t="inlineStr">
        <is>
          <t>A 41996-2024</t>
        </is>
      </c>
      <c r="B625" t="inlineStr">
        <is>
          <t>avverkningsanmälan</t>
        </is>
      </c>
      <c r="C625" t="inlineStr">
        <is>
          <t>Föryngringsavverkning</t>
        </is>
      </c>
      <c r="D625" s="1" t="n">
        <v>45561</v>
      </c>
      <c r="E625" s="1" t="n">
        <v>46221</v>
      </c>
      <c r="F625" t="inlineStr">
        <is>
          <t>UPPSALA LÄN</t>
        </is>
      </c>
      <c r="G625" t="inlineStr">
        <is>
          <t>ÖSTHAMMAR</t>
        </is>
      </c>
      <c r="H625" t="inlineStr">
        <is>
          <t>Bergvik skog öst AB</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15449-2022</t>
        </is>
      </c>
      <c r="B626" t="inlineStr">
        <is>
          <t>avverkningsanmälan</t>
        </is>
      </c>
      <c r="C626" t="inlineStr">
        <is>
          <t>Föryngringsavverkning</t>
        </is>
      </c>
      <c r="D626" s="1" t="n">
        <v>44660</v>
      </c>
      <c r="E626" s="1" t="n">
        <v>46221</v>
      </c>
      <c r="F626" t="inlineStr">
        <is>
          <t>UPPSALA LÄN</t>
        </is>
      </c>
      <c r="G626" t="inlineStr">
        <is>
          <t>ÖSTHAMMAR</t>
        </is>
      </c>
      <c r="H626" t="inlineStr">
        <is>
          <t>Bergvik skog öst AB</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23415-2026</t>
        </is>
      </c>
      <c r="B627" t="inlineStr">
        <is>
          <t>avverkningsanmälan</t>
        </is>
      </c>
      <c r="C627" t="inlineStr">
        <is>
          <t>Föryngringsavverkning</t>
        </is>
      </c>
      <c r="D627" s="1" t="n">
        <v>46163</v>
      </c>
      <c r="E627" s="1" t="n">
        <v>46221</v>
      </c>
      <c r="F627" t="inlineStr">
        <is>
          <t>UPPSALA LÄN</t>
        </is>
      </c>
      <c r="G627" t="inlineStr">
        <is>
          <t>ÖSTHAMMAR</t>
        </is>
      </c>
      <c r="I627" t="n">
        <v>2.4</v>
      </c>
      <c r="J627" t="n">
        <v>0</v>
      </c>
      <c r="K627" t="n">
        <v>0</v>
      </c>
      <c r="L627" t="n">
        <v>0</v>
      </c>
      <c r="M627" t="n">
        <v>0</v>
      </c>
      <c r="N627" t="n">
        <v>0</v>
      </c>
      <c r="O627" t="n">
        <v>0</v>
      </c>
      <c r="P627" t="n">
        <v>0</v>
      </c>
      <c r="Q627" t="n">
        <v>0</v>
      </c>
      <c r="R627" t="n">
        <v>0</v>
      </c>
      <c r="S627" t="n">
        <v>0</v>
      </c>
      <c r="T627" t="n">
        <v>0</v>
      </c>
      <c r="U627" s="2" t="inlineStr"/>
    </row>
    <row r="628" ht="15" customHeight="1">
      <c r="A628" t="inlineStr">
        <is>
          <t>A 23416-2026</t>
        </is>
      </c>
      <c r="B628" t="inlineStr">
        <is>
          <t>avverkningsanmälan</t>
        </is>
      </c>
      <c r="C628" t="inlineStr">
        <is>
          <t>Föryngringsavverkning</t>
        </is>
      </c>
      <c r="D628" s="1" t="n">
        <v>46163</v>
      </c>
      <c r="E628" s="1" t="n">
        <v>46221</v>
      </c>
      <c r="F628" t="inlineStr">
        <is>
          <t>UPPSALA LÄN</t>
        </is>
      </c>
      <c r="G628" t="inlineStr">
        <is>
          <t>ÖSTHAMMAR</t>
        </is>
      </c>
      <c r="I628" t="n">
        <v>7</v>
      </c>
      <c r="J628" t="n">
        <v>0</v>
      </c>
      <c r="K628" t="n">
        <v>0</v>
      </c>
      <c r="L628" t="n">
        <v>0</v>
      </c>
      <c r="M628" t="n">
        <v>0</v>
      </c>
      <c r="N628" t="n">
        <v>0</v>
      </c>
      <c r="O628" t="n">
        <v>0</v>
      </c>
      <c r="P628" t="n">
        <v>0</v>
      </c>
      <c r="Q628" t="n">
        <v>0</v>
      </c>
      <c r="R628" t="n">
        <v>0</v>
      </c>
      <c r="S628" t="n">
        <v>0</v>
      </c>
      <c r="T628" t="n">
        <v>0</v>
      </c>
      <c r="U628" s="2" t="inlineStr"/>
    </row>
    <row r="629" ht="15" customHeight="1">
      <c r="A629" t="inlineStr">
        <is>
          <t>A 23414-2026</t>
        </is>
      </c>
      <c r="B629" t="inlineStr">
        <is>
          <t>avverkningsanmälan</t>
        </is>
      </c>
      <c r="C629" t="inlineStr">
        <is>
          <t>Föryngringsavverkning</t>
        </is>
      </c>
      <c r="D629" s="1" t="n">
        <v>46163</v>
      </c>
      <c r="E629" s="1" t="n">
        <v>46221</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5884-2023</t>
        </is>
      </c>
      <c r="B630" t="inlineStr">
        <is>
          <t>avverkningsanmälan</t>
        </is>
      </c>
      <c r="C630" t="inlineStr">
        <is>
          <t>Föryngringsavverkning</t>
        </is>
      </c>
      <c r="D630" s="1" t="n">
        <v>44963</v>
      </c>
      <c r="E630" s="1" t="n">
        <v>46221</v>
      </c>
      <c r="F630" t="inlineStr">
        <is>
          <t>UPPSALA LÄN</t>
        </is>
      </c>
      <c r="G630" t="inlineStr">
        <is>
          <t>ÖSTHAMMAR</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5215-2025</t>
        </is>
      </c>
      <c r="B631" t="inlineStr">
        <is>
          <t>avverkningsanmälan</t>
        </is>
      </c>
      <c r="C631" t="inlineStr">
        <is>
          <t>Föryngringsavverkning</t>
        </is>
      </c>
      <c r="D631" s="1" t="n">
        <v>45691</v>
      </c>
      <c r="E631" s="1" t="n">
        <v>46221</v>
      </c>
      <c r="F631" t="inlineStr">
        <is>
          <t>UPPSALA LÄN</t>
        </is>
      </c>
      <c r="G631" t="inlineStr">
        <is>
          <t>ÖSTHAMMAR</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23795-2026</t>
        </is>
      </c>
      <c r="B632" t="inlineStr">
        <is>
          <t>avverkningsanmälan</t>
        </is>
      </c>
      <c r="C632" t="inlineStr">
        <is>
          <t>Föryngringsavverkning</t>
        </is>
      </c>
      <c r="D632" s="1" t="n">
        <v>46164</v>
      </c>
      <c r="E632" s="1" t="n">
        <v>46221</v>
      </c>
      <c r="F632" t="inlineStr">
        <is>
          <t>UPPSALA LÄN</t>
        </is>
      </c>
      <c r="G632" t="inlineStr">
        <is>
          <t>ÖSTHAMMAR</t>
        </is>
      </c>
      <c r="H632" t="inlineStr">
        <is>
          <t>Bergvik skog öst AB</t>
        </is>
      </c>
      <c r="I632" t="n">
        <v>8.199999999999999</v>
      </c>
      <c r="J632" t="n">
        <v>0</v>
      </c>
      <c r="K632" t="n">
        <v>0</v>
      </c>
      <c r="L632" t="n">
        <v>0</v>
      </c>
      <c r="M632" t="n">
        <v>0</v>
      </c>
      <c r="N632" t="n">
        <v>0</v>
      </c>
      <c r="O632" t="n">
        <v>0</v>
      </c>
      <c r="P632" t="n">
        <v>0</v>
      </c>
      <c r="Q632" t="n">
        <v>0</v>
      </c>
      <c r="R632" t="n">
        <v>0</v>
      </c>
      <c r="S632" t="n">
        <v>0</v>
      </c>
      <c r="T632" t="n">
        <v>0</v>
      </c>
      <c r="U632" s="2" t="inlineStr"/>
    </row>
    <row r="633" ht="15" customHeight="1">
      <c r="A633" t="inlineStr">
        <is>
          <t>A 65028-2021</t>
        </is>
      </c>
      <c r="B633" t="inlineStr">
        <is>
          <t>avverkningsanmälan</t>
        </is>
      </c>
      <c r="C633" t="inlineStr">
        <is>
          <t>Avverkning för att bevara och utveckla /försöksver</t>
        </is>
      </c>
      <c r="D633" s="1" t="n">
        <v>44515</v>
      </c>
      <c r="E633" s="1" t="n">
        <v>46221</v>
      </c>
      <c r="F633" t="inlineStr">
        <is>
          <t>UPPSALA LÄN</t>
        </is>
      </c>
      <c r="G633" t="inlineStr">
        <is>
          <t>ÖSTHAMMAR</t>
        </is>
      </c>
      <c r="H633" t="inlineStr">
        <is>
          <t>Sveaskog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36857-2023</t>
        </is>
      </c>
      <c r="B634" t="inlineStr">
        <is>
          <t>avverkningsanmälan</t>
        </is>
      </c>
      <c r="C634" t="inlineStr">
        <is>
          <t>Föryngringsavverkning</t>
        </is>
      </c>
      <c r="D634" s="1" t="n">
        <v>45154</v>
      </c>
      <c r="E634" s="1" t="n">
        <v>46221</v>
      </c>
      <c r="F634" t="inlineStr">
        <is>
          <t>UPPSALA LÄN</t>
        </is>
      </c>
      <c r="G634" t="inlineStr">
        <is>
          <t>ÖSTHAMMAR</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6143-2022</t>
        </is>
      </c>
      <c r="B635" t="inlineStr">
        <is>
          <t>avverkningsanmälan</t>
        </is>
      </c>
      <c r="C635" t="inlineStr">
        <is>
          <t>Föryngringsavverkning</t>
        </is>
      </c>
      <c r="D635" s="1" t="n">
        <v>44599</v>
      </c>
      <c r="E635" s="1" t="n">
        <v>46221</v>
      </c>
      <c r="F635" t="inlineStr">
        <is>
          <t>UPPSALA LÄN</t>
        </is>
      </c>
      <c r="G635" t="inlineStr">
        <is>
          <t>ÖSTHAMMAR</t>
        </is>
      </c>
      <c r="I635" t="n">
        <v>3.4</v>
      </c>
      <c r="J635" t="n">
        <v>0</v>
      </c>
      <c r="K635" t="n">
        <v>0</v>
      </c>
      <c r="L635" t="n">
        <v>0</v>
      </c>
      <c r="M635" t="n">
        <v>0</v>
      </c>
      <c r="N635" t="n">
        <v>0</v>
      </c>
      <c r="O635" t="n">
        <v>0</v>
      </c>
      <c r="P635" t="n">
        <v>0</v>
      </c>
      <c r="Q635" t="n">
        <v>0</v>
      </c>
      <c r="R635" t="n">
        <v>0</v>
      </c>
      <c r="S635" t="n">
        <v>0</v>
      </c>
      <c r="T635" t="n">
        <v>0</v>
      </c>
      <c r="U635" s="2" t="inlineStr"/>
    </row>
    <row r="636" ht="15" customHeight="1">
      <c r="A636" t="inlineStr">
        <is>
          <t>A 3514-2023</t>
        </is>
      </c>
      <c r="B636" t="inlineStr">
        <is>
          <t>avverkningsanmälan</t>
        </is>
      </c>
      <c r="C636" t="inlineStr">
        <is>
          <t>Föryngringsavverkning</t>
        </is>
      </c>
      <c r="D636" s="1" t="n">
        <v>44950</v>
      </c>
      <c r="E636" s="1" t="n">
        <v>46221</v>
      </c>
      <c r="F636" t="inlineStr">
        <is>
          <t>UPPSALA LÄN</t>
        </is>
      </c>
      <c r="G636" t="inlineStr">
        <is>
          <t>ÖSTHAMMAR</t>
        </is>
      </c>
      <c r="H636" t="inlineStr">
        <is>
          <t>Övriga Aktiebolag</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30207-2026</t>
        </is>
      </c>
      <c r="B637" t="inlineStr">
        <is>
          <t>avverkningsanmälan</t>
        </is>
      </c>
      <c r="C637" t="inlineStr">
        <is>
          <t>Föryngringsavverkning</t>
        </is>
      </c>
      <c r="D637" s="1" t="n">
        <v>46206</v>
      </c>
      <c r="E637" s="1" t="n">
        <v>46221</v>
      </c>
      <c r="F637" t="inlineStr">
        <is>
          <t>UPPSALA LÄN</t>
        </is>
      </c>
      <c r="G637" t="inlineStr">
        <is>
          <t>ÖSTHAMMAR</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23619-2026</t>
        </is>
      </c>
      <c r="B638" t="inlineStr">
        <is>
          <t>avverkningsanmälan</t>
        </is>
      </c>
      <c r="C638" t="inlineStr">
        <is>
          <t>Föryngringsavverkning</t>
        </is>
      </c>
      <c r="D638" s="1" t="n">
        <v>46163</v>
      </c>
      <c r="E638" s="1" t="n">
        <v>46221</v>
      </c>
      <c r="F638" t="inlineStr">
        <is>
          <t>UPPSALA LÄN</t>
        </is>
      </c>
      <c r="G638" t="inlineStr">
        <is>
          <t>ÖSTHAMMAR</t>
        </is>
      </c>
      <c r="H638" t="inlineStr">
        <is>
          <t>Bergvik skog öst AB</t>
        </is>
      </c>
      <c r="I638" t="n">
        <v>8.6</v>
      </c>
      <c r="J638" t="n">
        <v>0</v>
      </c>
      <c r="K638" t="n">
        <v>0</v>
      </c>
      <c r="L638" t="n">
        <v>0</v>
      </c>
      <c r="M638" t="n">
        <v>0</v>
      </c>
      <c r="N638" t="n">
        <v>0</v>
      </c>
      <c r="O638" t="n">
        <v>0</v>
      </c>
      <c r="P638" t="n">
        <v>0</v>
      </c>
      <c r="Q638" t="n">
        <v>0</v>
      </c>
      <c r="R638" t="n">
        <v>0</v>
      </c>
      <c r="S638" t="n">
        <v>0</v>
      </c>
      <c r="T638" t="n">
        <v>0</v>
      </c>
      <c r="U638" s="2" t="inlineStr"/>
    </row>
    <row r="639" ht="15" customHeight="1">
      <c r="A639" t="inlineStr">
        <is>
          <t>A 45561-2023</t>
        </is>
      </c>
      <c r="B639" t="inlineStr">
        <is>
          <t>avverkningsanmälan</t>
        </is>
      </c>
      <c r="C639" t="inlineStr">
        <is>
          <t>Föryngringsavverkning</t>
        </is>
      </c>
      <c r="D639" s="1" t="n">
        <v>45194</v>
      </c>
      <c r="E639" s="1" t="n">
        <v>46221</v>
      </c>
      <c r="F639" t="inlineStr">
        <is>
          <t>UPPSALA LÄN</t>
        </is>
      </c>
      <c r="G639" t="inlineStr">
        <is>
          <t>ÖSTHAMMAR</t>
        </is>
      </c>
      <c r="H639" t="inlineStr">
        <is>
          <t>Bergvik skog öst AB</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43439-2024</t>
        </is>
      </c>
      <c r="B640" t="inlineStr">
        <is>
          <t>avverkningsanmälan</t>
        </is>
      </c>
      <c r="C640" t="inlineStr">
        <is>
          <t>Föryngringsavverkning</t>
        </is>
      </c>
      <c r="D640" s="1" t="n">
        <v>45568</v>
      </c>
      <c r="E640" s="1" t="n">
        <v>46221</v>
      </c>
      <c r="F640" t="inlineStr">
        <is>
          <t>UPPSALA LÄN</t>
        </is>
      </c>
      <c r="G640" t="inlineStr">
        <is>
          <t>ÖSTHAMMAR</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30338-2026</t>
        </is>
      </c>
      <c r="B641" t="inlineStr">
        <is>
          <t>avverkningsanmälan</t>
        </is>
      </c>
      <c r="C641" t="inlineStr">
        <is>
          <t>Föryngringsavverkning</t>
        </is>
      </c>
      <c r="D641" s="1" t="n">
        <v>46209</v>
      </c>
      <c r="E641" s="1" t="n">
        <v>46221</v>
      </c>
      <c r="F641" t="inlineStr">
        <is>
          <t>UPPSALA LÄN</t>
        </is>
      </c>
      <c r="G641" t="inlineStr">
        <is>
          <t>ÖSTHAMMAR</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30420-2026</t>
        </is>
      </c>
      <c r="B642" t="inlineStr">
        <is>
          <t>avverkningsanmälan</t>
        </is>
      </c>
      <c r="C642" t="inlineStr">
        <is>
          <t>Föryngringsavverkning</t>
        </is>
      </c>
      <c r="D642" s="1" t="n">
        <v>46209</v>
      </c>
      <c r="E642" s="1" t="n">
        <v>46221</v>
      </c>
      <c r="F642" t="inlineStr">
        <is>
          <t>UPPSALA LÄN</t>
        </is>
      </c>
      <c r="G642" t="inlineStr">
        <is>
          <t>ÖSTHAMMAR</t>
        </is>
      </c>
      <c r="H642" t="inlineStr">
        <is>
          <t>Bergvik skog öst AB</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30421-2026</t>
        </is>
      </c>
      <c r="B643" t="inlineStr">
        <is>
          <t>avverkningsanmälan</t>
        </is>
      </c>
      <c r="C643" t="inlineStr">
        <is>
          <t>Föryngringsavverkning</t>
        </is>
      </c>
      <c r="D643" s="1" t="n">
        <v>46209</v>
      </c>
      <c r="E643" s="1" t="n">
        <v>46221</v>
      </c>
      <c r="F643" t="inlineStr">
        <is>
          <t>UPPSALA LÄN</t>
        </is>
      </c>
      <c r="G643" t="inlineStr">
        <is>
          <t>ÖSTHAMMAR</t>
        </is>
      </c>
      <c r="H643" t="inlineStr">
        <is>
          <t>Bergvik skog öst AB</t>
        </is>
      </c>
      <c r="I643" t="n">
        <v>5.3</v>
      </c>
      <c r="J643" t="n">
        <v>0</v>
      </c>
      <c r="K643" t="n">
        <v>0</v>
      </c>
      <c r="L643" t="n">
        <v>0</v>
      </c>
      <c r="M643" t="n">
        <v>0</v>
      </c>
      <c r="N643" t="n">
        <v>0</v>
      </c>
      <c r="O643" t="n">
        <v>0</v>
      </c>
      <c r="P643" t="n">
        <v>0</v>
      </c>
      <c r="Q643" t="n">
        <v>0</v>
      </c>
      <c r="R643" t="n">
        <v>0</v>
      </c>
      <c r="S643" t="n">
        <v>0</v>
      </c>
      <c r="T643" t="n">
        <v>0</v>
      </c>
      <c r="U643" s="2" t="inlineStr"/>
    </row>
    <row r="644" ht="15" customHeight="1">
      <c r="A644" t="inlineStr">
        <is>
          <t>A 30427-2026</t>
        </is>
      </c>
      <c r="B644" t="inlineStr">
        <is>
          <t>avverkningsanmälan</t>
        </is>
      </c>
      <c r="C644" t="inlineStr">
        <is>
          <t>Föryngringsavverkning</t>
        </is>
      </c>
      <c r="D644" s="1" t="n">
        <v>46209</v>
      </c>
      <c r="E644" s="1" t="n">
        <v>46221</v>
      </c>
      <c r="F644" t="inlineStr">
        <is>
          <t>UPPSALA LÄN</t>
        </is>
      </c>
      <c r="G644" t="inlineStr">
        <is>
          <t>ÖSTHAMMAR</t>
        </is>
      </c>
      <c r="H644" t="inlineStr">
        <is>
          <t>Bergvik skog öst AB</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30429-2026</t>
        </is>
      </c>
      <c r="B645" t="inlineStr">
        <is>
          <t>avverkningsanmälan</t>
        </is>
      </c>
      <c r="C645" t="inlineStr">
        <is>
          <t>Föryngringsavverkning</t>
        </is>
      </c>
      <c r="D645" s="1" t="n">
        <v>46209</v>
      </c>
      <c r="E645" s="1" t="n">
        <v>46221</v>
      </c>
      <c r="F645" t="inlineStr">
        <is>
          <t>UPPSALA LÄN</t>
        </is>
      </c>
      <c r="G645" t="inlineStr">
        <is>
          <t>ÖSTHAMMAR</t>
        </is>
      </c>
      <c r="H645" t="inlineStr">
        <is>
          <t>Bergvik skog öst AB</t>
        </is>
      </c>
      <c r="I645" t="n">
        <v>0.3</v>
      </c>
      <c r="J645" t="n">
        <v>0</v>
      </c>
      <c r="K645" t="n">
        <v>0</v>
      </c>
      <c r="L645" t="n">
        <v>0</v>
      </c>
      <c r="M645" t="n">
        <v>0</v>
      </c>
      <c r="N645" t="n">
        <v>0</v>
      </c>
      <c r="O645" t="n">
        <v>0</v>
      </c>
      <c r="P645" t="n">
        <v>0</v>
      </c>
      <c r="Q645" t="n">
        <v>0</v>
      </c>
      <c r="R645" t="n">
        <v>0</v>
      </c>
      <c r="S645" t="n">
        <v>0</v>
      </c>
      <c r="T645" t="n">
        <v>0</v>
      </c>
      <c r="U645" s="2" t="inlineStr"/>
    </row>
    <row r="646" ht="15" customHeight="1">
      <c r="A646" t="inlineStr">
        <is>
          <t>A 59880-2022</t>
        </is>
      </c>
      <c r="B646" t="inlineStr">
        <is>
          <t>avverkningsanmälan</t>
        </is>
      </c>
      <c r="C646" t="inlineStr">
        <is>
          <t>Föryngringsavverkning</t>
        </is>
      </c>
      <c r="D646" s="1" t="n">
        <v>44908</v>
      </c>
      <c r="E646" s="1" t="n">
        <v>46221</v>
      </c>
      <c r="F646" t="inlineStr">
        <is>
          <t>UPPSALA LÄN</t>
        </is>
      </c>
      <c r="G646" t="inlineStr">
        <is>
          <t>ÖSTHAMMAR</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30424-2026</t>
        </is>
      </c>
      <c r="B647" t="inlineStr">
        <is>
          <t>avverkningsanmälan</t>
        </is>
      </c>
      <c r="C647" t="inlineStr">
        <is>
          <t>Föryngringsavverkning</t>
        </is>
      </c>
      <c r="D647" s="1" t="n">
        <v>46209</v>
      </c>
      <c r="E647" s="1" t="n">
        <v>46221</v>
      </c>
      <c r="F647" t="inlineStr">
        <is>
          <t>UPPSALA LÄN</t>
        </is>
      </c>
      <c r="G647" t="inlineStr">
        <is>
          <t>ÖSTHAMMAR</t>
        </is>
      </c>
      <c r="H647" t="inlineStr">
        <is>
          <t>Bergvik skog öst AB</t>
        </is>
      </c>
      <c r="I647" t="n">
        <v>2.5</v>
      </c>
      <c r="J647" t="n">
        <v>0</v>
      </c>
      <c r="K647" t="n">
        <v>0</v>
      </c>
      <c r="L647" t="n">
        <v>0</v>
      </c>
      <c r="M647" t="n">
        <v>0</v>
      </c>
      <c r="N647" t="n">
        <v>0</v>
      </c>
      <c r="O647" t="n">
        <v>0</v>
      </c>
      <c r="P647" t="n">
        <v>0</v>
      </c>
      <c r="Q647" t="n">
        <v>0</v>
      </c>
      <c r="R647" t="n">
        <v>0</v>
      </c>
      <c r="S647" t="n">
        <v>0</v>
      </c>
      <c r="T647" t="n">
        <v>0</v>
      </c>
      <c r="U647" s="2" t="inlineStr"/>
    </row>
    <row r="648" ht="15" customHeight="1">
      <c r="A648" t="inlineStr">
        <is>
          <t>A 4562-2022</t>
        </is>
      </c>
      <c r="B648" t="inlineStr">
        <is>
          <t>avverkningsanmälan</t>
        </is>
      </c>
      <c r="C648" t="inlineStr">
        <is>
          <t>Föryngringsavverkning</t>
        </is>
      </c>
      <c r="D648" s="1" t="n">
        <v>44591</v>
      </c>
      <c r="E648" s="1" t="n">
        <v>46221</v>
      </c>
      <c r="F648" t="inlineStr">
        <is>
          <t>UPPSALA LÄN</t>
        </is>
      </c>
      <c r="G648" t="inlineStr">
        <is>
          <t>ÖSTHAMMAR</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30702-2026</t>
        </is>
      </c>
      <c r="B649" t="inlineStr">
        <is>
          <t>avverkningsanmälan</t>
        </is>
      </c>
      <c r="C649" t="inlineStr">
        <is>
          <t>Föryngringsavverkning</t>
        </is>
      </c>
      <c r="D649" s="1" t="n">
        <v>46211</v>
      </c>
      <c r="E649" s="1" t="n">
        <v>46221</v>
      </c>
      <c r="F649" t="inlineStr">
        <is>
          <t>UPPSALA LÄN</t>
        </is>
      </c>
      <c r="G649" t="inlineStr">
        <is>
          <t>ÖSTHAMMAR</t>
        </is>
      </c>
      <c r="H649" t="inlineStr">
        <is>
          <t>Bergvik skog öst AB</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30728-2026</t>
        </is>
      </c>
      <c r="B650" t="inlineStr">
        <is>
          <t>avverkningsanmälan</t>
        </is>
      </c>
      <c r="C650" t="inlineStr">
        <is>
          <t>Föryngringsavverkning</t>
        </is>
      </c>
      <c r="D650" s="1" t="n">
        <v>46211</v>
      </c>
      <c r="E650" s="1" t="n">
        <v>46221</v>
      </c>
      <c r="F650" t="inlineStr">
        <is>
          <t>UPPSALA LÄN</t>
        </is>
      </c>
      <c r="G650" t="inlineStr">
        <is>
          <t>ÖSTHAMMAR</t>
        </is>
      </c>
      <c r="H650" t="inlineStr">
        <is>
          <t>Övriga Aktiebolag</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41538-2021</t>
        </is>
      </c>
      <c r="B651" t="inlineStr">
        <is>
          <t>avverkningsanmälan</t>
        </is>
      </c>
      <c r="C651" t="inlineStr">
        <is>
          <t>Föryngringsavverkning</t>
        </is>
      </c>
      <c r="D651" s="1" t="n">
        <v>44425</v>
      </c>
      <c r="E651" s="1" t="n">
        <v>46221</v>
      </c>
      <c r="F651" t="inlineStr">
        <is>
          <t>UPPSALA LÄN</t>
        </is>
      </c>
      <c r="G651" t="inlineStr">
        <is>
          <t>ÖSTHAMMAR</t>
        </is>
      </c>
      <c r="H651" t="inlineStr">
        <is>
          <t>Bergvik skog öst AB</t>
        </is>
      </c>
      <c r="I651" t="n">
        <v>0.4</v>
      </c>
      <c r="J651" t="n">
        <v>0</v>
      </c>
      <c r="K651" t="n">
        <v>0</v>
      </c>
      <c r="L651" t="n">
        <v>0</v>
      </c>
      <c r="M651" t="n">
        <v>0</v>
      </c>
      <c r="N651" t="n">
        <v>0</v>
      </c>
      <c r="O651" t="n">
        <v>0</v>
      </c>
      <c r="P651" t="n">
        <v>0</v>
      </c>
      <c r="Q651" t="n">
        <v>0</v>
      </c>
      <c r="R651" t="n">
        <v>0</v>
      </c>
      <c r="S651" t="n">
        <v>0</v>
      </c>
      <c r="T651" t="n">
        <v>0</v>
      </c>
      <c r="U651" s="2" t="inlineStr"/>
    </row>
    <row r="652" ht="15" customHeight="1">
      <c r="A652" t="inlineStr">
        <is>
          <t>A 36301-2023</t>
        </is>
      </c>
      <c r="B652" t="inlineStr">
        <is>
          <t>avverkningsanmälan</t>
        </is>
      </c>
      <c r="C652" t="inlineStr">
        <is>
          <t>Föryngringsavverkning</t>
        </is>
      </c>
      <c r="D652" s="1" t="n">
        <v>45152</v>
      </c>
      <c r="E652" s="1" t="n">
        <v>46221</v>
      </c>
      <c r="F652" t="inlineStr">
        <is>
          <t>UPPSALA LÄN</t>
        </is>
      </c>
      <c r="G652" t="inlineStr">
        <is>
          <t>ÖSTHAMMAR</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30680-2026</t>
        </is>
      </c>
      <c r="B653" t="inlineStr">
        <is>
          <t>avverkningsanmälan</t>
        </is>
      </c>
      <c r="C653" t="inlineStr">
        <is>
          <t>Föryngringsavverkning</t>
        </is>
      </c>
      <c r="D653" s="1" t="n">
        <v>46211</v>
      </c>
      <c r="E653" s="1" t="n">
        <v>46221</v>
      </c>
      <c r="F653" t="inlineStr">
        <is>
          <t>UPPSALA LÄN</t>
        </is>
      </c>
      <c r="G653" t="inlineStr">
        <is>
          <t>ÖSTHAMMAR</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28429-2023</t>
        </is>
      </c>
      <c r="B654" t="inlineStr">
        <is>
          <t>avverkningsanmälan</t>
        </is>
      </c>
      <c r="C654" t="inlineStr">
        <is>
          <t>Föryngringsavverkning</t>
        </is>
      </c>
      <c r="D654" s="1" t="n">
        <v>45102</v>
      </c>
      <c r="E654" s="1" t="n">
        <v>46221</v>
      </c>
      <c r="F654" t="inlineStr">
        <is>
          <t>UPPSALA LÄN</t>
        </is>
      </c>
      <c r="G654" t="inlineStr">
        <is>
          <t>ÖSTHAMMAR</t>
        </is>
      </c>
      <c r="H654" t="inlineStr">
        <is>
          <t>Bergvik skog öst AB</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67199-2021</t>
        </is>
      </c>
      <c r="B655" t="inlineStr">
        <is>
          <t>avverkningsanmälan</t>
        </is>
      </c>
      <c r="C655" t="inlineStr">
        <is>
          <t>Föryngringsavverkning</t>
        </is>
      </c>
      <c r="D655" s="1" t="n">
        <v>44523</v>
      </c>
      <c r="E655" s="1" t="n">
        <v>46221</v>
      </c>
      <c r="F655" t="inlineStr">
        <is>
          <t>UPPSALA LÄN</t>
        </is>
      </c>
      <c r="G655" t="inlineStr">
        <is>
          <t>ÖSTHAMMAR</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24259-2022</t>
        </is>
      </c>
      <c r="B656" t="inlineStr">
        <is>
          <t>avverkningsanmälan</t>
        </is>
      </c>
      <c r="C656" t="inlineStr">
        <is>
          <t>Föryngringsavverkning</t>
        </is>
      </c>
      <c r="D656" s="1" t="n">
        <v>44725</v>
      </c>
      <c r="E656" s="1" t="n">
        <v>46221</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24367-2022</t>
        </is>
      </c>
      <c r="B657" t="inlineStr">
        <is>
          <t>avverkningsanmälan</t>
        </is>
      </c>
      <c r="C657" t="inlineStr">
        <is>
          <t>Föryngringsavverkning</t>
        </is>
      </c>
      <c r="D657" s="1" t="n">
        <v>44726</v>
      </c>
      <c r="E657" s="1" t="n">
        <v>46221</v>
      </c>
      <c r="F657" t="inlineStr">
        <is>
          <t>UPPSALA LÄN</t>
        </is>
      </c>
      <c r="G657" t="inlineStr">
        <is>
          <t>ÖSTHAMMAR</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49897-2023</t>
        </is>
      </c>
      <c r="B658" t="inlineStr">
        <is>
          <t>avverkningsanmälan</t>
        </is>
      </c>
      <c r="C658" t="inlineStr">
        <is>
          <t>Avverkning för att bevara och utveckla /försöksver</t>
        </is>
      </c>
      <c r="D658" s="1" t="n">
        <v>45213</v>
      </c>
      <c r="E658" s="1" t="n">
        <v>46221</v>
      </c>
      <c r="F658" t="inlineStr">
        <is>
          <t>UPPSALA LÄN</t>
        </is>
      </c>
      <c r="G658" t="inlineStr">
        <is>
          <t>ÖSTHAMMAR</t>
        </is>
      </c>
      <c r="I658" t="n">
        <v>9.199999999999999</v>
      </c>
      <c r="J658" t="n">
        <v>0</v>
      </c>
      <c r="K658" t="n">
        <v>0</v>
      </c>
      <c r="L658" t="n">
        <v>0</v>
      </c>
      <c r="M658" t="n">
        <v>0</v>
      </c>
      <c r="N658" t="n">
        <v>0</v>
      </c>
      <c r="O658" t="n">
        <v>0</v>
      </c>
      <c r="P658" t="n">
        <v>0</v>
      </c>
      <c r="Q658" t="n">
        <v>0</v>
      </c>
      <c r="R658" t="n">
        <v>0</v>
      </c>
      <c r="S658" t="n">
        <v>0</v>
      </c>
      <c r="T658" t="n">
        <v>0</v>
      </c>
      <c r="U658" s="2" t="inlineStr"/>
    </row>
    <row r="659" ht="15" customHeight="1">
      <c r="A659" t="inlineStr">
        <is>
          <t>A 34922-2023</t>
        </is>
      </c>
      <c r="B659" t="inlineStr">
        <is>
          <t>avverkningsanmälan</t>
        </is>
      </c>
      <c r="C659" t="inlineStr">
        <is>
          <t>Föryngringsavverkning</t>
        </is>
      </c>
      <c r="D659" s="1" t="n">
        <v>45142</v>
      </c>
      <c r="E659" s="1" t="n">
        <v>46221</v>
      </c>
      <c r="F659" t="inlineStr">
        <is>
          <t>UPPSALA LÄN</t>
        </is>
      </c>
      <c r="G659" t="inlineStr">
        <is>
          <t>ÖSTHAMMAR</t>
        </is>
      </c>
      <c r="H659" t="inlineStr">
        <is>
          <t>Bergvik skog öst AB</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18401-2025</t>
        </is>
      </c>
      <c r="B660" t="inlineStr">
        <is>
          <t>avverkningsanmälan</t>
        </is>
      </c>
      <c r="C660" t="inlineStr">
        <is>
          <t>Föryngringsavverkning</t>
        </is>
      </c>
      <c r="D660" s="1" t="n">
        <v>45762</v>
      </c>
      <c r="E660" s="1" t="n">
        <v>46221</v>
      </c>
      <c r="F660" t="inlineStr">
        <is>
          <t>UPPSALA LÄN</t>
        </is>
      </c>
      <c r="G660" t="inlineStr">
        <is>
          <t>ÖSTHAMMAR</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50998-2023</t>
        </is>
      </c>
      <c r="B661" t="inlineStr">
        <is>
          <t>avverkningsanmälan</t>
        </is>
      </c>
      <c r="C661" t="inlineStr">
        <is>
          <t>Föryngringsavverkning</t>
        </is>
      </c>
      <c r="D661" s="1" t="n">
        <v>45218</v>
      </c>
      <c r="E661" s="1" t="n">
        <v>46221</v>
      </c>
      <c r="F661" t="inlineStr">
        <is>
          <t>UPPSALA LÄN</t>
        </is>
      </c>
      <c r="G661" t="inlineStr">
        <is>
          <t>ÖSTHAMMAR</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33973-2025</t>
        </is>
      </c>
      <c r="B662" t="inlineStr">
        <is>
          <t>avverkningsanmälan</t>
        </is>
      </c>
      <c r="C662" t="inlineStr">
        <is>
          <t>Föryngringsavverkning</t>
        </is>
      </c>
      <c r="D662" s="1" t="n">
        <v>45842</v>
      </c>
      <c r="E662" s="1" t="n">
        <v>46221</v>
      </c>
      <c r="F662" t="inlineStr">
        <is>
          <t>UPPSALA LÄN</t>
        </is>
      </c>
      <c r="G662" t="inlineStr">
        <is>
          <t>ÖSTHAMMAR</t>
        </is>
      </c>
      <c r="I662" t="n">
        <v>1.9</v>
      </c>
      <c r="J662" t="n">
        <v>0</v>
      </c>
      <c r="K662" t="n">
        <v>0</v>
      </c>
      <c r="L662" t="n">
        <v>0</v>
      </c>
      <c r="M662" t="n">
        <v>0</v>
      </c>
      <c r="N662" t="n">
        <v>0</v>
      </c>
      <c r="O662" t="n">
        <v>0</v>
      </c>
      <c r="P662" t="n">
        <v>0</v>
      </c>
      <c r="Q662" t="n">
        <v>0</v>
      </c>
      <c r="R662" t="n">
        <v>0</v>
      </c>
      <c r="S662" t="n">
        <v>0</v>
      </c>
      <c r="T662" t="n">
        <v>0</v>
      </c>
      <c r="U662" s="2" t="inlineStr"/>
    </row>
    <row r="663" ht="15" customHeight="1">
      <c r="A663" t="inlineStr">
        <is>
          <t>A 31669-2022</t>
        </is>
      </c>
      <c r="B663" t="inlineStr">
        <is>
          <t>avverkningsanmälan</t>
        </is>
      </c>
      <c r="C663" t="inlineStr">
        <is>
          <t>Föryngringsavverkning</t>
        </is>
      </c>
      <c r="D663" s="1" t="n">
        <v>44775</v>
      </c>
      <c r="E663" s="1" t="n">
        <v>46221</v>
      </c>
      <c r="F663" t="inlineStr">
        <is>
          <t>UPPSALA LÄN</t>
        </is>
      </c>
      <c r="G663" t="inlineStr">
        <is>
          <t>ÖSTHAMMAR</t>
        </is>
      </c>
      <c r="I663" t="n">
        <v>6</v>
      </c>
      <c r="J663" t="n">
        <v>0</v>
      </c>
      <c r="K663" t="n">
        <v>0</v>
      </c>
      <c r="L663" t="n">
        <v>0</v>
      </c>
      <c r="M663" t="n">
        <v>0</v>
      </c>
      <c r="N663" t="n">
        <v>0</v>
      </c>
      <c r="O663" t="n">
        <v>0</v>
      </c>
      <c r="P663" t="n">
        <v>0</v>
      </c>
      <c r="Q663" t="n">
        <v>0</v>
      </c>
      <c r="R663" t="n">
        <v>0</v>
      </c>
      <c r="S663" t="n">
        <v>0</v>
      </c>
      <c r="T663" t="n">
        <v>0</v>
      </c>
      <c r="U663" s="2" t="inlineStr"/>
    </row>
    <row r="664" ht="15" customHeight="1">
      <c r="A664" t="inlineStr">
        <is>
          <t>A 16531-2025</t>
        </is>
      </c>
      <c r="B664" t="inlineStr">
        <is>
          <t>avverkningsanmälan</t>
        </is>
      </c>
      <c r="C664" t="inlineStr">
        <is>
          <t>Avverkning för annat ändamål</t>
        </is>
      </c>
      <c r="D664" s="1" t="n">
        <v>45751</v>
      </c>
      <c r="E664" s="1" t="n">
        <v>46221</v>
      </c>
      <c r="F664" t="inlineStr">
        <is>
          <t>UPPSALA LÄN</t>
        </is>
      </c>
      <c r="G664" t="inlineStr">
        <is>
          <t>ÖSTHAMMAR</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28420-2023</t>
        </is>
      </c>
      <c r="B665" t="inlineStr">
        <is>
          <t>avverkningsanmälan</t>
        </is>
      </c>
      <c r="C665" t="inlineStr">
        <is>
          <t>Föryngringsavverkning</t>
        </is>
      </c>
      <c r="D665" s="1" t="n">
        <v>45102</v>
      </c>
      <c r="E665" s="1" t="n">
        <v>46221</v>
      </c>
      <c r="F665" t="inlineStr">
        <is>
          <t>UPPSALA LÄN</t>
        </is>
      </c>
      <c r="G665" t="inlineStr">
        <is>
          <t>ÖSTHAMMAR</t>
        </is>
      </c>
      <c r="H665" t="inlineStr">
        <is>
          <t>Bergvik skog öst AB</t>
        </is>
      </c>
      <c r="I665" t="n">
        <v>3.2</v>
      </c>
      <c r="J665" t="n">
        <v>0</v>
      </c>
      <c r="K665" t="n">
        <v>0</v>
      </c>
      <c r="L665" t="n">
        <v>0</v>
      </c>
      <c r="M665" t="n">
        <v>0</v>
      </c>
      <c r="N665" t="n">
        <v>0</v>
      </c>
      <c r="O665" t="n">
        <v>0</v>
      </c>
      <c r="P665" t="n">
        <v>0</v>
      </c>
      <c r="Q665" t="n">
        <v>0</v>
      </c>
      <c r="R665" t="n">
        <v>0</v>
      </c>
      <c r="S665" t="n">
        <v>0</v>
      </c>
      <c r="T665" t="n">
        <v>0</v>
      </c>
      <c r="U665" s="2" t="inlineStr"/>
    </row>
    <row r="666" ht="15" customHeight="1">
      <c r="A666" t="inlineStr">
        <is>
          <t>A 40547-2023</t>
        </is>
      </c>
      <c r="B666" t="inlineStr">
        <is>
          <t>avverkningsanmälan</t>
        </is>
      </c>
      <c r="C666" t="inlineStr">
        <is>
          <t>Föryngringsavverkning</t>
        </is>
      </c>
      <c r="D666" s="1" t="n">
        <v>45170</v>
      </c>
      <c r="E666" s="1" t="n">
        <v>46221</v>
      </c>
      <c r="F666" t="inlineStr">
        <is>
          <t>UPPSALA LÄN</t>
        </is>
      </c>
      <c r="G666" t="inlineStr">
        <is>
          <t>ÖSTHAMMAR</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31241-2026</t>
        </is>
      </c>
      <c r="B667" t="inlineStr">
        <is>
          <t>avverkningsanmälan</t>
        </is>
      </c>
      <c r="C667" t="inlineStr">
        <is>
          <t>Föryngringsavverkning</t>
        </is>
      </c>
      <c r="D667" s="1" t="n">
        <v>46217</v>
      </c>
      <c r="E667" s="1" t="n">
        <v>46221</v>
      </c>
      <c r="F667" t="inlineStr">
        <is>
          <t>UPPSALA LÄN</t>
        </is>
      </c>
      <c r="G667" t="inlineStr">
        <is>
          <t>ÖSTHAMMAR</t>
        </is>
      </c>
      <c r="H667" t="inlineStr">
        <is>
          <t>Bergvik skog öst AB</t>
        </is>
      </c>
      <c r="I667" t="n">
        <v>8.9</v>
      </c>
      <c r="J667" t="n">
        <v>0</v>
      </c>
      <c r="K667" t="n">
        <v>0</v>
      </c>
      <c r="L667" t="n">
        <v>0</v>
      </c>
      <c r="M667" t="n">
        <v>0</v>
      </c>
      <c r="N667" t="n">
        <v>0</v>
      </c>
      <c r="O667" t="n">
        <v>0</v>
      </c>
      <c r="P667" t="n">
        <v>0</v>
      </c>
      <c r="Q667" t="n">
        <v>0</v>
      </c>
      <c r="R667" t="n">
        <v>0</v>
      </c>
      <c r="S667" t="n">
        <v>0</v>
      </c>
      <c r="T667" t="n">
        <v>0</v>
      </c>
      <c r="U667" s="2" t="inlineStr"/>
    </row>
    <row r="668" ht="15" customHeight="1">
      <c r="A668" t="inlineStr">
        <is>
          <t>A 10449-2023</t>
        </is>
      </c>
      <c r="B668" t="inlineStr">
        <is>
          <t>avverkningsanmälan</t>
        </is>
      </c>
      <c r="C668" t="inlineStr">
        <is>
          <t>Föryngringsavverkning</t>
        </is>
      </c>
      <c r="D668" s="1" t="n">
        <v>44987</v>
      </c>
      <c r="E668" s="1" t="n">
        <v>46221</v>
      </c>
      <c r="F668" t="inlineStr">
        <is>
          <t>UPPSALA LÄN</t>
        </is>
      </c>
      <c r="G668" t="inlineStr">
        <is>
          <t>ÖSTHAMMAR</t>
        </is>
      </c>
      <c r="I668" t="n">
        <v>3.1</v>
      </c>
      <c r="J668" t="n">
        <v>0</v>
      </c>
      <c r="K668" t="n">
        <v>0</v>
      </c>
      <c r="L668" t="n">
        <v>0</v>
      </c>
      <c r="M668" t="n">
        <v>0</v>
      </c>
      <c r="N668" t="n">
        <v>0</v>
      </c>
      <c r="O668" t="n">
        <v>0</v>
      </c>
      <c r="P668" t="n">
        <v>0</v>
      </c>
      <c r="Q668" t="n">
        <v>0</v>
      </c>
      <c r="R668" t="n">
        <v>0</v>
      </c>
      <c r="S668" t="n">
        <v>0</v>
      </c>
      <c r="T668" t="n">
        <v>0</v>
      </c>
      <c r="U668" s="2" t="inlineStr"/>
    </row>
    <row r="669" ht="15" customHeight="1">
      <c r="A669" t="inlineStr">
        <is>
          <t>A 31035-2022</t>
        </is>
      </c>
      <c r="B669" t="inlineStr">
        <is>
          <t>avverkningsanmälan</t>
        </is>
      </c>
      <c r="C669" t="inlineStr">
        <is>
          <t>Föryngringsavverkning</t>
        </is>
      </c>
      <c r="D669" s="1" t="n">
        <v>44768</v>
      </c>
      <c r="E669" s="1" t="n">
        <v>46221</v>
      </c>
      <c r="F669" t="inlineStr">
        <is>
          <t>UPPSALA LÄN</t>
        </is>
      </c>
      <c r="G669" t="inlineStr">
        <is>
          <t>ÖSTHAMMAR</t>
        </is>
      </c>
      <c r="H669" t="inlineStr">
        <is>
          <t>Bergvik skog öst AB</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31240-2026</t>
        </is>
      </c>
      <c r="B670" t="inlineStr">
        <is>
          <t>avverkningsanmälan</t>
        </is>
      </c>
      <c r="C670" t="inlineStr">
        <is>
          <t>Föryngringsavverkning</t>
        </is>
      </c>
      <c r="D670" s="1" t="n">
        <v>46217</v>
      </c>
      <c r="E670" s="1" t="n">
        <v>46221</v>
      </c>
      <c r="F670" t="inlineStr">
        <is>
          <t>UPPSALA LÄN</t>
        </is>
      </c>
      <c r="G670" t="inlineStr">
        <is>
          <t>ÖSTHAMMAR</t>
        </is>
      </c>
      <c r="H670" t="inlineStr">
        <is>
          <t>Bergvik skog öst AB</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25399-2026</t>
        </is>
      </c>
      <c r="B671" t="inlineStr">
        <is>
          <t>avverkningsanmälan</t>
        </is>
      </c>
      <c r="C671" t="inlineStr">
        <is>
          <t>Föryngringsavverkning</t>
        </is>
      </c>
      <c r="D671" s="1" t="n">
        <v>46176</v>
      </c>
      <c r="E671" s="1" t="n">
        <v>46221</v>
      </c>
      <c r="F671" t="inlineStr">
        <is>
          <t>UPPSALA LÄN</t>
        </is>
      </c>
      <c r="G671" t="inlineStr">
        <is>
          <t>ÖSTHAMMAR</t>
        </is>
      </c>
      <c r="I671" t="n">
        <v>5.6</v>
      </c>
      <c r="J671" t="n">
        <v>0</v>
      </c>
      <c r="K671" t="n">
        <v>0</v>
      </c>
      <c r="L671" t="n">
        <v>0</v>
      </c>
      <c r="M671" t="n">
        <v>0</v>
      </c>
      <c r="N671" t="n">
        <v>0</v>
      </c>
      <c r="O671" t="n">
        <v>0</v>
      </c>
      <c r="P671" t="n">
        <v>0</v>
      </c>
      <c r="Q671" t="n">
        <v>0</v>
      </c>
      <c r="R671" t="n">
        <v>0</v>
      </c>
      <c r="S671" t="n">
        <v>0</v>
      </c>
      <c r="T671" t="n">
        <v>0</v>
      </c>
      <c r="U671" s="2" t="inlineStr"/>
    </row>
    <row r="672" ht="15" customHeight="1">
      <c r="A672" t="inlineStr">
        <is>
          <t>A 25833-2026</t>
        </is>
      </c>
      <c r="B672" t="inlineStr">
        <is>
          <t>avverkningsanmälan</t>
        </is>
      </c>
      <c r="C672" t="inlineStr">
        <is>
          <t>Föryngringsavverkning</t>
        </is>
      </c>
      <c r="D672" s="1" t="n">
        <v>46178</v>
      </c>
      <c r="E672" s="1" t="n">
        <v>46221</v>
      </c>
      <c r="F672" t="inlineStr">
        <is>
          <t>UPPSALA LÄN</t>
        </is>
      </c>
      <c r="G672" t="inlineStr">
        <is>
          <t>ÖSTHAMMAR</t>
        </is>
      </c>
      <c r="H672" t="inlineStr">
        <is>
          <t>Bergvik skog öst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25843-2026</t>
        </is>
      </c>
      <c r="B673" t="inlineStr">
        <is>
          <t>avverkningsanmälan</t>
        </is>
      </c>
      <c r="C673" t="inlineStr">
        <is>
          <t>Föryngringsavverkning</t>
        </is>
      </c>
      <c r="D673" s="1" t="n">
        <v>46178</v>
      </c>
      <c r="E673" s="1" t="n">
        <v>46221</v>
      </c>
      <c r="F673" t="inlineStr">
        <is>
          <t>UPPSALA LÄN</t>
        </is>
      </c>
      <c r="G673" t="inlineStr">
        <is>
          <t>ÖSTHAMMAR</t>
        </is>
      </c>
      <c r="H673" t="inlineStr">
        <is>
          <t>Bergvik skog öst AB</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A 31336-2026</t>
        </is>
      </c>
      <c r="B674" t="inlineStr">
        <is>
          <t>avverkningsanmälan</t>
        </is>
      </c>
      <c r="C674" t="inlineStr">
        <is>
          <t>Föryngringsavverkning</t>
        </is>
      </c>
      <c r="D674" s="1" t="n">
        <v>46219</v>
      </c>
      <c r="E674" s="1" t="n">
        <v>46221</v>
      </c>
      <c r="F674" t="inlineStr">
        <is>
          <t>UPPSALA LÄN</t>
        </is>
      </c>
      <c r="G674" t="inlineStr">
        <is>
          <t>ÖSTHAMMAR</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25398-2026</t>
        </is>
      </c>
      <c r="B675" t="inlineStr">
        <is>
          <t>avverkningsanmälan</t>
        </is>
      </c>
      <c r="C675" t="inlineStr">
        <is>
          <t>Föryngringsavverkning</t>
        </is>
      </c>
      <c r="D675" s="1" t="n">
        <v>46176</v>
      </c>
      <c r="E675" s="1" t="n">
        <v>46221</v>
      </c>
      <c r="F675" t="inlineStr">
        <is>
          <t>UPPSALA LÄN</t>
        </is>
      </c>
      <c r="G675" t="inlineStr">
        <is>
          <t>ÖSTHAMMAR</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22798-2023</t>
        </is>
      </c>
      <c r="B676" t="inlineStr">
        <is>
          <t>avverkningsanmälan</t>
        </is>
      </c>
      <c r="C676" t="inlineStr">
        <is>
          <t>Avverkning för annat ändamål</t>
        </is>
      </c>
      <c r="D676" s="1" t="n">
        <v>45072</v>
      </c>
      <c r="E676" s="1" t="n">
        <v>46221</v>
      </c>
      <c r="F676" t="inlineStr">
        <is>
          <t>UPPSALA LÄN</t>
        </is>
      </c>
      <c r="G676" t="inlineStr">
        <is>
          <t>ÖSTHAMMAR</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10982-2023</t>
        </is>
      </c>
      <c r="B677" t="inlineStr">
        <is>
          <t>avverkningsanmälan</t>
        </is>
      </c>
      <c r="C677" t="inlineStr">
        <is>
          <t>Föryngringsavverkning</t>
        </is>
      </c>
      <c r="D677" s="1" t="n">
        <v>44991</v>
      </c>
      <c r="E677" s="1" t="n">
        <v>46221</v>
      </c>
      <c r="F677" t="inlineStr">
        <is>
          <t>UPPSALA LÄN</t>
        </is>
      </c>
      <c r="G677" t="inlineStr">
        <is>
          <t>ÖSTHAMMAR</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31330-2026</t>
        </is>
      </c>
      <c r="B678" t="inlineStr">
        <is>
          <t>avverkningsanmälan</t>
        </is>
      </c>
      <c r="C678" t="inlineStr">
        <is>
          <t>Föryngringsavverkning</t>
        </is>
      </c>
      <c r="D678" s="1" t="n">
        <v>46219</v>
      </c>
      <c r="E678" s="1" t="n">
        <v>46221</v>
      </c>
      <c r="F678" t="inlineStr">
        <is>
          <t>UPPSALA LÄN</t>
        </is>
      </c>
      <c r="G678" t="inlineStr">
        <is>
          <t>ÖSTHAMMAR</t>
        </is>
      </c>
      <c r="I678" t="n">
        <v>2.4</v>
      </c>
      <c r="J678" t="n">
        <v>0</v>
      </c>
      <c r="K678" t="n">
        <v>0</v>
      </c>
      <c r="L678" t="n">
        <v>0</v>
      </c>
      <c r="M678" t="n">
        <v>0</v>
      </c>
      <c r="N678" t="n">
        <v>0</v>
      </c>
      <c r="O678" t="n">
        <v>0</v>
      </c>
      <c r="P678" t="n">
        <v>0</v>
      </c>
      <c r="Q678" t="n">
        <v>0</v>
      </c>
      <c r="R678" t="n">
        <v>0</v>
      </c>
      <c r="S678" t="n">
        <v>0</v>
      </c>
      <c r="T678" t="n">
        <v>0</v>
      </c>
      <c r="U678" s="2" t="inlineStr"/>
    </row>
    <row r="679" ht="15" customHeight="1">
      <c r="A679" t="inlineStr">
        <is>
          <t>A 40637-2022</t>
        </is>
      </c>
      <c r="B679" t="inlineStr">
        <is>
          <t>avverkningsanmälan</t>
        </is>
      </c>
      <c r="C679" t="inlineStr">
        <is>
          <t>Avverkning för annat ändamål</t>
        </is>
      </c>
      <c r="D679" s="1" t="n">
        <v>44824</v>
      </c>
      <c r="E679" s="1" t="n">
        <v>46221</v>
      </c>
      <c r="F679" t="inlineStr">
        <is>
          <t>UPPSALA LÄN</t>
        </is>
      </c>
      <c r="G679" t="inlineStr">
        <is>
          <t>ÖSTHAMMAR</t>
        </is>
      </c>
      <c r="H679" t="inlineStr">
        <is>
          <t>Övriga Aktiebolag</t>
        </is>
      </c>
      <c r="I679" t="n">
        <v>3.7</v>
      </c>
      <c r="J679" t="n">
        <v>0</v>
      </c>
      <c r="K679" t="n">
        <v>0</v>
      </c>
      <c r="L679" t="n">
        <v>0</v>
      </c>
      <c r="M679" t="n">
        <v>0</v>
      </c>
      <c r="N679" t="n">
        <v>0</v>
      </c>
      <c r="O679" t="n">
        <v>0</v>
      </c>
      <c r="P679" t="n">
        <v>0</v>
      </c>
      <c r="Q679" t="n">
        <v>0</v>
      </c>
      <c r="R679" t="n">
        <v>0</v>
      </c>
      <c r="S679" t="n">
        <v>0</v>
      </c>
      <c r="T679" t="n">
        <v>0</v>
      </c>
      <c r="U679" s="2" t="inlineStr"/>
    </row>
    <row r="680" ht="15" customHeight="1">
      <c r="A680" t="inlineStr">
        <is>
          <t>A 25394-2026</t>
        </is>
      </c>
      <c r="B680" t="inlineStr">
        <is>
          <t>avverkningsanmälan</t>
        </is>
      </c>
      <c r="C680" t="inlineStr">
        <is>
          <t>Föryngringsavverkning</t>
        </is>
      </c>
      <c r="D680" s="1" t="n">
        <v>46176</v>
      </c>
      <c r="E680" s="1" t="n">
        <v>46221</v>
      </c>
      <c r="F680" t="inlineStr">
        <is>
          <t>UPPSALA LÄN</t>
        </is>
      </c>
      <c r="G680" t="inlineStr">
        <is>
          <t>ÖSTHAMMAR</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21624-2023</t>
        </is>
      </c>
      <c r="B681" t="inlineStr">
        <is>
          <t>avverkningsanmälan</t>
        </is>
      </c>
      <c r="C681" t="inlineStr">
        <is>
          <t>Föryngringsavverkning</t>
        </is>
      </c>
      <c r="D681" s="1" t="n">
        <v>45063</v>
      </c>
      <c r="E681" s="1" t="n">
        <v>46221</v>
      </c>
      <c r="F681" t="inlineStr">
        <is>
          <t>UPPSALA LÄN</t>
        </is>
      </c>
      <c r="G681" t="inlineStr">
        <is>
          <t>ÖSTHAMMAR</t>
        </is>
      </c>
      <c r="H681" t="inlineStr">
        <is>
          <t>Sveaskog</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25366-2026</t>
        </is>
      </c>
      <c r="B682" t="inlineStr">
        <is>
          <t>avverkningsanmälan</t>
        </is>
      </c>
      <c r="C682" t="inlineStr">
        <is>
          <t>Föryngringsavverkning</t>
        </is>
      </c>
      <c r="D682" s="1" t="n">
        <v>46176</v>
      </c>
      <c r="E682" s="1" t="n">
        <v>46221</v>
      </c>
      <c r="F682" t="inlineStr">
        <is>
          <t>UPPSALA LÄN</t>
        </is>
      </c>
      <c r="G682" t="inlineStr">
        <is>
          <t>ÖSTHAMMAR</t>
        </is>
      </c>
      <c r="I682" t="n">
        <v>2.6</v>
      </c>
      <c r="J682" t="n">
        <v>0</v>
      </c>
      <c r="K682" t="n">
        <v>0</v>
      </c>
      <c r="L682" t="n">
        <v>0</v>
      </c>
      <c r="M682" t="n">
        <v>0</v>
      </c>
      <c r="N682" t="n">
        <v>0</v>
      </c>
      <c r="O682" t="n">
        <v>0</v>
      </c>
      <c r="P682" t="n">
        <v>0</v>
      </c>
      <c r="Q682" t="n">
        <v>0</v>
      </c>
      <c r="R682" t="n">
        <v>0</v>
      </c>
      <c r="S682" t="n">
        <v>0</v>
      </c>
      <c r="T682" t="n">
        <v>0</v>
      </c>
      <c r="U682" s="2" t="inlineStr"/>
    </row>
    <row r="683" ht="15" customHeight="1">
      <c r="A683" t="inlineStr">
        <is>
          <t>A 25377-2026</t>
        </is>
      </c>
      <c r="B683" t="inlineStr">
        <is>
          <t>avverkningsanmälan</t>
        </is>
      </c>
      <c r="C683" t="inlineStr">
        <is>
          <t>Föryngringsavverkning</t>
        </is>
      </c>
      <c r="D683" s="1" t="n">
        <v>46176</v>
      </c>
      <c r="E683" s="1" t="n">
        <v>46221</v>
      </c>
      <c r="F683" t="inlineStr">
        <is>
          <t>UPPSALA LÄN</t>
        </is>
      </c>
      <c r="G683" t="inlineStr">
        <is>
          <t>ÖSTHAMMAR</t>
        </is>
      </c>
      <c r="I683" t="n">
        <v>14.3</v>
      </c>
      <c r="J683" t="n">
        <v>0</v>
      </c>
      <c r="K683" t="n">
        <v>0</v>
      </c>
      <c r="L683" t="n">
        <v>0</v>
      </c>
      <c r="M683" t="n">
        <v>0</v>
      </c>
      <c r="N683" t="n">
        <v>0</v>
      </c>
      <c r="O683" t="n">
        <v>0</v>
      </c>
      <c r="P683" t="n">
        <v>0</v>
      </c>
      <c r="Q683" t="n">
        <v>0</v>
      </c>
      <c r="R683" t="n">
        <v>0</v>
      </c>
      <c r="S683" t="n">
        <v>0</v>
      </c>
      <c r="T683" t="n">
        <v>0</v>
      </c>
      <c r="U683" s="2" t="inlineStr"/>
    </row>
    <row r="684" ht="15" customHeight="1">
      <c r="A684" t="inlineStr">
        <is>
          <t>A 25846-2026</t>
        </is>
      </c>
      <c r="B684" t="inlineStr">
        <is>
          <t>avverkningsanmälan</t>
        </is>
      </c>
      <c r="C684" t="inlineStr">
        <is>
          <t>Föryngringsavverkning</t>
        </is>
      </c>
      <c r="D684" s="1" t="n">
        <v>46178</v>
      </c>
      <c r="E684" s="1" t="n">
        <v>46221</v>
      </c>
      <c r="F684" t="inlineStr">
        <is>
          <t>UPPSALA LÄN</t>
        </is>
      </c>
      <c r="G684" t="inlineStr">
        <is>
          <t>ÖSTHAMMAR</t>
        </is>
      </c>
      <c r="H684" t="inlineStr">
        <is>
          <t>Bergvik skog öst AB</t>
        </is>
      </c>
      <c r="I684" t="n">
        <v>2.4</v>
      </c>
      <c r="J684" t="n">
        <v>0</v>
      </c>
      <c r="K684" t="n">
        <v>0</v>
      </c>
      <c r="L684" t="n">
        <v>0</v>
      </c>
      <c r="M684" t="n">
        <v>0</v>
      </c>
      <c r="N684" t="n">
        <v>0</v>
      </c>
      <c r="O684" t="n">
        <v>0</v>
      </c>
      <c r="P684" t="n">
        <v>0</v>
      </c>
      <c r="Q684" t="n">
        <v>0</v>
      </c>
      <c r="R684" t="n">
        <v>0</v>
      </c>
      <c r="S684" t="n">
        <v>0</v>
      </c>
      <c r="T684" t="n">
        <v>0</v>
      </c>
      <c r="U684" s="2" t="inlineStr"/>
    </row>
    <row r="685" ht="15" customHeight="1">
      <c r="A685" t="inlineStr">
        <is>
          <t>A 14269-2025</t>
        </is>
      </c>
      <c r="B685" t="inlineStr">
        <is>
          <t>avverkningsanmälan</t>
        </is>
      </c>
      <c r="C685" t="inlineStr">
        <is>
          <t>Föryngringsavverkning</t>
        </is>
      </c>
      <c r="D685" s="1" t="n">
        <v>45740</v>
      </c>
      <c r="E685" s="1" t="n">
        <v>46221</v>
      </c>
      <c r="F685" t="inlineStr">
        <is>
          <t>UPPSALA LÄN</t>
        </is>
      </c>
      <c r="G685" t="inlineStr">
        <is>
          <t>ÖSTHAMMAR</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25381-2026</t>
        </is>
      </c>
      <c r="B686" t="inlineStr">
        <is>
          <t>avverkningsanmälan</t>
        </is>
      </c>
      <c r="C686" t="inlineStr">
        <is>
          <t>Föryngringsavverkning</t>
        </is>
      </c>
      <c r="D686" s="1" t="n">
        <v>46176</v>
      </c>
      <c r="E686" s="1" t="n">
        <v>46221</v>
      </c>
      <c r="F686" t="inlineStr">
        <is>
          <t>UPPSALA LÄN</t>
        </is>
      </c>
      <c r="G686" t="inlineStr">
        <is>
          <t>ÖSTHAMMAR</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25396-2026</t>
        </is>
      </c>
      <c r="B687" t="inlineStr">
        <is>
          <t>avverkningsanmälan</t>
        </is>
      </c>
      <c r="C687" t="inlineStr">
        <is>
          <t>Föryngringsavverkning</t>
        </is>
      </c>
      <c r="D687" s="1" t="n">
        <v>46176</v>
      </c>
      <c r="E687" s="1" t="n">
        <v>46221</v>
      </c>
      <c r="F687" t="inlineStr">
        <is>
          <t>UPPSALA LÄN</t>
        </is>
      </c>
      <c r="G687" t="inlineStr">
        <is>
          <t>ÖSTHAMMAR</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31372-2026</t>
        </is>
      </c>
      <c r="B688" t="inlineStr">
        <is>
          <t>avverkningsanmälan</t>
        </is>
      </c>
      <c r="C688" t="inlineStr">
        <is>
          <t>Föryngringsavverkning</t>
        </is>
      </c>
      <c r="D688" s="1" t="n">
        <v>46219</v>
      </c>
      <c r="E688" s="1" t="n">
        <v>46221</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25856-2026</t>
        </is>
      </c>
      <c r="B689" t="inlineStr">
        <is>
          <t>avverkningsanmälan</t>
        </is>
      </c>
      <c r="C689" t="inlineStr">
        <is>
          <t>Föryngringsavverkning</t>
        </is>
      </c>
      <c r="D689" s="1" t="n">
        <v>46178</v>
      </c>
      <c r="E689" s="1" t="n">
        <v>46221</v>
      </c>
      <c r="F689" t="inlineStr">
        <is>
          <t>UPPSALA LÄN</t>
        </is>
      </c>
      <c r="G689" t="inlineStr">
        <is>
          <t>ÖSTHAMMAR</t>
        </is>
      </c>
      <c r="H689" t="inlineStr">
        <is>
          <t>Bergvik skog öst AB</t>
        </is>
      </c>
      <c r="I689" t="n">
        <v>6.7</v>
      </c>
      <c r="J689" t="n">
        <v>0</v>
      </c>
      <c r="K689" t="n">
        <v>0</v>
      </c>
      <c r="L689" t="n">
        <v>0</v>
      </c>
      <c r="M689" t="n">
        <v>0</v>
      </c>
      <c r="N689" t="n">
        <v>0</v>
      </c>
      <c r="O689" t="n">
        <v>0</v>
      </c>
      <c r="P689" t="n">
        <v>0</v>
      </c>
      <c r="Q689" t="n">
        <v>0</v>
      </c>
      <c r="R689" t="n">
        <v>0</v>
      </c>
      <c r="S689" t="n">
        <v>0</v>
      </c>
      <c r="T689" t="n">
        <v>0</v>
      </c>
      <c r="U689" s="2" t="inlineStr"/>
    </row>
    <row r="690" ht="15" customHeight="1">
      <c r="A690" t="inlineStr">
        <is>
          <t>A 31333-2026</t>
        </is>
      </c>
      <c r="B690" t="inlineStr">
        <is>
          <t>avverkningsanmälan</t>
        </is>
      </c>
      <c r="C690" t="inlineStr">
        <is>
          <t>Föryngringsavverkning</t>
        </is>
      </c>
      <c r="D690" s="1" t="n">
        <v>46219</v>
      </c>
      <c r="E690" s="1" t="n">
        <v>46221</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22804-2022</t>
        </is>
      </c>
      <c r="B691" t="inlineStr">
        <is>
          <t>avverkningsanmälan</t>
        </is>
      </c>
      <c r="C691" t="inlineStr">
        <is>
          <t>Föryngringsavverkning</t>
        </is>
      </c>
      <c r="D691" s="1" t="n">
        <v>44715</v>
      </c>
      <c r="E691" s="1" t="n">
        <v>46221</v>
      </c>
      <c r="F691" t="inlineStr">
        <is>
          <t>UPPSALA LÄN</t>
        </is>
      </c>
      <c r="G691" t="inlineStr">
        <is>
          <t>ÖSTHAMMAR</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57003-2021</t>
        </is>
      </c>
      <c r="B692" t="inlineStr">
        <is>
          <t>avverkningsanmälan</t>
        </is>
      </c>
      <c r="C692" t="inlineStr">
        <is>
          <t>Föryngringsavverkning</t>
        </is>
      </c>
      <c r="D692" s="1" t="n">
        <v>44482</v>
      </c>
      <c r="E692" s="1" t="n">
        <v>46221</v>
      </c>
      <c r="F692" t="inlineStr">
        <is>
          <t>UPPSALA LÄN</t>
        </is>
      </c>
      <c r="G692" t="inlineStr">
        <is>
          <t>ÖSTHAMMAR</t>
        </is>
      </c>
      <c r="I692" t="n">
        <v>1.9</v>
      </c>
      <c r="J692" t="n">
        <v>0</v>
      </c>
      <c r="K692" t="n">
        <v>0</v>
      </c>
      <c r="L692" t="n">
        <v>0</v>
      </c>
      <c r="M692" t="n">
        <v>0</v>
      </c>
      <c r="N692" t="n">
        <v>0</v>
      </c>
      <c r="O692" t="n">
        <v>0</v>
      </c>
      <c r="P692" t="n">
        <v>0</v>
      </c>
      <c r="Q692" t="n">
        <v>0</v>
      </c>
      <c r="R692" t="n">
        <v>0</v>
      </c>
      <c r="S692" t="n">
        <v>0</v>
      </c>
      <c r="T692" t="n">
        <v>0</v>
      </c>
      <c r="U692" s="2" t="inlineStr"/>
    </row>
    <row r="693" ht="15" customHeight="1">
      <c r="A693" t="inlineStr">
        <is>
          <t>A 73483-2021</t>
        </is>
      </c>
      <c r="B693" t="inlineStr">
        <is>
          <t>avverkningsanmälan</t>
        </is>
      </c>
      <c r="C693" t="inlineStr">
        <is>
          <t>Föryngringsavverkning</t>
        </is>
      </c>
      <c r="D693" s="1" t="n">
        <v>44550</v>
      </c>
      <c r="E693" s="1" t="n">
        <v>46221</v>
      </c>
      <c r="F693" t="inlineStr">
        <is>
          <t>UPPSALA LÄN</t>
        </is>
      </c>
      <c r="G693" t="inlineStr">
        <is>
          <t>ÖSTHAMMAR</t>
        </is>
      </c>
      <c r="I693" t="n">
        <v>2.8</v>
      </c>
      <c r="J693" t="n">
        <v>0</v>
      </c>
      <c r="K693" t="n">
        <v>0</v>
      </c>
      <c r="L693" t="n">
        <v>0</v>
      </c>
      <c r="M693" t="n">
        <v>0</v>
      </c>
      <c r="N693" t="n">
        <v>0</v>
      </c>
      <c r="O693" t="n">
        <v>0</v>
      </c>
      <c r="P693" t="n">
        <v>0</v>
      </c>
      <c r="Q693" t="n">
        <v>0</v>
      </c>
      <c r="R693" t="n">
        <v>0</v>
      </c>
      <c r="S693" t="n">
        <v>0</v>
      </c>
      <c r="T693" t="n">
        <v>0</v>
      </c>
      <c r="U693" s="2" t="inlineStr"/>
    </row>
    <row r="694" ht="15" customHeight="1">
      <c r="A694" t="inlineStr">
        <is>
          <t>A 7195-2023</t>
        </is>
      </c>
      <c r="B694" t="inlineStr">
        <is>
          <t>avverkningsanmälan</t>
        </is>
      </c>
      <c r="C694" t="inlineStr">
        <is>
          <t>Föryngringsavverkning</t>
        </is>
      </c>
      <c r="D694" s="1" t="n">
        <v>44970</v>
      </c>
      <c r="E694" s="1" t="n">
        <v>46221</v>
      </c>
      <c r="F694" t="inlineStr">
        <is>
          <t>UPPSALA LÄN</t>
        </is>
      </c>
      <c r="G694" t="inlineStr">
        <is>
          <t>ÖSTHAMMAR</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37568-2022</t>
        </is>
      </c>
      <c r="B695" t="inlineStr">
        <is>
          <t>avverkningsanmälan</t>
        </is>
      </c>
      <c r="C695" t="inlineStr">
        <is>
          <t>Föryngringsavverkning</t>
        </is>
      </c>
      <c r="D695" s="1" t="n">
        <v>44809</v>
      </c>
      <c r="E695" s="1" t="n">
        <v>46221</v>
      </c>
      <c r="F695" t="inlineStr">
        <is>
          <t>UPPSALA LÄN</t>
        </is>
      </c>
      <c r="G695" t="inlineStr">
        <is>
          <t>ÖSTHAMMAR</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9542-2023</t>
        </is>
      </c>
      <c r="B696" t="inlineStr">
        <is>
          <t>avverkningsanmälan</t>
        </is>
      </c>
      <c r="C696" t="inlineStr">
        <is>
          <t>Föryngringsavverkning</t>
        </is>
      </c>
      <c r="D696" s="1" t="n">
        <v>44981</v>
      </c>
      <c r="E696" s="1" t="n">
        <v>46221</v>
      </c>
      <c r="F696" t="inlineStr">
        <is>
          <t>UPPSALA LÄN</t>
        </is>
      </c>
      <c r="G696" t="inlineStr">
        <is>
          <t>ÖSTHAMMAR</t>
        </is>
      </c>
      <c r="H696" t="inlineStr">
        <is>
          <t>Bergvik skog öst AB</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55100-2024</t>
        </is>
      </c>
      <c r="B697" t="inlineStr">
        <is>
          <t>avverkningsanmälan</t>
        </is>
      </c>
      <c r="C697" t="inlineStr">
        <is>
          <t>Föryngringsavverkning</t>
        </is>
      </c>
      <c r="D697" s="1" t="n">
        <v>45621</v>
      </c>
      <c r="E697" s="1" t="n">
        <v>46221</v>
      </c>
      <c r="F697" t="inlineStr">
        <is>
          <t>UPPSALA LÄN</t>
        </is>
      </c>
      <c r="G697" t="inlineStr">
        <is>
          <t>ÖSTHAMMAR</t>
        </is>
      </c>
      <c r="H697" t="inlineStr">
        <is>
          <t>Sveaskog</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26774-2023</t>
        </is>
      </c>
      <c r="B698" t="inlineStr">
        <is>
          <t>avverkningsanmälan</t>
        </is>
      </c>
      <c r="C698" t="inlineStr">
        <is>
          <t>Föryngringsavverkning</t>
        </is>
      </c>
      <c r="D698" s="1" t="n">
        <v>45093</v>
      </c>
      <c r="E698" s="1" t="n">
        <v>46221</v>
      </c>
      <c r="F698" t="inlineStr">
        <is>
          <t>UPPSALA LÄN</t>
        </is>
      </c>
      <c r="G698" t="inlineStr">
        <is>
          <t>ÖSTHAMMAR</t>
        </is>
      </c>
      <c r="H698" t="inlineStr">
        <is>
          <t>Bergvik skog öst AB</t>
        </is>
      </c>
      <c r="I698" t="n">
        <v>2.1</v>
      </c>
      <c r="J698" t="n">
        <v>0</v>
      </c>
      <c r="K698" t="n">
        <v>0</v>
      </c>
      <c r="L698" t="n">
        <v>0</v>
      </c>
      <c r="M698" t="n">
        <v>0</v>
      </c>
      <c r="N698" t="n">
        <v>0</v>
      </c>
      <c r="O698" t="n">
        <v>0</v>
      </c>
      <c r="P698" t="n">
        <v>0</v>
      </c>
      <c r="Q698" t="n">
        <v>0</v>
      </c>
      <c r="R698" t="n">
        <v>0</v>
      </c>
      <c r="S698" t="n">
        <v>0</v>
      </c>
      <c r="T698" t="n">
        <v>0</v>
      </c>
      <c r="U698" s="2" t="inlineStr"/>
    </row>
    <row r="699" ht="15" customHeight="1">
      <c r="A699" t="inlineStr">
        <is>
          <t>A 67848-2021</t>
        </is>
      </c>
      <c r="B699" t="inlineStr">
        <is>
          <t>avverkningsanmälan</t>
        </is>
      </c>
      <c r="C699" t="inlineStr">
        <is>
          <t>Föryngringsavverkning</t>
        </is>
      </c>
      <c r="D699" s="1" t="n">
        <v>44525</v>
      </c>
      <c r="E699" s="1" t="n">
        <v>46221</v>
      </c>
      <c r="F699" t="inlineStr">
        <is>
          <t>UPPSALA LÄN</t>
        </is>
      </c>
      <c r="G699" t="inlineStr">
        <is>
          <t>ÖSTHAMMAR</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55097-2024</t>
        </is>
      </c>
      <c r="B700" t="inlineStr">
        <is>
          <t>avverkningsanmälan</t>
        </is>
      </c>
      <c r="C700" t="inlineStr">
        <is>
          <t>Föryngringsavverkning</t>
        </is>
      </c>
      <c r="D700" s="1" t="n">
        <v>45621</v>
      </c>
      <c r="E700" s="1" t="n">
        <v>46221</v>
      </c>
      <c r="F700" t="inlineStr">
        <is>
          <t>UPPSALA LÄN</t>
        </is>
      </c>
      <c r="G700" t="inlineStr">
        <is>
          <t>ÖSTHAMMAR</t>
        </is>
      </c>
      <c r="H700" t="inlineStr">
        <is>
          <t>Sveaskog</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54314-2023</t>
        </is>
      </c>
      <c r="B701" t="inlineStr">
        <is>
          <t>avverkningsanmälan</t>
        </is>
      </c>
      <c r="C701" t="inlineStr">
        <is>
          <t>Föryngringsavverkning</t>
        </is>
      </c>
      <c r="D701" s="1" t="n">
        <v>45225</v>
      </c>
      <c r="E701" s="1" t="n">
        <v>46221</v>
      </c>
      <c r="F701" t="inlineStr">
        <is>
          <t>UPPSALA LÄN</t>
        </is>
      </c>
      <c r="G701" t="inlineStr">
        <is>
          <t>ÖSTHAMMAR</t>
        </is>
      </c>
      <c r="I701" t="n">
        <v>5.1</v>
      </c>
      <c r="J701" t="n">
        <v>0</v>
      </c>
      <c r="K701" t="n">
        <v>0</v>
      </c>
      <c r="L701" t="n">
        <v>0</v>
      </c>
      <c r="M701" t="n">
        <v>0</v>
      </c>
      <c r="N701" t="n">
        <v>0</v>
      </c>
      <c r="O701" t="n">
        <v>0</v>
      </c>
      <c r="P701" t="n">
        <v>0</v>
      </c>
      <c r="Q701" t="n">
        <v>0</v>
      </c>
      <c r="R701" t="n">
        <v>0</v>
      </c>
      <c r="S701" t="n">
        <v>0</v>
      </c>
      <c r="T701" t="n">
        <v>0</v>
      </c>
      <c r="U701" s="2" t="inlineStr"/>
    </row>
    <row r="702" ht="15" customHeight="1">
      <c r="A702" t="inlineStr">
        <is>
          <t>A 49796-2024</t>
        </is>
      </c>
      <c r="B702" t="inlineStr">
        <is>
          <t>avverkningsanmälan</t>
        </is>
      </c>
      <c r="C702" t="inlineStr">
        <is>
          <t>Föryngringsavverkning</t>
        </is>
      </c>
      <c r="D702" s="1" t="n">
        <v>45597</v>
      </c>
      <c r="E702" s="1" t="n">
        <v>46221</v>
      </c>
      <c r="F702" t="inlineStr">
        <is>
          <t>UPPSALA LÄN</t>
        </is>
      </c>
      <c r="G702" t="inlineStr">
        <is>
          <t>ÖSTHAMMAR</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1791-2023</t>
        </is>
      </c>
      <c r="B703" t="inlineStr">
        <is>
          <t>avverkningsanmälan</t>
        </is>
      </c>
      <c r="C703" t="inlineStr">
        <is>
          <t>Föryngringsavverkning</t>
        </is>
      </c>
      <c r="D703" s="1" t="n">
        <v>44938</v>
      </c>
      <c r="E703" s="1" t="n">
        <v>46221</v>
      </c>
      <c r="F703" t="inlineStr">
        <is>
          <t>UPPSALA LÄN</t>
        </is>
      </c>
      <c r="G703" t="inlineStr">
        <is>
          <t>ÖSTHAMMAR</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42262-2024</t>
        </is>
      </c>
      <c r="B704" t="inlineStr">
        <is>
          <t>avverkningsanmälan</t>
        </is>
      </c>
      <c r="C704" t="inlineStr">
        <is>
          <t>Föryngringsavverkning</t>
        </is>
      </c>
      <c r="D704" s="1" t="n">
        <v>45562</v>
      </c>
      <c r="E704" s="1" t="n">
        <v>46221</v>
      </c>
      <c r="F704" t="inlineStr">
        <is>
          <t>UPPSALA LÄN</t>
        </is>
      </c>
      <c r="G704" t="inlineStr">
        <is>
          <t>ÖSTHAMMAR</t>
        </is>
      </c>
      <c r="H704" t="inlineStr">
        <is>
          <t>Bergvik skog öst AB</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44796-2024</t>
        </is>
      </c>
      <c r="B705" t="inlineStr">
        <is>
          <t>avverkningsanmälan</t>
        </is>
      </c>
      <c r="C705" t="inlineStr">
        <is>
          <t>Avverkning för annat ändamål</t>
        </is>
      </c>
      <c r="D705" s="1" t="n">
        <v>45574</v>
      </c>
      <c r="E705" s="1" t="n">
        <v>46221</v>
      </c>
      <c r="F705" t="inlineStr">
        <is>
          <t>UPPSALA LÄN</t>
        </is>
      </c>
      <c r="G705" t="inlineStr">
        <is>
          <t>ÖSTHAMMAR</t>
        </is>
      </c>
      <c r="I705" t="n">
        <v>4.7</v>
      </c>
      <c r="J705" t="n">
        <v>0</v>
      </c>
      <c r="K705" t="n">
        <v>0</v>
      </c>
      <c r="L705" t="n">
        <v>0</v>
      </c>
      <c r="M705" t="n">
        <v>0</v>
      </c>
      <c r="N705" t="n">
        <v>0</v>
      </c>
      <c r="O705" t="n">
        <v>0</v>
      </c>
      <c r="P705" t="n">
        <v>0</v>
      </c>
      <c r="Q705" t="n">
        <v>0</v>
      </c>
      <c r="R705" t="n">
        <v>0</v>
      </c>
      <c r="S705" t="n">
        <v>0</v>
      </c>
      <c r="T705" t="n">
        <v>0</v>
      </c>
      <c r="U705" s="2" t="inlineStr"/>
    </row>
    <row r="706" ht="15" customHeight="1">
      <c r="A706" t="inlineStr">
        <is>
          <t>A 36954-2024</t>
        </is>
      </c>
      <c r="B706" t="inlineStr">
        <is>
          <t>avverkningsanmälan</t>
        </is>
      </c>
      <c r="C706" t="inlineStr">
        <is>
          <t>Föryngringsavverkning</t>
        </is>
      </c>
      <c r="D706" s="1" t="n">
        <v>45538</v>
      </c>
      <c r="E706" s="1" t="n">
        <v>46221</v>
      </c>
      <c r="F706" t="inlineStr">
        <is>
          <t>UPPSALA LÄN</t>
        </is>
      </c>
      <c r="G706" t="inlineStr">
        <is>
          <t>ÖSTHAMMAR</t>
        </is>
      </c>
      <c r="H706" t="inlineStr">
        <is>
          <t>Bergvik skog öst AB</t>
        </is>
      </c>
      <c r="I706" t="n">
        <v>5.1</v>
      </c>
      <c r="J706" t="n">
        <v>0</v>
      </c>
      <c r="K706" t="n">
        <v>0</v>
      </c>
      <c r="L706" t="n">
        <v>0</v>
      </c>
      <c r="M706" t="n">
        <v>0</v>
      </c>
      <c r="N706" t="n">
        <v>0</v>
      </c>
      <c r="O706" t="n">
        <v>0</v>
      </c>
      <c r="P706" t="n">
        <v>0</v>
      </c>
      <c r="Q706" t="n">
        <v>0</v>
      </c>
      <c r="R706" t="n">
        <v>0</v>
      </c>
      <c r="S706" t="n">
        <v>0</v>
      </c>
      <c r="T706" t="n">
        <v>0</v>
      </c>
      <c r="U706" s="2" t="inlineStr"/>
    </row>
    <row r="707" ht="15" customHeight="1">
      <c r="A707" t="inlineStr">
        <is>
          <t>A 59291-2023</t>
        </is>
      </c>
      <c r="B707" t="inlineStr">
        <is>
          <t>avverkningsanmälan</t>
        </is>
      </c>
      <c r="C707" t="inlineStr">
        <is>
          <t>Föryngringsavverkning</t>
        </is>
      </c>
      <c r="D707" s="1" t="n">
        <v>45253</v>
      </c>
      <c r="E707" s="1" t="n">
        <v>46221</v>
      </c>
      <c r="F707" t="inlineStr">
        <is>
          <t>UPPSALA LÄN</t>
        </is>
      </c>
      <c r="G707" t="inlineStr">
        <is>
          <t>ÖSTHAMMAR</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43685-2024</t>
        </is>
      </c>
      <c r="B708" t="inlineStr">
        <is>
          <t>avverkningsanmälan</t>
        </is>
      </c>
      <c r="C708" t="inlineStr">
        <is>
          <t>Föryngringsavverkning</t>
        </is>
      </c>
      <c r="D708" s="1" t="n">
        <v>45569</v>
      </c>
      <c r="E708" s="1" t="n">
        <v>46221</v>
      </c>
      <c r="F708" t="inlineStr">
        <is>
          <t>UPPSALA LÄN</t>
        </is>
      </c>
      <c r="G708" t="inlineStr">
        <is>
          <t>ÖSTHAMMAR</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38575-2024</t>
        </is>
      </c>
      <c r="B709" t="inlineStr">
        <is>
          <t>avverkningsanmälan</t>
        </is>
      </c>
      <c r="C709" t="inlineStr">
        <is>
          <t>Föryngringsavverkning</t>
        </is>
      </c>
      <c r="D709" s="1" t="n">
        <v>45546</v>
      </c>
      <c r="E709" s="1" t="n">
        <v>46221</v>
      </c>
      <c r="F709" t="inlineStr">
        <is>
          <t>UPPSALA LÄN</t>
        </is>
      </c>
      <c r="G709" t="inlineStr">
        <is>
          <t>ÖSTHAMMAR</t>
        </is>
      </c>
      <c r="H709" t="inlineStr">
        <is>
          <t>Bergvik skog öst AB</t>
        </is>
      </c>
      <c r="I709" t="n">
        <v>5.1</v>
      </c>
      <c r="J709" t="n">
        <v>0</v>
      </c>
      <c r="K709" t="n">
        <v>0</v>
      </c>
      <c r="L709" t="n">
        <v>0</v>
      </c>
      <c r="M709" t="n">
        <v>0</v>
      </c>
      <c r="N709" t="n">
        <v>0</v>
      </c>
      <c r="O709" t="n">
        <v>0</v>
      </c>
      <c r="P709" t="n">
        <v>0</v>
      </c>
      <c r="Q709" t="n">
        <v>0</v>
      </c>
      <c r="R709" t="n">
        <v>0</v>
      </c>
      <c r="S709" t="n">
        <v>0</v>
      </c>
      <c r="T709" t="n">
        <v>0</v>
      </c>
      <c r="U709" s="2" t="inlineStr"/>
    </row>
    <row r="710" ht="15" customHeight="1">
      <c r="A710" t="inlineStr">
        <is>
          <t>A 43993-2024</t>
        </is>
      </c>
      <c r="B710" t="inlineStr">
        <is>
          <t>avverkningsanmälan</t>
        </is>
      </c>
      <c r="C710" t="inlineStr">
        <is>
          <t>Föryngringsavverkning</t>
        </is>
      </c>
      <c r="D710" s="1" t="n">
        <v>45572</v>
      </c>
      <c r="E710" s="1" t="n">
        <v>46221</v>
      </c>
      <c r="F710" t="inlineStr">
        <is>
          <t>UPPSALA LÄN</t>
        </is>
      </c>
      <c r="G710" t="inlineStr">
        <is>
          <t>ÖSTHAMMAR</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5931-2022</t>
        </is>
      </c>
      <c r="B711" t="inlineStr">
        <is>
          <t>avverkningsanmälan</t>
        </is>
      </c>
      <c r="C711" t="inlineStr">
        <is>
          <t>Föryngringsavverkning</t>
        </is>
      </c>
      <c r="D711" s="1" t="n">
        <v>44598</v>
      </c>
      <c r="E711" s="1" t="n">
        <v>46221</v>
      </c>
      <c r="F711" t="inlineStr">
        <is>
          <t>UPPSALA LÄN</t>
        </is>
      </c>
      <c r="G711" t="inlineStr">
        <is>
          <t>ÖSTHAMMAR</t>
        </is>
      </c>
      <c r="H711" t="inlineStr">
        <is>
          <t>Bergvik skog öst AB</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43655-2024</t>
        </is>
      </c>
      <c r="B712" t="inlineStr">
        <is>
          <t>avverkningsanmälan</t>
        </is>
      </c>
      <c r="C712" t="inlineStr">
        <is>
          <t>Föryngringsavverkning</t>
        </is>
      </c>
      <c r="D712" s="1" t="n">
        <v>45569</v>
      </c>
      <c r="E712" s="1" t="n">
        <v>46221</v>
      </c>
      <c r="F712" t="inlineStr">
        <is>
          <t>UPPSALA LÄN</t>
        </is>
      </c>
      <c r="G712" t="inlineStr">
        <is>
          <t>ÖSTHAMMAR</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43683-2024</t>
        </is>
      </c>
      <c r="B713" t="inlineStr">
        <is>
          <t>avverkningsanmälan</t>
        </is>
      </c>
      <c r="C713" t="inlineStr">
        <is>
          <t>Föryngringsavverkning</t>
        </is>
      </c>
      <c r="D713" s="1" t="n">
        <v>45569</v>
      </c>
      <c r="E713" s="1" t="n">
        <v>46221</v>
      </c>
      <c r="F713" t="inlineStr">
        <is>
          <t>UPPSALA LÄN</t>
        </is>
      </c>
      <c r="G713" t="inlineStr">
        <is>
          <t>ÖSTHAMMAR</t>
        </is>
      </c>
      <c r="I713" t="n">
        <v>4.7</v>
      </c>
      <c r="J713" t="n">
        <v>0</v>
      </c>
      <c r="K713" t="n">
        <v>0</v>
      </c>
      <c r="L713" t="n">
        <v>0</v>
      </c>
      <c r="M713" t="n">
        <v>0</v>
      </c>
      <c r="N713" t="n">
        <v>0</v>
      </c>
      <c r="O713" t="n">
        <v>0</v>
      </c>
      <c r="P713" t="n">
        <v>0</v>
      </c>
      <c r="Q713" t="n">
        <v>0</v>
      </c>
      <c r="R713" t="n">
        <v>0</v>
      </c>
      <c r="S713" t="n">
        <v>0</v>
      </c>
      <c r="T713" t="n">
        <v>0</v>
      </c>
      <c r="U713" s="2" t="inlineStr"/>
    </row>
    <row r="714" ht="15" customHeight="1">
      <c r="A714" t="inlineStr">
        <is>
          <t>A 14595-2023</t>
        </is>
      </c>
      <c r="B714" t="inlineStr">
        <is>
          <t>avverkningsanmälan</t>
        </is>
      </c>
      <c r="C714" t="inlineStr">
        <is>
          <t>Föryngringsavverkning</t>
        </is>
      </c>
      <c r="D714" s="1" t="n">
        <v>45013</v>
      </c>
      <c r="E714" s="1" t="n">
        <v>46221</v>
      </c>
      <c r="F714" t="inlineStr">
        <is>
          <t>UPPSALA LÄN</t>
        </is>
      </c>
      <c r="G714" t="inlineStr">
        <is>
          <t>ÖSTHAMMAR</t>
        </is>
      </c>
      <c r="I714" t="n">
        <v>5</v>
      </c>
      <c r="J714" t="n">
        <v>0</v>
      </c>
      <c r="K714" t="n">
        <v>0</v>
      </c>
      <c r="L714" t="n">
        <v>0</v>
      </c>
      <c r="M714" t="n">
        <v>0</v>
      </c>
      <c r="N714" t="n">
        <v>0</v>
      </c>
      <c r="O714" t="n">
        <v>0</v>
      </c>
      <c r="P714" t="n">
        <v>0</v>
      </c>
      <c r="Q714" t="n">
        <v>0</v>
      </c>
      <c r="R714" t="n">
        <v>0</v>
      </c>
      <c r="S714" t="n">
        <v>0</v>
      </c>
      <c r="T714" t="n">
        <v>0</v>
      </c>
      <c r="U714" s="2" t="inlineStr"/>
    </row>
    <row r="715" ht="15" customHeight="1">
      <c r="A715" t="inlineStr">
        <is>
          <t>A 33685-2024</t>
        </is>
      </c>
      <c r="B715" t="inlineStr">
        <is>
          <t>avverkningsanmälan</t>
        </is>
      </c>
      <c r="C715" t="inlineStr">
        <is>
          <t>Föryngringsavverkning</t>
        </is>
      </c>
      <c r="D715" s="1" t="n">
        <v>45520</v>
      </c>
      <c r="E715" s="1" t="n">
        <v>46221</v>
      </c>
      <c r="F715" t="inlineStr">
        <is>
          <t>UPPSALA LÄN</t>
        </is>
      </c>
      <c r="G715" t="inlineStr">
        <is>
          <t>ÖSTHAMMAR</t>
        </is>
      </c>
      <c r="H715" t="inlineStr">
        <is>
          <t>Bergvik skog öst AB</t>
        </is>
      </c>
      <c r="I715" t="n">
        <v>3.8</v>
      </c>
      <c r="J715" t="n">
        <v>0</v>
      </c>
      <c r="K715" t="n">
        <v>0</v>
      </c>
      <c r="L715" t="n">
        <v>0</v>
      </c>
      <c r="M715" t="n">
        <v>0</v>
      </c>
      <c r="N715" t="n">
        <v>0</v>
      </c>
      <c r="O715" t="n">
        <v>0</v>
      </c>
      <c r="P715" t="n">
        <v>0</v>
      </c>
      <c r="Q715" t="n">
        <v>0</v>
      </c>
      <c r="R715" t="n">
        <v>0</v>
      </c>
      <c r="S715" t="n">
        <v>0</v>
      </c>
      <c r="T715" t="n">
        <v>0</v>
      </c>
      <c r="U715" s="2" t="inlineStr"/>
    </row>
    <row r="716" ht="15" customHeight="1">
      <c r="A716" t="inlineStr">
        <is>
          <t>A 44027-2024</t>
        </is>
      </c>
      <c r="B716" t="inlineStr">
        <is>
          <t>avverkningsanmälan</t>
        </is>
      </c>
      <c r="C716" t="inlineStr">
        <is>
          <t>Föryngringsavverkning</t>
        </is>
      </c>
      <c r="D716" s="1" t="n">
        <v>45572</v>
      </c>
      <c r="E716" s="1" t="n">
        <v>46221</v>
      </c>
      <c r="F716" t="inlineStr">
        <is>
          <t>UPPSALA LÄN</t>
        </is>
      </c>
      <c r="G716" t="inlineStr">
        <is>
          <t>ÖSTHAMMAR</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24160-2024</t>
        </is>
      </c>
      <c r="B717" t="inlineStr">
        <is>
          <t>avverkningsanmälan</t>
        </is>
      </c>
      <c r="C717" t="inlineStr">
        <is>
          <t>Föryngringsavverkning</t>
        </is>
      </c>
      <c r="D717" s="1" t="n">
        <v>45456</v>
      </c>
      <c r="E717" s="1" t="n">
        <v>46221</v>
      </c>
      <c r="F717" t="inlineStr">
        <is>
          <t>UPPSALA LÄN</t>
        </is>
      </c>
      <c r="G717" t="inlineStr">
        <is>
          <t>ÖSTHAMMAR</t>
        </is>
      </c>
      <c r="H717" t="inlineStr">
        <is>
          <t>Bergvik skog öst AB</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1584-2025</t>
        </is>
      </c>
      <c r="B718" t="inlineStr">
        <is>
          <t>avverkningsanmälan</t>
        </is>
      </c>
      <c r="C718" t="inlineStr">
        <is>
          <t>Föryngringsavverkning</t>
        </is>
      </c>
      <c r="D718" s="1" t="n">
        <v>45670</v>
      </c>
      <c r="E718" s="1" t="n">
        <v>46221</v>
      </c>
      <c r="F718" t="inlineStr">
        <is>
          <t>UPPSALA LÄN</t>
        </is>
      </c>
      <c r="G718" t="inlineStr">
        <is>
          <t>ÖSTHAMMAR</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30972-2024</t>
        </is>
      </c>
      <c r="B719" t="inlineStr">
        <is>
          <t>avverkningsanmälan</t>
        </is>
      </c>
      <c r="C719" t="inlineStr">
        <is>
          <t>Föryngringsavverkning</t>
        </is>
      </c>
      <c r="D719" s="1" t="n">
        <v>45499</v>
      </c>
      <c r="E719" s="1" t="n">
        <v>46221</v>
      </c>
      <c r="F719" t="inlineStr">
        <is>
          <t>UPPSALA LÄN</t>
        </is>
      </c>
      <c r="G719" t="inlineStr">
        <is>
          <t>ÖSTHAMMAR</t>
        </is>
      </c>
      <c r="H719" t="inlineStr">
        <is>
          <t>Bergvik skog öst AB</t>
        </is>
      </c>
      <c r="I719" t="n">
        <v>0.8</v>
      </c>
      <c r="J719" t="n">
        <v>0</v>
      </c>
      <c r="K719" t="n">
        <v>0</v>
      </c>
      <c r="L719" t="n">
        <v>0</v>
      </c>
      <c r="M719" t="n">
        <v>0</v>
      </c>
      <c r="N719" t="n">
        <v>0</v>
      </c>
      <c r="O719" t="n">
        <v>0</v>
      </c>
      <c r="P719" t="n">
        <v>0</v>
      </c>
      <c r="Q719" t="n">
        <v>0</v>
      </c>
      <c r="R719" t="n">
        <v>0</v>
      </c>
      <c r="S719" t="n">
        <v>0</v>
      </c>
      <c r="T719" t="n">
        <v>0</v>
      </c>
      <c r="U719" s="2" t="inlineStr"/>
    </row>
    <row r="720" ht="15" customHeight="1">
      <c r="A720" t="inlineStr">
        <is>
          <t>A 24415-2025</t>
        </is>
      </c>
      <c r="B720" t="inlineStr">
        <is>
          <t>avverkningsanmälan</t>
        </is>
      </c>
      <c r="C720" t="inlineStr">
        <is>
          <t>Föryngringsavverkning</t>
        </is>
      </c>
      <c r="D720" s="1" t="n">
        <v>45797</v>
      </c>
      <c r="E720" s="1" t="n">
        <v>46221</v>
      </c>
      <c r="F720" t="inlineStr">
        <is>
          <t>UPPSALA LÄN</t>
        </is>
      </c>
      <c r="G720" t="inlineStr">
        <is>
          <t>ÖSTHAMMAR</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16089-2025</t>
        </is>
      </c>
      <c r="B721" t="inlineStr">
        <is>
          <t>avverkningsanmälan</t>
        </is>
      </c>
      <c r="C721" t="inlineStr">
        <is>
          <t>Föryngringsavverkning</t>
        </is>
      </c>
      <c r="D721" s="1" t="n">
        <v>45749</v>
      </c>
      <c r="E721" s="1" t="n">
        <v>46221</v>
      </c>
      <c r="F721" t="inlineStr">
        <is>
          <t>UPPSALA LÄN</t>
        </is>
      </c>
      <c r="G721" t="inlineStr">
        <is>
          <t>ÖSTHAMMAR</t>
        </is>
      </c>
      <c r="H721" t="inlineStr">
        <is>
          <t>Bergvik skog öst AB</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34185-2024</t>
        </is>
      </c>
      <c r="B722" t="inlineStr">
        <is>
          <t>avverkningsanmälan</t>
        </is>
      </c>
      <c r="C722" t="inlineStr">
        <is>
          <t>Föryngringsavverkning</t>
        </is>
      </c>
      <c r="D722" s="1" t="n">
        <v>45524</v>
      </c>
      <c r="E722" s="1" t="n">
        <v>46221</v>
      </c>
      <c r="F722" t="inlineStr">
        <is>
          <t>UPPSALA LÄN</t>
        </is>
      </c>
      <c r="G722" t="inlineStr">
        <is>
          <t>ÖSTHAMMAR</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14170-2025</t>
        </is>
      </c>
      <c r="B723" t="inlineStr">
        <is>
          <t>avverkningsanmälan</t>
        </is>
      </c>
      <c r="C723" t="inlineStr">
        <is>
          <t>Föryngringsavverkning</t>
        </is>
      </c>
      <c r="D723" s="1" t="n">
        <v>45740</v>
      </c>
      <c r="E723" s="1" t="n">
        <v>46221</v>
      </c>
      <c r="F723" t="inlineStr">
        <is>
          <t>UPPSALA LÄN</t>
        </is>
      </c>
      <c r="G723" t="inlineStr">
        <is>
          <t>ÖSTHAMMAR</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12945-2025</t>
        </is>
      </c>
      <c r="B724" t="inlineStr">
        <is>
          <t>avverkningsanmälan</t>
        </is>
      </c>
      <c r="C724" t="inlineStr">
        <is>
          <t>Föryngringsavverkning</t>
        </is>
      </c>
      <c r="D724" s="1" t="n">
        <v>45734</v>
      </c>
      <c r="E724" s="1" t="n">
        <v>46221</v>
      </c>
      <c r="F724" t="inlineStr">
        <is>
          <t>UPPSALA LÄN</t>
        </is>
      </c>
      <c r="G724" t="inlineStr">
        <is>
          <t>ÖSTHAMMAR</t>
        </is>
      </c>
      <c r="I724" t="n">
        <v>2.1</v>
      </c>
      <c r="J724" t="n">
        <v>0</v>
      </c>
      <c r="K724" t="n">
        <v>0</v>
      </c>
      <c r="L724" t="n">
        <v>0</v>
      </c>
      <c r="M724" t="n">
        <v>0</v>
      </c>
      <c r="N724" t="n">
        <v>0</v>
      </c>
      <c r="O724" t="n">
        <v>0</v>
      </c>
      <c r="P724" t="n">
        <v>0</v>
      </c>
      <c r="Q724" t="n">
        <v>0</v>
      </c>
      <c r="R724" t="n">
        <v>0</v>
      </c>
      <c r="S724" t="n">
        <v>0</v>
      </c>
      <c r="T724" t="n">
        <v>0</v>
      </c>
      <c r="U724" s="2" t="inlineStr"/>
    </row>
    <row r="725" ht="15" customHeight="1">
      <c r="A725" t="inlineStr">
        <is>
          <t>S 3374-2022</t>
        </is>
      </c>
      <c r="B725" t="inlineStr">
        <is>
          <t>samrådsanmälan</t>
        </is>
      </c>
      <c r="C725" t="inlineStr">
        <is>
          <t>Skogsbilväg</t>
        </is>
      </c>
      <c r="D725" s="1" t="n">
        <v>44729</v>
      </c>
      <c r="E725" s="1" t="n">
        <v>46221</v>
      </c>
      <c r="F725" t="inlineStr">
        <is>
          <t>UPPSALA LÄN</t>
        </is>
      </c>
      <c r="G725" t="inlineStr">
        <is>
          <t>ÖSTHAMMAR</t>
        </is>
      </c>
      <c r="H725" t="inlineStr">
        <is>
          <t>Sveaskog</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S 2054-2022</t>
        </is>
      </c>
      <c r="B726" t="inlineStr">
        <is>
          <t>samrådsanmälan</t>
        </is>
      </c>
      <c r="C726" t="inlineStr">
        <is>
          <t>Annan skogsbruksåtgärd</t>
        </is>
      </c>
      <c r="D726" s="1" t="n">
        <v>44672</v>
      </c>
      <c r="E726" s="1" t="n">
        <v>46221</v>
      </c>
      <c r="F726" t="inlineStr">
        <is>
          <t>UPPSALA LÄN</t>
        </is>
      </c>
      <c r="G726" t="inlineStr">
        <is>
          <t>ÖSTHAMMAR</t>
        </is>
      </c>
      <c r="I726" t="n">
        <v>4.4</v>
      </c>
      <c r="J726" t="n">
        <v>0</v>
      </c>
      <c r="K726" t="n">
        <v>0</v>
      </c>
      <c r="L726" t="n">
        <v>0</v>
      </c>
      <c r="M726" t="n">
        <v>0</v>
      </c>
      <c r="N726" t="n">
        <v>0</v>
      </c>
      <c r="O726" t="n">
        <v>0</v>
      </c>
      <c r="P726" t="n">
        <v>0</v>
      </c>
      <c r="Q726" t="n">
        <v>0</v>
      </c>
      <c r="R726" t="n">
        <v>0</v>
      </c>
      <c r="S726" t="n">
        <v>0</v>
      </c>
      <c r="T726" t="n">
        <v>0</v>
      </c>
      <c r="U726" s="2" t="inlineStr"/>
    </row>
    <row r="727" ht="15" customHeight="1">
      <c r="A727" t="inlineStr">
        <is>
          <t>S 457-2023</t>
        </is>
      </c>
      <c r="B727" t="inlineStr">
        <is>
          <t>samrådsanmälan</t>
        </is>
      </c>
      <c r="C727" t="inlineStr">
        <is>
          <t>Annan skogsbruksåtgärd</t>
        </is>
      </c>
      <c r="D727" s="1" t="n">
        <v>44964</v>
      </c>
      <c r="E727" s="1" t="n">
        <v>46221</v>
      </c>
      <c r="F727" t="inlineStr">
        <is>
          <t>UPPSALA LÄN</t>
        </is>
      </c>
      <c r="G727" t="inlineStr">
        <is>
          <t>ÖSTHAMMAR</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S 1925-2023</t>
        </is>
      </c>
      <c r="B728" t="inlineStr">
        <is>
          <t>samrådsanmälan</t>
        </is>
      </c>
      <c r="C728" t="inlineStr">
        <is>
          <t>Annan skogsbruksåtgärd</t>
        </is>
      </c>
      <c r="D728" s="1" t="n">
        <v>45078</v>
      </c>
      <c r="E728" s="1" t="n">
        <v>46221</v>
      </c>
      <c r="F728" t="inlineStr">
        <is>
          <t>UPPSALA LÄN</t>
        </is>
      </c>
      <c r="G728" t="inlineStr">
        <is>
          <t>ÖSTHAMMAR</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S 1620-2024</t>
        </is>
      </c>
      <c r="B729" t="inlineStr">
        <is>
          <t>samrådsanmälan</t>
        </is>
      </c>
      <c r="C729" t="inlineStr">
        <is>
          <t>Annan skogsbruksåtgärd</t>
        </is>
      </c>
      <c r="D729" s="1" t="n">
        <v>45428</v>
      </c>
      <c r="E729" s="1" t="n">
        <v>46221</v>
      </c>
      <c r="F729" t="inlineStr">
        <is>
          <t>UPPSALA LÄN</t>
        </is>
      </c>
      <c r="G729" t="inlineStr">
        <is>
          <t>ÖSTHAMMAR</t>
        </is>
      </c>
      <c r="I729" t="n">
        <v>8.199999999999999</v>
      </c>
      <c r="J729" t="n">
        <v>0</v>
      </c>
      <c r="K729" t="n">
        <v>0</v>
      </c>
      <c r="L729" t="n">
        <v>0</v>
      </c>
      <c r="M729" t="n">
        <v>0</v>
      </c>
      <c r="N729" t="n">
        <v>0</v>
      </c>
      <c r="O729" t="n">
        <v>0</v>
      </c>
      <c r="P729" t="n">
        <v>0</v>
      </c>
      <c r="Q729" t="n">
        <v>0</v>
      </c>
      <c r="R729" t="n">
        <v>0</v>
      </c>
      <c r="S729" t="n">
        <v>0</v>
      </c>
      <c r="T729" t="n">
        <v>0</v>
      </c>
      <c r="U729" s="2" t="inlineStr"/>
    </row>
    <row r="730" ht="15" customHeight="1">
      <c r="A730" t="inlineStr">
        <is>
          <t>S 1619-2024</t>
        </is>
      </c>
      <c r="B730" t="inlineStr">
        <is>
          <t>samrådsanmälan</t>
        </is>
      </c>
      <c r="C730" t="inlineStr">
        <is>
          <t>Annan skogsbruksåtgärd</t>
        </is>
      </c>
      <c r="D730" s="1" t="n">
        <v>45428</v>
      </c>
      <c r="E730" s="1" t="n">
        <v>46221</v>
      </c>
      <c r="F730" t="inlineStr">
        <is>
          <t>UPPSALA LÄN</t>
        </is>
      </c>
      <c r="G730" t="inlineStr">
        <is>
          <t>ÖSTHAMMAR</t>
        </is>
      </c>
      <c r="I730" t="n">
        <v>3.4</v>
      </c>
      <c r="J730" t="n">
        <v>0</v>
      </c>
      <c r="K730" t="n">
        <v>0</v>
      </c>
      <c r="L730" t="n">
        <v>0</v>
      </c>
      <c r="M730" t="n">
        <v>0</v>
      </c>
      <c r="N730" t="n">
        <v>0</v>
      </c>
      <c r="O730" t="n">
        <v>0</v>
      </c>
      <c r="P730" t="n">
        <v>0</v>
      </c>
      <c r="Q730" t="n">
        <v>0</v>
      </c>
      <c r="R730" t="n">
        <v>0</v>
      </c>
      <c r="S730" t="n">
        <v>0</v>
      </c>
      <c r="T730" t="n">
        <v>0</v>
      </c>
      <c r="U730" s="2" t="inlineStr"/>
    </row>
    <row r="731" ht="15" customHeight="1">
      <c r="A731" t="inlineStr">
        <is>
          <t>S 1090-2024</t>
        </is>
      </c>
      <c r="B731" t="inlineStr">
        <is>
          <t>samrådsanmälan</t>
        </is>
      </c>
      <c r="C731" t="inlineStr">
        <is>
          <t>Annan skogsbruksåtgärd</t>
        </is>
      </c>
      <c r="D731" s="1" t="n">
        <v>45390</v>
      </c>
      <c r="E731" s="1" t="n">
        <v>46221</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S 3110-2023</t>
        </is>
      </c>
      <c r="B732" t="inlineStr">
        <is>
          <t>samrådsanmälan</t>
        </is>
      </c>
      <c r="C732" t="inlineStr">
        <is>
          <t>Annan skogsbruksåtgärd</t>
        </is>
      </c>
      <c r="D732" s="1" t="n">
        <v>45182</v>
      </c>
      <c r="E732" s="1" t="n">
        <v>46221</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S 2611-2025</t>
        </is>
      </c>
      <c r="B733" t="inlineStr">
        <is>
          <t>samrådsanmälan</t>
        </is>
      </c>
      <c r="C733" t="inlineStr">
        <is>
          <t>Annan skogsbruksåtgärd</t>
        </is>
      </c>
      <c r="D733" s="1" t="n">
        <v>45916</v>
      </c>
      <c r="E733" s="1" t="n">
        <v>46221</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S 2995-2025</t>
        </is>
      </c>
      <c r="B734" t="inlineStr">
        <is>
          <t>samrådsanmälan</t>
        </is>
      </c>
      <c r="C734" t="inlineStr">
        <is>
          <t>Annan skogsbruksåtgärd</t>
        </is>
      </c>
      <c r="D734" s="1" t="n">
        <v>45957</v>
      </c>
      <c r="E734" s="1" t="n">
        <v>46221</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s="2" t="inlineStr"/>
    </row>
    <row r="735" ht="15" customHeight="1">
      <c r="A735" t="inlineStr">
        <is>
          <t>S 84-2026</t>
        </is>
      </c>
      <c r="B735" t="inlineStr">
        <is>
          <t>samrådsanmälan</t>
        </is>
      </c>
      <c r="C735" t="inlineStr">
        <is>
          <t>Annan skogsbruksåtgärd</t>
        </is>
      </c>
      <c r="D735" s="1" t="n">
        <v>46034</v>
      </c>
      <c r="E735" s="1" t="n">
        <v>46221</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s="2" t="inlineStr"/>
    </row>
    <row r="736">
      <c r="A736" t="inlineStr">
        <is>
          <t>S 750-2026</t>
        </is>
      </c>
      <c r="B736" t="inlineStr">
        <is>
          <t>samrådsanmälan</t>
        </is>
      </c>
      <c r="C736" t="inlineStr">
        <is>
          <t>Skogsgödsling</t>
        </is>
      </c>
      <c r="D736" s="1" t="n">
        <v>46089</v>
      </c>
      <c r="E736" s="1" t="n">
        <v>46221</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2026-07-18T01:22:33Z</dcterms:created>
  <dcterms:modified xmlns:dcterms="http://purl.org/dc/terms/" xmlns:xsi="http://www.w3.org/2001/XMLSchema-instance" xsi:type="dcterms:W3CDTF">2026-07-18T01:22:34Z</dcterms:modified>
</cp:coreProperties>
</file>