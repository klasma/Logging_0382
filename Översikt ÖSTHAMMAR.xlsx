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45941</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45941</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45941</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45941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45941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45941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45941</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45941</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45941</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45941</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45941</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45941</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40395-2025</t>
        </is>
      </c>
      <c r="B14" s="1" t="n">
        <v>45895.55805555556</v>
      </c>
      <c r="C14" s="1" t="n">
        <v>45941</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40406-2025</t>
        </is>
      </c>
      <c r="B15" s="1" t="n">
        <v>45895.57082175926</v>
      </c>
      <c r="C15" s="1" t="n">
        <v>45941</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55518-2024</t>
        </is>
      </c>
      <c r="B16" s="1" t="n">
        <v>45622</v>
      </c>
      <c r="C16" s="1" t="n">
        <v>45941</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45941</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16242-2025</t>
        </is>
      </c>
      <c r="B18" s="1" t="n">
        <v>45746</v>
      </c>
      <c r="C18" s="1" t="n">
        <v>45941</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16239-2025</t>
        </is>
      </c>
      <c r="B19" s="1" t="n">
        <v>45746</v>
      </c>
      <c r="C19" s="1" t="n">
        <v>45941</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45941</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45941</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45941</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45941</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48277-2023</t>
        </is>
      </c>
      <c r="B24" s="1" t="n">
        <v>45205</v>
      </c>
      <c r="C24" s="1" t="n">
        <v>45941</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39834-2025</t>
        </is>
      </c>
      <c r="B25" s="1" t="n">
        <v>45891.56333333333</v>
      </c>
      <c r="C25" s="1" t="n">
        <v>45941</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39763-2022</t>
        </is>
      </c>
      <c r="B26" s="1" t="n">
        <v>44819.44055555556</v>
      </c>
      <c r="C26" s="1" t="n">
        <v>45941</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45941</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45941</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26056-2025</t>
        </is>
      </c>
      <c r="B29" s="1" t="n">
        <v>45804.79280092593</v>
      </c>
      <c r="C29" s="1" t="n">
        <v>45941</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24563-2022</t>
        </is>
      </c>
      <c r="B30" s="1" t="n">
        <v>44727</v>
      </c>
      <c r="C30" s="1" t="n">
        <v>45941</v>
      </c>
      <c r="D30" t="inlineStr">
        <is>
          <t>UPPSALA LÄN</t>
        </is>
      </c>
      <c r="E30" t="inlineStr">
        <is>
          <t>ÖSTHAMMAR</t>
        </is>
      </c>
      <c r="G30" t="n">
        <v>7.4</v>
      </c>
      <c r="H30" t="n">
        <v>0</v>
      </c>
      <c r="I30" t="n">
        <v>3</v>
      </c>
      <c r="J30" t="n">
        <v>0</v>
      </c>
      <c r="K30" t="n">
        <v>2</v>
      </c>
      <c r="L30" t="n">
        <v>0</v>
      </c>
      <c r="M30" t="n">
        <v>0</v>
      </c>
      <c r="N30" t="n">
        <v>0</v>
      </c>
      <c r="O30" t="n">
        <v>2</v>
      </c>
      <c r="P30" t="n">
        <v>2</v>
      </c>
      <c r="Q30" t="n">
        <v>5</v>
      </c>
      <c r="R30" s="2" t="inlineStr">
        <is>
          <t>Gul lammticka
Koppartaggsvamp
Kamjordstjärna
Olivspindling
Rödgul trumpetsvamp</t>
        </is>
      </c>
      <c r="S30">
        <f>HYPERLINK("https://klasma.github.io/Logging_0382/artfynd/A 24563-2022 artfynd.xlsx", "A 24563-2022")</f>
        <v/>
      </c>
      <c r="T30">
        <f>HYPERLINK("https://klasma.github.io/Logging_0382/kartor/A 24563-2022 karta.png", "A 24563-2022")</f>
        <v/>
      </c>
      <c r="V30">
        <f>HYPERLINK("https://klasma.github.io/Logging_0382/klagomål/A 24563-2022 FSC-klagomål.docx", "A 24563-2022")</f>
        <v/>
      </c>
      <c r="W30">
        <f>HYPERLINK("https://klasma.github.io/Logging_0382/klagomålsmail/A 24563-2022 FSC-klagomål mail.docx", "A 24563-2022")</f>
        <v/>
      </c>
      <c r="X30">
        <f>HYPERLINK("https://klasma.github.io/Logging_0382/tillsyn/A 24563-2022 tillsynsbegäran.docx", "A 24563-2022")</f>
        <v/>
      </c>
      <c r="Y30">
        <f>HYPERLINK("https://klasma.github.io/Logging_0382/tillsynsmail/A 24563-2022 tillsynsbegäran mail.docx", "A 24563-2022")</f>
        <v/>
      </c>
    </row>
    <row r="31" ht="15" customHeight="1">
      <c r="A31" t="inlineStr">
        <is>
          <t>A 15556-2022</t>
        </is>
      </c>
      <c r="B31" s="1" t="n">
        <v>44662</v>
      </c>
      <c r="C31" s="1" t="n">
        <v>45941</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23498-2023</t>
        </is>
      </c>
      <c r="B32" s="1" t="n">
        <v>45076</v>
      </c>
      <c r="C32" s="1" t="n">
        <v>45941</v>
      </c>
      <c r="D32" t="inlineStr">
        <is>
          <t>UPPSALA LÄN</t>
        </is>
      </c>
      <c r="E32" t="inlineStr">
        <is>
          <t>ÖSTHAMMAR</t>
        </is>
      </c>
      <c r="F32" t="inlineStr">
        <is>
          <t>Sveaskog</t>
        </is>
      </c>
      <c r="G32" t="n">
        <v>1.4</v>
      </c>
      <c r="H32" t="n">
        <v>5</v>
      </c>
      <c r="I32" t="n">
        <v>0</v>
      </c>
      <c r="J32" t="n">
        <v>3</v>
      </c>
      <c r="K32" t="n">
        <v>1</v>
      </c>
      <c r="L32" t="n">
        <v>1</v>
      </c>
      <c r="M32" t="n">
        <v>0</v>
      </c>
      <c r="N32" t="n">
        <v>0</v>
      </c>
      <c r="O32" t="n">
        <v>5</v>
      </c>
      <c r="P32" t="n">
        <v>2</v>
      </c>
      <c r="Q32" t="n">
        <v>5</v>
      </c>
      <c r="R32" s="2" t="inlineStr">
        <is>
          <t>Grönfink
Gråtrut
Gulsparv
Svartvit flugsnappare
Talltita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55492-2023</t>
        </is>
      </c>
      <c r="B33" s="1" t="n">
        <v>45238</v>
      </c>
      <c r="C33" s="1" t="n">
        <v>45941</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43992-2022</t>
        </is>
      </c>
      <c r="B34" s="1" t="n">
        <v>44837</v>
      </c>
      <c r="C34" s="1" t="n">
        <v>45941</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52808-2022</t>
        </is>
      </c>
      <c r="B35" s="1" t="n">
        <v>44875</v>
      </c>
      <c r="C35" s="1" t="n">
        <v>45941</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45941</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33051-2021</t>
        </is>
      </c>
      <c r="B37" s="1" t="n">
        <v>44376</v>
      </c>
      <c r="C37" s="1" t="n">
        <v>45941</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45941</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74364-2021</t>
        </is>
      </c>
      <c r="B39" s="1" t="n">
        <v>44559</v>
      </c>
      <c r="C39" s="1" t="n">
        <v>45941</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45941</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221-2025</t>
        </is>
      </c>
      <c r="B41" s="1" t="n">
        <v>45660</v>
      </c>
      <c r="C41" s="1" t="n">
        <v>45941</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54492-2024</t>
        </is>
      </c>
      <c r="B42" s="1" t="n">
        <v>45617</v>
      </c>
      <c r="C42" s="1" t="n">
        <v>45941</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46204-2023</t>
        </is>
      </c>
      <c r="B43" s="1" t="n">
        <v>45190</v>
      </c>
      <c r="C43" s="1" t="n">
        <v>45941</v>
      </c>
      <c r="D43" t="inlineStr">
        <is>
          <t>UPPSALA LÄN</t>
        </is>
      </c>
      <c r="E43" t="inlineStr">
        <is>
          <t>ÖSTHAMMAR</t>
        </is>
      </c>
      <c r="F43" t="inlineStr">
        <is>
          <t>Övriga statliga verk och myndigheter</t>
        </is>
      </c>
      <c r="G43" t="n">
        <v>3.5</v>
      </c>
      <c r="H43" t="n">
        <v>3</v>
      </c>
      <c r="I43" t="n">
        <v>0</v>
      </c>
      <c r="J43" t="n">
        <v>3</v>
      </c>
      <c r="K43" t="n">
        <v>0</v>
      </c>
      <c r="L43" t="n">
        <v>0</v>
      </c>
      <c r="M43" t="n">
        <v>0</v>
      </c>
      <c r="N43" t="n">
        <v>0</v>
      </c>
      <c r="O43" t="n">
        <v>3</v>
      </c>
      <c r="P43" t="n">
        <v>0</v>
      </c>
      <c r="Q43" t="n">
        <v>3</v>
      </c>
      <c r="R43" s="2" t="inlineStr">
        <is>
          <t>Grönsångare
Gulsparv
Ärtsångare</t>
        </is>
      </c>
      <c r="S43">
        <f>HYPERLINK("https://klasma.github.io/Logging_0382/artfynd/A 46204-2023 artfynd.xlsx", "A 46204-2023")</f>
        <v/>
      </c>
      <c r="T43">
        <f>HYPERLINK("https://klasma.github.io/Logging_0382/kartor/A 46204-2023 karta.png", "A 46204-2023")</f>
        <v/>
      </c>
      <c r="V43">
        <f>HYPERLINK("https://klasma.github.io/Logging_0382/klagomål/A 46204-2023 FSC-klagomål.docx", "A 46204-2023")</f>
        <v/>
      </c>
      <c r="W43">
        <f>HYPERLINK("https://klasma.github.io/Logging_0382/klagomålsmail/A 46204-2023 FSC-klagomål mail.docx", "A 46204-2023")</f>
        <v/>
      </c>
      <c r="X43">
        <f>HYPERLINK("https://klasma.github.io/Logging_0382/tillsyn/A 46204-2023 tillsynsbegäran.docx", "A 46204-2023")</f>
        <v/>
      </c>
      <c r="Y43">
        <f>HYPERLINK("https://klasma.github.io/Logging_0382/tillsynsmail/A 46204-2023 tillsynsbegäran mail.docx", "A 46204-2023")</f>
        <v/>
      </c>
      <c r="Z43">
        <f>HYPERLINK("https://klasma.github.io/Logging_0382/fåglar/A 46204-2023 prioriterade fågelarter.docx", "A 46204-2023")</f>
        <v/>
      </c>
    </row>
    <row r="44" ht="15" customHeight="1">
      <c r="A44" t="inlineStr">
        <is>
          <t>A 55051-2021</t>
        </is>
      </c>
      <c r="B44" s="1" t="n">
        <v>44474</v>
      </c>
      <c r="C44" s="1" t="n">
        <v>45941</v>
      </c>
      <c r="D44" t="inlineStr">
        <is>
          <t>UPPSALA LÄN</t>
        </is>
      </c>
      <c r="E44" t="inlineStr">
        <is>
          <t>ÖSTHAMMAR</t>
        </is>
      </c>
      <c r="F44" t="inlineStr">
        <is>
          <t>Bergvik skog öst AB</t>
        </is>
      </c>
      <c r="G44" t="n">
        <v>6.5</v>
      </c>
      <c r="H44" t="n">
        <v>1</v>
      </c>
      <c r="I44" t="n">
        <v>2</v>
      </c>
      <c r="J44" t="n">
        <v>0</v>
      </c>
      <c r="K44" t="n">
        <v>0</v>
      </c>
      <c r="L44" t="n">
        <v>0</v>
      </c>
      <c r="M44" t="n">
        <v>0</v>
      </c>
      <c r="N44" t="n">
        <v>0</v>
      </c>
      <c r="O44" t="n">
        <v>0</v>
      </c>
      <c r="P44" t="n">
        <v>0</v>
      </c>
      <c r="Q44" t="n">
        <v>3</v>
      </c>
      <c r="R44" s="2" t="inlineStr">
        <is>
          <t>Svart trolldruva
Tibast
Blåsippa</t>
        </is>
      </c>
      <c r="S44">
        <f>HYPERLINK("https://klasma.github.io/Logging_0382/artfynd/A 55051-2021 artfynd.xlsx", "A 55051-2021")</f>
        <v/>
      </c>
      <c r="T44">
        <f>HYPERLINK("https://klasma.github.io/Logging_0382/kartor/A 55051-2021 karta.png", "A 55051-2021")</f>
        <v/>
      </c>
      <c r="V44">
        <f>HYPERLINK("https://klasma.github.io/Logging_0382/klagomål/A 55051-2021 FSC-klagomål.docx", "A 55051-2021")</f>
        <v/>
      </c>
      <c r="W44">
        <f>HYPERLINK("https://klasma.github.io/Logging_0382/klagomålsmail/A 55051-2021 FSC-klagomål mail.docx", "A 55051-2021")</f>
        <v/>
      </c>
      <c r="X44">
        <f>HYPERLINK("https://klasma.github.io/Logging_0382/tillsyn/A 55051-2021 tillsynsbegäran.docx", "A 55051-2021")</f>
        <v/>
      </c>
      <c r="Y44">
        <f>HYPERLINK("https://klasma.github.io/Logging_0382/tillsynsmail/A 55051-2021 tillsynsbegäran mail.docx", "A 55051-2021")</f>
        <v/>
      </c>
    </row>
    <row r="45" ht="15" customHeight="1">
      <c r="A45" t="inlineStr">
        <is>
          <t>A 33035-2021</t>
        </is>
      </c>
      <c r="B45" s="1" t="n">
        <v>44376</v>
      </c>
      <c r="C45" s="1" t="n">
        <v>45941</v>
      </c>
      <c r="D45" t="inlineStr">
        <is>
          <t>UPPSALA LÄN</t>
        </is>
      </c>
      <c r="E45" t="inlineStr">
        <is>
          <t>ÖSTHAMMAR</t>
        </is>
      </c>
      <c r="G45" t="n">
        <v>4.3</v>
      </c>
      <c r="H45" t="n">
        <v>0</v>
      </c>
      <c r="I45" t="n">
        <v>0</v>
      </c>
      <c r="J45" t="n">
        <v>1</v>
      </c>
      <c r="K45" t="n">
        <v>2</v>
      </c>
      <c r="L45" t="n">
        <v>0</v>
      </c>
      <c r="M45" t="n">
        <v>0</v>
      </c>
      <c r="N45" t="n">
        <v>0</v>
      </c>
      <c r="O45" t="n">
        <v>3</v>
      </c>
      <c r="P45" t="n">
        <v>2</v>
      </c>
      <c r="Q45" t="n">
        <v>3</v>
      </c>
      <c r="R45" s="2" t="inlineStr">
        <is>
          <t>Granrotsspindling
Gyllenfingersvamp
Dofttaggsvamp</t>
        </is>
      </c>
      <c r="S45">
        <f>HYPERLINK("https://klasma.github.io/Logging_0382/artfynd/A 33035-2021 artfynd.xlsx", "A 33035-2021")</f>
        <v/>
      </c>
      <c r="T45">
        <f>HYPERLINK("https://klasma.github.io/Logging_0382/kartor/A 33035-2021 karta.png", "A 33035-2021")</f>
        <v/>
      </c>
      <c r="V45">
        <f>HYPERLINK("https://klasma.github.io/Logging_0382/klagomål/A 33035-2021 FSC-klagomål.docx", "A 33035-2021")</f>
        <v/>
      </c>
      <c r="W45">
        <f>HYPERLINK("https://klasma.github.io/Logging_0382/klagomålsmail/A 33035-2021 FSC-klagomål mail.docx", "A 33035-2021")</f>
        <v/>
      </c>
      <c r="X45">
        <f>HYPERLINK("https://klasma.github.io/Logging_0382/tillsyn/A 33035-2021 tillsynsbegäran.docx", "A 33035-2021")</f>
        <v/>
      </c>
      <c r="Y45">
        <f>HYPERLINK("https://klasma.github.io/Logging_0382/tillsynsmail/A 33035-2021 tillsynsbegäran mail.docx", "A 33035-2021")</f>
        <v/>
      </c>
    </row>
    <row r="46" ht="15" customHeight="1">
      <c r="A46" t="inlineStr">
        <is>
          <t>A 26557-2022</t>
        </is>
      </c>
      <c r="B46" s="1" t="n">
        <v>44739</v>
      </c>
      <c r="C46" s="1" t="n">
        <v>45941</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9715-2024</t>
        </is>
      </c>
      <c r="B47" s="1" t="n">
        <v>45362.53928240741</v>
      </c>
      <c r="C47" s="1" t="n">
        <v>45941</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9683-2023</t>
        </is>
      </c>
      <c r="B48" s="1" t="n">
        <v>44984.43856481482</v>
      </c>
      <c r="C48" s="1" t="n">
        <v>45941</v>
      </c>
      <c r="D48" t="inlineStr">
        <is>
          <t>UPPSALA LÄN</t>
        </is>
      </c>
      <c r="E48" t="inlineStr">
        <is>
          <t>ÖSTHAMMAR</t>
        </is>
      </c>
      <c r="G48" t="n">
        <v>4</v>
      </c>
      <c r="H48" t="n">
        <v>3</v>
      </c>
      <c r="I48" t="n">
        <v>1</v>
      </c>
      <c r="J48" t="n">
        <v>0</v>
      </c>
      <c r="K48" t="n">
        <v>0</v>
      </c>
      <c r="L48" t="n">
        <v>0</v>
      </c>
      <c r="M48" t="n">
        <v>0</v>
      </c>
      <c r="N48" t="n">
        <v>0</v>
      </c>
      <c r="O48" t="n">
        <v>0</v>
      </c>
      <c r="P48" t="n">
        <v>0</v>
      </c>
      <c r="Q48" t="n">
        <v>3</v>
      </c>
      <c r="R48" s="2" t="inlineStr">
        <is>
          <t>Tvåblad
Blåsippa
Gullviva</t>
        </is>
      </c>
      <c r="S48">
        <f>HYPERLINK("https://klasma.github.io/Logging_0382/artfynd/A 9683-2023 artfynd.xlsx", "A 9683-2023")</f>
        <v/>
      </c>
      <c r="T48">
        <f>HYPERLINK("https://klasma.github.io/Logging_0382/kartor/A 9683-2023 karta.png", "A 9683-2023")</f>
        <v/>
      </c>
      <c r="V48">
        <f>HYPERLINK("https://klasma.github.io/Logging_0382/klagomål/A 9683-2023 FSC-klagomål.docx", "A 9683-2023")</f>
        <v/>
      </c>
      <c r="W48">
        <f>HYPERLINK("https://klasma.github.io/Logging_0382/klagomålsmail/A 9683-2023 FSC-klagomål mail.docx", "A 9683-2023")</f>
        <v/>
      </c>
      <c r="X48">
        <f>HYPERLINK("https://klasma.github.io/Logging_0382/tillsyn/A 9683-2023 tillsynsbegäran.docx", "A 9683-2023")</f>
        <v/>
      </c>
      <c r="Y48">
        <f>HYPERLINK("https://klasma.github.io/Logging_0382/tillsynsmail/A 9683-2023 tillsynsbegäran mail.docx", "A 9683-2023")</f>
        <v/>
      </c>
    </row>
    <row r="49" ht="15" customHeight="1">
      <c r="A49" t="inlineStr">
        <is>
          <t>A 25044-2025</t>
        </is>
      </c>
      <c r="B49" s="1" t="n">
        <v>45799.66607638889</v>
      </c>
      <c r="C49" s="1" t="n">
        <v>45941</v>
      </c>
      <c r="D49" t="inlineStr">
        <is>
          <t>UPPSALA LÄN</t>
        </is>
      </c>
      <c r="E49" t="inlineStr">
        <is>
          <t>ÖSTHAMMAR</t>
        </is>
      </c>
      <c r="F49" t="inlineStr">
        <is>
          <t>Bergvik skog öst AB</t>
        </is>
      </c>
      <c r="G49" t="n">
        <v>8.199999999999999</v>
      </c>
      <c r="H49" t="n">
        <v>2</v>
      </c>
      <c r="I49" t="n">
        <v>2</v>
      </c>
      <c r="J49" t="n">
        <v>0</v>
      </c>
      <c r="K49" t="n">
        <v>0</v>
      </c>
      <c r="L49" t="n">
        <v>0</v>
      </c>
      <c r="M49" t="n">
        <v>0</v>
      </c>
      <c r="N49" t="n">
        <v>0</v>
      </c>
      <c r="O49" t="n">
        <v>0</v>
      </c>
      <c r="P49" t="n">
        <v>0</v>
      </c>
      <c r="Q49" t="n">
        <v>3</v>
      </c>
      <c r="R49" s="2" t="inlineStr">
        <is>
          <t>Tvåblad
Vårärt
Blåsippa</t>
        </is>
      </c>
      <c r="S49">
        <f>HYPERLINK("https://klasma.github.io/Logging_0382/artfynd/A 25044-2025 artfynd.xlsx", "A 25044-2025")</f>
        <v/>
      </c>
      <c r="T49">
        <f>HYPERLINK("https://klasma.github.io/Logging_0382/kartor/A 25044-2025 karta.png", "A 25044-2025")</f>
        <v/>
      </c>
      <c r="V49">
        <f>HYPERLINK("https://klasma.github.io/Logging_0382/klagomål/A 25044-2025 FSC-klagomål.docx", "A 25044-2025")</f>
        <v/>
      </c>
      <c r="W49">
        <f>HYPERLINK("https://klasma.github.io/Logging_0382/klagomålsmail/A 25044-2025 FSC-klagomål mail.docx", "A 25044-2025")</f>
        <v/>
      </c>
      <c r="X49">
        <f>HYPERLINK("https://klasma.github.io/Logging_0382/tillsyn/A 25044-2025 tillsynsbegäran.docx", "A 25044-2025")</f>
        <v/>
      </c>
      <c r="Y49">
        <f>HYPERLINK("https://klasma.github.io/Logging_0382/tillsynsmail/A 25044-2025 tillsynsbegäran mail.docx", "A 25044-2025")</f>
        <v/>
      </c>
    </row>
    <row r="50" ht="15" customHeight="1">
      <c r="A50" t="inlineStr">
        <is>
          <t>A 17004-2024</t>
        </is>
      </c>
      <c r="B50" s="1" t="n">
        <v>45412</v>
      </c>
      <c r="C50" s="1" t="n">
        <v>45941</v>
      </c>
      <c r="D50" t="inlineStr">
        <is>
          <t>UPPSALA LÄN</t>
        </is>
      </c>
      <c r="E50" t="inlineStr">
        <is>
          <t>ÖSTHAMMAR</t>
        </is>
      </c>
      <c r="F50" t="inlineStr">
        <is>
          <t>Bergvik skog öst AB</t>
        </is>
      </c>
      <c r="G50" t="n">
        <v>24.4</v>
      </c>
      <c r="H50" t="n">
        <v>0</v>
      </c>
      <c r="I50" t="n">
        <v>2</v>
      </c>
      <c r="J50" t="n">
        <v>0</v>
      </c>
      <c r="K50" t="n">
        <v>0</v>
      </c>
      <c r="L50" t="n">
        <v>0</v>
      </c>
      <c r="M50" t="n">
        <v>1</v>
      </c>
      <c r="N50" t="n">
        <v>0</v>
      </c>
      <c r="O50" t="n">
        <v>1</v>
      </c>
      <c r="P50" t="n">
        <v>1</v>
      </c>
      <c r="Q50" t="n">
        <v>3</v>
      </c>
      <c r="R50" s="2" t="inlineStr">
        <is>
          <t>Skogsalm
Myskmadra
Underviol</t>
        </is>
      </c>
      <c r="S50">
        <f>HYPERLINK("https://klasma.github.io/Logging_0382/artfynd/A 17004-2024 artfynd.xlsx", "A 17004-2024")</f>
        <v/>
      </c>
      <c r="T50">
        <f>HYPERLINK("https://klasma.github.io/Logging_0382/kartor/A 17004-2024 karta.png", "A 17004-2024")</f>
        <v/>
      </c>
      <c r="V50">
        <f>HYPERLINK("https://klasma.github.io/Logging_0382/klagomål/A 17004-2024 FSC-klagomål.docx", "A 17004-2024")</f>
        <v/>
      </c>
      <c r="W50">
        <f>HYPERLINK("https://klasma.github.io/Logging_0382/klagomålsmail/A 17004-2024 FSC-klagomål mail.docx", "A 17004-2024")</f>
        <v/>
      </c>
      <c r="X50">
        <f>HYPERLINK("https://klasma.github.io/Logging_0382/tillsyn/A 17004-2024 tillsynsbegäran.docx", "A 17004-2024")</f>
        <v/>
      </c>
      <c r="Y50">
        <f>HYPERLINK("https://klasma.github.io/Logging_0382/tillsynsmail/A 17004-2024 tillsynsbegäran mail.docx", "A 17004-2024")</f>
        <v/>
      </c>
    </row>
    <row r="51" ht="15" customHeight="1">
      <c r="A51" t="inlineStr">
        <is>
          <t>A 60078-2021</t>
        </is>
      </c>
      <c r="B51" s="1" t="n">
        <v>44495</v>
      </c>
      <c r="C51" s="1" t="n">
        <v>45941</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45941</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45941</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73981-2021</t>
        </is>
      </c>
      <c r="B54" s="1" t="n">
        <v>44555</v>
      </c>
      <c r="C54" s="1" t="n">
        <v>45941</v>
      </c>
      <c r="D54" t="inlineStr">
        <is>
          <t>UPPSALA LÄN</t>
        </is>
      </c>
      <c r="E54" t="inlineStr">
        <is>
          <t>ÖSTHAMMAR</t>
        </is>
      </c>
      <c r="G54" t="n">
        <v>2.4</v>
      </c>
      <c r="H54" t="n">
        <v>0</v>
      </c>
      <c r="I54" t="n">
        <v>1</v>
      </c>
      <c r="J54" t="n">
        <v>1</v>
      </c>
      <c r="K54" t="n">
        <v>0</v>
      </c>
      <c r="L54" t="n">
        <v>0</v>
      </c>
      <c r="M54" t="n">
        <v>0</v>
      </c>
      <c r="N54" t="n">
        <v>0</v>
      </c>
      <c r="O54" t="n">
        <v>1</v>
      </c>
      <c r="P54" t="n">
        <v>0</v>
      </c>
      <c r="Q54" t="n">
        <v>2</v>
      </c>
      <c r="R54" s="2" t="inlineStr">
        <is>
          <t>Skogsklocka
Vårärt</t>
        </is>
      </c>
      <c r="S54">
        <f>HYPERLINK("https://klasma.github.io/Logging_0382/artfynd/A 73981-2021 artfynd.xlsx", "A 73981-2021")</f>
        <v/>
      </c>
      <c r="T54">
        <f>HYPERLINK("https://klasma.github.io/Logging_0382/kartor/A 73981-2021 karta.png", "A 73981-2021")</f>
        <v/>
      </c>
      <c r="V54">
        <f>HYPERLINK("https://klasma.github.io/Logging_0382/klagomål/A 73981-2021 FSC-klagomål.docx", "A 73981-2021")</f>
        <v/>
      </c>
      <c r="W54">
        <f>HYPERLINK("https://klasma.github.io/Logging_0382/klagomålsmail/A 73981-2021 FSC-klagomål mail.docx", "A 73981-2021")</f>
        <v/>
      </c>
      <c r="X54">
        <f>HYPERLINK("https://klasma.github.io/Logging_0382/tillsyn/A 73981-2021 tillsynsbegäran.docx", "A 73981-2021")</f>
        <v/>
      </c>
      <c r="Y54">
        <f>HYPERLINK("https://klasma.github.io/Logging_0382/tillsynsmail/A 73981-2021 tillsynsbegäran mail.docx", "A 73981-2021")</f>
        <v/>
      </c>
    </row>
    <row r="55" ht="15" customHeight="1">
      <c r="A55" t="inlineStr">
        <is>
          <t>A 2916-2025</t>
        </is>
      </c>
      <c r="B55" s="1" t="n">
        <v>45677</v>
      </c>
      <c r="C55" s="1" t="n">
        <v>45941</v>
      </c>
      <c r="D55" t="inlineStr">
        <is>
          <t>UPPSALA LÄN</t>
        </is>
      </c>
      <c r="E55" t="inlineStr">
        <is>
          <t>ÖSTHAMMAR</t>
        </is>
      </c>
      <c r="F55" t="inlineStr">
        <is>
          <t>Allmännings- och besparingsskogar</t>
        </is>
      </c>
      <c r="G55" t="n">
        <v>10.5</v>
      </c>
      <c r="H55" t="n">
        <v>2</v>
      </c>
      <c r="I55" t="n">
        <v>0</v>
      </c>
      <c r="J55" t="n">
        <v>0</v>
      </c>
      <c r="K55" t="n">
        <v>0</v>
      </c>
      <c r="L55" t="n">
        <v>0</v>
      </c>
      <c r="M55" t="n">
        <v>0</v>
      </c>
      <c r="N55" t="n">
        <v>0</v>
      </c>
      <c r="O55" t="n">
        <v>0</v>
      </c>
      <c r="P55" t="n">
        <v>0</v>
      </c>
      <c r="Q55" t="n">
        <v>2</v>
      </c>
      <c r="R55" s="2" t="inlineStr">
        <is>
          <t>Grönvit nattviol
Ängsnycklar × fläcknycklar</t>
        </is>
      </c>
      <c r="S55">
        <f>HYPERLINK("https://klasma.github.io/Logging_0382/artfynd/A 2916-2025 artfynd.xlsx", "A 2916-2025")</f>
        <v/>
      </c>
      <c r="T55">
        <f>HYPERLINK("https://klasma.github.io/Logging_0382/kartor/A 2916-2025 karta.png", "A 2916-2025")</f>
        <v/>
      </c>
      <c r="V55">
        <f>HYPERLINK("https://klasma.github.io/Logging_0382/klagomål/A 2916-2025 FSC-klagomål.docx", "A 2916-2025")</f>
        <v/>
      </c>
      <c r="W55">
        <f>HYPERLINK("https://klasma.github.io/Logging_0382/klagomålsmail/A 2916-2025 FSC-klagomål mail.docx", "A 2916-2025")</f>
        <v/>
      </c>
      <c r="X55">
        <f>HYPERLINK("https://klasma.github.io/Logging_0382/tillsyn/A 2916-2025 tillsynsbegäran.docx", "A 2916-2025")</f>
        <v/>
      </c>
      <c r="Y55">
        <f>HYPERLINK("https://klasma.github.io/Logging_0382/tillsynsmail/A 2916-2025 tillsynsbegäran mail.docx", "A 2916-2025")</f>
        <v/>
      </c>
    </row>
    <row r="56" ht="15" customHeight="1">
      <c r="A56" t="inlineStr">
        <is>
          <t>A 13287-2022</t>
        </is>
      </c>
      <c r="B56" s="1" t="n">
        <v>44644</v>
      </c>
      <c r="C56" s="1" t="n">
        <v>45941</v>
      </c>
      <c r="D56" t="inlineStr">
        <is>
          <t>UPPSALA LÄN</t>
        </is>
      </c>
      <c r="E56" t="inlineStr">
        <is>
          <t>ÖSTHAMMAR</t>
        </is>
      </c>
      <c r="G56" t="n">
        <v>14.6</v>
      </c>
      <c r="H56" t="n">
        <v>0</v>
      </c>
      <c r="I56" t="n">
        <v>1</v>
      </c>
      <c r="J56" t="n">
        <v>0</v>
      </c>
      <c r="K56" t="n">
        <v>1</v>
      </c>
      <c r="L56" t="n">
        <v>0</v>
      </c>
      <c r="M56" t="n">
        <v>0</v>
      </c>
      <c r="N56" t="n">
        <v>0</v>
      </c>
      <c r="O56" t="n">
        <v>1</v>
      </c>
      <c r="P56" t="n">
        <v>1</v>
      </c>
      <c r="Q56" t="n">
        <v>2</v>
      </c>
      <c r="R56" s="2" t="inlineStr">
        <is>
          <t>Bullspindling
Olivspindling</t>
        </is>
      </c>
      <c r="S56">
        <f>HYPERLINK("https://klasma.github.io/Logging_0382/artfynd/A 13287-2022 artfynd.xlsx", "A 13287-2022")</f>
        <v/>
      </c>
      <c r="T56">
        <f>HYPERLINK("https://klasma.github.io/Logging_0382/kartor/A 13287-2022 karta.png", "A 13287-2022")</f>
        <v/>
      </c>
      <c r="V56">
        <f>HYPERLINK("https://klasma.github.io/Logging_0382/klagomål/A 13287-2022 FSC-klagomål.docx", "A 13287-2022")</f>
        <v/>
      </c>
      <c r="W56">
        <f>HYPERLINK("https://klasma.github.io/Logging_0382/klagomålsmail/A 13287-2022 FSC-klagomål mail.docx", "A 13287-2022")</f>
        <v/>
      </c>
      <c r="X56">
        <f>HYPERLINK("https://klasma.github.io/Logging_0382/tillsyn/A 13287-2022 tillsynsbegäran.docx", "A 13287-2022")</f>
        <v/>
      </c>
      <c r="Y56">
        <f>HYPERLINK("https://klasma.github.io/Logging_0382/tillsynsmail/A 13287-2022 tillsynsbegäran mail.docx", "A 13287-2022")</f>
        <v/>
      </c>
    </row>
    <row r="57" ht="15" customHeight="1">
      <c r="A57" t="inlineStr">
        <is>
          <t>A 6223-2021</t>
        </is>
      </c>
      <c r="B57" s="1" t="n">
        <v>44235</v>
      </c>
      <c r="C57" s="1" t="n">
        <v>45941</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45941</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45941</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33269-2025</t>
        </is>
      </c>
      <c r="B60" s="1" t="n">
        <v>45840.68208333333</v>
      </c>
      <c r="C60" s="1" t="n">
        <v>45941</v>
      </c>
      <c r="D60" t="inlineStr">
        <is>
          <t>UPPSALA LÄN</t>
        </is>
      </c>
      <c r="E60" t="inlineStr">
        <is>
          <t>ÖSTHAMMAR</t>
        </is>
      </c>
      <c r="G60" t="n">
        <v>14.9</v>
      </c>
      <c r="H60" t="n">
        <v>0</v>
      </c>
      <c r="I60" t="n">
        <v>1</v>
      </c>
      <c r="J60" t="n">
        <v>0</v>
      </c>
      <c r="K60" t="n">
        <v>1</v>
      </c>
      <c r="L60" t="n">
        <v>0</v>
      </c>
      <c r="M60" t="n">
        <v>0</v>
      </c>
      <c r="N60" t="n">
        <v>0</v>
      </c>
      <c r="O60" t="n">
        <v>1</v>
      </c>
      <c r="P60" t="n">
        <v>1</v>
      </c>
      <c r="Q60" t="n">
        <v>2</v>
      </c>
      <c r="R60" s="2" t="inlineStr">
        <is>
          <t>Violgubbe
Kamjordstjärna</t>
        </is>
      </c>
      <c r="S60">
        <f>HYPERLINK("https://klasma.github.io/Logging_0382/artfynd/A 33269-2025 artfynd.xlsx", "A 33269-2025")</f>
        <v/>
      </c>
      <c r="T60">
        <f>HYPERLINK("https://klasma.github.io/Logging_0382/kartor/A 33269-2025 karta.png", "A 33269-2025")</f>
        <v/>
      </c>
      <c r="V60">
        <f>HYPERLINK("https://klasma.github.io/Logging_0382/klagomål/A 33269-2025 FSC-klagomål.docx", "A 33269-2025")</f>
        <v/>
      </c>
      <c r="W60">
        <f>HYPERLINK("https://klasma.github.io/Logging_0382/klagomålsmail/A 33269-2025 FSC-klagomål mail.docx", "A 33269-2025")</f>
        <v/>
      </c>
      <c r="X60">
        <f>HYPERLINK("https://klasma.github.io/Logging_0382/tillsyn/A 33269-2025 tillsynsbegäran.docx", "A 33269-2025")</f>
        <v/>
      </c>
      <c r="Y60">
        <f>HYPERLINK("https://klasma.github.io/Logging_0382/tillsynsmail/A 33269-2025 tillsynsbegäran mail.docx", "A 33269-2025")</f>
        <v/>
      </c>
    </row>
    <row r="61" ht="15" customHeight="1">
      <c r="A61" t="inlineStr">
        <is>
          <t>A 25098-2022</t>
        </is>
      </c>
      <c r="B61" s="1" t="n">
        <v>44729.44149305556</v>
      </c>
      <c r="C61" s="1" t="n">
        <v>45941</v>
      </c>
      <c r="D61" t="inlineStr">
        <is>
          <t>UPPSALA LÄN</t>
        </is>
      </c>
      <c r="E61" t="inlineStr">
        <is>
          <t>ÖSTHAMMAR</t>
        </is>
      </c>
      <c r="G61" t="n">
        <v>2.9</v>
      </c>
      <c r="H61" t="n">
        <v>2</v>
      </c>
      <c r="I61" t="n">
        <v>0</v>
      </c>
      <c r="J61" t="n">
        <v>0</v>
      </c>
      <c r="K61" t="n">
        <v>0</v>
      </c>
      <c r="L61" t="n">
        <v>0</v>
      </c>
      <c r="M61" t="n">
        <v>0</v>
      </c>
      <c r="N61" t="n">
        <v>0</v>
      </c>
      <c r="O61" t="n">
        <v>0</v>
      </c>
      <c r="P61" t="n">
        <v>0</v>
      </c>
      <c r="Q61" t="n">
        <v>2</v>
      </c>
      <c r="R61" s="2" t="inlineStr">
        <is>
          <t>Blåsippa
Gullviva</t>
        </is>
      </c>
      <c r="S61">
        <f>HYPERLINK("https://klasma.github.io/Logging_0382/artfynd/A 25098-2022 artfynd.xlsx", "A 25098-2022")</f>
        <v/>
      </c>
      <c r="T61">
        <f>HYPERLINK("https://klasma.github.io/Logging_0382/kartor/A 25098-2022 karta.png", "A 25098-2022")</f>
        <v/>
      </c>
      <c r="V61">
        <f>HYPERLINK("https://klasma.github.io/Logging_0382/klagomål/A 25098-2022 FSC-klagomål.docx", "A 25098-2022")</f>
        <v/>
      </c>
      <c r="W61">
        <f>HYPERLINK("https://klasma.github.io/Logging_0382/klagomålsmail/A 25098-2022 FSC-klagomål mail.docx", "A 25098-2022")</f>
        <v/>
      </c>
      <c r="X61">
        <f>HYPERLINK("https://klasma.github.io/Logging_0382/tillsyn/A 25098-2022 tillsynsbegäran.docx", "A 25098-2022")</f>
        <v/>
      </c>
      <c r="Y61">
        <f>HYPERLINK("https://klasma.github.io/Logging_0382/tillsynsmail/A 25098-2022 tillsynsbegäran mail.docx", "A 25098-2022")</f>
        <v/>
      </c>
    </row>
    <row r="62" ht="15" customHeight="1">
      <c r="A62" t="inlineStr">
        <is>
          <t>A 26277-2024</t>
        </is>
      </c>
      <c r="B62" s="1" t="n">
        <v>45468</v>
      </c>
      <c r="C62" s="1" t="n">
        <v>45941</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37768-2025</t>
        </is>
      </c>
      <c r="B63" s="1" t="n">
        <v>45880</v>
      </c>
      <c r="C63" s="1" t="n">
        <v>45941</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41303-2025</t>
        </is>
      </c>
      <c r="B64" s="1" t="n">
        <v>45898.69215277778</v>
      </c>
      <c r="C64" s="1" t="n">
        <v>45941</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67855-2021</t>
        </is>
      </c>
      <c r="B65" s="1" t="n">
        <v>44525</v>
      </c>
      <c r="C65" s="1" t="n">
        <v>45941</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45941</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9646-2024</t>
        </is>
      </c>
      <c r="B67" s="1" t="n">
        <v>45362.37055555556</v>
      </c>
      <c r="C67" s="1" t="n">
        <v>45941</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20553-2025</t>
        </is>
      </c>
      <c r="B68" s="1" t="n">
        <v>45775.63983796296</v>
      </c>
      <c r="C68" s="1" t="n">
        <v>45941</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45941</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38442-2022</t>
        </is>
      </c>
      <c r="B70" s="1" t="n">
        <v>44813</v>
      </c>
      <c r="C70" s="1" t="n">
        <v>45941</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61536-2021</t>
        </is>
      </c>
      <c r="B71" s="1" t="n">
        <v>44501</v>
      </c>
      <c r="C71" s="1" t="n">
        <v>45941</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45941</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49871-2021</t>
        </is>
      </c>
      <c r="B73" s="1" t="n">
        <v>44455</v>
      </c>
      <c r="C73" s="1" t="n">
        <v>45941</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37296-2023</t>
        </is>
      </c>
      <c r="B74" s="1" t="n">
        <v>45156</v>
      </c>
      <c r="C74" s="1" t="n">
        <v>45941</v>
      </c>
      <c r="D74" t="inlineStr">
        <is>
          <t>UPPSALA LÄN</t>
        </is>
      </c>
      <c r="E74" t="inlineStr">
        <is>
          <t>ÖSTHAMMAR</t>
        </is>
      </c>
      <c r="G74" t="n">
        <v>4.7</v>
      </c>
      <c r="H74" t="n">
        <v>1</v>
      </c>
      <c r="I74" t="n">
        <v>0</v>
      </c>
      <c r="J74" t="n">
        <v>0</v>
      </c>
      <c r="K74" t="n">
        <v>1</v>
      </c>
      <c r="L74" t="n">
        <v>0</v>
      </c>
      <c r="M74" t="n">
        <v>0</v>
      </c>
      <c r="N74" t="n">
        <v>0</v>
      </c>
      <c r="O74" t="n">
        <v>1</v>
      </c>
      <c r="P74" t="n">
        <v>1</v>
      </c>
      <c r="Q74" t="n">
        <v>1</v>
      </c>
      <c r="R74" s="2" t="inlineStr">
        <is>
          <t>Backsippa</t>
        </is>
      </c>
      <c r="S74">
        <f>HYPERLINK("https://klasma.github.io/Logging_0382/artfynd/A 37296-2023 artfynd.xlsx", "A 37296-2023")</f>
        <v/>
      </c>
      <c r="T74">
        <f>HYPERLINK("https://klasma.github.io/Logging_0382/kartor/A 37296-2023 karta.png", "A 37296-2023")</f>
        <v/>
      </c>
      <c r="V74">
        <f>HYPERLINK("https://klasma.github.io/Logging_0382/klagomål/A 37296-2023 FSC-klagomål.docx", "A 37296-2023")</f>
        <v/>
      </c>
      <c r="W74">
        <f>HYPERLINK("https://klasma.github.io/Logging_0382/klagomålsmail/A 37296-2023 FSC-klagomål mail.docx", "A 37296-2023")</f>
        <v/>
      </c>
      <c r="X74">
        <f>HYPERLINK("https://klasma.github.io/Logging_0382/tillsyn/A 37296-2023 tillsynsbegäran.docx", "A 37296-2023")</f>
        <v/>
      </c>
      <c r="Y74">
        <f>HYPERLINK("https://klasma.github.io/Logging_0382/tillsynsmail/A 37296-2023 tillsynsbegäran mail.docx", "A 37296-2023")</f>
        <v/>
      </c>
    </row>
    <row r="75" ht="15" customHeight="1">
      <c r="A75" t="inlineStr">
        <is>
          <t>A 65989-2021</t>
        </is>
      </c>
      <c r="B75" s="1" t="n">
        <v>44517</v>
      </c>
      <c r="C75" s="1" t="n">
        <v>45941</v>
      </c>
      <c r="D75" t="inlineStr">
        <is>
          <t>UPPSALA LÄN</t>
        </is>
      </c>
      <c r="E75" t="inlineStr">
        <is>
          <t>ÖSTHAMMAR</t>
        </is>
      </c>
      <c r="G75" t="n">
        <v>6.9</v>
      </c>
      <c r="H75" t="n">
        <v>1</v>
      </c>
      <c r="I75" t="n">
        <v>1</v>
      </c>
      <c r="J75" t="n">
        <v>0</v>
      </c>
      <c r="K75" t="n">
        <v>0</v>
      </c>
      <c r="L75" t="n">
        <v>0</v>
      </c>
      <c r="M75" t="n">
        <v>0</v>
      </c>
      <c r="N75" t="n">
        <v>0</v>
      </c>
      <c r="O75" t="n">
        <v>0</v>
      </c>
      <c r="P75" t="n">
        <v>0</v>
      </c>
      <c r="Q75" t="n">
        <v>1</v>
      </c>
      <c r="R75" s="2" t="inlineStr">
        <is>
          <t>Skogsknipprot</t>
        </is>
      </c>
      <c r="S75">
        <f>HYPERLINK("https://klasma.github.io/Logging_0382/artfynd/A 65989-2021 artfynd.xlsx", "A 65989-2021")</f>
        <v/>
      </c>
      <c r="T75">
        <f>HYPERLINK("https://klasma.github.io/Logging_0382/kartor/A 65989-2021 karta.png", "A 65989-2021")</f>
        <v/>
      </c>
      <c r="V75">
        <f>HYPERLINK("https://klasma.github.io/Logging_0382/klagomål/A 65989-2021 FSC-klagomål.docx", "A 65989-2021")</f>
        <v/>
      </c>
      <c r="W75">
        <f>HYPERLINK("https://klasma.github.io/Logging_0382/klagomålsmail/A 65989-2021 FSC-klagomål mail.docx", "A 65989-2021")</f>
        <v/>
      </c>
      <c r="X75">
        <f>HYPERLINK("https://klasma.github.io/Logging_0382/tillsyn/A 65989-2021 tillsynsbegäran.docx", "A 65989-2021")</f>
        <v/>
      </c>
      <c r="Y75">
        <f>HYPERLINK("https://klasma.github.io/Logging_0382/tillsynsmail/A 65989-2021 tillsynsbegäran mail.docx", "A 65989-2021")</f>
        <v/>
      </c>
    </row>
    <row r="76" ht="15" customHeight="1">
      <c r="A76" t="inlineStr">
        <is>
          <t>A 7446-2022</t>
        </is>
      </c>
      <c r="B76" s="1" t="n">
        <v>44606</v>
      </c>
      <c r="C76" s="1" t="n">
        <v>45941</v>
      </c>
      <c r="D76" t="inlineStr">
        <is>
          <t>UPPSALA LÄN</t>
        </is>
      </c>
      <c r="E76" t="inlineStr">
        <is>
          <t>ÖSTHAMMAR</t>
        </is>
      </c>
      <c r="G76" t="n">
        <v>5</v>
      </c>
      <c r="H76" t="n">
        <v>1</v>
      </c>
      <c r="I76" t="n">
        <v>0</v>
      </c>
      <c r="J76" t="n">
        <v>0</v>
      </c>
      <c r="K76" t="n">
        <v>0</v>
      </c>
      <c r="L76" t="n">
        <v>0</v>
      </c>
      <c r="M76" t="n">
        <v>0</v>
      </c>
      <c r="N76" t="n">
        <v>0</v>
      </c>
      <c r="O76" t="n">
        <v>0</v>
      </c>
      <c r="P76" t="n">
        <v>0</v>
      </c>
      <c r="Q76" t="n">
        <v>1</v>
      </c>
      <c r="R76" s="2" t="inlineStr">
        <is>
          <t>Mattlummer</t>
        </is>
      </c>
      <c r="S76">
        <f>HYPERLINK("https://klasma.github.io/Logging_0382/artfynd/A 7446-2022 artfynd.xlsx", "A 7446-2022")</f>
        <v/>
      </c>
      <c r="T76">
        <f>HYPERLINK("https://klasma.github.io/Logging_0382/kartor/A 7446-2022 karta.png", "A 7446-2022")</f>
        <v/>
      </c>
      <c r="V76">
        <f>HYPERLINK("https://klasma.github.io/Logging_0382/klagomål/A 7446-2022 FSC-klagomål.docx", "A 7446-2022")</f>
        <v/>
      </c>
      <c r="W76">
        <f>HYPERLINK("https://klasma.github.io/Logging_0382/klagomålsmail/A 7446-2022 FSC-klagomål mail.docx", "A 7446-2022")</f>
        <v/>
      </c>
      <c r="X76">
        <f>HYPERLINK("https://klasma.github.io/Logging_0382/tillsyn/A 7446-2022 tillsynsbegäran.docx", "A 7446-2022")</f>
        <v/>
      </c>
      <c r="Y76">
        <f>HYPERLINK("https://klasma.github.io/Logging_0382/tillsynsmail/A 7446-2022 tillsynsbegäran mail.docx", "A 7446-2022")</f>
        <v/>
      </c>
    </row>
    <row r="77" ht="15" customHeight="1">
      <c r="A77" t="inlineStr">
        <is>
          <t>A 52818-2022</t>
        </is>
      </c>
      <c r="B77" s="1" t="n">
        <v>44875</v>
      </c>
      <c r="C77" s="1" t="n">
        <v>45941</v>
      </c>
      <c r="D77" t="inlineStr">
        <is>
          <t>UPPSALA LÄN</t>
        </is>
      </c>
      <c r="E77" t="inlineStr">
        <is>
          <t>ÖSTHAMMAR</t>
        </is>
      </c>
      <c r="G77" t="n">
        <v>0.9</v>
      </c>
      <c r="H77" t="n">
        <v>1</v>
      </c>
      <c r="I77" t="n">
        <v>1</v>
      </c>
      <c r="J77" t="n">
        <v>0</v>
      </c>
      <c r="K77" t="n">
        <v>0</v>
      </c>
      <c r="L77" t="n">
        <v>0</v>
      </c>
      <c r="M77" t="n">
        <v>0</v>
      </c>
      <c r="N77" t="n">
        <v>0</v>
      </c>
      <c r="O77" t="n">
        <v>0</v>
      </c>
      <c r="P77" t="n">
        <v>0</v>
      </c>
      <c r="Q77" t="n">
        <v>1</v>
      </c>
      <c r="R77" s="2" t="inlineStr">
        <is>
          <t>Guckusko</t>
        </is>
      </c>
      <c r="S77">
        <f>HYPERLINK("https://klasma.github.io/Logging_0382/artfynd/A 52818-2022 artfynd.xlsx", "A 52818-2022")</f>
        <v/>
      </c>
      <c r="T77">
        <f>HYPERLINK("https://klasma.github.io/Logging_0382/kartor/A 52818-2022 karta.png", "A 52818-2022")</f>
        <v/>
      </c>
      <c r="V77">
        <f>HYPERLINK("https://klasma.github.io/Logging_0382/klagomål/A 52818-2022 FSC-klagomål.docx", "A 52818-2022")</f>
        <v/>
      </c>
      <c r="W77">
        <f>HYPERLINK("https://klasma.github.io/Logging_0382/klagomålsmail/A 52818-2022 FSC-klagomål mail.docx", "A 52818-2022")</f>
        <v/>
      </c>
      <c r="X77">
        <f>HYPERLINK("https://klasma.github.io/Logging_0382/tillsyn/A 52818-2022 tillsynsbegäran.docx", "A 52818-2022")</f>
        <v/>
      </c>
      <c r="Y77">
        <f>HYPERLINK("https://klasma.github.io/Logging_0382/tillsynsmail/A 52818-2022 tillsynsbegäran mail.docx", "A 52818-2022")</f>
        <v/>
      </c>
    </row>
    <row r="78" ht="15" customHeight="1">
      <c r="A78" t="inlineStr">
        <is>
          <t>A 70495-2021</t>
        </is>
      </c>
      <c r="B78" s="1" t="n">
        <v>44536</v>
      </c>
      <c r="C78" s="1" t="n">
        <v>45941</v>
      </c>
      <c r="D78" t="inlineStr">
        <is>
          <t>UPPSALA LÄN</t>
        </is>
      </c>
      <c r="E78" t="inlineStr">
        <is>
          <t>ÖSTHAMMAR</t>
        </is>
      </c>
      <c r="G78" t="n">
        <v>1</v>
      </c>
      <c r="H78" t="n">
        <v>1</v>
      </c>
      <c r="I78" t="n">
        <v>0</v>
      </c>
      <c r="J78" t="n">
        <v>1</v>
      </c>
      <c r="K78" t="n">
        <v>0</v>
      </c>
      <c r="L78" t="n">
        <v>0</v>
      </c>
      <c r="M78" t="n">
        <v>0</v>
      </c>
      <c r="N78" t="n">
        <v>0</v>
      </c>
      <c r="O78" t="n">
        <v>1</v>
      </c>
      <c r="P78" t="n">
        <v>0</v>
      </c>
      <c r="Q78" t="n">
        <v>1</v>
      </c>
      <c r="R78" s="2" t="inlineStr">
        <is>
          <t>Slaguggla</t>
        </is>
      </c>
      <c r="S78">
        <f>HYPERLINK("https://klasma.github.io/Logging_0382/artfynd/A 70495-2021 artfynd.xlsx", "A 70495-2021")</f>
        <v/>
      </c>
      <c r="T78">
        <f>HYPERLINK("https://klasma.github.io/Logging_0382/kartor/A 70495-2021 karta.png", "A 70495-2021")</f>
        <v/>
      </c>
      <c r="V78">
        <f>HYPERLINK("https://klasma.github.io/Logging_0382/klagomål/A 70495-2021 FSC-klagomål.docx", "A 70495-2021")</f>
        <v/>
      </c>
      <c r="W78">
        <f>HYPERLINK("https://klasma.github.io/Logging_0382/klagomålsmail/A 70495-2021 FSC-klagomål mail.docx", "A 70495-2021")</f>
        <v/>
      </c>
      <c r="X78">
        <f>HYPERLINK("https://klasma.github.io/Logging_0382/tillsyn/A 70495-2021 tillsynsbegäran.docx", "A 70495-2021")</f>
        <v/>
      </c>
      <c r="Y78">
        <f>HYPERLINK("https://klasma.github.io/Logging_0382/tillsynsmail/A 70495-2021 tillsynsbegäran mail.docx", "A 70495-2021")</f>
        <v/>
      </c>
      <c r="Z78">
        <f>HYPERLINK("https://klasma.github.io/Logging_0382/fåglar/A 70495-2021 prioriterade fågelarter.docx", "A 70495-2021")</f>
        <v/>
      </c>
    </row>
    <row r="79" ht="15" customHeight="1">
      <c r="A79" t="inlineStr">
        <is>
          <t>A 1227-2022</t>
        </is>
      </c>
      <c r="B79" s="1" t="n">
        <v>44572.57641203704</v>
      </c>
      <c r="C79" s="1" t="n">
        <v>45941</v>
      </c>
      <c r="D79" t="inlineStr">
        <is>
          <t>UPPSALA LÄN</t>
        </is>
      </c>
      <c r="E79" t="inlineStr">
        <is>
          <t>ÖSTHAMMAR</t>
        </is>
      </c>
      <c r="G79" t="n">
        <v>1.7</v>
      </c>
      <c r="H79" t="n">
        <v>0</v>
      </c>
      <c r="I79" t="n">
        <v>1</v>
      </c>
      <c r="J79" t="n">
        <v>0</v>
      </c>
      <c r="K79" t="n">
        <v>0</v>
      </c>
      <c r="L79" t="n">
        <v>0</v>
      </c>
      <c r="M79" t="n">
        <v>0</v>
      </c>
      <c r="N79" t="n">
        <v>0</v>
      </c>
      <c r="O79" t="n">
        <v>0</v>
      </c>
      <c r="P79" t="n">
        <v>0</v>
      </c>
      <c r="Q79" t="n">
        <v>1</v>
      </c>
      <c r="R79" s="2" t="inlineStr">
        <is>
          <t>Guldkremla</t>
        </is>
      </c>
      <c r="S79">
        <f>HYPERLINK("https://klasma.github.io/Logging_0382/artfynd/A 1227-2022 artfynd.xlsx", "A 1227-2022")</f>
        <v/>
      </c>
      <c r="T79">
        <f>HYPERLINK("https://klasma.github.io/Logging_0382/kartor/A 1227-2022 karta.png", "A 1227-2022")</f>
        <v/>
      </c>
      <c r="V79">
        <f>HYPERLINK("https://klasma.github.io/Logging_0382/klagomål/A 1227-2022 FSC-klagomål.docx", "A 1227-2022")</f>
        <v/>
      </c>
      <c r="W79">
        <f>HYPERLINK("https://klasma.github.io/Logging_0382/klagomålsmail/A 1227-2022 FSC-klagomål mail.docx", "A 1227-2022")</f>
        <v/>
      </c>
      <c r="X79">
        <f>HYPERLINK("https://klasma.github.io/Logging_0382/tillsyn/A 1227-2022 tillsynsbegäran.docx", "A 1227-2022")</f>
        <v/>
      </c>
      <c r="Y79">
        <f>HYPERLINK("https://klasma.github.io/Logging_0382/tillsynsmail/A 1227-2022 tillsynsbegäran mail.docx", "A 1227-2022")</f>
        <v/>
      </c>
    </row>
    <row r="80" ht="15" customHeight="1">
      <c r="A80" t="inlineStr">
        <is>
          <t>A 61479-2020</t>
        </is>
      </c>
      <c r="B80" s="1" t="n">
        <v>44154</v>
      </c>
      <c r="C80" s="1" t="n">
        <v>45941</v>
      </c>
      <c r="D80" t="inlineStr">
        <is>
          <t>UPPSALA LÄN</t>
        </is>
      </c>
      <c r="E80" t="inlineStr">
        <is>
          <t>ÖSTHAMMAR</t>
        </is>
      </c>
      <c r="G80" t="n">
        <v>2.5</v>
      </c>
      <c r="H80" t="n">
        <v>0</v>
      </c>
      <c r="I80" t="n">
        <v>1</v>
      </c>
      <c r="J80" t="n">
        <v>0</v>
      </c>
      <c r="K80" t="n">
        <v>0</v>
      </c>
      <c r="L80" t="n">
        <v>0</v>
      </c>
      <c r="M80" t="n">
        <v>0</v>
      </c>
      <c r="N80" t="n">
        <v>0</v>
      </c>
      <c r="O80" t="n">
        <v>0</v>
      </c>
      <c r="P80" t="n">
        <v>0</v>
      </c>
      <c r="Q80" t="n">
        <v>1</v>
      </c>
      <c r="R80" s="2" t="inlineStr">
        <is>
          <t>Olivspindling</t>
        </is>
      </c>
      <c r="S80">
        <f>HYPERLINK("https://klasma.github.io/Logging_0382/artfynd/A 61479-2020 artfynd.xlsx", "A 61479-2020")</f>
        <v/>
      </c>
      <c r="T80">
        <f>HYPERLINK("https://klasma.github.io/Logging_0382/kartor/A 61479-2020 karta.png", "A 61479-2020")</f>
        <v/>
      </c>
      <c r="V80">
        <f>HYPERLINK("https://klasma.github.io/Logging_0382/klagomål/A 61479-2020 FSC-klagomål.docx", "A 61479-2020")</f>
        <v/>
      </c>
      <c r="W80">
        <f>HYPERLINK("https://klasma.github.io/Logging_0382/klagomålsmail/A 61479-2020 FSC-klagomål mail.docx", "A 61479-2020")</f>
        <v/>
      </c>
      <c r="X80">
        <f>HYPERLINK("https://klasma.github.io/Logging_0382/tillsyn/A 61479-2020 tillsynsbegäran.docx", "A 61479-2020")</f>
        <v/>
      </c>
      <c r="Y80">
        <f>HYPERLINK("https://klasma.github.io/Logging_0382/tillsynsmail/A 61479-2020 tillsynsbegäran mail.docx", "A 61479-2020")</f>
        <v/>
      </c>
    </row>
    <row r="81" ht="15" customHeight="1">
      <c r="A81" t="inlineStr">
        <is>
          <t>A 29564-2023</t>
        </is>
      </c>
      <c r="B81" s="1" t="n">
        <v>45106</v>
      </c>
      <c r="C81" s="1" t="n">
        <v>45941</v>
      </c>
      <c r="D81" t="inlineStr">
        <is>
          <t>UPPSALA LÄN</t>
        </is>
      </c>
      <c r="E81" t="inlineStr">
        <is>
          <t>ÖSTHAMMAR</t>
        </is>
      </c>
      <c r="F81" t="inlineStr">
        <is>
          <t>Naturvårdsverket</t>
        </is>
      </c>
      <c r="G81" t="n">
        <v>1.2</v>
      </c>
      <c r="H81" t="n">
        <v>1</v>
      </c>
      <c r="I81" t="n">
        <v>0</v>
      </c>
      <c r="J81" t="n">
        <v>0</v>
      </c>
      <c r="K81" t="n">
        <v>0</v>
      </c>
      <c r="L81" t="n">
        <v>0</v>
      </c>
      <c r="M81" t="n">
        <v>0</v>
      </c>
      <c r="N81" t="n">
        <v>0</v>
      </c>
      <c r="O81" t="n">
        <v>0</v>
      </c>
      <c r="P81" t="n">
        <v>0</v>
      </c>
      <c r="Q81" t="n">
        <v>1</v>
      </c>
      <c r="R81" s="2" t="inlineStr">
        <is>
          <t>Blåsippa</t>
        </is>
      </c>
      <c r="S81">
        <f>HYPERLINK("https://klasma.github.io/Logging_0382/artfynd/A 29564-2023 artfynd.xlsx", "A 29564-2023")</f>
        <v/>
      </c>
      <c r="T81">
        <f>HYPERLINK("https://klasma.github.io/Logging_0382/kartor/A 29564-2023 karta.png", "A 29564-2023")</f>
        <v/>
      </c>
      <c r="V81">
        <f>HYPERLINK("https://klasma.github.io/Logging_0382/klagomål/A 29564-2023 FSC-klagomål.docx", "A 29564-2023")</f>
        <v/>
      </c>
      <c r="W81">
        <f>HYPERLINK("https://klasma.github.io/Logging_0382/klagomålsmail/A 29564-2023 FSC-klagomål mail.docx", "A 29564-2023")</f>
        <v/>
      </c>
      <c r="X81">
        <f>HYPERLINK("https://klasma.github.io/Logging_0382/tillsyn/A 29564-2023 tillsynsbegäran.docx", "A 29564-2023")</f>
        <v/>
      </c>
      <c r="Y81">
        <f>HYPERLINK("https://klasma.github.io/Logging_0382/tillsynsmail/A 29564-2023 tillsynsbegäran mail.docx", "A 29564-2023")</f>
        <v/>
      </c>
    </row>
    <row r="82" ht="15" customHeight="1">
      <c r="A82" t="inlineStr">
        <is>
          <t>A 11017-2023</t>
        </is>
      </c>
      <c r="B82" s="1" t="n">
        <v>44991</v>
      </c>
      <c r="C82" s="1" t="n">
        <v>45941</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29679-2023</t>
        </is>
      </c>
      <c r="B83" s="1" t="n">
        <v>45107</v>
      </c>
      <c r="C83" s="1" t="n">
        <v>45941</v>
      </c>
      <c r="D83" t="inlineStr">
        <is>
          <t>UPPSALA LÄN</t>
        </is>
      </c>
      <c r="E83" t="inlineStr">
        <is>
          <t>ÖSTHAMMAR</t>
        </is>
      </c>
      <c r="F83" t="inlineStr">
        <is>
          <t>Övriga Aktiebolag</t>
        </is>
      </c>
      <c r="G83" t="n">
        <v>7.3</v>
      </c>
      <c r="H83" t="n">
        <v>0</v>
      </c>
      <c r="I83" t="n">
        <v>0</v>
      </c>
      <c r="J83" t="n">
        <v>1</v>
      </c>
      <c r="K83" t="n">
        <v>0</v>
      </c>
      <c r="L83" t="n">
        <v>0</v>
      </c>
      <c r="M83" t="n">
        <v>0</v>
      </c>
      <c r="N83" t="n">
        <v>0</v>
      </c>
      <c r="O83" t="n">
        <v>1</v>
      </c>
      <c r="P83" t="n">
        <v>0</v>
      </c>
      <c r="Q83" t="n">
        <v>1</v>
      </c>
      <c r="R83" s="2" t="inlineStr">
        <is>
          <t>Vintertagging</t>
        </is>
      </c>
      <c r="S83">
        <f>HYPERLINK("https://klasma.github.io/Logging_0382/artfynd/A 29679-2023 artfynd.xlsx", "A 29679-2023")</f>
        <v/>
      </c>
      <c r="T83">
        <f>HYPERLINK("https://klasma.github.io/Logging_0382/kartor/A 29679-2023 karta.png", "A 29679-2023")</f>
        <v/>
      </c>
      <c r="V83">
        <f>HYPERLINK("https://klasma.github.io/Logging_0382/klagomål/A 29679-2023 FSC-klagomål.docx", "A 29679-2023")</f>
        <v/>
      </c>
      <c r="W83">
        <f>HYPERLINK("https://klasma.github.io/Logging_0382/klagomålsmail/A 29679-2023 FSC-klagomål mail.docx", "A 29679-2023")</f>
        <v/>
      </c>
      <c r="X83">
        <f>HYPERLINK("https://klasma.github.io/Logging_0382/tillsyn/A 29679-2023 tillsynsbegäran.docx", "A 29679-2023")</f>
        <v/>
      </c>
      <c r="Y83">
        <f>HYPERLINK("https://klasma.github.io/Logging_0382/tillsynsmail/A 29679-2023 tillsynsbegäran mail.docx", "A 29679-2023")</f>
        <v/>
      </c>
    </row>
    <row r="84" ht="15" customHeight="1">
      <c r="A84" t="inlineStr">
        <is>
          <t>A 30605-2025</t>
        </is>
      </c>
      <c r="B84" s="1" t="n">
        <v>45831.45510416666</v>
      </c>
      <c r="C84" s="1" t="n">
        <v>45941</v>
      </c>
      <c r="D84" t="inlineStr">
        <is>
          <t>UPPSALA LÄN</t>
        </is>
      </c>
      <c r="E84" t="inlineStr">
        <is>
          <t>ÖSTHAMMAR</t>
        </is>
      </c>
      <c r="G84" t="n">
        <v>1.7</v>
      </c>
      <c r="H84" t="n">
        <v>0</v>
      </c>
      <c r="I84" t="n">
        <v>0</v>
      </c>
      <c r="J84" t="n">
        <v>0</v>
      </c>
      <c r="K84" t="n">
        <v>1</v>
      </c>
      <c r="L84" t="n">
        <v>0</v>
      </c>
      <c r="M84" t="n">
        <v>0</v>
      </c>
      <c r="N84" t="n">
        <v>0</v>
      </c>
      <c r="O84" t="n">
        <v>1</v>
      </c>
      <c r="P84" t="n">
        <v>1</v>
      </c>
      <c r="Q84" t="n">
        <v>1</v>
      </c>
      <c r="R84" s="2" t="inlineStr">
        <is>
          <t>Plattsäv</t>
        </is>
      </c>
      <c r="S84">
        <f>HYPERLINK("https://klasma.github.io/Logging_0382/artfynd/A 30605-2025 artfynd.xlsx", "A 30605-2025")</f>
        <v/>
      </c>
      <c r="T84">
        <f>HYPERLINK("https://klasma.github.io/Logging_0382/kartor/A 30605-2025 karta.png", "A 30605-2025")</f>
        <v/>
      </c>
      <c r="V84">
        <f>HYPERLINK("https://klasma.github.io/Logging_0382/klagomål/A 30605-2025 FSC-klagomål.docx", "A 30605-2025")</f>
        <v/>
      </c>
      <c r="W84">
        <f>HYPERLINK("https://klasma.github.io/Logging_0382/klagomålsmail/A 30605-2025 FSC-klagomål mail.docx", "A 30605-2025")</f>
        <v/>
      </c>
      <c r="X84">
        <f>HYPERLINK("https://klasma.github.io/Logging_0382/tillsyn/A 30605-2025 tillsynsbegäran.docx", "A 30605-2025")</f>
        <v/>
      </c>
      <c r="Y84">
        <f>HYPERLINK("https://klasma.github.io/Logging_0382/tillsynsmail/A 30605-2025 tillsynsbegäran mail.docx", "A 30605-2025")</f>
        <v/>
      </c>
    </row>
    <row r="85" ht="15" customHeight="1">
      <c r="A85" t="inlineStr">
        <is>
          <t>A 10034-2023</t>
        </is>
      </c>
      <c r="B85" s="1" t="n">
        <v>44985</v>
      </c>
      <c r="C85" s="1" t="n">
        <v>45941</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46629-2024</t>
        </is>
      </c>
      <c r="B86" s="1" t="n">
        <v>45583.33221064815</v>
      </c>
      <c r="C86" s="1" t="n">
        <v>45941</v>
      </c>
      <c r="D86" t="inlineStr">
        <is>
          <t>UPPSALA LÄN</t>
        </is>
      </c>
      <c r="E86" t="inlineStr">
        <is>
          <t>ÖSTHAMMAR</t>
        </is>
      </c>
      <c r="F86" t="inlineStr">
        <is>
          <t>Bergvik skog öst AB</t>
        </is>
      </c>
      <c r="G86" t="n">
        <v>0.7</v>
      </c>
      <c r="H86" t="n">
        <v>0</v>
      </c>
      <c r="I86" t="n">
        <v>0</v>
      </c>
      <c r="J86" t="n">
        <v>1</v>
      </c>
      <c r="K86" t="n">
        <v>0</v>
      </c>
      <c r="L86" t="n">
        <v>0</v>
      </c>
      <c r="M86" t="n">
        <v>0</v>
      </c>
      <c r="N86" t="n">
        <v>0</v>
      </c>
      <c r="O86" t="n">
        <v>1</v>
      </c>
      <c r="P86" t="n">
        <v>0</v>
      </c>
      <c r="Q86" t="n">
        <v>1</v>
      </c>
      <c r="R86" s="2" t="inlineStr">
        <is>
          <t>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24797-2022</t>
        </is>
      </c>
      <c r="B87" s="1" t="n">
        <v>44728</v>
      </c>
      <c r="C87" s="1" t="n">
        <v>45941</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6143-2025</t>
        </is>
      </c>
      <c r="B88" s="1" t="n">
        <v>45698.38697916667</v>
      </c>
      <c r="C88" s="1" t="n">
        <v>45941</v>
      </c>
      <c r="D88" t="inlineStr">
        <is>
          <t>UPPSALA LÄN</t>
        </is>
      </c>
      <c r="E88" t="inlineStr">
        <is>
          <t>ÖSTHAMMAR</t>
        </is>
      </c>
      <c r="F88" t="inlineStr">
        <is>
          <t>Bergvik skog öst AB</t>
        </is>
      </c>
      <c r="G88" t="n">
        <v>3.6</v>
      </c>
      <c r="H88" t="n">
        <v>0</v>
      </c>
      <c r="I88" t="n">
        <v>1</v>
      </c>
      <c r="J88" t="n">
        <v>0</v>
      </c>
      <c r="K88" t="n">
        <v>0</v>
      </c>
      <c r="L88" t="n">
        <v>0</v>
      </c>
      <c r="M88" t="n">
        <v>0</v>
      </c>
      <c r="N88" t="n">
        <v>0</v>
      </c>
      <c r="O88" t="n">
        <v>0</v>
      </c>
      <c r="P88" t="n">
        <v>0</v>
      </c>
      <c r="Q88" t="n">
        <v>1</v>
      </c>
      <c r="R88" s="2" t="inlineStr">
        <is>
          <t>Svavelriska</t>
        </is>
      </c>
      <c r="S88">
        <f>HYPERLINK("https://klasma.github.io/Logging_0382/artfynd/A 6143-2025 artfynd.xlsx", "A 6143-2025")</f>
        <v/>
      </c>
      <c r="T88">
        <f>HYPERLINK("https://klasma.github.io/Logging_0382/kartor/A 6143-2025 karta.png", "A 6143-2025")</f>
        <v/>
      </c>
      <c r="V88">
        <f>HYPERLINK("https://klasma.github.io/Logging_0382/klagomål/A 6143-2025 FSC-klagomål.docx", "A 6143-2025")</f>
        <v/>
      </c>
      <c r="W88">
        <f>HYPERLINK("https://klasma.github.io/Logging_0382/klagomålsmail/A 6143-2025 FSC-klagomål mail.docx", "A 6143-2025")</f>
        <v/>
      </c>
      <c r="X88">
        <f>HYPERLINK("https://klasma.github.io/Logging_0382/tillsyn/A 6143-2025 tillsynsbegäran.docx", "A 6143-2025")</f>
        <v/>
      </c>
      <c r="Y88">
        <f>HYPERLINK("https://klasma.github.io/Logging_0382/tillsynsmail/A 6143-2025 tillsynsbegäran mail.docx", "A 6143-2025")</f>
        <v/>
      </c>
    </row>
    <row r="89" ht="15" customHeight="1">
      <c r="A89" t="inlineStr">
        <is>
          <t>A 34090-2023</t>
        </is>
      </c>
      <c r="B89" s="1" t="n">
        <v>45135</v>
      </c>
      <c r="C89" s="1" t="n">
        <v>45941</v>
      </c>
      <c r="D89" t="inlineStr">
        <is>
          <t>UPPSALA LÄN</t>
        </is>
      </c>
      <c r="E89" t="inlineStr">
        <is>
          <t>ÖSTHAMMAR</t>
        </is>
      </c>
      <c r="F89" t="inlineStr">
        <is>
          <t>Bergvik skog öst AB</t>
        </is>
      </c>
      <c r="G89" t="n">
        <v>5.7</v>
      </c>
      <c r="H89" t="n">
        <v>1</v>
      </c>
      <c r="I89" t="n">
        <v>0</v>
      </c>
      <c r="J89" t="n">
        <v>1</v>
      </c>
      <c r="K89" t="n">
        <v>0</v>
      </c>
      <c r="L89" t="n">
        <v>0</v>
      </c>
      <c r="M89" t="n">
        <v>0</v>
      </c>
      <c r="N89" t="n">
        <v>0</v>
      </c>
      <c r="O89" t="n">
        <v>1</v>
      </c>
      <c r="P89" t="n">
        <v>0</v>
      </c>
      <c r="Q89" t="n">
        <v>1</v>
      </c>
      <c r="R89" s="2" t="inlineStr">
        <is>
          <t>Spillkråka</t>
        </is>
      </c>
      <c r="S89">
        <f>HYPERLINK("https://klasma.github.io/Logging_0382/artfynd/A 34090-2023 artfynd.xlsx", "A 34090-2023")</f>
        <v/>
      </c>
      <c r="T89">
        <f>HYPERLINK("https://klasma.github.io/Logging_0382/kartor/A 34090-2023 karta.png", "A 34090-2023")</f>
        <v/>
      </c>
      <c r="V89">
        <f>HYPERLINK("https://klasma.github.io/Logging_0382/klagomål/A 34090-2023 FSC-klagomål.docx", "A 34090-2023")</f>
        <v/>
      </c>
      <c r="W89">
        <f>HYPERLINK("https://klasma.github.io/Logging_0382/klagomålsmail/A 34090-2023 FSC-klagomål mail.docx", "A 34090-2023")</f>
        <v/>
      </c>
      <c r="X89">
        <f>HYPERLINK("https://klasma.github.io/Logging_0382/tillsyn/A 34090-2023 tillsynsbegäran.docx", "A 34090-2023")</f>
        <v/>
      </c>
      <c r="Y89">
        <f>HYPERLINK("https://klasma.github.io/Logging_0382/tillsynsmail/A 34090-2023 tillsynsbegäran mail.docx", "A 34090-2023")</f>
        <v/>
      </c>
      <c r="Z89">
        <f>HYPERLINK("https://klasma.github.io/Logging_0382/fåglar/A 34090-2023 prioriterade fågelarter.docx", "A 34090-2023")</f>
        <v/>
      </c>
    </row>
    <row r="90" ht="15" customHeight="1">
      <c r="A90" t="inlineStr">
        <is>
          <t>A 25179-2023</t>
        </is>
      </c>
      <c r="B90" s="1" t="n">
        <v>45078</v>
      </c>
      <c r="C90" s="1" t="n">
        <v>45941</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22209-2022</t>
        </is>
      </c>
      <c r="B91" s="1" t="n">
        <v>44712</v>
      </c>
      <c r="C91" s="1" t="n">
        <v>45941</v>
      </c>
      <c r="D91" t="inlineStr">
        <is>
          <t>UPPSALA LÄN</t>
        </is>
      </c>
      <c r="E91" t="inlineStr">
        <is>
          <t>ÖSTHAMMAR</t>
        </is>
      </c>
      <c r="F91" t="inlineStr">
        <is>
          <t>Bergvik skog öst AB</t>
        </is>
      </c>
      <c r="G91" t="n">
        <v>1.5</v>
      </c>
      <c r="H91" t="n">
        <v>1</v>
      </c>
      <c r="I91" t="n">
        <v>0</v>
      </c>
      <c r="J91" t="n">
        <v>0</v>
      </c>
      <c r="K91" t="n">
        <v>0</v>
      </c>
      <c r="L91" t="n">
        <v>0</v>
      </c>
      <c r="M91" t="n">
        <v>0</v>
      </c>
      <c r="N91" t="n">
        <v>0</v>
      </c>
      <c r="O91" t="n">
        <v>0</v>
      </c>
      <c r="P91" t="n">
        <v>0</v>
      </c>
      <c r="Q91" t="n">
        <v>1</v>
      </c>
      <c r="R91" s="2" t="inlineStr">
        <is>
          <t>Blåsippa</t>
        </is>
      </c>
      <c r="S91">
        <f>HYPERLINK("https://klasma.github.io/Logging_0382/artfynd/A 22209-2022 artfynd.xlsx", "A 22209-2022")</f>
        <v/>
      </c>
      <c r="T91">
        <f>HYPERLINK("https://klasma.github.io/Logging_0382/kartor/A 22209-2022 karta.png", "A 22209-2022")</f>
        <v/>
      </c>
      <c r="V91">
        <f>HYPERLINK("https://klasma.github.io/Logging_0382/klagomål/A 22209-2022 FSC-klagomål.docx", "A 22209-2022")</f>
        <v/>
      </c>
      <c r="W91">
        <f>HYPERLINK("https://klasma.github.io/Logging_0382/klagomålsmail/A 22209-2022 FSC-klagomål mail.docx", "A 22209-2022")</f>
        <v/>
      </c>
      <c r="X91">
        <f>HYPERLINK("https://klasma.github.io/Logging_0382/tillsyn/A 22209-2022 tillsynsbegäran.docx", "A 22209-2022")</f>
        <v/>
      </c>
      <c r="Y91">
        <f>HYPERLINK("https://klasma.github.io/Logging_0382/tillsynsmail/A 22209-2022 tillsynsbegäran mail.docx", "A 22209-2022")</f>
        <v/>
      </c>
    </row>
    <row r="92" ht="15" customHeight="1">
      <c r="A92" t="inlineStr">
        <is>
          <t>A 41220-2025</t>
        </is>
      </c>
      <c r="B92" s="1" t="n">
        <v>45898.58630787037</v>
      </c>
      <c r="C92" s="1" t="n">
        <v>45941</v>
      </c>
      <c r="D92" t="inlineStr">
        <is>
          <t>UPPSALA LÄN</t>
        </is>
      </c>
      <c r="E92" t="inlineStr">
        <is>
          <t>ÖSTHAMMAR</t>
        </is>
      </c>
      <c r="F92" t="inlineStr">
        <is>
          <t>Bergvik skog öst AB</t>
        </is>
      </c>
      <c r="G92" t="n">
        <v>2.5</v>
      </c>
      <c r="H92" t="n">
        <v>1</v>
      </c>
      <c r="I92" t="n">
        <v>0</v>
      </c>
      <c r="J92" t="n">
        <v>1</v>
      </c>
      <c r="K92" t="n">
        <v>0</v>
      </c>
      <c r="L92" t="n">
        <v>0</v>
      </c>
      <c r="M92" t="n">
        <v>0</v>
      </c>
      <c r="N92" t="n">
        <v>0</v>
      </c>
      <c r="O92" t="n">
        <v>1</v>
      </c>
      <c r="P92" t="n">
        <v>0</v>
      </c>
      <c r="Q92" t="n">
        <v>1</v>
      </c>
      <c r="R92" s="2" t="inlineStr">
        <is>
          <t>Spillkråka</t>
        </is>
      </c>
      <c r="S92">
        <f>HYPERLINK("https://klasma.github.io/Logging_0382/artfynd/A 41220-2025 artfynd.xlsx", "A 41220-2025")</f>
        <v/>
      </c>
      <c r="T92">
        <f>HYPERLINK("https://klasma.github.io/Logging_0382/kartor/A 41220-2025 karta.png", "A 41220-2025")</f>
        <v/>
      </c>
      <c r="V92">
        <f>HYPERLINK("https://klasma.github.io/Logging_0382/klagomål/A 41220-2025 FSC-klagomål.docx", "A 41220-2025")</f>
        <v/>
      </c>
      <c r="W92">
        <f>HYPERLINK("https://klasma.github.io/Logging_0382/klagomålsmail/A 41220-2025 FSC-klagomål mail.docx", "A 41220-2025")</f>
        <v/>
      </c>
      <c r="X92">
        <f>HYPERLINK("https://klasma.github.io/Logging_0382/tillsyn/A 41220-2025 tillsynsbegäran.docx", "A 41220-2025")</f>
        <v/>
      </c>
      <c r="Y92">
        <f>HYPERLINK("https://klasma.github.io/Logging_0382/tillsynsmail/A 41220-2025 tillsynsbegäran mail.docx", "A 41220-2025")</f>
        <v/>
      </c>
      <c r="Z92">
        <f>HYPERLINK("https://klasma.github.io/Logging_0382/fåglar/A 41220-2025 prioriterade fågelarter.docx", "A 41220-2025")</f>
        <v/>
      </c>
    </row>
    <row r="93" ht="15" customHeight="1">
      <c r="A93" t="inlineStr">
        <is>
          <t>A 22287-2023</t>
        </is>
      </c>
      <c r="B93" s="1" t="n">
        <v>45070</v>
      </c>
      <c r="C93" s="1" t="n">
        <v>45941</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7470-2022</t>
        </is>
      </c>
      <c r="B94" s="1" t="n">
        <v>44607</v>
      </c>
      <c r="C94" s="1" t="n">
        <v>45941</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33800-2024</t>
        </is>
      </c>
      <c r="B95" s="1" t="n">
        <v>45520</v>
      </c>
      <c r="C95" s="1" t="n">
        <v>45941</v>
      </c>
      <c r="D95" t="inlineStr">
        <is>
          <t>UPPSALA LÄN</t>
        </is>
      </c>
      <c r="E95" t="inlineStr">
        <is>
          <t>ÖSTHAMMAR</t>
        </is>
      </c>
      <c r="F95" t="inlineStr">
        <is>
          <t>Naturvårdsverket</t>
        </is>
      </c>
      <c r="G95" t="n">
        <v>1.5</v>
      </c>
      <c r="H95" t="n">
        <v>1</v>
      </c>
      <c r="I95" t="n">
        <v>0</v>
      </c>
      <c r="J95" t="n">
        <v>0</v>
      </c>
      <c r="K95" t="n">
        <v>0</v>
      </c>
      <c r="L95" t="n">
        <v>0</v>
      </c>
      <c r="M95" t="n">
        <v>0</v>
      </c>
      <c r="N95" t="n">
        <v>0</v>
      </c>
      <c r="O95" t="n">
        <v>0</v>
      </c>
      <c r="P95" t="n">
        <v>0</v>
      </c>
      <c r="Q95" t="n">
        <v>1</v>
      </c>
      <c r="R95" s="2" t="inlineStr">
        <is>
          <t>Fläcknycklar</t>
        </is>
      </c>
      <c r="S95">
        <f>HYPERLINK("https://klasma.github.io/Logging_0382/artfynd/A 33800-2024 artfynd.xlsx", "A 33800-2024")</f>
        <v/>
      </c>
      <c r="T95">
        <f>HYPERLINK("https://klasma.github.io/Logging_0382/kartor/A 33800-2024 karta.png", "A 33800-2024")</f>
        <v/>
      </c>
      <c r="V95">
        <f>HYPERLINK("https://klasma.github.io/Logging_0382/klagomål/A 33800-2024 FSC-klagomål.docx", "A 33800-2024")</f>
        <v/>
      </c>
      <c r="W95">
        <f>HYPERLINK("https://klasma.github.io/Logging_0382/klagomålsmail/A 33800-2024 FSC-klagomål mail.docx", "A 33800-2024")</f>
        <v/>
      </c>
      <c r="X95">
        <f>HYPERLINK("https://klasma.github.io/Logging_0382/tillsyn/A 33800-2024 tillsynsbegäran.docx", "A 33800-2024")</f>
        <v/>
      </c>
      <c r="Y95">
        <f>HYPERLINK("https://klasma.github.io/Logging_0382/tillsynsmail/A 33800-2024 tillsynsbegäran mail.docx", "A 33800-2024")</f>
        <v/>
      </c>
    </row>
    <row r="96" ht="15" customHeight="1">
      <c r="A96" t="inlineStr">
        <is>
          <t>A 49839-2021</t>
        </is>
      </c>
      <c r="B96" s="1" t="n">
        <v>44455</v>
      </c>
      <c r="C96" s="1" t="n">
        <v>45941</v>
      </c>
      <c r="D96" t="inlineStr">
        <is>
          <t>UPPSALA LÄN</t>
        </is>
      </c>
      <c r="E96" t="inlineStr">
        <is>
          <t>ÖSTHAMMAR</t>
        </is>
      </c>
      <c r="G96" t="n">
        <v>3.6</v>
      </c>
      <c r="H96" t="n">
        <v>0</v>
      </c>
      <c r="I96" t="n">
        <v>0</v>
      </c>
      <c r="J96" t="n">
        <v>0</v>
      </c>
      <c r="K96" t="n">
        <v>1</v>
      </c>
      <c r="L96" t="n">
        <v>0</v>
      </c>
      <c r="M96" t="n">
        <v>0</v>
      </c>
      <c r="N96" t="n">
        <v>0</v>
      </c>
      <c r="O96" t="n">
        <v>1</v>
      </c>
      <c r="P96" t="n">
        <v>1</v>
      </c>
      <c r="Q96" t="n">
        <v>1</v>
      </c>
      <c r="R96" s="2" t="inlineStr">
        <is>
          <t>Violgubbe</t>
        </is>
      </c>
      <c r="S96">
        <f>HYPERLINK("https://klasma.github.io/Logging_0382/artfynd/A 49839-2021 artfynd.xlsx", "A 49839-2021")</f>
        <v/>
      </c>
      <c r="T96">
        <f>HYPERLINK("https://klasma.github.io/Logging_0382/kartor/A 49839-2021 karta.png", "A 49839-2021")</f>
        <v/>
      </c>
      <c r="V96">
        <f>HYPERLINK("https://klasma.github.io/Logging_0382/klagomål/A 49839-2021 FSC-klagomål.docx", "A 49839-2021")</f>
        <v/>
      </c>
      <c r="W96">
        <f>HYPERLINK("https://klasma.github.io/Logging_0382/klagomålsmail/A 49839-2021 FSC-klagomål mail.docx", "A 49839-2021")</f>
        <v/>
      </c>
      <c r="X96">
        <f>HYPERLINK("https://klasma.github.io/Logging_0382/tillsyn/A 49839-2021 tillsynsbegäran.docx", "A 49839-2021")</f>
        <v/>
      </c>
      <c r="Y96">
        <f>HYPERLINK("https://klasma.github.io/Logging_0382/tillsynsmail/A 49839-2021 tillsynsbegäran mail.docx", "A 49839-2021")</f>
        <v/>
      </c>
    </row>
    <row r="97" ht="15" customHeight="1">
      <c r="A97" t="inlineStr">
        <is>
          <t>A 22375-2024</t>
        </is>
      </c>
      <c r="B97" s="1" t="n">
        <v>45446</v>
      </c>
      <c r="C97" s="1" t="n">
        <v>45941</v>
      </c>
      <c r="D97" t="inlineStr">
        <is>
          <t>UPPSALA LÄN</t>
        </is>
      </c>
      <c r="E97" t="inlineStr">
        <is>
          <t>ÖSTHAMMAR</t>
        </is>
      </c>
      <c r="F97" t="inlineStr">
        <is>
          <t>Bergvik skog öst AB</t>
        </is>
      </c>
      <c r="G97" t="n">
        <v>2.2</v>
      </c>
      <c r="H97" t="n">
        <v>0</v>
      </c>
      <c r="I97" t="n">
        <v>0</v>
      </c>
      <c r="J97" t="n">
        <v>1</v>
      </c>
      <c r="K97" t="n">
        <v>0</v>
      </c>
      <c r="L97" t="n">
        <v>0</v>
      </c>
      <c r="M97" t="n">
        <v>0</v>
      </c>
      <c r="N97" t="n">
        <v>0</v>
      </c>
      <c r="O97" t="n">
        <v>1</v>
      </c>
      <c r="P97" t="n">
        <v>0</v>
      </c>
      <c r="Q97" t="n">
        <v>1</v>
      </c>
      <c r="R97" s="2" t="inlineStr">
        <is>
          <t>Slåtterfibbla</t>
        </is>
      </c>
      <c r="S97">
        <f>HYPERLINK("https://klasma.github.io/Logging_0382/artfynd/A 22375-2024 artfynd.xlsx", "A 22375-2024")</f>
        <v/>
      </c>
      <c r="T97">
        <f>HYPERLINK("https://klasma.github.io/Logging_0382/kartor/A 22375-2024 karta.png", "A 22375-2024")</f>
        <v/>
      </c>
      <c r="V97">
        <f>HYPERLINK("https://klasma.github.io/Logging_0382/klagomål/A 22375-2024 FSC-klagomål.docx", "A 22375-2024")</f>
        <v/>
      </c>
      <c r="W97">
        <f>HYPERLINK("https://klasma.github.io/Logging_0382/klagomålsmail/A 22375-2024 FSC-klagomål mail.docx", "A 22375-2024")</f>
        <v/>
      </c>
      <c r="X97">
        <f>HYPERLINK("https://klasma.github.io/Logging_0382/tillsyn/A 22375-2024 tillsynsbegäran.docx", "A 22375-2024")</f>
        <v/>
      </c>
      <c r="Y97">
        <f>HYPERLINK("https://klasma.github.io/Logging_0382/tillsynsmail/A 22375-2024 tillsynsbegäran mail.docx", "A 22375-2024")</f>
        <v/>
      </c>
    </row>
    <row r="98" ht="15" customHeight="1">
      <c r="A98" t="inlineStr">
        <is>
          <t>A 14706-2023</t>
        </is>
      </c>
      <c r="B98" s="1" t="n">
        <v>45013</v>
      </c>
      <c r="C98" s="1" t="n">
        <v>45941</v>
      </c>
      <c r="D98" t="inlineStr">
        <is>
          <t>UPPSALA LÄN</t>
        </is>
      </c>
      <c r="E98" t="inlineStr">
        <is>
          <t>ÖSTHAMMAR</t>
        </is>
      </c>
      <c r="G98" t="n">
        <v>0.9</v>
      </c>
      <c r="H98" t="n">
        <v>0</v>
      </c>
      <c r="I98" t="n">
        <v>1</v>
      </c>
      <c r="J98" t="n">
        <v>0</v>
      </c>
      <c r="K98" t="n">
        <v>0</v>
      </c>
      <c r="L98" t="n">
        <v>0</v>
      </c>
      <c r="M98" t="n">
        <v>0</v>
      </c>
      <c r="N98" t="n">
        <v>0</v>
      </c>
      <c r="O98" t="n">
        <v>0</v>
      </c>
      <c r="P98" t="n">
        <v>0</v>
      </c>
      <c r="Q98" t="n">
        <v>1</v>
      </c>
      <c r="R98" s="2" t="inlineStr">
        <is>
          <t>Olivspindling</t>
        </is>
      </c>
      <c r="S98">
        <f>HYPERLINK("https://klasma.github.io/Logging_0382/artfynd/A 14706-2023 artfynd.xlsx", "A 14706-2023")</f>
        <v/>
      </c>
      <c r="T98">
        <f>HYPERLINK("https://klasma.github.io/Logging_0382/kartor/A 14706-2023 karta.png", "A 14706-2023")</f>
        <v/>
      </c>
      <c r="V98">
        <f>HYPERLINK("https://klasma.github.io/Logging_0382/klagomål/A 14706-2023 FSC-klagomål.docx", "A 14706-2023")</f>
        <v/>
      </c>
      <c r="W98">
        <f>HYPERLINK("https://klasma.github.io/Logging_0382/klagomålsmail/A 14706-2023 FSC-klagomål mail.docx", "A 14706-2023")</f>
        <v/>
      </c>
      <c r="X98">
        <f>HYPERLINK("https://klasma.github.io/Logging_0382/tillsyn/A 14706-2023 tillsynsbegäran.docx", "A 14706-2023")</f>
        <v/>
      </c>
      <c r="Y98">
        <f>HYPERLINK("https://klasma.github.io/Logging_0382/tillsynsmail/A 14706-2023 tillsynsbegäran mail.docx", "A 14706-2023")</f>
        <v/>
      </c>
    </row>
    <row r="99" ht="15" customHeight="1">
      <c r="A99" t="inlineStr">
        <is>
          <t>A 12753-2024</t>
        </is>
      </c>
      <c r="B99" s="1" t="n">
        <v>45384</v>
      </c>
      <c r="C99" s="1" t="n">
        <v>45941</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14203-2024</t>
        </is>
      </c>
      <c r="B100" s="1" t="n">
        <v>45393</v>
      </c>
      <c r="C100" s="1" t="n">
        <v>45941</v>
      </c>
      <c r="D100" t="inlineStr">
        <is>
          <t>UPPSALA LÄN</t>
        </is>
      </c>
      <c r="E100" t="inlineStr">
        <is>
          <t>ÖSTHAMMAR</t>
        </is>
      </c>
      <c r="G100" t="n">
        <v>1.4</v>
      </c>
      <c r="H100" t="n">
        <v>0</v>
      </c>
      <c r="I100" t="n">
        <v>0</v>
      </c>
      <c r="J100" t="n">
        <v>1</v>
      </c>
      <c r="K100" t="n">
        <v>0</v>
      </c>
      <c r="L100" t="n">
        <v>0</v>
      </c>
      <c r="M100" t="n">
        <v>0</v>
      </c>
      <c r="N100" t="n">
        <v>0</v>
      </c>
      <c r="O100" t="n">
        <v>1</v>
      </c>
      <c r="P100" t="n">
        <v>0</v>
      </c>
      <c r="Q100" t="n">
        <v>1</v>
      </c>
      <c r="R100" s="2" t="inlineStr">
        <is>
          <t>Scharlakansvaxing</t>
        </is>
      </c>
      <c r="S100">
        <f>HYPERLINK("https://klasma.github.io/Logging_0382/artfynd/A 14203-2024 artfynd.xlsx", "A 14203-2024")</f>
        <v/>
      </c>
      <c r="T100">
        <f>HYPERLINK("https://klasma.github.io/Logging_0382/kartor/A 14203-2024 karta.png", "A 14203-2024")</f>
        <v/>
      </c>
      <c r="V100">
        <f>HYPERLINK("https://klasma.github.io/Logging_0382/klagomål/A 14203-2024 FSC-klagomål.docx", "A 14203-2024")</f>
        <v/>
      </c>
      <c r="W100">
        <f>HYPERLINK("https://klasma.github.io/Logging_0382/klagomålsmail/A 14203-2024 FSC-klagomål mail.docx", "A 14203-2024")</f>
        <v/>
      </c>
      <c r="X100">
        <f>HYPERLINK("https://klasma.github.io/Logging_0382/tillsyn/A 14203-2024 tillsynsbegäran.docx", "A 14203-2024")</f>
        <v/>
      </c>
      <c r="Y100">
        <f>HYPERLINK("https://klasma.github.io/Logging_0382/tillsynsmail/A 14203-2024 tillsynsbegäran mail.docx", "A 14203-2024")</f>
        <v/>
      </c>
    </row>
    <row r="101" ht="15" customHeight="1">
      <c r="A101" t="inlineStr">
        <is>
          <t>A 63615-2021</t>
        </is>
      </c>
      <c r="B101" s="1" t="n">
        <v>44509</v>
      </c>
      <c r="C101" s="1" t="n">
        <v>45941</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Gul taggsvamp</t>
        </is>
      </c>
      <c r="S101">
        <f>HYPERLINK("https://klasma.github.io/Logging_0382/artfynd/A 63615-2021 artfynd.xlsx", "A 63615-2021")</f>
        <v/>
      </c>
      <c r="T101">
        <f>HYPERLINK("https://klasma.github.io/Logging_0382/kartor/A 63615-2021 karta.png", "A 63615-2021")</f>
        <v/>
      </c>
      <c r="V101">
        <f>HYPERLINK("https://klasma.github.io/Logging_0382/klagomål/A 63615-2021 FSC-klagomål.docx", "A 63615-2021")</f>
        <v/>
      </c>
      <c r="W101">
        <f>HYPERLINK("https://klasma.github.io/Logging_0382/klagomålsmail/A 63615-2021 FSC-klagomål mail.docx", "A 63615-2021")</f>
        <v/>
      </c>
      <c r="X101">
        <f>HYPERLINK("https://klasma.github.io/Logging_0382/tillsyn/A 63615-2021 tillsynsbegäran.docx", "A 63615-2021")</f>
        <v/>
      </c>
      <c r="Y101">
        <f>HYPERLINK("https://klasma.github.io/Logging_0382/tillsynsmail/A 63615-2021 tillsynsbegäran mail.docx", "A 63615-2021")</f>
        <v/>
      </c>
    </row>
    <row r="102" ht="15" customHeight="1">
      <c r="A102" t="inlineStr">
        <is>
          <t>A 3693-2021</t>
        </is>
      </c>
      <c r="B102" s="1" t="n">
        <v>44221</v>
      </c>
      <c r="C102" s="1" t="n">
        <v>45941</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45941</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45941</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45941</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45941</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62484-2020</t>
        </is>
      </c>
      <c r="B107" s="1" t="n">
        <v>44160</v>
      </c>
      <c r="C107" s="1" t="n">
        <v>45941</v>
      </c>
      <c r="D107" t="inlineStr">
        <is>
          <t>UPPSALA LÄN</t>
        </is>
      </c>
      <c r="E107" t="inlineStr">
        <is>
          <t>ÖSTHAMMAR</t>
        </is>
      </c>
      <c r="G107" t="n">
        <v>1.4</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45941</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45941</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45941</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45941</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45941</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45941</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45941</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45941</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45941</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45941</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45941</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45941</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45941</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45941</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45941</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45941</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45941</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45941</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45941</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45941</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45941</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45941</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67859-2021</t>
        </is>
      </c>
      <c r="B130" s="1" t="n">
        <v>44525.48695601852</v>
      </c>
      <c r="C130" s="1" t="n">
        <v>45941</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45941</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45941</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45941</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45941</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45941</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45941</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45941</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45941</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45941</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45941</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45941</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45941</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45941</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45941</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45941</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45941</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45941</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45941</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45941</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15457-2022</t>
        </is>
      </c>
      <c r="B150" s="1" t="n">
        <v>44661.74027777778</v>
      </c>
      <c r="C150" s="1" t="n">
        <v>45941</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25987-2022</t>
        </is>
      </c>
      <c r="B151" s="1" t="n">
        <v>44734.49601851852</v>
      </c>
      <c r="C151" s="1" t="n">
        <v>45941</v>
      </c>
      <c r="D151" t="inlineStr">
        <is>
          <t>UPPSALA LÄN</t>
        </is>
      </c>
      <c r="E151" t="inlineStr">
        <is>
          <t>ÖSTHAMMAR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18736-2022</t>
        </is>
      </c>
      <c r="B152" s="1" t="n">
        <v>44687.87017361111</v>
      </c>
      <c r="C152" s="1" t="n">
        <v>45941</v>
      </c>
      <c r="D152" t="inlineStr">
        <is>
          <t>UPPSALA LÄN</t>
        </is>
      </c>
      <c r="E152" t="inlineStr">
        <is>
          <t>ÖSTHAMMAR</t>
        </is>
      </c>
      <c r="F152" t="inlineStr">
        <is>
          <t>Bergvik skog öst AB</t>
        </is>
      </c>
      <c r="G152" t="n">
        <v>0.4</v>
      </c>
      <c r="H152" t="n">
        <v>0</v>
      </c>
      <c r="I152" t="n">
        <v>0</v>
      </c>
      <c r="J152" t="n">
        <v>0</v>
      </c>
      <c r="K152" t="n">
        <v>0</v>
      </c>
      <c r="L152" t="n">
        <v>0</v>
      </c>
      <c r="M152" t="n">
        <v>0</v>
      </c>
      <c r="N152" t="n">
        <v>0</v>
      </c>
      <c r="O152" t="n">
        <v>0</v>
      </c>
      <c r="P152" t="n">
        <v>0</v>
      </c>
      <c r="Q152" t="n">
        <v>0</v>
      </c>
      <c r="R152" s="2" t="inlineStr"/>
    </row>
    <row r="153" ht="15" customHeight="1">
      <c r="A153" t="inlineStr">
        <is>
          <t>A 59432-2020</t>
        </is>
      </c>
      <c r="B153" s="1" t="n">
        <v>44148</v>
      </c>
      <c r="C153" s="1" t="n">
        <v>45941</v>
      </c>
      <c r="D153" t="inlineStr">
        <is>
          <t>UPPSALA LÄN</t>
        </is>
      </c>
      <c r="E153" t="inlineStr">
        <is>
          <t>ÖSTHAMMAR</t>
        </is>
      </c>
      <c r="F153" t="inlineStr">
        <is>
          <t>Sveaskog</t>
        </is>
      </c>
      <c r="G153" t="n">
        <v>3.4</v>
      </c>
      <c r="H153" t="n">
        <v>0</v>
      </c>
      <c r="I153" t="n">
        <v>0</v>
      </c>
      <c r="J153" t="n">
        <v>0</v>
      </c>
      <c r="K153" t="n">
        <v>0</v>
      </c>
      <c r="L153" t="n">
        <v>0</v>
      </c>
      <c r="M153" t="n">
        <v>0</v>
      </c>
      <c r="N153" t="n">
        <v>0</v>
      </c>
      <c r="O153" t="n">
        <v>0</v>
      </c>
      <c r="P153" t="n">
        <v>0</v>
      </c>
      <c r="Q153" t="n">
        <v>0</v>
      </c>
      <c r="R153" s="2" t="inlineStr"/>
    </row>
    <row r="154" ht="15" customHeight="1">
      <c r="A154" t="inlineStr">
        <is>
          <t>A 19181-2022</t>
        </is>
      </c>
      <c r="B154" s="1" t="n">
        <v>44691</v>
      </c>
      <c r="C154" s="1" t="n">
        <v>45941</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19707-2022</t>
        </is>
      </c>
      <c r="B155" s="1" t="n">
        <v>44694</v>
      </c>
      <c r="C155" s="1" t="n">
        <v>45941</v>
      </c>
      <c r="D155" t="inlineStr">
        <is>
          <t>UPPSALA LÄN</t>
        </is>
      </c>
      <c r="E155" t="inlineStr">
        <is>
          <t>ÖSTHAMMAR</t>
        </is>
      </c>
      <c r="F155" t="inlineStr">
        <is>
          <t>Allmännings- och besparingsskogar</t>
        </is>
      </c>
      <c r="G155" t="n">
        <v>0.5</v>
      </c>
      <c r="H155" t="n">
        <v>0</v>
      </c>
      <c r="I155" t="n">
        <v>0</v>
      </c>
      <c r="J155" t="n">
        <v>0</v>
      </c>
      <c r="K155" t="n">
        <v>0</v>
      </c>
      <c r="L155" t="n">
        <v>0</v>
      </c>
      <c r="M155" t="n">
        <v>0</v>
      </c>
      <c r="N155" t="n">
        <v>0</v>
      </c>
      <c r="O155" t="n">
        <v>0</v>
      </c>
      <c r="P155" t="n">
        <v>0</v>
      </c>
      <c r="Q155" t="n">
        <v>0</v>
      </c>
      <c r="R155" s="2" t="inlineStr"/>
    </row>
    <row r="156" ht="15" customHeight="1">
      <c r="A156" t="inlineStr">
        <is>
          <t>A 52898-2021</t>
        </is>
      </c>
      <c r="B156" s="1" t="n">
        <v>44467</v>
      </c>
      <c r="C156" s="1" t="n">
        <v>45941</v>
      </c>
      <c r="D156" t="inlineStr">
        <is>
          <t>UPPSALA LÄN</t>
        </is>
      </c>
      <c r="E156" t="inlineStr">
        <is>
          <t>ÖSTHAMMAR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61560-2021</t>
        </is>
      </c>
      <c r="B157" s="1" t="n">
        <v>44501.42905092592</v>
      </c>
      <c r="C157" s="1" t="n">
        <v>45941</v>
      </c>
      <c r="D157" t="inlineStr">
        <is>
          <t>UPPSALA LÄN</t>
        </is>
      </c>
      <c r="E157" t="inlineStr">
        <is>
          <t>ÖSTHAMMAR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37570-2022</t>
        </is>
      </c>
      <c r="B158" s="1" t="n">
        <v>44809</v>
      </c>
      <c r="C158" s="1" t="n">
        <v>45941</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45941</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45941</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61193-2020</t>
        </is>
      </c>
      <c r="B161" s="1" t="n">
        <v>44155</v>
      </c>
      <c r="C161" s="1" t="n">
        <v>45941</v>
      </c>
      <c r="D161" t="inlineStr">
        <is>
          <t>UPPSALA LÄN</t>
        </is>
      </c>
      <c r="E161" t="inlineStr">
        <is>
          <t>ÖSTHAMMAR</t>
        </is>
      </c>
      <c r="F161" t="inlineStr">
        <is>
          <t>Övriga Aktiebolag</t>
        </is>
      </c>
      <c r="G161" t="n">
        <v>2.1</v>
      </c>
      <c r="H161" t="n">
        <v>0</v>
      </c>
      <c r="I161" t="n">
        <v>0</v>
      </c>
      <c r="J161" t="n">
        <v>0</v>
      </c>
      <c r="K161" t="n">
        <v>0</v>
      </c>
      <c r="L161" t="n">
        <v>0</v>
      </c>
      <c r="M161" t="n">
        <v>0</v>
      </c>
      <c r="N161" t="n">
        <v>0</v>
      </c>
      <c r="O161" t="n">
        <v>0</v>
      </c>
      <c r="P161" t="n">
        <v>0</v>
      </c>
      <c r="Q161" t="n">
        <v>0</v>
      </c>
      <c r="R161" s="2" t="inlineStr"/>
    </row>
    <row r="162" ht="15" customHeight="1">
      <c r="A162" t="inlineStr">
        <is>
          <t>A 9789-2022</t>
        </is>
      </c>
      <c r="B162" s="1" t="n">
        <v>44620.35590277778</v>
      </c>
      <c r="C162" s="1" t="n">
        <v>45941</v>
      </c>
      <c r="D162" t="inlineStr">
        <is>
          <t>UPPSALA LÄN</t>
        </is>
      </c>
      <c r="E162" t="inlineStr">
        <is>
          <t>ÖSTHAMMAR</t>
        </is>
      </c>
      <c r="G162" t="n">
        <v>1.2</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45941</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7871-2022</t>
        </is>
      </c>
      <c r="B164" s="1" t="n">
        <v>44608</v>
      </c>
      <c r="C164" s="1" t="n">
        <v>45941</v>
      </c>
      <c r="D164" t="inlineStr">
        <is>
          <t>UPPSALA LÄN</t>
        </is>
      </c>
      <c r="E164" t="inlineStr">
        <is>
          <t>ÖSTHAMMAR</t>
        </is>
      </c>
      <c r="G164" t="n">
        <v>1.1</v>
      </c>
      <c r="H164" t="n">
        <v>0</v>
      </c>
      <c r="I164" t="n">
        <v>0</v>
      </c>
      <c r="J164" t="n">
        <v>0</v>
      </c>
      <c r="K164" t="n">
        <v>0</v>
      </c>
      <c r="L164" t="n">
        <v>0</v>
      </c>
      <c r="M164" t="n">
        <v>0</v>
      </c>
      <c r="N164" t="n">
        <v>0</v>
      </c>
      <c r="O164" t="n">
        <v>0</v>
      </c>
      <c r="P164" t="n">
        <v>0</v>
      </c>
      <c r="Q164" t="n">
        <v>0</v>
      </c>
      <c r="R164" s="2" t="inlineStr"/>
    </row>
    <row r="165" ht="15" customHeight="1">
      <c r="A165" t="inlineStr">
        <is>
          <t>A 24817-2022</t>
        </is>
      </c>
      <c r="B165" s="1" t="n">
        <v>44728</v>
      </c>
      <c r="C165" s="1" t="n">
        <v>45941</v>
      </c>
      <c r="D165" t="inlineStr">
        <is>
          <t>UPPSALA LÄN</t>
        </is>
      </c>
      <c r="E165" t="inlineStr">
        <is>
          <t>ÖSTHAMMAR</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37545-2022</t>
        </is>
      </c>
      <c r="B166" s="1" t="n">
        <v>44809.63373842592</v>
      </c>
      <c r="C166" s="1" t="n">
        <v>45941</v>
      </c>
      <c r="D166" t="inlineStr">
        <is>
          <t>UPPSALA LÄN</t>
        </is>
      </c>
      <c r="E166" t="inlineStr">
        <is>
          <t>ÖSTHAMMAR</t>
        </is>
      </c>
      <c r="G166" t="n">
        <v>3.1</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45941</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2168-2022</t>
        </is>
      </c>
      <c r="B168" s="1" t="n">
        <v>44578</v>
      </c>
      <c r="C168" s="1" t="n">
        <v>45941</v>
      </c>
      <c r="D168" t="inlineStr">
        <is>
          <t>UPPSALA LÄN</t>
        </is>
      </c>
      <c r="E168" t="inlineStr">
        <is>
          <t>ÖSTHAMMAR</t>
        </is>
      </c>
      <c r="G168" t="n">
        <v>2.9</v>
      </c>
      <c r="H168" t="n">
        <v>0</v>
      </c>
      <c r="I168" t="n">
        <v>0</v>
      </c>
      <c r="J168" t="n">
        <v>0</v>
      </c>
      <c r="K168" t="n">
        <v>0</v>
      </c>
      <c r="L168" t="n">
        <v>0</v>
      </c>
      <c r="M168" t="n">
        <v>0</v>
      </c>
      <c r="N168" t="n">
        <v>0</v>
      </c>
      <c r="O168" t="n">
        <v>0</v>
      </c>
      <c r="P168" t="n">
        <v>0</v>
      </c>
      <c r="Q168" t="n">
        <v>0</v>
      </c>
      <c r="R168" s="2" t="inlineStr"/>
    </row>
    <row r="169" ht="15" customHeight="1">
      <c r="A169" t="inlineStr">
        <is>
          <t>A 22945-2022</t>
        </is>
      </c>
      <c r="B169" s="1" t="n">
        <v>44715.91158564815</v>
      </c>
      <c r="C169" s="1" t="n">
        <v>45941</v>
      </c>
      <c r="D169" t="inlineStr">
        <is>
          <t>UPPSALA LÄN</t>
        </is>
      </c>
      <c r="E169" t="inlineStr">
        <is>
          <t>ÖSTHAMMAR</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38501-2022</t>
        </is>
      </c>
      <c r="B170" s="1" t="n">
        <v>44813</v>
      </c>
      <c r="C170" s="1" t="n">
        <v>45941</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51906-2022</t>
        </is>
      </c>
      <c r="B171" s="1" t="n">
        <v>44872.62109953703</v>
      </c>
      <c r="C171" s="1" t="n">
        <v>45941</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11884-2022</t>
        </is>
      </c>
      <c r="B172" s="1" t="n">
        <v>44635.39946759259</v>
      </c>
      <c r="C172" s="1" t="n">
        <v>45941</v>
      </c>
      <c r="D172" t="inlineStr">
        <is>
          <t>UPPSALA LÄN</t>
        </is>
      </c>
      <c r="E172" t="inlineStr">
        <is>
          <t>ÖSTHAMMAR</t>
        </is>
      </c>
      <c r="G172" t="n">
        <v>0.8</v>
      </c>
      <c r="H172" t="n">
        <v>0</v>
      </c>
      <c r="I172" t="n">
        <v>0</v>
      </c>
      <c r="J172" t="n">
        <v>0</v>
      </c>
      <c r="K172" t="n">
        <v>0</v>
      </c>
      <c r="L172" t="n">
        <v>0</v>
      </c>
      <c r="M172" t="n">
        <v>0</v>
      </c>
      <c r="N172" t="n">
        <v>0</v>
      </c>
      <c r="O172" t="n">
        <v>0</v>
      </c>
      <c r="P172" t="n">
        <v>0</v>
      </c>
      <c r="Q172" t="n">
        <v>0</v>
      </c>
      <c r="R172" s="2" t="inlineStr"/>
    </row>
    <row r="173" ht="15" customHeight="1">
      <c r="A173" t="inlineStr">
        <is>
          <t>A 37813-2022</t>
        </is>
      </c>
      <c r="B173" s="1" t="n">
        <v>44810</v>
      </c>
      <c r="C173" s="1" t="n">
        <v>45941</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18734-2022</t>
        </is>
      </c>
      <c r="B174" s="1" t="n">
        <v>44687.86751157408</v>
      </c>
      <c r="C174" s="1" t="n">
        <v>45941</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15845-2022</t>
        </is>
      </c>
      <c r="B175" s="1" t="n">
        <v>44664</v>
      </c>
      <c r="C175" s="1" t="n">
        <v>45941</v>
      </c>
      <c r="D175" t="inlineStr">
        <is>
          <t>UPPSALA LÄN</t>
        </is>
      </c>
      <c r="E175" t="inlineStr">
        <is>
          <t>ÖSTHAMMAR</t>
        </is>
      </c>
      <c r="G175" t="n">
        <v>4.5</v>
      </c>
      <c r="H175" t="n">
        <v>0</v>
      </c>
      <c r="I175" t="n">
        <v>0</v>
      </c>
      <c r="J175" t="n">
        <v>0</v>
      </c>
      <c r="K175" t="n">
        <v>0</v>
      </c>
      <c r="L175" t="n">
        <v>0</v>
      </c>
      <c r="M175" t="n">
        <v>0</v>
      </c>
      <c r="N175" t="n">
        <v>0</v>
      </c>
      <c r="O175" t="n">
        <v>0</v>
      </c>
      <c r="P175" t="n">
        <v>0</v>
      </c>
      <c r="Q175" t="n">
        <v>0</v>
      </c>
      <c r="R175" s="2" t="inlineStr"/>
    </row>
    <row r="176" ht="15" customHeight="1">
      <c r="A176" t="inlineStr">
        <is>
          <t>A 6221-2021</t>
        </is>
      </c>
      <c r="B176" s="1" t="n">
        <v>44235</v>
      </c>
      <c r="C176" s="1" t="n">
        <v>45941</v>
      </c>
      <c r="D176" t="inlineStr">
        <is>
          <t>UPPSALA LÄN</t>
        </is>
      </c>
      <c r="E176" t="inlineStr">
        <is>
          <t>ÖSTHAMMAR</t>
        </is>
      </c>
      <c r="G176" t="n">
        <v>0.8</v>
      </c>
      <c r="H176" t="n">
        <v>0</v>
      </c>
      <c r="I176" t="n">
        <v>0</v>
      </c>
      <c r="J176" t="n">
        <v>0</v>
      </c>
      <c r="K176" t="n">
        <v>0</v>
      </c>
      <c r="L176" t="n">
        <v>0</v>
      </c>
      <c r="M176" t="n">
        <v>0</v>
      </c>
      <c r="N176" t="n">
        <v>0</v>
      </c>
      <c r="O176" t="n">
        <v>0</v>
      </c>
      <c r="P176" t="n">
        <v>0</v>
      </c>
      <c r="Q176" t="n">
        <v>0</v>
      </c>
      <c r="R176" s="2" t="inlineStr"/>
    </row>
    <row r="177" ht="15" customHeight="1">
      <c r="A177" t="inlineStr">
        <is>
          <t>A 30209-2022</t>
        </is>
      </c>
      <c r="B177" s="1" t="n">
        <v>44757.75236111111</v>
      </c>
      <c r="C177" s="1" t="n">
        <v>45941</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31182-2022</t>
        </is>
      </c>
      <c r="B178" s="1" t="n">
        <v>44770</v>
      </c>
      <c r="C178" s="1" t="n">
        <v>45941</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26534-2022</t>
        </is>
      </c>
      <c r="B179" s="1" t="n">
        <v>44739</v>
      </c>
      <c r="C179" s="1" t="n">
        <v>45941</v>
      </c>
      <c r="D179" t="inlineStr">
        <is>
          <t>UPPSALA LÄN</t>
        </is>
      </c>
      <c r="E179" t="inlineStr">
        <is>
          <t>ÖSTHAMMAR</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45941</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19214-2021</t>
        </is>
      </c>
      <c r="B181" s="1" t="n">
        <v>44309.28576388889</v>
      </c>
      <c r="C181" s="1" t="n">
        <v>45941</v>
      </c>
      <c r="D181" t="inlineStr">
        <is>
          <t>UPPSALA LÄN</t>
        </is>
      </c>
      <c r="E181" t="inlineStr">
        <is>
          <t>ÖSTHAMMAR</t>
        </is>
      </c>
      <c r="F181" t="inlineStr">
        <is>
          <t>Bergvik skog öst AB</t>
        </is>
      </c>
      <c r="G181" t="n">
        <v>6</v>
      </c>
      <c r="H181" t="n">
        <v>0</v>
      </c>
      <c r="I181" t="n">
        <v>0</v>
      </c>
      <c r="J181" t="n">
        <v>0</v>
      </c>
      <c r="K181" t="n">
        <v>0</v>
      </c>
      <c r="L181" t="n">
        <v>0</v>
      </c>
      <c r="M181" t="n">
        <v>0</v>
      </c>
      <c r="N181" t="n">
        <v>0</v>
      </c>
      <c r="O181" t="n">
        <v>0</v>
      </c>
      <c r="P181" t="n">
        <v>0</v>
      </c>
      <c r="Q181" t="n">
        <v>0</v>
      </c>
      <c r="R181" s="2" t="inlineStr"/>
    </row>
    <row r="182" ht="15" customHeight="1">
      <c r="A182" t="inlineStr">
        <is>
          <t>A 49334-2022</t>
        </is>
      </c>
      <c r="B182" s="1" t="n">
        <v>44861</v>
      </c>
      <c r="C182" s="1" t="n">
        <v>45941</v>
      </c>
      <c r="D182" t="inlineStr">
        <is>
          <t>UPPSALA LÄN</t>
        </is>
      </c>
      <c r="E182" t="inlineStr">
        <is>
          <t>ÖSTHAMMAR</t>
        </is>
      </c>
      <c r="G182" t="n">
        <v>3.5</v>
      </c>
      <c r="H182" t="n">
        <v>0</v>
      </c>
      <c r="I182" t="n">
        <v>0</v>
      </c>
      <c r="J182" t="n">
        <v>0</v>
      </c>
      <c r="K182" t="n">
        <v>0</v>
      </c>
      <c r="L182" t="n">
        <v>0</v>
      </c>
      <c r="M182" t="n">
        <v>0</v>
      </c>
      <c r="N182" t="n">
        <v>0</v>
      </c>
      <c r="O182" t="n">
        <v>0</v>
      </c>
      <c r="P182" t="n">
        <v>0</v>
      </c>
      <c r="Q182" t="n">
        <v>0</v>
      </c>
      <c r="R182" s="2" t="inlineStr"/>
    </row>
    <row r="183" ht="15" customHeight="1">
      <c r="A183" t="inlineStr">
        <is>
          <t>A 17013-2022</t>
        </is>
      </c>
      <c r="B183" s="1" t="n">
        <v>44676</v>
      </c>
      <c r="C183" s="1" t="n">
        <v>45941</v>
      </c>
      <c r="D183" t="inlineStr">
        <is>
          <t>UPPSALA LÄN</t>
        </is>
      </c>
      <c r="E183" t="inlineStr">
        <is>
          <t>ÖSTHAMMAR</t>
        </is>
      </c>
      <c r="F183" t="inlineStr">
        <is>
          <t>Bergvik skog öst AB</t>
        </is>
      </c>
      <c r="G183" t="n">
        <v>0.2</v>
      </c>
      <c r="H183" t="n">
        <v>0</v>
      </c>
      <c r="I183" t="n">
        <v>0</v>
      </c>
      <c r="J183" t="n">
        <v>0</v>
      </c>
      <c r="K183" t="n">
        <v>0</v>
      </c>
      <c r="L183" t="n">
        <v>0</v>
      </c>
      <c r="M183" t="n">
        <v>0</v>
      </c>
      <c r="N183" t="n">
        <v>0</v>
      </c>
      <c r="O183" t="n">
        <v>0</v>
      </c>
      <c r="P183" t="n">
        <v>0</v>
      </c>
      <c r="Q183" t="n">
        <v>0</v>
      </c>
      <c r="R183" s="2" t="inlineStr"/>
    </row>
    <row r="184" ht="15" customHeight="1">
      <c r="A184" t="inlineStr">
        <is>
          <t>A 22207-2022</t>
        </is>
      </c>
      <c r="B184" s="1" t="n">
        <v>44712.51509259259</v>
      </c>
      <c r="C184" s="1" t="n">
        <v>45941</v>
      </c>
      <c r="D184" t="inlineStr">
        <is>
          <t>UPPSALA LÄN</t>
        </is>
      </c>
      <c r="E184" t="inlineStr">
        <is>
          <t>ÖSTHAMMAR</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52432-2020</t>
        </is>
      </c>
      <c r="B185" s="1" t="n">
        <v>44118</v>
      </c>
      <c r="C185" s="1" t="n">
        <v>45941</v>
      </c>
      <c r="D185" t="inlineStr">
        <is>
          <t>UPPSALA LÄN</t>
        </is>
      </c>
      <c r="E185" t="inlineStr">
        <is>
          <t>ÖSTHAMMAR</t>
        </is>
      </c>
      <c r="G185" t="n">
        <v>2.7</v>
      </c>
      <c r="H185" t="n">
        <v>0</v>
      </c>
      <c r="I185" t="n">
        <v>0</v>
      </c>
      <c r="J185" t="n">
        <v>0</v>
      </c>
      <c r="K185" t="n">
        <v>0</v>
      </c>
      <c r="L185" t="n">
        <v>0</v>
      </c>
      <c r="M185" t="n">
        <v>0</v>
      </c>
      <c r="N185" t="n">
        <v>0</v>
      </c>
      <c r="O185" t="n">
        <v>0</v>
      </c>
      <c r="P185" t="n">
        <v>0</v>
      </c>
      <c r="Q185" t="n">
        <v>0</v>
      </c>
      <c r="R185" s="2" t="inlineStr"/>
    </row>
    <row r="186" ht="15" customHeight="1">
      <c r="A186" t="inlineStr">
        <is>
          <t>A 52434-2020</t>
        </is>
      </c>
      <c r="B186" s="1" t="n">
        <v>44118</v>
      </c>
      <c r="C186" s="1" t="n">
        <v>45941</v>
      </c>
      <c r="D186" t="inlineStr">
        <is>
          <t>UPPSALA LÄN</t>
        </is>
      </c>
      <c r="E186" t="inlineStr">
        <is>
          <t>ÖSTHAMMAR</t>
        </is>
      </c>
      <c r="G186" t="n">
        <v>2.8</v>
      </c>
      <c r="H186" t="n">
        <v>0</v>
      </c>
      <c r="I186" t="n">
        <v>0</v>
      </c>
      <c r="J186" t="n">
        <v>0</v>
      </c>
      <c r="K186" t="n">
        <v>0</v>
      </c>
      <c r="L186" t="n">
        <v>0</v>
      </c>
      <c r="M186" t="n">
        <v>0</v>
      </c>
      <c r="N186" t="n">
        <v>0</v>
      </c>
      <c r="O186" t="n">
        <v>0</v>
      </c>
      <c r="P186" t="n">
        <v>0</v>
      </c>
      <c r="Q186" t="n">
        <v>0</v>
      </c>
      <c r="R186" s="2" t="inlineStr"/>
    </row>
    <row r="187" ht="15" customHeight="1">
      <c r="A187" t="inlineStr">
        <is>
          <t>A 59731-2023</t>
        </is>
      </c>
      <c r="B187" s="1" t="n">
        <v>45257</v>
      </c>
      <c r="C187" s="1" t="n">
        <v>45941</v>
      </c>
      <c r="D187" t="inlineStr">
        <is>
          <t>UPPSALA LÄN</t>
        </is>
      </c>
      <c r="E187" t="inlineStr">
        <is>
          <t>ÖSTHAMMAR</t>
        </is>
      </c>
      <c r="G187" t="n">
        <v>0.7</v>
      </c>
      <c r="H187" t="n">
        <v>0</v>
      </c>
      <c r="I187" t="n">
        <v>0</v>
      </c>
      <c r="J187" t="n">
        <v>0</v>
      </c>
      <c r="K187" t="n">
        <v>0</v>
      </c>
      <c r="L187" t="n">
        <v>0</v>
      </c>
      <c r="M187" t="n">
        <v>0</v>
      </c>
      <c r="N187" t="n">
        <v>0</v>
      </c>
      <c r="O187" t="n">
        <v>0</v>
      </c>
      <c r="P187" t="n">
        <v>0</v>
      </c>
      <c r="Q187" t="n">
        <v>0</v>
      </c>
      <c r="R187" s="2" t="inlineStr"/>
    </row>
    <row r="188" ht="15" customHeight="1">
      <c r="A188" t="inlineStr">
        <is>
          <t>A 34607-2023</t>
        </is>
      </c>
      <c r="B188" s="1" t="n">
        <v>45138</v>
      </c>
      <c r="C188" s="1" t="n">
        <v>45941</v>
      </c>
      <c r="D188" t="inlineStr">
        <is>
          <t>UPPSALA LÄN</t>
        </is>
      </c>
      <c r="E188" t="inlineStr">
        <is>
          <t>ÖSTHAMMAR</t>
        </is>
      </c>
      <c r="G188" t="n">
        <v>4.7</v>
      </c>
      <c r="H188" t="n">
        <v>0</v>
      </c>
      <c r="I188" t="n">
        <v>0</v>
      </c>
      <c r="J188" t="n">
        <v>0</v>
      </c>
      <c r="K188" t="n">
        <v>0</v>
      </c>
      <c r="L188" t="n">
        <v>0</v>
      </c>
      <c r="M188" t="n">
        <v>0</v>
      </c>
      <c r="N188" t="n">
        <v>0</v>
      </c>
      <c r="O188" t="n">
        <v>0</v>
      </c>
      <c r="P188" t="n">
        <v>0</v>
      </c>
      <c r="Q188" t="n">
        <v>0</v>
      </c>
      <c r="R188" s="2" t="inlineStr"/>
    </row>
    <row r="189" ht="15" customHeight="1">
      <c r="A189" t="inlineStr">
        <is>
          <t>A 54666-2022</t>
        </is>
      </c>
      <c r="B189" s="1" t="n">
        <v>44883</v>
      </c>
      <c r="C189" s="1" t="n">
        <v>45941</v>
      </c>
      <c r="D189" t="inlineStr">
        <is>
          <t>UPPSALA LÄN</t>
        </is>
      </c>
      <c r="E189" t="inlineStr">
        <is>
          <t>ÖSTHAMMAR</t>
        </is>
      </c>
      <c r="G189" t="n">
        <v>14.3</v>
      </c>
      <c r="H189" t="n">
        <v>0</v>
      </c>
      <c r="I189" t="n">
        <v>0</v>
      </c>
      <c r="J189" t="n">
        <v>0</v>
      </c>
      <c r="K189" t="n">
        <v>0</v>
      </c>
      <c r="L189" t="n">
        <v>0</v>
      </c>
      <c r="M189" t="n">
        <v>0</v>
      </c>
      <c r="N189" t="n">
        <v>0</v>
      </c>
      <c r="O189" t="n">
        <v>0</v>
      </c>
      <c r="P189" t="n">
        <v>0</v>
      </c>
      <c r="Q189" t="n">
        <v>0</v>
      </c>
      <c r="R189" s="2" t="inlineStr"/>
    </row>
    <row r="190" ht="15" customHeight="1">
      <c r="A190" t="inlineStr">
        <is>
          <t>A 4491-2022</t>
        </is>
      </c>
      <c r="B190" s="1" t="n">
        <v>44589.66446759259</v>
      </c>
      <c r="C190" s="1" t="n">
        <v>45941</v>
      </c>
      <c r="D190" t="inlineStr">
        <is>
          <t>UPPSALA LÄN</t>
        </is>
      </c>
      <c r="E190" t="inlineStr">
        <is>
          <t>ÖSTHAMMAR</t>
        </is>
      </c>
      <c r="G190" t="n">
        <v>1.4</v>
      </c>
      <c r="H190" t="n">
        <v>0</v>
      </c>
      <c r="I190" t="n">
        <v>0</v>
      </c>
      <c r="J190" t="n">
        <v>0</v>
      </c>
      <c r="K190" t="n">
        <v>0</v>
      </c>
      <c r="L190" t="n">
        <v>0</v>
      </c>
      <c r="M190" t="n">
        <v>0</v>
      </c>
      <c r="N190" t="n">
        <v>0</v>
      </c>
      <c r="O190" t="n">
        <v>0</v>
      </c>
      <c r="P190" t="n">
        <v>0</v>
      </c>
      <c r="Q190" t="n">
        <v>0</v>
      </c>
      <c r="R190" s="2" t="inlineStr"/>
    </row>
    <row r="191" ht="15" customHeight="1">
      <c r="A191" t="inlineStr">
        <is>
          <t>A 12999-2022</t>
        </is>
      </c>
      <c r="B191" s="1" t="n">
        <v>44643.4372337963</v>
      </c>
      <c r="C191" s="1" t="n">
        <v>45941</v>
      </c>
      <c r="D191" t="inlineStr">
        <is>
          <t>UPPSALA LÄN</t>
        </is>
      </c>
      <c r="E191" t="inlineStr">
        <is>
          <t>ÖSTHAMMAR</t>
        </is>
      </c>
      <c r="G191" t="n">
        <v>0.5</v>
      </c>
      <c r="H191" t="n">
        <v>0</v>
      </c>
      <c r="I191" t="n">
        <v>0</v>
      </c>
      <c r="J191" t="n">
        <v>0</v>
      </c>
      <c r="K191" t="n">
        <v>0</v>
      </c>
      <c r="L191" t="n">
        <v>0</v>
      </c>
      <c r="M191" t="n">
        <v>0</v>
      </c>
      <c r="N191" t="n">
        <v>0</v>
      </c>
      <c r="O191" t="n">
        <v>0</v>
      </c>
      <c r="P191" t="n">
        <v>0</v>
      </c>
      <c r="Q191" t="n">
        <v>0</v>
      </c>
      <c r="R191" s="2" t="inlineStr"/>
    </row>
    <row r="192" ht="15" customHeight="1">
      <c r="A192" t="inlineStr">
        <is>
          <t>A 52295-2022</t>
        </is>
      </c>
      <c r="B192" s="1" t="n">
        <v>44873.67842592593</v>
      </c>
      <c r="C192" s="1" t="n">
        <v>45941</v>
      </c>
      <c r="D192" t="inlineStr">
        <is>
          <t>UPPSALA LÄN</t>
        </is>
      </c>
      <c r="E192" t="inlineStr">
        <is>
          <t>ÖSTHAMMAR</t>
        </is>
      </c>
      <c r="G192" t="n">
        <v>0.4</v>
      </c>
      <c r="H192" t="n">
        <v>0</v>
      </c>
      <c r="I192" t="n">
        <v>0</v>
      </c>
      <c r="J192" t="n">
        <v>0</v>
      </c>
      <c r="K192" t="n">
        <v>0</v>
      </c>
      <c r="L192" t="n">
        <v>0</v>
      </c>
      <c r="M192" t="n">
        <v>0</v>
      </c>
      <c r="N192" t="n">
        <v>0</v>
      </c>
      <c r="O192" t="n">
        <v>0</v>
      </c>
      <c r="P192" t="n">
        <v>0</v>
      </c>
      <c r="Q192" t="n">
        <v>0</v>
      </c>
      <c r="R192" s="2" t="inlineStr"/>
    </row>
    <row r="193" ht="15" customHeight="1">
      <c r="A193" t="inlineStr">
        <is>
          <t>A 16184-2022</t>
        </is>
      </c>
      <c r="B193" s="1" t="n">
        <v>44669.36354166667</v>
      </c>
      <c r="C193" s="1" t="n">
        <v>45941</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52659-2021</t>
        </is>
      </c>
      <c r="B194" s="1" t="n">
        <v>44466</v>
      </c>
      <c r="C194" s="1" t="n">
        <v>45941</v>
      </c>
      <c r="D194" t="inlineStr">
        <is>
          <t>UPPSALA LÄN</t>
        </is>
      </c>
      <c r="E194" t="inlineStr">
        <is>
          <t>ÖSTHAMMAR</t>
        </is>
      </c>
      <c r="G194" t="n">
        <v>13</v>
      </c>
      <c r="H194" t="n">
        <v>0</v>
      </c>
      <c r="I194" t="n">
        <v>0</v>
      </c>
      <c r="J194" t="n">
        <v>0</v>
      </c>
      <c r="K194" t="n">
        <v>0</v>
      </c>
      <c r="L194" t="n">
        <v>0</v>
      </c>
      <c r="M194" t="n">
        <v>0</v>
      </c>
      <c r="N194" t="n">
        <v>0</v>
      </c>
      <c r="O194" t="n">
        <v>0</v>
      </c>
      <c r="P194" t="n">
        <v>0</v>
      </c>
      <c r="Q194" t="n">
        <v>0</v>
      </c>
      <c r="R194" s="2" t="inlineStr"/>
    </row>
    <row r="195" ht="15" customHeight="1">
      <c r="A195" t="inlineStr">
        <is>
          <t>A 41558-2021</t>
        </is>
      </c>
      <c r="B195" s="1" t="n">
        <v>44425.37835648148</v>
      </c>
      <c r="C195" s="1" t="n">
        <v>45941</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33680-2024</t>
        </is>
      </c>
      <c r="B196" s="1" t="n">
        <v>45520.50712962963</v>
      </c>
      <c r="C196" s="1" t="n">
        <v>45941</v>
      </c>
      <c r="D196" t="inlineStr">
        <is>
          <t>UPPSALA LÄN</t>
        </is>
      </c>
      <c r="E196" t="inlineStr">
        <is>
          <t>ÖSTHAMMAR</t>
        </is>
      </c>
      <c r="F196" t="inlineStr">
        <is>
          <t>Bergvik skog öst AB</t>
        </is>
      </c>
      <c r="G196" t="n">
        <v>0.5</v>
      </c>
      <c r="H196" t="n">
        <v>0</v>
      </c>
      <c r="I196" t="n">
        <v>0</v>
      </c>
      <c r="J196" t="n">
        <v>0</v>
      </c>
      <c r="K196" t="n">
        <v>0</v>
      </c>
      <c r="L196" t="n">
        <v>0</v>
      </c>
      <c r="M196" t="n">
        <v>0</v>
      </c>
      <c r="N196" t="n">
        <v>0</v>
      </c>
      <c r="O196" t="n">
        <v>0</v>
      </c>
      <c r="P196" t="n">
        <v>0</v>
      </c>
      <c r="Q196" t="n">
        <v>0</v>
      </c>
      <c r="R196" s="2" t="inlineStr"/>
    </row>
    <row r="197" ht="15" customHeight="1">
      <c r="A197" t="inlineStr">
        <is>
          <t>A 56969-2022</t>
        </is>
      </c>
      <c r="B197" s="1" t="n">
        <v>44894.68043981482</v>
      </c>
      <c r="C197" s="1" t="n">
        <v>45941</v>
      </c>
      <c r="D197" t="inlineStr">
        <is>
          <t>UPPSALA LÄN</t>
        </is>
      </c>
      <c r="E197" t="inlineStr">
        <is>
          <t>ÖSTHAMMAR</t>
        </is>
      </c>
      <c r="G197" t="n">
        <v>5.5</v>
      </c>
      <c r="H197" t="n">
        <v>0</v>
      </c>
      <c r="I197" t="n">
        <v>0</v>
      </c>
      <c r="J197" t="n">
        <v>0</v>
      </c>
      <c r="K197" t="n">
        <v>0</v>
      </c>
      <c r="L197" t="n">
        <v>0</v>
      </c>
      <c r="M197" t="n">
        <v>0</v>
      </c>
      <c r="N197" t="n">
        <v>0</v>
      </c>
      <c r="O197" t="n">
        <v>0</v>
      </c>
      <c r="P197" t="n">
        <v>0</v>
      </c>
      <c r="Q197" t="n">
        <v>0</v>
      </c>
      <c r="R197" s="2" t="inlineStr"/>
    </row>
    <row r="198" ht="15" customHeight="1">
      <c r="A198" t="inlineStr">
        <is>
          <t>A 7876-2023</t>
        </is>
      </c>
      <c r="B198" s="1" t="n">
        <v>44973.57263888889</v>
      </c>
      <c r="C198" s="1" t="n">
        <v>45941</v>
      </c>
      <c r="D198" t="inlineStr">
        <is>
          <t>UPPSALA LÄN</t>
        </is>
      </c>
      <c r="E198" t="inlineStr">
        <is>
          <t>ÖSTHAMMAR</t>
        </is>
      </c>
      <c r="G198" t="n">
        <v>0.9</v>
      </c>
      <c r="H198" t="n">
        <v>0</v>
      </c>
      <c r="I198" t="n">
        <v>0</v>
      </c>
      <c r="J198" t="n">
        <v>0</v>
      </c>
      <c r="K198" t="n">
        <v>0</v>
      </c>
      <c r="L198" t="n">
        <v>0</v>
      </c>
      <c r="M198" t="n">
        <v>0</v>
      </c>
      <c r="N198" t="n">
        <v>0</v>
      </c>
      <c r="O198" t="n">
        <v>0</v>
      </c>
      <c r="P198" t="n">
        <v>0</v>
      </c>
      <c r="Q198" t="n">
        <v>0</v>
      </c>
      <c r="R198" s="2" t="inlineStr"/>
    </row>
    <row r="199" ht="15" customHeight="1">
      <c r="A199" t="inlineStr">
        <is>
          <t>A 58297-2024</t>
        </is>
      </c>
      <c r="B199" s="1" t="n">
        <v>45632.59780092593</v>
      </c>
      <c r="C199" s="1" t="n">
        <v>45941</v>
      </c>
      <c r="D199" t="inlineStr">
        <is>
          <t>UPPSALA LÄN</t>
        </is>
      </c>
      <c r="E199" t="inlineStr">
        <is>
          <t>ÖSTHAMMAR</t>
        </is>
      </c>
      <c r="G199" t="n">
        <v>5.1</v>
      </c>
      <c r="H199" t="n">
        <v>0</v>
      </c>
      <c r="I199" t="n">
        <v>0</v>
      </c>
      <c r="J199" t="n">
        <v>0</v>
      </c>
      <c r="K199" t="n">
        <v>0</v>
      </c>
      <c r="L199" t="n">
        <v>0</v>
      </c>
      <c r="M199" t="n">
        <v>0</v>
      </c>
      <c r="N199" t="n">
        <v>0</v>
      </c>
      <c r="O199" t="n">
        <v>0</v>
      </c>
      <c r="P199" t="n">
        <v>0</v>
      </c>
      <c r="Q199" t="n">
        <v>0</v>
      </c>
      <c r="R199" s="2" t="inlineStr"/>
    </row>
    <row r="200" ht="15" customHeight="1">
      <c r="A200" t="inlineStr">
        <is>
          <t>A 36904-2023</t>
        </is>
      </c>
      <c r="B200" s="1" t="n">
        <v>45154</v>
      </c>
      <c r="C200" s="1" t="n">
        <v>45941</v>
      </c>
      <c r="D200" t="inlineStr">
        <is>
          <t>UPPSALA LÄN</t>
        </is>
      </c>
      <c r="E200" t="inlineStr">
        <is>
          <t>ÖSTHAMMAR</t>
        </is>
      </c>
      <c r="F200" t="inlineStr">
        <is>
          <t>Övriga Aktiebolag</t>
        </is>
      </c>
      <c r="G200" t="n">
        <v>1.5</v>
      </c>
      <c r="H200" t="n">
        <v>0</v>
      </c>
      <c r="I200" t="n">
        <v>0</v>
      </c>
      <c r="J200" t="n">
        <v>0</v>
      </c>
      <c r="K200" t="n">
        <v>0</v>
      </c>
      <c r="L200" t="n">
        <v>0</v>
      </c>
      <c r="M200" t="n">
        <v>0</v>
      </c>
      <c r="N200" t="n">
        <v>0</v>
      </c>
      <c r="O200" t="n">
        <v>0</v>
      </c>
      <c r="P200" t="n">
        <v>0</v>
      </c>
      <c r="Q200" t="n">
        <v>0</v>
      </c>
      <c r="R200" s="2" t="inlineStr"/>
    </row>
    <row r="201" ht="15" customHeight="1">
      <c r="A201" t="inlineStr">
        <is>
          <t>A 35539-2023</t>
        </is>
      </c>
      <c r="B201" s="1" t="n">
        <v>45147.37006944444</v>
      </c>
      <c r="C201" s="1" t="n">
        <v>45941</v>
      </c>
      <c r="D201" t="inlineStr">
        <is>
          <t>UPPSALA LÄN</t>
        </is>
      </c>
      <c r="E201" t="inlineStr">
        <is>
          <t>ÖSTHAMMAR</t>
        </is>
      </c>
      <c r="G201" t="n">
        <v>1.4</v>
      </c>
      <c r="H201" t="n">
        <v>0</v>
      </c>
      <c r="I201" t="n">
        <v>0</v>
      </c>
      <c r="J201" t="n">
        <v>0</v>
      </c>
      <c r="K201" t="n">
        <v>0</v>
      </c>
      <c r="L201" t="n">
        <v>0</v>
      </c>
      <c r="M201" t="n">
        <v>0</v>
      </c>
      <c r="N201" t="n">
        <v>0</v>
      </c>
      <c r="O201" t="n">
        <v>0</v>
      </c>
      <c r="P201" t="n">
        <v>0</v>
      </c>
      <c r="Q201" t="n">
        <v>0</v>
      </c>
      <c r="R201" s="2" t="inlineStr"/>
    </row>
    <row r="202" ht="15" customHeight="1">
      <c r="A202" t="inlineStr">
        <is>
          <t>A 7944-2023</t>
        </is>
      </c>
      <c r="B202" s="1" t="n">
        <v>44973.66458333333</v>
      </c>
      <c r="C202" s="1" t="n">
        <v>45941</v>
      </c>
      <c r="D202" t="inlineStr">
        <is>
          <t>UPPSALA LÄN</t>
        </is>
      </c>
      <c r="E202" t="inlineStr">
        <is>
          <t>ÖSTHAMMAR</t>
        </is>
      </c>
      <c r="G202" t="n">
        <v>4.6</v>
      </c>
      <c r="H202" t="n">
        <v>0</v>
      </c>
      <c r="I202" t="n">
        <v>0</v>
      </c>
      <c r="J202" t="n">
        <v>0</v>
      </c>
      <c r="K202" t="n">
        <v>0</v>
      </c>
      <c r="L202" t="n">
        <v>0</v>
      </c>
      <c r="M202" t="n">
        <v>0</v>
      </c>
      <c r="N202" t="n">
        <v>0</v>
      </c>
      <c r="O202" t="n">
        <v>0</v>
      </c>
      <c r="P202" t="n">
        <v>0</v>
      </c>
      <c r="Q202" t="n">
        <v>0</v>
      </c>
      <c r="R202" s="2" t="inlineStr"/>
    </row>
    <row r="203" ht="15" customHeight="1">
      <c r="A203" t="inlineStr">
        <is>
          <t>A 26328-2025</t>
        </is>
      </c>
      <c r="B203" s="1" t="n">
        <v>45805.67305555556</v>
      </c>
      <c r="C203" s="1" t="n">
        <v>45941</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38233-2024</t>
        </is>
      </c>
      <c r="B204" s="1" t="n">
        <v>45545</v>
      </c>
      <c r="C204" s="1" t="n">
        <v>45941</v>
      </c>
      <c r="D204" t="inlineStr">
        <is>
          <t>UPPSALA LÄN</t>
        </is>
      </c>
      <c r="E204" t="inlineStr">
        <is>
          <t>ÖSTHAMMAR</t>
        </is>
      </c>
      <c r="G204" t="n">
        <v>3.4</v>
      </c>
      <c r="H204" t="n">
        <v>0</v>
      </c>
      <c r="I204" t="n">
        <v>0</v>
      </c>
      <c r="J204" t="n">
        <v>0</v>
      </c>
      <c r="K204" t="n">
        <v>0</v>
      </c>
      <c r="L204" t="n">
        <v>0</v>
      </c>
      <c r="M204" t="n">
        <v>0</v>
      </c>
      <c r="N204" t="n">
        <v>0</v>
      </c>
      <c r="O204" t="n">
        <v>0</v>
      </c>
      <c r="P204" t="n">
        <v>0</v>
      </c>
      <c r="Q204" t="n">
        <v>0</v>
      </c>
      <c r="R204" s="2" t="inlineStr"/>
    </row>
    <row r="205" ht="15" customHeight="1">
      <c r="A205" t="inlineStr">
        <is>
          <t>A 16185-2022</t>
        </is>
      </c>
      <c r="B205" s="1" t="n">
        <v>44669</v>
      </c>
      <c r="C205" s="1" t="n">
        <v>45941</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26055-2025</t>
        </is>
      </c>
      <c r="B206" s="1" t="n">
        <v>45804.77559027778</v>
      </c>
      <c r="C206" s="1" t="n">
        <v>45941</v>
      </c>
      <c r="D206" t="inlineStr">
        <is>
          <t>UPPSALA LÄN</t>
        </is>
      </c>
      <c r="E206" t="inlineStr">
        <is>
          <t>ÖSTHAMMAR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24316-2021</t>
        </is>
      </c>
      <c r="B207" s="1" t="n">
        <v>44337</v>
      </c>
      <c r="C207" s="1" t="n">
        <v>45941</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8616-2023</t>
        </is>
      </c>
      <c r="B208" s="1" t="n">
        <v>44977</v>
      </c>
      <c r="C208" s="1" t="n">
        <v>45941</v>
      </c>
      <c r="D208" t="inlineStr">
        <is>
          <t>UPPSALA LÄN</t>
        </is>
      </c>
      <c r="E208" t="inlineStr">
        <is>
          <t>ÖSTHAMMAR</t>
        </is>
      </c>
      <c r="F208" t="inlineStr">
        <is>
          <t>Bergvik skog öst AB</t>
        </is>
      </c>
      <c r="G208" t="n">
        <v>0.2</v>
      </c>
      <c r="H208" t="n">
        <v>0</v>
      </c>
      <c r="I208" t="n">
        <v>0</v>
      </c>
      <c r="J208" t="n">
        <v>0</v>
      </c>
      <c r="K208" t="n">
        <v>0</v>
      </c>
      <c r="L208" t="n">
        <v>0</v>
      </c>
      <c r="M208" t="n">
        <v>0</v>
      </c>
      <c r="N208" t="n">
        <v>0</v>
      </c>
      <c r="O208" t="n">
        <v>0</v>
      </c>
      <c r="P208" t="n">
        <v>0</v>
      </c>
      <c r="Q208" t="n">
        <v>0</v>
      </c>
      <c r="R208" s="2" t="inlineStr"/>
    </row>
    <row r="209" ht="15" customHeight="1">
      <c r="A209" t="inlineStr">
        <is>
          <t>A 56260-2022</t>
        </is>
      </c>
      <c r="B209" s="1" t="n">
        <v>44890</v>
      </c>
      <c r="C209" s="1" t="n">
        <v>45941</v>
      </c>
      <c r="D209" t="inlineStr">
        <is>
          <t>UPPSALA LÄN</t>
        </is>
      </c>
      <c r="E209" t="inlineStr">
        <is>
          <t>ÖSTHAMMAR</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1567-2025</t>
        </is>
      </c>
      <c r="B210" s="1" t="n">
        <v>45670</v>
      </c>
      <c r="C210" s="1" t="n">
        <v>45941</v>
      </c>
      <c r="D210" t="inlineStr">
        <is>
          <t>UPPSALA LÄN</t>
        </is>
      </c>
      <c r="E210" t="inlineStr">
        <is>
          <t>ÖSTHAMMAR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26330-2025</t>
        </is>
      </c>
      <c r="B211" s="1" t="n">
        <v>45805.68263888889</v>
      </c>
      <c r="C211" s="1" t="n">
        <v>45941</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26319-2025</t>
        </is>
      </c>
      <c r="B212" s="1" t="n">
        <v>45805.65960648148</v>
      </c>
      <c r="C212" s="1" t="n">
        <v>45941</v>
      </c>
      <c r="D212" t="inlineStr">
        <is>
          <t>UPPSALA LÄN</t>
        </is>
      </c>
      <c r="E212" t="inlineStr">
        <is>
          <t>ÖSTHAMMAR</t>
        </is>
      </c>
      <c r="G212" t="n">
        <v>1</v>
      </c>
      <c r="H212" t="n">
        <v>0</v>
      </c>
      <c r="I212" t="n">
        <v>0</v>
      </c>
      <c r="J212" t="n">
        <v>0</v>
      </c>
      <c r="K212" t="n">
        <v>0</v>
      </c>
      <c r="L212" t="n">
        <v>0</v>
      </c>
      <c r="M212" t="n">
        <v>0</v>
      </c>
      <c r="N212" t="n">
        <v>0</v>
      </c>
      <c r="O212" t="n">
        <v>0</v>
      </c>
      <c r="P212" t="n">
        <v>0</v>
      </c>
      <c r="Q212" t="n">
        <v>0</v>
      </c>
      <c r="R212" s="2" t="inlineStr"/>
    </row>
    <row r="213" ht="15" customHeight="1">
      <c r="A213" t="inlineStr">
        <is>
          <t>A 46785-2023</t>
        </is>
      </c>
      <c r="B213" s="1" t="n">
        <v>45198</v>
      </c>
      <c r="C213" s="1" t="n">
        <v>45941</v>
      </c>
      <c r="D213" t="inlineStr">
        <is>
          <t>UPPSALA LÄN</t>
        </is>
      </c>
      <c r="E213" t="inlineStr">
        <is>
          <t>ÖSTHAMMAR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22887-2022</t>
        </is>
      </c>
      <c r="B214" s="1" t="n">
        <v>44715</v>
      </c>
      <c r="C214" s="1" t="n">
        <v>45941</v>
      </c>
      <c r="D214" t="inlineStr">
        <is>
          <t>UPPSALA LÄN</t>
        </is>
      </c>
      <c r="E214" t="inlineStr">
        <is>
          <t>ÖSTHAMMAR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45941</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29231-2024</t>
        </is>
      </c>
      <c r="B216" s="1" t="n">
        <v>45482</v>
      </c>
      <c r="C216" s="1" t="n">
        <v>45941</v>
      </c>
      <c r="D216" t="inlineStr">
        <is>
          <t>UPPSALA LÄN</t>
        </is>
      </c>
      <c r="E216" t="inlineStr">
        <is>
          <t>ÖSTHAMMAR</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73965-2021</t>
        </is>
      </c>
      <c r="B217" s="1" t="n">
        <v>44553.80824074074</v>
      </c>
      <c r="C217" s="1" t="n">
        <v>45941</v>
      </c>
      <c r="D217" t="inlineStr">
        <is>
          <t>UPPSALA LÄN</t>
        </is>
      </c>
      <c r="E217" t="inlineStr">
        <is>
          <t>ÖSTHAMMAR</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30931-2021</t>
        </is>
      </c>
      <c r="B218" s="1" t="n">
        <v>44365</v>
      </c>
      <c r="C218" s="1" t="n">
        <v>45941</v>
      </c>
      <c r="D218" t="inlineStr">
        <is>
          <t>UPPSALA LÄN</t>
        </is>
      </c>
      <c r="E218" t="inlineStr">
        <is>
          <t>ÖSTHAMMAR</t>
        </is>
      </c>
      <c r="F218" t="inlineStr">
        <is>
          <t>Bergvik skog öst AB</t>
        </is>
      </c>
      <c r="G218" t="n">
        <v>2.3</v>
      </c>
      <c r="H218" t="n">
        <v>0</v>
      </c>
      <c r="I218" t="n">
        <v>0</v>
      </c>
      <c r="J218" t="n">
        <v>0</v>
      </c>
      <c r="K218" t="n">
        <v>0</v>
      </c>
      <c r="L218" t="n">
        <v>0</v>
      </c>
      <c r="M218" t="n">
        <v>0</v>
      </c>
      <c r="N218" t="n">
        <v>0</v>
      </c>
      <c r="O218" t="n">
        <v>0</v>
      </c>
      <c r="P218" t="n">
        <v>0</v>
      </c>
      <c r="Q218" t="n">
        <v>0</v>
      </c>
      <c r="R218" s="2" t="inlineStr"/>
    </row>
    <row r="219" ht="15" customHeight="1">
      <c r="A219" t="inlineStr">
        <is>
          <t>A 73592-2021</t>
        </is>
      </c>
      <c r="B219" s="1" t="n">
        <v>44552.36974537037</v>
      </c>
      <c r="C219" s="1" t="n">
        <v>45941</v>
      </c>
      <c r="D219" t="inlineStr">
        <is>
          <t>UPPSALA LÄN</t>
        </is>
      </c>
      <c r="E219" t="inlineStr">
        <is>
          <t>ÖSTHAMMAR</t>
        </is>
      </c>
      <c r="G219" t="n">
        <v>1.7</v>
      </c>
      <c r="H219" t="n">
        <v>0</v>
      </c>
      <c r="I219" t="n">
        <v>0</v>
      </c>
      <c r="J219" t="n">
        <v>0</v>
      </c>
      <c r="K219" t="n">
        <v>0</v>
      </c>
      <c r="L219" t="n">
        <v>0</v>
      </c>
      <c r="M219" t="n">
        <v>0</v>
      </c>
      <c r="N219" t="n">
        <v>0</v>
      </c>
      <c r="O219" t="n">
        <v>0</v>
      </c>
      <c r="P219" t="n">
        <v>0</v>
      </c>
      <c r="Q219" t="n">
        <v>0</v>
      </c>
      <c r="R219" s="2" t="inlineStr"/>
    </row>
    <row r="220" ht="15" customHeight="1">
      <c r="A220" t="inlineStr">
        <is>
          <t>A 34418-2022</t>
        </is>
      </c>
      <c r="B220" s="1" t="n">
        <v>44792</v>
      </c>
      <c r="C220" s="1" t="n">
        <v>45941</v>
      </c>
      <c r="D220" t="inlineStr">
        <is>
          <t>UPPSALA LÄN</t>
        </is>
      </c>
      <c r="E220" t="inlineStr">
        <is>
          <t>ÖSTHAMMAR</t>
        </is>
      </c>
      <c r="G220" t="n">
        <v>0.3</v>
      </c>
      <c r="H220" t="n">
        <v>0</v>
      </c>
      <c r="I220" t="n">
        <v>0</v>
      </c>
      <c r="J220" t="n">
        <v>0</v>
      </c>
      <c r="K220" t="n">
        <v>0</v>
      </c>
      <c r="L220" t="n">
        <v>0</v>
      </c>
      <c r="M220" t="n">
        <v>0</v>
      </c>
      <c r="N220" t="n">
        <v>0</v>
      </c>
      <c r="O220" t="n">
        <v>0</v>
      </c>
      <c r="P220" t="n">
        <v>0</v>
      </c>
      <c r="Q220" t="n">
        <v>0</v>
      </c>
      <c r="R220" s="2" t="inlineStr"/>
    </row>
    <row r="221" ht="15" customHeight="1">
      <c r="A221" t="inlineStr">
        <is>
          <t>A 31479-2023</t>
        </is>
      </c>
      <c r="B221" s="1" t="n">
        <v>45114.79793981482</v>
      </c>
      <c r="C221" s="1" t="n">
        <v>45941</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24128-2023</t>
        </is>
      </c>
      <c r="B222" s="1" t="n">
        <v>45079.50289351852</v>
      </c>
      <c r="C222" s="1" t="n">
        <v>45941</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35918-2023</t>
        </is>
      </c>
      <c r="B223" s="1" t="n">
        <v>45148.64976851852</v>
      </c>
      <c r="C223" s="1" t="n">
        <v>45941</v>
      </c>
      <c r="D223" t="inlineStr">
        <is>
          <t>UPPSALA LÄN</t>
        </is>
      </c>
      <c r="E223" t="inlineStr">
        <is>
          <t>ÖSTHAMMAR</t>
        </is>
      </c>
      <c r="F223" t="inlineStr">
        <is>
          <t>Bergvik skog öst AB</t>
        </is>
      </c>
      <c r="G223" t="n">
        <v>0.9</v>
      </c>
      <c r="H223" t="n">
        <v>0</v>
      </c>
      <c r="I223" t="n">
        <v>0</v>
      </c>
      <c r="J223" t="n">
        <v>0</v>
      </c>
      <c r="K223" t="n">
        <v>0</v>
      </c>
      <c r="L223" t="n">
        <v>0</v>
      </c>
      <c r="M223" t="n">
        <v>0</v>
      </c>
      <c r="N223" t="n">
        <v>0</v>
      </c>
      <c r="O223" t="n">
        <v>0</v>
      </c>
      <c r="P223" t="n">
        <v>0</v>
      </c>
      <c r="Q223" t="n">
        <v>0</v>
      </c>
      <c r="R223" s="2" t="inlineStr"/>
    </row>
    <row r="224" ht="15" customHeight="1">
      <c r="A224" t="inlineStr">
        <is>
          <t>A 64811-2021</t>
        </is>
      </c>
      <c r="B224" s="1" t="n">
        <v>44512</v>
      </c>
      <c r="C224" s="1" t="n">
        <v>45941</v>
      </c>
      <c r="D224" t="inlineStr">
        <is>
          <t>UPPSALA LÄN</t>
        </is>
      </c>
      <c r="E224" t="inlineStr">
        <is>
          <t>ÖSTHAMMAR</t>
        </is>
      </c>
      <c r="G224" t="n">
        <v>4.2</v>
      </c>
      <c r="H224" t="n">
        <v>0</v>
      </c>
      <c r="I224" t="n">
        <v>0</v>
      </c>
      <c r="J224" t="n">
        <v>0</v>
      </c>
      <c r="K224" t="n">
        <v>0</v>
      </c>
      <c r="L224" t="n">
        <v>0</v>
      </c>
      <c r="M224" t="n">
        <v>0</v>
      </c>
      <c r="N224" t="n">
        <v>0</v>
      </c>
      <c r="O224" t="n">
        <v>0</v>
      </c>
      <c r="P224" t="n">
        <v>0</v>
      </c>
      <c r="Q224" t="n">
        <v>0</v>
      </c>
      <c r="R224" s="2" t="inlineStr"/>
    </row>
    <row r="225" ht="15" customHeight="1">
      <c r="A225" t="inlineStr">
        <is>
          <t>A 8830-2023</t>
        </is>
      </c>
      <c r="B225" s="1" t="n">
        <v>44978</v>
      </c>
      <c r="C225" s="1" t="n">
        <v>45941</v>
      </c>
      <c r="D225" t="inlineStr">
        <is>
          <t>UPPSALA LÄN</t>
        </is>
      </c>
      <c r="E225" t="inlineStr">
        <is>
          <t>ÖSTHAMMAR</t>
        </is>
      </c>
      <c r="F225" t="inlineStr">
        <is>
          <t>Bergvik skog öst AB</t>
        </is>
      </c>
      <c r="G225" t="n">
        <v>1.6</v>
      </c>
      <c r="H225" t="n">
        <v>0</v>
      </c>
      <c r="I225" t="n">
        <v>0</v>
      </c>
      <c r="J225" t="n">
        <v>0</v>
      </c>
      <c r="K225" t="n">
        <v>0</v>
      </c>
      <c r="L225" t="n">
        <v>0</v>
      </c>
      <c r="M225" t="n">
        <v>0</v>
      </c>
      <c r="N225" t="n">
        <v>0</v>
      </c>
      <c r="O225" t="n">
        <v>0</v>
      </c>
      <c r="P225" t="n">
        <v>0</v>
      </c>
      <c r="Q225" t="n">
        <v>0</v>
      </c>
      <c r="R225" s="2" t="inlineStr"/>
    </row>
    <row r="226" ht="15" customHeight="1">
      <c r="A226" t="inlineStr">
        <is>
          <t>A 6106-2024</t>
        </is>
      </c>
      <c r="B226" s="1" t="n">
        <v>45337.36831018519</v>
      </c>
      <c r="C226" s="1" t="n">
        <v>45941</v>
      </c>
      <c r="D226" t="inlineStr">
        <is>
          <t>UPPSALA LÄN</t>
        </is>
      </c>
      <c r="E226" t="inlineStr">
        <is>
          <t>ÖSTHAMMAR</t>
        </is>
      </c>
      <c r="G226" t="n">
        <v>0.6</v>
      </c>
      <c r="H226" t="n">
        <v>0</v>
      </c>
      <c r="I226" t="n">
        <v>0</v>
      </c>
      <c r="J226" t="n">
        <v>0</v>
      </c>
      <c r="K226" t="n">
        <v>0</v>
      </c>
      <c r="L226" t="n">
        <v>0</v>
      </c>
      <c r="M226" t="n">
        <v>0</v>
      </c>
      <c r="N226" t="n">
        <v>0</v>
      </c>
      <c r="O226" t="n">
        <v>0</v>
      </c>
      <c r="P226" t="n">
        <v>0</v>
      </c>
      <c r="Q226" t="n">
        <v>0</v>
      </c>
      <c r="R226" s="2" t="inlineStr"/>
    </row>
    <row r="227" ht="15" customHeight="1">
      <c r="A227" t="inlineStr">
        <is>
          <t>A 33550-2024</t>
        </is>
      </c>
      <c r="B227" s="1" t="n">
        <v>45519.81043981481</v>
      </c>
      <c r="C227" s="1" t="n">
        <v>45941</v>
      </c>
      <c r="D227" t="inlineStr">
        <is>
          <t>UPPSALA LÄN</t>
        </is>
      </c>
      <c r="E227" t="inlineStr">
        <is>
          <t>ÖSTHAMMAR</t>
        </is>
      </c>
      <c r="F227" t="inlineStr">
        <is>
          <t>Bergvik skog öst AB</t>
        </is>
      </c>
      <c r="G227" t="n">
        <v>1.8</v>
      </c>
      <c r="H227" t="n">
        <v>0</v>
      </c>
      <c r="I227" t="n">
        <v>0</v>
      </c>
      <c r="J227" t="n">
        <v>0</v>
      </c>
      <c r="K227" t="n">
        <v>0</v>
      </c>
      <c r="L227" t="n">
        <v>0</v>
      </c>
      <c r="M227" t="n">
        <v>0</v>
      </c>
      <c r="N227" t="n">
        <v>0</v>
      </c>
      <c r="O227" t="n">
        <v>0</v>
      </c>
      <c r="P227" t="n">
        <v>0</v>
      </c>
      <c r="Q227" t="n">
        <v>0</v>
      </c>
      <c r="R227" s="2" t="inlineStr"/>
    </row>
    <row r="228" ht="15" customHeight="1">
      <c r="A228" t="inlineStr">
        <is>
          <t>A 19040-2023</t>
        </is>
      </c>
      <c r="B228" s="1" t="n">
        <v>45047</v>
      </c>
      <c r="C228" s="1" t="n">
        <v>45941</v>
      </c>
      <c r="D228" t="inlineStr">
        <is>
          <t>UPPSALA LÄN</t>
        </is>
      </c>
      <c r="E228" t="inlineStr">
        <is>
          <t>ÖSTHAMMAR</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18838-2023</t>
        </is>
      </c>
      <c r="B229" s="1" t="n">
        <v>45044</v>
      </c>
      <c r="C229" s="1" t="n">
        <v>45941</v>
      </c>
      <c r="D229" t="inlineStr">
        <is>
          <t>UPPSALA LÄN</t>
        </is>
      </c>
      <c r="E229" t="inlineStr">
        <is>
          <t>ÖSTHAMMAR</t>
        </is>
      </c>
      <c r="G229" t="n">
        <v>2.8</v>
      </c>
      <c r="H229" t="n">
        <v>0</v>
      </c>
      <c r="I229" t="n">
        <v>0</v>
      </c>
      <c r="J229" t="n">
        <v>0</v>
      </c>
      <c r="K229" t="n">
        <v>0</v>
      </c>
      <c r="L229" t="n">
        <v>0</v>
      </c>
      <c r="M229" t="n">
        <v>0</v>
      </c>
      <c r="N229" t="n">
        <v>0</v>
      </c>
      <c r="O229" t="n">
        <v>0</v>
      </c>
      <c r="P229" t="n">
        <v>0</v>
      </c>
      <c r="Q229" t="n">
        <v>0</v>
      </c>
      <c r="R229" s="2" t="inlineStr"/>
    </row>
    <row r="230" ht="15" customHeight="1">
      <c r="A230" t="inlineStr">
        <is>
          <t>A 4004-2023</t>
        </is>
      </c>
      <c r="B230" s="1" t="n">
        <v>44952</v>
      </c>
      <c r="C230" s="1" t="n">
        <v>45941</v>
      </c>
      <c r="D230" t="inlineStr">
        <is>
          <t>UPPSALA LÄN</t>
        </is>
      </c>
      <c r="E230" t="inlineStr">
        <is>
          <t>ÖSTHAMMAR</t>
        </is>
      </c>
      <c r="G230" t="n">
        <v>4.1</v>
      </c>
      <c r="H230" t="n">
        <v>0</v>
      </c>
      <c r="I230" t="n">
        <v>0</v>
      </c>
      <c r="J230" t="n">
        <v>0</v>
      </c>
      <c r="K230" t="n">
        <v>0</v>
      </c>
      <c r="L230" t="n">
        <v>0</v>
      </c>
      <c r="M230" t="n">
        <v>0</v>
      </c>
      <c r="N230" t="n">
        <v>0</v>
      </c>
      <c r="O230" t="n">
        <v>0</v>
      </c>
      <c r="P230" t="n">
        <v>0</v>
      </c>
      <c r="Q230" t="n">
        <v>0</v>
      </c>
      <c r="R230" s="2" t="inlineStr"/>
    </row>
    <row r="231" ht="15" customHeight="1">
      <c r="A231" t="inlineStr">
        <is>
          <t>A 17022-2021</t>
        </is>
      </c>
      <c r="B231" s="1" t="n">
        <v>44295.65875</v>
      </c>
      <c r="C231" s="1" t="n">
        <v>45941</v>
      </c>
      <c r="D231" t="inlineStr">
        <is>
          <t>UPPSALA LÄN</t>
        </is>
      </c>
      <c r="E231" t="inlineStr">
        <is>
          <t>ÖSTHAMMAR</t>
        </is>
      </c>
      <c r="F231" t="inlineStr">
        <is>
          <t>Bergvik skog öst AB</t>
        </is>
      </c>
      <c r="G231" t="n">
        <v>0.3</v>
      </c>
      <c r="H231" t="n">
        <v>0</v>
      </c>
      <c r="I231" t="n">
        <v>0</v>
      </c>
      <c r="J231" t="n">
        <v>0</v>
      </c>
      <c r="K231" t="n">
        <v>0</v>
      </c>
      <c r="L231" t="n">
        <v>0</v>
      </c>
      <c r="M231" t="n">
        <v>0</v>
      </c>
      <c r="N231" t="n">
        <v>0</v>
      </c>
      <c r="O231" t="n">
        <v>0</v>
      </c>
      <c r="P231" t="n">
        <v>0</v>
      </c>
      <c r="Q231" t="n">
        <v>0</v>
      </c>
      <c r="R231" s="2" t="inlineStr"/>
    </row>
    <row r="232" ht="15" customHeight="1">
      <c r="A232" t="inlineStr">
        <is>
          <t>A 62295-2022</t>
        </is>
      </c>
      <c r="B232" s="1" t="n">
        <v>44916</v>
      </c>
      <c r="C232" s="1" t="n">
        <v>45941</v>
      </c>
      <c r="D232" t="inlineStr">
        <is>
          <t>UPPSALA LÄN</t>
        </is>
      </c>
      <c r="E232" t="inlineStr">
        <is>
          <t>ÖSTHAMMAR</t>
        </is>
      </c>
      <c r="G232" t="n">
        <v>3.3</v>
      </c>
      <c r="H232" t="n">
        <v>0</v>
      </c>
      <c r="I232" t="n">
        <v>0</v>
      </c>
      <c r="J232" t="n">
        <v>0</v>
      </c>
      <c r="K232" t="n">
        <v>0</v>
      </c>
      <c r="L232" t="n">
        <v>0</v>
      </c>
      <c r="M232" t="n">
        <v>0</v>
      </c>
      <c r="N232" t="n">
        <v>0</v>
      </c>
      <c r="O232" t="n">
        <v>0</v>
      </c>
      <c r="P232" t="n">
        <v>0</v>
      </c>
      <c r="Q232" t="n">
        <v>0</v>
      </c>
      <c r="R232" s="2" t="inlineStr"/>
    </row>
    <row r="233" ht="15" customHeight="1">
      <c r="A233" t="inlineStr">
        <is>
          <t>A 1436-2025</t>
        </is>
      </c>
      <c r="B233" s="1" t="n">
        <v>45669.67625</v>
      </c>
      <c r="C233" s="1" t="n">
        <v>45941</v>
      </c>
      <c r="D233" t="inlineStr">
        <is>
          <t>UPPSALA LÄN</t>
        </is>
      </c>
      <c r="E233" t="inlineStr">
        <is>
          <t>ÖSTHAMMAR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22709-2021</t>
        </is>
      </c>
      <c r="B234" s="1" t="n">
        <v>44327.61518518518</v>
      </c>
      <c r="C234" s="1" t="n">
        <v>45941</v>
      </c>
      <c r="D234" t="inlineStr">
        <is>
          <t>UPPSALA LÄN</t>
        </is>
      </c>
      <c r="E234" t="inlineStr">
        <is>
          <t>ÖSTHAMMAR</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38702-2022</t>
        </is>
      </c>
      <c r="B235" s="1" t="n">
        <v>44814.5991087963</v>
      </c>
      <c r="C235" s="1" t="n">
        <v>45941</v>
      </c>
      <c r="D235" t="inlineStr">
        <is>
          <t>UPPSALA LÄN</t>
        </is>
      </c>
      <c r="E235" t="inlineStr">
        <is>
          <t>ÖSTHAMMAR</t>
        </is>
      </c>
      <c r="G235" t="n">
        <v>1.2</v>
      </c>
      <c r="H235" t="n">
        <v>0</v>
      </c>
      <c r="I235" t="n">
        <v>0</v>
      </c>
      <c r="J235" t="n">
        <v>0</v>
      </c>
      <c r="K235" t="n">
        <v>0</v>
      </c>
      <c r="L235" t="n">
        <v>0</v>
      </c>
      <c r="M235" t="n">
        <v>0</v>
      </c>
      <c r="N235" t="n">
        <v>0</v>
      </c>
      <c r="O235" t="n">
        <v>0</v>
      </c>
      <c r="P235" t="n">
        <v>0</v>
      </c>
      <c r="Q235" t="n">
        <v>0</v>
      </c>
      <c r="R235" s="2" t="inlineStr"/>
    </row>
    <row r="236" ht="15" customHeight="1">
      <c r="A236" t="inlineStr">
        <is>
          <t>A 1527-2025</t>
        </is>
      </c>
      <c r="B236" s="1" t="n">
        <v>45670</v>
      </c>
      <c r="C236" s="1" t="n">
        <v>45941</v>
      </c>
      <c r="D236" t="inlineStr">
        <is>
          <t>UPPSALA LÄN</t>
        </is>
      </c>
      <c r="E236" t="inlineStr">
        <is>
          <t>ÖSTHAMMAR</t>
        </is>
      </c>
      <c r="F236" t="inlineStr">
        <is>
          <t>Bergvik skog öst AB</t>
        </is>
      </c>
      <c r="G236" t="n">
        <v>7.7</v>
      </c>
      <c r="H236" t="n">
        <v>0</v>
      </c>
      <c r="I236" t="n">
        <v>0</v>
      </c>
      <c r="J236" t="n">
        <v>0</v>
      </c>
      <c r="K236" t="n">
        <v>0</v>
      </c>
      <c r="L236" t="n">
        <v>0</v>
      </c>
      <c r="M236" t="n">
        <v>0</v>
      </c>
      <c r="N236" t="n">
        <v>0</v>
      </c>
      <c r="O236" t="n">
        <v>0</v>
      </c>
      <c r="P236" t="n">
        <v>0</v>
      </c>
      <c r="Q236" t="n">
        <v>0</v>
      </c>
      <c r="R236" s="2" t="inlineStr"/>
    </row>
    <row r="237" ht="15" customHeight="1">
      <c r="A237" t="inlineStr">
        <is>
          <t>A 35474-2023</t>
        </is>
      </c>
      <c r="B237" s="1" t="n">
        <v>45146.68921296296</v>
      </c>
      <c r="C237" s="1" t="n">
        <v>45941</v>
      </c>
      <c r="D237" t="inlineStr">
        <is>
          <t>UPPSALA LÄN</t>
        </is>
      </c>
      <c r="E237" t="inlineStr">
        <is>
          <t>ÖSTHAMMAR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32815-2024</t>
        </is>
      </c>
      <c r="B238" s="1" t="n">
        <v>45516.57682870371</v>
      </c>
      <c r="C238" s="1" t="n">
        <v>45941</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32884-2024</t>
        </is>
      </c>
      <c r="B239" s="1" t="n">
        <v>45516.72097222223</v>
      </c>
      <c r="C239" s="1" t="n">
        <v>45941</v>
      </c>
      <c r="D239" t="inlineStr">
        <is>
          <t>UPPSALA LÄN</t>
        </is>
      </c>
      <c r="E239" t="inlineStr">
        <is>
          <t>ÖSTHAMMAR</t>
        </is>
      </c>
      <c r="G239" t="n">
        <v>0.6</v>
      </c>
      <c r="H239" t="n">
        <v>0</v>
      </c>
      <c r="I239" t="n">
        <v>0</v>
      </c>
      <c r="J239" t="n">
        <v>0</v>
      </c>
      <c r="K239" t="n">
        <v>0</v>
      </c>
      <c r="L239" t="n">
        <v>0</v>
      </c>
      <c r="M239" t="n">
        <v>0</v>
      </c>
      <c r="N239" t="n">
        <v>0</v>
      </c>
      <c r="O239" t="n">
        <v>0</v>
      </c>
      <c r="P239" t="n">
        <v>0</v>
      </c>
      <c r="Q239" t="n">
        <v>0</v>
      </c>
      <c r="R239" s="2" t="inlineStr"/>
    </row>
    <row r="240" ht="15" customHeight="1">
      <c r="A240" t="inlineStr">
        <is>
          <t>A 26303-2024</t>
        </is>
      </c>
      <c r="B240" s="1" t="n">
        <v>45468</v>
      </c>
      <c r="C240" s="1" t="n">
        <v>45941</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33062-2021</t>
        </is>
      </c>
      <c r="B241" s="1" t="n">
        <v>44376</v>
      </c>
      <c r="C241" s="1" t="n">
        <v>45941</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44152-2024</t>
        </is>
      </c>
      <c r="B242" s="1" t="n">
        <v>45572</v>
      </c>
      <c r="C242" s="1" t="n">
        <v>45941</v>
      </c>
      <c r="D242" t="inlineStr">
        <is>
          <t>UPPSALA LÄN</t>
        </is>
      </c>
      <c r="E242" t="inlineStr">
        <is>
          <t>ÖSTHAMMAR</t>
        </is>
      </c>
      <c r="G242" t="n">
        <v>1.6</v>
      </c>
      <c r="H242" t="n">
        <v>0</v>
      </c>
      <c r="I242" t="n">
        <v>0</v>
      </c>
      <c r="J242" t="n">
        <v>0</v>
      </c>
      <c r="K242" t="n">
        <v>0</v>
      </c>
      <c r="L242" t="n">
        <v>0</v>
      </c>
      <c r="M242" t="n">
        <v>0</v>
      </c>
      <c r="N242" t="n">
        <v>0</v>
      </c>
      <c r="O242" t="n">
        <v>0</v>
      </c>
      <c r="P242" t="n">
        <v>0</v>
      </c>
      <c r="Q242" t="n">
        <v>0</v>
      </c>
      <c r="R242" s="2" t="inlineStr"/>
    </row>
    <row r="243" ht="15" customHeight="1">
      <c r="A243" t="inlineStr">
        <is>
          <t>A 26521-2025</t>
        </is>
      </c>
      <c r="B243" s="1" t="n">
        <v>45807.56275462963</v>
      </c>
      <c r="C243" s="1" t="n">
        <v>45941</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4561-2022</t>
        </is>
      </c>
      <c r="B244" s="1" t="n">
        <v>44591.59170138889</v>
      </c>
      <c r="C244" s="1" t="n">
        <v>45941</v>
      </c>
      <c r="D244" t="inlineStr">
        <is>
          <t>UPPSALA LÄN</t>
        </is>
      </c>
      <c r="E244" t="inlineStr">
        <is>
          <t>ÖSTHAMMAR</t>
        </is>
      </c>
      <c r="F244" t="inlineStr">
        <is>
          <t>Bergvik skog öst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26526-2025</t>
        </is>
      </c>
      <c r="B245" s="1" t="n">
        <v>45807.56612268519</v>
      </c>
      <c r="C245" s="1" t="n">
        <v>45941</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17651-2025</t>
        </is>
      </c>
      <c r="B246" s="1" t="n">
        <v>45758.33304398148</v>
      </c>
      <c r="C246" s="1" t="n">
        <v>45941</v>
      </c>
      <c r="D246" t="inlineStr">
        <is>
          <t>UPPSALA LÄN</t>
        </is>
      </c>
      <c r="E246" t="inlineStr">
        <is>
          <t>ÖSTHAMMAR</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61261-2022</t>
        </is>
      </c>
      <c r="B247" s="1" t="n">
        <v>44915.59645833333</v>
      </c>
      <c r="C247" s="1" t="n">
        <v>45941</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4984-2024</t>
        </is>
      </c>
      <c r="B248" s="1" t="n">
        <v>45329</v>
      </c>
      <c r="C248" s="1" t="n">
        <v>45941</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27395-2025</t>
        </is>
      </c>
      <c r="B249" s="1" t="n">
        <v>45812.6850462963</v>
      </c>
      <c r="C249" s="1" t="n">
        <v>45941</v>
      </c>
      <c r="D249" t="inlineStr">
        <is>
          <t>UPPSALA LÄN</t>
        </is>
      </c>
      <c r="E249" t="inlineStr">
        <is>
          <t>ÖSTHAMMAR</t>
        </is>
      </c>
      <c r="F249" t="inlineStr">
        <is>
          <t>Bergvik skog öst AB</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27347-2025</t>
        </is>
      </c>
      <c r="B250" s="1" t="n">
        <v>45812.62390046296</v>
      </c>
      <c r="C250" s="1" t="n">
        <v>45941</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27383-2025</t>
        </is>
      </c>
      <c r="B251" s="1" t="n">
        <v>45812.66628472223</v>
      </c>
      <c r="C251" s="1" t="n">
        <v>45941</v>
      </c>
      <c r="D251" t="inlineStr">
        <is>
          <t>UPPSALA LÄN</t>
        </is>
      </c>
      <c r="E251" t="inlineStr">
        <is>
          <t>ÖSTHAMMAR</t>
        </is>
      </c>
      <c r="G251" t="n">
        <v>0.7</v>
      </c>
      <c r="H251" t="n">
        <v>0</v>
      </c>
      <c r="I251" t="n">
        <v>0</v>
      </c>
      <c r="J251" t="n">
        <v>0</v>
      </c>
      <c r="K251" t="n">
        <v>0</v>
      </c>
      <c r="L251" t="n">
        <v>0</v>
      </c>
      <c r="M251" t="n">
        <v>0</v>
      </c>
      <c r="N251" t="n">
        <v>0</v>
      </c>
      <c r="O251" t="n">
        <v>0</v>
      </c>
      <c r="P251" t="n">
        <v>0</v>
      </c>
      <c r="Q251" t="n">
        <v>0</v>
      </c>
      <c r="R251" s="2" t="inlineStr"/>
    </row>
    <row r="252" ht="15" customHeight="1">
      <c r="A252" t="inlineStr">
        <is>
          <t>A 27385-2025</t>
        </is>
      </c>
      <c r="B252" s="1" t="n">
        <v>45812.66829861111</v>
      </c>
      <c r="C252" s="1" t="n">
        <v>45941</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10290-2025</t>
        </is>
      </c>
      <c r="B253" s="1" t="n">
        <v>45720.41847222222</v>
      </c>
      <c r="C253" s="1" t="n">
        <v>45941</v>
      </c>
      <c r="D253" t="inlineStr">
        <is>
          <t>UPPSALA LÄN</t>
        </is>
      </c>
      <c r="E253" t="inlineStr">
        <is>
          <t>ÖSTHAMMAR</t>
        </is>
      </c>
      <c r="G253" t="n">
        <v>8.6</v>
      </c>
      <c r="H253" t="n">
        <v>0</v>
      </c>
      <c r="I253" t="n">
        <v>0</v>
      </c>
      <c r="J253" t="n">
        <v>0</v>
      </c>
      <c r="K253" t="n">
        <v>0</v>
      </c>
      <c r="L253" t="n">
        <v>0</v>
      </c>
      <c r="M253" t="n">
        <v>0</v>
      </c>
      <c r="N253" t="n">
        <v>0</v>
      </c>
      <c r="O253" t="n">
        <v>0</v>
      </c>
      <c r="P253" t="n">
        <v>0</v>
      </c>
      <c r="Q253" t="n">
        <v>0</v>
      </c>
      <c r="R253" s="2" t="inlineStr"/>
    </row>
    <row r="254" ht="15" customHeight="1">
      <c r="A254" t="inlineStr">
        <is>
          <t>A 27352-2025</t>
        </is>
      </c>
      <c r="B254" s="1" t="n">
        <v>45812.62694444445</v>
      </c>
      <c r="C254" s="1" t="n">
        <v>45941</v>
      </c>
      <c r="D254" t="inlineStr">
        <is>
          <t>UPPSALA LÄN</t>
        </is>
      </c>
      <c r="E254" t="inlineStr">
        <is>
          <t>ÖSTHAMMAR</t>
        </is>
      </c>
      <c r="G254" t="n">
        <v>2.5</v>
      </c>
      <c r="H254" t="n">
        <v>0</v>
      </c>
      <c r="I254" t="n">
        <v>0</v>
      </c>
      <c r="J254" t="n">
        <v>0</v>
      </c>
      <c r="K254" t="n">
        <v>0</v>
      </c>
      <c r="L254" t="n">
        <v>0</v>
      </c>
      <c r="M254" t="n">
        <v>0</v>
      </c>
      <c r="N254" t="n">
        <v>0</v>
      </c>
      <c r="O254" t="n">
        <v>0</v>
      </c>
      <c r="P254" t="n">
        <v>0</v>
      </c>
      <c r="Q254" t="n">
        <v>0</v>
      </c>
      <c r="R254" s="2" t="inlineStr"/>
    </row>
    <row r="255" ht="15" customHeight="1">
      <c r="A255" t="inlineStr">
        <is>
          <t>A 74429-2021</t>
        </is>
      </c>
      <c r="B255" s="1" t="n">
        <v>44560.43136574074</v>
      </c>
      <c r="C255" s="1" t="n">
        <v>45941</v>
      </c>
      <c r="D255" t="inlineStr">
        <is>
          <t>UPPSALA LÄN</t>
        </is>
      </c>
      <c r="E255" t="inlineStr">
        <is>
          <t>ÖSTHAMMAR</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27131-2025</t>
        </is>
      </c>
      <c r="B256" s="1" t="n">
        <v>45811</v>
      </c>
      <c r="C256" s="1" t="n">
        <v>45941</v>
      </c>
      <c r="D256" t="inlineStr">
        <is>
          <t>UPPSALA LÄN</t>
        </is>
      </c>
      <c r="E256" t="inlineStr">
        <is>
          <t>ÖSTHAMMAR</t>
        </is>
      </c>
      <c r="G256" t="n">
        <v>1.9</v>
      </c>
      <c r="H256" t="n">
        <v>0</v>
      </c>
      <c r="I256" t="n">
        <v>0</v>
      </c>
      <c r="J256" t="n">
        <v>0</v>
      </c>
      <c r="K256" t="n">
        <v>0</v>
      </c>
      <c r="L256" t="n">
        <v>0</v>
      </c>
      <c r="M256" t="n">
        <v>0</v>
      </c>
      <c r="N256" t="n">
        <v>0</v>
      </c>
      <c r="O256" t="n">
        <v>0</v>
      </c>
      <c r="P256" t="n">
        <v>0</v>
      </c>
      <c r="Q256" t="n">
        <v>0</v>
      </c>
      <c r="R256" s="2" t="inlineStr"/>
    </row>
    <row r="257" ht="15" customHeight="1">
      <c r="A257" t="inlineStr">
        <is>
          <t>A 7543-2023</t>
        </is>
      </c>
      <c r="B257" s="1" t="n">
        <v>44972</v>
      </c>
      <c r="C257" s="1" t="n">
        <v>45941</v>
      </c>
      <c r="D257" t="inlineStr">
        <is>
          <t>UPPSALA LÄN</t>
        </is>
      </c>
      <c r="E257" t="inlineStr">
        <is>
          <t>ÖSTHAMMAR</t>
        </is>
      </c>
      <c r="F257" t="inlineStr">
        <is>
          <t>Bergvik skog öst AB</t>
        </is>
      </c>
      <c r="G257" t="n">
        <v>13.3</v>
      </c>
      <c r="H257" t="n">
        <v>0</v>
      </c>
      <c r="I257" t="n">
        <v>0</v>
      </c>
      <c r="J257" t="n">
        <v>0</v>
      </c>
      <c r="K257" t="n">
        <v>0</v>
      </c>
      <c r="L257" t="n">
        <v>0</v>
      </c>
      <c r="M257" t="n">
        <v>0</v>
      </c>
      <c r="N257" t="n">
        <v>0</v>
      </c>
      <c r="O257" t="n">
        <v>0</v>
      </c>
      <c r="P257" t="n">
        <v>0</v>
      </c>
      <c r="Q257" t="n">
        <v>0</v>
      </c>
      <c r="R257" s="2" t="inlineStr"/>
    </row>
    <row r="258" ht="15" customHeight="1">
      <c r="A258" t="inlineStr">
        <is>
          <t>A 27392-2025</t>
        </is>
      </c>
      <c r="B258" s="1" t="n">
        <v>45812.68268518519</v>
      </c>
      <c r="C258" s="1" t="n">
        <v>45941</v>
      </c>
      <c r="D258" t="inlineStr">
        <is>
          <t>UPPSALA LÄN</t>
        </is>
      </c>
      <c r="E258" t="inlineStr">
        <is>
          <t>ÖSTHAMMAR</t>
        </is>
      </c>
      <c r="F258" t="inlineStr">
        <is>
          <t>Bergvik skog öst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27058-2025</t>
        </is>
      </c>
      <c r="B259" s="1" t="n">
        <v>45811.63436342592</v>
      </c>
      <c r="C259" s="1" t="n">
        <v>45941</v>
      </c>
      <c r="D259" t="inlineStr">
        <is>
          <t>UPPSALA LÄN</t>
        </is>
      </c>
      <c r="E259" t="inlineStr">
        <is>
          <t>ÖSTHAMMAR</t>
        </is>
      </c>
      <c r="F259" t="inlineStr">
        <is>
          <t>Bergvik skog öst AB</t>
        </is>
      </c>
      <c r="G259" t="n">
        <v>5.7</v>
      </c>
      <c r="H259" t="n">
        <v>0</v>
      </c>
      <c r="I259" t="n">
        <v>0</v>
      </c>
      <c r="J259" t="n">
        <v>0</v>
      </c>
      <c r="K259" t="n">
        <v>0</v>
      </c>
      <c r="L259" t="n">
        <v>0</v>
      </c>
      <c r="M259" t="n">
        <v>0</v>
      </c>
      <c r="N259" t="n">
        <v>0</v>
      </c>
      <c r="O259" t="n">
        <v>0</v>
      </c>
      <c r="P259" t="n">
        <v>0</v>
      </c>
      <c r="Q259" t="n">
        <v>0</v>
      </c>
      <c r="R259" s="2" t="inlineStr"/>
    </row>
    <row r="260" ht="15" customHeight="1">
      <c r="A260" t="inlineStr">
        <is>
          <t>A 27384-2025</t>
        </is>
      </c>
      <c r="B260" s="1" t="n">
        <v>45812.6672337963</v>
      </c>
      <c r="C260" s="1" t="n">
        <v>45941</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20634-2024</t>
        </is>
      </c>
      <c r="B261" s="1" t="n">
        <v>45436</v>
      </c>
      <c r="C261" s="1" t="n">
        <v>45941</v>
      </c>
      <c r="D261" t="inlineStr">
        <is>
          <t>UPPSALA LÄN</t>
        </is>
      </c>
      <c r="E261" t="inlineStr">
        <is>
          <t>ÖSTHAMMAR</t>
        </is>
      </c>
      <c r="G261" t="n">
        <v>6.5</v>
      </c>
      <c r="H261" t="n">
        <v>0</v>
      </c>
      <c r="I261" t="n">
        <v>0</v>
      </c>
      <c r="J261" t="n">
        <v>0</v>
      </c>
      <c r="K261" t="n">
        <v>0</v>
      </c>
      <c r="L261" t="n">
        <v>0</v>
      </c>
      <c r="M261" t="n">
        <v>0</v>
      </c>
      <c r="N261" t="n">
        <v>0</v>
      </c>
      <c r="O261" t="n">
        <v>0</v>
      </c>
      <c r="P261" t="n">
        <v>0</v>
      </c>
      <c r="Q261" t="n">
        <v>0</v>
      </c>
      <c r="R261" s="2" t="inlineStr"/>
    </row>
    <row r="262" ht="15" customHeight="1">
      <c r="A262" t="inlineStr">
        <is>
          <t>A 45102-2024</t>
        </is>
      </c>
      <c r="B262" s="1" t="n">
        <v>45575.58836805556</v>
      </c>
      <c r="C262" s="1" t="n">
        <v>45941</v>
      </c>
      <c r="D262" t="inlineStr">
        <is>
          <t>UPPSALA LÄN</t>
        </is>
      </c>
      <c r="E262" t="inlineStr">
        <is>
          <t>ÖSTHAMMAR</t>
        </is>
      </c>
      <c r="G262" t="n">
        <v>8.6</v>
      </c>
      <c r="H262" t="n">
        <v>0</v>
      </c>
      <c r="I262" t="n">
        <v>0</v>
      </c>
      <c r="J262" t="n">
        <v>0</v>
      </c>
      <c r="K262" t="n">
        <v>0</v>
      </c>
      <c r="L262" t="n">
        <v>0</v>
      </c>
      <c r="M262" t="n">
        <v>0</v>
      </c>
      <c r="N262" t="n">
        <v>0</v>
      </c>
      <c r="O262" t="n">
        <v>0</v>
      </c>
      <c r="P262" t="n">
        <v>0</v>
      </c>
      <c r="Q262" t="n">
        <v>0</v>
      </c>
      <c r="R262" s="2" t="inlineStr"/>
    </row>
    <row r="263" ht="15" customHeight="1">
      <c r="A263" t="inlineStr">
        <is>
          <t>A 27350-2025</t>
        </is>
      </c>
      <c r="B263" s="1" t="n">
        <v>45812.62571759259</v>
      </c>
      <c r="C263" s="1" t="n">
        <v>45941</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27132-2025</t>
        </is>
      </c>
      <c r="B264" s="1" t="n">
        <v>45811</v>
      </c>
      <c r="C264" s="1" t="n">
        <v>45941</v>
      </c>
      <c r="D264" t="inlineStr">
        <is>
          <t>UPPSALA LÄN</t>
        </is>
      </c>
      <c r="E264" t="inlineStr">
        <is>
          <t>ÖSTHAMMAR</t>
        </is>
      </c>
      <c r="G264" t="n">
        <v>2.3</v>
      </c>
      <c r="H264" t="n">
        <v>0</v>
      </c>
      <c r="I264" t="n">
        <v>0</v>
      </c>
      <c r="J264" t="n">
        <v>0</v>
      </c>
      <c r="K264" t="n">
        <v>0</v>
      </c>
      <c r="L264" t="n">
        <v>0</v>
      </c>
      <c r="M264" t="n">
        <v>0</v>
      </c>
      <c r="N264" t="n">
        <v>0</v>
      </c>
      <c r="O264" t="n">
        <v>0</v>
      </c>
      <c r="P264" t="n">
        <v>0</v>
      </c>
      <c r="Q264" t="n">
        <v>0</v>
      </c>
      <c r="R264" s="2" t="inlineStr"/>
    </row>
    <row r="265" ht="15" customHeight="1">
      <c r="A265" t="inlineStr">
        <is>
          <t>A 45307-2023</t>
        </is>
      </c>
      <c r="B265" s="1" t="n">
        <v>45191</v>
      </c>
      <c r="C265" s="1" t="n">
        <v>45941</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6661-2024</t>
        </is>
      </c>
      <c r="B266" s="1" t="n">
        <v>45341.70582175926</v>
      </c>
      <c r="C266" s="1" t="n">
        <v>45941</v>
      </c>
      <c r="D266" t="inlineStr">
        <is>
          <t>UPPSALA LÄN</t>
        </is>
      </c>
      <c r="E266" t="inlineStr">
        <is>
          <t>ÖSTHAMMAR</t>
        </is>
      </c>
      <c r="G266" t="n">
        <v>0.2</v>
      </c>
      <c r="H266" t="n">
        <v>0</v>
      </c>
      <c r="I266" t="n">
        <v>0</v>
      </c>
      <c r="J266" t="n">
        <v>0</v>
      </c>
      <c r="K266" t="n">
        <v>0</v>
      </c>
      <c r="L266" t="n">
        <v>0</v>
      </c>
      <c r="M266" t="n">
        <v>0</v>
      </c>
      <c r="N266" t="n">
        <v>0</v>
      </c>
      <c r="O266" t="n">
        <v>0</v>
      </c>
      <c r="P266" t="n">
        <v>0</v>
      </c>
      <c r="Q266" t="n">
        <v>0</v>
      </c>
      <c r="R266" s="2" t="inlineStr"/>
    </row>
    <row r="267" ht="15" customHeight="1">
      <c r="A267" t="inlineStr">
        <is>
          <t>A 4101-2022</t>
        </is>
      </c>
      <c r="B267" s="1" t="n">
        <v>44588</v>
      </c>
      <c r="C267" s="1" t="n">
        <v>45941</v>
      </c>
      <c r="D267" t="inlineStr">
        <is>
          <t>UPPSALA LÄN</t>
        </is>
      </c>
      <c r="E267" t="inlineStr">
        <is>
          <t>ÖSTHAMMAR</t>
        </is>
      </c>
      <c r="G267" t="n">
        <v>4.4</v>
      </c>
      <c r="H267" t="n">
        <v>0</v>
      </c>
      <c r="I267" t="n">
        <v>0</v>
      </c>
      <c r="J267" t="n">
        <v>0</v>
      </c>
      <c r="K267" t="n">
        <v>0</v>
      </c>
      <c r="L267" t="n">
        <v>0</v>
      </c>
      <c r="M267" t="n">
        <v>0</v>
      </c>
      <c r="N267" t="n">
        <v>0</v>
      </c>
      <c r="O267" t="n">
        <v>0</v>
      </c>
      <c r="P267" t="n">
        <v>0</v>
      </c>
      <c r="Q267" t="n">
        <v>0</v>
      </c>
      <c r="R267" s="2" t="inlineStr"/>
    </row>
    <row r="268" ht="15" customHeight="1">
      <c r="A268" t="inlineStr">
        <is>
          <t>A 52478-2024</t>
        </is>
      </c>
      <c r="B268" s="1" t="n">
        <v>45609.55065972222</v>
      </c>
      <c r="C268" s="1" t="n">
        <v>45941</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8330-2025</t>
        </is>
      </c>
      <c r="B269" s="1" t="n">
        <v>45708</v>
      </c>
      <c r="C269" s="1" t="n">
        <v>45941</v>
      </c>
      <c r="D269" t="inlineStr">
        <is>
          <t>UPPSALA LÄN</t>
        </is>
      </c>
      <c r="E269" t="inlineStr">
        <is>
          <t>ÖSTHAMMAR</t>
        </is>
      </c>
      <c r="F269" t="inlineStr">
        <is>
          <t>Övriga Aktiebolag</t>
        </is>
      </c>
      <c r="G269" t="n">
        <v>2.4</v>
      </c>
      <c r="H269" t="n">
        <v>0</v>
      </c>
      <c r="I269" t="n">
        <v>0</v>
      </c>
      <c r="J269" t="n">
        <v>0</v>
      </c>
      <c r="K269" t="n">
        <v>0</v>
      </c>
      <c r="L269" t="n">
        <v>0</v>
      </c>
      <c r="M269" t="n">
        <v>0</v>
      </c>
      <c r="N269" t="n">
        <v>0</v>
      </c>
      <c r="O269" t="n">
        <v>0</v>
      </c>
      <c r="P269" t="n">
        <v>0</v>
      </c>
      <c r="Q269" t="n">
        <v>0</v>
      </c>
      <c r="R269" s="2" t="inlineStr"/>
    </row>
    <row r="270" ht="15" customHeight="1">
      <c r="A270" t="inlineStr">
        <is>
          <t>A 5933-2022</t>
        </is>
      </c>
      <c r="B270" s="1" t="n">
        <v>44598.82957175926</v>
      </c>
      <c r="C270" s="1" t="n">
        <v>45941</v>
      </c>
      <c r="D270" t="inlineStr">
        <is>
          <t>UPPSALA LÄN</t>
        </is>
      </c>
      <c r="E270" t="inlineStr">
        <is>
          <t>ÖSTHAMMAR</t>
        </is>
      </c>
      <c r="F270" t="inlineStr">
        <is>
          <t>Bergvik skog öst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49097-2022</t>
        </is>
      </c>
      <c r="B271" s="1" t="n">
        <v>44860</v>
      </c>
      <c r="C271" s="1" t="n">
        <v>45941</v>
      </c>
      <c r="D271" t="inlineStr">
        <is>
          <t>UPPSALA LÄN</t>
        </is>
      </c>
      <c r="E271" t="inlineStr">
        <is>
          <t>ÖSTHAMMAR</t>
        </is>
      </c>
      <c r="G271" t="n">
        <v>6.9</v>
      </c>
      <c r="H271" t="n">
        <v>0</v>
      </c>
      <c r="I271" t="n">
        <v>0</v>
      </c>
      <c r="J271" t="n">
        <v>0</v>
      </c>
      <c r="K271" t="n">
        <v>0</v>
      </c>
      <c r="L271" t="n">
        <v>0</v>
      </c>
      <c r="M271" t="n">
        <v>0</v>
      </c>
      <c r="N271" t="n">
        <v>0</v>
      </c>
      <c r="O271" t="n">
        <v>0</v>
      </c>
      <c r="P271" t="n">
        <v>0</v>
      </c>
      <c r="Q271" t="n">
        <v>0</v>
      </c>
      <c r="R271" s="2" t="inlineStr"/>
    </row>
    <row r="272" ht="15" customHeight="1">
      <c r="A272" t="inlineStr">
        <is>
          <t>A 29873-2023</t>
        </is>
      </c>
      <c r="B272" s="1" t="n">
        <v>45107</v>
      </c>
      <c r="C272" s="1" t="n">
        <v>45941</v>
      </c>
      <c r="D272" t="inlineStr">
        <is>
          <t>UPPSALA LÄN</t>
        </is>
      </c>
      <c r="E272" t="inlineStr">
        <is>
          <t>ÖSTHAMMAR</t>
        </is>
      </c>
      <c r="F272" t="inlineStr">
        <is>
          <t>Naturvårdsverket</t>
        </is>
      </c>
      <c r="G272" t="n">
        <v>7.8</v>
      </c>
      <c r="H272" t="n">
        <v>0</v>
      </c>
      <c r="I272" t="n">
        <v>0</v>
      </c>
      <c r="J272" t="n">
        <v>0</v>
      </c>
      <c r="K272" t="n">
        <v>0</v>
      </c>
      <c r="L272" t="n">
        <v>0</v>
      </c>
      <c r="M272" t="n">
        <v>0</v>
      </c>
      <c r="N272" t="n">
        <v>0</v>
      </c>
      <c r="O272" t="n">
        <v>0</v>
      </c>
      <c r="P272" t="n">
        <v>0</v>
      </c>
      <c r="Q272" t="n">
        <v>0</v>
      </c>
      <c r="R272" s="2" t="inlineStr"/>
    </row>
    <row r="273" ht="15" customHeight="1">
      <c r="A273" t="inlineStr">
        <is>
          <t>A 52650-2022</t>
        </is>
      </c>
      <c r="B273" s="1" t="n">
        <v>44874</v>
      </c>
      <c r="C273" s="1" t="n">
        <v>45941</v>
      </c>
      <c r="D273" t="inlineStr">
        <is>
          <t>UPPSALA LÄN</t>
        </is>
      </c>
      <c r="E273" t="inlineStr">
        <is>
          <t>ÖSTHAMMAR</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52661-2022</t>
        </is>
      </c>
      <c r="B274" s="1" t="n">
        <v>44874</v>
      </c>
      <c r="C274" s="1" t="n">
        <v>45941</v>
      </c>
      <c r="D274" t="inlineStr">
        <is>
          <t>UPPSALA LÄN</t>
        </is>
      </c>
      <c r="E274" t="inlineStr">
        <is>
          <t>ÖSTHAMMAR</t>
        </is>
      </c>
      <c r="F274" t="inlineStr">
        <is>
          <t>Bergvik skog öst AB</t>
        </is>
      </c>
      <c r="G274" t="n">
        <v>0.2</v>
      </c>
      <c r="H274" t="n">
        <v>0</v>
      </c>
      <c r="I274" t="n">
        <v>0</v>
      </c>
      <c r="J274" t="n">
        <v>0</v>
      </c>
      <c r="K274" t="n">
        <v>0</v>
      </c>
      <c r="L274" t="n">
        <v>0</v>
      </c>
      <c r="M274" t="n">
        <v>0</v>
      </c>
      <c r="N274" t="n">
        <v>0</v>
      </c>
      <c r="O274" t="n">
        <v>0</v>
      </c>
      <c r="P274" t="n">
        <v>0</v>
      </c>
      <c r="Q274" t="n">
        <v>0</v>
      </c>
      <c r="R274" s="2" t="inlineStr"/>
    </row>
    <row r="275" ht="15" customHeight="1">
      <c r="A275" t="inlineStr">
        <is>
          <t>A 3732-2022</t>
        </is>
      </c>
      <c r="B275" s="1" t="n">
        <v>44586.64851851852</v>
      </c>
      <c r="C275" s="1" t="n">
        <v>45941</v>
      </c>
      <c r="D275" t="inlineStr">
        <is>
          <t>UPPSALA LÄN</t>
        </is>
      </c>
      <c r="E275" t="inlineStr">
        <is>
          <t>ÖSTHAMMAR</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27563-2025</t>
        </is>
      </c>
      <c r="B276" s="1" t="n">
        <v>45813.48471064815</v>
      </c>
      <c r="C276" s="1" t="n">
        <v>45941</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20326-2021</t>
        </is>
      </c>
      <c r="B277" s="1" t="n">
        <v>44308</v>
      </c>
      <c r="C277" s="1" t="n">
        <v>45941</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38003-2024</t>
        </is>
      </c>
      <c r="B278" s="1" t="n">
        <v>45544</v>
      </c>
      <c r="C278" s="1" t="n">
        <v>45941</v>
      </c>
      <c r="D278" t="inlineStr">
        <is>
          <t>UPPSALA LÄN</t>
        </is>
      </c>
      <c r="E278" t="inlineStr">
        <is>
          <t>ÖSTHAMMAR</t>
        </is>
      </c>
      <c r="F278" t="inlineStr">
        <is>
          <t>Naturvårdsverket</t>
        </is>
      </c>
      <c r="G278" t="n">
        <v>4.2</v>
      </c>
      <c r="H278" t="n">
        <v>0</v>
      </c>
      <c r="I278" t="n">
        <v>0</v>
      </c>
      <c r="J278" t="n">
        <v>0</v>
      </c>
      <c r="K278" t="n">
        <v>0</v>
      </c>
      <c r="L278" t="n">
        <v>0</v>
      </c>
      <c r="M278" t="n">
        <v>0</v>
      </c>
      <c r="N278" t="n">
        <v>0</v>
      </c>
      <c r="O278" t="n">
        <v>0</v>
      </c>
      <c r="P278" t="n">
        <v>0</v>
      </c>
      <c r="Q278" t="n">
        <v>0</v>
      </c>
      <c r="R278" s="2" t="inlineStr"/>
    </row>
    <row r="279" ht="15" customHeight="1">
      <c r="A279" t="inlineStr">
        <is>
          <t>A 1575-2025</t>
        </is>
      </c>
      <c r="B279" s="1" t="n">
        <v>45670</v>
      </c>
      <c r="C279" s="1" t="n">
        <v>45941</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16141-2022</t>
        </is>
      </c>
      <c r="B280" s="1" t="n">
        <v>44665</v>
      </c>
      <c r="C280" s="1" t="n">
        <v>45941</v>
      </c>
      <c r="D280" t="inlineStr">
        <is>
          <t>UPPSALA LÄN</t>
        </is>
      </c>
      <c r="E280" t="inlineStr">
        <is>
          <t>ÖSTHAMMAR</t>
        </is>
      </c>
      <c r="F280" t="inlineStr">
        <is>
          <t>Bergvik skog öst AB</t>
        </is>
      </c>
      <c r="G280" t="n">
        <v>1.3</v>
      </c>
      <c r="H280" t="n">
        <v>0</v>
      </c>
      <c r="I280" t="n">
        <v>0</v>
      </c>
      <c r="J280" t="n">
        <v>0</v>
      </c>
      <c r="K280" t="n">
        <v>0</v>
      </c>
      <c r="L280" t="n">
        <v>0</v>
      </c>
      <c r="M280" t="n">
        <v>0</v>
      </c>
      <c r="N280" t="n">
        <v>0</v>
      </c>
      <c r="O280" t="n">
        <v>0</v>
      </c>
      <c r="P280" t="n">
        <v>0</v>
      </c>
      <c r="Q280" t="n">
        <v>0</v>
      </c>
      <c r="R280" s="2" t="inlineStr"/>
    </row>
    <row r="281" ht="15" customHeight="1">
      <c r="A281" t="inlineStr">
        <is>
          <t>A 13279-2022</t>
        </is>
      </c>
      <c r="B281" s="1" t="n">
        <v>44644</v>
      </c>
      <c r="C281" s="1" t="n">
        <v>45941</v>
      </c>
      <c r="D281" t="inlineStr">
        <is>
          <t>UPPSALA LÄN</t>
        </is>
      </c>
      <c r="E281" t="inlineStr">
        <is>
          <t>ÖSTHAMMAR</t>
        </is>
      </c>
      <c r="G281" t="n">
        <v>1.4</v>
      </c>
      <c r="H281" t="n">
        <v>0</v>
      </c>
      <c r="I281" t="n">
        <v>0</v>
      </c>
      <c r="J281" t="n">
        <v>0</v>
      </c>
      <c r="K281" t="n">
        <v>0</v>
      </c>
      <c r="L281" t="n">
        <v>0</v>
      </c>
      <c r="M281" t="n">
        <v>0</v>
      </c>
      <c r="N281" t="n">
        <v>0</v>
      </c>
      <c r="O281" t="n">
        <v>0</v>
      </c>
      <c r="P281" t="n">
        <v>0</v>
      </c>
      <c r="Q281" t="n">
        <v>0</v>
      </c>
      <c r="R281" s="2" t="inlineStr"/>
    </row>
    <row r="282" ht="15" customHeight="1">
      <c r="A282" t="inlineStr">
        <is>
          <t>A 28152-2024</t>
        </is>
      </c>
      <c r="B282" s="1" t="n">
        <v>45476.77056712963</v>
      </c>
      <c r="C282" s="1" t="n">
        <v>45941</v>
      </c>
      <c r="D282" t="inlineStr">
        <is>
          <t>UPPSALA LÄN</t>
        </is>
      </c>
      <c r="E282" t="inlineStr">
        <is>
          <t>ÖSTHAMMAR</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6892-2022</t>
        </is>
      </c>
      <c r="B283" s="1" t="n">
        <v>44602</v>
      </c>
      <c r="C283" s="1" t="n">
        <v>45941</v>
      </c>
      <c r="D283" t="inlineStr">
        <is>
          <t>UPPSALA LÄN</t>
        </is>
      </c>
      <c r="E283" t="inlineStr">
        <is>
          <t>ÖSTHAMMAR</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27920-2025</t>
        </is>
      </c>
      <c r="B284" s="1" t="n">
        <v>45817.48454861111</v>
      </c>
      <c r="C284" s="1" t="n">
        <v>45941</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55389-2020</t>
        </is>
      </c>
      <c r="B285" s="1" t="n">
        <v>44131.38030092593</v>
      </c>
      <c r="C285" s="1" t="n">
        <v>45941</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28421-2023</t>
        </is>
      </c>
      <c r="B286" s="1" t="n">
        <v>45102</v>
      </c>
      <c r="C286" s="1" t="n">
        <v>45941</v>
      </c>
      <c r="D286" t="inlineStr">
        <is>
          <t>UPPSALA LÄN</t>
        </is>
      </c>
      <c r="E286" t="inlineStr">
        <is>
          <t>ÖSTHAMMAR</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59807-2020</t>
        </is>
      </c>
      <c r="B287" s="1" t="n">
        <v>44151</v>
      </c>
      <c r="C287" s="1" t="n">
        <v>45941</v>
      </c>
      <c r="D287" t="inlineStr">
        <is>
          <t>UPPSALA LÄN</t>
        </is>
      </c>
      <c r="E287" t="inlineStr">
        <is>
          <t>ÖSTHAMMAR</t>
        </is>
      </c>
      <c r="G287" t="n">
        <v>3.4</v>
      </c>
      <c r="H287" t="n">
        <v>0</v>
      </c>
      <c r="I287" t="n">
        <v>0</v>
      </c>
      <c r="J287" t="n">
        <v>0</v>
      </c>
      <c r="K287" t="n">
        <v>0</v>
      </c>
      <c r="L287" t="n">
        <v>0</v>
      </c>
      <c r="M287" t="n">
        <v>0</v>
      </c>
      <c r="N287" t="n">
        <v>0</v>
      </c>
      <c r="O287" t="n">
        <v>0</v>
      </c>
      <c r="P287" t="n">
        <v>0</v>
      </c>
      <c r="Q287" t="n">
        <v>0</v>
      </c>
      <c r="R287" s="2" t="inlineStr"/>
    </row>
    <row r="288" ht="15" customHeight="1">
      <c r="A288" t="inlineStr">
        <is>
          <t>A 57453-2022</t>
        </is>
      </c>
      <c r="B288" s="1" t="n">
        <v>44896.56266203704</v>
      </c>
      <c r="C288" s="1" t="n">
        <v>45941</v>
      </c>
      <c r="D288" t="inlineStr">
        <is>
          <t>UPPSALA LÄN</t>
        </is>
      </c>
      <c r="E288" t="inlineStr">
        <is>
          <t>ÖSTHAMMAR</t>
        </is>
      </c>
      <c r="G288" t="n">
        <v>1.7</v>
      </c>
      <c r="H288" t="n">
        <v>0</v>
      </c>
      <c r="I288" t="n">
        <v>0</v>
      </c>
      <c r="J288" t="n">
        <v>0</v>
      </c>
      <c r="K288" t="n">
        <v>0</v>
      </c>
      <c r="L288" t="n">
        <v>0</v>
      </c>
      <c r="M288" t="n">
        <v>0</v>
      </c>
      <c r="N288" t="n">
        <v>0</v>
      </c>
      <c r="O288" t="n">
        <v>0</v>
      </c>
      <c r="P288" t="n">
        <v>0</v>
      </c>
      <c r="Q288" t="n">
        <v>0</v>
      </c>
      <c r="R288" s="2" t="inlineStr"/>
    </row>
    <row r="289" ht="15" customHeight="1">
      <c r="A289" t="inlineStr">
        <is>
          <t>A 57462-2022</t>
        </is>
      </c>
      <c r="B289" s="1" t="n">
        <v>44896.57527777777</v>
      </c>
      <c r="C289" s="1" t="n">
        <v>45941</v>
      </c>
      <c r="D289" t="inlineStr">
        <is>
          <t>UPPSALA LÄN</t>
        </is>
      </c>
      <c r="E289" t="inlineStr">
        <is>
          <t>ÖSTHAMMAR</t>
        </is>
      </c>
      <c r="G289" t="n">
        <v>1.9</v>
      </c>
      <c r="H289" t="n">
        <v>0</v>
      </c>
      <c r="I289" t="n">
        <v>0</v>
      </c>
      <c r="J289" t="n">
        <v>0</v>
      </c>
      <c r="K289" t="n">
        <v>0</v>
      </c>
      <c r="L289" t="n">
        <v>0</v>
      </c>
      <c r="M289" t="n">
        <v>0</v>
      </c>
      <c r="N289" t="n">
        <v>0</v>
      </c>
      <c r="O289" t="n">
        <v>0</v>
      </c>
      <c r="P289" t="n">
        <v>0</v>
      </c>
      <c r="Q289" t="n">
        <v>0</v>
      </c>
      <c r="R289" s="2" t="inlineStr"/>
    </row>
    <row r="290" ht="15" customHeight="1">
      <c r="A290" t="inlineStr">
        <is>
          <t>A 17867-2024</t>
        </is>
      </c>
      <c r="B290" s="1" t="n">
        <v>45419.44106481481</v>
      </c>
      <c r="C290" s="1" t="n">
        <v>45941</v>
      </c>
      <c r="D290" t="inlineStr">
        <is>
          <t>UPPSALA LÄN</t>
        </is>
      </c>
      <c r="E290" t="inlineStr">
        <is>
          <t>ÖSTHAMMAR</t>
        </is>
      </c>
      <c r="G290" t="n">
        <v>7.2</v>
      </c>
      <c r="H290" t="n">
        <v>0</v>
      </c>
      <c r="I290" t="n">
        <v>0</v>
      </c>
      <c r="J290" t="n">
        <v>0</v>
      </c>
      <c r="K290" t="n">
        <v>0</v>
      </c>
      <c r="L290" t="n">
        <v>0</v>
      </c>
      <c r="M290" t="n">
        <v>0</v>
      </c>
      <c r="N290" t="n">
        <v>0</v>
      </c>
      <c r="O290" t="n">
        <v>0</v>
      </c>
      <c r="P290" t="n">
        <v>0</v>
      </c>
      <c r="Q290" t="n">
        <v>0</v>
      </c>
      <c r="R290" s="2" t="inlineStr"/>
    </row>
    <row r="291" ht="15" customHeight="1">
      <c r="A291" t="inlineStr">
        <is>
          <t>A 28100-2025</t>
        </is>
      </c>
      <c r="B291" s="1" t="n">
        <v>45817.83487268518</v>
      </c>
      <c r="C291" s="1" t="n">
        <v>45941</v>
      </c>
      <c r="D291" t="inlineStr">
        <is>
          <t>UPPSALA LÄN</t>
        </is>
      </c>
      <c r="E291" t="inlineStr">
        <is>
          <t>ÖSTHAMMAR</t>
        </is>
      </c>
      <c r="F291" t="inlineStr">
        <is>
          <t>Bergvik skog öst AB</t>
        </is>
      </c>
      <c r="G291" t="n">
        <v>3.2</v>
      </c>
      <c r="H291" t="n">
        <v>0</v>
      </c>
      <c r="I291" t="n">
        <v>0</v>
      </c>
      <c r="J291" t="n">
        <v>0</v>
      </c>
      <c r="K291" t="n">
        <v>0</v>
      </c>
      <c r="L291" t="n">
        <v>0</v>
      </c>
      <c r="M291" t="n">
        <v>0</v>
      </c>
      <c r="N291" t="n">
        <v>0</v>
      </c>
      <c r="O291" t="n">
        <v>0</v>
      </c>
      <c r="P291" t="n">
        <v>0</v>
      </c>
      <c r="Q291" t="n">
        <v>0</v>
      </c>
      <c r="R291" s="2" t="inlineStr"/>
    </row>
    <row r="292" ht="15" customHeight="1">
      <c r="A292" t="inlineStr">
        <is>
          <t>A 13044-2022</t>
        </is>
      </c>
      <c r="B292" s="1" t="n">
        <v>44643</v>
      </c>
      <c r="C292" s="1" t="n">
        <v>45941</v>
      </c>
      <c r="D292" t="inlineStr">
        <is>
          <t>UPPSALA LÄN</t>
        </is>
      </c>
      <c r="E292" t="inlineStr">
        <is>
          <t>ÖSTHAMMAR</t>
        </is>
      </c>
      <c r="G292" t="n">
        <v>2.5</v>
      </c>
      <c r="H292" t="n">
        <v>0</v>
      </c>
      <c r="I292" t="n">
        <v>0</v>
      </c>
      <c r="J292" t="n">
        <v>0</v>
      </c>
      <c r="K292" t="n">
        <v>0</v>
      </c>
      <c r="L292" t="n">
        <v>0</v>
      </c>
      <c r="M292" t="n">
        <v>0</v>
      </c>
      <c r="N292" t="n">
        <v>0</v>
      </c>
      <c r="O292" t="n">
        <v>0</v>
      </c>
      <c r="P292" t="n">
        <v>0</v>
      </c>
      <c r="Q292" t="n">
        <v>0</v>
      </c>
      <c r="R292" s="2" t="inlineStr"/>
    </row>
    <row r="293" ht="15" customHeight="1">
      <c r="A293" t="inlineStr">
        <is>
          <t>A 2839-2025</t>
        </is>
      </c>
      <c r="B293" s="1" t="n">
        <v>45677</v>
      </c>
      <c r="C293" s="1" t="n">
        <v>45941</v>
      </c>
      <c r="D293" t="inlineStr">
        <is>
          <t>UPPSALA LÄN</t>
        </is>
      </c>
      <c r="E293" t="inlineStr">
        <is>
          <t>ÖSTHAMMAR</t>
        </is>
      </c>
      <c r="F293" t="inlineStr">
        <is>
          <t>Övriga Aktiebolag</t>
        </is>
      </c>
      <c r="G293" t="n">
        <v>4</v>
      </c>
      <c r="H293" t="n">
        <v>0</v>
      </c>
      <c r="I293" t="n">
        <v>0</v>
      </c>
      <c r="J293" t="n">
        <v>0</v>
      </c>
      <c r="K293" t="n">
        <v>0</v>
      </c>
      <c r="L293" t="n">
        <v>0</v>
      </c>
      <c r="M293" t="n">
        <v>0</v>
      </c>
      <c r="N293" t="n">
        <v>0</v>
      </c>
      <c r="O293" t="n">
        <v>0</v>
      </c>
      <c r="P293" t="n">
        <v>0</v>
      </c>
      <c r="Q293" t="n">
        <v>0</v>
      </c>
      <c r="R293" s="2" t="inlineStr"/>
    </row>
    <row r="294" ht="15" customHeight="1">
      <c r="A294" t="inlineStr">
        <is>
          <t>A 2947-2025</t>
        </is>
      </c>
      <c r="B294" s="1" t="n">
        <v>45678</v>
      </c>
      <c r="C294" s="1" t="n">
        <v>45941</v>
      </c>
      <c r="D294" t="inlineStr">
        <is>
          <t>UPPSALA LÄN</t>
        </is>
      </c>
      <c r="E294" t="inlineStr">
        <is>
          <t>ÖSTHAMMAR</t>
        </is>
      </c>
      <c r="G294" t="n">
        <v>3.6</v>
      </c>
      <c r="H294" t="n">
        <v>0</v>
      </c>
      <c r="I294" t="n">
        <v>0</v>
      </c>
      <c r="J294" t="n">
        <v>0</v>
      </c>
      <c r="K294" t="n">
        <v>0</v>
      </c>
      <c r="L294" t="n">
        <v>0</v>
      </c>
      <c r="M294" t="n">
        <v>0</v>
      </c>
      <c r="N294" t="n">
        <v>0</v>
      </c>
      <c r="O294" t="n">
        <v>0</v>
      </c>
      <c r="P294" t="n">
        <v>0</v>
      </c>
      <c r="Q294" t="n">
        <v>0</v>
      </c>
      <c r="R294" s="2" t="inlineStr"/>
    </row>
    <row r="295" ht="15" customHeight="1">
      <c r="A295" t="inlineStr">
        <is>
          <t>A 28099-2025</t>
        </is>
      </c>
      <c r="B295" s="1" t="n">
        <v>45817.82967592592</v>
      </c>
      <c r="C295" s="1" t="n">
        <v>45941</v>
      </c>
      <c r="D295" t="inlineStr">
        <is>
          <t>UPPSALA LÄN</t>
        </is>
      </c>
      <c r="E295" t="inlineStr">
        <is>
          <t>ÖSTHAMMAR</t>
        </is>
      </c>
      <c r="F295" t="inlineStr">
        <is>
          <t>Bergvik skog öst AB</t>
        </is>
      </c>
      <c r="G295" t="n">
        <v>2.2</v>
      </c>
      <c r="H295" t="n">
        <v>0</v>
      </c>
      <c r="I295" t="n">
        <v>0</v>
      </c>
      <c r="J295" t="n">
        <v>0</v>
      </c>
      <c r="K295" t="n">
        <v>0</v>
      </c>
      <c r="L295" t="n">
        <v>0</v>
      </c>
      <c r="M295" t="n">
        <v>0</v>
      </c>
      <c r="N295" t="n">
        <v>0</v>
      </c>
      <c r="O295" t="n">
        <v>0</v>
      </c>
      <c r="P295" t="n">
        <v>0</v>
      </c>
      <c r="Q295" t="n">
        <v>0</v>
      </c>
      <c r="R295" s="2" t="inlineStr"/>
    </row>
    <row r="296" ht="15" customHeight="1">
      <c r="A296" t="inlineStr">
        <is>
          <t>A 8763-2025</t>
        </is>
      </c>
      <c r="B296" s="1" t="n">
        <v>45712.57872685185</v>
      </c>
      <c r="C296" s="1" t="n">
        <v>45941</v>
      </c>
      <c r="D296" t="inlineStr">
        <is>
          <t>UPPSALA LÄN</t>
        </is>
      </c>
      <c r="E296" t="inlineStr">
        <is>
          <t>ÖSTHAMMAR</t>
        </is>
      </c>
      <c r="G296" t="n">
        <v>0.6</v>
      </c>
      <c r="H296" t="n">
        <v>0</v>
      </c>
      <c r="I296" t="n">
        <v>0</v>
      </c>
      <c r="J296" t="n">
        <v>0</v>
      </c>
      <c r="K296" t="n">
        <v>0</v>
      </c>
      <c r="L296" t="n">
        <v>0</v>
      </c>
      <c r="M296" t="n">
        <v>0</v>
      </c>
      <c r="N296" t="n">
        <v>0</v>
      </c>
      <c r="O296" t="n">
        <v>0</v>
      </c>
      <c r="P296" t="n">
        <v>0</v>
      </c>
      <c r="Q296" t="n">
        <v>0</v>
      </c>
      <c r="R296" s="2" t="inlineStr"/>
    </row>
    <row r="297" ht="15" customHeight="1">
      <c r="A297" t="inlineStr">
        <is>
          <t>A 27812-2025</t>
        </is>
      </c>
      <c r="B297" s="1" t="n">
        <v>45817.32150462963</v>
      </c>
      <c r="C297" s="1" t="n">
        <v>45941</v>
      </c>
      <c r="D297" t="inlineStr">
        <is>
          <t>UPPSALA LÄN</t>
        </is>
      </c>
      <c r="E297" t="inlineStr">
        <is>
          <t>ÖSTHAMMAR</t>
        </is>
      </c>
      <c r="F297" t="inlineStr">
        <is>
          <t>Bergvik skog öst AB</t>
        </is>
      </c>
      <c r="G297" t="n">
        <v>1.8</v>
      </c>
      <c r="H297" t="n">
        <v>0</v>
      </c>
      <c r="I297" t="n">
        <v>0</v>
      </c>
      <c r="J297" t="n">
        <v>0</v>
      </c>
      <c r="K297" t="n">
        <v>0</v>
      </c>
      <c r="L297" t="n">
        <v>0</v>
      </c>
      <c r="M297" t="n">
        <v>0</v>
      </c>
      <c r="N297" t="n">
        <v>0</v>
      </c>
      <c r="O297" t="n">
        <v>0</v>
      </c>
      <c r="P297" t="n">
        <v>0</v>
      </c>
      <c r="Q297" t="n">
        <v>0</v>
      </c>
      <c r="R297" s="2" t="inlineStr"/>
    </row>
    <row r="298" ht="15" customHeight="1">
      <c r="A298" t="inlineStr">
        <is>
          <t>A 28101-2025</t>
        </is>
      </c>
      <c r="B298" s="1" t="n">
        <v>45817.83736111111</v>
      </c>
      <c r="C298" s="1" t="n">
        <v>45941</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27919-2025</t>
        </is>
      </c>
      <c r="B299" s="1" t="n">
        <v>45817.48384259259</v>
      </c>
      <c r="C299" s="1" t="n">
        <v>45941</v>
      </c>
      <c r="D299" t="inlineStr">
        <is>
          <t>UPPSALA LÄN</t>
        </is>
      </c>
      <c r="E299" t="inlineStr">
        <is>
          <t>ÖSTHAMMAR</t>
        </is>
      </c>
      <c r="F299" t="inlineStr">
        <is>
          <t>Bergvik skog öst AB</t>
        </is>
      </c>
      <c r="G299" t="n">
        <v>3.5</v>
      </c>
      <c r="H299" t="n">
        <v>0</v>
      </c>
      <c r="I299" t="n">
        <v>0</v>
      </c>
      <c r="J299" t="n">
        <v>0</v>
      </c>
      <c r="K299" t="n">
        <v>0</v>
      </c>
      <c r="L299" t="n">
        <v>0</v>
      </c>
      <c r="M299" t="n">
        <v>0</v>
      </c>
      <c r="N299" t="n">
        <v>0</v>
      </c>
      <c r="O299" t="n">
        <v>0</v>
      </c>
      <c r="P299" t="n">
        <v>0</v>
      </c>
      <c r="Q299" t="n">
        <v>0</v>
      </c>
      <c r="R299" s="2" t="inlineStr"/>
    </row>
    <row r="300" ht="15" customHeight="1">
      <c r="A300" t="inlineStr">
        <is>
          <t>A 27853-2025</t>
        </is>
      </c>
      <c r="B300" s="1" t="n">
        <v>45817.40178240741</v>
      </c>
      <c r="C300" s="1" t="n">
        <v>45941</v>
      </c>
      <c r="D300" t="inlineStr">
        <is>
          <t>UPPSALA LÄN</t>
        </is>
      </c>
      <c r="E300" t="inlineStr">
        <is>
          <t>ÖSTHAMMAR</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27509-2025</t>
        </is>
      </c>
      <c r="B301" s="1" t="n">
        <v>45813.4278125</v>
      </c>
      <c r="C301" s="1" t="n">
        <v>45941</v>
      </c>
      <c r="D301" t="inlineStr">
        <is>
          <t>UPPSALA LÄN</t>
        </is>
      </c>
      <c r="E301" t="inlineStr">
        <is>
          <t>ÖSTHAMMAR</t>
        </is>
      </c>
      <c r="F301" t="inlineStr">
        <is>
          <t>Bergvik skog öst AB</t>
        </is>
      </c>
      <c r="G301" t="n">
        <v>3.3</v>
      </c>
      <c r="H301" t="n">
        <v>0</v>
      </c>
      <c r="I301" t="n">
        <v>0</v>
      </c>
      <c r="J301" t="n">
        <v>0</v>
      </c>
      <c r="K301" t="n">
        <v>0</v>
      </c>
      <c r="L301" t="n">
        <v>0</v>
      </c>
      <c r="M301" t="n">
        <v>0</v>
      </c>
      <c r="N301" t="n">
        <v>0</v>
      </c>
      <c r="O301" t="n">
        <v>0</v>
      </c>
      <c r="P301" t="n">
        <v>0</v>
      </c>
      <c r="Q301" t="n">
        <v>0</v>
      </c>
      <c r="R301" s="2" t="inlineStr"/>
    </row>
    <row r="302" ht="15" customHeight="1">
      <c r="A302" t="inlineStr">
        <is>
          <t>A 28745-2025</t>
        </is>
      </c>
      <c r="B302" s="1" t="n">
        <v>45820.39076388889</v>
      </c>
      <c r="C302" s="1" t="n">
        <v>45941</v>
      </c>
      <c r="D302" t="inlineStr">
        <is>
          <t>UPPSALA LÄN</t>
        </is>
      </c>
      <c r="E302" t="inlineStr">
        <is>
          <t>ÖSTHAMMAR</t>
        </is>
      </c>
      <c r="G302" t="n">
        <v>1.7</v>
      </c>
      <c r="H302" t="n">
        <v>0</v>
      </c>
      <c r="I302" t="n">
        <v>0</v>
      </c>
      <c r="J302" t="n">
        <v>0</v>
      </c>
      <c r="K302" t="n">
        <v>0</v>
      </c>
      <c r="L302" t="n">
        <v>0</v>
      </c>
      <c r="M302" t="n">
        <v>0</v>
      </c>
      <c r="N302" t="n">
        <v>0</v>
      </c>
      <c r="O302" t="n">
        <v>0</v>
      </c>
      <c r="P302" t="n">
        <v>0</v>
      </c>
      <c r="Q302" t="n">
        <v>0</v>
      </c>
      <c r="R302" s="2" t="inlineStr"/>
    </row>
    <row r="303" ht="15" customHeight="1">
      <c r="A303" t="inlineStr">
        <is>
          <t>A 28748-2025</t>
        </is>
      </c>
      <c r="B303" s="1" t="n">
        <v>45820.39540509259</v>
      </c>
      <c r="C303" s="1" t="n">
        <v>45941</v>
      </c>
      <c r="D303" t="inlineStr">
        <is>
          <t>UPPSALA LÄN</t>
        </is>
      </c>
      <c r="E303" t="inlineStr">
        <is>
          <t>ÖSTHAMMAR</t>
        </is>
      </c>
      <c r="G303" t="n">
        <v>2</v>
      </c>
      <c r="H303" t="n">
        <v>0</v>
      </c>
      <c r="I303" t="n">
        <v>0</v>
      </c>
      <c r="J303" t="n">
        <v>0</v>
      </c>
      <c r="K303" t="n">
        <v>0</v>
      </c>
      <c r="L303" t="n">
        <v>0</v>
      </c>
      <c r="M303" t="n">
        <v>0</v>
      </c>
      <c r="N303" t="n">
        <v>0</v>
      </c>
      <c r="O303" t="n">
        <v>0</v>
      </c>
      <c r="P303" t="n">
        <v>0</v>
      </c>
      <c r="Q303" t="n">
        <v>0</v>
      </c>
      <c r="R303" s="2" t="inlineStr"/>
    </row>
    <row r="304" ht="15" customHeight="1">
      <c r="A304" t="inlineStr">
        <is>
          <t>A 28442-2025</t>
        </is>
      </c>
      <c r="B304" s="1" t="n">
        <v>45819</v>
      </c>
      <c r="C304" s="1" t="n">
        <v>45941</v>
      </c>
      <c r="D304" t="inlineStr">
        <is>
          <t>UPPSALA LÄN</t>
        </is>
      </c>
      <c r="E304" t="inlineStr">
        <is>
          <t>ÖSTHAMMAR</t>
        </is>
      </c>
      <c r="F304" t="inlineStr">
        <is>
          <t>Övriga Aktiebolag</t>
        </is>
      </c>
      <c r="G304" t="n">
        <v>1.8</v>
      </c>
      <c r="H304" t="n">
        <v>0</v>
      </c>
      <c r="I304" t="n">
        <v>0</v>
      </c>
      <c r="J304" t="n">
        <v>0</v>
      </c>
      <c r="K304" t="n">
        <v>0</v>
      </c>
      <c r="L304" t="n">
        <v>0</v>
      </c>
      <c r="M304" t="n">
        <v>0</v>
      </c>
      <c r="N304" t="n">
        <v>0</v>
      </c>
      <c r="O304" t="n">
        <v>0</v>
      </c>
      <c r="P304" t="n">
        <v>0</v>
      </c>
      <c r="Q304" t="n">
        <v>0</v>
      </c>
      <c r="R304" s="2" t="inlineStr"/>
    </row>
    <row r="305" ht="15" customHeight="1">
      <c r="A305" t="inlineStr">
        <is>
          <t>A 23728-2025</t>
        </is>
      </c>
      <c r="B305" s="1" t="n">
        <v>45793.41719907407</v>
      </c>
      <c r="C305" s="1" t="n">
        <v>45941</v>
      </c>
      <c r="D305" t="inlineStr">
        <is>
          <t>UPPSALA LÄN</t>
        </is>
      </c>
      <c r="E305" t="inlineStr">
        <is>
          <t>ÖSTHAMMAR</t>
        </is>
      </c>
      <c r="G305" t="n">
        <v>1.1</v>
      </c>
      <c r="H305" t="n">
        <v>0</v>
      </c>
      <c r="I305" t="n">
        <v>0</v>
      </c>
      <c r="J305" t="n">
        <v>0</v>
      </c>
      <c r="K305" t="n">
        <v>0</v>
      </c>
      <c r="L305" t="n">
        <v>0</v>
      </c>
      <c r="M305" t="n">
        <v>0</v>
      </c>
      <c r="N305" t="n">
        <v>0</v>
      </c>
      <c r="O305" t="n">
        <v>0</v>
      </c>
      <c r="P305" t="n">
        <v>0</v>
      </c>
      <c r="Q305" t="n">
        <v>0</v>
      </c>
      <c r="R305" s="2" t="inlineStr"/>
    </row>
    <row r="306" ht="15" customHeight="1">
      <c r="A306" t="inlineStr">
        <is>
          <t>A 28739-2025</t>
        </is>
      </c>
      <c r="B306" s="1" t="n">
        <v>45820</v>
      </c>
      <c r="C306" s="1" t="n">
        <v>45941</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27486-2025</t>
        </is>
      </c>
      <c r="B307" s="1" t="n">
        <v>45813.38521990741</v>
      </c>
      <c r="C307" s="1" t="n">
        <v>45941</v>
      </c>
      <c r="D307" t="inlineStr">
        <is>
          <t>UPPSALA LÄN</t>
        </is>
      </c>
      <c r="E307" t="inlineStr">
        <is>
          <t>ÖSTHAMMAR</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29029-2025</t>
        </is>
      </c>
      <c r="B308" s="1" t="n">
        <v>45821.43973379629</v>
      </c>
      <c r="C308" s="1" t="n">
        <v>45941</v>
      </c>
      <c r="D308" t="inlineStr">
        <is>
          <t>UPPSALA LÄN</t>
        </is>
      </c>
      <c r="E308" t="inlineStr">
        <is>
          <t>ÖSTHAMMAR</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29028-2025</t>
        </is>
      </c>
      <c r="B309" s="1" t="n">
        <v>45821.4384375</v>
      </c>
      <c r="C309" s="1" t="n">
        <v>45941</v>
      </c>
      <c r="D309" t="inlineStr">
        <is>
          <t>UPPSALA LÄN</t>
        </is>
      </c>
      <c r="E309" t="inlineStr">
        <is>
          <t>ÖSTHAMMAR</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12756-2024</t>
        </is>
      </c>
      <c r="B310" s="1" t="n">
        <v>45384</v>
      </c>
      <c r="C310" s="1" t="n">
        <v>45941</v>
      </c>
      <c r="D310" t="inlineStr">
        <is>
          <t>UPPSALA LÄN</t>
        </is>
      </c>
      <c r="E310" t="inlineStr">
        <is>
          <t>ÖSTHAMMAR</t>
        </is>
      </c>
      <c r="G310" t="n">
        <v>1.3</v>
      </c>
      <c r="H310" t="n">
        <v>0</v>
      </c>
      <c r="I310" t="n">
        <v>0</v>
      </c>
      <c r="J310" t="n">
        <v>0</v>
      </c>
      <c r="K310" t="n">
        <v>0</v>
      </c>
      <c r="L310" t="n">
        <v>0</v>
      </c>
      <c r="M310" t="n">
        <v>0</v>
      </c>
      <c r="N310" t="n">
        <v>0</v>
      </c>
      <c r="O310" t="n">
        <v>0</v>
      </c>
      <c r="P310" t="n">
        <v>0</v>
      </c>
      <c r="Q310" t="n">
        <v>0</v>
      </c>
      <c r="R310" s="2" t="inlineStr"/>
    </row>
    <row r="311" ht="15" customHeight="1">
      <c r="A311" t="inlineStr">
        <is>
          <t>A 29031-2025</t>
        </is>
      </c>
      <c r="B311" s="1" t="n">
        <v>45821.44159722222</v>
      </c>
      <c r="C311" s="1" t="n">
        <v>45941</v>
      </c>
      <c r="D311" t="inlineStr">
        <is>
          <t>UPPSALA LÄN</t>
        </is>
      </c>
      <c r="E311" t="inlineStr">
        <is>
          <t>ÖSTHAMMAR</t>
        </is>
      </c>
      <c r="F311" t="inlineStr">
        <is>
          <t>Bergvik skog öst AB</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27490-2025</t>
        </is>
      </c>
      <c r="B312" s="1" t="n">
        <v>45813.39273148148</v>
      </c>
      <c r="C312" s="1" t="n">
        <v>45941</v>
      </c>
      <c r="D312" t="inlineStr">
        <is>
          <t>UPPSALA LÄN</t>
        </is>
      </c>
      <c r="E312" t="inlineStr">
        <is>
          <t>ÖSTHAMMAR</t>
        </is>
      </c>
      <c r="F312" t="inlineStr">
        <is>
          <t>Bergvik skog öst AB</t>
        </is>
      </c>
      <c r="G312" t="n">
        <v>6.1</v>
      </c>
      <c r="H312" t="n">
        <v>0</v>
      </c>
      <c r="I312" t="n">
        <v>0</v>
      </c>
      <c r="J312" t="n">
        <v>0</v>
      </c>
      <c r="K312" t="n">
        <v>0</v>
      </c>
      <c r="L312" t="n">
        <v>0</v>
      </c>
      <c r="M312" t="n">
        <v>0</v>
      </c>
      <c r="N312" t="n">
        <v>0</v>
      </c>
      <c r="O312" t="n">
        <v>0</v>
      </c>
      <c r="P312" t="n">
        <v>0</v>
      </c>
      <c r="Q312" t="n">
        <v>0</v>
      </c>
      <c r="R312" s="2" t="inlineStr"/>
    </row>
    <row r="313" ht="15" customHeight="1">
      <c r="A313" t="inlineStr">
        <is>
          <t>A 27494-2025</t>
        </is>
      </c>
      <c r="B313" s="1" t="n">
        <v>45813.39756944445</v>
      </c>
      <c r="C313" s="1" t="n">
        <v>45941</v>
      </c>
      <c r="D313" t="inlineStr">
        <is>
          <t>UPPSALA LÄN</t>
        </is>
      </c>
      <c r="E313" t="inlineStr">
        <is>
          <t>ÖSTHAMMAR</t>
        </is>
      </c>
      <c r="F313" t="inlineStr">
        <is>
          <t>Bergvik skog öst AB</t>
        </is>
      </c>
      <c r="G313" t="n">
        <v>23.4</v>
      </c>
      <c r="H313" t="n">
        <v>0</v>
      </c>
      <c r="I313" t="n">
        <v>0</v>
      </c>
      <c r="J313" t="n">
        <v>0</v>
      </c>
      <c r="K313" t="n">
        <v>0</v>
      </c>
      <c r="L313" t="n">
        <v>0</v>
      </c>
      <c r="M313" t="n">
        <v>0</v>
      </c>
      <c r="N313" t="n">
        <v>0</v>
      </c>
      <c r="O313" t="n">
        <v>0</v>
      </c>
      <c r="P313" t="n">
        <v>0</v>
      </c>
      <c r="Q313" t="n">
        <v>0</v>
      </c>
      <c r="R313" s="2" t="inlineStr"/>
    </row>
    <row r="314" ht="15" customHeight="1">
      <c r="A314" t="inlineStr">
        <is>
          <t>A 29384-2025</t>
        </is>
      </c>
      <c r="B314" s="1" t="n">
        <v>45824</v>
      </c>
      <c r="C314" s="1" t="n">
        <v>45941</v>
      </c>
      <c r="D314" t="inlineStr">
        <is>
          <t>UPPSALA LÄN</t>
        </is>
      </c>
      <c r="E314" t="inlineStr">
        <is>
          <t>ÖSTHAMMAR</t>
        </is>
      </c>
      <c r="G314" t="n">
        <v>3.1</v>
      </c>
      <c r="H314" t="n">
        <v>0</v>
      </c>
      <c r="I314" t="n">
        <v>0</v>
      </c>
      <c r="J314" t="n">
        <v>0</v>
      </c>
      <c r="K314" t="n">
        <v>0</v>
      </c>
      <c r="L314" t="n">
        <v>0</v>
      </c>
      <c r="M314" t="n">
        <v>0</v>
      </c>
      <c r="N314" t="n">
        <v>0</v>
      </c>
      <c r="O314" t="n">
        <v>0</v>
      </c>
      <c r="P314" t="n">
        <v>0</v>
      </c>
      <c r="Q314" t="n">
        <v>0</v>
      </c>
      <c r="R314" s="2" t="inlineStr"/>
    </row>
    <row r="315" ht="15" customHeight="1">
      <c r="A315" t="inlineStr">
        <is>
          <t>A 29024-2025</t>
        </is>
      </c>
      <c r="B315" s="1" t="n">
        <v>45821.43233796296</v>
      </c>
      <c r="C315" s="1" t="n">
        <v>45941</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8623-2025</t>
        </is>
      </c>
      <c r="B316" s="1" t="n">
        <v>45711.51902777778</v>
      </c>
      <c r="C316" s="1" t="n">
        <v>45941</v>
      </c>
      <c r="D316" t="inlineStr">
        <is>
          <t>UPPSALA LÄN</t>
        </is>
      </c>
      <c r="E316" t="inlineStr">
        <is>
          <t>ÖSTHAMMAR</t>
        </is>
      </c>
      <c r="F316" t="inlineStr">
        <is>
          <t>Bergvik skog väst AB</t>
        </is>
      </c>
      <c r="G316" t="n">
        <v>3.5</v>
      </c>
      <c r="H316" t="n">
        <v>0</v>
      </c>
      <c r="I316" t="n">
        <v>0</v>
      </c>
      <c r="J316" t="n">
        <v>0</v>
      </c>
      <c r="K316" t="n">
        <v>0</v>
      </c>
      <c r="L316" t="n">
        <v>0</v>
      </c>
      <c r="M316" t="n">
        <v>0</v>
      </c>
      <c r="N316" t="n">
        <v>0</v>
      </c>
      <c r="O316" t="n">
        <v>0</v>
      </c>
      <c r="P316" t="n">
        <v>0</v>
      </c>
      <c r="Q316" t="n">
        <v>0</v>
      </c>
      <c r="R316" s="2" t="inlineStr"/>
    </row>
    <row r="317" ht="15" customHeight="1">
      <c r="A317" t="inlineStr">
        <is>
          <t>A 8626-2025</t>
        </is>
      </c>
      <c r="B317" s="1" t="n">
        <v>45711.53565972222</v>
      </c>
      <c r="C317" s="1" t="n">
        <v>45941</v>
      </c>
      <c r="D317" t="inlineStr">
        <is>
          <t>UPPSALA LÄN</t>
        </is>
      </c>
      <c r="E317" t="inlineStr">
        <is>
          <t>ÖSTHAMMAR</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29775-2025</t>
        </is>
      </c>
      <c r="B318" s="1" t="n">
        <v>45825.63803240741</v>
      </c>
      <c r="C318" s="1" t="n">
        <v>45941</v>
      </c>
      <c r="D318" t="inlineStr">
        <is>
          <t>UPPSALA LÄN</t>
        </is>
      </c>
      <c r="E318" t="inlineStr">
        <is>
          <t>ÖSTHAMMAR</t>
        </is>
      </c>
      <c r="G318" t="n">
        <v>0.9</v>
      </c>
      <c r="H318" t="n">
        <v>0</v>
      </c>
      <c r="I318" t="n">
        <v>0</v>
      </c>
      <c r="J318" t="n">
        <v>0</v>
      </c>
      <c r="K318" t="n">
        <v>0</v>
      </c>
      <c r="L318" t="n">
        <v>0</v>
      </c>
      <c r="M318" t="n">
        <v>0</v>
      </c>
      <c r="N318" t="n">
        <v>0</v>
      </c>
      <c r="O318" t="n">
        <v>0</v>
      </c>
      <c r="P318" t="n">
        <v>0</v>
      </c>
      <c r="Q318" t="n">
        <v>0</v>
      </c>
      <c r="R318" s="2" t="inlineStr"/>
    </row>
    <row r="319" ht="15" customHeight="1">
      <c r="A319" t="inlineStr">
        <is>
          <t>A 52694-2023</t>
        </is>
      </c>
      <c r="B319" s="1" t="n">
        <v>45225.76836805556</v>
      </c>
      <c r="C319" s="1" t="n">
        <v>45941</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61817-2021</t>
        </is>
      </c>
      <c r="B320" s="1" t="n">
        <v>44501.76855324074</v>
      </c>
      <c r="C320" s="1" t="n">
        <v>45941</v>
      </c>
      <c r="D320" t="inlineStr">
        <is>
          <t>UPPSALA LÄN</t>
        </is>
      </c>
      <c r="E320" t="inlineStr">
        <is>
          <t>ÖSTHAMMAR</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73982-2021</t>
        </is>
      </c>
      <c r="B321" s="1" t="n">
        <v>44555.80339120371</v>
      </c>
      <c r="C321" s="1" t="n">
        <v>45941</v>
      </c>
      <c r="D321" t="inlineStr">
        <is>
          <t>UPPSALA LÄN</t>
        </is>
      </c>
      <c r="E321" t="inlineStr">
        <is>
          <t>ÖSTHAMMAR</t>
        </is>
      </c>
      <c r="G321" t="n">
        <v>0.9</v>
      </c>
      <c r="H321" t="n">
        <v>0</v>
      </c>
      <c r="I321" t="n">
        <v>0</v>
      </c>
      <c r="J321" t="n">
        <v>0</v>
      </c>
      <c r="K321" t="n">
        <v>0</v>
      </c>
      <c r="L321" t="n">
        <v>0</v>
      </c>
      <c r="M321" t="n">
        <v>0</v>
      </c>
      <c r="N321" t="n">
        <v>0</v>
      </c>
      <c r="O321" t="n">
        <v>0</v>
      </c>
      <c r="P321" t="n">
        <v>0</v>
      </c>
      <c r="Q321" t="n">
        <v>0</v>
      </c>
      <c r="R321" s="2" t="inlineStr"/>
    </row>
    <row r="322" ht="15" customHeight="1">
      <c r="A322" t="inlineStr">
        <is>
          <t>A 14859-2025</t>
        </is>
      </c>
      <c r="B322" s="1" t="n">
        <v>45743.42427083333</v>
      </c>
      <c r="C322" s="1" t="n">
        <v>45941</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14272-2025</t>
        </is>
      </c>
      <c r="B323" s="1" t="n">
        <v>45740.64327546296</v>
      </c>
      <c r="C323" s="1" t="n">
        <v>45941</v>
      </c>
      <c r="D323" t="inlineStr">
        <is>
          <t>UPPSALA LÄN</t>
        </is>
      </c>
      <c r="E323" t="inlineStr">
        <is>
          <t>ÖSTHAMMAR</t>
        </is>
      </c>
      <c r="G323" t="n">
        <v>5.7</v>
      </c>
      <c r="H323" t="n">
        <v>0</v>
      </c>
      <c r="I323" t="n">
        <v>0</v>
      </c>
      <c r="J323" t="n">
        <v>0</v>
      </c>
      <c r="K323" t="n">
        <v>0</v>
      </c>
      <c r="L323" t="n">
        <v>0</v>
      </c>
      <c r="M323" t="n">
        <v>0</v>
      </c>
      <c r="N323" t="n">
        <v>0</v>
      </c>
      <c r="O323" t="n">
        <v>0</v>
      </c>
      <c r="P323" t="n">
        <v>0</v>
      </c>
      <c r="Q323" t="n">
        <v>0</v>
      </c>
      <c r="R323" s="2" t="inlineStr"/>
    </row>
    <row r="324" ht="15" customHeight="1">
      <c r="A324" t="inlineStr">
        <is>
          <t>A 30244-2025</t>
        </is>
      </c>
      <c r="B324" s="1" t="n">
        <v>45827.40902777778</v>
      </c>
      <c r="C324" s="1" t="n">
        <v>45941</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5303-2025</t>
        </is>
      </c>
      <c r="B325" s="1" t="n">
        <v>45692</v>
      </c>
      <c r="C325" s="1" t="n">
        <v>45941</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27660-2023</t>
        </is>
      </c>
      <c r="B326" s="1" t="n">
        <v>45097</v>
      </c>
      <c r="C326" s="1" t="n">
        <v>45941</v>
      </c>
      <c r="D326" t="inlineStr">
        <is>
          <t>UPPSALA LÄN</t>
        </is>
      </c>
      <c r="E326" t="inlineStr">
        <is>
          <t>ÖSTHAMMAR</t>
        </is>
      </c>
      <c r="G326" t="n">
        <v>2.8</v>
      </c>
      <c r="H326" t="n">
        <v>0</v>
      </c>
      <c r="I326" t="n">
        <v>0</v>
      </c>
      <c r="J326" t="n">
        <v>0</v>
      </c>
      <c r="K326" t="n">
        <v>0</v>
      </c>
      <c r="L326" t="n">
        <v>0</v>
      </c>
      <c r="M326" t="n">
        <v>0</v>
      </c>
      <c r="N326" t="n">
        <v>0</v>
      </c>
      <c r="O326" t="n">
        <v>0</v>
      </c>
      <c r="P326" t="n">
        <v>0</v>
      </c>
      <c r="Q326" t="n">
        <v>0</v>
      </c>
      <c r="R326" s="2" t="inlineStr"/>
    </row>
    <row r="327" ht="15" customHeight="1">
      <c r="A327" t="inlineStr">
        <is>
          <t>A 57-2023</t>
        </is>
      </c>
      <c r="B327" s="1" t="n">
        <v>44928.40917824074</v>
      </c>
      <c r="C327" s="1" t="n">
        <v>45941</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59-2023</t>
        </is>
      </c>
      <c r="B328" s="1" t="n">
        <v>44928.41822916667</v>
      </c>
      <c r="C328" s="1" t="n">
        <v>45941</v>
      </c>
      <c r="D328" t="inlineStr">
        <is>
          <t>UPPSALA LÄN</t>
        </is>
      </c>
      <c r="E328" t="inlineStr">
        <is>
          <t>ÖSTHAMMAR</t>
        </is>
      </c>
      <c r="G328" t="n">
        <v>1.5</v>
      </c>
      <c r="H328" t="n">
        <v>0</v>
      </c>
      <c r="I328" t="n">
        <v>0</v>
      </c>
      <c r="J328" t="n">
        <v>0</v>
      </c>
      <c r="K328" t="n">
        <v>0</v>
      </c>
      <c r="L328" t="n">
        <v>0</v>
      </c>
      <c r="M328" t="n">
        <v>0</v>
      </c>
      <c r="N328" t="n">
        <v>0</v>
      </c>
      <c r="O328" t="n">
        <v>0</v>
      </c>
      <c r="P328" t="n">
        <v>0</v>
      </c>
      <c r="Q328" t="n">
        <v>0</v>
      </c>
      <c r="R328" s="2" t="inlineStr"/>
    </row>
    <row r="329" ht="15" customHeight="1">
      <c r="A329" t="inlineStr">
        <is>
          <t>A 24493-2023</t>
        </is>
      </c>
      <c r="B329" s="1" t="n">
        <v>45082.62603009259</v>
      </c>
      <c r="C329" s="1" t="n">
        <v>45941</v>
      </c>
      <c r="D329" t="inlineStr">
        <is>
          <t>UPPSALA LÄN</t>
        </is>
      </c>
      <c r="E329" t="inlineStr">
        <is>
          <t>ÖSTHAMMAR</t>
        </is>
      </c>
      <c r="G329" t="n">
        <v>1.9</v>
      </c>
      <c r="H329" t="n">
        <v>0</v>
      </c>
      <c r="I329" t="n">
        <v>0</v>
      </c>
      <c r="J329" t="n">
        <v>0</v>
      </c>
      <c r="K329" t="n">
        <v>0</v>
      </c>
      <c r="L329" t="n">
        <v>0</v>
      </c>
      <c r="M329" t="n">
        <v>0</v>
      </c>
      <c r="N329" t="n">
        <v>0</v>
      </c>
      <c r="O329" t="n">
        <v>0</v>
      </c>
      <c r="P329" t="n">
        <v>0</v>
      </c>
      <c r="Q329" t="n">
        <v>0</v>
      </c>
      <c r="R329" s="2" t="inlineStr"/>
    </row>
    <row r="330" ht="15" customHeight="1">
      <c r="A330" t="inlineStr">
        <is>
          <t>A 19947-2024</t>
        </is>
      </c>
      <c r="B330" s="1" t="n">
        <v>45433</v>
      </c>
      <c r="C330" s="1" t="n">
        <v>45941</v>
      </c>
      <c r="D330" t="inlineStr">
        <is>
          <t>UPPSALA LÄN</t>
        </is>
      </c>
      <c r="E330" t="inlineStr">
        <is>
          <t>ÖSTHAMMAR</t>
        </is>
      </c>
      <c r="G330" t="n">
        <v>0.3</v>
      </c>
      <c r="H330" t="n">
        <v>0</v>
      </c>
      <c r="I330" t="n">
        <v>0</v>
      </c>
      <c r="J330" t="n">
        <v>0</v>
      </c>
      <c r="K330" t="n">
        <v>0</v>
      </c>
      <c r="L330" t="n">
        <v>0</v>
      </c>
      <c r="M330" t="n">
        <v>0</v>
      </c>
      <c r="N330" t="n">
        <v>0</v>
      </c>
      <c r="O330" t="n">
        <v>0</v>
      </c>
      <c r="P330" t="n">
        <v>0</v>
      </c>
      <c r="Q330" t="n">
        <v>0</v>
      </c>
      <c r="R330" s="2" t="inlineStr"/>
    </row>
    <row r="331" ht="15" customHeight="1">
      <c r="A331" t="inlineStr">
        <is>
          <t>A 11385-2024</t>
        </is>
      </c>
      <c r="B331" s="1" t="n">
        <v>45372</v>
      </c>
      <c r="C331" s="1" t="n">
        <v>45941</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34742-2022</t>
        </is>
      </c>
      <c r="B332" s="1" t="n">
        <v>44795.61990740741</v>
      </c>
      <c r="C332" s="1" t="n">
        <v>45941</v>
      </c>
      <c r="D332" t="inlineStr">
        <is>
          <t>UPPSALA LÄN</t>
        </is>
      </c>
      <c r="E332" t="inlineStr">
        <is>
          <t>ÖSTHAMMAR</t>
        </is>
      </c>
      <c r="F332" t="inlineStr">
        <is>
          <t>Bergvik skog öst AB</t>
        </is>
      </c>
      <c r="G332" t="n">
        <v>1.1</v>
      </c>
      <c r="H332" t="n">
        <v>0</v>
      </c>
      <c r="I332" t="n">
        <v>0</v>
      </c>
      <c r="J332" t="n">
        <v>0</v>
      </c>
      <c r="K332" t="n">
        <v>0</v>
      </c>
      <c r="L332" t="n">
        <v>0</v>
      </c>
      <c r="M332" t="n">
        <v>0</v>
      </c>
      <c r="N332" t="n">
        <v>0</v>
      </c>
      <c r="O332" t="n">
        <v>0</v>
      </c>
      <c r="P332" t="n">
        <v>0</v>
      </c>
      <c r="Q332" t="n">
        <v>0</v>
      </c>
      <c r="R332" s="2" t="inlineStr"/>
    </row>
    <row r="333" ht="15" customHeight="1">
      <c r="A333" t="inlineStr">
        <is>
          <t>A 30504-2025</t>
        </is>
      </c>
      <c r="B333" s="1" t="n">
        <v>45830.8558912037</v>
      </c>
      <c r="C333" s="1" t="n">
        <v>45941</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13622-2025</t>
        </is>
      </c>
      <c r="B334" s="1" t="n">
        <v>45736</v>
      </c>
      <c r="C334" s="1" t="n">
        <v>45941</v>
      </c>
      <c r="D334" t="inlineStr">
        <is>
          <t>UPPSALA LÄN</t>
        </is>
      </c>
      <c r="E334" t="inlineStr">
        <is>
          <t>ÖSTHAMMAR</t>
        </is>
      </c>
      <c r="G334" t="n">
        <v>2.6</v>
      </c>
      <c r="H334" t="n">
        <v>0</v>
      </c>
      <c r="I334" t="n">
        <v>0</v>
      </c>
      <c r="J334" t="n">
        <v>0</v>
      </c>
      <c r="K334" t="n">
        <v>0</v>
      </c>
      <c r="L334" t="n">
        <v>0</v>
      </c>
      <c r="M334" t="n">
        <v>0</v>
      </c>
      <c r="N334" t="n">
        <v>0</v>
      </c>
      <c r="O334" t="n">
        <v>0</v>
      </c>
      <c r="P334" t="n">
        <v>0</v>
      </c>
      <c r="Q334" t="n">
        <v>0</v>
      </c>
      <c r="R334" s="2" t="inlineStr"/>
    </row>
    <row r="335" ht="15" customHeight="1">
      <c r="A335" t="inlineStr">
        <is>
          <t>A 14433-2024</t>
        </is>
      </c>
      <c r="B335" s="1" t="n">
        <v>45394.46115740741</v>
      </c>
      <c r="C335" s="1" t="n">
        <v>45941</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46399-2023</t>
        </is>
      </c>
      <c r="B336" s="1" t="n">
        <v>45197.49262731482</v>
      </c>
      <c r="C336" s="1" t="n">
        <v>45941</v>
      </c>
      <c r="D336" t="inlineStr">
        <is>
          <t>UPPSALA LÄN</t>
        </is>
      </c>
      <c r="E336" t="inlineStr">
        <is>
          <t>ÖSTHAMMAR</t>
        </is>
      </c>
      <c r="G336" t="n">
        <v>5.8</v>
      </c>
      <c r="H336" t="n">
        <v>0</v>
      </c>
      <c r="I336" t="n">
        <v>0</v>
      </c>
      <c r="J336" t="n">
        <v>0</v>
      </c>
      <c r="K336" t="n">
        <v>0</v>
      </c>
      <c r="L336" t="n">
        <v>0</v>
      </c>
      <c r="M336" t="n">
        <v>0</v>
      </c>
      <c r="N336" t="n">
        <v>0</v>
      </c>
      <c r="O336" t="n">
        <v>0</v>
      </c>
      <c r="P336" t="n">
        <v>0</v>
      </c>
      <c r="Q336" t="n">
        <v>0</v>
      </c>
      <c r="R336" s="2" t="inlineStr"/>
    </row>
    <row r="337" ht="15" customHeight="1">
      <c r="A337" t="inlineStr">
        <is>
          <t>A 13358-2024</t>
        </is>
      </c>
      <c r="B337" s="1" t="n">
        <v>45387.3503125</v>
      </c>
      <c r="C337" s="1" t="n">
        <v>45941</v>
      </c>
      <c r="D337" t="inlineStr">
        <is>
          <t>UPPSALA LÄN</t>
        </is>
      </c>
      <c r="E337" t="inlineStr">
        <is>
          <t>ÖSTHAMMAR</t>
        </is>
      </c>
      <c r="G337" t="n">
        <v>2.2</v>
      </c>
      <c r="H337" t="n">
        <v>0</v>
      </c>
      <c r="I337" t="n">
        <v>0</v>
      </c>
      <c r="J337" t="n">
        <v>0</v>
      </c>
      <c r="K337" t="n">
        <v>0</v>
      </c>
      <c r="L337" t="n">
        <v>0</v>
      </c>
      <c r="M337" t="n">
        <v>0</v>
      </c>
      <c r="N337" t="n">
        <v>0</v>
      </c>
      <c r="O337" t="n">
        <v>0</v>
      </c>
      <c r="P337" t="n">
        <v>0</v>
      </c>
      <c r="Q337" t="n">
        <v>0</v>
      </c>
      <c r="R337" s="2" t="inlineStr"/>
    </row>
    <row r="338" ht="15" customHeight="1">
      <c r="A338" t="inlineStr">
        <is>
          <t>A 62394-2022</t>
        </is>
      </c>
      <c r="B338" s="1" t="n">
        <v>44923.82017361111</v>
      </c>
      <c r="C338" s="1" t="n">
        <v>45941</v>
      </c>
      <c r="D338" t="inlineStr">
        <is>
          <t>UPPSALA LÄN</t>
        </is>
      </c>
      <c r="E338" t="inlineStr">
        <is>
          <t>ÖSTHAMMAR</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55079-2024</t>
        </is>
      </c>
      <c r="B339" s="1" t="n">
        <v>45621.42747685185</v>
      </c>
      <c r="C339" s="1" t="n">
        <v>45941</v>
      </c>
      <c r="D339" t="inlineStr">
        <is>
          <t>UPPSALA LÄN</t>
        </is>
      </c>
      <c r="E339" t="inlineStr">
        <is>
          <t>ÖSTHAMMAR</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36873-2022</t>
        </is>
      </c>
      <c r="B340" s="1" t="n">
        <v>44805.63708333333</v>
      </c>
      <c r="C340" s="1" t="n">
        <v>45941</v>
      </c>
      <c r="D340" t="inlineStr">
        <is>
          <t>UPPSALA LÄN</t>
        </is>
      </c>
      <c r="E340" t="inlineStr">
        <is>
          <t>ÖSTHAMMAR</t>
        </is>
      </c>
      <c r="G340" t="n">
        <v>2.5</v>
      </c>
      <c r="H340" t="n">
        <v>0</v>
      </c>
      <c r="I340" t="n">
        <v>0</v>
      </c>
      <c r="J340" t="n">
        <v>0</v>
      </c>
      <c r="K340" t="n">
        <v>0</v>
      </c>
      <c r="L340" t="n">
        <v>0</v>
      </c>
      <c r="M340" t="n">
        <v>0</v>
      </c>
      <c r="N340" t="n">
        <v>0</v>
      </c>
      <c r="O340" t="n">
        <v>0</v>
      </c>
      <c r="P340" t="n">
        <v>0</v>
      </c>
      <c r="Q340" t="n">
        <v>0</v>
      </c>
      <c r="R340" s="2" t="inlineStr"/>
    </row>
    <row r="341" ht="15" customHeight="1">
      <c r="A341" t="inlineStr">
        <is>
          <t>A 25252-2024</t>
        </is>
      </c>
      <c r="B341" s="1" t="n">
        <v>45462</v>
      </c>
      <c r="C341" s="1" t="n">
        <v>45941</v>
      </c>
      <c r="D341" t="inlineStr">
        <is>
          <t>UPPSALA LÄN</t>
        </is>
      </c>
      <c r="E341" t="inlineStr">
        <is>
          <t>ÖSTHAMMAR</t>
        </is>
      </c>
      <c r="G341" t="n">
        <v>4.3</v>
      </c>
      <c r="H341" t="n">
        <v>0</v>
      </c>
      <c r="I341" t="n">
        <v>0</v>
      </c>
      <c r="J341" t="n">
        <v>0</v>
      </c>
      <c r="K341" t="n">
        <v>0</v>
      </c>
      <c r="L341" t="n">
        <v>0</v>
      </c>
      <c r="M341" t="n">
        <v>0</v>
      </c>
      <c r="N341" t="n">
        <v>0</v>
      </c>
      <c r="O341" t="n">
        <v>0</v>
      </c>
      <c r="P341" t="n">
        <v>0</v>
      </c>
      <c r="Q341" t="n">
        <v>0</v>
      </c>
      <c r="R341" s="2" t="inlineStr"/>
    </row>
    <row r="342" ht="15" customHeight="1">
      <c r="A342" t="inlineStr">
        <is>
          <t>A 53733-2023</t>
        </is>
      </c>
      <c r="B342" s="1" t="n">
        <v>45230.76862268519</v>
      </c>
      <c r="C342" s="1" t="n">
        <v>45941</v>
      </c>
      <c r="D342" t="inlineStr">
        <is>
          <t>UPPSALA LÄN</t>
        </is>
      </c>
      <c r="E342" t="inlineStr">
        <is>
          <t>ÖSTHAMMAR</t>
        </is>
      </c>
      <c r="G342" t="n">
        <v>1.1</v>
      </c>
      <c r="H342" t="n">
        <v>0</v>
      </c>
      <c r="I342" t="n">
        <v>0</v>
      </c>
      <c r="J342" t="n">
        <v>0</v>
      </c>
      <c r="K342" t="n">
        <v>0</v>
      </c>
      <c r="L342" t="n">
        <v>0</v>
      </c>
      <c r="M342" t="n">
        <v>0</v>
      </c>
      <c r="N342" t="n">
        <v>0</v>
      </c>
      <c r="O342" t="n">
        <v>0</v>
      </c>
      <c r="P342" t="n">
        <v>0</v>
      </c>
      <c r="Q342" t="n">
        <v>0</v>
      </c>
      <c r="R342" s="2" t="inlineStr"/>
    </row>
    <row r="343" ht="15" customHeight="1">
      <c r="A343" t="inlineStr">
        <is>
          <t>A 53735-2023</t>
        </is>
      </c>
      <c r="B343" s="1" t="n">
        <v>45230.77258101852</v>
      </c>
      <c r="C343" s="1" t="n">
        <v>45941</v>
      </c>
      <c r="D343" t="inlineStr">
        <is>
          <t>UPPSALA LÄN</t>
        </is>
      </c>
      <c r="E343" t="inlineStr">
        <is>
          <t>ÖSTHAMMAR</t>
        </is>
      </c>
      <c r="G343" t="n">
        <v>1.1</v>
      </c>
      <c r="H343" t="n">
        <v>0</v>
      </c>
      <c r="I343" t="n">
        <v>0</v>
      </c>
      <c r="J343" t="n">
        <v>0</v>
      </c>
      <c r="K343" t="n">
        <v>0</v>
      </c>
      <c r="L343" t="n">
        <v>0</v>
      </c>
      <c r="M343" t="n">
        <v>0</v>
      </c>
      <c r="N343" t="n">
        <v>0</v>
      </c>
      <c r="O343" t="n">
        <v>0</v>
      </c>
      <c r="P343" t="n">
        <v>0</v>
      </c>
      <c r="Q343" t="n">
        <v>0</v>
      </c>
      <c r="R343" s="2" t="inlineStr"/>
    </row>
    <row r="344" ht="15" customHeight="1">
      <c r="A344" t="inlineStr">
        <is>
          <t>A 30503-2025</t>
        </is>
      </c>
      <c r="B344" s="1" t="n">
        <v>45830.8500462963</v>
      </c>
      <c r="C344" s="1" t="n">
        <v>45941</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56382-2022</t>
        </is>
      </c>
      <c r="B345" s="1" t="n">
        <v>44890.75795138889</v>
      </c>
      <c r="C345" s="1" t="n">
        <v>45941</v>
      </c>
      <c r="D345" t="inlineStr">
        <is>
          <t>UPPSALA LÄN</t>
        </is>
      </c>
      <c r="E345" t="inlineStr">
        <is>
          <t>ÖSTHAMMAR</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5877-2023</t>
        </is>
      </c>
      <c r="B346" s="1" t="n">
        <v>44963.62001157407</v>
      </c>
      <c r="C346" s="1" t="n">
        <v>45941</v>
      </c>
      <c r="D346" t="inlineStr">
        <is>
          <t>UPPSALA LÄN</t>
        </is>
      </c>
      <c r="E346" t="inlineStr">
        <is>
          <t>ÖSTHAMMAR</t>
        </is>
      </c>
      <c r="G346" t="n">
        <v>0.7</v>
      </c>
      <c r="H346" t="n">
        <v>0</v>
      </c>
      <c r="I346" t="n">
        <v>0</v>
      </c>
      <c r="J346" t="n">
        <v>0</v>
      </c>
      <c r="K346" t="n">
        <v>0</v>
      </c>
      <c r="L346" t="n">
        <v>0</v>
      </c>
      <c r="M346" t="n">
        <v>0</v>
      </c>
      <c r="N346" t="n">
        <v>0</v>
      </c>
      <c r="O346" t="n">
        <v>0</v>
      </c>
      <c r="P346" t="n">
        <v>0</v>
      </c>
      <c r="Q346" t="n">
        <v>0</v>
      </c>
      <c r="R346" s="2" t="inlineStr"/>
    </row>
    <row r="347" ht="15" customHeight="1">
      <c r="A347" t="inlineStr">
        <is>
          <t>A 25938-2024</t>
        </is>
      </c>
      <c r="B347" s="1" t="n">
        <v>45467.63127314814</v>
      </c>
      <c r="C347" s="1" t="n">
        <v>45941</v>
      </c>
      <c r="D347" t="inlineStr">
        <is>
          <t>UPPSALA LÄN</t>
        </is>
      </c>
      <c r="E347" t="inlineStr">
        <is>
          <t>ÖSTHAMMAR</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33552-2024</t>
        </is>
      </c>
      <c r="B348" s="1" t="n">
        <v>45519</v>
      </c>
      <c r="C348" s="1" t="n">
        <v>45941</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33553-2024</t>
        </is>
      </c>
      <c r="B349" s="1" t="n">
        <v>45519</v>
      </c>
      <c r="C349" s="1" t="n">
        <v>45941</v>
      </c>
      <c r="D349" t="inlineStr">
        <is>
          <t>UPPSALA LÄN</t>
        </is>
      </c>
      <c r="E349" t="inlineStr">
        <is>
          <t>ÖSTHAMMAR</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21522-2022</t>
        </is>
      </c>
      <c r="B350" s="1" t="n">
        <v>44706</v>
      </c>
      <c r="C350" s="1" t="n">
        <v>45941</v>
      </c>
      <c r="D350" t="inlineStr">
        <is>
          <t>UPPSALA LÄN</t>
        </is>
      </c>
      <c r="E350" t="inlineStr">
        <is>
          <t>ÖSTHAMMAR</t>
        </is>
      </c>
      <c r="G350" t="n">
        <v>1.8</v>
      </c>
      <c r="H350" t="n">
        <v>0</v>
      </c>
      <c r="I350" t="n">
        <v>0</v>
      </c>
      <c r="J350" t="n">
        <v>0</v>
      </c>
      <c r="K350" t="n">
        <v>0</v>
      </c>
      <c r="L350" t="n">
        <v>0</v>
      </c>
      <c r="M350" t="n">
        <v>0</v>
      </c>
      <c r="N350" t="n">
        <v>0</v>
      </c>
      <c r="O350" t="n">
        <v>0</v>
      </c>
      <c r="P350" t="n">
        <v>0</v>
      </c>
      <c r="Q350" t="n">
        <v>0</v>
      </c>
      <c r="R350" s="2" t="inlineStr"/>
    </row>
    <row r="351" ht="15" customHeight="1">
      <c r="A351" t="inlineStr">
        <is>
          <t>A 14187-2022</t>
        </is>
      </c>
      <c r="B351" s="1" t="n">
        <v>44651.5625</v>
      </c>
      <c r="C351" s="1" t="n">
        <v>45941</v>
      </c>
      <c r="D351" t="inlineStr">
        <is>
          <t>UPPSALA LÄN</t>
        </is>
      </c>
      <c r="E351" t="inlineStr">
        <is>
          <t>ÖSTHAMMAR</t>
        </is>
      </c>
      <c r="F351" t="inlineStr">
        <is>
          <t>Övriga Aktiebolag</t>
        </is>
      </c>
      <c r="G351" t="n">
        <v>14.1</v>
      </c>
      <c r="H351" t="n">
        <v>0</v>
      </c>
      <c r="I351" t="n">
        <v>0</v>
      </c>
      <c r="J351" t="n">
        <v>0</v>
      </c>
      <c r="K351" t="n">
        <v>0</v>
      </c>
      <c r="L351" t="n">
        <v>0</v>
      </c>
      <c r="M351" t="n">
        <v>0</v>
      </c>
      <c r="N351" t="n">
        <v>0</v>
      </c>
      <c r="O351" t="n">
        <v>0</v>
      </c>
      <c r="P351" t="n">
        <v>0</v>
      </c>
      <c r="Q351" t="n">
        <v>0</v>
      </c>
      <c r="R351" s="2" t="inlineStr"/>
    </row>
    <row r="352" ht="15" customHeight="1">
      <c r="A352" t="inlineStr">
        <is>
          <t>A 7997-2022</t>
        </is>
      </c>
      <c r="B352" s="1" t="n">
        <v>44609</v>
      </c>
      <c r="C352" s="1" t="n">
        <v>45941</v>
      </c>
      <c r="D352" t="inlineStr">
        <is>
          <t>UPPSALA LÄN</t>
        </is>
      </c>
      <c r="E352" t="inlineStr">
        <is>
          <t>ÖSTHAMMAR</t>
        </is>
      </c>
      <c r="G352" t="n">
        <v>1.8</v>
      </c>
      <c r="H352" t="n">
        <v>0</v>
      </c>
      <c r="I352" t="n">
        <v>0</v>
      </c>
      <c r="J352" t="n">
        <v>0</v>
      </c>
      <c r="K352" t="n">
        <v>0</v>
      </c>
      <c r="L352" t="n">
        <v>0</v>
      </c>
      <c r="M352" t="n">
        <v>0</v>
      </c>
      <c r="N352" t="n">
        <v>0</v>
      </c>
      <c r="O352" t="n">
        <v>0</v>
      </c>
      <c r="P352" t="n">
        <v>0</v>
      </c>
      <c r="Q352" t="n">
        <v>0</v>
      </c>
      <c r="R352" s="2" t="inlineStr"/>
    </row>
    <row r="353" ht="15" customHeight="1">
      <c r="A353" t="inlineStr">
        <is>
          <t>A 4676-2025</t>
        </is>
      </c>
      <c r="B353" s="1" t="n">
        <v>45687.8313425926</v>
      </c>
      <c r="C353" s="1" t="n">
        <v>45941</v>
      </c>
      <c r="D353" t="inlineStr">
        <is>
          <t>UPPSALA LÄN</t>
        </is>
      </c>
      <c r="E353" t="inlineStr">
        <is>
          <t>ÖSTHAMMAR</t>
        </is>
      </c>
      <c r="G353" t="n">
        <v>3.7</v>
      </c>
      <c r="H353" t="n">
        <v>0</v>
      </c>
      <c r="I353" t="n">
        <v>0</v>
      </c>
      <c r="J353" t="n">
        <v>0</v>
      </c>
      <c r="K353" t="n">
        <v>0</v>
      </c>
      <c r="L353" t="n">
        <v>0</v>
      </c>
      <c r="M353" t="n">
        <v>0</v>
      </c>
      <c r="N353" t="n">
        <v>0</v>
      </c>
      <c r="O353" t="n">
        <v>0</v>
      </c>
      <c r="P353" t="n">
        <v>0</v>
      </c>
      <c r="Q353" t="n">
        <v>0</v>
      </c>
      <c r="R353" s="2" t="inlineStr"/>
    </row>
    <row r="354" ht="15" customHeight="1">
      <c r="A354" t="inlineStr">
        <is>
          <t>A 30610-2025</t>
        </is>
      </c>
      <c r="B354" s="1" t="n">
        <v>45831.45965277778</v>
      </c>
      <c r="C354" s="1" t="n">
        <v>45941</v>
      </c>
      <c r="D354" t="inlineStr">
        <is>
          <t>UPPSALA LÄN</t>
        </is>
      </c>
      <c r="E354" t="inlineStr">
        <is>
          <t>ÖSTHAMMAR</t>
        </is>
      </c>
      <c r="G354" t="n">
        <v>0.2</v>
      </c>
      <c r="H354" t="n">
        <v>0</v>
      </c>
      <c r="I354" t="n">
        <v>0</v>
      </c>
      <c r="J354" t="n">
        <v>0</v>
      </c>
      <c r="K354" t="n">
        <v>0</v>
      </c>
      <c r="L354" t="n">
        <v>0</v>
      </c>
      <c r="M354" t="n">
        <v>0</v>
      </c>
      <c r="N354" t="n">
        <v>0</v>
      </c>
      <c r="O354" t="n">
        <v>0</v>
      </c>
      <c r="P354" t="n">
        <v>0</v>
      </c>
      <c r="Q354" t="n">
        <v>0</v>
      </c>
      <c r="R354" s="2" t="inlineStr"/>
    </row>
    <row r="355" ht="15" customHeight="1">
      <c r="A355" t="inlineStr">
        <is>
          <t>A 31579-2025</t>
        </is>
      </c>
      <c r="B355" s="1" t="n">
        <v>45833.68211805556</v>
      </c>
      <c r="C355" s="1" t="n">
        <v>45941</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31360-2025</t>
        </is>
      </c>
      <c r="B356" s="1" t="n">
        <v>45833.43527777777</v>
      </c>
      <c r="C356" s="1" t="n">
        <v>45941</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5429-2023</t>
        </is>
      </c>
      <c r="B357" s="1" t="n">
        <v>44959.83037037037</v>
      </c>
      <c r="C357" s="1" t="n">
        <v>45941</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6153-2022</t>
        </is>
      </c>
      <c r="B358" s="1" t="n">
        <v>44599</v>
      </c>
      <c r="C358" s="1" t="n">
        <v>45941</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55837-2023</t>
        </is>
      </c>
      <c r="B359" s="1" t="n">
        <v>45239</v>
      </c>
      <c r="C359" s="1" t="n">
        <v>45941</v>
      </c>
      <c r="D359" t="inlineStr">
        <is>
          <t>UPPSALA LÄN</t>
        </is>
      </c>
      <c r="E359" t="inlineStr">
        <is>
          <t>ÖSTHAMMAR</t>
        </is>
      </c>
      <c r="G359" t="n">
        <v>0.5</v>
      </c>
      <c r="H359" t="n">
        <v>0</v>
      </c>
      <c r="I359" t="n">
        <v>0</v>
      </c>
      <c r="J359" t="n">
        <v>0</v>
      </c>
      <c r="K359" t="n">
        <v>0</v>
      </c>
      <c r="L359" t="n">
        <v>0</v>
      </c>
      <c r="M359" t="n">
        <v>0</v>
      </c>
      <c r="N359" t="n">
        <v>0</v>
      </c>
      <c r="O359" t="n">
        <v>0</v>
      </c>
      <c r="P359" t="n">
        <v>0</v>
      </c>
      <c r="Q359" t="n">
        <v>0</v>
      </c>
      <c r="R359" s="2" t="inlineStr"/>
    </row>
    <row r="360" ht="15" customHeight="1">
      <c r="A360" t="inlineStr">
        <is>
          <t>A 1800-2023</t>
        </is>
      </c>
      <c r="B360" s="1" t="n">
        <v>44938</v>
      </c>
      <c r="C360" s="1" t="n">
        <v>45941</v>
      </c>
      <c r="D360" t="inlineStr">
        <is>
          <t>UPPSALA LÄN</t>
        </is>
      </c>
      <c r="E360" t="inlineStr">
        <is>
          <t>ÖSTHAMMAR</t>
        </is>
      </c>
      <c r="G360" t="n">
        <v>1.4</v>
      </c>
      <c r="H360" t="n">
        <v>0</v>
      </c>
      <c r="I360" t="n">
        <v>0</v>
      </c>
      <c r="J360" t="n">
        <v>0</v>
      </c>
      <c r="K360" t="n">
        <v>0</v>
      </c>
      <c r="L360" t="n">
        <v>0</v>
      </c>
      <c r="M360" t="n">
        <v>0</v>
      </c>
      <c r="N360" t="n">
        <v>0</v>
      </c>
      <c r="O360" t="n">
        <v>0</v>
      </c>
      <c r="P360" t="n">
        <v>0</v>
      </c>
      <c r="Q360" t="n">
        <v>0</v>
      </c>
      <c r="R360" s="2" t="inlineStr"/>
    </row>
    <row r="361" ht="15" customHeight="1">
      <c r="A361" t="inlineStr">
        <is>
          <t>A 31249-2025</t>
        </is>
      </c>
      <c r="B361" s="1" t="n">
        <v>45832.89476851852</v>
      </c>
      <c r="C361" s="1" t="n">
        <v>45941</v>
      </c>
      <c r="D361" t="inlineStr">
        <is>
          <t>UPPSALA LÄN</t>
        </is>
      </c>
      <c r="E361" t="inlineStr">
        <is>
          <t>ÖSTHAMMAR</t>
        </is>
      </c>
      <c r="G361" t="n">
        <v>0.6</v>
      </c>
      <c r="H361" t="n">
        <v>0</v>
      </c>
      <c r="I361" t="n">
        <v>0</v>
      </c>
      <c r="J361" t="n">
        <v>0</v>
      </c>
      <c r="K361" t="n">
        <v>0</v>
      </c>
      <c r="L361" t="n">
        <v>0</v>
      </c>
      <c r="M361" t="n">
        <v>0</v>
      </c>
      <c r="N361" t="n">
        <v>0</v>
      </c>
      <c r="O361" t="n">
        <v>0</v>
      </c>
      <c r="P361" t="n">
        <v>0</v>
      </c>
      <c r="Q361" t="n">
        <v>0</v>
      </c>
      <c r="R361" s="2" t="inlineStr"/>
    </row>
    <row r="362" ht="15" customHeight="1">
      <c r="A362" t="inlineStr">
        <is>
          <t>A 31896-2025</t>
        </is>
      </c>
      <c r="B362" s="1" t="n">
        <v>45834.67556712963</v>
      </c>
      <c r="C362" s="1" t="n">
        <v>45941</v>
      </c>
      <c r="D362" t="inlineStr">
        <is>
          <t>UPPSALA LÄN</t>
        </is>
      </c>
      <c r="E362" t="inlineStr">
        <is>
          <t>ÖSTHAMMAR</t>
        </is>
      </c>
      <c r="G362" t="n">
        <v>4.1</v>
      </c>
      <c r="H362" t="n">
        <v>0</v>
      </c>
      <c r="I362" t="n">
        <v>0</v>
      </c>
      <c r="J362" t="n">
        <v>0</v>
      </c>
      <c r="K362" t="n">
        <v>0</v>
      </c>
      <c r="L362" t="n">
        <v>0</v>
      </c>
      <c r="M362" t="n">
        <v>0</v>
      </c>
      <c r="N362" t="n">
        <v>0</v>
      </c>
      <c r="O362" t="n">
        <v>0</v>
      </c>
      <c r="P362" t="n">
        <v>0</v>
      </c>
      <c r="Q362" t="n">
        <v>0</v>
      </c>
      <c r="R362" s="2" t="inlineStr"/>
    </row>
    <row r="363" ht="15" customHeight="1">
      <c r="A363" t="inlineStr">
        <is>
          <t>A 47341-2023</t>
        </is>
      </c>
      <c r="B363" s="1" t="n">
        <v>45202.55721064815</v>
      </c>
      <c r="C363" s="1" t="n">
        <v>45941</v>
      </c>
      <c r="D363" t="inlineStr">
        <is>
          <t>UPPSALA LÄN</t>
        </is>
      </c>
      <c r="E363" t="inlineStr">
        <is>
          <t>ÖSTHAMMAR</t>
        </is>
      </c>
      <c r="G363" t="n">
        <v>4.9</v>
      </c>
      <c r="H363" t="n">
        <v>0</v>
      </c>
      <c r="I363" t="n">
        <v>0</v>
      </c>
      <c r="J363" t="n">
        <v>0</v>
      </c>
      <c r="K363" t="n">
        <v>0</v>
      </c>
      <c r="L363" t="n">
        <v>0</v>
      </c>
      <c r="M363" t="n">
        <v>0</v>
      </c>
      <c r="N363" t="n">
        <v>0</v>
      </c>
      <c r="O363" t="n">
        <v>0</v>
      </c>
      <c r="P363" t="n">
        <v>0</v>
      </c>
      <c r="Q363" t="n">
        <v>0</v>
      </c>
      <c r="R363" s="2" t="inlineStr"/>
    </row>
    <row r="364" ht="15" customHeight="1">
      <c r="A364" t="inlineStr">
        <is>
          <t>A 31977-2025</t>
        </is>
      </c>
      <c r="B364" s="1" t="n">
        <v>45835.3554050926</v>
      </c>
      <c r="C364" s="1" t="n">
        <v>45941</v>
      </c>
      <c r="D364" t="inlineStr">
        <is>
          <t>UPPSALA LÄN</t>
        </is>
      </c>
      <c r="E364" t="inlineStr">
        <is>
          <t>ÖSTHAMMAR</t>
        </is>
      </c>
      <c r="F364" t="inlineStr">
        <is>
          <t>Övriga Aktiebolag</t>
        </is>
      </c>
      <c r="G364" t="n">
        <v>35.3</v>
      </c>
      <c r="H364" t="n">
        <v>0</v>
      </c>
      <c r="I364" t="n">
        <v>0</v>
      </c>
      <c r="J364" t="n">
        <v>0</v>
      </c>
      <c r="K364" t="n">
        <v>0</v>
      </c>
      <c r="L364" t="n">
        <v>0</v>
      </c>
      <c r="M364" t="n">
        <v>0</v>
      </c>
      <c r="N364" t="n">
        <v>0</v>
      </c>
      <c r="O364" t="n">
        <v>0</v>
      </c>
      <c r="P364" t="n">
        <v>0</v>
      </c>
      <c r="Q364" t="n">
        <v>0</v>
      </c>
      <c r="R364" s="2" t="inlineStr"/>
    </row>
    <row r="365" ht="15" customHeight="1">
      <c r="A365" t="inlineStr">
        <is>
          <t>A 31956-2025</t>
        </is>
      </c>
      <c r="B365" s="1" t="n">
        <v>45835.34184027778</v>
      </c>
      <c r="C365" s="1" t="n">
        <v>45941</v>
      </c>
      <c r="D365" t="inlineStr">
        <is>
          <t>UPPSALA LÄN</t>
        </is>
      </c>
      <c r="E365" t="inlineStr">
        <is>
          <t>ÖSTHAMMAR</t>
        </is>
      </c>
      <c r="F365" t="inlineStr">
        <is>
          <t>Övriga Aktiebolag</t>
        </is>
      </c>
      <c r="G365" t="n">
        <v>4.2</v>
      </c>
      <c r="H365" t="n">
        <v>0</v>
      </c>
      <c r="I365" t="n">
        <v>0</v>
      </c>
      <c r="J365" t="n">
        <v>0</v>
      </c>
      <c r="K365" t="n">
        <v>0</v>
      </c>
      <c r="L365" t="n">
        <v>0</v>
      </c>
      <c r="M365" t="n">
        <v>0</v>
      </c>
      <c r="N365" t="n">
        <v>0</v>
      </c>
      <c r="O365" t="n">
        <v>0</v>
      </c>
      <c r="P365" t="n">
        <v>0</v>
      </c>
      <c r="Q365" t="n">
        <v>0</v>
      </c>
      <c r="R365" s="2" t="inlineStr"/>
    </row>
    <row r="366" ht="15" customHeight="1">
      <c r="A366" t="inlineStr">
        <is>
          <t>A 61216-2022</t>
        </is>
      </c>
      <c r="B366" s="1" t="n">
        <v>44915.55423611111</v>
      </c>
      <c r="C366" s="1" t="n">
        <v>45941</v>
      </c>
      <c r="D366" t="inlineStr">
        <is>
          <t>UPPSALA LÄN</t>
        </is>
      </c>
      <c r="E366" t="inlineStr">
        <is>
          <t>ÖSTHAMMAR</t>
        </is>
      </c>
      <c r="G366" t="n">
        <v>2.9</v>
      </c>
      <c r="H366" t="n">
        <v>0</v>
      </c>
      <c r="I366" t="n">
        <v>0</v>
      </c>
      <c r="J366" t="n">
        <v>0</v>
      </c>
      <c r="K366" t="n">
        <v>0</v>
      </c>
      <c r="L366" t="n">
        <v>0</v>
      </c>
      <c r="M366" t="n">
        <v>0</v>
      </c>
      <c r="N366" t="n">
        <v>0</v>
      </c>
      <c r="O366" t="n">
        <v>0</v>
      </c>
      <c r="P366" t="n">
        <v>0</v>
      </c>
      <c r="Q366" t="n">
        <v>0</v>
      </c>
      <c r="R366" s="2" t="inlineStr"/>
    </row>
    <row r="367" ht="15" customHeight="1">
      <c r="A367" t="inlineStr">
        <is>
          <t>A 70008-2021</t>
        </is>
      </c>
      <c r="B367" s="1" t="n">
        <v>44533.44887731481</v>
      </c>
      <c r="C367" s="1" t="n">
        <v>45941</v>
      </c>
      <c r="D367" t="inlineStr">
        <is>
          <t>UPPSALA LÄN</t>
        </is>
      </c>
      <c r="E367" t="inlineStr">
        <is>
          <t>ÖSTHAMMAR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13093-2022</t>
        </is>
      </c>
      <c r="B368" s="1" t="n">
        <v>44643.93269675926</v>
      </c>
      <c r="C368" s="1" t="n">
        <v>45941</v>
      </c>
      <c r="D368" t="inlineStr">
        <is>
          <t>UPPSALA LÄN</t>
        </is>
      </c>
      <c r="E368" t="inlineStr">
        <is>
          <t>ÖSTHAMMAR</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33048-2025</t>
        </is>
      </c>
      <c r="B369" s="1" t="n">
        <v>45840.41451388889</v>
      </c>
      <c r="C369" s="1" t="n">
        <v>45941</v>
      </c>
      <c r="D369" t="inlineStr">
        <is>
          <t>UPPSALA LÄN</t>
        </is>
      </c>
      <c r="E369" t="inlineStr">
        <is>
          <t>ÖSTHAMMAR</t>
        </is>
      </c>
      <c r="G369" t="n">
        <v>1.8</v>
      </c>
      <c r="H369" t="n">
        <v>0</v>
      </c>
      <c r="I369" t="n">
        <v>0</v>
      </c>
      <c r="J369" t="n">
        <v>0</v>
      </c>
      <c r="K369" t="n">
        <v>0</v>
      </c>
      <c r="L369" t="n">
        <v>0</v>
      </c>
      <c r="M369" t="n">
        <v>0</v>
      </c>
      <c r="N369" t="n">
        <v>0</v>
      </c>
      <c r="O369" t="n">
        <v>0</v>
      </c>
      <c r="P369" t="n">
        <v>0</v>
      </c>
      <c r="Q369" t="n">
        <v>0</v>
      </c>
      <c r="R369" s="2" t="inlineStr"/>
    </row>
    <row r="370" ht="15" customHeight="1">
      <c r="A370" t="inlineStr">
        <is>
          <t>A 27476-2025</t>
        </is>
      </c>
      <c r="B370" s="1" t="n">
        <v>45813.37517361111</v>
      </c>
      <c r="C370" s="1" t="n">
        <v>45941</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33271-2025</t>
        </is>
      </c>
      <c r="B371" s="1" t="n">
        <v>45840.68381944444</v>
      </c>
      <c r="C371" s="1" t="n">
        <v>45941</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45795-2023</t>
        </is>
      </c>
      <c r="B372" s="1" t="n">
        <v>45195</v>
      </c>
      <c r="C372" s="1" t="n">
        <v>45941</v>
      </c>
      <c r="D372" t="inlineStr">
        <is>
          <t>UPPSALA LÄN</t>
        </is>
      </c>
      <c r="E372" t="inlineStr">
        <is>
          <t>ÖSTHAMMAR</t>
        </is>
      </c>
      <c r="G372" t="n">
        <v>4</v>
      </c>
      <c r="H372" t="n">
        <v>0</v>
      </c>
      <c r="I372" t="n">
        <v>0</v>
      </c>
      <c r="J372" t="n">
        <v>0</v>
      </c>
      <c r="K372" t="n">
        <v>0</v>
      </c>
      <c r="L372" t="n">
        <v>0</v>
      </c>
      <c r="M372" t="n">
        <v>0</v>
      </c>
      <c r="N372" t="n">
        <v>0</v>
      </c>
      <c r="O372" t="n">
        <v>0</v>
      </c>
      <c r="P372" t="n">
        <v>0</v>
      </c>
      <c r="Q372" t="n">
        <v>0</v>
      </c>
      <c r="R372" s="2" t="inlineStr"/>
    </row>
    <row r="373" ht="15" customHeight="1">
      <c r="A373" t="inlineStr">
        <is>
          <t>A 63637-2020</t>
        </is>
      </c>
      <c r="B373" s="1" t="n">
        <v>44162</v>
      </c>
      <c r="C373" s="1" t="n">
        <v>45941</v>
      </c>
      <c r="D373" t="inlineStr">
        <is>
          <t>UPPSALA LÄN</t>
        </is>
      </c>
      <c r="E373" t="inlineStr">
        <is>
          <t>ÖSTHAMMAR</t>
        </is>
      </c>
      <c r="G373" t="n">
        <v>4</v>
      </c>
      <c r="H373" t="n">
        <v>0</v>
      </c>
      <c r="I373" t="n">
        <v>0</v>
      </c>
      <c r="J373" t="n">
        <v>0</v>
      </c>
      <c r="K373" t="n">
        <v>0</v>
      </c>
      <c r="L373" t="n">
        <v>0</v>
      </c>
      <c r="M373" t="n">
        <v>0</v>
      </c>
      <c r="N373" t="n">
        <v>0</v>
      </c>
      <c r="O373" t="n">
        <v>0</v>
      </c>
      <c r="P373" t="n">
        <v>0</v>
      </c>
      <c r="Q373" t="n">
        <v>0</v>
      </c>
      <c r="R373" s="2" t="inlineStr"/>
    </row>
    <row r="374" ht="15" customHeight="1">
      <c r="A374" t="inlineStr">
        <is>
          <t>A 32718-2025</t>
        </is>
      </c>
      <c r="B374" s="1" t="n">
        <v>45839.37740740741</v>
      </c>
      <c r="C374" s="1" t="n">
        <v>45941</v>
      </c>
      <c r="D374" t="inlineStr">
        <is>
          <t>UPPSALA LÄN</t>
        </is>
      </c>
      <c r="E374" t="inlineStr">
        <is>
          <t>ÖSTHAMMAR</t>
        </is>
      </c>
      <c r="G374" t="n">
        <v>10.4</v>
      </c>
      <c r="H374" t="n">
        <v>0</v>
      </c>
      <c r="I374" t="n">
        <v>0</v>
      </c>
      <c r="J374" t="n">
        <v>0</v>
      </c>
      <c r="K374" t="n">
        <v>0</v>
      </c>
      <c r="L374" t="n">
        <v>0</v>
      </c>
      <c r="M374" t="n">
        <v>0</v>
      </c>
      <c r="N374" t="n">
        <v>0</v>
      </c>
      <c r="O374" t="n">
        <v>0</v>
      </c>
      <c r="P374" t="n">
        <v>0</v>
      </c>
      <c r="Q374" t="n">
        <v>0</v>
      </c>
      <c r="R374" s="2" t="inlineStr"/>
    </row>
    <row r="375" ht="15" customHeight="1">
      <c r="A375" t="inlineStr">
        <is>
          <t>A 2733-2023</t>
        </is>
      </c>
      <c r="B375" s="1" t="n">
        <v>44943</v>
      </c>
      <c r="C375" s="1" t="n">
        <v>45941</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33529-2025</t>
        </is>
      </c>
      <c r="B376" s="1" t="n">
        <v>45841.55199074074</v>
      </c>
      <c r="C376" s="1" t="n">
        <v>45941</v>
      </c>
      <c r="D376" t="inlineStr">
        <is>
          <t>UPPSALA LÄN</t>
        </is>
      </c>
      <c r="E376" t="inlineStr">
        <is>
          <t>ÖSTHAMMAR</t>
        </is>
      </c>
      <c r="F376" t="inlineStr">
        <is>
          <t>Bergvik skog öst AB</t>
        </is>
      </c>
      <c r="G376" t="n">
        <v>11.8</v>
      </c>
      <c r="H376" t="n">
        <v>0</v>
      </c>
      <c r="I376" t="n">
        <v>0</v>
      </c>
      <c r="J376" t="n">
        <v>0</v>
      </c>
      <c r="K376" t="n">
        <v>0</v>
      </c>
      <c r="L376" t="n">
        <v>0</v>
      </c>
      <c r="M376" t="n">
        <v>0</v>
      </c>
      <c r="N376" t="n">
        <v>0</v>
      </c>
      <c r="O376" t="n">
        <v>0</v>
      </c>
      <c r="P376" t="n">
        <v>0</v>
      </c>
      <c r="Q376" t="n">
        <v>0</v>
      </c>
      <c r="R376" s="2" t="inlineStr"/>
    </row>
    <row r="377" ht="15" customHeight="1">
      <c r="A377" t="inlineStr">
        <is>
          <t>A 38600-2023</t>
        </is>
      </c>
      <c r="B377" s="1" t="n">
        <v>45162</v>
      </c>
      <c r="C377" s="1" t="n">
        <v>45941</v>
      </c>
      <c r="D377" t="inlineStr">
        <is>
          <t>UPPSALA LÄN</t>
        </is>
      </c>
      <c r="E377" t="inlineStr">
        <is>
          <t>ÖSTHAMMAR</t>
        </is>
      </c>
      <c r="F377" t="inlineStr">
        <is>
          <t>Bergvik skog väst AB</t>
        </is>
      </c>
      <c r="G377" t="n">
        <v>0.1</v>
      </c>
      <c r="H377" t="n">
        <v>0</v>
      </c>
      <c r="I377" t="n">
        <v>0</v>
      </c>
      <c r="J377" t="n">
        <v>0</v>
      </c>
      <c r="K377" t="n">
        <v>0</v>
      </c>
      <c r="L377" t="n">
        <v>0</v>
      </c>
      <c r="M377" t="n">
        <v>0</v>
      </c>
      <c r="N377" t="n">
        <v>0</v>
      </c>
      <c r="O377" t="n">
        <v>0</v>
      </c>
      <c r="P377" t="n">
        <v>0</v>
      </c>
      <c r="Q377" t="n">
        <v>0</v>
      </c>
      <c r="R377" s="2" t="inlineStr"/>
    </row>
    <row r="378" ht="15" customHeight="1">
      <c r="A378" t="inlineStr">
        <is>
          <t>A 8624-2025</t>
        </is>
      </c>
      <c r="B378" s="1" t="n">
        <v>45711.52333333333</v>
      </c>
      <c r="C378" s="1" t="n">
        <v>45941</v>
      </c>
      <c r="D378" t="inlineStr">
        <is>
          <t>UPPSALA LÄN</t>
        </is>
      </c>
      <c r="E378" t="inlineStr">
        <is>
          <t>ÖSTHAMMAR</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33927-2025</t>
        </is>
      </c>
      <c r="B379" s="1" t="n">
        <v>45842.62363425926</v>
      </c>
      <c r="C379" s="1" t="n">
        <v>45941</v>
      </c>
      <c r="D379" t="inlineStr">
        <is>
          <t>UPPSALA LÄN</t>
        </is>
      </c>
      <c r="E379" t="inlineStr">
        <is>
          <t>ÖSTHAMMAR</t>
        </is>
      </c>
      <c r="G379" t="n">
        <v>3.5</v>
      </c>
      <c r="H379" t="n">
        <v>0</v>
      </c>
      <c r="I379" t="n">
        <v>0</v>
      </c>
      <c r="J379" t="n">
        <v>0</v>
      </c>
      <c r="K379" t="n">
        <v>0</v>
      </c>
      <c r="L379" t="n">
        <v>0</v>
      </c>
      <c r="M379" t="n">
        <v>0</v>
      </c>
      <c r="N379" t="n">
        <v>0</v>
      </c>
      <c r="O379" t="n">
        <v>0</v>
      </c>
      <c r="P379" t="n">
        <v>0</v>
      </c>
      <c r="Q379" t="n">
        <v>0</v>
      </c>
      <c r="R379" s="2" t="inlineStr"/>
    </row>
    <row r="380" ht="15" customHeight="1">
      <c r="A380" t="inlineStr">
        <is>
          <t>A 17644-2025</t>
        </is>
      </c>
      <c r="B380" s="1" t="n">
        <v>45758.32645833334</v>
      </c>
      <c r="C380" s="1" t="n">
        <v>45941</v>
      </c>
      <c r="D380" t="inlineStr">
        <is>
          <t>UPPSALA LÄN</t>
        </is>
      </c>
      <c r="E380" t="inlineStr">
        <is>
          <t>ÖSTHAMMAR</t>
        </is>
      </c>
      <c r="F380" t="inlineStr">
        <is>
          <t>Bergvik skog väst AB</t>
        </is>
      </c>
      <c r="G380" t="n">
        <v>6.1</v>
      </c>
      <c r="H380" t="n">
        <v>0</v>
      </c>
      <c r="I380" t="n">
        <v>0</v>
      </c>
      <c r="J380" t="n">
        <v>0</v>
      </c>
      <c r="K380" t="n">
        <v>0</v>
      </c>
      <c r="L380" t="n">
        <v>0</v>
      </c>
      <c r="M380" t="n">
        <v>0</v>
      </c>
      <c r="N380" t="n">
        <v>0</v>
      </c>
      <c r="O380" t="n">
        <v>0</v>
      </c>
      <c r="P380" t="n">
        <v>0</v>
      </c>
      <c r="Q380" t="n">
        <v>0</v>
      </c>
      <c r="R380" s="2" t="inlineStr"/>
    </row>
    <row r="381" ht="15" customHeight="1">
      <c r="A381" t="inlineStr">
        <is>
          <t>A 20385-2025</t>
        </is>
      </c>
      <c r="B381" s="1" t="n">
        <v>45775.44483796296</v>
      </c>
      <c r="C381" s="1" t="n">
        <v>45941</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53137-2020</t>
        </is>
      </c>
      <c r="B382" s="1" t="n">
        <v>44120</v>
      </c>
      <c r="C382" s="1" t="n">
        <v>45941</v>
      </c>
      <c r="D382" t="inlineStr">
        <is>
          <t>UPPSALA LÄN</t>
        </is>
      </c>
      <c r="E382" t="inlineStr">
        <is>
          <t>ÖSTHAMMAR</t>
        </is>
      </c>
      <c r="G382" t="n">
        <v>1.9</v>
      </c>
      <c r="H382" t="n">
        <v>0</v>
      </c>
      <c r="I382" t="n">
        <v>0</v>
      </c>
      <c r="J382" t="n">
        <v>0</v>
      </c>
      <c r="K382" t="n">
        <v>0</v>
      </c>
      <c r="L382" t="n">
        <v>0</v>
      </c>
      <c r="M382" t="n">
        <v>0</v>
      </c>
      <c r="N382" t="n">
        <v>0</v>
      </c>
      <c r="O382" t="n">
        <v>0</v>
      </c>
      <c r="P382" t="n">
        <v>0</v>
      </c>
      <c r="Q382" t="n">
        <v>0</v>
      </c>
      <c r="R382" s="2" t="inlineStr"/>
    </row>
    <row r="383" ht="15" customHeight="1">
      <c r="A383" t="inlineStr">
        <is>
          <t>A 56089-2020</t>
        </is>
      </c>
      <c r="B383" s="1" t="n">
        <v>44133</v>
      </c>
      <c r="C383" s="1" t="n">
        <v>45941</v>
      </c>
      <c r="D383" t="inlineStr">
        <is>
          <t>UPPSALA LÄN</t>
        </is>
      </c>
      <c r="E383" t="inlineStr">
        <is>
          <t>ÖSTHAMMAR</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12812-2024</t>
        </is>
      </c>
      <c r="B384" s="1" t="n">
        <v>45384.65465277778</v>
      </c>
      <c r="C384" s="1" t="n">
        <v>45941</v>
      </c>
      <c r="D384" t="inlineStr">
        <is>
          <t>UPPSALA LÄN</t>
        </is>
      </c>
      <c r="E384" t="inlineStr">
        <is>
          <t>ÖSTHAMMAR</t>
        </is>
      </c>
      <c r="G384" t="n">
        <v>0.4</v>
      </c>
      <c r="H384" t="n">
        <v>0</v>
      </c>
      <c r="I384" t="n">
        <v>0</v>
      </c>
      <c r="J384" t="n">
        <v>0</v>
      </c>
      <c r="K384" t="n">
        <v>0</v>
      </c>
      <c r="L384" t="n">
        <v>0</v>
      </c>
      <c r="M384" t="n">
        <v>0</v>
      </c>
      <c r="N384" t="n">
        <v>0</v>
      </c>
      <c r="O384" t="n">
        <v>0</v>
      </c>
      <c r="P384" t="n">
        <v>0</v>
      </c>
      <c r="Q384" t="n">
        <v>0</v>
      </c>
      <c r="R384" s="2" t="inlineStr"/>
    </row>
    <row r="385" ht="15" customHeight="1">
      <c r="A385" t="inlineStr">
        <is>
          <t>A 33973-2025</t>
        </is>
      </c>
      <c r="B385" s="1" t="n">
        <v>45842.98429398148</v>
      </c>
      <c r="C385" s="1" t="n">
        <v>45941</v>
      </c>
      <c r="D385" t="inlineStr">
        <is>
          <t>UPPSALA LÄN</t>
        </is>
      </c>
      <c r="E385" t="inlineStr">
        <is>
          <t>ÖSTHAMMAR</t>
        </is>
      </c>
      <c r="G385" t="n">
        <v>1.9</v>
      </c>
      <c r="H385" t="n">
        <v>0</v>
      </c>
      <c r="I385" t="n">
        <v>0</v>
      </c>
      <c r="J385" t="n">
        <v>0</v>
      </c>
      <c r="K385" t="n">
        <v>0</v>
      </c>
      <c r="L385" t="n">
        <v>0</v>
      </c>
      <c r="M385" t="n">
        <v>0</v>
      </c>
      <c r="N385" t="n">
        <v>0</v>
      </c>
      <c r="O385" t="n">
        <v>0</v>
      </c>
      <c r="P385" t="n">
        <v>0</v>
      </c>
      <c r="Q385" t="n">
        <v>0</v>
      </c>
      <c r="R385" s="2" t="inlineStr"/>
    </row>
    <row r="386" ht="15" customHeight="1">
      <c r="A386" t="inlineStr">
        <is>
          <t>A 33972-2025</t>
        </is>
      </c>
      <c r="B386" s="1" t="n">
        <v>45842.97236111111</v>
      </c>
      <c r="C386" s="1" t="n">
        <v>45941</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row>
    <row r="387" ht="15" customHeight="1">
      <c r="A387" t="inlineStr">
        <is>
          <t>A 26395-2025</t>
        </is>
      </c>
      <c r="B387" s="1" t="n">
        <v>45807</v>
      </c>
      <c r="C387" s="1" t="n">
        <v>45941</v>
      </c>
      <c r="D387" t="inlineStr">
        <is>
          <t>UPPSALA LÄN</t>
        </is>
      </c>
      <c r="E387" t="inlineStr">
        <is>
          <t>ÖSTHAMMAR</t>
        </is>
      </c>
      <c r="G387" t="n">
        <v>7</v>
      </c>
      <c r="H387" t="n">
        <v>0</v>
      </c>
      <c r="I387" t="n">
        <v>0</v>
      </c>
      <c r="J387" t="n">
        <v>0</v>
      </c>
      <c r="K387" t="n">
        <v>0</v>
      </c>
      <c r="L387" t="n">
        <v>0</v>
      </c>
      <c r="M387" t="n">
        <v>0</v>
      </c>
      <c r="N387" t="n">
        <v>0</v>
      </c>
      <c r="O387" t="n">
        <v>0</v>
      </c>
      <c r="P387" t="n">
        <v>0</v>
      </c>
      <c r="Q387" t="n">
        <v>0</v>
      </c>
      <c r="R387" s="2" t="inlineStr"/>
    </row>
    <row r="388" ht="15" customHeight="1">
      <c r="A388" t="inlineStr">
        <is>
          <t>A 18183-2022</t>
        </is>
      </c>
      <c r="B388" s="1" t="n">
        <v>44684</v>
      </c>
      <c r="C388" s="1" t="n">
        <v>45941</v>
      </c>
      <c r="D388" t="inlineStr">
        <is>
          <t>UPPSALA LÄN</t>
        </is>
      </c>
      <c r="E388" t="inlineStr">
        <is>
          <t>ÖSTHAMMAR</t>
        </is>
      </c>
      <c r="G388" t="n">
        <v>0.2</v>
      </c>
      <c r="H388" t="n">
        <v>0</v>
      </c>
      <c r="I388" t="n">
        <v>0</v>
      </c>
      <c r="J388" t="n">
        <v>0</v>
      </c>
      <c r="K388" t="n">
        <v>0</v>
      </c>
      <c r="L388" t="n">
        <v>0</v>
      </c>
      <c r="M388" t="n">
        <v>0</v>
      </c>
      <c r="N388" t="n">
        <v>0</v>
      </c>
      <c r="O388" t="n">
        <v>0</v>
      </c>
      <c r="P388" t="n">
        <v>0</v>
      </c>
      <c r="Q388" t="n">
        <v>0</v>
      </c>
      <c r="R388" s="2" t="inlineStr"/>
    </row>
    <row r="389" ht="15" customHeight="1">
      <c r="A389" t="inlineStr">
        <is>
          <t>A 31574-2022</t>
        </is>
      </c>
      <c r="B389" s="1" t="n">
        <v>44775</v>
      </c>
      <c r="C389" s="1" t="n">
        <v>45941</v>
      </c>
      <c r="D389" t="inlineStr">
        <is>
          <t>UPPSALA LÄN</t>
        </is>
      </c>
      <c r="E389" t="inlineStr">
        <is>
          <t>ÖSTHAMMAR</t>
        </is>
      </c>
      <c r="G389" t="n">
        <v>29.7</v>
      </c>
      <c r="H389" t="n">
        <v>0</v>
      </c>
      <c r="I389" t="n">
        <v>0</v>
      </c>
      <c r="J389" t="n">
        <v>0</v>
      </c>
      <c r="K389" t="n">
        <v>0</v>
      </c>
      <c r="L389" t="n">
        <v>0</v>
      </c>
      <c r="M389" t="n">
        <v>0</v>
      </c>
      <c r="N389" t="n">
        <v>0</v>
      </c>
      <c r="O389" t="n">
        <v>0</v>
      </c>
      <c r="P389" t="n">
        <v>0</v>
      </c>
      <c r="Q389" t="n">
        <v>0</v>
      </c>
      <c r="R389" s="2" t="inlineStr"/>
    </row>
    <row r="390" ht="15" customHeight="1">
      <c r="A390" t="inlineStr">
        <is>
          <t>A 4304-2025</t>
        </is>
      </c>
      <c r="B390" s="1" t="n">
        <v>45685.68193287037</v>
      </c>
      <c r="C390" s="1" t="n">
        <v>45941</v>
      </c>
      <c r="D390" t="inlineStr">
        <is>
          <t>UPPSALA LÄN</t>
        </is>
      </c>
      <c r="E390" t="inlineStr">
        <is>
          <t>ÖSTHAMMAR</t>
        </is>
      </c>
      <c r="G390" t="n">
        <v>1.2</v>
      </c>
      <c r="H390" t="n">
        <v>0</v>
      </c>
      <c r="I390" t="n">
        <v>0</v>
      </c>
      <c r="J390" t="n">
        <v>0</v>
      </c>
      <c r="K390" t="n">
        <v>0</v>
      </c>
      <c r="L390" t="n">
        <v>0</v>
      </c>
      <c r="M390" t="n">
        <v>0</v>
      </c>
      <c r="N390" t="n">
        <v>0</v>
      </c>
      <c r="O390" t="n">
        <v>0</v>
      </c>
      <c r="P390" t="n">
        <v>0</v>
      </c>
      <c r="Q390" t="n">
        <v>0</v>
      </c>
      <c r="R390" s="2" t="inlineStr"/>
    </row>
    <row r="391" ht="15" customHeight="1">
      <c r="A391" t="inlineStr">
        <is>
          <t>A 28170-2023</t>
        </is>
      </c>
      <c r="B391" s="1" t="n">
        <v>45093</v>
      </c>
      <c r="C391" s="1" t="n">
        <v>45941</v>
      </c>
      <c r="D391" t="inlineStr">
        <is>
          <t>UPPSALA LÄN</t>
        </is>
      </c>
      <c r="E391" t="inlineStr">
        <is>
          <t>ÖSTHAMMAR</t>
        </is>
      </c>
      <c r="G391" t="n">
        <v>7.2</v>
      </c>
      <c r="H391" t="n">
        <v>0</v>
      </c>
      <c r="I391" t="n">
        <v>0</v>
      </c>
      <c r="J391" t="n">
        <v>0</v>
      </c>
      <c r="K391" t="n">
        <v>0</v>
      </c>
      <c r="L391" t="n">
        <v>0</v>
      </c>
      <c r="M391" t="n">
        <v>0</v>
      </c>
      <c r="N391" t="n">
        <v>0</v>
      </c>
      <c r="O391" t="n">
        <v>0</v>
      </c>
      <c r="P391" t="n">
        <v>0</v>
      </c>
      <c r="Q391" t="n">
        <v>0</v>
      </c>
      <c r="R391" s="2" t="inlineStr"/>
    </row>
    <row r="392" ht="15" customHeight="1">
      <c r="A392" t="inlineStr">
        <is>
          <t>A 24181-2022</t>
        </is>
      </c>
      <c r="B392" s="1" t="n">
        <v>44725</v>
      </c>
      <c r="C392" s="1" t="n">
        <v>45941</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10117-2025</t>
        </is>
      </c>
      <c r="B393" s="1" t="n">
        <v>45719.59866898148</v>
      </c>
      <c r="C393" s="1" t="n">
        <v>45941</v>
      </c>
      <c r="D393" t="inlineStr">
        <is>
          <t>UPPSALA LÄN</t>
        </is>
      </c>
      <c r="E393" t="inlineStr">
        <is>
          <t>ÖSTHAMMAR</t>
        </is>
      </c>
      <c r="G393" t="n">
        <v>1.1</v>
      </c>
      <c r="H393" t="n">
        <v>0</v>
      </c>
      <c r="I393" t="n">
        <v>0</v>
      </c>
      <c r="J393" t="n">
        <v>0</v>
      </c>
      <c r="K393" t="n">
        <v>0</v>
      </c>
      <c r="L393" t="n">
        <v>0</v>
      </c>
      <c r="M393" t="n">
        <v>0</v>
      </c>
      <c r="N393" t="n">
        <v>0</v>
      </c>
      <c r="O393" t="n">
        <v>0</v>
      </c>
      <c r="P393" t="n">
        <v>0</v>
      </c>
      <c r="Q393" t="n">
        <v>0</v>
      </c>
      <c r="R393" s="2" t="inlineStr"/>
    </row>
    <row r="394" ht="15" customHeight="1">
      <c r="A394" t="inlineStr">
        <is>
          <t>A 16933-2022</t>
        </is>
      </c>
      <c r="B394" s="1" t="n">
        <v>44676</v>
      </c>
      <c r="C394" s="1" t="n">
        <v>45941</v>
      </c>
      <c r="D394" t="inlineStr">
        <is>
          <t>UPPSALA LÄN</t>
        </is>
      </c>
      <c r="E394" t="inlineStr">
        <is>
          <t>ÖSTHAMMAR</t>
        </is>
      </c>
      <c r="G394" t="n">
        <v>1.3</v>
      </c>
      <c r="H394" t="n">
        <v>0</v>
      </c>
      <c r="I394" t="n">
        <v>0</v>
      </c>
      <c r="J394" t="n">
        <v>0</v>
      </c>
      <c r="K394" t="n">
        <v>0</v>
      </c>
      <c r="L394" t="n">
        <v>0</v>
      </c>
      <c r="M394" t="n">
        <v>0</v>
      </c>
      <c r="N394" t="n">
        <v>0</v>
      </c>
      <c r="O394" t="n">
        <v>0</v>
      </c>
      <c r="P394" t="n">
        <v>0</v>
      </c>
      <c r="Q394" t="n">
        <v>0</v>
      </c>
      <c r="R394" s="2" t="inlineStr"/>
    </row>
    <row r="395" ht="15" customHeight="1">
      <c r="A395" t="inlineStr">
        <is>
          <t>A 23741-2024</t>
        </is>
      </c>
      <c r="B395" s="1" t="n">
        <v>45455</v>
      </c>
      <c r="C395" s="1" t="n">
        <v>45941</v>
      </c>
      <c r="D395" t="inlineStr">
        <is>
          <t>UPPSALA LÄN</t>
        </is>
      </c>
      <c r="E395" t="inlineStr">
        <is>
          <t>ÖSTHAMMAR</t>
        </is>
      </c>
      <c r="F395" t="inlineStr">
        <is>
          <t>Bergvik skog öst AB</t>
        </is>
      </c>
      <c r="G395" t="n">
        <v>1.9</v>
      </c>
      <c r="H395" t="n">
        <v>0</v>
      </c>
      <c r="I395" t="n">
        <v>0</v>
      </c>
      <c r="J395" t="n">
        <v>0</v>
      </c>
      <c r="K395" t="n">
        <v>0</v>
      </c>
      <c r="L395" t="n">
        <v>0</v>
      </c>
      <c r="M395" t="n">
        <v>0</v>
      </c>
      <c r="N395" t="n">
        <v>0</v>
      </c>
      <c r="O395" t="n">
        <v>0</v>
      </c>
      <c r="P395" t="n">
        <v>0</v>
      </c>
      <c r="Q395" t="n">
        <v>0</v>
      </c>
      <c r="R395" s="2" t="inlineStr"/>
    </row>
    <row r="396" ht="15" customHeight="1">
      <c r="A396" t="inlineStr">
        <is>
          <t>A 9264-2024</t>
        </is>
      </c>
      <c r="B396" s="1" t="n">
        <v>45358</v>
      </c>
      <c r="C396" s="1" t="n">
        <v>45941</v>
      </c>
      <c r="D396" t="inlineStr">
        <is>
          <t>UPPSALA LÄN</t>
        </is>
      </c>
      <c r="E396" t="inlineStr">
        <is>
          <t>ÖSTHAMMAR</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25859-2024</t>
        </is>
      </c>
      <c r="B397" s="1" t="n">
        <v>45467</v>
      </c>
      <c r="C397" s="1" t="n">
        <v>45941</v>
      </c>
      <c r="D397" t="inlineStr">
        <is>
          <t>UPPSALA LÄN</t>
        </is>
      </c>
      <c r="E397" t="inlineStr">
        <is>
          <t>ÖSTHAMMAR</t>
        </is>
      </c>
      <c r="G397" t="n">
        <v>7.9</v>
      </c>
      <c r="H397" t="n">
        <v>0</v>
      </c>
      <c r="I397" t="n">
        <v>0</v>
      </c>
      <c r="J397" t="n">
        <v>0</v>
      </c>
      <c r="K397" t="n">
        <v>0</v>
      </c>
      <c r="L397" t="n">
        <v>0</v>
      </c>
      <c r="M397" t="n">
        <v>0</v>
      </c>
      <c r="N397" t="n">
        <v>0</v>
      </c>
      <c r="O397" t="n">
        <v>0</v>
      </c>
      <c r="P397" t="n">
        <v>0</v>
      </c>
      <c r="Q397" t="n">
        <v>0</v>
      </c>
      <c r="R397" s="2" t="inlineStr"/>
    </row>
    <row r="398" ht="15" customHeight="1">
      <c r="A398" t="inlineStr">
        <is>
          <t>A 57043-2022</t>
        </is>
      </c>
      <c r="B398" s="1" t="n">
        <v>44895.36748842592</v>
      </c>
      <c r="C398" s="1" t="n">
        <v>45941</v>
      </c>
      <c r="D398" t="inlineStr">
        <is>
          <t>UPPSALA LÄN</t>
        </is>
      </c>
      <c r="E398" t="inlineStr">
        <is>
          <t>ÖSTHAMMAR</t>
        </is>
      </c>
      <c r="F398" t="inlineStr">
        <is>
          <t>Bergvik skog öst AB</t>
        </is>
      </c>
      <c r="G398" t="n">
        <v>5.7</v>
      </c>
      <c r="H398" t="n">
        <v>0</v>
      </c>
      <c r="I398" t="n">
        <v>0</v>
      </c>
      <c r="J398" t="n">
        <v>0</v>
      </c>
      <c r="K398" t="n">
        <v>0</v>
      </c>
      <c r="L398" t="n">
        <v>0</v>
      </c>
      <c r="M398" t="n">
        <v>0</v>
      </c>
      <c r="N398" t="n">
        <v>0</v>
      </c>
      <c r="O398" t="n">
        <v>0</v>
      </c>
      <c r="P398" t="n">
        <v>0</v>
      </c>
      <c r="Q398" t="n">
        <v>0</v>
      </c>
      <c r="R398" s="2" t="inlineStr"/>
    </row>
    <row r="399" ht="15" customHeight="1">
      <c r="A399" t="inlineStr">
        <is>
          <t>A 4096-2025</t>
        </is>
      </c>
      <c r="B399" s="1" t="n">
        <v>45684</v>
      </c>
      <c r="C399" s="1" t="n">
        <v>45941</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19640-2025</t>
        </is>
      </c>
      <c r="B400" s="1" t="n">
        <v>45770.65739583333</v>
      </c>
      <c r="C400" s="1" t="n">
        <v>45941</v>
      </c>
      <c r="D400" t="inlineStr">
        <is>
          <t>UPPSALA LÄN</t>
        </is>
      </c>
      <c r="E400" t="inlineStr">
        <is>
          <t>ÖSTHAMMAR</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47390-2023</t>
        </is>
      </c>
      <c r="B401" s="1" t="n">
        <v>45202</v>
      </c>
      <c r="C401" s="1" t="n">
        <v>45941</v>
      </c>
      <c r="D401" t="inlineStr">
        <is>
          <t>UPPSALA LÄN</t>
        </is>
      </c>
      <c r="E401" t="inlineStr">
        <is>
          <t>ÖSTHAMMAR</t>
        </is>
      </c>
      <c r="G401" t="n">
        <v>3.7</v>
      </c>
      <c r="H401" t="n">
        <v>0</v>
      </c>
      <c r="I401" t="n">
        <v>0</v>
      </c>
      <c r="J401" t="n">
        <v>0</v>
      </c>
      <c r="K401" t="n">
        <v>0</v>
      </c>
      <c r="L401" t="n">
        <v>0</v>
      </c>
      <c r="M401" t="n">
        <v>0</v>
      </c>
      <c r="N401" t="n">
        <v>0</v>
      </c>
      <c r="O401" t="n">
        <v>0</v>
      </c>
      <c r="P401" t="n">
        <v>0</v>
      </c>
      <c r="Q401" t="n">
        <v>0</v>
      </c>
      <c r="R401" s="2" t="inlineStr"/>
    </row>
    <row r="402" ht="15" customHeight="1">
      <c r="A402" t="inlineStr">
        <is>
          <t>A 22884-2024</t>
        </is>
      </c>
      <c r="B402" s="1" t="n">
        <v>45448</v>
      </c>
      <c r="C402" s="1" t="n">
        <v>45941</v>
      </c>
      <c r="D402" t="inlineStr">
        <is>
          <t>UPPSALA LÄN</t>
        </is>
      </c>
      <c r="E402" t="inlineStr">
        <is>
          <t>ÖSTHAMMAR</t>
        </is>
      </c>
      <c r="G402" t="n">
        <v>3.3</v>
      </c>
      <c r="H402" t="n">
        <v>0</v>
      </c>
      <c r="I402" t="n">
        <v>0</v>
      </c>
      <c r="J402" t="n">
        <v>0</v>
      </c>
      <c r="K402" t="n">
        <v>0</v>
      </c>
      <c r="L402" t="n">
        <v>0</v>
      </c>
      <c r="M402" t="n">
        <v>0</v>
      </c>
      <c r="N402" t="n">
        <v>0</v>
      </c>
      <c r="O402" t="n">
        <v>0</v>
      </c>
      <c r="P402" t="n">
        <v>0</v>
      </c>
      <c r="Q402" t="n">
        <v>0</v>
      </c>
      <c r="R402" s="2" t="inlineStr"/>
    </row>
    <row r="403" ht="15" customHeight="1">
      <c r="A403" t="inlineStr">
        <is>
          <t>A 15928-2022</t>
        </is>
      </c>
      <c r="B403" s="1" t="n">
        <v>44664</v>
      </c>
      <c r="C403" s="1" t="n">
        <v>45941</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28228-2022</t>
        </is>
      </c>
      <c r="B404" s="1" t="n">
        <v>44746.65873842593</v>
      </c>
      <c r="C404" s="1" t="n">
        <v>45941</v>
      </c>
      <c r="D404" t="inlineStr">
        <is>
          <t>UPPSALA LÄN</t>
        </is>
      </c>
      <c r="E404" t="inlineStr">
        <is>
          <t>ÖSTHAMMAR</t>
        </is>
      </c>
      <c r="G404" t="n">
        <v>2.7</v>
      </c>
      <c r="H404" t="n">
        <v>0</v>
      </c>
      <c r="I404" t="n">
        <v>0</v>
      </c>
      <c r="J404" t="n">
        <v>0</v>
      </c>
      <c r="K404" t="n">
        <v>0</v>
      </c>
      <c r="L404" t="n">
        <v>0</v>
      </c>
      <c r="M404" t="n">
        <v>0</v>
      </c>
      <c r="N404" t="n">
        <v>0</v>
      </c>
      <c r="O404" t="n">
        <v>0</v>
      </c>
      <c r="P404" t="n">
        <v>0</v>
      </c>
      <c r="Q404" t="n">
        <v>0</v>
      </c>
      <c r="R404" s="2" t="inlineStr"/>
    </row>
    <row r="405" ht="15" customHeight="1">
      <c r="A405" t="inlineStr">
        <is>
          <t>A 15445-2022</t>
        </is>
      </c>
      <c r="B405" s="1" t="n">
        <v>44660.4987962963</v>
      </c>
      <c r="C405" s="1" t="n">
        <v>45941</v>
      </c>
      <c r="D405" t="inlineStr">
        <is>
          <t>UPPSALA LÄN</t>
        </is>
      </c>
      <c r="E405" t="inlineStr">
        <is>
          <t>ÖSTHAMMAR</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41519-2025</t>
        </is>
      </c>
      <c r="B406" s="1" t="n">
        <v>45901.54751157408</v>
      </c>
      <c r="C406" s="1" t="n">
        <v>45941</v>
      </c>
      <c r="D406" t="inlineStr">
        <is>
          <t>UPPSALA LÄN</t>
        </is>
      </c>
      <c r="E406" t="inlineStr">
        <is>
          <t>ÖSTHAMMAR</t>
        </is>
      </c>
      <c r="F406" t="inlineStr">
        <is>
          <t>Övriga Aktiebolag</t>
        </is>
      </c>
      <c r="G406" t="n">
        <v>17.1</v>
      </c>
      <c r="H406" t="n">
        <v>0</v>
      </c>
      <c r="I406" t="n">
        <v>0</v>
      </c>
      <c r="J406" t="n">
        <v>0</v>
      </c>
      <c r="K406" t="n">
        <v>0</v>
      </c>
      <c r="L406" t="n">
        <v>0</v>
      </c>
      <c r="M406" t="n">
        <v>0</v>
      </c>
      <c r="N406" t="n">
        <v>0</v>
      </c>
      <c r="O406" t="n">
        <v>0</v>
      </c>
      <c r="P406" t="n">
        <v>0</v>
      </c>
      <c r="Q406" t="n">
        <v>0</v>
      </c>
      <c r="R406" s="2" t="inlineStr"/>
    </row>
    <row r="407" ht="15" customHeight="1">
      <c r="A407" t="inlineStr">
        <is>
          <t>A 42213-2025</t>
        </is>
      </c>
      <c r="B407" s="1" t="n">
        <v>45904.50652777778</v>
      </c>
      <c r="C407" s="1" t="n">
        <v>45941</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8874-2025</t>
        </is>
      </c>
      <c r="B408" s="1" t="n">
        <v>45713</v>
      </c>
      <c r="C408" s="1" t="n">
        <v>45941</v>
      </c>
      <c r="D408" t="inlineStr">
        <is>
          <t>UPPSALA LÄN</t>
        </is>
      </c>
      <c r="E408" t="inlineStr">
        <is>
          <t>ÖSTHAMMAR</t>
        </is>
      </c>
      <c r="G408" t="n">
        <v>6.3</v>
      </c>
      <c r="H408" t="n">
        <v>0</v>
      </c>
      <c r="I408" t="n">
        <v>0</v>
      </c>
      <c r="J408" t="n">
        <v>0</v>
      </c>
      <c r="K408" t="n">
        <v>0</v>
      </c>
      <c r="L408" t="n">
        <v>0</v>
      </c>
      <c r="M408" t="n">
        <v>0</v>
      </c>
      <c r="N408" t="n">
        <v>0</v>
      </c>
      <c r="O408" t="n">
        <v>0</v>
      </c>
      <c r="P408" t="n">
        <v>0</v>
      </c>
      <c r="Q408" t="n">
        <v>0</v>
      </c>
      <c r="R408" s="2" t="inlineStr"/>
    </row>
    <row r="409" ht="15" customHeight="1">
      <c r="A409" t="inlineStr">
        <is>
          <t>A 10275-2025</t>
        </is>
      </c>
      <c r="B409" s="1" t="n">
        <v>45720.39715277778</v>
      </c>
      <c r="C409" s="1" t="n">
        <v>45941</v>
      </c>
      <c r="D409" t="inlineStr">
        <is>
          <t>UPPSALA LÄN</t>
        </is>
      </c>
      <c r="E409" t="inlineStr">
        <is>
          <t>ÖSTHAMMAR</t>
        </is>
      </c>
      <c r="G409" t="n">
        <v>6.2</v>
      </c>
      <c r="H409" t="n">
        <v>0</v>
      </c>
      <c r="I409" t="n">
        <v>0</v>
      </c>
      <c r="J409" t="n">
        <v>0</v>
      </c>
      <c r="K409" t="n">
        <v>0</v>
      </c>
      <c r="L409" t="n">
        <v>0</v>
      </c>
      <c r="M409" t="n">
        <v>0</v>
      </c>
      <c r="N409" t="n">
        <v>0</v>
      </c>
      <c r="O409" t="n">
        <v>0</v>
      </c>
      <c r="P409" t="n">
        <v>0</v>
      </c>
      <c r="Q409" t="n">
        <v>0</v>
      </c>
      <c r="R409" s="2" t="inlineStr"/>
    </row>
    <row r="410" ht="15" customHeight="1">
      <c r="A410" t="inlineStr">
        <is>
          <t>A 25418-2022</t>
        </is>
      </c>
      <c r="B410" s="1" t="n">
        <v>44732.464375</v>
      </c>
      <c r="C410" s="1" t="n">
        <v>45941</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14124-2022</t>
        </is>
      </c>
      <c r="B411" s="1" t="n">
        <v>44651.40924768519</v>
      </c>
      <c r="C411" s="1" t="n">
        <v>45941</v>
      </c>
      <c r="D411" t="inlineStr">
        <is>
          <t>UPPSALA LÄN</t>
        </is>
      </c>
      <c r="E411" t="inlineStr">
        <is>
          <t>ÖSTHAMMAR</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37812-2022</t>
        </is>
      </c>
      <c r="B412" s="1" t="n">
        <v>44810</v>
      </c>
      <c r="C412" s="1" t="n">
        <v>45941</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62391-2022</t>
        </is>
      </c>
      <c r="B413" s="1" t="n">
        <v>44923.7849537037</v>
      </c>
      <c r="C413" s="1" t="n">
        <v>45941</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31485-2023</t>
        </is>
      </c>
      <c r="B414" s="1" t="n">
        <v>45114</v>
      </c>
      <c r="C414" s="1" t="n">
        <v>45941</v>
      </c>
      <c r="D414" t="inlineStr">
        <is>
          <t>UPPSALA LÄN</t>
        </is>
      </c>
      <c r="E414" t="inlineStr">
        <is>
          <t>ÖSTHAMMAR</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19501-2025</t>
        </is>
      </c>
      <c r="B415" s="1" t="n">
        <v>45770.4015625</v>
      </c>
      <c r="C415" s="1" t="n">
        <v>45941</v>
      </c>
      <c r="D415" t="inlineStr">
        <is>
          <t>UPPSALA LÄN</t>
        </is>
      </c>
      <c r="E415" t="inlineStr">
        <is>
          <t>ÖSTHAMMAR</t>
        </is>
      </c>
      <c r="F415" t="inlineStr">
        <is>
          <t>Övriga Aktiebolag</t>
        </is>
      </c>
      <c r="G415" t="n">
        <v>17.3</v>
      </c>
      <c r="H415" t="n">
        <v>0</v>
      </c>
      <c r="I415" t="n">
        <v>0</v>
      </c>
      <c r="J415" t="n">
        <v>0</v>
      </c>
      <c r="K415" t="n">
        <v>0</v>
      </c>
      <c r="L415" t="n">
        <v>0</v>
      </c>
      <c r="M415" t="n">
        <v>0</v>
      </c>
      <c r="N415" t="n">
        <v>0</v>
      </c>
      <c r="O415" t="n">
        <v>0</v>
      </c>
      <c r="P415" t="n">
        <v>0</v>
      </c>
      <c r="Q415" t="n">
        <v>0</v>
      </c>
      <c r="R415" s="2" t="inlineStr"/>
    </row>
    <row r="416" ht="15" customHeight="1">
      <c r="A416" t="inlineStr">
        <is>
          <t>A 41821-2023</t>
        </is>
      </c>
      <c r="B416" s="1" t="n">
        <v>45176</v>
      </c>
      <c r="C416" s="1" t="n">
        <v>45941</v>
      </c>
      <c r="D416" t="inlineStr">
        <is>
          <t>UPPSALA LÄN</t>
        </is>
      </c>
      <c r="E416" t="inlineStr">
        <is>
          <t>ÖSTHAMMAR</t>
        </is>
      </c>
      <c r="G416" t="n">
        <v>0.9</v>
      </c>
      <c r="H416" t="n">
        <v>0</v>
      </c>
      <c r="I416" t="n">
        <v>0</v>
      </c>
      <c r="J416" t="n">
        <v>0</v>
      </c>
      <c r="K416" t="n">
        <v>0</v>
      </c>
      <c r="L416" t="n">
        <v>0</v>
      </c>
      <c r="M416" t="n">
        <v>0</v>
      </c>
      <c r="N416" t="n">
        <v>0</v>
      </c>
      <c r="O416" t="n">
        <v>0</v>
      </c>
      <c r="P416" t="n">
        <v>0</v>
      </c>
      <c r="Q416" t="n">
        <v>0</v>
      </c>
      <c r="R416" s="2" t="inlineStr"/>
    </row>
    <row r="417" ht="15" customHeight="1">
      <c r="A417" t="inlineStr">
        <is>
          <t>A 32742-2022</t>
        </is>
      </c>
      <c r="B417" s="1" t="n">
        <v>44783.69886574074</v>
      </c>
      <c r="C417" s="1" t="n">
        <v>45941</v>
      </c>
      <c r="D417" t="inlineStr">
        <is>
          <t>UPPSALA LÄN</t>
        </is>
      </c>
      <c r="E417" t="inlineStr">
        <is>
          <t>ÖSTHAMMAR</t>
        </is>
      </c>
      <c r="F417" t="inlineStr">
        <is>
          <t>Bergvik skog öst AB</t>
        </is>
      </c>
      <c r="G417" t="n">
        <v>0.9</v>
      </c>
      <c r="H417" t="n">
        <v>0</v>
      </c>
      <c r="I417" t="n">
        <v>0</v>
      </c>
      <c r="J417" t="n">
        <v>0</v>
      </c>
      <c r="K417" t="n">
        <v>0</v>
      </c>
      <c r="L417" t="n">
        <v>0</v>
      </c>
      <c r="M417" t="n">
        <v>0</v>
      </c>
      <c r="N417" t="n">
        <v>0</v>
      </c>
      <c r="O417" t="n">
        <v>0</v>
      </c>
      <c r="P417" t="n">
        <v>0</v>
      </c>
      <c r="Q417" t="n">
        <v>0</v>
      </c>
      <c r="R417" s="2" t="inlineStr"/>
    </row>
    <row r="418" ht="15" customHeight="1">
      <c r="A418" t="inlineStr">
        <is>
          <t>A 41308-2023</t>
        </is>
      </c>
      <c r="B418" s="1" t="n">
        <v>45174.62788194444</v>
      </c>
      <c r="C418" s="1" t="n">
        <v>45941</v>
      </c>
      <c r="D418" t="inlineStr">
        <is>
          <t>UPPSALA LÄN</t>
        </is>
      </c>
      <c r="E418" t="inlineStr">
        <is>
          <t>ÖSTHAMMAR</t>
        </is>
      </c>
      <c r="F418" t="inlineStr">
        <is>
          <t>Övriga Aktiebolag</t>
        </is>
      </c>
      <c r="G418" t="n">
        <v>2.8</v>
      </c>
      <c r="H418" t="n">
        <v>0</v>
      </c>
      <c r="I418" t="n">
        <v>0</v>
      </c>
      <c r="J418" t="n">
        <v>0</v>
      </c>
      <c r="K418" t="n">
        <v>0</v>
      </c>
      <c r="L418" t="n">
        <v>0</v>
      </c>
      <c r="M418" t="n">
        <v>0</v>
      </c>
      <c r="N418" t="n">
        <v>0</v>
      </c>
      <c r="O418" t="n">
        <v>0</v>
      </c>
      <c r="P418" t="n">
        <v>0</v>
      </c>
      <c r="Q418" t="n">
        <v>0</v>
      </c>
      <c r="R418" s="2" t="inlineStr"/>
    </row>
    <row r="419" ht="15" customHeight="1">
      <c r="A419" t="inlineStr">
        <is>
          <t>A 49833-2023</t>
        </is>
      </c>
      <c r="B419" s="1" t="n">
        <v>45212.71481481481</v>
      </c>
      <c r="C419" s="1" t="n">
        <v>45941</v>
      </c>
      <c r="D419" t="inlineStr">
        <is>
          <t>UPPSALA LÄN</t>
        </is>
      </c>
      <c r="E419" t="inlineStr">
        <is>
          <t>ÖSTHAMMAR</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17433-2025</t>
        </is>
      </c>
      <c r="B420" s="1" t="n">
        <v>45757.40733796296</v>
      </c>
      <c r="C420" s="1" t="n">
        <v>45941</v>
      </c>
      <c r="D420" t="inlineStr">
        <is>
          <t>UPPSALA LÄN</t>
        </is>
      </c>
      <c r="E420" t="inlineStr">
        <is>
          <t>ÖSTHAMMAR</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45550-2023</t>
        </is>
      </c>
      <c r="B421" s="1" t="n">
        <v>45194.57125</v>
      </c>
      <c r="C421" s="1" t="n">
        <v>45941</v>
      </c>
      <c r="D421" t="inlineStr">
        <is>
          <t>UPPSALA LÄN</t>
        </is>
      </c>
      <c r="E421" t="inlineStr">
        <is>
          <t>ÖSTHAMMAR</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54368-2023</t>
        </is>
      </c>
      <c r="B422" s="1" t="n">
        <v>45233.33221064815</v>
      </c>
      <c r="C422" s="1" t="n">
        <v>45941</v>
      </c>
      <c r="D422" t="inlineStr">
        <is>
          <t>UPPSALA LÄN</t>
        </is>
      </c>
      <c r="E422" t="inlineStr">
        <is>
          <t>ÖSTHAMMAR</t>
        </is>
      </c>
      <c r="F422" t="inlineStr">
        <is>
          <t>Bergvik skog öst AB</t>
        </is>
      </c>
      <c r="G422" t="n">
        <v>3</v>
      </c>
      <c r="H422" t="n">
        <v>0</v>
      </c>
      <c r="I422" t="n">
        <v>0</v>
      </c>
      <c r="J422" t="n">
        <v>0</v>
      </c>
      <c r="K422" t="n">
        <v>0</v>
      </c>
      <c r="L422" t="n">
        <v>0</v>
      </c>
      <c r="M422" t="n">
        <v>0</v>
      </c>
      <c r="N422" t="n">
        <v>0</v>
      </c>
      <c r="O422" t="n">
        <v>0</v>
      </c>
      <c r="P422" t="n">
        <v>0</v>
      </c>
      <c r="Q422" t="n">
        <v>0</v>
      </c>
      <c r="R422" s="2" t="inlineStr"/>
    </row>
    <row r="423" ht="15" customHeight="1">
      <c r="A423" t="inlineStr">
        <is>
          <t>A 17929-2025</t>
        </is>
      </c>
      <c r="B423" s="1" t="n">
        <v>45759.56462962963</v>
      </c>
      <c r="C423" s="1" t="n">
        <v>45941</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56759-2024</t>
        </is>
      </c>
      <c r="B424" s="1" t="n">
        <v>45628.39877314815</v>
      </c>
      <c r="C424" s="1" t="n">
        <v>45941</v>
      </c>
      <c r="D424" t="inlineStr">
        <is>
          <t>UPPSALA LÄN</t>
        </is>
      </c>
      <c r="E424" t="inlineStr">
        <is>
          <t>ÖSTHAMMAR</t>
        </is>
      </c>
      <c r="G424" t="n">
        <v>4.7</v>
      </c>
      <c r="H424" t="n">
        <v>0</v>
      </c>
      <c r="I424" t="n">
        <v>0</v>
      </c>
      <c r="J424" t="n">
        <v>0</v>
      </c>
      <c r="K424" t="n">
        <v>0</v>
      </c>
      <c r="L424" t="n">
        <v>0</v>
      </c>
      <c r="M424" t="n">
        <v>0</v>
      </c>
      <c r="N424" t="n">
        <v>0</v>
      </c>
      <c r="O424" t="n">
        <v>0</v>
      </c>
      <c r="P424" t="n">
        <v>0</v>
      </c>
      <c r="Q424" t="n">
        <v>0</v>
      </c>
      <c r="R424" s="2" t="inlineStr"/>
    </row>
    <row r="425" ht="15" customHeight="1">
      <c r="A425" t="inlineStr">
        <is>
          <t>A 36092-2025</t>
        </is>
      </c>
      <c r="B425" s="1" t="n">
        <v>45866.48244212963</v>
      </c>
      <c r="C425" s="1" t="n">
        <v>45941</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17931-2025</t>
        </is>
      </c>
      <c r="B426" s="1" t="n">
        <v>45759.56894675926</v>
      </c>
      <c r="C426" s="1" t="n">
        <v>45941</v>
      </c>
      <c r="D426" t="inlineStr">
        <is>
          <t>UPPSALA LÄN</t>
        </is>
      </c>
      <c r="E426" t="inlineStr">
        <is>
          <t>ÖSTHAMMAR</t>
        </is>
      </c>
      <c r="G426" t="n">
        <v>2.1</v>
      </c>
      <c r="H426" t="n">
        <v>0</v>
      </c>
      <c r="I426" t="n">
        <v>0</v>
      </c>
      <c r="J426" t="n">
        <v>0</v>
      </c>
      <c r="K426" t="n">
        <v>0</v>
      </c>
      <c r="L426" t="n">
        <v>0</v>
      </c>
      <c r="M426" t="n">
        <v>0</v>
      </c>
      <c r="N426" t="n">
        <v>0</v>
      </c>
      <c r="O426" t="n">
        <v>0</v>
      </c>
      <c r="P426" t="n">
        <v>0</v>
      </c>
      <c r="Q426" t="n">
        <v>0</v>
      </c>
      <c r="R426" s="2" t="inlineStr"/>
    </row>
    <row r="427" ht="15" customHeight="1">
      <c r="A427" t="inlineStr">
        <is>
          <t>A 17938-2025</t>
        </is>
      </c>
      <c r="B427" s="1" t="n">
        <v>45760.55626157407</v>
      </c>
      <c r="C427" s="1" t="n">
        <v>45941</v>
      </c>
      <c r="D427" t="inlineStr">
        <is>
          <t>UPPSALA LÄN</t>
        </is>
      </c>
      <c r="E427" t="inlineStr">
        <is>
          <t>ÖSTHAMMAR</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8791-2025</t>
        </is>
      </c>
      <c r="B428" s="1" t="n">
        <v>45712</v>
      </c>
      <c r="C428" s="1" t="n">
        <v>45941</v>
      </c>
      <c r="D428" t="inlineStr">
        <is>
          <t>UPPSALA LÄN</t>
        </is>
      </c>
      <c r="E428" t="inlineStr">
        <is>
          <t>ÖSTHAMMAR</t>
        </is>
      </c>
      <c r="G428" t="n">
        <v>0.6</v>
      </c>
      <c r="H428" t="n">
        <v>0</v>
      </c>
      <c r="I428" t="n">
        <v>0</v>
      </c>
      <c r="J428" t="n">
        <v>0</v>
      </c>
      <c r="K428" t="n">
        <v>0</v>
      </c>
      <c r="L428" t="n">
        <v>0</v>
      </c>
      <c r="M428" t="n">
        <v>0</v>
      </c>
      <c r="N428" t="n">
        <v>0</v>
      </c>
      <c r="O428" t="n">
        <v>0</v>
      </c>
      <c r="P428" t="n">
        <v>0</v>
      </c>
      <c r="Q428" t="n">
        <v>0</v>
      </c>
      <c r="R428" s="2" t="inlineStr"/>
    </row>
    <row r="429" ht="15" customHeight="1">
      <c r="A429" t="inlineStr">
        <is>
          <t>A 26552-2022</t>
        </is>
      </c>
      <c r="B429" s="1" t="n">
        <v>44739</v>
      </c>
      <c r="C429" s="1" t="n">
        <v>45941</v>
      </c>
      <c r="D429" t="inlineStr">
        <is>
          <t>UPPSALA LÄN</t>
        </is>
      </c>
      <c r="E429" t="inlineStr">
        <is>
          <t>ÖSTHAMMAR</t>
        </is>
      </c>
      <c r="G429" t="n">
        <v>2.2</v>
      </c>
      <c r="H429" t="n">
        <v>0</v>
      </c>
      <c r="I429" t="n">
        <v>0</v>
      </c>
      <c r="J429" t="n">
        <v>0</v>
      </c>
      <c r="K429" t="n">
        <v>0</v>
      </c>
      <c r="L429" t="n">
        <v>0</v>
      </c>
      <c r="M429" t="n">
        <v>0</v>
      </c>
      <c r="N429" t="n">
        <v>0</v>
      </c>
      <c r="O429" t="n">
        <v>0</v>
      </c>
      <c r="P429" t="n">
        <v>0</v>
      </c>
      <c r="Q429" t="n">
        <v>0</v>
      </c>
      <c r="R429" s="2" t="inlineStr"/>
    </row>
    <row r="430" ht="15" customHeight="1">
      <c r="A430" t="inlineStr">
        <is>
          <t>A 43011-2025</t>
        </is>
      </c>
      <c r="B430" s="1" t="n">
        <v>45909.48989583334</v>
      </c>
      <c r="C430" s="1" t="n">
        <v>45941</v>
      </c>
      <c r="D430" t="inlineStr">
        <is>
          <t>UPPSALA LÄN</t>
        </is>
      </c>
      <c r="E430" t="inlineStr">
        <is>
          <t>ÖSTHAMMAR</t>
        </is>
      </c>
      <c r="F430" t="inlineStr">
        <is>
          <t>Övriga Aktiebolag</t>
        </is>
      </c>
      <c r="G430" t="n">
        <v>4.7</v>
      </c>
      <c r="H430" t="n">
        <v>0</v>
      </c>
      <c r="I430" t="n">
        <v>0</v>
      </c>
      <c r="J430" t="n">
        <v>0</v>
      </c>
      <c r="K430" t="n">
        <v>0</v>
      </c>
      <c r="L430" t="n">
        <v>0</v>
      </c>
      <c r="M430" t="n">
        <v>0</v>
      </c>
      <c r="N430" t="n">
        <v>0</v>
      </c>
      <c r="O430" t="n">
        <v>0</v>
      </c>
      <c r="P430" t="n">
        <v>0</v>
      </c>
      <c r="Q430" t="n">
        <v>0</v>
      </c>
      <c r="R430" s="2" t="inlineStr"/>
    </row>
    <row r="431" ht="15" customHeight="1">
      <c r="A431" t="inlineStr">
        <is>
          <t>A 7216-2025</t>
        </is>
      </c>
      <c r="B431" s="1" t="n">
        <v>45702.47630787037</v>
      </c>
      <c r="C431" s="1" t="n">
        <v>45941</v>
      </c>
      <c r="D431" t="inlineStr">
        <is>
          <t>UPPSALA LÄN</t>
        </is>
      </c>
      <c r="E431" t="inlineStr">
        <is>
          <t>ÖSTHAMMAR</t>
        </is>
      </c>
      <c r="F431" t="inlineStr">
        <is>
          <t>Övriga Aktiebolag</t>
        </is>
      </c>
      <c r="G431" t="n">
        <v>12.5</v>
      </c>
      <c r="H431" t="n">
        <v>0</v>
      </c>
      <c r="I431" t="n">
        <v>0</v>
      </c>
      <c r="J431" t="n">
        <v>0</v>
      </c>
      <c r="K431" t="n">
        <v>0</v>
      </c>
      <c r="L431" t="n">
        <v>0</v>
      </c>
      <c r="M431" t="n">
        <v>0</v>
      </c>
      <c r="N431" t="n">
        <v>0</v>
      </c>
      <c r="O431" t="n">
        <v>0</v>
      </c>
      <c r="P431" t="n">
        <v>0</v>
      </c>
      <c r="Q431" t="n">
        <v>0</v>
      </c>
      <c r="R431" s="2" t="inlineStr"/>
    </row>
    <row r="432" ht="15" customHeight="1">
      <c r="A432" t="inlineStr">
        <is>
          <t>A 32744-2022</t>
        </is>
      </c>
      <c r="B432" s="1" t="n">
        <v>44783.70378472222</v>
      </c>
      <c r="C432" s="1" t="n">
        <v>45941</v>
      </c>
      <c r="D432" t="inlineStr">
        <is>
          <t>UPPSALA LÄN</t>
        </is>
      </c>
      <c r="E432" t="inlineStr">
        <is>
          <t>ÖSTHAMMAR</t>
        </is>
      </c>
      <c r="F432" t="inlineStr">
        <is>
          <t>Bergvik skog öst AB</t>
        </is>
      </c>
      <c r="G432" t="n">
        <v>3</v>
      </c>
      <c r="H432" t="n">
        <v>0</v>
      </c>
      <c r="I432" t="n">
        <v>0</v>
      </c>
      <c r="J432" t="n">
        <v>0</v>
      </c>
      <c r="K432" t="n">
        <v>0</v>
      </c>
      <c r="L432" t="n">
        <v>0</v>
      </c>
      <c r="M432" t="n">
        <v>0</v>
      </c>
      <c r="N432" t="n">
        <v>0</v>
      </c>
      <c r="O432" t="n">
        <v>0</v>
      </c>
      <c r="P432" t="n">
        <v>0</v>
      </c>
      <c r="Q432" t="n">
        <v>0</v>
      </c>
      <c r="R432" s="2" t="inlineStr"/>
    </row>
    <row r="433" ht="15" customHeight="1">
      <c r="A433" t="inlineStr">
        <is>
          <t>A 42940-2025</t>
        </is>
      </c>
      <c r="B433" s="1" t="n">
        <v>45909.33440972222</v>
      </c>
      <c r="C433" s="1" t="n">
        <v>45941</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31137-2022</t>
        </is>
      </c>
      <c r="B434" s="1" t="n">
        <v>44770.42166666667</v>
      </c>
      <c r="C434" s="1" t="n">
        <v>45941</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43604-2025</t>
        </is>
      </c>
      <c r="B435" s="1" t="n">
        <v>45911.66671296296</v>
      </c>
      <c r="C435" s="1" t="n">
        <v>45941</v>
      </c>
      <c r="D435" t="inlineStr">
        <is>
          <t>UPPSALA LÄN</t>
        </is>
      </c>
      <c r="E435" t="inlineStr">
        <is>
          <t>ÖSTHAMMAR</t>
        </is>
      </c>
      <c r="G435" t="n">
        <v>8.5</v>
      </c>
      <c r="H435" t="n">
        <v>0</v>
      </c>
      <c r="I435" t="n">
        <v>0</v>
      </c>
      <c r="J435" t="n">
        <v>0</v>
      </c>
      <c r="K435" t="n">
        <v>0</v>
      </c>
      <c r="L435" t="n">
        <v>0</v>
      </c>
      <c r="M435" t="n">
        <v>0</v>
      </c>
      <c r="N435" t="n">
        <v>0</v>
      </c>
      <c r="O435" t="n">
        <v>0</v>
      </c>
      <c r="P435" t="n">
        <v>0</v>
      </c>
      <c r="Q435" t="n">
        <v>0</v>
      </c>
      <c r="R435" s="2" t="inlineStr"/>
    </row>
    <row r="436" ht="15" customHeight="1">
      <c r="A436" t="inlineStr">
        <is>
          <t>A 43622-2025</t>
        </is>
      </c>
      <c r="B436" s="1" t="n">
        <v>45911.68295138889</v>
      </c>
      <c r="C436" s="1" t="n">
        <v>45941</v>
      </c>
      <c r="D436" t="inlineStr">
        <is>
          <t>UPPSALA LÄN</t>
        </is>
      </c>
      <c r="E436" t="inlineStr">
        <is>
          <t>ÖSTHAMMAR</t>
        </is>
      </c>
      <c r="G436" t="n">
        <v>2.3</v>
      </c>
      <c r="H436" t="n">
        <v>0</v>
      </c>
      <c r="I436" t="n">
        <v>0</v>
      </c>
      <c r="J436" t="n">
        <v>0</v>
      </c>
      <c r="K436" t="n">
        <v>0</v>
      </c>
      <c r="L436" t="n">
        <v>0</v>
      </c>
      <c r="M436" t="n">
        <v>0</v>
      </c>
      <c r="N436" t="n">
        <v>0</v>
      </c>
      <c r="O436" t="n">
        <v>0</v>
      </c>
      <c r="P436" t="n">
        <v>0</v>
      </c>
      <c r="Q436" t="n">
        <v>0</v>
      </c>
      <c r="R436" s="2" t="inlineStr"/>
    </row>
    <row r="437" ht="15" customHeight="1">
      <c r="A437" t="inlineStr">
        <is>
          <t>A 18094-2025</t>
        </is>
      </c>
      <c r="B437" s="1" t="n">
        <v>45761.54710648148</v>
      </c>
      <c r="C437" s="1" t="n">
        <v>45941</v>
      </c>
      <c r="D437" t="inlineStr">
        <is>
          <t>UPPSALA LÄN</t>
        </is>
      </c>
      <c r="E437" t="inlineStr">
        <is>
          <t>ÖSTHAMMAR</t>
        </is>
      </c>
      <c r="F437" t="inlineStr">
        <is>
          <t>Bergvik skog öst AB</t>
        </is>
      </c>
      <c r="G437" t="n">
        <v>6.5</v>
      </c>
      <c r="H437" t="n">
        <v>0</v>
      </c>
      <c r="I437" t="n">
        <v>0</v>
      </c>
      <c r="J437" t="n">
        <v>0</v>
      </c>
      <c r="K437" t="n">
        <v>0</v>
      </c>
      <c r="L437" t="n">
        <v>0</v>
      </c>
      <c r="M437" t="n">
        <v>0</v>
      </c>
      <c r="N437" t="n">
        <v>0</v>
      </c>
      <c r="O437" t="n">
        <v>0</v>
      </c>
      <c r="P437" t="n">
        <v>0</v>
      </c>
      <c r="Q437" t="n">
        <v>0</v>
      </c>
      <c r="R437" s="2" t="inlineStr"/>
    </row>
    <row r="438" ht="15" customHeight="1">
      <c r="A438" t="inlineStr">
        <is>
          <t>A 8902-2025</t>
        </is>
      </c>
      <c r="B438" s="1" t="n">
        <v>45713.41503472222</v>
      </c>
      <c r="C438" s="1" t="n">
        <v>45941</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8904-2025</t>
        </is>
      </c>
      <c r="B439" s="1" t="n">
        <v>45713.41577546296</v>
      </c>
      <c r="C439" s="1" t="n">
        <v>45941</v>
      </c>
      <c r="D439" t="inlineStr">
        <is>
          <t>UPPSALA LÄN</t>
        </is>
      </c>
      <c r="E439" t="inlineStr">
        <is>
          <t>ÖSTHAMMAR</t>
        </is>
      </c>
      <c r="F439" t="inlineStr">
        <is>
          <t>Bergvik skog öst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36451-2025</t>
        </is>
      </c>
      <c r="B440" s="1" t="n">
        <v>45869.4290625</v>
      </c>
      <c r="C440" s="1" t="n">
        <v>45941</v>
      </c>
      <c r="D440" t="inlineStr">
        <is>
          <t>UPPSALA LÄN</t>
        </is>
      </c>
      <c r="E440" t="inlineStr">
        <is>
          <t>ÖSTHAMMAR</t>
        </is>
      </c>
      <c r="G440" t="n">
        <v>0.8</v>
      </c>
      <c r="H440" t="n">
        <v>0</v>
      </c>
      <c r="I440" t="n">
        <v>0</v>
      </c>
      <c r="J440" t="n">
        <v>0</v>
      </c>
      <c r="K440" t="n">
        <v>0</v>
      </c>
      <c r="L440" t="n">
        <v>0</v>
      </c>
      <c r="M440" t="n">
        <v>0</v>
      </c>
      <c r="N440" t="n">
        <v>0</v>
      </c>
      <c r="O440" t="n">
        <v>0</v>
      </c>
      <c r="P440" t="n">
        <v>0</v>
      </c>
      <c r="Q440" t="n">
        <v>0</v>
      </c>
      <c r="R440" s="2" t="inlineStr"/>
    </row>
    <row r="441" ht="15" customHeight="1">
      <c r="A441" t="inlineStr">
        <is>
          <t>A 44815-2022</t>
        </is>
      </c>
      <c r="B441" s="1" t="n">
        <v>44841.40452546296</v>
      </c>
      <c r="C441" s="1" t="n">
        <v>45941</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29753-2022</t>
        </is>
      </c>
      <c r="B442" s="1" t="n">
        <v>44755</v>
      </c>
      <c r="C442" s="1" t="n">
        <v>45941</v>
      </c>
      <c r="D442" t="inlineStr">
        <is>
          <t>UPPSALA LÄN</t>
        </is>
      </c>
      <c r="E442" t="inlineStr">
        <is>
          <t>ÖSTHAMMAR</t>
        </is>
      </c>
      <c r="G442" t="n">
        <v>9.4</v>
      </c>
      <c r="H442" t="n">
        <v>0</v>
      </c>
      <c r="I442" t="n">
        <v>0</v>
      </c>
      <c r="J442" t="n">
        <v>0</v>
      </c>
      <c r="K442" t="n">
        <v>0</v>
      </c>
      <c r="L442" t="n">
        <v>0</v>
      </c>
      <c r="M442" t="n">
        <v>0</v>
      </c>
      <c r="N442" t="n">
        <v>0</v>
      </c>
      <c r="O442" t="n">
        <v>0</v>
      </c>
      <c r="P442" t="n">
        <v>0</v>
      </c>
      <c r="Q442" t="n">
        <v>0</v>
      </c>
      <c r="R442" s="2" t="inlineStr"/>
    </row>
    <row r="443" ht="15" customHeight="1">
      <c r="A443" t="inlineStr">
        <is>
          <t>A 20072-2025</t>
        </is>
      </c>
      <c r="B443" s="1" t="n">
        <v>45772</v>
      </c>
      <c r="C443" s="1" t="n">
        <v>45941</v>
      </c>
      <c r="D443" t="inlineStr">
        <is>
          <t>UPPSALA LÄN</t>
        </is>
      </c>
      <c r="E443" t="inlineStr">
        <is>
          <t>ÖSTHAMMAR</t>
        </is>
      </c>
      <c r="G443" t="n">
        <v>3.1</v>
      </c>
      <c r="H443" t="n">
        <v>0</v>
      </c>
      <c r="I443" t="n">
        <v>0</v>
      </c>
      <c r="J443" t="n">
        <v>0</v>
      </c>
      <c r="K443" t="n">
        <v>0</v>
      </c>
      <c r="L443" t="n">
        <v>0</v>
      </c>
      <c r="M443" t="n">
        <v>0</v>
      </c>
      <c r="N443" t="n">
        <v>0</v>
      </c>
      <c r="O443" t="n">
        <v>0</v>
      </c>
      <c r="P443" t="n">
        <v>0</v>
      </c>
      <c r="Q443" t="n">
        <v>0</v>
      </c>
      <c r="R443" s="2" t="inlineStr"/>
    </row>
    <row r="444" ht="15" customHeight="1">
      <c r="A444" t="inlineStr">
        <is>
          <t>A 52629-2023</t>
        </is>
      </c>
      <c r="B444" s="1" t="n">
        <v>45225</v>
      </c>
      <c r="C444" s="1" t="n">
        <v>45941</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4559-2022</t>
        </is>
      </c>
      <c r="B445" s="1" t="n">
        <v>44591.51854166666</v>
      </c>
      <c r="C445" s="1" t="n">
        <v>45941</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11643-2022</t>
        </is>
      </c>
      <c r="B446" s="1" t="n">
        <v>44631.92662037037</v>
      </c>
      <c r="C446" s="1" t="n">
        <v>45941</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46826-2025</t>
        </is>
      </c>
      <c r="B447" s="1" t="n">
        <v>45927.00606481481</v>
      </c>
      <c r="C447" s="1" t="n">
        <v>45941</v>
      </c>
      <c r="D447" t="inlineStr">
        <is>
          <t>UPPSALA LÄN</t>
        </is>
      </c>
      <c r="E447" t="inlineStr">
        <is>
          <t>ÖSTHAMMAR</t>
        </is>
      </c>
      <c r="G447" t="n">
        <v>9</v>
      </c>
      <c r="H447" t="n">
        <v>0</v>
      </c>
      <c r="I447" t="n">
        <v>0</v>
      </c>
      <c r="J447" t="n">
        <v>0</v>
      </c>
      <c r="K447" t="n">
        <v>0</v>
      </c>
      <c r="L447" t="n">
        <v>0</v>
      </c>
      <c r="M447" t="n">
        <v>0</v>
      </c>
      <c r="N447" t="n">
        <v>0</v>
      </c>
      <c r="O447" t="n">
        <v>0</v>
      </c>
      <c r="P447" t="n">
        <v>0</v>
      </c>
      <c r="Q447" t="n">
        <v>0</v>
      </c>
      <c r="R447" s="2" t="inlineStr"/>
    </row>
    <row r="448" ht="15" customHeight="1">
      <c r="A448" t="inlineStr">
        <is>
          <t>A 11036-2023</t>
        </is>
      </c>
      <c r="B448" s="1" t="n">
        <v>44991.9321412037</v>
      </c>
      <c r="C448" s="1" t="n">
        <v>45941</v>
      </c>
      <c r="D448" t="inlineStr">
        <is>
          <t>UPPSALA LÄN</t>
        </is>
      </c>
      <c r="E448" t="inlineStr">
        <is>
          <t>ÖSTHAMMAR</t>
        </is>
      </c>
      <c r="F448" t="inlineStr">
        <is>
          <t>Bergvik skog öst AB</t>
        </is>
      </c>
      <c r="G448" t="n">
        <v>3</v>
      </c>
      <c r="H448" t="n">
        <v>0</v>
      </c>
      <c r="I448" t="n">
        <v>0</v>
      </c>
      <c r="J448" t="n">
        <v>0</v>
      </c>
      <c r="K448" t="n">
        <v>0</v>
      </c>
      <c r="L448" t="n">
        <v>0</v>
      </c>
      <c r="M448" t="n">
        <v>0</v>
      </c>
      <c r="N448" t="n">
        <v>0</v>
      </c>
      <c r="O448" t="n">
        <v>0</v>
      </c>
      <c r="P448" t="n">
        <v>0</v>
      </c>
      <c r="Q448" t="n">
        <v>0</v>
      </c>
      <c r="R448" s="2" t="inlineStr"/>
    </row>
    <row r="449" ht="15" customHeight="1">
      <c r="A449" t="inlineStr">
        <is>
          <t>A 23363-2023</t>
        </is>
      </c>
      <c r="B449" s="1" t="n">
        <v>45076</v>
      </c>
      <c r="C449" s="1" t="n">
        <v>45941</v>
      </c>
      <c r="D449" t="inlineStr">
        <is>
          <t>UPPSALA LÄN</t>
        </is>
      </c>
      <c r="E449" t="inlineStr">
        <is>
          <t>ÖSTHAMMAR</t>
        </is>
      </c>
      <c r="G449" t="n">
        <v>3</v>
      </c>
      <c r="H449" t="n">
        <v>0</v>
      </c>
      <c r="I449" t="n">
        <v>0</v>
      </c>
      <c r="J449" t="n">
        <v>0</v>
      </c>
      <c r="K449" t="n">
        <v>0</v>
      </c>
      <c r="L449" t="n">
        <v>0</v>
      </c>
      <c r="M449" t="n">
        <v>0</v>
      </c>
      <c r="N449" t="n">
        <v>0</v>
      </c>
      <c r="O449" t="n">
        <v>0</v>
      </c>
      <c r="P449" t="n">
        <v>0</v>
      </c>
      <c r="Q449" t="n">
        <v>0</v>
      </c>
      <c r="R449" s="2" t="inlineStr"/>
    </row>
    <row r="450" ht="15" customHeight="1">
      <c r="A450" t="inlineStr">
        <is>
          <t>A 9642-2024</t>
        </is>
      </c>
      <c r="B450" s="1" t="n">
        <v>45362.36296296296</v>
      </c>
      <c r="C450" s="1" t="n">
        <v>45941</v>
      </c>
      <c r="D450" t="inlineStr">
        <is>
          <t>UPPSALA LÄN</t>
        </is>
      </c>
      <c r="E450" t="inlineStr">
        <is>
          <t>ÖSTHAMMAR</t>
        </is>
      </c>
      <c r="G450" t="n">
        <v>3.1</v>
      </c>
      <c r="H450" t="n">
        <v>0</v>
      </c>
      <c r="I450" t="n">
        <v>0</v>
      </c>
      <c r="J450" t="n">
        <v>0</v>
      </c>
      <c r="K450" t="n">
        <v>0</v>
      </c>
      <c r="L450" t="n">
        <v>0</v>
      </c>
      <c r="M450" t="n">
        <v>0</v>
      </c>
      <c r="N450" t="n">
        <v>0</v>
      </c>
      <c r="O450" t="n">
        <v>0</v>
      </c>
      <c r="P450" t="n">
        <v>0</v>
      </c>
      <c r="Q450" t="n">
        <v>0</v>
      </c>
      <c r="R450" s="2" t="inlineStr"/>
    </row>
    <row r="451" ht="15" customHeight="1">
      <c r="A451" t="inlineStr">
        <is>
          <t>A 31549-2022</t>
        </is>
      </c>
      <c r="B451" s="1" t="n">
        <v>44775.400625</v>
      </c>
      <c r="C451" s="1" t="n">
        <v>45941</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3418-2025</t>
        </is>
      </c>
      <c r="B452" s="1" t="n">
        <v>45680</v>
      </c>
      <c r="C452" s="1" t="n">
        <v>45941</v>
      </c>
      <c r="D452" t="inlineStr">
        <is>
          <t>UPPSALA LÄN</t>
        </is>
      </c>
      <c r="E452" t="inlineStr">
        <is>
          <t>ÖSTHAMMAR</t>
        </is>
      </c>
      <c r="F452" t="inlineStr">
        <is>
          <t>Bergvik skog väst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3420-2025</t>
        </is>
      </c>
      <c r="B453" s="1" t="n">
        <v>45680</v>
      </c>
      <c r="C453" s="1" t="n">
        <v>45941</v>
      </c>
      <c r="D453" t="inlineStr">
        <is>
          <t>UPPSALA LÄN</t>
        </is>
      </c>
      <c r="E453" t="inlineStr">
        <is>
          <t>ÖSTHAMMAR</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47522-2023</t>
        </is>
      </c>
      <c r="B454" s="1" t="n">
        <v>45203</v>
      </c>
      <c r="C454" s="1" t="n">
        <v>45941</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47336-2025</t>
        </is>
      </c>
      <c r="B455" s="1" t="n">
        <v>45930.56592592593</v>
      </c>
      <c r="C455" s="1" t="n">
        <v>45941</v>
      </c>
      <c r="D455" t="inlineStr">
        <is>
          <t>UPPSALA LÄN</t>
        </is>
      </c>
      <c r="E455" t="inlineStr">
        <is>
          <t>ÖSTHAMMAR</t>
        </is>
      </c>
      <c r="G455" t="n">
        <v>0.9</v>
      </c>
      <c r="H455" t="n">
        <v>0</v>
      </c>
      <c r="I455" t="n">
        <v>0</v>
      </c>
      <c r="J455" t="n">
        <v>0</v>
      </c>
      <c r="K455" t="n">
        <v>0</v>
      </c>
      <c r="L455" t="n">
        <v>0</v>
      </c>
      <c r="M455" t="n">
        <v>0</v>
      </c>
      <c r="N455" t="n">
        <v>0</v>
      </c>
      <c r="O455" t="n">
        <v>0</v>
      </c>
      <c r="P455" t="n">
        <v>0</v>
      </c>
      <c r="Q455" t="n">
        <v>0</v>
      </c>
      <c r="R455" s="2" t="inlineStr"/>
    </row>
    <row r="456" ht="15" customHeight="1">
      <c r="A456" t="inlineStr">
        <is>
          <t>A 47337-2025</t>
        </is>
      </c>
      <c r="B456" s="1" t="n">
        <v>45930.56607638889</v>
      </c>
      <c r="C456" s="1" t="n">
        <v>45941</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47338-2025</t>
        </is>
      </c>
      <c r="B457" s="1" t="n">
        <v>45930.56626157407</v>
      </c>
      <c r="C457" s="1" t="n">
        <v>45941</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14505-2023</t>
        </is>
      </c>
      <c r="B458" s="1" t="n">
        <v>45012.7975</v>
      </c>
      <c r="C458" s="1" t="n">
        <v>45941</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60577-2021</t>
        </is>
      </c>
      <c r="B459" s="1" t="n">
        <v>44496.57019675926</v>
      </c>
      <c r="C459" s="1" t="n">
        <v>45941</v>
      </c>
      <c r="D459" t="inlineStr">
        <is>
          <t>UPPSALA LÄN</t>
        </is>
      </c>
      <c r="E459" t="inlineStr">
        <is>
          <t>ÖSTHAMMAR</t>
        </is>
      </c>
      <c r="G459" t="n">
        <v>0.5</v>
      </c>
      <c r="H459" t="n">
        <v>0</v>
      </c>
      <c r="I459" t="n">
        <v>0</v>
      </c>
      <c r="J459" t="n">
        <v>0</v>
      </c>
      <c r="K459" t="n">
        <v>0</v>
      </c>
      <c r="L459" t="n">
        <v>0</v>
      </c>
      <c r="M459" t="n">
        <v>0</v>
      </c>
      <c r="N459" t="n">
        <v>0</v>
      </c>
      <c r="O459" t="n">
        <v>0</v>
      </c>
      <c r="P459" t="n">
        <v>0</v>
      </c>
      <c r="Q459" t="n">
        <v>0</v>
      </c>
      <c r="R459" s="2" t="inlineStr"/>
    </row>
    <row r="460" ht="15" customHeight="1">
      <c r="A460" t="inlineStr">
        <is>
          <t>A 36646-2025</t>
        </is>
      </c>
      <c r="B460" s="1" t="n">
        <v>45872</v>
      </c>
      <c r="C460" s="1" t="n">
        <v>45941</v>
      </c>
      <c r="D460" t="inlineStr">
        <is>
          <t>UPPSALA LÄN</t>
        </is>
      </c>
      <c r="E460" t="inlineStr">
        <is>
          <t>ÖSTHAMMAR</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38886-2025</t>
        </is>
      </c>
      <c r="B461" s="1" t="n">
        <v>45887.58370370371</v>
      </c>
      <c r="C461" s="1" t="n">
        <v>45941</v>
      </c>
      <c r="D461" t="inlineStr">
        <is>
          <t>UPPSALA LÄN</t>
        </is>
      </c>
      <c r="E461" t="inlineStr">
        <is>
          <t>ÖSTHAMMAR</t>
        </is>
      </c>
      <c r="F461" t="inlineStr">
        <is>
          <t>Bergvik skog öst AB</t>
        </is>
      </c>
      <c r="G461" t="n">
        <v>4.7</v>
      </c>
      <c r="H461" t="n">
        <v>0</v>
      </c>
      <c r="I461" t="n">
        <v>0</v>
      </c>
      <c r="J461" t="n">
        <v>0</v>
      </c>
      <c r="K461" t="n">
        <v>0</v>
      </c>
      <c r="L461" t="n">
        <v>0</v>
      </c>
      <c r="M461" t="n">
        <v>0</v>
      </c>
      <c r="N461" t="n">
        <v>0</v>
      </c>
      <c r="O461" t="n">
        <v>0</v>
      </c>
      <c r="P461" t="n">
        <v>0</v>
      </c>
      <c r="Q461" t="n">
        <v>0</v>
      </c>
      <c r="R461" s="2" t="inlineStr"/>
    </row>
    <row r="462" ht="15" customHeight="1">
      <c r="A462" t="inlineStr">
        <is>
          <t>A 13738-2023</t>
        </is>
      </c>
      <c r="B462" s="1" t="n">
        <v>45007.37081018519</v>
      </c>
      <c r="C462" s="1" t="n">
        <v>45941</v>
      </c>
      <c r="D462" t="inlineStr">
        <is>
          <t>UPPSALA LÄN</t>
        </is>
      </c>
      <c r="E462" t="inlineStr">
        <is>
          <t>ÖSTHAMMAR</t>
        </is>
      </c>
      <c r="G462" t="n">
        <v>0.7</v>
      </c>
      <c r="H462" t="n">
        <v>0</v>
      </c>
      <c r="I462" t="n">
        <v>0</v>
      </c>
      <c r="J462" t="n">
        <v>0</v>
      </c>
      <c r="K462" t="n">
        <v>0</v>
      </c>
      <c r="L462" t="n">
        <v>0</v>
      </c>
      <c r="M462" t="n">
        <v>0</v>
      </c>
      <c r="N462" t="n">
        <v>0</v>
      </c>
      <c r="O462" t="n">
        <v>0</v>
      </c>
      <c r="P462" t="n">
        <v>0</v>
      </c>
      <c r="Q462" t="n">
        <v>0</v>
      </c>
      <c r="R462" s="2" t="inlineStr"/>
    </row>
    <row r="463" ht="15" customHeight="1">
      <c r="A463" t="inlineStr">
        <is>
          <t>A 5344-2025</t>
        </is>
      </c>
      <c r="B463" s="1" t="n">
        <v>45692</v>
      </c>
      <c r="C463" s="1" t="n">
        <v>45941</v>
      </c>
      <c r="D463" t="inlineStr">
        <is>
          <t>UPPSALA LÄN</t>
        </is>
      </c>
      <c r="E463" t="inlineStr">
        <is>
          <t>ÖSTHAMMAR</t>
        </is>
      </c>
      <c r="F463" t="inlineStr">
        <is>
          <t>Bergvik skog öst AB</t>
        </is>
      </c>
      <c r="G463" t="n">
        <v>3.2</v>
      </c>
      <c r="H463" t="n">
        <v>0</v>
      </c>
      <c r="I463" t="n">
        <v>0</v>
      </c>
      <c r="J463" t="n">
        <v>0</v>
      </c>
      <c r="K463" t="n">
        <v>0</v>
      </c>
      <c r="L463" t="n">
        <v>0</v>
      </c>
      <c r="M463" t="n">
        <v>0</v>
      </c>
      <c r="N463" t="n">
        <v>0</v>
      </c>
      <c r="O463" t="n">
        <v>0</v>
      </c>
      <c r="P463" t="n">
        <v>0</v>
      </c>
      <c r="Q463" t="n">
        <v>0</v>
      </c>
      <c r="R463" s="2" t="inlineStr"/>
    </row>
    <row r="464" ht="15" customHeight="1">
      <c r="A464" t="inlineStr">
        <is>
          <t>A 62695-2023</t>
        </is>
      </c>
      <c r="B464" s="1" t="n">
        <v>45271</v>
      </c>
      <c r="C464" s="1" t="n">
        <v>45941</v>
      </c>
      <c r="D464" t="inlineStr">
        <is>
          <t>UPPSALA LÄN</t>
        </is>
      </c>
      <c r="E464" t="inlineStr">
        <is>
          <t>ÖSTHAMMAR</t>
        </is>
      </c>
      <c r="G464" t="n">
        <v>5.3</v>
      </c>
      <c r="H464" t="n">
        <v>0</v>
      </c>
      <c r="I464" t="n">
        <v>0</v>
      </c>
      <c r="J464" t="n">
        <v>0</v>
      </c>
      <c r="K464" t="n">
        <v>0</v>
      </c>
      <c r="L464" t="n">
        <v>0</v>
      </c>
      <c r="M464" t="n">
        <v>0</v>
      </c>
      <c r="N464" t="n">
        <v>0</v>
      </c>
      <c r="O464" t="n">
        <v>0</v>
      </c>
      <c r="P464" t="n">
        <v>0</v>
      </c>
      <c r="Q464" t="n">
        <v>0</v>
      </c>
      <c r="R464" s="2" t="inlineStr"/>
    </row>
    <row r="465" ht="15" customHeight="1">
      <c r="A465" t="inlineStr">
        <is>
          <t>A 34971-2022</t>
        </is>
      </c>
      <c r="B465" s="1" t="n">
        <v>44796.66613425926</v>
      </c>
      <c r="C465" s="1" t="n">
        <v>45941</v>
      </c>
      <c r="D465" t="inlineStr">
        <is>
          <t>UPPSALA LÄN</t>
        </is>
      </c>
      <c r="E465" t="inlineStr">
        <is>
          <t>ÖSTHAMMAR</t>
        </is>
      </c>
      <c r="F465" t="inlineStr">
        <is>
          <t>Bergvik skog öst AB</t>
        </is>
      </c>
      <c r="G465" t="n">
        <v>2.3</v>
      </c>
      <c r="H465" t="n">
        <v>0</v>
      </c>
      <c r="I465" t="n">
        <v>0</v>
      </c>
      <c r="J465" t="n">
        <v>0</v>
      </c>
      <c r="K465" t="n">
        <v>0</v>
      </c>
      <c r="L465" t="n">
        <v>0</v>
      </c>
      <c r="M465" t="n">
        <v>0</v>
      </c>
      <c r="N465" t="n">
        <v>0</v>
      </c>
      <c r="O465" t="n">
        <v>0</v>
      </c>
      <c r="P465" t="n">
        <v>0</v>
      </c>
      <c r="Q465" t="n">
        <v>0</v>
      </c>
      <c r="R465" s="2" t="inlineStr"/>
    </row>
    <row r="466" ht="15" customHeight="1">
      <c r="A466" t="inlineStr">
        <is>
          <t>A 47020-2025</t>
        </is>
      </c>
      <c r="B466" s="1" t="n">
        <v>45929.5775</v>
      </c>
      <c r="C466" s="1" t="n">
        <v>45941</v>
      </c>
      <c r="D466" t="inlineStr">
        <is>
          <t>UPPSALA LÄN</t>
        </is>
      </c>
      <c r="E466" t="inlineStr">
        <is>
          <t>ÖSTHAMMAR</t>
        </is>
      </c>
      <c r="G466" t="n">
        <v>2.1</v>
      </c>
      <c r="H466" t="n">
        <v>0</v>
      </c>
      <c r="I466" t="n">
        <v>0</v>
      </c>
      <c r="J466" t="n">
        <v>0</v>
      </c>
      <c r="K466" t="n">
        <v>0</v>
      </c>
      <c r="L466" t="n">
        <v>0</v>
      </c>
      <c r="M466" t="n">
        <v>0</v>
      </c>
      <c r="N466" t="n">
        <v>0</v>
      </c>
      <c r="O466" t="n">
        <v>0</v>
      </c>
      <c r="P466" t="n">
        <v>0</v>
      </c>
      <c r="Q466" t="n">
        <v>0</v>
      </c>
      <c r="R466" s="2" t="inlineStr"/>
    </row>
    <row r="467" ht="15" customHeight="1">
      <c r="A467" t="inlineStr">
        <is>
          <t>A 36643-2025</t>
        </is>
      </c>
      <c r="B467" s="1" t="n">
        <v>45872.47782407407</v>
      </c>
      <c r="C467" s="1" t="n">
        <v>45941</v>
      </c>
      <c r="D467" t="inlineStr">
        <is>
          <t>UPPSALA LÄN</t>
        </is>
      </c>
      <c r="E467" t="inlineStr">
        <is>
          <t>ÖSTHAMMAR</t>
        </is>
      </c>
      <c r="F467" t="inlineStr">
        <is>
          <t>Bergvik skog öst AB</t>
        </is>
      </c>
      <c r="G467" t="n">
        <v>15.1</v>
      </c>
      <c r="H467" t="n">
        <v>0</v>
      </c>
      <c r="I467" t="n">
        <v>0</v>
      </c>
      <c r="J467" t="n">
        <v>0</v>
      </c>
      <c r="K467" t="n">
        <v>0</v>
      </c>
      <c r="L467" t="n">
        <v>0</v>
      </c>
      <c r="M467" t="n">
        <v>0</v>
      </c>
      <c r="N467" t="n">
        <v>0</v>
      </c>
      <c r="O467" t="n">
        <v>0</v>
      </c>
      <c r="P467" t="n">
        <v>0</v>
      </c>
      <c r="Q467" t="n">
        <v>0</v>
      </c>
      <c r="R467" s="2" t="inlineStr"/>
    </row>
    <row r="468" ht="15" customHeight="1">
      <c r="A468" t="inlineStr">
        <is>
          <t>A 55646-2021</t>
        </is>
      </c>
      <c r="B468" s="1" t="n">
        <v>44476.3632175926</v>
      </c>
      <c r="C468" s="1" t="n">
        <v>45941</v>
      </c>
      <c r="D468" t="inlineStr">
        <is>
          <t>UPPSALA LÄN</t>
        </is>
      </c>
      <c r="E468" t="inlineStr">
        <is>
          <t>ÖSTHAMMAR</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47614-2025</t>
        </is>
      </c>
      <c r="B469" s="1" t="n">
        <v>45931.47211805556</v>
      </c>
      <c r="C469" s="1" t="n">
        <v>45941</v>
      </c>
      <c r="D469" t="inlineStr">
        <is>
          <t>UPPSALA LÄN</t>
        </is>
      </c>
      <c r="E469" t="inlineStr">
        <is>
          <t>ÖSTHAMMAR</t>
        </is>
      </c>
      <c r="G469" t="n">
        <v>22.8</v>
      </c>
      <c r="H469" t="n">
        <v>0</v>
      </c>
      <c r="I469" t="n">
        <v>0</v>
      </c>
      <c r="J469" t="n">
        <v>0</v>
      </c>
      <c r="K469" t="n">
        <v>0</v>
      </c>
      <c r="L469" t="n">
        <v>0</v>
      </c>
      <c r="M469" t="n">
        <v>0</v>
      </c>
      <c r="N469" t="n">
        <v>0</v>
      </c>
      <c r="O469" t="n">
        <v>0</v>
      </c>
      <c r="P469" t="n">
        <v>0</v>
      </c>
      <c r="Q469" t="n">
        <v>0</v>
      </c>
      <c r="R469" s="2" t="inlineStr"/>
    </row>
    <row r="470" ht="15" customHeight="1">
      <c r="A470" t="inlineStr">
        <is>
          <t>A 54437-2024</t>
        </is>
      </c>
      <c r="B470" s="1" t="n">
        <v>45617</v>
      </c>
      <c r="C470" s="1" t="n">
        <v>45941</v>
      </c>
      <c r="D470" t="inlineStr">
        <is>
          <t>UPPSALA LÄN</t>
        </is>
      </c>
      <c r="E470" t="inlineStr">
        <is>
          <t>ÖSTHAMMAR</t>
        </is>
      </c>
      <c r="G470" t="n">
        <v>2.1</v>
      </c>
      <c r="H470" t="n">
        <v>0</v>
      </c>
      <c r="I470" t="n">
        <v>0</v>
      </c>
      <c r="J470" t="n">
        <v>0</v>
      </c>
      <c r="K470" t="n">
        <v>0</v>
      </c>
      <c r="L470" t="n">
        <v>0</v>
      </c>
      <c r="M470" t="n">
        <v>0</v>
      </c>
      <c r="N470" t="n">
        <v>0</v>
      </c>
      <c r="O470" t="n">
        <v>0</v>
      </c>
      <c r="P470" t="n">
        <v>0</v>
      </c>
      <c r="Q470" t="n">
        <v>0</v>
      </c>
      <c r="R470" s="2" t="inlineStr"/>
    </row>
    <row r="471" ht="15" customHeight="1">
      <c r="A471" t="inlineStr">
        <is>
          <t>A 16240-2025</t>
        </is>
      </c>
      <c r="B471" s="1" t="n">
        <v>45746</v>
      </c>
      <c r="C471" s="1" t="n">
        <v>45941</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20038-2023</t>
        </is>
      </c>
      <c r="B472" s="1" t="n">
        <v>45054.65834490741</v>
      </c>
      <c r="C472" s="1" t="n">
        <v>45941</v>
      </c>
      <c r="D472" t="inlineStr">
        <is>
          <t>UPPSALA LÄN</t>
        </is>
      </c>
      <c r="E472" t="inlineStr">
        <is>
          <t>ÖSTHAMMAR</t>
        </is>
      </c>
      <c r="G472" t="n">
        <v>0.4</v>
      </c>
      <c r="H472" t="n">
        <v>0</v>
      </c>
      <c r="I472" t="n">
        <v>0</v>
      </c>
      <c r="J472" t="n">
        <v>0</v>
      </c>
      <c r="K472" t="n">
        <v>0</v>
      </c>
      <c r="L472" t="n">
        <v>0</v>
      </c>
      <c r="M472" t="n">
        <v>0</v>
      </c>
      <c r="N472" t="n">
        <v>0</v>
      </c>
      <c r="O472" t="n">
        <v>0</v>
      </c>
      <c r="P472" t="n">
        <v>0</v>
      </c>
      <c r="Q472" t="n">
        <v>0</v>
      </c>
      <c r="R472" s="2" t="inlineStr"/>
    </row>
    <row r="473" ht="15" customHeight="1">
      <c r="A473" t="inlineStr">
        <is>
          <t>A 6121-2024</t>
        </is>
      </c>
      <c r="B473" s="1" t="n">
        <v>45337.4219212963</v>
      </c>
      <c r="C473" s="1" t="n">
        <v>45941</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47615-2025</t>
        </is>
      </c>
      <c r="B474" s="1" t="n">
        <v>45931.47542824074</v>
      </c>
      <c r="C474" s="1" t="n">
        <v>45941</v>
      </c>
      <c r="D474" t="inlineStr">
        <is>
          <t>UPPSALA LÄN</t>
        </is>
      </c>
      <c r="E474" t="inlineStr">
        <is>
          <t>ÖSTHAMMAR</t>
        </is>
      </c>
      <c r="G474" t="n">
        <v>7</v>
      </c>
      <c r="H474" t="n">
        <v>0</v>
      </c>
      <c r="I474" t="n">
        <v>0</v>
      </c>
      <c r="J474" t="n">
        <v>0</v>
      </c>
      <c r="K474" t="n">
        <v>0</v>
      </c>
      <c r="L474" t="n">
        <v>0</v>
      </c>
      <c r="M474" t="n">
        <v>0</v>
      </c>
      <c r="N474" t="n">
        <v>0</v>
      </c>
      <c r="O474" t="n">
        <v>0</v>
      </c>
      <c r="P474" t="n">
        <v>0</v>
      </c>
      <c r="Q474" t="n">
        <v>0</v>
      </c>
      <c r="R474" s="2" t="inlineStr"/>
    </row>
    <row r="475" ht="15" customHeight="1">
      <c r="A475" t="inlineStr">
        <is>
          <t>A 23742-2024</t>
        </is>
      </c>
      <c r="B475" s="1" t="n">
        <v>45455</v>
      </c>
      <c r="C475" s="1" t="n">
        <v>45941</v>
      </c>
      <c r="D475" t="inlineStr">
        <is>
          <t>UPPSALA LÄN</t>
        </is>
      </c>
      <c r="E475" t="inlineStr">
        <is>
          <t>ÖSTHAMMAR</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36645-2025</t>
        </is>
      </c>
      <c r="B476" s="1" t="n">
        <v>45872</v>
      </c>
      <c r="C476" s="1" t="n">
        <v>45941</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36644-2025</t>
        </is>
      </c>
      <c r="B477" s="1" t="n">
        <v>45872.48738425926</v>
      </c>
      <c r="C477" s="1" t="n">
        <v>45941</v>
      </c>
      <c r="D477" t="inlineStr">
        <is>
          <t>UPPSALA LÄN</t>
        </is>
      </c>
      <c r="E477" t="inlineStr">
        <is>
          <t>ÖSTHAMMAR</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8699-2025</t>
        </is>
      </c>
      <c r="B478" s="1" t="n">
        <v>45712.47983796296</v>
      </c>
      <c r="C478" s="1" t="n">
        <v>45941</v>
      </c>
      <c r="D478" t="inlineStr">
        <is>
          <t>UPPSALA LÄN</t>
        </is>
      </c>
      <c r="E478" t="inlineStr">
        <is>
          <t>ÖSTHAMMAR</t>
        </is>
      </c>
      <c r="G478" t="n">
        <v>5.6</v>
      </c>
      <c r="H478" t="n">
        <v>0</v>
      </c>
      <c r="I478" t="n">
        <v>0</v>
      </c>
      <c r="J478" t="n">
        <v>0</v>
      </c>
      <c r="K478" t="n">
        <v>0</v>
      </c>
      <c r="L478" t="n">
        <v>0</v>
      </c>
      <c r="M478" t="n">
        <v>0</v>
      </c>
      <c r="N478" t="n">
        <v>0</v>
      </c>
      <c r="O478" t="n">
        <v>0</v>
      </c>
      <c r="P478" t="n">
        <v>0</v>
      </c>
      <c r="Q478" t="n">
        <v>0</v>
      </c>
      <c r="R478" s="2" t="inlineStr"/>
    </row>
    <row r="479" ht="15" customHeight="1">
      <c r="A479" t="inlineStr">
        <is>
          <t>A 15031-2025</t>
        </is>
      </c>
      <c r="B479" s="1" t="n">
        <v>45743.67333333333</v>
      </c>
      <c r="C479" s="1" t="n">
        <v>45941</v>
      </c>
      <c r="D479" t="inlineStr">
        <is>
          <t>UPPSALA LÄN</t>
        </is>
      </c>
      <c r="E479" t="inlineStr">
        <is>
          <t>ÖSTHAMMAR</t>
        </is>
      </c>
      <c r="G479" t="n">
        <v>9.6</v>
      </c>
      <c r="H479" t="n">
        <v>0</v>
      </c>
      <c r="I479" t="n">
        <v>0</v>
      </c>
      <c r="J479" t="n">
        <v>0</v>
      </c>
      <c r="K479" t="n">
        <v>0</v>
      </c>
      <c r="L479" t="n">
        <v>0</v>
      </c>
      <c r="M479" t="n">
        <v>0</v>
      </c>
      <c r="N479" t="n">
        <v>0</v>
      </c>
      <c r="O479" t="n">
        <v>0</v>
      </c>
      <c r="P479" t="n">
        <v>0</v>
      </c>
      <c r="Q479" t="n">
        <v>0</v>
      </c>
      <c r="R479" s="2" t="inlineStr"/>
    </row>
    <row r="480" ht="15" customHeight="1">
      <c r="A480" t="inlineStr">
        <is>
          <t>A 29282-2021</t>
        </is>
      </c>
      <c r="B480" s="1" t="n">
        <v>44361</v>
      </c>
      <c r="C480" s="1" t="n">
        <v>45941</v>
      </c>
      <c r="D480" t="inlineStr">
        <is>
          <t>UPPSALA LÄN</t>
        </is>
      </c>
      <c r="E480" t="inlineStr">
        <is>
          <t>ÖSTHAMMAR</t>
        </is>
      </c>
      <c r="G480" t="n">
        <v>2.4</v>
      </c>
      <c r="H480" t="n">
        <v>0</v>
      </c>
      <c r="I480" t="n">
        <v>0</v>
      </c>
      <c r="J480" t="n">
        <v>0</v>
      </c>
      <c r="K480" t="n">
        <v>0</v>
      </c>
      <c r="L480" t="n">
        <v>0</v>
      </c>
      <c r="M480" t="n">
        <v>0</v>
      </c>
      <c r="N480" t="n">
        <v>0</v>
      </c>
      <c r="O480" t="n">
        <v>0</v>
      </c>
      <c r="P480" t="n">
        <v>0</v>
      </c>
      <c r="Q480" t="n">
        <v>0</v>
      </c>
      <c r="R480" s="2" t="inlineStr"/>
    </row>
    <row r="481" ht="15" customHeight="1">
      <c r="A481" t="inlineStr">
        <is>
          <t>A 44491-2025</t>
        </is>
      </c>
      <c r="B481" s="1" t="n">
        <v>45916.66152777777</v>
      </c>
      <c r="C481" s="1" t="n">
        <v>45941</v>
      </c>
      <c r="D481" t="inlineStr">
        <is>
          <t>UPPSALA LÄN</t>
        </is>
      </c>
      <c r="E481" t="inlineStr">
        <is>
          <t>ÖSTHAMMAR</t>
        </is>
      </c>
      <c r="F481" t="inlineStr">
        <is>
          <t>Bergvik skog öst AB</t>
        </is>
      </c>
      <c r="G481" t="n">
        <v>4.3</v>
      </c>
      <c r="H481" t="n">
        <v>0</v>
      </c>
      <c r="I481" t="n">
        <v>0</v>
      </c>
      <c r="J481" t="n">
        <v>0</v>
      </c>
      <c r="K481" t="n">
        <v>0</v>
      </c>
      <c r="L481" t="n">
        <v>0</v>
      </c>
      <c r="M481" t="n">
        <v>0</v>
      </c>
      <c r="N481" t="n">
        <v>0</v>
      </c>
      <c r="O481" t="n">
        <v>0</v>
      </c>
      <c r="P481" t="n">
        <v>0</v>
      </c>
      <c r="Q481" t="n">
        <v>0</v>
      </c>
      <c r="R481" s="2" t="inlineStr"/>
    </row>
    <row r="482" ht="15" customHeight="1">
      <c r="A482" t="inlineStr">
        <is>
          <t>A 48654-2025</t>
        </is>
      </c>
      <c r="B482" s="1" t="n">
        <v>45936.55887731481</v>
      </c>
      <c r="C482" s="1" t="n">
        <v>45941</v>
      </c>
      <c r="D482" t="inlineStr">
        <is>
          <t>UPPSALA LÄN</t>
        </is>
      </c>
      <c r="E482" t="inlineStr">
        <is>
          <t>ÖSTHAMMAR</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60555-2023</t>
        </is>
      </c>
      <c r="B483" s="1" t="n">
        <v>45259</v>
      </c>
      <c r="C483" s="1" t="n">
        <v>45941</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6039-2025</t>
        </is>
      </c>
      <c r="B484" s="1" t="n">
        <v>45695</v>
      </c>
      <c r="C484" s="1" t="n">
        <v>45941</v>
      </c>
      <c r="D484" t="inlineStr">
        <is>
          <t>UPPSALA LÄN</t>
        </is>
      </c>
      <c r="E484" t="inlineStr">
        <is>
          <t>ÖSTHAMMAR</t>
        </is>
      </c>
      <c r="G484" t="n">
        <v>2.3</v>
      </c>
      <c r="H484" t="n">
        <v>0</v>
      </c>
      <c r="I484" t="n">
        <v>0</v>
      </c>
      <c r="J484" t="n">
        <v>0</v>
      </c>
      <c r="K484" t="n">
        <v>0</v>
      </c>
      <c r="L484" t="n">
        <v>0</v>
      </c>
      <c r="M484" t="n">
        <v>0</v>
      </c>
      <c r="N484" t="n">
        <v>0</v>
      </c>
      <c r="O484" t="n">
        <v>0</v>
      </c>
      <c r="P484" t="n">
        <v>0</v>
      </c>
      <c r="Q484" t="n">
        <v>0</v>
      </c>
      <c r="R484" s="2" t="inlineStr"/>
    </row>
    <row r="485" ht="15" customHeight="1">
      <c r="A485" t="inlineStr">
        <is>
          <t>A 60584-2021</t>
        </is>
      </c>
      <c r="B485" s="1" t="n">
        <v>44496</v>
      </c>
      <c r="C485" s="1" t="n">
        <v>45941</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44917-2025</t>
        </is>
      </c>
      <c r="B486" s="1" t="n">
        <v>45918.54903935185</v>
      </c>
      <c r="C486" s="1" t="n">
        <v>45941</v>
      </c>
      <c r="D486" t="inlineStr">
        <is>
          <t>UPPSALA LÄN</t>
        </is>
      </c>
      <c r="E486" t="inlineStr">
        <is>
          <t>ÖSTHAMMAR</t>
        </is>
      </c>
      <c r="F486" t="inlineStr">
        <is>
          <t>Allmännings- och besparingsskogar</t>
        </is>
      </c>
      <c r="G486" t="n">
        <v>16</v>
      </c>
      <c r="H486" t="n">
        <v>0</v>
      </c>
      <c r="I486" t="n">
        <v>0</v>
      </c>
      <c r="J486" t="n">
        <v>0</v>
      </c>
      <c r="K486" t="n">
        <v>0</v>
      </c>
      <c r="L486" t="n">
        <v>0</v>
      </c>
      <c r="M486" t="n">
        <v>0</v>
      </c>
      <c r="N486" t="n">
        <v>0</v>
      </c>
      <c r="O486" t="n">
        <v>0</v>
      </c>
      <c r="P486" t="n">
        <v>0</v>
      </c>
      <c r="Q486" t="n">
        <v>0</v>
      </c>
      <c r="R486" s="2" t="inlineStr"/>
    </row>
    <row r="487" ht="15" customHeight="1">
      <c r="A487" t="inlineStr">
        <is>
          <t>A 8769-2025</t>
        </is>
      </c>
      <c r="B487" s="1" t="n">
        <v>45712.59412037037</v>
      </c>
      <c r="C487" s="1" t="n">
        <v>45941</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40044-2025</t>
        </is>
      </c>
      <c r="B488" s="1" t="n">
        <v>45894.40133101852</v>
      </c>
      <c r="C488" s="1" t="n">
        <v>45941</v>
      </c>
      <c r="D488" t="inlineStr">
        <is>
          <t>UPPSALA LÄN</t>
        </is>
      </c>
      <c r="E488" t="inlineStr">
        <is>
          <t>ÖSTHAMMAR</t>
        </is>
      </c>
      <c r="F488" t="inlineStr">
        <is>
          <t>Kyrkan</t>
        </is>
      </c>
      <c r="G488" t="n">
        <v>8.9</v>
      </c>
      <c r="H488" t="n">
        <v>0</v>
      </c>
      <c r="I488" t="n">
        <v>0</v>
      </c>
      <c r="J488" t="n">
        <v>0</v>
      </c>
      <c r="K488" t="n">
        <v>0</v>
      </c>
      <c r="L488" t="n">
        <v>0</v>
      </c>
      <c r="M488" t="n">
        <v>0</v>
      </c>
      <c r="N488" t="n">
        <v>0</v>
      </c>
      <c r="O488" t="n">
        <v>0</v>
      </c>
      <c r="P488" t="n">
        <v>0</v>
      </c>
      <c r="Q488" t="n">
        <v>0</v>
      </c>
      <c r="R488" s="2" t="inlineStr"/>
    </row>
    <row r="489" ht="15" customHeight="1">
      <c r="A489" t="inlineStr">
        <is>
          <t>A 40016-2025</t>
        </is>
      </c>
      <c r="B489" s="1" t="n">
        <v>45894.34747685185</v>
      </c>
      <c r="C489" s="1" t="n">
        <v>45941</v>
      </c>
      <c r="D489" t="inlineStr">
        <is>
          <t>UPPSALA LÄN</t>
        </is>
      </c>
      <c r="E489" t="inlineStr">
        <is>
          <t>ÖSTHAMMAR</t>
        </is>
      </c>
      <c r="F489" t="inlineStr">
        <is>
          <t>Kyrkan</t>
        </is>
      </c>
      <c r="G489" t="n">
        <v>6.6</v>
      </c>
      <c r="H489" t="n">
        <v>0</v>
      </c>
      <c r="I489" t="n">
        <v>0</v>
      </c>
      <c r="J489" t="n">
        <v>0</v>
      </c>
      <c r="K489" t="n">
        <v>0</v>
      </c>
      <c r="L489" t="n">
        <v>0</v>
      </c>
      <c r="M489" t="n">
        <v>0</v>
      </c>
      <c r="N489" t="n">
        <v>0</v>
      </c>
      <c r="O489" t="n">
        <v>0</v>
      </c>
      <c r="P489" t="n">
        <v>0</v>
      </c>
      <c r="Q489" t="n">
        <v>0</v>
      </c>
      <c r="R489" s="2" t="inlineStr"/>
    </row>
    <row r="490" ht="15" customHeight="1">
      <c r="A490" t="inlineStr">
        <is>
          <t>A 20326-2021</t>
        </is>
      </c>
      <c r="B490" s="1" t="n">
        <v>44308</v>
      </c>
      <c r="C490" s="1" t="n">
        <v>45941</v>
      </c>
      <c r="D490" t="inlineStr">
        <is>
          <t>UPPSALA LÄN</t>
        </is>
      </c>
      <c r="E490" t="inlineStr">
        <is>
          <t>ÖSTHAMMAR</t>
        </is>
      </c>
      <c r="G490" t="n">
        <v>7</v>
      </c>
      <c r="H490" t="n">
        <v>0</v>
      </c>
      <c r="I490" t="n">
        <v>0</v>
      </c>
      <c r="J490" t="n">
        <v>0</v>
      </c>
      <c r="K490" t="n">
        <v>0</v>
      </c>
      <c r="L490" t="n">
        <v>0</v>
      </c>
      <c r="M490" t="n">
        <v>0</v>
      </c>
      <c r="N490" t="n">
        <v>0</v>
      </c>
      <c r="O490" t="n">
        <v>0</v>
      </c>
      <c r="P490" t="n">
        <v>0</v>
      </c>
      <c r="Q490" t="n">
        <v>0</v>
      </c>
      <c r="R490" s="2" t="inlineStr"/>
    </row>
    <row r="491" ht="15" customHeight="1">
      <c r="A491" t="inlineStr">
        <is>
          <t>A 55086-2024</t>
        </is>
      </c>
      <c r="B491" s="1" t="n">
        <v>45621.43098379629</v>
      </c>
      <c r="C491" s="1" t="n">
        <v>45941</v>
      </c>
      <c r="D491" t="inlineStr">
        <is>
          <t>UPPSALA LÄN</t>
        </is>
      </c>
      <c r="E491" t="inlineStr">
        <is>
          <t>ÖSTHAMMAR</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55090-2024</t>
        </is>
      </c>
      <c r="B492" s="1" t="n">
        <v>45621.4350462963</v>
      </c>
      <c r="C492" s="1" t="n">
        <v>45941</v>
      </c>
      <c r="D492" t="inlineStr">
        <is>
          <t>UPPSALA LÄN</t>
        </is>
      </c>
      <c r="E492" t="inlineStr">
        <is>
          <t>ÖSTHAMMAR</t>
        </is>
      </c>
      <c r="F492" t="inlineStr">
        <is>
          <t>Sveaskog</t>
        </is>
      </c>
      <c r="G492" t="n">
        <v>4.4</v>
      </c>
      <c r="H492" t="n">
        <v>0</v>
      </c>
      <c r="I492" t="n">
        <v>0</v>
      </c>
      <c r="J492" t="n">
        <v>0</v>
      </c>
      <c r="K492" t="n">
        <v>0</v>
      </c>
      <c r="L492" t="n">
        <v>0</v>
      </c>
      <c r="M492" t="n">
        <v>0</v>
      </c>
      <c r="N492" t="n">
        <v>0</v>
      </c>
      <c r="O492" t="n">
        <v>0</v>
      </c>
      <c r="P492" t="n">
        <v>0</v>
      </c>
      <c r="Q492" t="n">
        <v>0</v>
      </c>
      <c r="R492" s="2" t="inlineStr"/>
    </row>
    <row r="493" ht="15" customHeight="1">
      <c r="A493" t="inlineStr">
        <is>
          <t>A 55093-2024</t>
        </is>
      </c>
      <c r="B493" s="1" t="n">
        <v>45621.43712962963</v>
      </c>
      <c r="C493" s="1" t="n">
        <v>45941</v>
      </c>
      <c r="D493" t="inlineStr">
        <is>
          <t>UPPSALA LÄN</t>
        </is>
      </c>
      <c r="E493" t="inlineStr">
        <is>
          <t>ÖSTHAMMAR</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17652-2025</t>
        </is>
      </c>
      <c r="B494" s="1" t="n">
        <v>45758.33583333333</v>
      </c>
      <c r="C494" s="1" t="n">
        <v>45941</v>
      </c>
      <c r="D494" t="inlineStr">
        <is>
          <t>UPPSALA LÄN</t>
        </is>
      </c>
      <c r="E494" t="inlineStr">
        <is>
          <t>ÖSTHAMMAR</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48719-2023</t>
        </is>
      </c>
      <c r="B495" s="1" t="n">
        <v>45208.70452546296</v>
      </c>
      <c r="C495" s="1" t="n">
        <v>45941</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33784-2024</t>
        </is>
      </c>
      <c r="B496" s="1" t="n">
        <v>45520</v>
      </c>
      <c r="C496" s="1" t="n">
        <v>45941</v>
      </c>
      <c r="D496" t="inlineStr">
        <is>
          <t>UPPSALA LÄN</t>
        </is>
      </c>
      <c r="E496" t="inlineStr">
        <is>
          <t>ÖSTHAMMAR</t>
        </is>
      </c>
      <c r="F496" t="inlineStr">
        <is>
          <t>Naturvårdsverket</t>
        </is>
      </c>
      <c r="G496" t="n">
        <v>0.6</v>
      </c>
      <c r="H496" t="n">
        <v>0</v>
      </c>
      <c r="I496" t="n">
        <v>0</v>
      </c>
      <c r="J496" t="n">
        <v>0</v>
      </c>
      <c r="K496" t="n">
        <v>0</v>
      </c>
      <c r="L496" t="n">
        <v>0</v>
      </c>
      <c r="M496" t="n">
        <v>0</v>
      </c>
      <c r="N496" t="n">
        <v>0</v>
      </c>
      <c r="O496" t="n">
        <v>0</v>
      </c>
      <c r="P496" t="n">
        <v>0</v>
      </c>
      <c r="Q496" t="n">
        <v>0</v>
      </c>
      <c r="R496" s="2" t="inlineStr"/>
    </row>
    <row r="497" ht="15" customHeight="1">
      <c r="A497" t="inlineStr">
        <is>
          <t>A 28432-2023</t>
        </is>
      </c>
      <c r="B497" s="1" t="n">
        <v>45102.59896990741</v>
      </c>
      <c r="C497" s="1" t="n">
        <v>45941</v>
      </c>
      <c r="D497" t="inlineStr">
        <is>
          <t>UPPSALA LÄN</t>
        </is>
      </c>
      <c r="E497" t="inlineStr">
        <is>
          <t>ÖSTHAMMAR</t>
        </is>
      </c>
      <c r="F497" t="inlineStr">
        <is>
          <t>Bergvik skog öst AB</t>
        </is>
      </c>
      <c r="G497" t="n">
        <v>3.9</v>
      </c>
      <c r="H497" t="n">
        <v>0</v>
      </c>
      <c r="I497" t="n">
        <v>0</v>
      </c>
      <c r="J497" t="n">
        <v>0</v>
      </c>
      <c r="K497" t="n">
        <v>0</v>
      </c>
      <c r="L497" t="n">
        <v>0</v>
      </c>
      <c r="M497" t="n">
        <v>0</v>
      </c>
      <c r="N497" t="n">
        <v>0</v>
      </c>
      <c r="O497" t="n">
        <v>0</v>
      </c>
      <c r="P497" t="n">
        <v>0</v>
      </c>
      <c r="Q497" t="n">
        <v>0</v>
      </c>
      <c r="R497" s="2" t="inlineStr"/>
    </row>
    <row r="498" ht="15" customHeight="1">
      <c r="A498" t="inlineStr">
        <is>
          <t>A 43915-2023</t>
        </is>
      </c>
      <c r="B498" s="1" t="n">
        <v>45187.71274305556</v>
      </c>
      <c r="C498" s="1" t="n">
        <v>45941</v>
      </c>
      <c r="D498" t="inlineStr">
        <is>
          <t>UPPSALA LÄN</t>
        </is>
      </c>
      <c r="E498" t="inlineStr">
        <is>
          <t>ÖSTHAMMAR</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33601-2024</t>
        </is>
      </c>
      <c r="B499" s="1" t="n">
        <v>45520</v>
      </c>
      <c r="C499" s="1" t="n">
        <v>45941</v>
      </c>
      <c r="D499" t="inlineStr">
        <is>
          <t>UPPSALA LÄN</t>
        </is>
      </c>
      <c r="E499" t="inlineStr">
        <is>
          <t>ÖSTHAMMAR</t>
        </is>
      </c>
      <c r="F499" t="inlineStr">
        <is>
          <t>Övriga Aktiebolag</t>
        </is>
      </c>
      <c r="G499" t="n">
        <v>2.5</v>
      </c>
      <c r="H499" t="n">
        <v>0</v>
      </c>
      <c r="I499" t="n">
        <v>0</v>
      </c>
      <c r="J499" t="n">
        <v>0</v>
      </c>
      <c r="K499" t="n">
        <v>0</v>
      </c>
      <c r="L499" t="n">
        <v>0</v>
      </c>
      <c r="M499" t="n">
        <v>0</v>
      </c>
      <c r="N499" t="n">
        <v>0</v>
      </c>
      <c r="O499" t="n">
        <v>0</v>
      </c>
      <c r="P499" t="n">
        <v>0</v>
      </c>
      <c r="Q499" t="n">
        <v>0</v>
      </c>
      <c r="R499" s="2" t="inlineStr"/>
    </row>
    <row r="500" ht="15" customHeight="1">
      <c r="A500" t="inlineStr">
        <is>
          <t>A 13352-2023</t>
        </is>
      </c>
      <c r="B500" s="1" t="n">
        <v>45005</v>
      </c>
      <c r="C500" s="1" t="n">
        <v>45941</v>
      </c>
      <c r="D500" t="inlineStr">
        <is>
          <t>UPPSALA LÄN</t>
        </is>
      </c>
      <c r="E500" t="inlineStr">
        <is>
          <t>ÖSTHAMMAR</t>
        </is>
      </c>
      <c r="G500" t="n">
        <v>1.8</v>
      </c>
      <c r="H500" t="n">
        <v>0</v>
      </c>
      <c r="I500" t="n">
        <v>0</v>
      </c>
      <c r="J500" t="n">
        <v>0</v>
      </c>
      <c r="K500" t="n">
        <v>0</v>
      </c>
      <c r="L500" t="n">
        <v>0</v>
      </c>
      <c r="M500" t="n">
        <v>0</v>
      </c>
      <c r="N500" t="n">
        <v>0</v>
      </c>
      <c r="O500" t="n">
        <v>0</v>
      </c>
      <c r="P500" t="n">
        <v>0</v>
      </c>
      <c r="Q500" t="n">
        <v>0</v>
      </c>
      <c r="R500" s="2" t="inlineStr"/>
    </row>
    <row r="501" ht="15" customHeight="1">
      <c r="A501" t="inlineStr">
        <is>
          <t>A 40416-2025</t>
        </is>
      </c>
      <c r="B501" s="1" t="n">
        <v>45895.57736111111</v>
      </c>
      <c r="C501" s="1" t="n">
        <v>45941</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40377-2025</t>
        </is>
      </c>
      <c r="B502" s="1" t="n">
        <v>45895.53020833333</v>
      </c>
      <c r="C502" s="1" t="n">
        <v>45941</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19009-2023</t>
        </is>
      </c>
      <c r="B503" s="1" t="n">
        <v>45045</v>
      </c>
      <c r="C503" s="1" t="n">
        <v>45941</v>
      </c>
      <c r="D503" t="inlineStr">
        <is>
          <t>UPPSALA LÄN</t>
        </is>
      </c>
      <c r="E503" t="inlineStr">
        <is>
          <t>ÖSTHAMMAR</t>
        </is>
      </c>
      <c r="F503" t="inlineStr">
        <is>
          <t>Bergvik skog öst AB</t>
        </is>
      </c>
      <c r="G503" t="n">
        <v>0.2</v>
      </c>
      <c r="H503" t="n">
        <v>0</v>
      </c>
      <c r="I503" t="n">
        <v>0</v>
      </c>
      <c r="J503" t="n">
        <v>0</v>
      </c>
      <c r="K503" t="n">
        <v>0</v>
      </c>
      <c r="L503" t="n">
        <v>0</v>
      </c>
      <c r="M503" t="n">
        <v>0</v>
      </c>
      <c r="N503" t="n">
        <v>0</v>
      </c>
      <c r="O503" t="n">
        <v>0</v>
      </c>
      <c r="P503" t="n">
        <v>0</v>
      </c>
      <c r="Q503" t="n">
        <v>0</v>
      </c>
      <c r="R503" s="2" t="inlineStr"/>
    </row>
    <row r="504" ht="15" customHeight="1">
      <c r="A504" t="inlineStr">
        <is>
          <t>A 40462-2025</t>
        </is>
      </c>
      <c r="B504" s="1" t="n">
        <v>45895.65179398148</v>
      </c>
      <c r="C504" s="1" t="n">
        <v>45941</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36343-2022</t>
        </is>
      </c>
      <c r="B505" s="1" t="n">
        <v>44803.78524305556</v>
      </c>
      <c r="C505" s="1" t="n">
        <v>45941</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357-2025</t>
        </is>
      </c>
      <c r="B506" s="1" t="n">
        <v>45659</v>
      </c>
      <c r="C506" s="1" t="n">
        <v>45941</v>
      </c>
      <c r="D506" t="inlineStr">
        <is>
          <t>UPPSALA LÄN</t>
        </is>
      </c>
      <c r="E506" t="inlineStr">
        <is>
          <t>ÖSTHAMMAR</t>
        </is>
      </c>
      <c r="G506" t="n">
        <v>15.8</v>
      </c>
      <c r="H506" t="n">
        <v>0</v>
      </c>
      <c r="I506" t="n">
        <v>0</v>
      </c>
      <c r="J506" t="n">
        <v>0</v>
      </c>
      <c r="K506" t="n">
        <v>0</v>
      </c>
      <c r="L506" t="n">
        <v>0</v>
      </c>
      <c r="M506" t="n">
        <v>0</v>
      </c>
      <c r="N506" t="n">
        <v>0</v>
      </c>
      <c r="O506" t="n">
        <v>0</v>
      </c>
      <c r="P506" t="n">
        <v>0</v>
      </c>
      <c r="Q506" t="n">
        <v>0</v>
      </c>
      <c r="R506" s="2" t="inlineStr"/>
    </row>
    <row r="507" ht="15" customHeight="1">
      <c r="A507" t="inlineStr">
        <is>
          <t>A 40570-2025</t>
        </is>
      </c>
      <c r="B507" s="1" t="n">
        <v>45896.47878472223</v>
      </c>
      <c r="C507" s="1" t="n">
        <v>45941</v>
      </c>
      <c r="D507" t="inlineStr">
        <is>
          <t>UPPSALA LÄN</t>
        </is>
      </c>
      <c r="E507" t="inlineStr">
        <is>
          <t>ÖSTHAMMAR</t>
        </is>
      </c>
      <c r="F507" t="inlineStr">
        <is>
          <t>Övriga Aktiebolag</t>
        </is>
      </c>
      <c r="G507" t="n">
        <v>4.8</v>
      </c>
      <c r="H507" t="n">
        <v>0</v>
      </c>
      <c r="I507" t="n">
        <v>0</v>
      </c>
      <c r="J507" t="n">
        <v>0</v>
      </c>
      <c r="K507" t="n">
        <v>0</v>
      </c>
      <c r="L507" t="n">
        <v>0</v>
      </c>
      <c r="M507" t="n">
        <v>0</v>
      </c>
      <c r="N507" t="n">
        <v>0</v>
      </c>
      <c r="O507" t="n">
        <v>0</v>
      </c>
      <c r="P507" t="n">
        <v>0</v>
      </c>
      <c r="Q507" t="n">
        <v>0</v>
      </c>
      <c r="R507" s="2" t="inlineStr"/>
    </row>
    <row r="508" ht="15" customHeight="1">
      <c r="A508" t="inlineStr">
        <is>
          <t>A 68828-2020</t>
        </is>
      </c>
      <c r="B508" s="1" t="n">
        <v>44186</v>
      </c>
      <c r="C508" s="1" t="n">
        <v>45941</v>
      </c>
      <c r="D508" t="inlineStr">
        <is>
          <t>UPPSALA LÄN</t>
        </is>
      </c>
      <c r="E508" t="inlineStr">
        <is>
          <t>ÖSTHAMMAR</t>
        </is>
      </c>
      <c r="G508" t="n">
        <v>1.5</v>
      </c>
      <c r="H508" t="n">
        <v>0</v>
      </c>
      <c r="I508" t="n">
        <v>0</v>
      </c>
      <c r="J508" t="n">
        <v>0</v>
      </c>
      <c r="K508" t="n">
        <v>0</v>
      </c>
      <c r="L508" t="n">
        <v>0</v>
      </c>
      <c r="M508" t="n">
        <v>0</v>
      </c>
      <c r="N508" t="n">
        <v>0</v>
      </c>
      <c r="O508" t="n">
        <v>0</v>
      </c>
      <c r="P508" t="n">
        <v>0</v>
      </c>
      <c r="Q508" t="n">
        <v>0</v>
      </c>
      <c r="R508" s="2" t="inlineStr"/>
    </row>
    <row r="509" ht="15" customHeight="1">
      <c r="A509" t="inlineStr">
        <is>
          <t>A 40382-2025</t>
        </is>
      </c>
      <c r="B509" s="1" t="n">
        <v>45895.53689814815</v>
      </c>
      <c r="C509" s="1" t="n">
        <v>45941</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40384-2025</t>
        </is>
      </c>
      <c r="B510" s="1" t="n">
        <v>45895.54085648148</v>
      </c>
      <c r="C510" s="1" t="n">
        <v>45941</v>
      </c>
      <c r="D510" t="inlineStr">
        <is>
          <t>UPPSALA LÄN</t>
        </is>
      </c>
      <c r="E510" t="inlineStr">
        <is>
          <t>ÖSTHAMMAR</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4151-2021</t>
        </is>
      </c>
      <c r="B511" s="1" t="n">
        <v>44221</v>
      </c>
      <c r="C511" s="1" t="n">
        <v>45941</v>
      </c>
      <c r="D511" t="inlineStr">
        <is>
          <t>UPPSALA LÄN</t>
        </is>
      </c>
      <c r="E511" t="inlineStr">
        <is>
          <t>ÖSTHAMMAR</t>
        </is>
      </c>
      <c r="G511" t="n">
        <v>2.9</v>
      </c>
      <c r="H511" t="n">
        <v>0</v>
      </c>
      <c r="I511" t="n">
        <v>0</v>
      </c>
      <c r="J511" t="n">
        <v>0</v>
      </c>
      <c r="K511" t="n">
        <v>0</v>
      </c>
      <c r="L511" t="n">
        <v>0</v>
      </c>
      <c r="M511" t="n">
        <v>0</v>
      </c>
      <c r="N511" t="n">
        <v>0</v>
      </c>
      <c r="O511" t="n">
        <v>0</v>
      </c>
      <c r="P511" t="n">
        <v>0</v>
      </c>
      <c r="Q511" t="n">
        <v>0</v>
      </c>
      <c r="R511" s="2" t="inlineStr"/>
    </row>
    <row r="512" ht="15" customHeight="1">
      <c r="A512" t="inlineStr">
        <is>
          <t>A 18731-2022</t>
        </is>
      </c>
      <c r="B512" s="1" t="n">
        <v>44687.78673611111</v>
      </c>
      <c r="C512" s="1" t="n">
        <v>45941</v>
      </c>
      <c r="D512" t="inlineStr">
        <is>
          <t>UPPSALA LÄN</t>
        </is>
      </c>
      <c r="E512" t="inlineStr">
        <is>
          <t>ÖSTHAMMAR</t>
        </is>
      </c>
      <c r="G512" t="n">
        <v>4.9</v>
      </c>
      <c r="H512" t="n">
        <v>0</v>
      </c>
      <c r="I512" t="n">
        <v>0</v>
      </c>
      <c r="J512" t="n">
        <v>0</v>
      </c>
      <c r="K512" t="n">
        <v>0</v>
      </c>
      <c r="L512" t="n">
        <v>0</v>
      </c>
      <c r="M512" t="n">
        <v>0</v>
      </c>
      <c r="N512" t="n">
        <v>0</v>
      </c>
      <c r="O512" t="n">
        <v>0</v>
      </c>
      <c r="P512" t="n">
        <v>0</v>
      </c>
      <c r="Q512" t="n">
        <v>0</v>
      </c>
      <c r="R512" s="2" t="inlineStr"/>
    </row>
    <row r="513" ht="15" customHeight="1">
      <c r="A513" t="inlineStr">
        <is>
          <t>A 40460-2025</t>
        </is>
      </c>
      <c r="B513" s="1" t="n">
        <v>45895.65013888889</v>
      </c>
      <c r="C513" s="1" t="n">
        <v>45941</v>
      </c>
      <c r="D513" t="inlineStr">
        <is>
          <t>UPPSALA LÄN</t>
        </is>
      </c>
      <c r="E513" t="inlineStr">
        <is>
          <t>ÖSTHAMMAR</t>
        </is>
      </c>
      <c r="G513" t="n">
        <v>2.7</v>
      </c>
      <c r="H513" t="n">
        <v>0</v>
      </c>
      <c r="I513" t="n">
        <v>0</v>
      </c>
      <c r="J513" t="n">
        <v>0</v>
      </c>
      <c r="K513" t="n">
        <v>0</v>
      </c>
      <c r="L513" t="n">
        <v>0</v>
      </c>
      <c r="M513" t="n">
        <v>0</v>
      </c>
      <c r="N513" t="n">
        <v>0</v>
      </c>
      <c r="O513" t="n">
        <v>0</v>
      </c>
      <c r="P513" t="n">
        <v>0</v>
      </c>
      <c r="Q513" t="n">
        <v>0</v>
      </c>
      <c r="R513" s="2" t="inlineStr"/>
    </row>
    <row r="514" ht="15" customHeight="1">
      <c r="A514" t="inlineStr">
        <is>
          <t>A 23495-2023</t>
        </is>
      </c>
      <c r="B514" s="1" t="n">
        <v>45076.71652777777</v>
      </c>
      <c r="C514" s="1" t="n">
        <v>45941</v>
      </c>
      <c r="D514" t="inlineStr">
        <is>
          <t>UPPSALA LÄN</t>
        </is>
      </c>
      <c r="E514" t="inlineStr">
        <is>
          <t>ÖSTHAMMAR</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48854-2025</t>
        </is>
      </c>
      <c r="B515" s="1" t="n">
        <v>45937.43274305556</v>
      </c>
      <c r="C515" s="1" t="n">
        <v>45941</v>
      </c>
      <c r="D515" t="inlineStr">
        <is>
          <t>UPPSALA LÄN</t>
        </is>
      </c>
      <c r="E515" t="inlineStr">
        <is>
          <t>ÖSTHAMMAR</t>
        </is>
      </c>
      <c r="F515" t="inlineStr">
        <is>
          <t>Övriga Aktiebolag</t>
        </is>
      </c>
      <c r="G515" t="n">
        <v>18.9</v>
      </c>
      <c r="H515" t="n">
        <v>0</v>
      </c>
      <c r="I515" t="n">
        <v>0</v>
      </c>
      <c r="J515" t="n">
        <v>0</v>
      </c>
      <c r="K515" t="n">
        <v>0</v>
      </c>
      <c r="L515" t="n">
        <v>0</v>
      </c>
      <c r="M515" t="n">
        <v>0</v>
      </c>
      <c r="N515" t="n">
        <v>0</v>
      </c>
      <c r="O515" t="n">
        <v>0</v>
      </c>
      <c r="P515" t="n">
        <v>0</v>
      </c>
      <c r="Q515" t="n">
        <v>0</v>
      </c>
      <c r="R515" s="2" t="inlineStr"/>
    </row>
    <row r="516" ht="15" customHeight="1">
      <c r="A516" t="inlineStr">
        <is>
          <t>A 1063-2025</t>
        </is>
      </c>
      <c r="B516" s="1" t="n">
        <v>45666</v>
      </c>
      <c r="C516" s="1" t="n">
        <v>45941</v>
      </c>
      <c r="D516" t="inlineStr">
        <is>
          <t>UPPSALA LÄN</t>
        </is>
      </c>
      <c r="E516" t="inlineStr">
        <is>
          <t>ÖSTHAMMAR</t>
        </is>
      </c>
      <c r="G516" t="n">
        <v>1.5</v>
      </c>
      <c r="H516" t="n">
        <v>0</v>
      </c>
      <c r="I516" t="n">
        <v>0</v>
      </c>
      <c r="J516" t="n">
        <v>0</v>
      </c>
      <c r="K516" t="n">
        <v>0</v>
      </c>
      <c r="L516" t="n">
        <v>0</v>
      </c>
      <c r="M516" t="n">
        <v>0</v>
      </c>
      <c r="N516" t="n">
        <v>0</v>
      </c>
      <c r="O516" t="n">
        <v>0</v>
      </c>
      <c r="P516" t="n">
        <v>0</v>
      </c>
      <c r="Q516" t="n">
        <v>0</v>
      </c>
      <c r="R516" s="2" t="inlineStr"/>
    </row>
    <row r="517" ht="15" customHeight="1">
      <c r="A517" t="inlineStr">
        <is>
          <t>A 10495-2025</t>
        </is>
      </c>
      <c r="B517" s="1" t="n">
        <v>45721</v>
      </c>
      <c r="C517" s="1" t="n">
        <v>45941</v>
      </c>
      <c r="D517" t="inlineStr">
        <is>
          <t>UPPSALA LÄN</t>
        </is>
      </c>
      <c r="E517" t="inlineStr">
        <is>
          <t>ÖSTHAMMAR</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30755-2024</t>
        </is>
      </c>
      <c r="B518" s="1" t="n">
        <v>45496</v>
      </c>
      <c r="C518" s="1" t="n">
        <v>45941</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9052-2023</t>
        </is>
      </c>
      <c r="B519" s="1" t="n">
        <v>44979</v>
      </c>
      <c r="C519" s="1" t="n">
        <v>45941</v>
      </c>
      <c r="D519" t="inlineStr">
        <is>
          <t>UPPSALA LÄN</t>
        </is>
      </c>
      <c r="E519" t="inlineStr">
        <is>
          <t>ÖSTHAMMAR</t>
        </is>
      </c>
      <c r="F519" t="inlineStr">
        <is>
          <t>Kyrkan</t>
        </is>
      </c>
      <c r="G519" t="n">
        <v>0.2</v>
      </c>
      <c r="H519" t="n">
        <v>0</v>
      </c>
      <c r="I519" t="n">
        <v>0</v>
      </c>
      <c r="J519" t="n">
        <v>0</v>
      </c>
      <c r="K519" t="n">
        <v>0</v>
      </c>
      <c r="L519" t="n">
        <v>0</v>
      </c>
      <c r="M519" t="n">
        <v>0</v>
      </c>
      <c r="N519" t="n">
        <v>0</v>
      </c>
      <c r="O519" t="n">
        <v>0</v>
      </c>
      <c r="P519" t="n">
        <v>0</v>
      </c>
      <c r="Q519" t="n">
        <v>0</v>
      </c>
      <c r="R519" s="2" t="inlineStr"/>
    </row>
    <row r="520" ht="15" customHeight="1">
      <c r="A520" t="inlineStr">
        <is>
          <t>A 48857-2025</t>
        </is>
      </c>
      <c r="B520" s="1" t="n">
        <v>45937.43621527778</v>
      </c>
      <c r="C520" s="1" t="n">
        <v>45941</v>
      </c>
      <c r="D520" t="inlineStr">
        <is>
          <t>UPPSALA LÄN</t>
        </is>
      </c>
      <c r="E520" t="inlineStr">
        <is>
          <t>ÖSTHAMMAR</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45102-2025</t>
        </is>
      </c>
      <c r="B521" s="1" t="n">
        <v>45919.39731481481</v>
      </c>
      <c r="C521" s="1" t="n">
        <v>45941</v>
      </c>
      <c r="D521" t="inlineStr">
        <is>
          <t>UPPSALA LÄN</t>
        </is>
      </c>
      <c r="E521" t="inlineStr">
        <is>
          <t>ÖSTHAMMAR</t>
        </is>
      </c>
      <c r="G521" t="n">
        <v>1.7</v>
      </c>
      <c r="H521" t="n">
        <v>0</v>
      </c>
      <c r="I521" t="n">
        <v>0</v>
      </c>
      <c r="J521" t="n">
        <v>0</v>
      </c>
      <c r="K521" t="n">
        <v>0</v>
      </c>
      <c r="L521" t="n">
        <v>0</v>
      </c>
      <c r="M521" t="n">
        <v>0</v>
      </c>
      <c r="N521" t="n">
        <v>0</v>
      </c>
      <c r="O521" t="n">
        <v>0</v>
      </c>
      <c r="P521" t="n">
        <v>0</v>
      </c>
      <c r="Q521" t="n">
        <v>0</v>
      </c>
      <c r="R521" s="2" t="inlineStr"/>
    </row>
    <row r="522" ht="15" customHeight="1">
      <c r="A522" t="inlineStr">
        <is>
          <t>A 4356-2025</t>
        </is>
      </c>
      <c r="B522" s="1" t="n">
        <v>45686</v>
      </c>
      <c r="C522" s="1" t="n">
        <v>45941</v>
      </c>
      <c r="D522" t="inlineStr">
        <is>
          <t>UPPSALA LÄN</t>
        </is>
      </c>
      <c r="E522" t="inlineStr">
        <is>
          <t>ÖSTHAMMAR</t>
        </is>
      </c>
      <c r="F522" t="inlineStr">
        <is>
          <t>Övriga Aktiebolag</t>
        </is>
      </c>
      <c r="G522" t="n">
        <v>24.6</v>
      </c>
      <c r="H522" t="n">
        <v>0</v>
      </c>
      <c r="I522" t="n">
        <v>0</v>
      </c>
      <c r="J522" t="n">
        <v>0</v>
      </c>
      <c r="K522" t="n">
        <v>0</v>
      </c>
      <c r="L522" t="n">
        <v>0</v>
      </c>
      <c r="M522" t="n">
        <v>0</v>
      </c>
      <c r="N522" t="n">
        <v>0</v>
      </c>
      <c r="O522" t="n">
        <v>0</v>
      </c>
      <c r="P522" t="n">
        <v>0</v>
      </c>
      <c r="Q522" t="n">
        <v>0</v>
      </c>
      <c r="R522" s="2" t="inlineStr"/>
    </row>
    <row r="523" ht="15" customHeight="1">
      <c r="A523" t="inlineStr">
        <is>
          <t>A 17085-2025</t>
        </is>
      </c>
      <c r="B523" s="1" t="n">
        <v>45755.64612268518</v>
      </c>
      <c r="C523" s="1" t="n">
        <v>45941</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33760-2024</t>
        </is>
      </c>
      <c r="B524" s="1" t="n">
        <v>45520</v>
      </c>
      <c r="C524" s="1" t="n">
        <v>45941</v>
      </c>
      <c r="D524" t="inlineStr">
        <is>
          <t>UPPSALA LÄN</t>
        </is>
      </c>
      <c r="E524" t="inlineStr">
        <is>
          <t>ÖSTHAMMAR</t>
        </is>
      </c>
      <c r="F524" t="inlineStr">
        <is>
          <t>Övriga Aktiebolag</t>
        </is>
      </c>
      <c r="G524" t="n">
        <v>0.7</v>
      </c>
      <c r="H524" t="n">
        <v>0</v>
      </c>
      <c r="I524" t="n">
        <v>0</v>
      </c>
      <c r="J524" t="n">
        <v>0</v>
      </c>
      <c r="K524" t="n">
        <v>0</v>
      </c>
      <c r="L524" t="n">
        <v>0</v>
      </c>
      <c r="M524" t="n">
        <v>0</v>
      </c>
      <c r="N524" t="n">
        <v>0</v>
      </c>
      <c r="O524" t="n">
        <v>0</v>
      </c>
      <c r="P524" t="n">
        <v>0</v>
      </c>
      <c r="Q524" t="n">
        <v>0</v>
      </c>
      <c r="R524" s="2" t="inlineStr"/>
    </row>
    <row r="525" ht="15" customHeight="1">
      <c r="A525" t="inlineStr">
        <is>
          <t>A 37656-2025</t>
        </is>
      </c>
      <c r="B525" s="1" t="n">
        <v>45880</v>
      </c>
      <c r="C525" s="1" t="n">
        <v>45941</v>
      </c>
      <c r="D525" t="inlineStr">
        <is>
          <t>UPPSALA LÄN</t>
        </is>
      </c>
      <c r="E525" t="inlineStr">
        <is>
          <t>ÖSTHAMMAR</t>
        </is>
      </c>
      <c r="G525" t="n">
        <v>4.3</v>
      </c>
      <c r="H525" t="n">
        <v>0</v>
      </c>
      <c r="I525" t="n">
        <v>0</v>
      </c>
      <c r="J525" t="n">
        <v>0</v>
      </c>
      <c r="K525" t="n">
        <v>0</v>
      </c>
      <c r="L525" t="n">
        <v>0</v>
      </c>
      <c r="M525" t="n">
        <v>0</v>
      </c>
      <c r="N525" t="n">
        <v>0</v>
      </c>
      <c r="O525" t="n">
        <v>0</v>
      </c>
      <c r="P525" t="n">
        <v>0</v>
      </c>
      <c r="Q525" t="n">
        <v>0</v>
      </c>
      <c r="R525" s="2" t="inlineStr"/>
    </row>
    <row r="526" ht="15" customHeight="1">
      <c r="A526" t="inlineStr">
        <is>
          <t>A 49773-2025</t>
        </is>
      </c>
      <c r="B526" s="1" t="n">
        <v>45940.37303240741</v>
      </c>
      <c r="C526" s="1" t="n">
        <v>45941</v>
      </c>
      <c r="D526" t="inlineStr">
        <is>
          <t>UPPSALA LÄN</t>
        </is>
      </c>
      <c r="E526" t="inlineStr">
        <is>
          <t>ÖSTHAMMAR</t>
        </is>
      </c>
      <c r="G526" t="n">
        <v>3.5</v>
      </c>
      <c r="H526" t="n">
        <v>0</v>
      </c>
      <c r="I526" t="n">
        <v>0</v>
      </c>
      <c r="J526" t="n">
        <v>0</v>
      </c>
      <c r="K526" t="n">
        <v>0</v>
      </c>
      <c r="L526" t="n">
        <v>0</v>
      </c>
      <c r="M526" t="n">
        <v>0</v>
      </c>
      <c r="N526" t="n">
        <v>0</v>
      </c>
      <c r="O526" t="n">
        <v>0</v>
      </c>
      <c r="P526" t="n">
        <v>0</v>
      </c>
      <c r="Q526" t="n">
        <v>0</v>
      </c>
      <c r="R526" s="2" t="inlineStr"/>
    </row>
    <row r="527" ht="15" customHeight="1">
      <c r="A527" t="inlineStr">
        <is>
          <t>A 37764-2025</t>
        </is>
      </c>
      <c r="B527" s="1" t="n">
        <v>45880.70917824074</v>
      </c>
      <c r="C527" s="1" t="n">
        <v>45941</v>
      </c>
      <c r="D527" t="inlineStr">
        <is>
          <t>UPPSALA LÄN</t>
        </is>
      </c>
      <c r="E527" t="inlineStr">
        <is>
          <t>ÖSTHAMMAR</t>
        </is>
      </c>
      <c r="G527" t="n">
        <v>4.6</v>
      </c>
      <c r="H527" t="n">
        <v>0</v>
      </c>
      <c r="I527" t="n">
        <v>0</v>
      </c>
      <c r="J527" t="n">
        <v>0</v>
      </c>
      <c r="K527" t="n">
        <v>0</v>
      </c>
      <c r="L527" t="n">
        <v>0</v>
      </c>
      <c r="M527" t="n">
        <v>0</v>
      </c>
      <c r="N527" t="n">
        <v>0</v>
      </c>
      <c r="O527" t="n">
        <v>0</v>
      </c>
      <c r="P527" t="n">
        <v>0</v>
      </c>
      <c r="Q527" t="n">
        <v>0</v>
      </c>
      <c r="R527" s="2" t="inlineStr"/>
    </row>
    <row r="528" ht="15" customHeight="1">
      <c r="A528" t="inlineStr">
        <is>
          <t>A 45105-2025</t>
        </is>
      </c>
      <c r="B528" s="1" t="n">
        <v>45919.40252314815</v>
      </c>
      <c r="C528" s="1" t="n">
        <v>45941</v>
      </c>
      <c r="D528" t="inlineStr">
        <is>
          <t>UPPSALA LÄN</t>
        </is>
      </c>
      <c r="E528" t="inlineStr">
        <is>
          <t>ÖSTHAMMAR</t>
        </is>
      </c>
      <c r="G528" t="n">
        <v>0.8</v>
      </c>
      <c r="H528" t="n">
        <v>0</v>
      </c>
      <c r="I528" t="n">
        <v>0</v>
      </c>
      <c r="J528" t="n">
        <v>0</v>
      </c>
      <c r="K528" t="n">
        <v>0</v>
      </c>
      <c r="L528" t="n">
        <v>0</v>
      </c>
      <c r="M528" t="n">
        <v>0</v>
      </c>
      <c r="N528" t="n">
        <v>0</v>
      </c>
      <c r="O528" t="n">
        <v>0</v>
      </c>
      <c r="P528" t="n">
        <v>0</v>
      </c>
      <c r="Q528" t="n">
        <v>0</v>
      </c>
      <c r="R528" s="2" t="inlineStr"/>
    </row>
    <row r="529" ht="15" customHeight="1">
      <c r="A529" t="inlineStr">
        <is>
          <t>A 49620-2025</t>
        </is>
      </c>
      <c r="B529" s="1" t="n">
        <v>45939.58928240741</v>
      </c>
      <c r="C529" s="1" t="n">
        <v>45941</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3725-2022</t>
        </is>
      </c>
      <c r="B530" s="1" t="n">
        <v>44586</v>
      </c>
      <c r="C530" s="1" t="n">
        <v>45941</v>
      </c>
      <c r="D530" t="inlineStr">
        <is>
          <t>UPPSALA LÄN</t>
        </is>
      </c>
      <c r="E530" t="inlineStr">
        <is>
          <t>ÖSTHAMMAR</t>
        </is>
      </c>
      <c r="G530" t="n">
        <v>2</v>
      </c>
      <c r="H530" t="n">
        <v>0</v>
      </c>
      <c r="I530" t="n">
        <v>0</v>
      </c>
      <c r="J530" t="n">
        <v>0</v>
      </c>
      <c r="K530" t="n">
        <v>0</v>
      </c>
      <c r="L530" t="n">
        <v>0</v>
      </c>
      <c r="M530" t="n">
        <v>0</v>
      </c>
      <c r="N530" t="n">
        <v>0</v>
      </c>
      <c r="O530" t="n">
        <v>0</v>
      </c>
      <c r="P530" t="n">
        <v>0</v>
      </c>
      <c r="Q530" t="n">
        <v>0</v>
      </c>
      <c r="R530" s="2" t="inlineStr"/>
    </row>
    <row r="531" ht="15" customHeight="1">
      <c r="A531" t="inlineStr">
        <is>
          <t>A 8006-2023</t>
        </is>
      </c>
      <c r="B531" s="1" t="n">
        <v>44973</v>
      </c>
      <c r="C531" s="1" t="n">
        <v>45941</v>
      </c>
      <c r="D531" t="inlineStr">
        <is>
          <t>UPPSALA LÄN</t>
        </is>
      </c>
      <c r="E531" t="inlineStr">
        <is>
          <t>ÖSTHAMMAR</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11469-2023</t>
        </is>
      </c>
      <c r="B532" s="1" t="n">
        <v>44993.60099537037</v>
      </c>
      <c r="C532" s="1" t="n">
        <v>45941</v>
      </c>
      <c r="D532" t="inlineStr">
        <is>
          <t>UPPSALA LÄN</t>
        </is>
      </c>
      <c r="E532" t="inlineStr">
        <is>
          <t>ÖSTHAMMAR</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45715-2025</t>
        </is>
      </c>
      <c r="B533" s="1" t="n">
        <v>45923.44094907407</v>
      </c>
      <c r="C533" s="1" t="n">
        <v>45941</v>
      </c>
      <c r="D533" t="inlineStr">
        <is>
          <t>UPPSALA LÄN</t>
        </is>
      </c>
      <c r="E533" t="inlineStr">
        <is>
          <t>ÖSTHAMMAR</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48977-2025</t>
        </is>
      </c>
      <c r="B534" s="1" t="n">
        <v>45936</v>
      </c>
      <c r="C534" s="1" t="n">
        <v>45941</v>
      </c>
      <c r="D534" t="inlineStr">
        <is>
          <t>UPPSALA LÄN</t>
        </is>
      </c>
      <c r="E534" t="inlineStr">
        <is>
          <t>ÖSTHAMMAR</t>
        </is>
      </c>
      <c r="G534" t="n">
        <v>21.1</v>
      </c>
      <c r="H534" t="n">
        <v>0</v>
      </c>
      <c r="I534" t="n">
        <v>0</v>
      </c>
      <c r="J534" t="n">
        <v>0</v>
      </c>
      <c r="K534" t="n">
        <v>0</v>
      </c>
      <c r="L534" t="n">
        <v>0</v>
      </c>
      <c r="M534" t="n">
        <v>0</v>
      </c>
      <c r="N534" t="n">
        <v>0</v>
      </c>
      <c r="O534" t="n">
        <v>0</v>
      </c>
      <c r="P534" t="n">
        <v>0</v>
      </c>
      <c r="Q534" t="n">
        <v>0</v>
      </c>
      <c r="R534" s="2" t="inlineStr"/>
    </row>
    <row r="535" ht="15" customHeight="1">
      <c r="A535" t="inlineStr">
        <is>
          <t>A 5189-2025</t>
        </is>
      </c>
      <c r="B535" s="1" t="n">
        <v>45691</v>
      </c>
      <c r="C535" s="1" t="n">
        <v>45941</v>
      </c>
      <c r="D535" t="inlineStr">
        <is>
          <t>UPPSALA LÄN</t>
        </is>
      </c>
      <c r="E535" t="inlineStr">
        <is>
          <t>ÖSTHAMMAR</t>
        </is>
      </c>
      <c r="F535" t="inlineStr">
        <is>
          <t>Bergvik skog öst AB</t>
        </is>
      </c>
      <c r="G535" t="n">
        <v>24.4</v>
      </c>
      <c r="H535" t="n">
        <v>0</v>
      </c>
      <c r="I535" t="n">
        <v>0</v>
      </c>
      <c r="J535" t="n">
        <v>0</v>
      </c>
      <c r="K535" t="n">
        <v>0</v>
      </c>
      <c r="L535" t="n">
        <v>0</v>
      </c>
      <c r="M535" t="n">
        <v>0</v>
      </c>
      <c r="N535" t="n">
        <v>0</v>
      </c>
      <c r="O535" t="n">
        <v>0</v>
      </c>
      <c r="P535" t="n">
        <v>0</v>
      </c>
      <c r="Q535" t="n">
        <v>0</v>
      </c>
      <c r="R535" s="2" t="inlineStr"/>
    </row>
    <row r="536" ht="15" customHeight="1">
      <c r="A536" t="inlineStr">
        <is>
          <t>A 20324-2021</t>
        </is>
      </c>
      <c r="B536" s="1" t="n">
        <v>44308</v>
      </c>
      <c r="C536" s="1" t="n">
        <v>45941</v>
      </c>
      <c r="D536" t="inlineStr">
        <is>
          <t>UPPSALA LÄN</t>
        </is>
      </c>
      <c r="E536" t="inlineStr">
        <is>
          <t>ÖSTHAMMAR</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32244-2021</t>
        </is>
      </c>
      <c r="B537" s="1" t="n">
        <v>44371.45335648148</v>
      </c>
      <c r="C537" s="1" t="n">
        <v>45941</v>
      </c>
      <c r="D537" t="inlineStr">
        <is>
          <t>UPPSALA LÄN</t>
        </is>
      </c>
      <c r="E537" t="inlineStr">
        <is>
          <t>ÖSTHAMMAR</t>
        </is>
      </c>
      <c r="F537" t="inlineStr">
        <is>
          <t>Bergvik skog öst AB</t>
        </is>
      </c>
      <c r="G537" t="n">
        <v>2.6</v>
      </c>
      <c r="H537" t="n">
        <v>0</v>
      </c>
      <c r="I537" t="n">
        <v>0</v>
      </c>
      <c r="J537" t="n">
        <v>0</v>
      </c>
      <c r="K537" t="n">
        <v>0</v>
      </c>
      <c r="L537" t="n">
        <v>0</v>
      </c>
      <c r="M537" t="n">
        <v>0</v>
      </c>
      <c r="N537" t="n">
        <v>0</v>
      </c>
      <c r="O537" t="n">
        <v>0</v>
      </c>
      <c r="P537" t="n">
        <v>0</v>
      </c>
      <c r="Q537" t="n">
        <v>0</v>
      </c>
      <c r="R537" s="2" t="inlineStr"/>
    </row>
    <row r="538" ht="15" customHeight="1">
      <c r="A538" t="inlineStr">
        <is>
          <t>A 45993-2025</t>
        </is>
      </c>
      <c r="B538" s="1" t="n">
        <v>45924.39706018518</v>
      </c>
      <c r="C538" s="1" t="n">
        <v>45941</v>
      </c>
      <c r="D538" t="inlineStr">
        <is>
          <t>UPPSALA LÄN</t>
        </is>
      </c>
      <c r="E538" t="inlineStr">
        <is>
          <t>ÖSTHAMMAR</t>
        </is>
      </c>
      <c r="G538" t="n">
        <v>0.5</v>
      </c>
      <c r="H538" t="n">
        <v>0</v>
      </c>
      <c r="I538" t="n">
        <v>0</v>
      </c>
      <c r="J538" t="n">
        <v>0</v>
      </c>
      <c r="K538" t="n">
        <v>0</v>
      </c>
      <c r="L538" t="n">
        <v>0</v>
      </c>
      <c r="M538" t="n">
        <v>0</v>
      </c>
      <c r="N538" t="n">
        <v>0</v>
      </c>
      <c r="O538" t="n">
        <v>0</v>
      </c>
      <c r="P538" t="n">
        <v>0</v>
      </c>
      <c r="Q538" t="n">
        <v>0</v>
      </c>
      <c r="R538" s="2" t="inlineStr"/>
    </row>
    <row r="539" ht="15" customHeight="1">
      <c r="A539" t="inlineStr">
        <is>
          <t>A 33056-2021</t>
        </is>
      </c>
      <c r="B539" s="1" t="n">
        <v>44376.52438657408</v>
      </c>
      <c r="C539" s="1" t="n">
        <v>45941</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25033-2021</t>
        </is>
      </c>
      <c r="B540" s="1" t="n">
        <v>44341.590625</v>
      </c>
      <c r="C540" s="1" t="n">
        <v>45941</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16212-2021</t>
        </is>
      </c>
      <c r="B541" s="1" t="n">
        <v>44287</v>
      </c>
      <c r="C541" s="1" t="n">
        <v>45941</v>
      </c>
      <c r="D541" t="inlineStr">
        <is>
          <t>UPPSALA LÄN</t>
        </is>
      </c>
      <c r="E541" t="inlineStr">
        <is>
          <t>ÖSTHAMMAR</t>
        </is>
      </c>
      <c r="G541" t="n">
        <v>1.6</v>
      </c>
      <c r="H541" t="n">
        <v>0</v>
      </c>
      <c r="I541" t="n">
        <v>0</v>
      </c>
      <c r="J541" t="n">
        <v>0</v>
      </c>
      <c r="K541" t="n">
        <v>0</v>
      </c>
      <c r="L541" t="n">
        <v>0</v>
      </c>
      <c r="M541" t="n">
        <v>0</v>
      </c>
      <c r="N541" t="n">
        <v>0</v>
      </c>
      <c r="O541" t="n">
        <v>0</v>
      </c>
      <c r="P541" t="n">
        <v>0</v>
      </c>
      <c r="Q541" t="n">
        <v>0</v>
      </c>
      <c r="R541" s="2" t="inlineStr"/>
    </row>
    <row r="542" ht="15" customHeight="1">
      <c r="A542" t="inlineStr">
        <is>
          <t>A 46089-2025</t>
        </is>
      </c>
      <c r="B542" s="1" t="n">
        <v>45924.52100694444</v>
      </c>
      <c r="C542" s="1" t="n">
        <v>45941</v>
      </c>
      <c r="D542" t="inlineStr">
        <is>
          <t>UPPSALA LÄN</t>
        </is>
      </c>
      <c r="E542" t="inlineStr">
        <is>
          <t>ÖSTHAMMAR</t>
        </is>
      </c>
      <c r="F542" t="inlineStr">
        <is>
          <t>Bergvik skog öst AB</t>
        </is>
      </c>
      <c r="G542" t="n">
        <v>2.6</v>
      </c>
      <c r="H542" t="n">
        <v>0</v>
      </c>
      <c r="I542" t="n">
        <v>0</v>
      </c>
      <c r="J542" t="n">
        <v>0</v>
      </c>
      <c r="K542" t="n">
        <v>0</v>
      </c>
      <c r="L542" t="n">
        <v>0</v>
      </c>
      <c r="M542" t="n">
        <v>0</v>
      </c>
      <c r="N542" t="n">
        <v>0</v>
      </c>
      <c r="O542" t="n">
        <v>0</v>
      </c>
      <c r="P542" t="n">
        <v>0</v>
      </c>
      <c r="Q542" t="n">
        <v>0</v>
      </c>
      <c r="R542" s="2" t="inlineStr"/>
    </row>
    <row r="543" ht="15" customHeight="1">
      <c r="A543" t="inlineStr">
        <is>
          <t>A 46088-2025</t>
        </is>
      </c>
      <c r="B543" s="1" t="n">
        <v>45924.52010416667</v>
      </c>
      <c r="C543" s="1" t="n">
        <v>45941</v>
      </c>
      <c r="D543" t="inlineStr">
        <is>
          <t>UPPSALA LÄN</t>
        </is>
      </c>
      <c r="E543" t="inlineStr">
        <is>
          <t>ÖSTHAMMAR</t>
        </is>
      </c>
      <c r="F543" t="inlineStr">
        <is>
          <t>Bergvik skog öst AB</t>
        </is>
      </c>
      <c r="G543" t="n">
        <v>2.7</v>
      </c>
      <c r="H543" t="n">
        <v>0</v>
      </c>
      <c r="I543" t="n">
        <v>0</v>
      </c>
      <c r="J543" t="n">
        <v>0</v>
      </c>
      <c r="K543" t="n">
        <v>0</v>
      </c>
      <c r="L543" t="n">
        <v>0</v>
      </c>
      <c r="M543" t="n">
        <v>0</v>
      </c>
      <c r="N543" t="n">
        <v>0</v>
      </c>
      <c r="O543" t="n">
        <v>0</v>
      </c>
      <c r="P543" t="n">
        <v>0</v>
      </c>
      <c r="Q543" t="n">
        <v>0</v>
      </c>
      <c r="R543" s="2" t="inlineStr"/>
    </row>
    <row r="544" ht="15" customHeight="1">
      <c r="A544" t="inlineStr">
        <is>
          <t>A 63577-2020</t>
        </is>
      </c>
      <c r="B544" s="1" t="n">
        <v>44165</v>
      </c>
      <c r="C544" s="1" t="n">
        <v>45941</v>
      </c>
      <c r="D544" t="inlineStr">
        <is>
          <t>UPPSALA LÄN</t>
        </is>
      </c>
      <c r="E544" t="inlineStr">
        <is>
          <t>ÖSTHAMMAR</t>
        </is>
      </c>
      <c r="G544" t="n">
        <v>0.9</v>
      </c>
      <c r="H544" t="n">
        <v>0</v>
      </c>
      <c r="I544" t="n">
        <v>0</v>
      </c>
      <c r="J544" t="n">
        <v>0</v>
      </c>
      <c r="K544" t="n">
        <v>0</v>
      </c>
      <c r="L544" t="n">
        <v>0</v>
      </c>
      <c r="M544" t="n">
        <v>0</v>
      </c>
      <c r="N544" t="n">
        <v>0</v>
      </c>
      <c r="O544" t="n">
        <v>0</v>
      </c>
      <c r="P544" t="n">
        <v>0</v>
      </c>
      <c r="Q544" t="n">
        <v>0</v>
      </c>
      <c r="R544" s="2" t="inlineStr"/>
    </row>
    <row r="545" ht="15" customHeight="1">
      <c r="A545" t="inlineStr">
        <is>
          <t>A 7118-2023</t>
        </is>
      </c>
      <c r="B545" s="1" t="n">
        <v>44970.39591435185</v>
      </c>
      <c r="C545" s="1" t="n">
        <v>45941</v>
      </c>
      <c r="D545" t="inlineStr">
        <is>
          <t>UPPSALA LÄN</t>
        </is>
      </c>
      <c r="E545" t="inlineStr">
        <is>
          <t>ÖSTHAMMAR</t>
        </is>
      </c>
      <c r="G545" t="n">
        <v>2.1</v>
      </c>
      <c r="H545" t="n">
        <v>0</v>
      </c>
      <c r="I545" t="n">
        <v>0</v>
      </c>
      <c r="J545" t="n">
        <v>0</v>
      </c>
      <c r="K545" t="n">
        <v>0</v>
      </c>
      <c r="L545" t="n">
        <v>0</v>
      </c>
      <c r="M545" t="n">
        <v>0</v>
      </c>
      <c r="N545" t="n">
        <v>0</v>
      </c>
      <c r="O545" t="n">
        <v>0</v>
      </c>
      <c r="P545" t="n">
        <v>0</v>
      </c>
      <c r="Q545" t="n">
        <v>0</v>
      </c>
      <c r="R545" s="2" t="inlineStr"/>
    </row>
    <row r="546" ht="15" customHeight="1">
      <c r="A546" t="inlineStr">
        <is>
          <t>A 18113-2023</t>
        </is>
      </c>
      <c r="B546" s="1" t="n">
        <v>45040</v>
      </c>
      <c r="C546" s="1" t="n">
        <v>45941</v>
      </c>
      <c r="D546" t="inlineStr">
        <is>
          <t>UPPSALA LÄN</t>
        </is>
      </c>
      <c r="E546" t="inlineStr">
        <is>
          <t>ÖSTHAMMAR</t>
        </is>
      </c>
      <c r="G546" t="n">
        <v>2.1</v>
      </c>
      <c r="H546" t="n">
        <v>0</v>
      </c>
      <c r="I546" t="n">
        <v>0</v>
      </c>
      <c r="J546" t="n">
        <v>0</v>
      </c>
      <c r="K546" t="n">
        <v>0</v>
      </c>
      <c r="L546" t="n">
        <v>0</v>
      </c>
      <c r="M546" t="n">
        <v>0</v>
      </c>
      <c r="N546" t="n">
        <v>0</v>
      </c>
      <c r="O546" t="n">
        <v>0</v>
      </c>
      <c r="P546" t="n">
        <v>0</v>
      </c>
      <c r="Q546" t="n">
        <v>0</v>
      </c>
      <c r="R546" s="2" t="inlineStr"/>
    </row>
    <row r="547" ht="15" customHeight="1">
      <c r="A547" t="inlineStr">
        <is>
          <t>A 45721-2025</t>
        </is>
      </c>
      <c r="B547" s="1" t="n">
        <v>45923.44844907407</v>
      </c>
      <c r="C547" s="1" t="n">
        <v>45941</v>
      </c>
      <c r="D547" t="inlineStr">
        <is>
          <t>UPPSALA LÄN</t>
        </is>
      </c>
      <c r="E547" t="inlineStr">
        <is>
          <t>ÖSTHAMMAR</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4292-2025</t>
        </is>
      </c>
      <c r="B548" s="1" t="n">
        <v>45685.66459490741</v>
      </c>
      <c r="C548" s="1" t="n">
        <v>45941</v>
      </c>
      <c r="D548" t="inlineStr">
        <is>
          <t>UPPSALA LÄN</t>
        </is>
      </c>
      <c r="E548" t="inlineStr">
        <is>
          <t>ÖSTHAMMAR</t>
        </is>
      </c>
      <c r="G548" t="n">
        <v>0.8</v>
      </c>
      <c r="H548" t="n">
        <v>0</v>
      </c>
      <c r="I548" t="n">
        <v>0</v>
      </c>
      <c r="J548" t="n">
        <v>0</v>
      </c>
      <c r="K548" t="n">
        <v>0</v>
      </c>
      <c r="L548" t="n">
        <v>0</v>
      </c>
      <c r="M548" t="n">
        <v>0</v>
      </c>
      <c r="N548" t="n">
        <v>0</v>
      </c>
      <c r="O548" t="n">
        <v>0</v>
      </c>
      <c r="P548" t="n">
        <v>0</v>
      </c>
      <c r="Q548" t="n">
        <v>0</v>
      </c>
      <c r="R548" s="2" t="inlineStr"/>
    </row>
    <row r="549" ht="15" customHeight="1">
      <c r="A549" t="inlineStr">
        <is>
          <t>A 8592-2022</t>
        </is>
      </c>
      <c r="B549" s="1" t="n">
        <v>44613</v>
      </c>
      <c r="C549" s="1" t="n">
        <v>45941</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45720-2025</t>
        </is>
      </c>
      <c r="B550" s="1" t="n">
        <v>45923.44583333333</v>
      </c>
      <c r="C550" s="1" t="n">
        <v>45941</v>
      </c>
      <c r="D550" t="inlineStr">
        <is>
          <t>UPPSALA LÄN</t>
        </is>
      </c>
      <c r="E550" t="inlineStr">
        <is>
          <t>ÖSTHAMMAR</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5076-2025</t>
        </is>
      </c>
      <c r="B551" s="1" t="n">
        <v>45691</v>
      </c>
      <c r="C551" s="1" t="n">
        <v>45941</v>
      </c>
      <c r="D551" t="inlineStr">
        <is>
          <t>UPPSALA LÄN</t>
        </is>
      </c>
      <c r="E551" t="inlineStr">
        <is>
          <t>ÖSTHAMMAR</t>
        </is>
      </c>
      <c r="G551" t="n">
        <v>5.8</v>
      </c>
      <c r="H551" t="n">
        <v>0</v>
      </c>
      <c r="I551" t="n">
        <v>0</v>
      </c>
      <c r="J551" t="n">
        <v>0</v>
      </c>
      <c r="K551" t="n">
        <v>0</v>
      </c>
      <c r="L551" t="n">
        <v>0</v>
      </c>
      <c r="M551" t="n">
        <v>0</v>
      </c>
      <c r="N551" t="n">
        <v>0</v>
      </c>
      <c r="O551" t="n">
        <v>0</v>
      </c>
      <c r="P551" t="n">
        <v>0</v>
      </c>
      <c r="Q551" t="n">
        <v>0</v>
      </c>
      <c r="R551" s="2" t="inlineStr"/>
    </row>
    <row r="552" ht="15" customHeight="1">
      <c r="A552" t="inlineStr">
        <is>
          <t>A 23120-2021</t>
        </is>
      </c>
      <c r="B552" s="1" t="n">
        <v>44330</v>
      </c>
      <c r="C552" s="1" t="n">
        <v>45941</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52389-2022</t>
        </is>
      </c>
      <c r="B553" s="1" t="n">
        <v>44874.38325231482</v>
      </c>
      <c r="C553" s="1" t="n">
        <v>45941</v>
      </c>
      <c r="D553" t="inlineStr">
        <is>
          <t>UPPSALA LÄN</t>
        </is>
      </c>
      <c r="E553" t="inlineStr">
        <is>
          <t>ÖSTHAMMAR</t>
        </is>
      </c>
      <c r="G553" t="n">
        <v>3.1</v>
      </c>
      <c r="H553" t="n">
        <v>0</v>
      </c>
      <c r="I553" t="n">
        <v>0</v>
      </c>
      <c r="J553" t="n">
        <v>0</v>
      </c>
      <c r="K553" t="n">
        <v>0</v>
      </c>
      <c r="L553" t="n">
        <v>0</v>
      </c>
      <c r="M553" t="n">
        <v>0</v>
      </c>
      <c r="N553" t="n">
        <v>0</v>
      </c>
      <c r="O553" t="n">
        <v>0</v>
      </c>
      <c r="P553" t="n">
        <v>0</v>
      </c>
      <c r="Q553" t="n">
        <v>0</v>
      </c>
      <c r="R553" s="2" t="inlineStr"/>
    </row>
    <row r="554" ht="15" customHeight="1">
      <c r="A554" t="inlineStr">
        <is>
          <t>A 37770-2025</t>
        </is>
      </c>
      <c r="B554" s="1" t="n">
        <v>45880.7505787037</v>
      </c>
      <c r="C554" s="1" t="n">
        <v>45941</v>
      </c>
      <c r="D554" t="inlineStr">
        <is>
          <t>UPPSALA LÄN</t>
        </is>
      </c>
      <c r="E554" t="inlineStr">
        <is>
          <t>ÖSTHAMMAR</t>
        </is>
      </c>
      <c r="G554" t="n">
        <v>2.9</v>
      </c>
      <c r="H554" t="n">
        <v>0</v>
      </c>
      <c r="I554" t="n">
        <v>0</v>
      </c>
      <c r="J554" t="n">
        <v>0</v>
      </c>
      <c r="K554" t="n">
        <v>0</v>
      </c>
      <c r="L554" t="n">
        <v>0</v>
      </c>
      <c r="M554" t="n">
        <v>0</v>
      </c>
      <c r="N554" t="n">
        <v>0</v>
      </c>
      <c r="O554" t="n">
        <v>0</v>
      </c>
      <c r="P554" t="n">
        <v>0</v>
      </c>
      <c r="Q554" t="n">
        <v>0</v>
      </c>
      <c r="R554" s="2" t="inlineStr"/>
    </row>
    <row r="555" ht="15" customHeight="1">
      <c r="A555" t="inlineStr">
        <is>
          <t>A 1238-2022</t>
        </is>
      </c>
      <c r="B555" s="1" t="n">
        <v>44572.5827662037</v>
      </c>
      <c r="C555" s="1" t="n">
        <v>45941</v>
      </c>
      <c r="D555" t="inlineStr">
        <is>
          <t>UPPSALA LÄN</t>
        </is>
      </c>
      <c r="E555" t="inlineStr">
        <is>
          <t>ÖSTHAMMAR</t>
        </is>
      </c>
      <c r="G555" t="n">
        <v>1.1</v>
      </c>
      <c r="H555" t="n">
        <v>0</v>
      </c>
      <c r="I555" t="n">
        <v>0</v>
      </c>
      <c r="J555" t="n">
        <v>0</v>
      </c>
      <c r="K555" t="n">
        <v>0</v>
      </c>
      <c r="L555" t="n">
        <v>0</v>
      </c>
      <c r="M555" t="n">
        <v>0</v>
      </c>
      <c r="N555" t="n">
        <v>0</v>
      </c>
      <c r="O555" t="n">
        <v>0</v>
      </c>
      <c r="P555" t="n">
        <v>0</v>
      </c>
      <c r="Q555" t="n">
        <v>0</v>
      </c>
      <c r="R555" s="2" t="inlineStr"/>
    </row>
    <row r="556" ht="15" customHeight="1">
      <c r="A556" t="inlineStr">
        <is>
          <t>A 8908-2025</t>
        </is>
      </c>
      <c r="B556" s="1" t="n">
        <v>45713.4196875</v>
      </c>
      <c r="C556" s="1" t="n">
        <v>45941</v>
      </c>
      <c r="D556" t="inlineStr">
        <is>
          <t>UPPSALA LÄN</t>
        </is>
      </c>
      <c r="E556" t="inlineStr">
        <is>
          <t>ÖSTHAMMAR</t>
        </is>
      </c>
      <c r="F556" t="inlineStr">
        <is>
          <t>Bergvik skog öst AB</t>
        </is>
      </c>
      <c r="G556" t="n">
        <v>3.3</v>
      </c>
      <c r="H556" t="n">
        <v>0</v>
      </c>
      <c r="I556" t="n">
        <v>0</v>
      </c>
      <c r="J556" t="n">
        <v>0</v>
      </c>
      <c r="K556" t="n">
        <v>0</v>
      </c>
      <c r="L556" t="n">
        <v>0</v>
      </c>
      <c r="M556" t="n">
        <v>0</v>
      </c>
      <c r="N556" t="n">
        <v>0</v>
      </c>
      <c r="O556" t="n">
        <v>0</v>
      </c>
      <c r="P556" t="n">
        <v>0</v>
      </c>
      <c r="Q556" t="n">
        <v>0</v>
      </c>
      <c r="R556" s="2" t="inlineStr"/>
    </row>
    <row r="557" ht="15" customHeight="1">
      <c r="A557" t="inlineStr">
        <is>
          <t>A 3119-2025</t>
        </is>
      </c>
      <c r="B557" s="1" t="n">
        <v>45678</v>
      </c>
      <c r="C557" s="1" t="n">
        <v>45941</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17646-2025</t>
        </is>
      </c>
      <c r="B558" s="1" t="n">
        <v>45758.32872685185</v>
      </c>
      <c r="C558" s="1" t="n">
        <v>45941</v>
      </c>
      <c r="D558" t="inlineStr">
        <is>
          <t>UPPSALA LÄN</t>
        </is>
      </c>
      <c r="E558" t="inlineStr">
        <is>
          <t>ÖSTHAMMAR</t>
        </is>
      </c>
      <c r="F558" t="inlineStr">
        <is>
          <t>Bergvik skog väst AB</t>
        </is>
      </c>
      <c r="G558" t="n">
        <v>3.4</v>
      </c>
      <c r="H558" t="n">
        <v>0</v>
      </c>
      <c r="I558" t="n">
        <v>0</v>
      </c>
      <c r="J558" t="n">
        <v>0</v>
      </c>
      <c r="K558" t="n">
        <v>0</v>
      </c>
      <c r="L558" t="n">
        <v>0</v>
      </c>
      <c r="M558" t="n">
        <v>0</v>
      </c>
      <c r="N558" t="n">
        <v>0</v>
      </c>
      <c r="O558" t="n">
        <v>0</v>
      </c>
      <c r="P558" t="n">
        <v>0</v>
      </c>
      <c r="Q558" t="n">
        <v>0</v>
      </c>
      <c r="R558" s="2" t="inlineStr"/>
    </row>
    <row r="559" ht="15" customHeight="1">
      <c r="A559" t="inlineStr">
        <is>
          <t>A 17648-2025</t>
        </is>
      </c>
      <c r="B559" s="1" t="n">
        <v>45758.33064814815</v>
      </c>
      <c r="C559" s="1" t="n">
        <v>45941</v>
      </c>
      <c r="D559" t="inlineStr">
        <is>
          <t>UPPSALA LÄN</t>
        </is>
      </c>
      <c r="E559" t="inlineStr">
        <is>
          <t>ÖSTHAMMAR</t>
        </is>
      </c>
      <c r="F559" t="inlineStr">
        <is>
          <t>Bergvik skog väst AB</t>
        </is>
      </c>
      <c r="G559" t="n">
        <v>1.3</v>
      </c>
      <c r="H559" t="n">
        <v>0</v>
      </c>
      <c r="I559" t="n">
        <v>0</v>
      </c>
      <c r="J559" t="n">
        <v>0</v>
      </c>
      <c r="K559" t="n">
        <v>0</v>
      </c>
      <c r="L559" t="n">
        <v>0</v>
      </c>
      <c r="M559" t="n">
        <v>0</v>
      </c>
      <c r="N559" t="n">
        <v>0</v>
      </c>
      <c r="O559" t="n">
        <v>0</v>
      </c>
      <c r="P559" t="n">
        <v>0</v>
      </c>
      <c r="Q559" t="n">
        <v>0</v>
      </c>
      <c r="R559" s="2" t="inlineStr"/>
    </row>
    <row r="560" ht="15" customHeight="1">
      <c r="A560" t="inlineStr">
        <is>
          <t>A 3327-2023</t>
        </is>
      </c>
      <c r="B560" s="1" t="n">
        <v>44949.4377662037</v>
      </c>
      <c r="C560" s="1" t="n">
        <v>45941</v>
      </c>
      <c r="D560" t="inlineStr">
        <is>
          <t>UPPSALA LÄN</t>
        </is>
      </c>
      <c r="E560" t="inlineStr">
        <is>
          <t>ÖSTHAMMAR</t>
        </is>
      </c>
      <c r="G560" t="n">
        <v>1.1</v>
      </c>
      <c r="H560" t="n">
        <v>0</v>
      </c>
      <c r="I560" t="n">
        <v>0</v>
      </c>
      <c r="J560" t="n">
        <v>0</v>
      </c>
      <c r="K560" t="n">
        <v>0</v>
      </c>
      <c r="L560" t="n">
        <v>0</v>
      </c>
      <c r="M560" t="n">
        <v>0</v>
      </c>
      <c r="N560" t="n">
        <v>0</v>
      </c>
      <c r="O560" t="n">
        <v>0</v>
      </c>
      <c r="P560" t="n">
        <v>0</v>
      </c>
      <c r="Q560" t="n">
        <v>0</v>
      </c>
      <c r="R560" s="2" t="inlineStr"/>
    </row>
    <row r="561" ht="15" customHeight="1">
      <c r="A561" t="inlineStr">
        <is>
          <t>A 4233-2023</t>
        </is>
      </c>
      <c r="B561" s="1" t="n">
        <v>44953.48619212963</v>
      </c>
      <c r="C561" s="1" t="n">
        <v>45941</v>
      </c>
      <c r="D561" t="inlineStr">
        <is>
          <t>UPPSALA LÄN</t>
        </is>
      </c>
      <c r="E561" t="inlineStr">
        <is>
          <t>ÖSTHAMMAR</t>
        </is>
      </c>
      <c r="G561" t="n">
        <v>0.9</v>
      </c>
      <c r="H561" t="n">
        <v>0</v>
      </c>
      <c r="I561" t="n">
        <v>0</v>
      </c>
      <c r="J561" t="n">
        <v>0</v>
      </c>
      <c r="K561" t="n">
        <v>0</v>
      </c>
      <c r="L561" t="n">
        <v>0</v>
      </c>
      <c r="M561" t="n">
        <v>0</v>
      </c>
      <c r="N561" t="n">
        <v>0</v>
      </c>
      <c r="O561" t="n">
        <v>0</v>
      </c>
      <c r="P561" t="n">
        <v>0</v>
      </c>
      <c r="Q561" t="n">
        <v>0</v>
      </c>
      <c r="R561" s="2" t="inlineStr"/>
    </row>
    <row r="562" ht="15" customHeight="1">
      <c r="A562" t="inlineStr">
        <is>
          <t>A 30811-2023</t>
        </is>
      </c>
      <c r="B562" s="1" t="n">
        <v>45112.86422453704</v>
      </c>
      <c r="C562" s="1" t="n">
        <v>45941</v>
      </c>
      <c r="D562" t="inlineStr">
        <is>
          <t>UPPSALA LÄN</t>
        </is>
      </c>
      <c r="E562" t="inlineStr">
        <is>
          <t>ÖSTHAMMAR</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60047-2021</t>
        </is>
      </c>
      <c r="B563" s="1" t="n">
        <v>44495</v>
      </c>
      <c r="C563" s="1" t="n">
        <v>45941</v>
      </c>
      <c r="D563" t="inlineStr">
        <is>
          <t>UPPSALA LÄN</t>
        </is>
      </c>
      <c r="E563" t="inlineStr">
        <is>
          <t>ÖSTHAMMAR</t>
        </is>
      </c>
      <c r="F563" t="inlineStr">
        <is>
          <t>Övriga Aktiebolag</t>
        </is>
      </c>
      <c r="G563" t="n">
        <v>1.8</v>
      </c>
      <c r="H563" t="n">
        <v>0</v>
      </c>
      <c r="I563" t="n">
        <v>0</v>
      </c>
      <c r="J563" t="n">
        <v>0</v>
      </c>
      <c r="K563" t="n">
        <v>0</v>
      </c>
      <c r="L563" t="n">
        <v>0</v>
      </c>
      <c r="M563" t="n">
        <v>0</v>
      </c>
      <c r="N563" t="n">
        <v>0</v>
      </c>
      <c r="O563" t="n">
        <v>0</v>
      </c>
      <c r="P563" t="n">
        <v>0</v>
      </c>
      <c r="Q563" t="n">
        <v>0</v>
      </c>
      <c r="R563" s="2" t="inlineStr"/>
    </row>
    <row r="564" ht="15" customHeight="1">
      <c r="A564" t="inlineStr">
        <is>
          <t>A 18401-2025</t>
        </is>
      </c>
      <c r="B564" s="1" t="n">
        <v>45762.5966087963</v>
      </c>
      <c r="C564" s="1" t="n">
        <v>45941</v>
      </c>
      <c r="D564" t="inlineStr">
        <is>
          <t>UPPSALA LÄN</t>
        </is>
      </c>
      <c r="E564" t="inlineStr">
        <is>
          <t>ÖSTHAMMAR</t>
        </is>
      </c>
      <c r="G564" t="n">
        <v>1.7</v>
      </c>
      <c r="H564" t="n">
        <v>0</v>
      </c>
      <c r="I564" t="n">
        <v>0</v>
      </c>
      <c r="J564" t="n">
        <v>0</v>
      </c>
      <c r="K564" t="n">
        <v>0</v>
      </c>
      <c r="L564" t="n">
        <v>0</v>
      </c>
      <c r="M564" t="n">
        <v>0</v>
      </c>
      <c r="N564" t="n">
        <v>0</v>
      </c>
      <c r="O564" t="n">
        <v>0</v>
      </c>
      <c r="P564" t="n">
        <v>0</v>
      </c>
      <c r="Q564" t="n">
        <v>0</v>
      </c>
      <c r="R564" s="2" t="inlineStr"/>
    </row>
    <row r="565" ht="15" customHeight="1">
      <c r="A565" t="inlineStr">
        <is>
          <t>A 8708-2022</t>
        </is>
      </c>
      <c r="B565" s="1" t="n">
        <v>44613.77238425926</v>
      </c>
      <c r="C565" s="1" t="n">
        <v>45941</v>
      </c>
      <c r="D565" t="inlineStr">
        <is>
          <t>UPPSALA LÄN</t>
        </is>
      </c>
      <c r="E565" t="inlineStr">
        <is>
          <t>ÖSTHAMMAR</t>
        </is>
      </c>
      <c r="G565" t="n">
        <v>4.3</v>
      </c>
      <c r="H565" t="n">
        <v>0</v>
      </c>
      <c r="I565" t="n">
        <v>0</v>
      </c>
      <c r="J565" t="n">
        <v>0</v>
      </c>
      <c r="K565" t="n">
        <v>0</v>
      </c>
      <c r="L565" t="n">
        <v>0</v>
      </c>
      <c r="M565" t="n">
        <v>0</v>
      </c>
      <c r="N565" t="n">
        <v>0</v>
      </c>
      <c r="O565" t="n">
        <v>0</v>
      </c>
      <c r="P565" t="n">
        <v>0</v>
      </c>
      <c r="Q565" t="n">
        <v>0</v>
      </c>
      <c r="R565" s="2" t="inlineStr"/>
    </row>
    <row r="566" ht="15" customHeight="1">
      <c r="A566" t="inlineStr">
        <is>
          <t>A 30086-2023</t>
        </is>
      </c>
      <c r="B566" s="1" t="n">
        <v>45110.43907407407</v>
      </c>
      <c r="C566" s="1" t="n">
        <v>45941</v>
      </c>
      <c r="D566" t="inlineStr">
        <is>
          <t>UPPSALA LÄN</t>
        </is>
      </c>
      <c r="E566" t="inlineStr">
        <is>
          <t>ÖSTHAMMAR</t>
        </is>
      </c>
      <c r="G566" t="n">
        <v>3.5</v>
      </c>
      <c r="H566" t="n">
        <v>0</v>
      </c>
      <c r="I566" t="n">
        <v>0</v>
      </c>
      <c r="J566" t="n">
        <v>0</v>
      </c>
      <c r="K566" t="n">
        <v>0</v>
      </c>
      <c r="L566" t="n">
        <v>0</v>
      </c>
      <c r="M566" t="n">
        <v>0</v>
      </c>
      <c r="N566" t="n">
        <v>0</v>
      </c>
      <c r="O566" t="n">
        <v>0</v>
      </c>
      <c r="P566" t="n">
        <v>0</v>
      </c>
      <c r="Q566" t="n">
        <v>0</v>
      </c>
      <c r="R566" s="2" t="inlineStr"/>
    </row>
    <row r="567" ht="15" customHeight="1">
      <c r="A567" t="inlineStr">
        <is>
          <t>A 11547-2022</t>
        </is>
      </c>
      <c r="B567" s="1" t="n">
        <v>44631.43116898148</v>
      </c>
      <c r="C567" s="1" t="n">
        <v>45941</v>
      </c>
      <c r="D567" t="inlineStr">
        <is>
          <t>UPPSALA LÄN</t>
        </is>
      </c>
      <c r="E567" t="inlineStr">
        <is>
          <t>ÖSTHAMMAR</t>
        </is>
      </c>
      <c r="G567" t="n">
        <v>4.4</v>
      </c>
      <c r="H567" t="n">
        <v>0</v>
      </c>
      <c r="I567" t="n">
        <v>0</v>
      </c>
      <c r="J567" t="n">
        <v>0</v>
      </c>
      <c r="K567" t="n">
        <v>0</v>
      </c>
      <c r="L567" t="n">
        <v>0</v>
      </c>
      <c r="M567" t="n">
        <v>0</v>
      </c>
      <c r="N567" t="n">
        <v>0</v>
      </c>
      <c r="O567" t="n">
        <v>0</v>
      </c>
      <c r="P567" t="n">
        <v>0</v>
      </c>
      <c r="Q567" t="n">
        <v>0</v>
      </c>
      <c r="R567" s="2" t="inlineStr"/>
    </row>
    <row r="568" ht="15" customHeight="1">
      <c r="A568" t="inlineStr">
        <is>
          <t>A 11008-2023</t>
        </is>
      </c>
      <c r="B568" s="1" t="n">
        <v>44991</v>
      </c>
      <c r="C568" s="1" t="n">
        <v>45941</v>
      </c>
      <c r="D568" t="inlineStr">
        <is>
          <t>UPPSALA LÄN</t>
        </is>
      </c>
      <c r="E568" t="inlineStr">
        <is>
          <t>ÖSTHAMMAR</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25269-2024</t>
        </is>
      </c>
      <c r="B569" s="1" t="n">
        <v>45462</v>
      </c>
      <c r="C569" s="1" t="n">
        <v>45941</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13771-2023</t>
        </is>
      </c>
      <c r="B570" s="1" t="n">
        <v>45007</v>
      </c>
      <c r="C570" s="1" t="n">
        <v>45941</v>
      </c>
      <c r="D570" t="inlineStr">
        <is>
          <t>UPPSALA LÄN</t>
        </is>
      </c>
      <c r="E570" t="inlineStr">
        <is>
          <t>ÖSTHAMMAR</t>
        </is>
      </c>
      <c r="G570" t="n">
        <v>2.7</v>
      </c>
      <c r="H570" t="n">
        <v>0</v>
      </c>
      <c r="I570" t="n">
        <v>0</v>
      </c>
      <c r="J570" t="n">
        <v>0</v>
      </c>
      <c r="K570" t="n">
        <v>0</v>
      </c>
      <c r="L570" t="n">
        <v>0</v>
      </c>
      <c r="M570" t="n">
        <v>0</v>
      </c>
      <c r="N570" t="n">
        <v>0</v>
      </c>
      <c r="O570" t="n">
        <v>0</v>
      </c>
      <c r="P570" t="n">
        <v>0</v>
      </c>
      <c r="Q570" t="n">
        <v>0</v>
      </c>
      <c r="R570" s="2" t="inlineStr"/>
    </row>
    <row r="571" ht="15" customHeight="1">
      <c r="A571" t="inlineStr">
        <is>
          <t>A 59382-2022</t>
        </is>
      </c>
      <c r="B571" s="1" t="n">
        <v>44905.50363425926</v>
      </c>
      <c r="C571" s="1" t="n">
        <v>45941</v>
      </c>
      <c r="D571" t="inlineStr">
        <is>
          <t>UPPSALA LÄN</t>
        </is>
      </c>
      <c r="E571" t="inlineStr">
        <is>
          <t>ÖSTHAMMAR</t>
        </is>
      </c>
      <c r="G571" t="n">
        <v>2.9</v>
      </c>
      <c r="H571" t="n">
        <v>0</v>
      </c>
      <c r="I571" t="n">
        <v>0</v>
      </c>
      <c r="J571" t="n">
        <v>0</v>
      </c>
      <c r="K571" t="n">
        <v>0</v>
      </c>
      <c r="L571" t="n">
        <v>0</v>
      </c>
      <c r="M571" t="n">
        <v>0</v>
      </c>
      <c r="N571" t="n">
        <v>0</v>
      </c>
      <c r="O571" t="n">
        <v>0</v>
      </c>
      <c r="P571" t="n">
        <v>0</v>
      </c>
      <c r="Q571" t="n">
        <v>0</v>
      </c>
      <c r="R571" s="2" t="inlineStr"/>
    </row>
    <row r="572" ht="15" customHeight="1">
      <c r="A572" t="inlineStr">
        <is>
          <t>A 25969-2023</t>
        </is>
      </c>
      <c r="B572" s="1" t="n">
        <v>45090</v>
      </c>
      <c r="C572" s="1" t="n">
        <v>45941</v>
      </c>
      <c r="D572" t="inlineStr">
        <is>
          <t>UPPSALA LÄN</t>
        </is>
      </c>
      <c r="E572" t="inlineStr">
        <is>
          <t>ÖSTHAMMAR</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56903-2023</t>
        </is>
      </c>
      <c r="B573" s="1" t="n">
        <v>45244.56943287037</v>
      </c>
      <c r="C573" s="1" t="n">
        <v>45941</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67151-2021</t>
        </is>
      </c>
      <c r="B574" s="1" t="n">
        <v>44523</v>
      </c>
      <c r="C574" s="1" t="n">
        <v>45941</v>
      </c>
      <c r="D574" t="inlineStr">
        <is>
          <t>UPPSALA LÄN</t>
        </is>
      </c>
      <c r="E574" t="inlineStr">
        <is>
          <t>ÖSTHAMMAR</t>
        </is>
      </c>
      <c r="G574" t="n">
        <v>2.4</v>
      </c>
      <c r="H574" t="n">
        <v>0</v>
      </c>
      <c r="I574" t="n">
        <v>0</v>
      </c>
      <c r="J574" t="n">
        <v>0</v>
      </c>
      <c r="K574" t="n">
        <v>0</v>
      </c>
      <c r="L574" t="n">
        <v>0</v>
      </c>
      <c r="M574" t="n">
        <v>0</v>
      </c>
      <c r="N574" t="n">
        <v>0</v>
      </c>
      <c r="O574" t="n">
        <v>0</v>
      </c>
      <c r="P574" t="n">
        <v>0</v>
      </c>
      <c r="Q574" t="n">
        <v>0</v>
      </c>
      <c r="R574" s="2" t="inlineStr"/>
    </row>
    <row r="575" ht="15" customHeight="1">
      <c r="A575" t="inlineStr">
        <is>
          <t>A 29824-2023</t>
        </is>
      </c>
      <c r="B575" s="1" t="n">
        <v>45107</v>
      </c>
      <c r="C575" s="1" t="n">
        <v>45941</v>
      </c>
      <c r="D575" t="inlineStr">
        <is>
          <t>UPPSALA LÄN</t>
        </is>
      </c>
      <c r="E575" t="inlineStr">
        <is>
          <t>ÖSTHAMMAR</t>
        </is>
      </c>
      <c r="F575" t="inlineStr">
        <is>
          <t>Naturvårdsverket</t>
        </is>
      </c>
      <c r="G575" t="n">
        <v>1.6</v>
      </c>
      <c r="H575" t="n">
        <v>0</v>
      </c>
      <c r="I575" t="n">
        <v>0</v>
      </c>
      <c r="J575" t="n">
        <v>0</v>
      </c>
      <c r="K575" t="n">
        <v>0</v>
      </c>
      <c r="L575" t="n">
        <v>0</v>
      </c>
      <c r="M575" t="n">
        <v>0</v>
      </c>
      <c r="N575" t="n">
        <v>0</v>
      </c>
      <c r="O575" t="n">
        <v>0</v>
      </c>
      <c r="P575" t="n">
        <v>0</v>
      </c>
      <c r="Q575" t="n">
        <v>0</v>
      </c>
      <c r="R575" s="2" t="inlineStr"/>
    </row>
    <row r="576" ht="15" customHeight="1">
      <c r="A576" t="inlineStr">
        <is>
          <t>A 64586-2021</t>
        </is>
      </c>
      <c r="B576" s="1" t="n">
        <v>44511</v>
      </c>
      <c r="C576" s="1" t="n">
        <v>45941</v>
      </c>
      <c r="D576" t="inlineStr">
        <is>
          <t>UPPSALA LÄN</t>
        </is>
      </c>
      <c r="E576" t="inlineStr">
        <is>
          <t>ÖSTHAMMAR</t>
        </is>
      </c>
      <c r="G576" t="n">
        <v>2</v>
      </c>
      <c r="H576" t="n">
        <v>0</v>
      </c>
      <c r="I576" t="n">
        <v>0</v>
      </c>
      <c r="J576" t="n">
        <v>0</v>
      </c>
      <c r="K576" t="n">
        <v>0</v>
      </c>
      <c r="L576" t="n">
        <v>0</v>
      </c>
      <c r="M576" t="n">
        <v>0</v>
      </c>
      <c r="N576" t="n">
        <v>0</v>
      </c>
      <c r="O576" t="n">
        <v>0</v>
      </c>
      <c r="P576" t="n">
        <v>0</v>
      </c>
      <c r="Q576" t="n">
        <v>0</v>
      </c>
      <c r="R576" s="2" t="inlineStr"/>
    </row>
    <row r="577" ht="15" customHeight="1">
      <c r="A577" t="inlineStr">
        <is>
          <t>A 58324-2023</t>
        </is>
      </c>
      <c r="B577" s="1" t="n">
        <v>45250.58635416667</v>
      </c>
      <c r="C577" s="1" t="n">
        <v>45941</v>
      </c>
      <c r="D577" t="inlineStr">
        <is>
          <t>UPPSALA LÄN</t>
        </is>
      </c>
      <c r="E577" t="inlineStr">
        <is>
          <t>ÖSTHAMMAR</t>
        </is>
      </c>
      <c r="G577" t="n">
        <v>5.1</v>
      </c>
      <c r="H577" t="n">
        <v>0</v>
      </c>
      <c r="I577" t="n">
        <v>0</v>
      </c>
      <c r="J577" t="n">
        <v>0</v>
      </c>
      <c r="K577" t="n">
        <v>0</v>
      </c>
      <c r="L577" t="n">
        <v>0</v>
      </c>
      <c r="M577" t="n">
        <v>0</v>
      </c>
      <c r="N577" t="n">
        <v>0</v>
      </c>
      <c r="O577" t="n">
        <v>0</v>
      </c>
      <c r="P577" t="n">
        <v>0</v>
      </c>
      <c r="Q577" t="n">
        <v>0</v>
      </c>
      <c r="R577" s="2" t="inlineStr"/>
    </row>
    <row r="578" ht="15" customHeight="1">
      <c r="A578" t="inlineStr">
        <is>
          <t>A 17009-2021</t>
        </is>
      </c>
      <c r="B578" s="1" t="n">
        <v>44295.63969907408</v>
      </c>
      <c r="C578" s="1" t="n">
        <v>45941</v>
      </c>
      <c r="D578" t="inlineStr">
        <is>
          <t>UPPSALA LÄN</t>
        </is>
      </c>
      <c r="E578" t="inlineStr">
        <is>
          <t>ÖSTHAMMAR</t>
        </is>
      </c>
      <c r="F578" t="inlineStr">
        <is>
          <t>Bergvik skog öst AB</t>
        </is>
      </c>
      <c r="G578" t="n">
        <v>3.2</v>
      </c>
      <c r="H578" t="n">
        <v>0</v>
      </c>
      <c r="I578" t="n">
        <v>0</v>
      </c>
      <c r="J578" t="n">
        <v>0</v>
      </c>
      <c r="K578" t="n">
        <v>0</v>
      </c>
      <c r="L578" t="n">
        <v>0</v>
      </c>
      <c r="M578" t="n">
        <v>0</v>
      </c>
      <c r="N578" t="n">
        <v>0</v>
      </c>
      <c r="O578" t="n">
        <v>0</v>
      </c>
      <c r="P578" t="n">
        <v>0</v>
      </c>
      <c r="Q578" t="n">
        <v>0</v>
      </c>
      <c r="R578" s="2" t="inlineStr"/>
    </row>
    <row r="579" ht="15" customHeight="1">
      <c r="A579" t="inlineStr">
        <is>
          <t>A 13755-2023</t>
        </is>
      </c>
      <c r="B579" s="1" t="n">
        <v>45007</v>
      </c>
      <c r="C579" s="1" t="n">
        <v>45941</v>
      </c>
      <c r="D579" t="inlineStr">
        <is>
          <t>UPPSALA LÄN</t>
        </is>
      </c>
      <c r="E579" t="inlineStr">
        <is>
          <t>ÖSTHAMMAR</t>
        </is>
      </c>
      <c r="G579" t="n">
        <v>2.4</v>
      </c>
      <c r="H579" t="n">
        <v>0</v>
      </c>
      <c r="I579" t="n">
        <v>0</v>
      </c>
      <c r="J579" t="n">
        <v>0</v>
      </c>
      <c r="K579" t="n">
        <v>0</v>
      </c>
      <c r="L579" t="n">
        <v>0</v>
      </c>
      <c r="M579" t="n">
        <v>0</v>
      </c>
      <c r="N579" t="n">
        <v>0</v>
      </c>
      <c r="O579" t="n">
        <v>0</v>
      </c>
      <c r="P579" t="n">
        <v>0</v>
      </c>
      <c r="Q579" t="n">
        <v>0</v>
      </c>
      <c r="R579" s="2" t="inlineStr"/>
    </row>
    <row r="580" ht="15" customHeight="1">
      <c r="A580" t="inlineStr">
        <is>
          <t>A 69411-2021</t>
        </is>
      </c>
      <c r="B580" s="1" t="n">
        <v>44531.61038194445</v>
      </c>
      <c r="C580" s="1" t="n">
        <v>45941</v>
      </c>
      <c r="D580" t="inlineStr">
        <is>
          <t>UPPSALA LÄN</t>
        </is>
      </c>
      <c r="E580" t="inlineStr">
        <is>
          <t>ÖSTHAMMAR</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64774-2023</t>
        </is>
      </c>
      <c r="B581" s="1" t="n">
        <v>45282</v>
      </c>
      <c r="C581" s="1" t="n">
        <v>45941</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65020-2021</t>
        </is>
      </c>
      <c r="B582" s="1" t="n">
        <v>44515</v>
      </c>
      <c r="C582" s="1" t="n">
        <v>45941</v>
      </c>
      <c r="D582" t="inlineStr">
        <is>
          <t>UPPSALA LÄN</t>
        </is>
      </c>
      <c r="E582" t="inlineStr">
        <is>
          <t>ÖSTHAMMAR</t>
        </is>
      </c>
      <c r="F582" t="inlineStr">
        <is>
          <t>Sveaskog</t>
        </is>
      </c>
      <c r="G582" t="n">
        <v>4.7</v>
      </c>
      <c r="H582" t="n">
        <v>0</v>
      </c>
      <c r="I582" t="n">
        <v>0</v>
      </c>
      <c r="J582" t="n">
        <v>0</v>
      </c>
      <c r="K582" t="n">
        <v>0</v>
      </c>
      <c r="L582" t="n">
        <v>0</v>
      </c>
      <c r="M582" t="n">
        <v>0</v>
      </c>
      <c r="N582" t="n">
        <v>0</v>
      </c>
      <c r="O582" t="n">
        <v>0</v>
      </c>
      <c r="P582" t="n">
        <v>0</v>
      </c>
      <c r="Q582" t="n">
        <v>0</v>
      </c>
      <c r="R582" s="2" t="inlineStr"/>
    </row>
    <row r="583" ht="15" customHeight="1">
      <c r="A583" t="inlineStr">
        <is>
          <t>A 49831-2023</t>
        </is>
      </c>
      <c r="B583" s="1" t="n">
        <v>45212.71241898148</v>
      </c>
      <c r="C583" s="1" t="n">
        <v>45941</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49899-2023</t>
        </is>
      </c>
      <c r="B584" s="1" t="n">
        <v>45213</v>
      </c>
      <c r="C584" s="1" t="n">
        <v>45941</v>
      </c>
      <c r="D584" t="inlineStr">
        <is>
          <t>UPPSALA LÄN</t>
        </is>
      </c>
      <c r="E584" t="inlineStr">
        <is>
          <t>ÖSTHAMMAR</t>
        </is>
      </c>
      <c r="G584" t="n">
        <v>6.2</v>
      </c>
      <c r="H584" t="n">
        <v>0</v>
      </c>
      <c r="I584" t="n">
        <v>0</v>
      </c>
      <c r="J584" t="n">
        <v>0</v>
      </c>
      <c r="K584" t="n">
        <v>0</v>
      </c>
      <c r="L584" t="n">
        <v>0</v>
      </c>
      <c r="M584" t="n">
        <v>0</v>
      </c>
      <c r="N584" t="n">
        <v>0</v>
      </c>
      <c r="O584" t="n">
        <v>0</v>
      </c>
      <c r="P584" t="n">
        <v>0</v>
      </c>
      <c r="Q584" t="n">
        <v>0</v>
      </c>
      <c r="R584" s="2" t="inlineStr"/>
    </row>
    <row r="585" ht="15" customHeight="1">
      <c r="A585" t="inlineStr">
        <is>
          <t>A 2085-2022</t>
        </is>
      </c>
      <c r="B585" s="1" t="n">
        <v>44576.78626157407</v>
      </c>
      <c r="C585" s="1" t="n">
        <v>45941</v>
      </c>
      <c r="D585" t="inlineStr">
        <is>
          <t>UPPSALA LÄN</t>
        </is>
      </c>
      <c r="E585" t="inlineStr">
        <is>
          <t>ÖSTHAMMAR</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17939-2025</t>
        </is>
      </c>
      <c r="B586" s="1" t="n">
        <v>45760.55671296296</v>
      </c>
      <c r="C586" s="1" t="n">
        <v>45941</v>
      </c>
      <c r="D586" t="inlineStr">
        <is>
          <t>UPPSALA LÄN</t>
        </is>
      </c>
      <c r="E586" t="inlineStr">
        <is>
          <t>ÖSTHAMMAR</t>
        </is>
      </c>
      <c r="F586" t="inlineStr">
        <is>
          <t>Bergvik skog öst AB</t>
        </is>
      </c>
      <c r="G586" t="n">
        <v>5.4</v>
      </c>
      <c r="H586" t="n">
        <v>0</v>
      </c>
      <c r="I586" t="n">
        <v>0</v>
      </c>
      <c r="J586" t="n">
        <v>0</v>
      </c>
      <c r="K586" t="n">
        <v>0</v>
      </c>
      <c r="L586" t="n">
        <v>0</v>
      </c>
      <c r="M586" t="n">
        <v>0</v>
      </c>
      <c r="N586" t="n">
        <v>0</v>
      </c>
      <c r="O586" t="n">
        <v>0</v>
      </c>
      <c r="P586" t="n">
        <v>0</v>
      </c>
      <c r="Q586" t="n">
        <v>0</v>
      </c>
      <c r="R586" s="2" t="inlineStr"/>
    </row>
    <row r="587" ht="15" customHeight="1">
      <c r="A587" t="inlineStr">
        <is>
          <t>A 17940-2025</t>
        </is>
      </c>
      <c r="B587" s="1" t="n">
        <v>45760.55842592593</v>
      </c>
      <c r="C587" s="1" t="n">
        <v>45941</v>
      </c>
      <c r="D587" t="inlineStr">
        <is>
          <t>UPPSALA LÄN</t>
        </is>
      </c>
      <c r="E587" t="inlineStr">
        <is>
          <t>ÖSTHAMMAR</t>
        </is>
      </c>
      <c r="F587" t="inlineStr">
        <is>
          <t>Bergvik skog öst AB</t>
        </is>
      </c>
      <c r="G587" t="n">
        <v>5.6</v>
      </c>
      <c r="H587" t="n">
        <v>0</v>
      </c>
      <c r="I587" t="n">
        <v>0</v>
      </c>
      <c r="J587" t="n">
        <v>0</v>
      </c>
      <c r="K587" t="n">
        <v>0</v>
      </c>
      <c r="L587" t="n">
        <v>0</v>
      </c>
      <c r="M587" t="n">
        <v>0</v>
      </c>
      <c r="N587" t="n">
        <v>0</v>
      </c>
      <c r="O587" t="n">
        <v>0</v>
      </c>
      <c r="P587" t="n">
        <v>0</v>
      </c>
      <c r="Q587" t="n">
        <v>0</v>
      </c>
      <c r="R587" s="2" t="inlineStr"/>
    </row>
    <row r="588" ht="15" customHeight="1">
      <c r="A588" t="inlineStr">
        <is>
          <t>A 14671-2022</t>
        </is>
      </c>
      <c r="B588" s="1" t="n">
        <v>44655.80475694445</v>
      </c>
      <c r="C588" s="1" t="n">
        <v>45941</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12215-2023</t>
        </is>
      </c>
      <c r="B589" s="1" t="n">
        <v>44998</v>
      </c>
      <c r="C589" s="1" t="n">
        <v>45941</v>
      </c>
      <c r="D589" t="inlineStr">
        <is>
          <t>UPPSALA LÄN</t>
        </is>
      </c>
      <c r="E589" t="inlineStr">
        <is>
          <t>ÖSTHAMMAR</t>
        </is>
      </c>
      <c r="G589" t="n">
        <v>5.1</v>
      </c>
      <c r="H589" t="n">
        <v>0</v>
      </c>
      <c r="I589" t="n">
        <v>0</v>
      </c>
      <c r="J589" t="n">
        <v>0</v>
      </c>
      <c r="K589" t="n">
        <v>0</v>
      </c>
      <c r="L589" t="n">
        <v>0</v>
      </c>
      <c r="M589" t="n">
        <v>0</v>
      </c>
      <c r="N589" t="n">
        <v>0</v>
      </c>
      <c r="O589" t="n">
        <v>0</v>
      </c>
      <c r="P589" t="n">
        <v>0</v>
      </c>
      <c r="Q589" t="n">
        <v>0</v>
      </c>
      <c r="R589" s="2" t="inlineStr"/>
    </row>
    <row r="590" ht="15" customHeight="1">
      <c r="A590" t="inlineStr">
        <is>
          <t>A 5855-2022</t>
        </is>
      </c>
      <c r="B590" s="1" t="n">
        <v>44596.63290509259</v>
      </c>
      <c r="C590" s="1" t="n">
        <v>45941</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41996-2024</t>
        </is>
      </c>
      <c r="B591" s="1" t="n">
        <v>45561</v>
      </c>
      <c r="C591" s="1" t="n">
        <v>45941</v>
      </c>
      <c r="D591" t="inlineStr">
        <is>
          <t>UPPSALA LÄN</t>
        </is>
      </c>
      <c r="E591" t="inlineStr">
        <is>
          <t>ÖSTHAMMAR</t>
        </is>
      </c>
      <c r="F591" t="inlineStr">
        <is>
          <t>Bergvik skog öst AB</t>
        </is>
      </c>
      <c r="G591" t="n">
        <v>0.9</v>
      </c>
      <c r="H591" t="n">
        <v>0</v>
      </c>
      <c r="I591" t="n">
        <v>0</v>
      </c>
      <c r="J591" t="n">
        <v>0</v>
      </c>
      <c r="K591" t="n">
        <v>0</v>
      </c>
      <c r="L591" t="n">
        <v>0</v>
      </c>
      <c r="M591" t="n">
        <v>0</v>
      </c>
      <c r="N591" t="n">
        <v>0</v>
      </c>
      <c r="O591" t="n">
        <v>0</v>
      </c>
      <c r="P591" t="n">
        <v>0</v>
      </c>
      <c r="Q591" t="n">
        <v>0</v>
      </c>
      <c r="R591" s="2" t="inlineStr"/>
    </row>
    <row r="592" ht="15" customHeight="1">
      <c r="A592" t="inlineStr">
        <is>
          <t>A 15449-2022</t>
        </is>
      </c>
      <c r="B592" s="1" t="n">
        <v>44660.91659722223</v>
      </c>
      <c r="C592" s="1" t="n">
        <v>45941</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1439-2025</t>
        </is>
      </c>
      <c r="B593" s="1" t="n">
        <v>45669.69075231482</v>
      </c>
      <c r="C593" s="1" t="n">
        <v>45941</v>
      </c>
      <c r="D593" t="inlineStr">
        <is>
          <t>UPPSALA LÄN</t>
        </is>
      </c>
      <c r="E593" t="inlineStr">
        <is>
          <t>ÖSTHAMMAR</t>
        </is>
      </c>
      <c r="G593" t="n">
        <v>1</v>
      </c>
      <c r="H593" t="n">
        <v>0</v>
      </c>
      <c r="I593" t="n">
        <v>0</v>
      </c>
      <c r="J593" t="n">
        <v>0</v>
      </c>
      <c r="K593" t="n">
        <v>0</v>
      </c>
      <c r="L593" t="n">
        <v>0</v>
      </c>
      <c r="M593" t="n">
        <v>0</v>
      </c>
      <c r="N593" t="n">
        <v>0</v>
      </c>
      <c r="O593" t="n">
        <v>0</v>
      </c>
      <c r="P593" t="n">
        <v>0</v>
      </c>
      <c r="Q593" t="n">
        <v>0</v>
      </c>
      <c r="R593" s="2" t="inlineStr"/>
    </row>
    <row r="594" ht="15" customHeight="1">
      <c r="A594" t="inlineStr">
        <is>
          <t>A 5884-2023</t>
        </is>
      </c>
      <c r="B594" s="1" t="n">
        <v>44963</v>
      </c>
      <c r="C594" s="1" t="n">
        <v>45941</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5215-2025</t>
        </is>
      </c>
      <c r="B595" s="1" t="n">
        <v>45691</v>
      </c>
      <c r="C595" s="1" t="n">
        <v>45941</v>
      </c>
      <c r="D595" t="inlineStr">
        <is>
          <t>UPPSALA LÄN</t>
        </is>
      </c>
      <c r="E595" t="inlineStr">
        <is>
          <t>ÖSTHAMMAR</t>
        </is>
      </c>
      <c r="G595" t="n">
        <v>0.5</v>
      </c>
      <c r="H595" t="n">
        <v>0</v>
      </c>
      <c r="I595" t="n">
        <v>0</v>
      </c>
      <c r="J595" t="n">
        <v>0</v>
      </c>
      <c r="K595" t="n">
        <v>0</v>
      </c>
      <c r="L595" t="n">
        <v>0</v>
      </c>
      <c r="M595" t="n">
        <v>0</v>
      </c>
      <c r="N595" t="n">
        <v>0</v>
      </c>
      <c r="O595" t="n">
        <v>0</v>
      </c>
      <c r="P595" t="n">
        <v>0</v>
      </c>
      <c r="Q595" t="n">
        <v>0</v>
      </c>
      <c r="R595" s="2" t="inlineStr"/>
    </row>
    <row r="596" ht="15" customHeight="1">
      <c r="A596" t="inlineStr">
        <is>
          <t>A 65028-2021</t>
        </is>
      </c>
      <c r="B596" s="1" t="n">
        <v>44515</v>
      </c>
      <c r="C596" s="1" t="n">
        <v>45941</v>
      </c>
      <c r="D596" t="inlineStr">
        <is>
          <t>UPPSALA LÄN</t>
        </is>
      </c>
      <c r="E596" t="inlineStr">
        <is>
          <t>ÖSTHAMMAR</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54366-2023</t>
        </is>
      </c>
      <c r="B597" s="1" t="n">
        <v>45233</v>
      </c>
      <c r="C597" s="1" t="n">
        <v>45941</v>
      </c>
      <c r="D597" t="inlineStr">
        <is>
          <t>UPPSALA LÄN</t>
        </is>
      </c>
      <c r="E597" t="inlineStr">
        <is>
          <t>ÖSTHAMMAR</t>
        </is>
      </c>
      <c r="F597" t="inlineStr">
        <is>
          <t>Bergvik skog öst AB</t>
        </is>
      </c>
      <c r="G597" t="n">
        <v>2.9</v>
      </c>
      <c r="H597" t="n">
        <v>0</v>
      </c>
      <c r="I597" t="n">
        <v>0</v>
      </c>
      <c r="J597" t="n">
        <v>0</v>
      </c>
      <c r="K597" t="n">
        <v>0</v>
      </c>
      <c r="L597" t="n">
        <v>0</v>
      </c>
      <c r="M597" t="n">
        <v>0</v>
      </c>
      <c r="N597" t="n">
        <v>0</v>
      </c>
      <c r="O597" t="n">
        <v>0</v>
      </c>
      <c r="P597" t="n">
        <v>0</v>
      </c>
      <c r="Q597" t="n">
        <v>0</v>
      </c>
      <c r="R597" s="2" t="inlineStr"/>
    </row>
    <row r="598" ht="15" customHeight="1">
      <c r="A598" t="inlineStr">
        <is>
          <t>A 17643-2025</t>
        </is>
      </c>
      <c r="B598" s="1" t="n">
        <v>45758.32454861111</v>
      </c>
      <c r="C598" s="1" t="n">
        <v>45941</v>
      </c>
      <c r="D598" t="inlineStr">
        <is>
          <t>UPPSALA LÄN</t>
        </is>
      </c>
      <c r="E598" t="inlineStr">
        <is>
          <t>ÖSTHAMMAR</t>
        </is>
      </c>
      <c r="F598" t="inlineStr">
        <is>
          <t>Bergvik skog väst AB</t>
        </is>
      </c>
      <c r="G598" t="n">
        <v>2.6</v>
      </c>
      <c r="H598" t="n">
        <v>0</v>
      </c>
      <c r="I598" t="n">
        <v>0</v>
      </c>
      <c r="J598" t="n">
        <v>0</v>
      </c>
      <c r="K598" t="n">
        <v>0</v>
      </c>
      <c r="L598" t="n">
        <v>0</v>
      </c>
      <c r="M598" t="n">
        <v>0</v>
      </c>
      <c r="N598" t="n">
        <v>0</v>
      </c>
      <c r="O598" t="n">
        <v>0</v>
      </c>
      <c r="P598" t="n">
        <v>0</v>
      </c>
      <c r="Q598" t="n">
        <v>0</v>
      </c>
      <c r="R598" s="2" t="inlineStr"/>
    </row>
    <row r="599" ht="15" customHeight="1">
      <c r="A599" t="inlineStr">
        <is>
          <t>A 13248-2025</t>
        </is>
      </c>
      <c r="B599" s="1" t="n">
        <v>45735</v>
      </c>
      <c r="C599" s="1" t="n">
        <v>45941</v>
      </c>
      <c r="D599" t="inlineStr">
        <is>
          <t>UPPSALA LÄN</t>
        </is>
      </c>
      <c r="E599" t="inlineStr">
        <is>
          <t>ÖSTHAMMAR</t>
        </is>
      </c>
      <c r="F599" t="inlineStr">
        <is>
          <t>Kyrkan</t>
        </is>
      </c>
      <c r="G599" t="n">
        <v>12.2</v>
      </c>
      <c r="H599" t="n">
        <v>0</v>
      </c>
      <c r="I599" t="n">
        <v>0</v>
      </c>
      <c r="J599" t="n">
        <v>0</v>
      </c>
      <c r="K599" t="n">
        <v>0</v>
      </c>
      <c r="L599" t="n">
        <v>0</v>
      </c>
      <c r="M599" t="n">
        <v>0</v>
      </c>
      <c r="N599" t="n">
        <v>0</v>
      </c>
      <c r="O599" t="n">
        <v>0</v>
      </c>
      <c r="P599" t="n">
        <v>0</v>
      </c>
      <c r="Q599" t="n">
        <v>0</v>
      </c>
      <c r="R599" s="2" t="inlineStr"/>
    </row>
    <row r="600" ht="15" customHeight="1">
      <c r="A600" t="inlineStr">
        <is>
          <t>A 1525-2025</t>
        </is>
      </c>
      <c r="B600" s="1" t="n">
        <v>45670.47300925926</v>
      </c>
      <c r="C600" s="1" t="n">
        <v>45941</v>
      </c>
      <c r="D600" t="inlineStr">
        <is>
          <t>UPPSALA LÄN</t>
        </is>
      </c>
      <c r="E600" t="inlineStr">
        <is>
          <t>ÖSTHAMMAR</t>
        </is>
      </c>
      <c r="F600" t="inlineStr">
        <is>
          <t>Bergvik skog öst AB</t>
        </is>
      </c>
      <c r="G600" t="n">
        <v>2</v>
      </c>
      <c r="H600" t="n">
        <v>0</v>
      </c>
      <c r="I600" t="n">
        <v>0</v>
      </c>
      <c r="J600" t="n">
        <v>0</v>
      </c>
      <c r="K600" t="n">
        <v>0</v>
      </c>
      <c r="L600" t="n">
        <v>0</v>
      </c>
      <c r="M600" t="n">
        <v>0</v>
      </c>
      <c r="N600" t="n">
        <v>0</v>
      </c>
      <c r="O600" t="n">
        <v>0</v>
      </c>
      <c r="P600" t="n">
        <v>0</v>
      </c>
      <c r="Q600" t="n">
        <v>0</v>
      </c>
      <c r="R600" s="2" t="inlineStr"/>
    </row>
    <row r="601" ht="15" customHeight="1">
      <c r="A601" t="inlineStr">
        <is>
          <t>A 61257-2022</t>
        </is>
      </c>
      <c r="B601" s="1" t="n">
        <v>44915.59418981482</v>
      </c>
      <c r="C601" s="1" t="n">
        <v>45941</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36857-2023</t>
        </is>
      </c>
      <c r="B602" s="1" t="n">
        <v>45154.55175925926</v>
      </c>
      <c r="C602" s="1" t="n">
        <v>45941</v>
      </c>
      <c r="D602" t="inlineStr">
        <is>
          <t>UPPSALA LÄN</t>
        </is>
      </c>
      <c r="E602" t="inlineStr">
        <is>
          <t>ÖSTHAMMAR</t>
        </is>
      </c>
      <c r="G602" t="n">
        <v>0.5</v>
      </c>
      <c r="H602" t="n">
        <v>0</v>
      </c>
      <c r="I602" t="n">
        <v>0</v>
      </c>
      <c r="J602" t="n">
        <v>0</v>
      </c>
      <c r="K602" t="n">
        <v>0</v>
      </c>
      <c r="L602" t="n">
        <v>0</v>
      </c>
      <c r="M602" t="n">
        <v>0</v>
      </c>
      <c r="N602" t="n">
        <v>0</v>
      </c>
      <c r="O602" t="n">
        <v>0</v>
      </c>
      <c r="P602" t="n">
        <v>0</v>
      </c>
      <c r="Q602" t="n">
        <v>0</v>
      </c>
      <c r="R602" s="2" t="inlineStr"/>
    </row>
    <row r="603" ht="15" customHeight="1">
      <c r="A603" t="inlineStr">
        <is>
          <t>A 6206-2022</t>
        </is>
      </c>
      <c r="B603" s="1" t="n">
        <v>44600.35755787037</v>
      </c>
      <c r="C603" s="1" t="n">
        <v>45941</v>
      </c>
      <c r="D603" t="inlineStr">
        <is>
          <t>UPPSALA LÄN</t>
        </is>
      </c>
      <c r="E603" t="inlineStr">
        <is>
          <t>ÖSTHAMMAR</t>
        </is>
      </c>
      <c r="G603" t="n">
        <v>7.4</v>
      </c>
      <c r="H603" t="n">
        <v>0</v>
      </c>
      <c r="I603" t="n">
        <v>0</v>
      </c>
      <c r="J603" t="n">
        <v>0</v>
      </c>
      <c r="K603" t="n">
        <v>0</v>
      </c>
      <c r="L603" t="n">
        <v>0</v>
      </c>
      <c r="M603" t="n">
        <v>0</v>
      </c>
      <c r="N603" t="n">
        <v>0</v>
      </c>
      <c r="O603" t="n">
        <v>0</v>
      </c>
      <c r="P603" t="n">
        <v>0</v>
      </c>
      <c r="Q603" t="n">
        <v>0</v>
      </c>
      <c r="R603" s="2" t="inlineStr"/>
    </row>
    <row r="604" ht="15" customHeight="1">
      <c r="A604" t="inlineStr">
        <is>
          <t>A 6143-2022</t>
        </is>
      </c>
      <c r="B604" s="1" t="n">
        <v>44599.72306712963</v>
      </c>
      <c r="C604" s="1" t="n">
        <v>45941</v>
      </c>
      <c r="D604" t="inlineStr">
        <is>
          <t>UPPSALA LÄN</t>
        </is>
      </c>
      <c r="E604" t="inlineStr">
        <is>
          <t>ÖSTHAMMAR</t>
        </is>
      </c>
      <c r="G604" t="n">
        <v>3.4</v>
      </c>
      <c r="H604" t="n">
        <v>0</v>
      </c>
      <c r="I604" t="n">
        <v>0</v>
      </c>
      <c r="J604" t="n">
        <v>0</v>
      </c>
      <c r="K604" t="n">
        <v>0</v>
      </c>
      <c r="L604" t="n">
        <v>0</v>
      </c>
      <c r="M604" t="n">
        <v>0</v>
      </c>
      <c r="N604" t="n">
        <v>0</v>
      </c>
      <c r="O604" t="n">
        <v>0</v>
      </c>
      <c r="P604" t="n">
        <v>0</v>
      </c>
      <c r="Q604" t="n">
        <v>0</v>
      </c>
      <c r="R604" s="2" t="inlineStr"/>
    </row>
    <row r="605" ht="15" customHeight="1">
      <c r="A605" t="inlineStr">
        <is>
          <t>A 3514-2023</t>
        </is>
      </c>
      <c r="B605" s="1" t="n">
        <v>44950</v>
      </c>
      <c r="C605" s="1" t="n">
        <v>45941</v>
      </c>
      <c r="D605" t="inlineStr">
        <is>
          <t>UPPSALA LÄN</t>
        </is>
      </c>
      <c r="E605" t="inlineStr">
        <is>
          <t>ÖSTHAMMAR</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51364-2021</t>
        </is>
      </c>
      <c r="B606" s="1" t="n">
        <v>44461</v>
      </c>
      <c r="C606" s="1" t="n">
        <v>45941</v>
      </c>
      <c r="D606" t="inlineStr">
        <is>
          <t>UPPSALA LÄN</t>
        </is>
      </c>
      <c r="E606" t="inlineStr">
        <is>
          <t>ÖSTHAMMAR</t>
        </is>
      </c>
      <c r="G606" t="n">
        <v>2.4</v>
      </c>
      <c r="H606" t="n">
        <v>0</v>
      </c>
      <c r="I606" t="n">
        <v>0</v>
      </c>
      <c r="J606" t="n">
        <v>0</v>
      </c>
      <c r="K606" t="n">
        <v>0</v>
      </c>
      <c r="L606" t="n">
        <v>0</v>
      </c>
      <c r="M606" t="n">
        <v>0</v>
      </c>
      <c r="N606" t="n">
        <v>0</v>
      </c>
      <c r="O606" t="n">
        <v>0</v>
      </c>
      <c r="P606" t="n">
        <v>0</v>
      </c>
      <c r="Q606" t="n">
        <v>0</v>
      </c>
      <c r="R606" s="2" t="inlineStr"/>
    </row>
    <row r="607" ht="15" customHeight="1">
      <c r="A607" t="inlineStr">
        <is>
          <t>A 45561-2023</t>
        </is>
      </c>
      <c r="B607" s="1" t="n">
        <v>45194.59335648148</v>
      </c>
      <c r="C607" s="1" t="n">
        <v>45941</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61062-2023</t>
        </is>
      </c>
      <c r="B608" s="1" t="n">
        <v>45259</v>
      </c>
      <c r="C608" s="1" t="n">
        <v>45941</v>
      </c>
      <c r="D608" t="inlineStr">
        <is>
          <t>UPPSALA LÄN</t>
        </is>
      </c>
      <c r="E608" t="inlineStr">
        <is>
          <t>ÖSTHAMMAR</t>
        </is>
      </c>
      <c r="G608" t="n">
        <v>5.3</v>
      </c>
      <c r="H608" t="n">
        <v>0</v>
      </c>
      <c r="I608" t="n">
        <v>0</v>
      </c>
      <c r="J608" t="n">
        <v>0</v>
      </c>
      <c r="K608" t="n">
        <v>0</v>
      </c>
      <c r="L608" t="n">
        <v>0</v>
      </c>
      <c r="M608" t="n">
        <v>0</v>
      </c>
      <c r="N608" t="n">
        <v>0</v>
      </c>
      <c r="O608" t="n">
        <v>0</v>
      </c>
      <c r="P608" t="n">
        <v>0</v>
      </c>
      <c r="Q608" t="n">
        <v>0</v>
      </c>
      <c r="R608" s="2" t="inlineStr"/>
    </row>
    <row r="609" ht="15" customHeight="1">
      <c r="A609" t="inlineStr">
        <is>
          <t>A 61443-2024</t>
        </is>
      </c>
      <c r="B609" s="1" t="n">
        <v>45646.47936342593</v>
      </c>
      <c r="C609" s="1" t="n">
        <v>45941</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26612-2023</t>
        </is>
      </c>
      <c r="B610" s="1" t="n">
        <v>45089</v>
      </c>
      <c r="C610" s="1" t="n">
        <v>45941</v>
      </c>
      <c r="D610" t="inlineStr">
        <is>
          <t>UPPSALA LÄN</t>
        </is>
      </c>
      <c r="E610" t="inlineStr">
        <is>
          <t>ÖSTHAMMAR</t>
        </is>
      </c>
      <c r="G610" t="n">
        <v>2.1</v>
      </c>
      <c r="H610" t="n">
        <v>0</v>
      </c>
      <c r="I610" t="n">
        <v>0</v>
      </c>
      <c r="J610" t="n">
        <v>0</v>
      </c>
      <c r="K610" t="n">
        <v>0</v>
      </c>
      <c r="L610" t="n">
        <v>0</v>
      </c>
      <c r="M610" t="n">
        <v>0</v>
      </c>
      <c r="N610" t="n">
        <v>0</v>
      </c>
      <c r="O610" t="n">
        <v>0</v>
      </c>
      <c r="P610" t="n">
        <v>0</v>
      </c>
      <c r="Q610" t="n">
        <v>0</v>
      </c>
      <c r="R610" s="2" t="inlineStr"/>
    </row>
    <row r="611" ht="15" customHeight="1">
      <c r="A611" t="inlineStr">
        <is>
          <t>A 65361-2020</t>
        </is>
      </c>
      <c r="B611" s="1" t="n">
        <v>44173</v>
      </c>
      <c r="C611" s="1" t="n">
        <v>45941</v>
      </c>
      <c r="D611" t="inlineStr">
        <is>
          <t>UPPSALA LÄN</t>
        </is>
      </c>
      <c r="E611" t="inlineStr">
        <is>
          <t>ÖSTHAMMAR</t>
        </is>
      </c>
      <c r="G611" t="n">
        <v>3.6</v>
      </c>
      <c r="H611" t="n">
        <v>0</v>
      </c>
      <c r="I611" t="n">
        <v>0</v>
      </c>
      <c r="J611" t="n">
        <v>0</v>
      </c>
      <c r="K611" t="n">
        <v>0</v>
      </c>
      <c r="L611" t="n">
        <v>0</v>
      </c>
      <c r="M611" t="n">
        <v>0</v>
      </c>
      <c r="N611" t="n">
        <v>0</v>
      </c>
      <c r="O611" t="n">
        <v>0</v>
      </c>
      <c r="P611" t="n">
        <v>0</v>
      </c>
      <c r="Q611" t="n">
        <v>0</v>
      </c>
      <c r="R611" s="2" t="inlineStr"/>
    </row>
    <row r="612" ht="15" customHeight="1">
      <c r="A612" t="inlineStr">
        <is>
          <t>A 14269-2025</t>
        </is>
      </c>
      <c r="B612" s="1" t="n">
        <v>45740.64078703704</v>
      </c>
      <c r="C612" s="1" t="n">
        <v>45941</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18088-2025</t>
        </is>
      </c>
      <c r="B613" s="1" t="n">
        <v>45761.53104166667</v>
      </c>
      <c r="C613" s="1" t="n">
        <v>45941</v>
      </c>
      <c r="D613" t="inlineStr">
        <is>
          <t>UPPSALA LÄN</t>
        </is>
      </c>
      <c r="E613" t="inlineStr">
        <is>
          <t>ÖSTHAMMAR</t>
        </is>
      </c>
      <c r="F613" t="inlineStr">
        <is>
          <t>Bergvik skog öst AB</t>
        </is>
      </c>
      <c r="G613" t="n">
        <v>1.9</v>
      </c>
      <c r="H613" t="n">
        <v>0</v>
      </c>
      <c r="I613" t="n">
        <v>0</v>
      </c>
      <c r="J613" t="n">
        <v>0</v>
      </c>
      <c r="K613" t="n">
        <v>0</v>
      </c>
      <c r="L613" t="n">
        <v>0</v>
      </c>
      <c r="M613" t="n">
        <v>0</v>
      </c>
      <c r="N613" t="n">
        <v>0</v>
      </c>
      <c r="O613" t="n">
        <v>0</v>
      </c>
      <c r="P613" t="n">
        <v>0</v>
      </c>
      <c r="Q613" t="n">
        <v>0</v>
      </c>
      <c r="R613" s="2" t="inlineStr"/>
    </row>
    <row r="614" ht="15" customHeight="1">
      <c r="A614" t="inlineStr">
        <is>
          <t>A 18095-2025</t>
        </is>
      </c>
      <c r="B614" s="1" t="n">
        <v>45761.54925925926</v>
      </c>
      <c r="C614" s="1" t="n">
        <v>45941</v>
      </c>
      <c r="D614" t="inlineStr">
        <is>
          <t>UPPSALA LÄN</t>
        </is>
      </c>
      <c r="E614" t="inlineStr">
        <is>
          <t>ÖSTHAMMAR</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43439-2024</t>
        </is>
      </c>
      <c r="B615" s="1" t="n">
        <v>45568</v>
      </c>
      <c r="C615" s="1" t="n">
        <v>45941</v>
      </c>
      <c r="D615" t="inlineStr">
        <is>
          <t>UPPSALA LÄN</t>
        </is>
      </c>
      <c r="E615" t="inlineStr">
        <is>
          <t>ÖSTHAMMAR</t>
        </is>
      </c>
      <c r="G615" t="n">
        <v>1</v>
      </c>
      <c r="H615" t="n">
        <v>0</v>
      </c>
      <c r="I615" t="n">
        <v>0</v>
      </c>
      <c r="J615" t="n">
        <v>0</v>
      </c>
      <c r="K615" t="n">
        <v>0</v>
      </c>
      <c r="L615" t="n">
        <v>0</v>
      </c>
      <c r="M615" t="n">
        <v>0</v>
      </c>
      <c r="N615" t="n">
        <v>0</v>
      </c>
      <c r="O615" t="n">
        <v>0</v>
      </c>
      <c r="P615" t="n">
        <v>0</v>
      </c>
      <c r="Q615" t="n">
        <v>0</v>
      </c>
      <c r="R615" s="2" t="inlineStr"/>
    </row>
    <row r="616" ht="15" customHeight="1">
      <c r="A616" t="inlineStr">
        <is>
          <t>A 16531-2025</t>
        </is>
      </c>
      <c r="B616" s="1" t="n">
        <v>45751</v>
      </c>
      <c r="C616" s="1" t="n">
        <v>45941</v>
      </c>
      <c r="D616" t="inlineStr">
        <is>
          <t>UPPSALA LÄN</t>
        </is>
      </c>
      <c r="E616" t="inlineStr">
        <is>
          <t>ÖSTHAMMAR</t>
        </is>
      </c>
      <c r="G616" t="n">
        <v>3.3</v>
      </c>
      <c r="H616" t="n">
        <v>0</v>
      </c>
      <c r="I616" t="n">
        <v>0</v>
      </c>
      <c r="J616" t="n">
        <v>0</v>
      </c>
      <c r="K616" t="n">
        <v>0</v>
      </c>
      <c r="L616" t="n">
        <v>0</v>
      </c>
      <c r="M616" t="n">
        <v>0</v>
      </c>
      <c r="N616" t="n">
        <v>0</v>
      </c>
      <c r="O616" t="n">
        <v>0</v>
      </c>
      <c r="P616" t="n">
        <v>0</v>
      </c>
      <c r="Q616" t="n">
        <v>0</v>
      </c>
      <c r="R616" s="2" t="inlineStr"/>
    </row>
    <row r="617" ht="15" customHeight="1">
      <c r="A617" t="inlineStr">
        <is>
          <t>A 59880-2022</t>
        </is>
      </c>
      <c r="B617" s="1" t="n">
        <v>44908.69575231482</v>
      </c>
      <c r="C617" s="1" t="n">
        <v>45941</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25897-2023</t>
        </is>
      </c>
      <c r="B618" s="1" t="n">
        <v>45090.63300925926</v>
      </c>
      <c r="C618" s="1" t="n">
        <v>45941</v>
      </c>
      <c r="D618" t="inlineStr">
        <is>
          <t>UPPSALA LÄN</t>
        </is>
      </c>
      <c r="E618" t="inlineStr">
        <is>
          <t>ÖSTHAMMAR</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20046-2023</t>
        </is>
      </c>
      <c r="B619" s="1" t="n">
        <v>45054</v>
      </c>
      <c r="C619" s="1" t="n">
        <v>45941</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41478-2024</t>
        </is>
      </c>
      <c r="B620" s="1" t="n">
        <v>45560.44158564815</v>
      </c>
      <c r="C620" s="1" t="n">
        <v>45941</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4562-2022</t>
        </is>
      </c>
      <c r="B621" s="1" t="n">
        <v>44591</v>
      </c>
      <c r="C621" s="1" t="n">
        <v>45941</v>
      </c>
      <c r="D621" t="inlineStr">
        <is>
          <t>UPPSALA LÄN</t>
        </is>
      </c>
      <c r="E621" t="inlineStr">
        <is>
          <t>ÖSTHAMMAR</t>
        </is>
      </c>
      <c r="G621" t="n">
        <v>3.4</v>
      </c>
      <c r="H621" t="n">
        <v>0</v>
      </c>
      <c r="I621" t="n">
        <v>0</v>
      </c>
      <c r="J621" t="n">
        <v>0</v>
      </c>
      <c r="K621" t="n">
        <v>0</v>
      </c>
      <c r="L621" t="n">
        <v>0</v>
      </c>
      <c r="M621" t="n">
        <v>0</v>
      </c>
      <c r="N621" t="n">
        <v>0</v>
      </c>
      <c r="O621" t="n">
        <v>0</v>
      </c>
      <c r="P621" t="n">
        <v>0</v>
      </c>
      <c r="Q621" t="n">
        <v>0</v>
      </c>
      <c r="R621" s="2" t="inlineStr"/>
    </row>
    <row r="622" ht="15" customHeight="1">
      <c r="A622" t="inlineStr">
        <is>
          <t>A 3638-2022</t>
        </is>
      </c>
      <c r="B622" s="1" t="n">
        <v>44578</v>
      </c>
      <c r="C622" s="1" t="n">
        <v>45941</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4099-2025</t>
        </is>
      </c>
      <c r="B623" s="1" t="n">
        <v>45684</v>
      </c>
      <c r="C623" s="1" t="n">
        <v>45941</v>
      </c>
      <c r="D623" t="inlineStr">
        <is>
          <t>UPPSALA LÄN</t>
        </is>
      </c>
      <c r="E623" t="inlineStr">
        <is>
          <t>ÖSTHAMMAR</t>
        </is>
      </c>
      <c r="G623" t="n">
        <v>0.7</v>
      </c>
      <c r="H623" t="n">
        <v>0</v>
      </c>
      <c r="I623" t="n">
        <v>0</v>
      </c>
      <c r="J623" t="n">
        <v>0</v>
      </c>
      <c r="K623" t="n">
        <v>0</v>
      </c>
      <c r="L623" t="n">
        <v>0</v>
      </c>
      <c r="M623" t="n">
        <v>0</v>
      </c>
      <c r="N623" t="n">
        <v>0</v>
      </c>
      <c r="O623" t="n">
        <v>0</v>
      </c>
      <c r="P623" t="n">
        <v>0</v>
      </c>
      <c r="Q623" t="n">
        <v>0</v>
      </c>
      <c r="R623" s="2" t="inlineStr"/>
    </row>
    <row r="624" ht="15" customHeight="1">
      <c r="A624" t="inlineStr">
        <is>
          <t>A 17969-2023</t>
        </is>
      </c>
      <c r="B624" s="1" t="n">
        <v>45040.47081018519</v>
      </c>
      <c r="C624" s="1" t="n">
        <v>45941</v>
      </c>
      <c r="D624" t="inlineStr">
        <is>
          <t>UPPSALA LÄN</t>
        </is>
      </c>
      <c r="E624" t="inlineStr">
        <is>
          <t>ÖSTHAMMAR</t>
        </is>
      </c>
      <c r="G624" t="n">
        <v>5.4</v>
      </c>
      <c r="H624" t="n">
        <v>0</v>
      </c>
      <c r="I624" t="n">
        <v>0</v>
      </c>
      <c r="J624" t="n">
        <v>0</v>
      </c>
      <c r="K624" t="n">
        <v>0</v>
      </c>
      <c r="L624" t="n">
        <v>0</v>
      </c>
      <c r="M624" t="n">
        <v>0</v>
      </c>
      <c r="N624" t="n">
        <v>0</v>
      </c>
      <c r="O624" t="n">
        <v>0</v>
      </c>
      <c r="P624" t="n">
        <v>0</v>
      </c>
      <c r="Q624" t="n">
        <v>0</v>
      </c>
      <c r="R624" s="2" t="inlineStr"/>
    </row>
    <row r="625" ht="15" customHeight="1">
      <c r="A625" t="inlineStr">
        <is>
          <t>A 41538-2021</t>
        </is>
      </c>
      <c r="B625" s="1" t="n">
        <v>44425.35016203704</v>
      </c>
      <c r="C625" s="1" t="n">
        <v>45941</v>
      </c>
      <c r="D625" t="inlineStr">
        <is>
          <t>UPPSALA LÄN</t>
        </is>
      </c>
      <c r="E625" t="inlineStr">
        <is>
          <t>ÖSTHAMMAR</t>
        </is>
      </c>
      <c r="F625" t="inlineStr">
        <is>
          <t>Bergvik skog öst AB</t>
        </is>
      </c>
      <c r="G625" t="n">
        <v>0.4</v>
      </c>
      <c r="H625" t="n">
        <v>0</v>
      </c>
      <c r="I625" t="n">
        <v>0</v>
      </c>
      <c r="J625" t="n">
        <v>0</v>
      </c>
      <c r="K625" t="n">
        <v>0</v>
      </c>
      <c r="L625" t="n">
        <v>0</v>
      </c>
      <c r="M625" t="n">
        <v>0</v>
      </c>
      <c r="N625" t="n">
        <v>0</v>
      </c>
      <c r="O625" t="n">
        <v>0</v>
      </c>
      <c r="P625" t="n">
        <v>0</v>
      </c>
      <c r="Q625" t="n">
        <v>0</v>
      </c>
      <c r="R625" s="2" t="inlineStr"/>
    </row>
    <row r="626" ht="15" customHeight="1">
      <c r="A626" t="inlineStr">
        <is>
          <t>A 58878-2022</t>
        </is>
      </c>
      <c r="B626" s="1" t="n">
        <v>44903</v>
      </c>
      <c r="C626" s="1" t="n">
        <v>45941</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36301-2023</t>
        </is>
      </c>
      <c r="B627" s="1" t="n">
        <v>45152.37296296296</v>
      </c>
      <c r="C627" s="1" t="n">
        <v>45941</v>
      </c>
      <c r="D627" t="inlineStr">
        <is>
          <t>UPPSALA LÄN</t>
        </is>
      </c>
      <c r="E627" t="inlineStr">
        <is>
          <t>ÖSTHAMMAR</t>
        </is>
      </c>
      <c r="G627" t="n">
        <v>0.9</v>
      </c>
      <c r="H627" t="n">
        <v>0</v>
      </c>
      <c r="I627" t="n">
        <v>0</v>
      </c>
      <c r="J627" t="n">
        <v>0</v>
      </c>
      <c r="K627" t="n">
        <v>0</v>
      </c>
      <c r="L627" t="n">
        <v>0</v>
      </c>
      <c r="M627" t="n">
        <v>0</v>
      </c>
      <c r="N627" t="n">
        <v>0</v>
      </c>
      <c r="O627" t="n">
        <v>0</v>
      </c>
      <c r="P627" t="n">
        <v>0</v>
      </c>
      <c r="Q627" t="n">
        <v>0</v>
      </c>
      <c r="R627" s="2" t="inlineStr"/>
    </row>
    <row r="628" ht="15" customHeight="1">
      <c r="A628" t="inlineStr">
        <is>
          <t>A 12528-2024</t>
        </is>
      </c>
      <c r="B628" s="1" t="n">
        <v>45379.61878472222</v>
      </c>
      <c r="C628" s="1" t="n">
        <v>45941</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4228-2023</t>
        </is>
      </c>
      <c r="B629" s="1" t="n">
        <v>44953.48179398148</v>
      </c>
      <c r="C629" s="1" t="n">
        <v>45941</v>
      </c>
      <c r="D629" t="inlineStr">
        <is>
          <t>UPPSALA LÄN</t>
        </is>
      </c>
      <c r="E629" t="inlineStr">
        <is>
          <t>ÖSTHAMMAR</t>
        </is>
      </c>
      <c r="G629" t="n">
        <v>1</v>
      </c>
      <c r="H629" t="n">
        <v>0</v>
      </c>
      <c r="I629" t="n">
        <v>0</v>
      </c>
      <c r="J629" t="n">
        <v>0</v>
      </c>
      <c r="K629" t="n">
        <v>0</v>
      </c>
      <c r="L629" t="n">
        <v>0</v>
      </c>
      <c r="M629" t="n">
        <v>0</v>
      </c>
      <c r="N629" t="n">
        <v>0</v>
      </c>
      <c r="O629" t="n">
        <v>0</v>
      </c>
      <c r="P629" t="n">
        <v>0</v>
      </c>
      <c r="Q629" t="n">
        <v>0</v>
      </c>
      <c r="R629" s="2" t="inlineStr"/>
    </row>
    <row r="630" ht="15" customHeight="1">
      <c r="A630" t="inlineStr">
        <is>
          <t>A 28429-2023</t>
        </is>
      </c>
      <c r="B630" s="1" t="n">
        <v>45102.58728009259</v>
      </c>
      <c r="C630" s="1" t="n">
        <v>45941</v>
      </c>
      <c r="D630" t="inlineStr">
        <is>
          <t>UPPSALA LÄN</t>
        </is>
      </c>
      <c r="E630" t="inlineStr">
        <is>
          <t>ÖSTHAMMAR</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35309-2023</t>
        </is>
      </c>
      <c r="B631" s="1" t="n">
        <v>45146</v>
      </c>
      <c r="C631" s="1" t="n">
        <v>45941</v>
      </c>
      <c r="D631" t="inlineStr">
        <is>
          <t>UPPSALA LÄN</t>
        </is>
      </c>
      <c r="E631" t="inlineStr">
        <is>
          <t>ÖSTHAMMAR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835-2025</t>
        </is>
      </c>
      <c r="B632" s="1" t="n">
        <v>45665.58465277778</v>
      </c>
      <c r="C632" s="1" t="n">
        <v>45941</v>
      </c>
      <c r="D632" t="inlineStr">
        <is>
          <t>UPPSALA LÄN</t>
        </is>
      </c>
      <c r="E632" t="inlineStr">
        <is>
          <t>ÖSTHAMMAR</t>
        </is>
      </c>
      <c r="F632" t="inlineStr">
        <is>
          <t>Övriga Aktiebolag</t>
        </is>
      </c>
      <c r="G632" t="n">
        <v>4.8</v>
      </c>
      <c r="H632" t="n">
        <v>0</v>
      </c>
      <c r="I632" t="n">
        <v>0</v>
      </c>
      <c r="J632" t="n">
        <v>0</v>
      </c>
      <c r="K632" t="n">
        <v>0</v>
      </c>
      <c r="L632" t="n">
        <v>0</v>
      </c>
      <c r="M632" t="n">
        <v>0</v>
      </c>
      <c r="N632" t="n">
        <v>0</v>
      </c>
      <c r="O632" t="n">
        <v>0</v>
      </c>
      <c r="P632" t="n">
        <v>0</v>
      </c>
      <c r="Q632" t="n">
        <v>0</v>
      </c>
      <c r="R632" s="2" t="inlineStr"/>
    </row>
    <row r="633" ht="15" customHeight="1">
      <c r="A633" t="inlineStr">
        <is>
          <t>A 56041-2020</t>
        </is>
      </c>
      <c r="B633" s="1" t="n">
        <v>44133</v>
      </c>
      <c r="C633" s="1" t="n">
        <v>45941</v>
      </c>
      <c r="D633" t="inlineStr">
        <is>
          <t>UPPSALA LÄN</t>
        </is>
      </c>
      <c r="E633" t="inlineStr">
        <is>
          <t>ÖSTHAMMAR</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67199-2021</t>
        </is>
      </c>
      <c r="B634" s="1" t="n">
        <v>44523.46197916667</v>
      </c>
      <c r="C634" s="1" t="n">
        <v>45941</v>
      </c>
      <c r="D634" t="inlineStr">
        <is>
          <t>UPPSALA LÄN</t>
        </is>
      </c>
      <c r="E634" t="inlineStr">
        <is>
          <t>ÖSTHAMMAR</t>
        </is>
      </c>
      <c r="G634" t="n">
        <v>2.3</v>
      </c>
      <c r="H634" t="n">
        <v>0</v>
      </c>
      <c r="I634" t="n">
        <v>0</v>
      </c>
      <c r="J634" t="n">
        <v>0</v>
      </c>
      <c r="K634" t="n">
        <v>0</v>
      </c>
      <c r="L634" t="n">
        <v>0</v>
      </c>
      <c r="M634" t="n">
        <v>0</v>
      </c>
      <c r="N634" t="n">
        <v>0</v>
      </c>
      <c r="O634" t="n">
        <v>0</v>
      </c>
      <c r="P634" t="n">
        <v>0</v>
      </c>
      <c r="Q634" t="n">
        <v>0</v>
      </c>
      <c r="R634" s="2" t="inlineStr"/>
    </row>
    <row r="635" ht="15" customHeight="1">
      <c r="A635" t="inlineStr">
        <is>
          <t>A 18091-2023</t>
        </is>
      </c>
      <c r="B635" s="1" t="n">
        <v>45040</v>
      </c>
      <c r="C635" s="1" t="n">
        <v>45941</v>
      </c>
      <c r="D635" t="inlineStr">
        <is>
          <t>UPPSALA LÄN</t>
        </is>
      </c>
      <c r="E635" t="inlineStr">
        <is>
          <t>ÖSTHAMMAR</t>
        </is>
      </c>
      <c r="G635" t="n">
        <v>2.4</v>
      </c>
      <c r="H635" t="n">
        <v>0</v>
      </c>
      <c r="I635" t="n">
        <v>0</v>
      </c>
      <c r="J635" t="n">
        <v>0</v>
      </c>
      <c r="K635" t="n">
        <v>0</v>
      </c>
      <c r="L635" t="n">
        <v>0</v>
      </c>
      <c r="M635" t="n">
        <v>0</v>
      </c>
      <c r="N635" t="n">
        <v>0</v>
      </c>
      <c r="O635" t="n">
        <v>0</v>
      </c>
      <c r="P635" t="n">
        <v>0</v>
      </c>
      <c r="Q635" t="n">
        <v>0</v>
      </c>
      <c r="R635" s="2" t="inlineStr"/>
    </row>
    <row r="636" ht="15" customHeight="1">
      <c r="A636" t="inlineStr">
        <is>
          <t>A 24259-2022</t>
        </is>
      </c>
      <c r="B636" s="1" t="n">
        <v>44725</v>
      </c>
      <c r="C636" s="1" t="n">
        <v>45941</v>
      </c>
      <c r="D636" t="inlineStr">
        <is>
          <t>UPPSALA LÄN</t>
        </is>
      </c>
      <c r="E636" t="inlineStr">
        <is>
          <t>ÖSTHAMMAR</t>
        </is>
      </c>
      <c r="G636" t="n">
        <v>2.4</v>
      </c>
      <c r="H636" t="n">
        <v>0</v>
      </c>
      <c r="I636" t="n">
        <v>0</v>
      </c>
      <c r="J636" t="n">
        <v>0</v>
      </c>
      <c r="K636" t="n">
        <v>0</v>
      </c>
      <c r="L636" t="n">
        <v>0</v>
      </c>
      <c r="M636" t="n">
        <v>0</v>
      </c>
      <c r="N636" t="n">
        <v>0</v>
      </c>
      <c r="O636" t="n">
        <v>0</v>
      </c>
      <c r="P636" t="n">
        <v>0</v>
      </c>
      <c r="Q636" t="n">
        <v>0</v>
      </c>
      <c r="R636" s="2" t="inlineStr"/>
    </row>
    <row r="637" ht="15" customHeight="1">
      <c r="A637" t="inlineStr">
        <is>
          <t>A 24367-2022</t>
        </is>
      </c>
      <c r="B637" s="1" t="n">
        <v>44726.42716435185</v>
      </c>
      <c r="C637" s="1" t="n">
        <v>45941</v>
      </c>
      <c r="D637" t="inlineStr">
        <is>
          <t>UPPSALA LÄN</t>
        </is>
      </c>
      <c r="E637" t="inlineStr">
        <is>
          <t>ÖSTHAMMAR</t>
        </is>
      </c>
      <c r="G637" t="n">
        <v>2.7</v>
      </c>
      <c r="H637" t="n">
        <v>0</v>
      </c>
      <c r="I637" t="n">
        <v>0</v>
      </c>
      <c r="J637" t="n">
        <v>0</v>
      </c>
      <c r="K637" t="n">
        <v>0</v>
      </c>
      <c r="L637" t="n">
        <v>0</v>
      </c>
      <c r="M637" t="n">
        <v>0</v>
      </c>
      <c r="N637" t="n">
        <v>0</v>
      </c>
      <c r="O637" t="n">
        <v>0</v>
      </c>
      <c r="P637" t="n">
        <v>0</v>
      </c>
      <c r="Q637" t="n">
        <v>0</v>
      </c>
      <c r="R637" s="2" t="inlineStr"/>
    </row>
    <row r="638" ht="15" customHeight="1">
      <c r="A638" t="inlineStr">
        <is>
          <t>A 49897-2023</t>
        </is>
      </c>
      <c r="B638" s="1" t="n">
        <v>45213.84846064815</v>
      </c>
      <c r="C638" s="1" t="n">
        <v>45941</v>
      </c>
      <c r="D638" t="inlineStr">
        <is>
          <t>UPPSALA LÄN</t>
        </is>
      </c>
      <c r="E638" t="inlineStr">
        <is>
          <t>ÖSTHAMMAR</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34922-2023</t>
        </is>
      </c>
      <c r="B639" s="1" t="n">
        <v>45142.48359953704</v>
      </c>
      <c r="C639" s="1" t="n">
        <v>45941</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66779-2021</t>
        </is>
      </c>
      <c r="B640" s="1" t="n">
        <v>44522.31700231481</v>
      </c>
      <c r="C640" s="1" t="n">
        <v>45941</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23197-2023</t>
        </is>
      </c>
      <c r="B641" s="1" t="n">
        <v>45075</v>
      </c>
      <c r="C641" s="1" t="n">
        <v>45941</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60079-2022</t>
        </is>
      </c>
      <c r="B642" s="1" t="n">
        <v>44909</v>
      </c>
      <c r="C642" s="1" t="n">
        <v>45941</v>
      </c>
      <c r="D642" t="inlineStr">
        <is>
          <t>UPPSALA LÄN</t>
        </is>
      </c>
      <c r="E642" t="inlineStr">
        <is>
          <t>ÖSTHAMMAR</t>
        </is>
      </c>
      <c r="G642" t="n">
        <v>9.6</v>
      </c>
      <c r="H642" t="n">
        <v>0</v>
      </c>
      <c r="I642" t="n">
        <v>0</v>
      </c>
      <c r="J642" t="n">
        <v>0</v>
      </c>
      <c r="K642" t="n">
        <v>0</v>
      </c>
      <c r="L642" t="n">
        <v>0</v>
      </c>
      <c r="M642" t="n">
        <v>0</v>
      </c>
      <c r="N642" t="n">
        <v>0</v>
      </c>
      <c r="O642" t="n">
        <v>0</v>
      </c>
      <c r="P642" t="n">
        <v>0</v>
      </c>
      <c r="Q642" t="n">
        <v>0</v>
      </c>
      <c r="R642" s="2" t="inlineStr"/>
    </row>
    <row r="643" ht="15" customHeight="1">
      <c r="A643" t="inlineStr">
        <is>
          <t>A 50998-2023</t>
        </is>
      </c>
      <c r="B643" s="1" t="n">
        <v>45218.5586574074</v>
      </c>
      <c r="C643" s="1" t="n">
        <v>45941</v>
      </c>
      <c r="D643" t="inlineStr">
        <is>
          <t>UPPSALA LÄN</t>
        </is>
      </c>
      <c r="E643" t="inlineStr">
        <is>
          <t>ÖSTHAMMAR</t>
        </is>
      </c>
      <c r="G643" t="n">
        <v>3.6</v>
      </c>
      <c r="H643" t="n">
        <v>0</v>
      </c>
      <c r="I643" t="n">
        <v>0</v>
      </c>
      <c r="J643" t="n">
        <v>0</v>
      </c>
      <c r="K643" t="n">
        <v>0</v>
      </c>
      <c r="L643" t="n">
        <v>0</v>
      </c>
      <c r="M643" t="n">
        <v>0</v>
      </c>
      <c r="N643" t="n">
        <v>0</v>
      </c>
      <c r="O643" t="n">
        <v>0</v>
      </c>
      <c r="P643" t="n">
        <v>0</v>
      </c>
      <c r="Q643" t="n">
        <v>0</v>
      </c>
      <c r="R643" s="2" t="inlineStr"/>
    </row>
    <row r="644" ht="15" customHeight="1">
      <c r="A644" t="inlineStr">
        <is>
          <t>A 9267-2024</t>
        </is>
      </c>
      <c r="B644" s="1" t="n">
        <v>45358</v>
      </c>
      <c r="C644" s="1" t="n">
        <v>45941</v>
      </c>
      <c r="D644" t="inlineStr">
        <is>
          <t>UPPSALA LÄN</t>
        </is>
      </c>
      <c r="E644" t="inlineStr">
        <is>
          <t>ÖSTHAMMAR</t>
        </is>
      </c>
      <c r="F644" t="inlineStr">
        <is>
          <t>Bergvik skog öst AB</t>
        </is>
      </c>
      <c r="G644" t="n">
        <v>1.3</v>
      </c>
      <c r="H644" t="n">
        <v>0</v>
      </c>
      <c r="I644" t="n">
        <v>0</v>
      </c>
      <c r="J644" t="n">
        <v>0</v>
      </c>
      <c r="K644" t="n">
        <v>0</v>
      </c>
      <c r="L644" t="n">
        <v>0</v>
      </c>
      <c r="M644" t="n">
        <v>0</v>
      </c>
      <c r="N644" t="n">
        <v>0</v>
      </c>
      <c r="O644" t="n">
        <v>0</v>
      </c>
      <c r="P644" t="n">
        <v>0</v>
      </c>
      <c r="Q644" t="n">
        <v>0</v>
      </c>
      <c r="R644" s="2" t="inlineStr"/>
    </row>
    <row r="645" ht="15" customHeight="1">
      <c r="A645" t="inlineStr">
        <is>
          <t>A 33758-2024</t>
        </is>
      </c>
      <c r="B645" s="1" t="n">
        <v>45520.56896990741</v>
      </c>
      <c r="C645" s="1" t="n">
        <v>45941</v>
      </c>
      <c r="D645" t="inlineStr">
        <is>
          <t>UPPSALA LÄN</t>
        </is>
      </c>
      <c r="E645" t="inlineStr">
        <is>
          <t>ÖSTHAMMAR</t>
        </is>
      </c>
      <c r="G645" t="n">
        <v>6.5</v>
      </c>
      <c r="H645" t="n">
        <v>0</v>
      </c>
      <c r="I645" t="n">
        <v>0</v>
      </c>
      <c r="J645" t="n">
        <v>0</v>
      </c>
      <c r="K645" t="n">
        <v>0</v>
      </c>
      <c r="L645" t="n">
        <v>0</v>
      </c>
      <c r="M645" t="n">
        <v>0</v>
      </c>
      <c r="N645" t="n">
        <v>0</v>
      </c>
      <c r="O645" t="n">
        <v>0</v>
      </c>
      <c r="P645" t="n">
        <v>0</v>
      </c>
      <c r="Q645" t="n">
        <v>0</v>
      </c>
      <c r="R645" s="2" t="inlineStr"/>
    </row>
    <row r="646" ht="15" customHeight="1">
      <c r="A646" t="inlineStr">
        <is>
          <t>A 31669-2022</t>
        </is>
      </c>
      <c r="B646" s="1" t="n">
        <v>44775</v>
      </c>
      <c r="C646" s="1" t="n">
        <v>45941</v>
      </c>
      <c r="D646" t="inlineStr">
        <is>
          <t>UPPSALA LÄN</t>
        </is>
      </c>
      <c r="E646" t="inlineStr">
        <is>
          <t>ÖSTHAMMAR</t>
        </is>
      </c>
      <c r="G646" t="n">
        <v>6</v>
      </c>
      <c r="H646" t="n">
        <v>0</v>
      </c>
      <c r="I646" t="n">
        <v>0</v>
      </c>
      <c r="J646" t="n">
        <v>0</v>
      </c>
      <c r="K646" t="n">
        <v>0</v>
      </c>
      <c r="L646" t="n">
        <v>0</v>
      </c>
      <c r="M646" t="n">
        <v>0</v>
      </c>
      <c r="N646" t="n">
        <v>0</v>
      </c>
      <c r="O646" t="n">
        <v>0</v>
      </c>
      <c r="P646" t="n">
        <v>0</v>
      </c>
      <c r="Q646" t="n">
        <v>0</v>
      </c>
      <c r="R646" s="2" t="inlineStr"/>
    </row>
    <row r="647" ht="15" customHeight="1">
      <c r="A647" t="inlineStr">
        <is>
          <t>A 48856-2024</t>
        </is>
      </c>
      <c r="B647" s="1" t="n">
        <v>45593</v>
      </c>
      <c r="C647" s="1" t="n">
        <v>45941</v>
      </c>
      <c r="D647" t="inlineStr">
        <is>
          <t>UPPSALA LÄN</t>
        </is>
      </c>
      <c r="E647" t="inlineStr">
        <is>
          <t>ÖSTHAMMAR</t>
        </is>
      </c>
      <c r="G647" t="n">
        <v>1.5</v>
      </c>
      <c r="H647" t="n">
        <v>0</v>
      </c>
      <c r="I647" t="n">
        <v>0</v>
      </c>
      <c r="J647" t="n">
        <v>0</v>
      </c>
      <c r="K647" t="n">
        <v>0</v>
      </c>
      <c r="L647" t="n">
        <v>0</v>
      </c>
      <c r="M647" t="n">
        <v>0</v>
      </c>
      <c r="N647" t="n">
        <v>0</v>
      </c>
      <c r="O647" t="n">
        <v>0</v>
      </c>
      <c r="P647" t="n">
        <v>0</v>
      </c>
      <c r="Q647" t="n">
        <v>0</v>
      </c>
      <c r="R647" s="2" t="inlineStr"/>
    </row>
    <row r="648" ht="15" customHeight="1">
      <c r="A648" t="inlineStr">
        <is>
          <t>A 35316-2024</t>
        </is>
      </c>
      <c r="B648" s="1" t="n">
        <v>45530.68873842592</v>
      </c>
      <c r="C648" s="1" t="n">
        <v>45941</v>
      </c>
      <c r="D648" t="inlineStr">
        <is>
          <t>UPPSALA LÄN</t>
        </is>
      </c>
      <c r="E648" t="inlineStr">
        <is>
          <t>ÖSTHAMMAR</t>
        </is>
      </c>
      <c r="F648" t="inlineStr">
        <is>
          <t>Bergvik skog öst AB</t>
        </is>
      </c>
      <c r="G648" t="n">
        <v>2.1</v>
      </c>
      <c r="H648" t="n">
        <v>0</v>
      </c>
      <c r="I648" t="n">
        <v>0</v>
      </c>
      <c r="J648" t="n">
        <v>0</v>
      </c>
      <c r="K648" t="n">
        <v>0</v>
      </c>
      <c r="L648" t="n">
        <v>0</v>
      </c>
      <c r="M648" t="n">
        <v>0</v>
      </c>
      <c r="N648" t="n">
        <v>0</v>
      </c>
      <c r="O648" t="n">
        <v>0</v>
      </c>
      <c r="P648" t="n">
        <v>0</v>
      </c>
      <c r="Q648" t="n">
        <v>0</v>
      </c>
      <c r="R648" s="2" t="inlineStr"/>
    </row>
    <row r="649" ht="15" customHeight="1">
      <c r="A649" t="inlineStr">
        <is>
          <t>A 17947-2022</t>
        </is>
      </c>
      <c r="B649" s="1" t="n">
        <v>44683</v>
      </c>
      <c r="C649" s="1" t="n">
        <v>45941</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38571-2023</t>
        </is>
      </c>
      <c r="B650" s="1" t="n">
        <v>45162.6177662037</v>
      </c>
      <c r="C650" s="1" t="n">
        <v>45941</v>
      </c>
      <c r="D650" t="inlineStr">
        <is>
          <t>UPPSALA LÄN</t>
        </is>
      </c>
      <c r="E650" t="inlineStr">
        <is>
          <t>ÖSTHAMMAR</t>
        </is>
      </c>
      <c r="F650" t="inlineStr">
        <is>
          <t>Bergvik skog öst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21862-2023</t>
        </is>
      </c>
      <c r="B651" s="1" t="n">
        <v>45068</v>
      </c>
      <c r="C651" s="1" t="n">
        <v>45941</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12654-2025</t>
        </is>
      </c>
      <c r="B652" s="1" t="n">
        <v>45733.41601851852</v>
      </c>
      <c r="C652" s="1" t="n">
        <v>45941</v>
      </c>
      <c r="D652" t="inlineStr">
        <is>
          <t>UPPSALA LÄN</t>
        </is>
      </c>
      <c r="E652" t="inlineStr">
        <is>
          <t>ÖSTHAMMAR</t>
        </is>
      </c>
      <c r="G652" t="n">
        <v>9.9</v>
      </c>
      <c r="H652" t="n">
        <v>0</v>
      </c>
      <c r="I652" t="n">
        <v>0</v>
      </c>
      <c r="J652" t="n">
        <v>0</v>
      </c>
      <c r="K652" t="n">
        <v>0</v>
      </c>
      <c r="L652" t="n">
        <v>0</v>
      </c>
      <c r="M652" t="n">
        <v>0</v>
      </c>
      <c r="N652" t="n">
        <v>0</v>
      </c>
      <c r="O652" t="n">
        <v>0</v>
      </c>
      <c r="P652" t="n">
        <v>0</v>
      </c>
      <c r="Q652" t="n">
        <v>0</v>
      </c>
      <c r="R652" s="2" t="inlineStr"/>
    </row>
    <row r="653" ht="15" customHeight="1">
      <c r="A653" t="inlineStr">
        <is>
          <t>A 7560-2023</t>
        </is>
      </c>
      <c r="B653" s="1" t="n">
        <v>44972.34811342593</v>
      </c>
      <c r="C653" s="1" t="n">
        <v>45941</v>
      </c>
      <c r="D653" t="inlineStr">
        <is>
          <t>UPPSALA LÄN</t>
        </is>
      </c>
      <c r="E653" t="inlineStr">
        <is>
          <t>ÖSTHAMMAR</t>
        </is>
      </c>
      <c r="F653" t="inlineStr">
        <is>
          <t>Bergvik skog öst AB</t>
        </is>
      </c>
      <c r="G653" t="n">
        <v>1.3</v>
      </c>
      <c r="H653" t="n">
        <v>0</v>
      </c>
      <c r="I653" t="n">
        <v>0</v>
      </c>
      <c r="J653" t="n">
        <v>0</v>
      </c>
      <c r="K653" t="n">
        <v>0</v>
      </c>
      <c r="L653" t="n">
        <v>0</v>
      </c>
      <c r="M653" t="n">
        <v>0</v>
      </c>
      <c r="N653" t="n">
        <v>0</v>
      </c>
      <c r="O653" t="n">
        <v>0</v>
      </c>
      <c r="P653" t="n">
        <v>0</v>
      </c>
      <c r="Q653" t="n">
        <v>0</v>
      </c>
      <c r="R653" s="2" t="inlineStr"/>
    </row>
    <row r="654" ht="15" customHeight="1">
      <c r="A654" t="inlineStr">
        <is>
          <t>A 44184-2024</t>
        </is>
      </c>
      <c r="B654" s="1" t="n">
        <v>45572</v>
      </c>
      <c r="C654" s="1" t="n">
        <v>45941</v>
      </c>
      <c r="D654" t="inlineStr">
        <is>
          <t>UPPSALA LÄN</t>
        </is>
      </c>
      <c r="E654" t="inlineStr">
        <is>
          <t>ÖSTHAMMAR</t>
        </is>
      </c>
      <c r="G654" t="n">
        <v>0.6</v>
      </c>
      <c r="H654" t="n">
        <v>0</v>
      </c>
      <c r="I654" t="n">
        <v>0</v>
      </c>
      <c r="J654" t="n">
        <v>0</v>
      </c>
      <c r="K654" t="n">
        <v>0</v>
      </c>
      <c r="L654" t="n">
        <v>0</v>
      </c>
      <c r="M654" t="n">
        <v>0</v>
      </c>
      <c r="N654" t="n">
        <v>0</v>
      </c>
      <c r="O654" t="n">
        <v>0</v>
      </c>
      <c r="P654" t="n">
        <v>0</v>
      </c>
      <c r="Q654" t="n">
        <v>0</v>
      </c>
      <c r="R654" s="2" t="inlineStr"/>
    </row>
    <row r="655" ht="15" customHeight="1">
      <c r="A655" t="inlineStr">
        <is>
          <t>A 27308-2023</t>
        </is>
      </c>
      <c r="B655" s="1" t="n">
        <v>45096.65381944444</v>
      </c>
      <c r="C655" s="1" t="n">
        <v>45941</v>
      </c>
      <c r="D655" t="inlineStr">
        <is>
          <t>UPPSALA LÄN</t>
        </is>
      </c>
      <c r="E655" t="inlineStr">
        <is>
          <t>ÖSTHAMMAR</t>
        </is>
      </c>
      <c r="F655" t="inlineStr">
        <is>
          <t>Bergvik skog öst AB</t>
        </is>
      </c>
      <c r="G655" t="n">
        <v>2.4</v>
      </c>
      <c r="H655" t="n">
        <v>0</v>
      </c>
      <c r="I655" t="n">
        <v>0</v>
      </c>
      <c r="J655" t="n">
        <v>0</v>
      </c>
      <c r="K655" t="n">
        <v>0</v>
      </c>
      <c r="L655" t="n">
        <v>0</v>
      </c>
      <c r="M655" t="n">
        <v>0</v>
      </c>
      <c r="N655" t="n">
        <v>0</v>
      </c>
      <c r="O655" t="n">
        <v>0</v>
      </c>
      <c r="P655" t="n">
        <v>0</v>
      </c>
      <c r="Q655" t="n">
        <v>0</v>
      </c>
      <c r="R655" s="2" t="inlineStr"/>
    </row>
    <row r="656" ht="15" customHeight="1">
      <c r="A656" t="inlineStr">
        <is>
          <t>A 48083-2024</t>
        </is>
      </c>
      <c r="B656" s="1" t="n">
        <v>45589.58766203704</v>
      </c>
      <c r="C656" s="1" t="n">
        <v>45941</v>
      </c>
      <c r="D656" t="inlineStr">
        <is>
          <t>UPPSALA LÄN</t>
        </is>
      </c>
      <c r="E656" t="inlineStr">
        <is>
          <t>ÖSTHAMMAR</t>
        </is>
      </c>
      <c r="G656" t="n">
        <v>3</v>
      </c>
      <c r="H656" t="n">
        <v>0</v>
      </c>
      <c r="I656" t="n">
        <v>0</v>
      </c>
      <c r="J656" t="n">
        <v>0</v>
      </c>
      <c r="K656" t="n">
        <v>0</v>
      </c>
      <c r="L656" t="n">
        <v>0</v>
      </c>
      <c r="M656" t="n">
        <v>0</v>
      </c>
      <c r="N656" t="n">
        <v>0</v>
      </c>
      <c r="O656" t="n">
        <v>0</v>
      </c>
      <c r="P656" t="n">
        <v>0</v>
      </c>
      <c r="Q656" t="n">
        <v>0</v>
      </c>
      <c r="R656" s="2" t="inlineStr"/>
    </row>
    <row r="657" ht="15" customHeight="1">
      <c r="A657" t="inlineStr">
        <is>
          <t>A 28420-2023</t>
        </is>
      </c>
      <c r="B657" s="1" t="n">
        <v>45102.33054398148</v>
      </c>
      <c r="C657" s="1" t="n">
        <v>45941</v>
      </c>
      <c r="D657" t="inlineStr">
        <is>
          <t>UPPSALA LÄN</t>
        </is>
      </c>
      <c r="E657" t="inlineStr">
        <is>
          <t>ÖSTHAMMAR</t>
        </is>
      </c>
      <c r="F657" t="inlineStr">
        <is>
          <t>Bergvik skog öst AB</t>
        </is>
      </c>
      <c r="G657" t="n">
        <v>3.2</v>
      </c>
      <c r="H657" t="n">
        <v>0</v>
      </c>
      <c r="I657" t="n">
        <v>0</v>
      </c>
      <c r="J657" t="n">
        <v>0</v>
      </c>
      <c r="K657" t="n">
        <v>0</v>
      </c>
      <c r="L657" t="n">
        <v>0</v>
      </c>
      <c r="M657" t="n">
        <v>0</v>
      </c>
      <c r="N657" t="n">
        <v>0</v>
      </c>
      <c r="O657" t="n">
        <v>0</v>
      </c>
      <c r="P657" t="n">
        <v>0</v>
      </c>
      <c r="Q657" t="n">
        <v>0</v>
      </c>
      <c r="R657" s="2" t="inlineStr"/>
    </row>
    <row r="658" ht="15" customHeight="1">
      <c r="A658" t="inlineStr">
        <is>
          <t>A 74436-2021</t>
        </is>
      </c>
      <c r="B658" s="1" t="n">
        <v>44560.4502199074</v>
      </c>
      <c r="C658" s="1" t="n">
        <v>45941</v>
      </c>
      <c r="D658" t="inlineStr">
        <is>
          <t>UPPSALA LÄN</t>
        </is>
      </c>
      <c r="E658" t="inlineStr">
        <is>
          <t>ÖSTHAMMAR</t>
        </is>
      </c>
      <c r="F658" t="inlineStr">
        <is>
          <t>Bergvik skog öst AB</t>
        </is>
      </c>
      <c r="G658" t="n">
        <v>1</v>
      </c>
      <c r="H658" t="n">
        <v>0</v>
      </c>
      <c r="I658" t="n">
        <v>0</v>
      </c>
      <c r="J658" t="n">
        <v>0</v>
      </c>
      <c r="K658" t="n">
        <v>0</v>
      </c>
      <c r="L658" t="n">
        <v>0</v>
      </c>
      <c r="M658" t="n">
        <v>0</v>
      </c>
      <c r="N658" t="n">
        <v>0</v>
      </c>
      <c r="O658" t="n">
        <v>0</v>
      </c>
      <c r="P658" t="n">
        <v>0</v>
      </c>
      <c r="Q658" t="n">
        <v>0</v>
      </c>
      <c r="R658" s="2" t="inlineStr"/>
    </row>
    <row r="659" ht="15" customHeight="1">
      <c r="A659" t="inlineStr">
        <is>
          <t>A 32778-2023</t>
        </is>
      </c>
      <c r="B659" s="1" t="n">
        <v>45123.88789351852</v>
      </c>
      <c r="C659" s="1" t="n">
        <v>45941</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40547-2023</t>
        </is>
      </c>
      <c r="B660" s="1" t="n">
        <v>45170.45050925926</v>
      </c>
      <c r="C660" s="1" t="n">
        <v>45941</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10449-2023</t>
        </is>
      </c>
      <c r="B661" s="1" t="n">
        <v>44987</v>
      </c>
      <c r="C661" s="1" t="n">
        <v>45941</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31035-2022</t>
        </is>
      </c>
      <c r="B662" s="1" t="n">
        <v>44768.88685185185</v>
      </c>
      <c r="C662" s="1" t="n">
        <v>45941</v>
      </c>
      <c r="D662" t="inlineStr">
        <is>
          <t>UPPSALA LÄN</t>
        </is>
      </c>
      <c r="E662" t="inlineStr">
        <is>
          <t>ÖSTHAMMAR</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22798-2023</t>
        </is>
      </c>
      <c r="B663" s="1" t="n">
        <v>45072</v>
      </c>
      <c r="C663" s="1" t="n">
        <v>45941</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10982-2023</t>
        </is>
      </c>
      <c r="B664" s="1" t="n">
        <v>44991.62203703704</v>
      </c>
      <c r="C664" s="1" t="n">
        <v>45941</v>
      </c>
      <c r="D664" t="inlineStr">
        <is>
          <t>UPPSALA LÄN</t>
        </is>
      </c>
      <c r="E664" t="inlineStr">
        <is>
          <t>ÖSTHAMMAR</t>
        </is>
      </c>
      <c r="G664" t="n">
        <v>1.2</v>
      </c>
      <c r="H664" t="n">
        <v>0</v>
      </c>
      <c r="I664" t="n">
        <v>0</v>
      </c>
      <c r="J664" t="n">
        <v>0</v>
      </c>
      <c r="K664" t="n">
        <v>0</v>
      </c>
      <c r="L664" t="n">
        <v>0</v>
      </c>
      <c r="M664" t="n">
        <v>0</v>
      </c>
      <c r="N664" t="n">
        <v>0</v>
      </c>
      <c r="O664" t="n">
        <v>0</v>
      </c>
      <c r="P664" t="n">
        <v>0</v>
      </c>
      <c r="Q664" t="n">
        <v>0</v>
      </c>
      <c r="R664" s="2" t="inlineStr"/>
    </row>
    <row r="665" ht="15" customHeight="1">
      <c r="A665" t="inlineStr">
        <is>
          <t>A 50927-2024</t>
        </is>
      </c>
      <c r="B665" s="1" t="n">
        <v>45602</v>
      </c>
      <c r="C665" s="1" t="n">
        <v>45941</v>
      </c>
      <c r="D665" t="inlineStr">
        <is>
          <t>UPPSALA LÄN</t>
        </is>
      </c>
      <c r="E665" t="inlineStr">
        <is>
          <t>ÖSTHAMMAR</t>
        </is>
      </c>
      <c r="F665" t="inlineStr">
        <is>
          <t>Bergvik skog öst AB</t>
        </is>
      </c>
      <c r="G665" t="n">
        <v>45.4</v>
      </c>
      <c r="H665" t="n">
        <v>0</v>
      </c>
      <c r="I665" t="n">
        <v>0</v>
      </c>
      <c r="J665" t="n">
        <v>0</v>
      </c>
      <c r="K665" t="n">
        <v>0</v>
      </c>
      <c r="L665" t="n">
        <v>0</v>
      </c>
      <c r="M665" t="n">
        <v>0</v>
      </c>
      <c r="N665" t="n">
        <v>0</v>
      </c>
      <c r="O665" t="n">
        <v>0</v>
      </c>
      <c r="P665" t="n">
        <v>0</v>
      </c>
      <c r="Q665" t="n">
        <v>0</v>
      </c>
      <c r="R665" s="2" t="inlineStr"/>
    </row>
    <row r="666" ht="15" customHeight="1">
      <c r="A666" t="inlineStr">
        <is>
          <t>A 40637-2022</t>
        </is>
      </c>
      <c r="B666" s="1" t="n">
        <v>44824</v>
      </c>
      <c r="C666" s="1" t="n">
        <v>45941</v>
      </c>
      <c r="D666" t="inlineStr">
        <is>
          <t>UPPSALA LÄN</t>
        </is>
      </c>
      <c r="E666" t="inlineStr">
        <is>
          <t>ÖSTHAMMAR</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6046-2025</t>
        </is>
      </c>
      <c r="B667" s="1" t="n">
        <v>45695</v>
      </c>
      <c r="C667" s="1" t="n">
        <v>45941</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c r="U667">
        <f>HYPERLINK("https://klasma.github.io/Logging_0382/knärot/A 6046-2025 karta knärot.png", "A 6046-2025")</f>
        <v/>
      </c>
      <c r="V667">
        <f>HYPERLINK("https://klasma.github.io/Logging_0382/klagomål/A 6046-2025 FSC-klagomål.docx", "A 6046-2025")</f>
        <v/>
      </c>
      <c r="W667">
        <f>HYPERLINK("https://klasma.github.io/Logging_0382/klagomålsmail/A 6046-2025 FSC-klagomål mail.docx", "A 6046-2025")</f>
        <v/>
      </c>
      <c r="X667">
        <f>HYPERLINK("https://klasma.github.io/Logging_0382/tillsyn/A 6046-2025 tillsynsbegäran.docx", "A 6046-2025")</f>
        <v/>
      </c>
      <c r="Y667">
        <f>HYPERLINK("https://klasma.github.io/Logging_0382/tillsynsmail/A 6046-2025 tillsynsbegäran mail.docx", "A 6046-2025")</f>
        <v/>
      </c>
    </row>
    <row r="668" ht="15" customHeight="1">
      <c r="A668" t="inlineStr">
        <is>
          <t>A 21624-2023</t>
        </is>
      </c>
      <c r="B668" s="1" t="n">
        <v>45063.65543981481</v>
      </c>
      <c r="C668" s="1" t="n">
        <v>45941</v>
      </c>
      <c r="D668" t="inlineStr">
        <is>
          <t>UPPSALA LÄN</t>
        </is>
      </c>
      <c r="E668" t="inlineStr">
        <is>
          <t>ÖSTHAMMAR</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6120-2024</t>
        </is>
      </c>
      <c r="B669" s="1" t="n">
        <v>45337.41784722222</v>
      </c>
      <c r="C669" s="1" t="n">
        <v>45941</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21478-2023</t>
        </is>
      </c>
      <c r="B670" s="1" t="n">
        <v>45063.47773148148</v>
      </c>
      <c r="C670" s="1" t="n">
        <v>45941</v>
      </c>
      <c r="D670" t="inlineStr">
        <is>
          <t>UPPSALA LÄN</t>
        </is>
      </c>
      <c r="E670" t="inlineStr">
        <is>
          <t>ÖSTHAMMAR</t>
        </is>
      </c>
      <c r="G670" t="n">
        <v>0.4</v>
      </c>
      <c r="H670" t="n">
        <v>0</v>
      </c>
      <c r="I670" t="n">
        <v>0</v>
      </c>
      <c r="J670" t="n">
        <v>0</v>
      </c>
      <c r="K670" t="n">
        <v>0</v>
      </c>
      <c r="L670" t="n">
        <v>0</v>
      </c>
      <c r="M670" t="n">
        <v>0</v>
      </c>
      <c r="N670" t="n">
        <v>0</v>
      </c>
      <c r="O670" t="n">
        <v>0</v>
      </c>
      <c r="P670" t="n">
        <v>0</v>
      </c>
      <c r="Q670" t="n">
        <v>0</v>
      </c>
      <c r="R670" s="2" t="inlineStr"/>
    </row>
    <row r="671" ht="15" customHeight="1">
      <c r="A671" t="inlineStr">
        <is>
          <t>A 58270-2023</t>
        </is>
      </c>
      <c r="B671" s="1" t="n">
        <v>45250.49961805555</v>
      </c>
      <c r="C671" s="1" t="n">
        <v>45941</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22804-2022</t>
        </is>
      </c>
      <c r="B672" s="1" t="n">
        <v>44715</v>
      </c>
      <c r="C672" s="1" t="n">
        <v>45941</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57003-2021</t>
        </is>
      </c>
      <c r="B673" s="1" t="n">
        <v>44482.47577546296</v>
      </c>
      <c r="C673" s="1" t="n">
        <v>45941</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73483-2021</t>
        </is>
      </c>
      <c r="B674" s="1" t="n">
        <v>44550</v>
      </c>
      <c r="C674" s="1" t="n">
        <v>45941</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24033-2023</t>
        </is>
      </c>
      <c r="B675" s="1" t="n">
        <v>45078</v>
      </c>
      <c r="C675" s="1" t="n">
        <v>45941</v>
      </c>
      <c r="D675" t="inlineStr">
        <is>
          <t>UPPSALA LÄN</t>
        </is>
      </c>
      <c r="E675" t="inlineStr">
        <is>
          <t>ÖSTHAMMAR</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57408-2020</t>
        </is>
      </c>
      <c r="B676" s="1" t="n">
        <v>44140</v>
      </c>
      <c r="C676" s="1" t="n">
        <v>45941</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12262-2023</t>
        </is>
      </c>
      <c r="B677" s="1" t="n">
        <v>44998.66662037037</v>
      </c>
      <c r="C677" s="1" t="n">
        <v>45941</v>
      </c>
      <c r="D677" t="inlineStr">
        <is>
          <t>UPPSALA LÄN</t>
        </is>
      </c>
      <c r="E677" t="inlineStr">
        <is>
          <t>ÖSTHAMMAR</t>
        </is>
      </c>
      <c r="G677" t="n">
        <v>4.1</v>
      </c>
      <c r="H677" t="n">
        <v>0</v>
      </c>
      <c r="I677" t="n">
        <v>0</v>
      </c>
      <c r="J677" t="n">
        <v>0</v>
      </c>
      <c r="K677" t="n">
        <v>0</v>
      </c>
      <c r="L677" t="n">
        <v>0</v>
      </c>
      <c r="M677" t="n">
        <v>0</v>
      </c>
      <c r="N677" t="n">
        <v>0</v>
      </c>
      <c r="O677" t="n">
        <v>0</v>
      </c>
      <c r="P677" t="n">
        <v>0</v>
      </c>
      <c r="Q677" t="n">
        <v>0</v>
      </c>
      <c r="R677" s="2" t="inlineStr"/>
    </row>
    <row r="678" ht="15" customHeight="1">
      <c r="A678" t="inlineStr">
        <is>
          <t>A 5254-2025</t>
        </is>
      </c>
      <c r="B678" s="1" t="n">
        <v>45692</v>
      </c>
      <c r="C678" s="1" t="n">
        <v>45941</v>
      </c>
      <c r="D678" t="inlineStr">
        <is>
          <t>UPPSALA LÄN</t>
        </is>
      </c>
      <c r="E678" t="inlineStr">
        <is>
          <t>ÖSTHAMMAR</t>
        </is>
      </c>
      <c r="G678" t="n">
        <v>5</v>
      </c>
      <c r="H678" t="n">
        <v>0</v>
      </c>
      <c r="I678" t="n">
        <v>0</v>
      </c>
      <c r="J678" t="n">
        <v>0</v>
      </c>
      <c r="K678" t="n">
        <v>0</v>
      </c>
      <c r="L678" t="n">
        <v>0</v>
      </c>
      <c r="M678" t="n">
        <v>0</v>
      </c>
      <c r="N678" t="n">
        <v>0</v>
      </c>
      <c r="O678" t="n">
        <v>0</v>
      </c>
      <c r="P678" t="n">
        <v>0</v>
      </c>
      <c r="Q678" t="n">
        <v>0</v>
      </c>
      <c r="R678" s="2" t="inlineStr"/>
    </row>
    <row r="679" ht="15" customHeight="1">
      <c r="A679" t="inlineStr">
        <is>
          <t>A 44807-2024</t>
        </is>
      </c>
      <c r="B679" s="1" t="n">
        <v>45574.65427083334</v>
      </c>
      <c r="C679" s="1" t="n">
        <v>45941</v>
      </c>
      <c r="D679" t="inlineStr">
        <is>
          <t>UPPSALA LÄN</t>
        </is>
      </c>
      <c r="E679" t="inlineStr">
        <is>
          <t>ÖSTHAMMAR</t>
        </is>
      </c>
      <c r="G679" t="n">
        <v>2.9</v>
      </c>
      <c r="H679" t="n">
        <v>0</v>
      </c>
      <c r="I679" t="n">
        <v>0</v>
      </c>
      <c r="J679" t="n">
        <v>0</v>
      </c>
      <c r="K679" t="n">
        <v>0</v>
      </c>
      <c r="L679" t="n">
        <v>0</v>
      </c>
      <c r="M679" t="n">
        <v>0</v>
      </c>
      <c r="N679" t="n">
        <v>0</v>
      </c>
      <c r="O679" t="n">
        <v>0</v>
      </c>
      <c r="P679" t="n">
        <v>0</v>
      </c>
      <c r="Q679" t="n">
        <v>0</v>
      </c>
      <c r="R679" s="2" t="inlineStr"/>
    </row>
    <row r="680" ht="15" customHeight="1">
      <c r="A680" t="inlineStr">
        <is>
          <t>A 7195-2023</t>
        </is>
      </c>
      <c r="B680" s="1" t="n">
        <v>44970</v>
      </c>
      <c r="C680" s="1" t="n">
        <v>45941</v>
      </c>
      <c r="D680" t="inlineStr">
        <is>
          <t>UPPSALA LÄN</t>
        </is>
      </c>
      <c r="E680" t="inlineStr">
        <is>
          <t>ÖSTHAMMAR</t>
        </is>
      </c>
      <c r="G680" t="n">
        <v>1.3</v>
      </c>
      <c r="H680" t="n">
        <v>0</v>
      </c>
      <c r="I680" t="n">
        <v>0</v>
      </c>
      <c r="J680" t="n">
        <v>0</v>
      </c>
      <c r="K680" t="n">
        <v>0</v>
      </c>
      <c r="L680" t="n">
        <v>0</v>
      </c>
      <c r="M680" t="n">
        <v>0</v>
      </c>
      <c r="N680" t="n">
        <v>0</v>
      </c>
      <c r="O680" t="n">
        <v>0</v>
      </c>
      <c r="P680" t="n">
        <v>0</v>
      </c>
      <c r="Q680" t="n">
        <v>0</v>
      </c>
      <c r="R680" s="2" t="inlineStr"/>
    </row>
    <row r="681" ht="15" customHeight="1">
      <c r="A681" t="inlineStr">
        <is>
          <t>A 37568-2022</t>
        </is>
      </c>
      <c r="B681" s="1" t="n">
        <v>44809</v>
      </c>
      <c r="C681" s="1" t="n">
        <v>45941</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9542-2023</t>
        </is>
      </c>
      <c r="B682" s="1" t="n">
        <v>44981</v>
      </c>
      <c r="C682" s="1" t="n">
        <v>45941</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55100-2024</t>
        </is>
      </c>
      <c r="B683" s="1" t="n">
        <v>45621.4405787037</v>
      </c>
      <c r="C683" s="1" t="n">
        <v>45941</v>
      </c>
      <c r="D683" t="inlineStr">
        <is>
          <t>UPPSALA LÄN</t>
        </is>
      </c>
      <c r="E683" t="inlineStr">
        <is>
          <t>ÖSTHAMMAR</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26774-2023</t>
        </is>
      </c>
      <c r="B684" s="1" t="n">
        <v>45093.47947916666</v>
      </c>
      <c r="C684" s="1" t="n">
        <v>45941</v>
      </c>
      <c r="D684" t="inlineStr">
        <is>
          <t>UPPSALA LÄN</t>
        </is>
      </c>
      <c r="E684" t="inlineStr">
        <is>
          <t>ÖSTHAMMAR</t>
        </is>
      </c>
      <c r="F684" t="inlineStr">
        <is>
          <t>Bergvik skog öst AB</t>
        </is>
      </c>
      <c r="G684" t="n">
        <v>2.1</v>
      </c>
      <c r="H684" t="n">
        <v>0</v>
      </c>
      <c r="I684" t="n">
        <v>0</v>
      </c>
      <c r="J684" t="n">
        <v>0</v>
      </c>
      <c r="K684" t="n">
        <v>0</v>
      </c>
      <c r="L684" t="n">
        <v>0</v>
      </c>
      <c r="M684" t="n">
        <v>0</v>
      </c>
      <c r="N684" t="n">
        <v>0</v>
      </c>
      <c r="O684" t="n">
        <v>0</v>
      </c>
      <c r="P684" t="n">
        <v>0</v>
      </c>
      <c r="Q684" t="n">
        <v>0</v>
      </c>
      <c r="R684" s="2" t="inlineStr"/>
    </row>
    <row r="685" ht="15" customHeight="1">
      <c r="A685" t="inlineStr">
        <is>
          <t>A 67848-2021</t>
        </is>
      </c>
      <c r="B685" s="1" t="n">
        <v>44525</v>
      </c>
      <c r="C685" s="1" t="n">
        <v>45941</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55097-2024</t>
        </is>
      </c>
      <c r="B686" s="1" t="n">
        <v>45621.43855324074</v>
      </c>
      <c r="C686" s="1" t="n">
        <v>45941</v>
      </c>
      <c r="D686" t="inlineStr">
        <is>
          <t>UPPSALA LÄN</t>
        </is>
      </c>
      <c r="E686" t="inlineStr">
        <is>
          <t>ÖSTHAMMAR</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18230-2025</t>
        </is>
      </c>
      <c r="B687" s="1" t="n">
        <v>45761.87114583333</v>
      </c>
      <c r="C687" s="1" t="n">
        <v>45941</v>
      </c>
      <c r="D687" t="inlineStr">
        <is>
          <t>UPPSALA LÄN</t>
        </is>
      </c>
      <c r="E687" t="inlineStr">
        <is>
          <t>ÖSTHAMMAR</t>
        </is>
      </c>
      <c r="F687" t="inlineStr">
        <is>
          <t>Bergvik skog öst AB</t>
        </is>
      </c>
      <c r="G687" t="n">
        <v>4.2</v>
      </c>
      <c r="H687" t="n">
        <v>0</v>
      </c>
      <c r="I687" t="n">
        <v>0</v>
      </c>
      <c r="J687" t="n">
        <v>0</v>
      </c>
      <c r="K687" t="n">
        <v>0</v>
      </c>
      <c r="L687" t="n">
        <v>0</v>
      </c>
      <c r="M687" t="n">
        <v>0</v>
      </c>
      <c r="N687" t="n">
        <v>0</v>
      </c>
      <c r="O687" t="n">
        <v>0</v>
      </c>
      <c r="P687" t="n">
        <v>0</v>
      </c>
      <c r="Q687" t="n">
        <v>0</v>
      </c>
      <c r="R687" s="2" t="inlineStr"/>
    </row>
    <row r="688" ht="15" customHeight="1">
      <c r="A688" t="inlineStr">
        <is>
          <t>A 37865-2023</t>
        </is>
      </c>
      <c r="B688" s="1" t="n">
        <v>45160</v>
      </c>
      <c r="C688" s="1" t="n">
        <v>45941</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7100-2025</t>
        </is>
      </c>
      <c r="B689" s="1" t="n">
        <v>45701.83930555556</v>
      </c>
      <c r="C689" s="1" t="n">
        <v>45941</v>
      </c>
      <c r="D689" t="inlineStr">
        <is>
          <t>UPPSALA LÄN</t>
        </is>
      </c>
      <c r="E689" t="inlineStr">
        <is>
          <t>ÖSTHAMMAR</t>
        </is>
      </c>
      <c r="G689" t="n">
        <v>4.3</v>
      </c>
      <c r="H689" t="n">
        <v>0</v>
      </c>
      <c r="I689" t="n">
        <v>0</v>
      </c>
      <c r="J689" t="n">
        <v>0</v>
      </c>
      <c r="K689" t="n">
        <v>0</v>
      </c>
      <c r="L689" t="n">
        <v>0</v>
      </c>
      <c r="M689" t="n">
        <v>0</v>
      </c>
      <c r="N689" t="n">
        <v>0</v>
      </c>
      <c r="O689" t="n">
        <v>0</v>
      </c>
      <c r="P689" t="n">
        <v>0</v>
      </c>
      <c r="Q689" t="n">
        <v>0</v>
      </c>
      <c r="R689" s="2" t="inlineStr"/>
    </row>
    <row r="690" ht="15" customHeight="1">
      <c r="A690" t="inlineStr">
        <is>
          <t>A 54314-2023</t>
        </is>
      </c>
      <c r="B690" s="1" t="n">
        <v>45225</v>
      </c>
      <c r="C690" s="1" t="n">
        <v>45941</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49796-2024</t>
        </is>
      </c>
      <c r="B691" s="1" t="n">
        <v>45597</v>
      </c>
      <c r="C691" s="1" t="n">
        <v>45941</v>
      </c>
      <c r="D691" t="inlineStr">
        <is>
          <t>UPPSALA LÄN</t>
        </is>
      </c>
      <c r="E691" t="inlineStr">
        <is>
          <t>ÖSTHAMMAR</t>
        </is>
      </c>
      <c r="G691" t="n">
        <v>1.3</v>
      </c>
      <c r="H691" t="n">
        <v>0</v>
      </c>
      <c r="I691" t="n">
        <v>0</v>
      </c>
      <c r="J691" t="n">
        <v>0</v>
      </c>
      <c r="K691" t="n">
        <v>0</v>
      </c>
      <c r="L691" t="n">
        <v>0</v>
      </c>
      <c r="M691" t="n">
        <v>0</v>
      </c>
      <c r="N691" t="n">
        <v>0</v>
      </c>
      <c r="O691" t="n">
        <v>0</v>
      </c>
      <c r="P691" t="n">
        <v>0</v>
      </c>
      <c r="Q691" t="n">
        <v>0</v>
      </c>
      <c r="R691" s="2" t="inlineStr"/>
    </row>
    <row r="692" ht="15" customHeight="1">
      <c r="A692" t="inlineStr">
        <is>
          <t>A 1791-2023</t>
        </is>
      </c>
      <c r="B692" s="1" t="n">
        <v>44938</v>
      </c>
      <c r="C692" s="1" t="n">
        <v>45941</v>
      </c>
      <c r="D692" t="inlineStr">
        <is>
          <t>UPPSALA LÄN</t>
        </is>
      </c>
      <c r="E692" t="inlineStr">
        <is>
          <t>ÖSTHAMMAR</t>
        </is>
      </c>
      <c r="G692" t="n">
        <v>2</v>
      </c>
      <c r="H692" t="n">
        <v>0</v>
      </c>
      <c r="I692" t="n">
        <v>0</v>
      </c>
      <c r="J692" t="n">
        <v>0</v>
      </c>
      <c r="K692" t="n">
        <v>0</v>
      </c>
      <c r="L692" t="n">
        <v>0</v>
      </c>
      <c r="M692" t="n">
        <v>0</v>
      </c>
      <c r="N692" t="n">
        <v>0</v>
      </c>
      <c r="O692" t="n">
        <v>0</v>
      </c>
      <c r="P692" t="n">
        <v>0</v>
      </c>
      <c r="Q692" t="n">
        <v>0</v>
      </c>
      <c r="R692" s="2" t="inlineStr"/>
    </row>
    <row r="693" ht="15" customHeight="1">
      <c r="A693" t="inlineStr">
        <is>
          <t>A 21132-2025</t>
        </is>
      </c>
      <c r="B693" s="1" t="n">
        <v>45778.4108912037</v>
      </c>
      <c r="C693" s="1" t="n">
        <v>45941</v>
      </c>
      <c r="D693" t="inlineStr">
        <is>
          <t>UPPSALA LÄN</t>
        </is>
      </c>
      <c r="E693" t="inlineStr">
        <is>
          <t>ÖSTHAMMAR</t>
        </is>
      </c>
      <c r="G693" t="n">
        <v>10.1</v>
      </c>
      <c r="H693" t="n">
        <v>0</v>
      </c>
      <c r="I693" t="n">
        <v>0</v>
      </c>
      <c r="J693" t="n">
        <v>0</v>
      </c>
      <c r="K693" t="n">
        <v>0</v>
      </c>
      <c r="L693" t="n">
        <v>0</v>
      </c>
      <c r="M693" t="n">
        <v>0</v>
      </c>
      <c r="N693" t="n">
        <v>0</v>
      </c>
      <c r="O693" t="n">
        <v>0</v>
      </c>
      <c r="P693" t="n">
        <v>0</v>
      </c>
      <c r="Q693" t="n">
        <v>0</v>
      </c>
      <c r="R693" s="2" t="inlineStr"/>
    </row>
    <row r="694" ht="15" customHeight="1">
      <c r="A694" t="inlineStr">
        <is>
          <t>A 21133-2025</t>
        </is>
      </c>
      <c r="B694" s="1" t="n">
        <v>45778.415625</v>
      </c>
      <c r="C694" s="1" t="n">
        <v>45941</v>
      </c>
      <c r="D694" t="inlineStr">
        <is>
          <t>UPPSALA LÄN</t>
        </is>
      </c>
      <c r="E694" t="inlineStr">
        <is>
          <t>ÖSTHAMMAR</t>
        </is>
      </c>
      <c r="G694" t="n">
        <v>1.5</v>
      </c>
      <c r="H694" t="n">
        <v>0</v>
      </c>
      <c r="I694" t="n">
        <v>0</v>
      </c>
      <c r="J694" t="n">
        <v>0</v>
      </c>
      <c r="K694" t="n">
        <v>0</v>
      </c>
      <c r="L694" t="n">
        <v>0</v>
      </c>
      <c r="M694" t="n">
        <v>0</v>
      </c>
      <c r="N694" t="n">
        <v>0</v>
      </c>
      <c r="O694" t="n">
        <v>0</v>
      </c>
      <c r="P694" t="n">
        <v>0</v>
      </c>
      <c r="Q694" t="n">
        <v>0</v>
      </c>
      <c r="R694" s="2" t="inlineStr"/>
    </row>
    <row r="695" ht="15" customHeight="1">
      <c r="A695" t="inlineStr">
        <is>
          <t>A 42262-2024</t>
        </is>
      </c>
      <c r="B695" s="1" t="n">
        <v>45562</v>
      </c>
      <c r="C695" s="1" t="n">
        <v>45941</v>
      </c>
      <c r="D695" t="inlineStr">
        <is>
          <t>UPPSALA LÄN</t>
        </is>
      </c>
      <c r="E695" t="inlineStr">
        <is>
          <t>ÖSTHAMMAR</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44796-2024</t>
        </is>
      </c>
      <c r="B696" s="1" t="n">
        <v>45574</v>
      </c>
      <c r="C696" s="1" t="n">
        <v>45941</v>
      </c>
      <c r="D696" t="inlineStr">
        <is>
          <t>UPPSALA LÄN</t>
        </is>
      </c>
      <c r="E696" t="inlineStr">
        <is>
          <t>ÖSTHAMMAR</t>
        </is>
      </c>
      <c r="G696" t="n">
        <v>4.7</v>
      </c>
      <c r="H696" t="n">
        <v>0</v>
      </c>
      <c r="I696" t="n">
        <v>0</v>
      </c>
      <c r="J696" t="n">
        <v>0</v>
      </c>
      <c r="K696" t="n">
        <v>0</v>
      </c>
      <c r="L696" t="n">
        <v>0</v>
      </c>
      <c r="M696" t="n">
        <v>0</v>
      </c>
      <c r="N696" t="n">
        <v>0</v>
      </c>
      <c r="O696" t="n">
        <v>0</v>
      </c>
      <c r="P696" t="n">
        <v>0</v>
      </c>
      <c r="Q696" t="n">
        <v>0</v>
      </c>
      <c r="R696" s="2" t="inlineStr"/>
    </row>
    <row r="697" ht="15" customHeight="1">
      <c r="A697" t="inlineStr">
        <is>
          <t>A 22488-2025</t>
        </is>
      </c>
      <c r="B697" s="1" t="n">
        <v>45786.64865740741</v>
      </c>
      <c r="C697" s="1" t="n">
        <v>45941</v>
      </c>
      <c r="D697" t="inlineStr">
        <is>
          <t>UPPSALA LÄN</t>
        </is>
      </c>
      <c r="E697" t="inlineStr">
        <is>
          <t>ÖSTHAMMAR</t>
        </is>
      </c>
      <c r="F697" t="inlineStr">
        <is>
          <t>Bergvik skog öst AB</t>
        </is>
      </c>
      <c r="G697" t="n">
        <v>14.9</v>
      </c>
      <c r="H697" t="n">
        <v>0</v>
      </c>
      <c r="I697" t="n">
        <v>0</v>
      </c>
      <c r="J697" t="n">
        <v>0</v>
      </c>
      <c r="K697" t="n">
        <v>0</v>
      </c>
      <c r="L697" t="n">
        <v>0</v>
      </c>
      <c r="M697" t="n">
        <v>0</v>
      </c>
      <c r="N697" t="n">
        <v>0</v>
      </c>
      <c r="O697" t="n">
        <v>0</v>
      </c>
      <c r="P697" t="n">
        <v>0</v>
      </c>
      <c r="Q697" t="n">
        <v>0</v>
      </c>
      <c r="R697" s="2" t="inlineStr"/>
    </row>
    <row r="698" ht="15" customHeight="1">
      <c r="A698" t="inlineStr">
        <is>
          <t>A 36954-2024</t>
        </is>
      </c>
      <c r="B698" s="1" t="n">
        <v>45538.71109953704</v>
      </c>
      <c r="C698" s="1" t="n">
        <v>45941</v>
      </c>
      <c r="D698" t="inlineStr">
        <is>
          <t>UPPSALA LÄN</t>
        </is>
      </c>
      <c r="E698" t="inlineStr">
        <is>
          <t>ÖSTHAMMAR</t>
        </is>
      </c>
      <c r="F698" t="inlineStr">
        <is>
          <t>Bergvik skog öst AB</t>
        </is>
      </c>
      <c r="G698" t="n">
        <v>5.1</v>
      </c>
      <c r="H698" t="n">
        <v>0</v>
      </c>
      <c r="I698" t="n">
        <v>0</v>
      </c>
      <c r="J698" t="n">
        <v>0</v>
      </c>
      <c r="K698" t="n">
        <v>0</v>
      </c>
      <c r="L698" t="n">
        <v>0</v>
      </c>
      <c r="M698" t="n">
        <v>0</v>
      </c>
      <c r="N698" t="n">
        <v>0</v>
      </c>
      <c r="O698" t="n">
        <v>0</v>
      </c>
      <c r="P698" t="n">
        <v>0</v>
      </c>
      <c r="Q698" t="n">
        <v>0</v>
      </c>
      <c r="R698" s="2" t="inlineStr"/>
    </row>
    <row r="699" ht="15" customHeight="1">
      <c r="A699" t="inlineStr">
        <is>
          <t>A 22483-2025</t>
        </is>
      </c>
      <c r="B699" s="1" t="n">
        <v>45786.64141203704</v>
      </c>
      <c r="C699" s="1" t="n">
        <v>45941</v>
      </c>
      <c r="D699" t="inlineStr">
        <is>
          <t>UPPSALA LÄN</t>
        </is>
      </c>
      <c r="E699" t="inlineStr">
        <is>
          <t>ÖSTHAMMAR</t>
        </is>
      </c>
      <c r="F699" t="inlineStr">
        <is>
          <t>Bergvik skog öst AB</t>
        </is>
      </c>
      <c r="G699" t="n">
        <v>0.6</v>
      </c>
      <c r="H699" t="n">
        <v>0</v>
      </c>
      <c r="I699" t="n">
        <v>0</v>
      </c>
      <c r="J699" t="n">
        <v>0</v>
      </c>
      <c r="K699" t="n">
        <v>0</v>
      </c>
      <c r="L699" t="n">
        <v>0</v>
      </c>
      <c r="M699" t="n">
        <v>0</v>
      </c>
      <c r="N699" t="n">
        <v>0</v>
      </c>
      <c r="O699" t="n">
        <v>0</v>
      </c>
      <c r="P699" t="n">
        <v>0</v>
      </c>
      <c r="Q699" t="n">
        <v>0</v>
      </c>
      <c r="R699" s="2" t="inlineStr"/>
    </row>
    <row r="700" ht="15" customHeight="1">
      <c r="A700" t="inlineStr">
        <is>
          <t>A 59291-2023</t>
        </is>
      </c>
      <c r="B700" s="1" t="n">
        <v>45253.57559027777</v>
      </c>
      <c r="C700" s="1" t="n">
        <v>45941</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43685-2024</t>
        </is>
      </c>
      <c r="B701" s="1" t="n">
        <v>45569</v>
      </c>
      <c r="C701" s="1" t="n">
        <v>45941</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38575-2024</t>
        </is>
      </c>
      <c r="B702" s="1" t="n">
        <v>45546.64221064815</v>
      </c>
      <c r="C702" s="1" t="n">
        <v>45941</v>
      </c>
      <c r="D702" t="inlineStr">
        <is>
          <t>UPPSALA LÄN</t>
        </is>
      </c>
      <c r="E702" t="inlineStr">
        <is>
          <t>ÖSTHAMMAR</t>
        </is>
      </c>
      <c r="F702" t="inlineStr">
        <is>
          <t>Bergvik skog öst AB</t>
        </is>
      </c>
      <c r="G702" t="n">
        <v>5.1</v>
      </c>
      <c r="H702" t="n">
        <v>0</v>
      </c>
      <c r="I702" t="n">
        <v>0</v>
      </c>
      <c r="J702" t="n">
        <v>0</v>
      </c>
      <c r="K702" t="n">
        <v>0</v>
      </c>
      <c r="L702" t="n">
        <v>0</v>
      </c>
      <c r="M702" t="n">
        <v>0</v>
      </c>
      <c r="N702" t="n">
        <v>0</v>
      </c>
      <c r="O702" t="n">
        <v>0</v>
      </c>
      <c r="P702" t="n">
        <v>0</v>
      </c>
      <c r="Q702" t="n">
        <v>0</v>
      </c>
      <c r="R702" s="2" t="inlineStr"/>
    </row>
    <row r="703" ht="15" customHeight="1">
      <c r="A703" t="inlineStr">
        <is>
          <t>A 43993-2024</t>
        </is>
      </c>
      <c r="B703" s="1" t="n">
        <v>45572.52690972222</v>
      </c>
      <c r="C703" s="1" t="n">
        <v>45941</v>
      </c>
      <c r="D703" t="inlineStr">
        <is>
          <t>UPPSALA LÄN</t>
        </is>
      </c>
      <c r="E703" t="inlineStr">
        <is>
          <t>ÖSTHAMMAR</t>
        </is>
      </c>
      <c r="G703" t="n">
        <v>1.5</v>
      </c>
      <c r="H703" t="n">
        <v>0</v>
      </c>
      <c r="I703" t="n">
        <v>0</v>
      </c>
      <c r="J703" t="n">
        <v>0</v>
      </c>
      <c r="K703" t="n">
        <v>0</v>
      </c>
      <c r="L703" t="n">
        <v>0</v>
      </c>
      <c r="M703" t="n">
        <v>0</v>
      </c>
      <c r="N703" t="n">
        <v>0</v>
      </c>
      <c r="O703" t="n">
        <v>0</v>
      </c>
      <c r="P703" t="n">
        <v>0</v>
      </c>
      <c r="Q703" t="n">
        <v>0</v>
      </c>
      <c r="R703" s="2" t="inlineStr"/>
    </row>
    <row r="704" ht="15" customHeight="1">
      <c r="A704" t="inlineStr">
        <is>
          <t>A 22492-2025</t>
        </is>
      </c>
      <c r="B704" s="1" t="n">
        <v>45786.65072916666</v>
      </c>
      <c r="C704" s="1" t="n">
        <v>45941</v>
      </c>
      <c r="D704" t="inlineStr">
        <is>
          <t>UPPSALA LÄN</t>
        </is>
      </c>
      <c r="E704" t="inlineStr">
        <is>
          <t>ÖSTHAMMAR</t>
        </is>
      </c>
      <c r="F704" t="inlineStr">
        <is>
          <t>Bergvik skog öst AB</t>
        </is>
      </c>
      <c r="G704" t="n">
        <v>16.6</v>
      </c>
      <c r="H704" t="n">
        <v>0</v>
      </c>
      <c r="I704" t="n">
        <v>0</v>
      </c>
      <c r="J704" t="n">
        <v>0</v>
      </c>
      <c r="K704" t="n">
        <v>0</v>
      </c>
      <c r="L704" t="n">
        <v>0</v>
      </c>
      <c r="M704" t="n">
        <v>0</v>
      </c>
      <c r="N704" t="n">
        <v>0</v>
      </c>
      <c r="O704" t="n">
        <v>0</v>
      </c>
      <c r="P704" t="n">
        <v>0</v>
      </c>
      <c r="Q704" t="n">
        <v>0</v>
      </c>
      <c r="R704" s="2" t="inlineStr"/>
    </row>
    <row r="705" ht="15" customHeight="1">
      <c r="A705" t="inlineStr">
        <is>
          <t>A 5931-2022</t>
        </is>
      </c>
      <c r="B705" s="1" t="n">
        <v>44598.82700231481</v>
      </c>
      <c r="C705" s="1" t="n">
        <v>45941</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43655-2024</t>
        </is>
      </c>
      <c r="B706" s="1" t="n">
        <v>45569</v>
      </c>
      <c r="C706" s="1" t="n">
        <v>45941</v>
      </c>
      <c r="D706" t="inlineStr">
        <is>
          <t>UPPSALA LÄN</t>
        </is>
      </c>
      <c r="E706" t="inlineStr">
        <is>
          <t>ÖSTHAMMAR</t>
        </is>
      </c>
      <c r="G706" t="n">
        <v>2.1</v>
      </c>
      <c r="H706" t="n">
        <v>0</v>
      </c>
      <c r="I706" t="n">
        <v>0</v>
      </c>
      <c r="J706" t="n">
        <v>0</v>
      </c>
      <c r="K706" t="n">
        <v>0</v>
      </c>
      <c r="L706" t="n">
        <v>0</v>
      </c>
      <c r="M706" t="n">
        <v>0</v>
      </c>
      <c r="N706" t="n">
        <v>0</v>
      </c>
      <c r="O706" t="n">
        <v>0</v>
      </c>
      <c r="P706" t="n">
        <v>0</v>
      </c>
      <c r="Q706" t="n">
        <v>0</v>
      </c>
      <c r="R706" s="2" t="inlineStr"/>
    </row>
    <row r="707" ht="15" customHeight="1">
      <c r="A707" t="inlineStr">
        <is>
          <t>A 43683-2024</t>
        </is>
      </c>
      <c r="B707" s="1" t="n">
        <v>45569.57518518518</v>
      </c>
      <c r="C707" s="1" t="n">
        <v>45941</v>
      </c>
      <c r="D707" t="inlineStr">
        <is>
          <t>UPPSALA LÄN</t>
        </is>
      </c>
      <c r="E707" t="inlineStr">
        <is>
          <t>ÖSTHAMMAR</t>
        </is>
      </c>
      <c r="G707" t="n">
        <v>4.7</v>
      </c>
      <c r="H707" t="n">
        <v>0</v>
      </c>
      <c r="I707" t="n">
        <v>0</v>
      </c>
      <c r="J707" t="n">
        <v>0</v>
      </c>
      <c r="K707" t="n">
        <v>0</v>
      </c>
      <c r="L707" t="n">
        <v>0</v>
      </c>
      <c r="M707" t="n">
        <v>0</v>
      </c>
      <c r="N707" t="n">
        <v>0</v>
      </c>
      <c r="O707" t="n">
        <v>0</v>
      </c>
      <c r="P707" t="n">
        <v>0</v>
      </c>
      <c r="Q707" t="n">
        <v>0</v>
      </c>
      <c r="R707" s="2" t="inlineStr"/>
    </row>
    <row r="708" ht="15" customHeight="1">
      <c r="A708" t="inlineStr">
        <is>
          <t>A 32483-2024</t>
        </is>
      </c>
      <c r="B708" s="1" t="n">
        <v>45513.36644675926</v>
      </c>
      <c r="C708" s="1" t="n">
        <v>45941</v>
      </c>
      <c r="D708" t="inlineStr">
        <is>
          <t>UPPSALA LÄN</t>
        </is>
      </c>
      <c r="E708" t="inlineStr">
        <is>
          <t>ÖSTHAMMAR</t>
        </is>
      </c>
      <c r="F708" t="inlineStr">
        <is>
          <t>Kyrkan</t>
        </is>
      </c>
      <c r="G708" t="n">
        <v>4.7</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45013.57858796296</v>
      </c>
      <c r="C709" s="1" t="n">
        <v>45941</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33685-2024</t>
        </is>
      </c>
      <c r="B710" s="1" t="n">
        <v>45520.51063657407</v>
      </c>
      <c r="C710" s="1" t="n">
        <v>45941</v>
      </c>
      <c r="D710" t="inlineStr">
        <is>
          <t>UPPSALA LÄN</t>
        </is>
      </c>
      <c r="E710" t="inlineStr">
        <is>
          <t>ÖSTHAMMAR</t>
        </is>
      </c>
      <c r="F710" t="inlineStr">
        <is>
          <t>Bergvik skog öst AB</t>
        </is>
      </c>
      <c r="G710" t="n">
        <v>3.8</v>
      </c>
      <c r="H710" t="n">
        <v>0</v>
      </c>
      <c r="I710" t="n">
        <v>0</v>
      </c>
      <c r="J710" t="n">
        <v>0</v>
      </c>
      <c r="K710" t="n">
        <v>0</v>
      </c>
      <c r="L710" t="n">
        <v>0</v>
      </c>
      <c r="M710" t="n">
        <v>0</v>
      </c>
      <c r="N710" t="n">
        <v>0</v>
      </c>
      <c r="O710" t="n">
        <v>0</v>
      </c>
      <c r="P710" t="n">
        <v>0</v>
      </c>
      <c r="Q710" t="n">
        <v>0</v>
      </c>
      <c r="R710" s="2" t="inlineStr"/>
    </row>
    <row r="711" ht="15" customHeight="1">
      <c r="A711" t="inlineStr">
        <is>
          <t>A 44027-2024</t>
        </is>
      </c>
      <c r="B711" s="1" t="n">
        <v>45572</v>
      </c>
      <c r="C711" s="1" t="n">
        <v>45941</v>
      </c>
      <c r="D711" t="inlineStr">
        <is>
          <t>UPPSALA LÄN</t>
        </is>
      </c>
      <c r="E711" t="inlineStr">
        <is>
          <t>ÖSTHAMMAR</t>
        </is>
      </c>
      <c r="G711" t="n">
        <v>6</v>
      </c>
      <c r="H711" t="n">
        <v>0</v>
      </c>
      <c r="I711" t="n">
        <v>0</v>
      </c>
      <c r="J711" t="n">
        <v>0</v>
      </c>
      <c r="K711" t="n">
        <v>0</v>
      </c>
      <c r="L711" t="n">
        <v>0</v>
      </c>
      <c r="M711" t="n">
        <v>0</v>
      </c>
      <c r="N711" t="n">
        <v>0</v>
      </c>
      <c r="O711" t="n">
        <v>0</v>
      </c>
      <c r="P711" t="n">
        <v>0</v>
      </c>
      <c r="Q711" t="n">
        <v>0</v>
      </c>
      <c r="R711" s="2" t="inlineStr"/>
    </row>
    <row r="712" ht="15" customHeight="1">
      <c r="A712" t="inlineStr">
        <is>
          <t>A 23305-2025</t>
        </is>
      </c>
      <c r="B712" s="1" t="n">
        <v>45791.60127314815</v>
      </c>
      <c r="C712" s="1" t="n">
        <v>45941</v>
      </c>
      <c r="D712" t="inlineStr">
        <is>
          <t>UPPSALA LÄN</t>
        </is>
      </c>
      <c r="E712" t="inlineStr">
        <is>
          <t>ÖSTHAMMAR</t>
        </is>
      </c>
      <c r="G712" t="n">
        <v>1.9</v>
      </c>
      <c r="H712" t="n">
        <v>0</v>
      </c>
      <c r="I712" t="n">
        <v>0</v>
      </c>
      <c r="J712" t="n">
        <v>0</v>
      </c>
      <c r="K712" t="n">
        <v>0</v>
      </c>
      <c r="L712" t="n">
        <v>0</v>
      </c>
      <c r="M712" t="n">
        <v>0</v>
      </c>
      <c r="N712" t="n">
        <v>0</v>
      </c>
      <c r="O712" t="n">
        <v>0</v>
      </c>
      <c r="P712" t="n">
        <v>0</v>
      </c>
      <c r="Q712" t="n">
        <v>0</v>
      </c>
      <c r="R712" s="2" t="inlineStr"/>
    </row>
    <row r="713" ht="15" customHeight="1">
      <c r="A713" t="inlineStr">
        <is>
          <t>A 24606-2024</t>
        </is>
      </c>
      <c r="B713" s="1" t="n">
        <v>45460</v>
      </c>
      <c r="C713" s="1" t="n">
        <v>45941</v>
      </c>
      <c r="D713" t="inlineStr">
        <is>
          <t>UPPSALA LÄN</t>
        </is>
      </c>
      <c r="E713" t="inlineStr">
        <is>
          <t>ÖSTHAMMAR</t>
        </is>
      </c>
      <c r="F713" t="inlineStr">
        <is>
          <t>Bergvik skog öst AB</t>
        </is>
      </c>
      <c r="G713" t="n">
        <v>2.9</v>
      </c>
      <c r="H713" t="n">
        <v>0</v>
      </c>
      <c r="I713" t="n">
        <v>0</v>
      </c>
      <c r="J713" t="n">
        <v>0</v>
      </c>
      <c r="K713" t="n">
        <v>0</v>
      </c>
      <c r="L713" t="n">
        <v>0</v>
      </c>
      <c r="M713" t="n">
        <v>0</v>
      </c>
      <c r="N713" t="n">
        <v>0</v>
      </c>
      <c r="O713" t="n">
        <v>0</v>
      </c>
      <c r="P713" t="n">
        <v>0</v>
      </c>
      <c r="Q713" t="n">
        <v>0</v>
      </c>
      <c r="R713" s="2" t="inlineStr"/>
    </row>
    <row r="714" ht="15" customHeight="1">
      <c r="A714" t="inlineStr">
        <is>
          <t>A 23968-2025</t>
        </is>
      </c>
      <c r="B714" s="1" t="n">
        <v>45796</v>
      </c>
      <c r="C714" s="1" t="n">
        <v>45941</v>
      </c>
      <c r="D714" t="inlineStr">
        <is>
          <t>UPPSALA LÄN</t>
        </is>
      </c>
      <c r="E714" t="inlineStr">
        <is>
          <t>ÖSTHAMMAR</t>
        </is>
      </c>
      <c r="F714" t="inlineStr">
        <is>
          <t>Bergvik skog öst AB</t>
        </is>
      </c>
      <c r="G714" t="n">
        <v>7.5</v>
      </c>
      <c r="H714" t="n">
        <v>0</v>
      </c>
      <c r="I714" t="n">
        <v>0</v>
      </c>
      <c r="J714" t="n">
        <v>0</v>
      </c>
      <c r="K714" t="n">
        <v>0</v>
      </c>
      <c r="L714" t="n">
        <v>0</v>
      </c>
      <c r="M714" t="n">
        <v>0</v>
      </c>
      <c r="N714" t="n">
        <v>0</v>
      </c>
      <c r="O714" t="n">
        <v>0</v>
      </c>
      <c r="P714" t="n">
        <v>0</v>
      </c>
      <c r="Q714" t="n">
        <v>0</v>
      </c>
      <c r="R714" s="2" t="inlineStr"/>
    </row>
    <row r="715" ht="15" customHeight="1">
      <c r="A715" t="inlineStr">
        <is>
          <t>A 24160-2024</t>
        </is>
      </c>
      <c r="B715" s="1" t="n">
        <v>45456</v>
      </c>
      <c r="C715" s="1" t="n">
        <v>45941</v>
      </c>
      <c r="D715" t="inlineStr">
        <is>
          <t>UPPSALA LÄN</t>
        </is>
      </c>
      <c r="E715" t="inlineStr">
        <is>
          <t>ÖSTHAMMAR</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1584-2025</t>
        </is>
      </c>
      <c r="B716" s="1" t="n">
        <v>45670</v>
      </c>
      <c r="C716" s="1" t="n">
        <v>45941</v>
      </c>
      <c r="D716" t="inlineStr">
        <is>
          <t>UPPSALA LÄN</t>
        </is>
      </c>
      <c r="E716" t="inlineStr">
        <is>
          <t>ÖSTHAMMAR</t>
        </is>
      </c>
      <c r="G716" t="n">
        <v>0.7</v>
      </c>
      <c r="H716" t="n">
        <v>0</v>
      </c>
      <c r="I716" t="n">
        <v>0</v>
      </c>
      <c r="J716" t="n">
        <v>0</v>
      </c>
      <c r="K716" t="n">
        <v>0</v>
      </c>
      <c r="L716" t="n">
        <v>0</v>
      </c>
      <c r="M716" t="n">
        <v>0</v>
      </c>
      <c r="N716" t="n">
        <v>0</v>
      </c>
      <c r="O716" t="n">
        <v>0</v>
      </c>
      <c r="P716" t="n">
        <v>0</v>
      </c>
      <c r="Q716" t="n">
        <v>0</v>
      </c>
      <c r="R716" s="2" t="inlineStr"/>
    </row>
    <row r="717" ht="15" customHeight="1">
      <c r="A717" t="inlineStr">
        <is>
          <t>A 24174-2025</t>
        </is>
      </c>
      <c r="B717" s="1" t="n">
        <v>45796.69207175926</v>
      </c>
      <c r="C717" s="1" t="n">
        <v>45941</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30972-2024</t>
        </is>
      </c>
      <c r="B718" s="1" t="n">
        <v>45499.47106481482</v>
      </c>
      <c r="C718" s="1" t="n">
        <v>45941</v>
      </c>
      <c r="D718" t="inlineStr">
        <is>
          <t>UPPSALA LÄN</t>
        </is>
      </c>
      <c r="E718" t="inlineStr">
        <is>
          <t>ÖSTHAMMAR</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24389-2025</t>
        </is>
      </c>
      <c r="B719" s="1" t="n">
        <v>45797.63553240741</v>
      </c>
      <c r="C719" s="1" t="n">
        <v>45941</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24401-2025</t>
        </is>
      </c>
      <c r="B720" s="1" t="n">
        <v>45797.64908564815</v>
      </c>
      <c r="C720" s="1" t="n">
        <v>45941</v>
      </c>
      <c r="D720" t="inlineStr">
        <is>
          <t>UPPSALA LÄN</t>
        </is>
      </c>
      <c r="E720" t="inlineStr">
        <is>
          <t>ÖSTHAMMAR</t>
        </is>
      </c>
      <c r="G720" t="n">
        <v>1.4</v>
      </c>
      <c r="H720" t="n">
        <v>0</v>
      </c>
      <c r="I720" t="n">
        <v>0</v>
      </c>
      <c r="J720" t="n">
        <v>0</v>
      </c>
      <c r="K720" t="n">
        <v>0</v>
      </c>
      <c r="L720" t="n">
        <v>0</v>
      </c>
      <c r="M720" t="n">
        <v>0</v>
      </c>
      <c r="N720" t="n">
        <v>0</v>
      </c>
      <c r="O720" t="n">
        <v>0</v>
      </c>
      <c r="P720" t="n">
        <v>0</v>
      </c>
      <c r="Q720" t="n">
        <v>0</v>
      </c>
      <c r="R720" s="2" t="inlineStr"/>
    </row>
    <row r="721" ht="15" customHeight="1">
      <c r="A721" t="inlineStr">
        <is>
          <t>A 24408-2025</t>
        </is>
      </c>
      <c r="B721" s="1" t="n">
        <v>45797.65774305556</v>
      </c>
      <c r="C721" s="1" t="n">
        <v>45941</v>
      </c>
      <c r="D721" t="inlineStr">
        <is>
          <t>UPPSALA LÄN</t>
        </is>
      </c>
      <c r="E721" t="inlineStr">
        <is>
          <t>ÖSTHAMMAR</t>
        </is>
      </c>
      <c r="G721" t="n">
        <v>1.6</v>
      </c>
      <c r="H721" t="n">
        <v>0</v>
      </c>
      <c r="I721" t="n">
        <v>0</v>
      </c>
      <c r="J721" t="n">
        <v>0</v>
      </c>
      <c r="K721" t="n">
        <v>0</v>
      </c>
      <c r="L721" t="n">
        <v>0</v>
      </c>
      <c r="M721" t="n">
        <v>0</v>
      </c>
      <c r="N721" t="n">
        <v>0</v>
      </c>
      <c r="O721" t="n">
        <v>0</v>
      </c>
      <c r="P721" t="n">
        <v>0</v>
      </c>
      <c r="Q721" t="n">
        <v>0</v>
      </c>
      <c r="R721" s="2" t="inlineStr"/>
    </row>
    <row r="722" ht="15" customHeight="1">
      <c r="A722" t="inlineStr">
        <is>
          <t>A 24415-2025</t>
        </is>
      </c>
      <c r="B722" s="1" t="n">
        <v>45797.67381944445</v>
      </c>
      <c r="C722" s="1" t="n">
        <v>45941</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24412-2025</t>
        </is>
      </c>
      <c r="B723" s="1" t="n">
        <v>45797.6671412037</v>
      </c>
      <c r="C723" s="1" t="n">
        <v>45941</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25049-2025</t>
        </is>
      </c>
      <c r="B724" s="1" t="n">
        <v>45799.66876157407</v>
      </c>
      <c r="C724" s="1" t="n">
        <v>45941</v>
      </c>
      <c r="D724" t="inlineStr">
        <is>
          <t>UPPSALA LÄN</t>
        </is>
      </c>
      <c r="E724" t="inlineStr">
        <is>
          <t>ÖSTHAMMAR</t>
        </is>
      </c>
      <c r="F724" t="inlineStr">
        <is>
          <t>Bergvik skog öst AB</t>
        </is>
      </c>
      <c r="G724" t="n">
        <v>3.8</v>
      </c>
      <c r="H724" t="n">
        <v>0</v>
      </c>
      <c r="I724" t="n">
        <v>0</v>
      </c>
      <c r="J724" t="n">
        <v>0</v>
      </c>
      <c r="K724" t="n">
        <v>0</v>
      </c>
      <c r="L724" t="n">
        <v>0</v>
      </c>
      <c r="M724" t="n">
        <v>0</v>
      </c>
      <c r="N724" t="n">
        <v>0</v>
      </c>
      <c r="O724" t="n">
        <v>0</v>
      </c>
      <c r="P724" t="n">
        <v>0</v>
      </c>
      <c r="Q724" t="n">
        <v>0</v>
      </c>
      <c r="R724" s="2" t="inlineStr"/>
    </row>
    <row r="725" ht="15" customHeight="1">
      <c r="A725" t="inlineStr">
        <is>
          <t>A 24944-2025</t>
        </is>
      </c>
      <c r="B725" s="1" t="n">
        <v>45799.56347222222</v>
      </c>
      <c r="C725" s="1" t="n">
        <v>45941</v>
      </c>
      <c r="D725" t="inlineStr">
        <is>
          <t>UPPSALA LÄN</t>
        </is>
      </c>
      <c r="E725" t="inlineStr">
        <is>
          <t>ÖSTHAMMAR</t>
        </is>
      </c>
      <c r="G725" t="n">
        <v>7.3</v>
      </c>
      <c r="H725" t="n">
        <v>0</v>
      </c>
      <c r="I725" t="n">
        <v>0</v>
      </c>
      <c r="J725" t="n">
        <v>0</v>
      </c>
      <c r="K725" t="n">
        <v>0</v>
      </c>
      <c r="L725" t="n">
        <v>0</v>
      </c>
      <c r="M725" t="n">
        <v>0</v>
      </c>
      <c r="N725" t="n">
        <v>0</v>
      </c>
      <c r="O725" t="n">
        <v>0</v>
      </c>
      <c r="P725" t="n">
        <v>0</v>
      </c>
      <c r="Q725" t="n">
        <v>0</v>
      </c>
      <c r="R725" s="2" t="inlineStr"/>
    </row>
    <row r="726" ht="15" customHeight="1">
      <c r="A726" t="inlineStr">
        <is>
          <t>A 16089-2025</t>
        </is>
      </c>
      <c r="B726" s="1" t="n">
        <v>45749.84232638889</v>
      </c>
      <c r="C726" s="1" t="n">
        <v>45941</v>
      </c>
      <c r="D726" t="inlineStr">
        <is>
          <t>UPPSALA LÄN</t>
        </is>
      </c>
      <c r="E726" t="inlineStr">
        <is>
          <t>ÖSTHAMMAR</t>
        </is>
      </c>
      <c r="F726" t="inlineStr">
        <is>
          <t>Bergvik skog öst AB</t>
        </is>
      </c>
      <c r="G726" t="n">
        <v>2.6</v>
      </c>
      <c r="H726" t="n">
        <v>0</v>
      </c>
      <c r="I726" t="n">
        <v>0</v>
      </c>
      <c r="J726" t="n">
        <v>0</v>
      </c>
      <c r="K726" t="n">
        <v>0</v>
      </c>
      <c r="L726" t="n">
        <v>0</v>
      </c>
      <c r="M726" t="n">
        <v>0</v>
      </c>
      <c r="N726" t="n">
        <v>0</v>
      </c>
      <c r="O726" t="n">
        <v>0</v>
      </c>
      <c r="P726" t="n">
        <v>0</v>
      </c>
      <c r="Q726" t="n">
        <v>0</v>
      </c>
      <c r="R726" s="2" t="inlineStr"/>
    </row>
    <row r="727" ht="15" customHeight="1">
      <c r="A727" t="inlineStr">
        <is>
          <t>A 34185-2024</t>
        </is>
      </c>
      <c r="B727" s="1" t="n">
        <v>45524</v>
      </c>
      <c r="C727" s="1" t="n">
        <v>45941</v>
      </c>
      <c r="D727" t="inlineStr">
        <is>
          <t>UPPSALA LÄN</t>
        </is>
      </c>
      <c r="E727" t="inlineStr">
        <is>
          <t>ÖSTHAMMAR</t>
        </is>
      </c>
      <c r="G727" t="n">
        <v>2.5</v>
      </c>
      <c r="H727" t="n">
        <v>0</v>
      </c>
      <c r="I727" t="n">
        <v>0</v>
      </c>
      <c r="J727" t="n">
        <v>0</v>
      </c>
      <c r="K727" t="n">
        <v>0</v>
      </c>
      <c r="L727" t="n">
        <v>0</v>
      </c>
      <c r="M727" t="n">
        <v>0</v>
      </c>
      <c r="N727" t="n">
        <v>0</v>
      </c>
      <c r="O727" t="n">
        <v>0</v>
      </c>
      <c r="P727" t="n">
        <v>0</v>
      </c>
      <c r="Q727" t="n">
        <v>0</v>
      </c>
      <c r="R727" s="2" t="inlineStr"/>
    </row>
    <row r="728" ht="15" customHeight="1">
      <c r="A728" t="inlineStr">
        <is>
          <t>A 14170-2025</t>
        </is>
      </c>
      <c r="B728" s="1" t="n">
        <v>45740.51895833333</v>
      </c>
      <c r="C728" s="1" t="n">
        <v>45941</v>
      </c>
      <c r="D728" t="inlineStr">
        <is>
          <t>UPPSALA LÄN</t>
        </is>
      </c>
      <c r="E728" t="inlineStr">
        <is>
          <t>ÖSTHAMMAR</t>
        </is>
      </c>
      <c r="G728" t="n">
        <v>1.2</v>
      </c>
      <c r="H728" t="n">
        <v>0</v>
      </c>
      <c r="I728" t="n">
        <v>0</v>
      </c>
      <c r="J728" t="n">
        <v>0</v>
      </c>
      <c r="K728" t="n">
        <v>0</v>
      </c>
      <c r="L728" t="n">
        <v>0</v>
      </c>
      <c r="M728" t="n">
        <v>0</v>
      </c>
      <c r="N728" t="n">
        <v>0</v>
      </c>
      <c r="O728" t="n">
        <v>0</v>
      </c>
      <c r="P728" t="n">
        <v>0</v>
      </c>
      <c r="Q728" t="n">
        <v>0</v>
      </c>
      <c r="R728" s="2" t="inlineStr"/>
    </row>
    <row r="729">
      <c r="A729" t="inlineStr">
        <is>
          <t>A 12945-2025</t>
        </is>
      </c>
      <c r="B729" s="1" t="n">
        <v>45734.38159722222</v>
      </c>
      <c r="C729" s="1" t="n">
        <v>45941</v>
      </c>
      <c r="D729" t="inlineStr">
        <is>
          <t>UPPSALA LÄN</t>
        </is>
      </c>
      <c r="E729" t="inlineStr">
        <is>
          <t>ÖSTHAMMAR</t>
        </is>
      </c>
      <c r="G729" t="n">
        <v>2.1</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2025-10-11T12:36:45Z</dcterms:created>
  <dcterms:modified xmlns:dcterms="http://purl.org/dc/terms/" xmlns:xsi="http://www.w3.org/2001/XMLSchema-instance" xsi:type="dcterms:W3CDTF">2025-10-11T12:36:46Z</dcterms:modified>
</cp:coreProperties>
</file>