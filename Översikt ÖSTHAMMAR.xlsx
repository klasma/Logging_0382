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45696</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45696</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45696</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45696</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45696</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45696</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45696</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45696</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45696</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45696</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45696</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45696</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45696</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45696</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45696</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45696</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45696</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45696</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45696</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45696</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45696</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45696</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45696</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45696</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45696</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45696</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45696</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45696</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45696</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45696</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45696</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45696</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45696</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45696</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45696</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45696</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45696</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45696</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45696</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45696</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45696</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45696</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45696</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45696</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45696</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45696</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45696</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45696</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45696</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45696</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45696</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45696</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45696</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45696</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45696</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45696</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45696</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45696</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45696</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45696</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45696</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45696</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45696</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45696</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45696</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45696</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45696</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45696</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45696</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45696</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45696</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45696</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45696</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45696</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45696</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45696</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45696</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45696</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45696</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45696</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45696</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45696</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45696</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45696</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45696</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45696</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45696</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45696</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45696</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45696</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45696</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45696</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45696</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45696</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45696</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45696</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45696</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45696</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45696</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45696</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45696</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45696</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45696</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45696</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45696</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45696</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45696</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45696</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45696</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45696</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45696</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45696</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45696</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45696</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45696</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45696</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45696</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45696</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45696</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45696</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45696</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45696</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45696</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45696</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45696</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45696</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45696</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45696</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45696</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45696</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45696</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45696</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45696</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45696</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45696</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45696</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45696</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45696</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45696</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45696</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45696</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45696</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45696</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45696</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45696</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45696</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45696</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45696</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45696</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45696</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45696</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45696</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18596-2019</t>
        </is>
      </c>
      <c r="B181" s="1" t="n">
        <v>43560</v>
      </c>
      <c r="C181" s="1" t="n">
        <v>45696</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18781-2019</t>
        </is>
      </c>
      <c r="B182" s="1" t="n">
        <v>43561</v>
      </c>
      <c r="C182" s="1" t="n">
        <v>45696</v>
      </c>
      <c r="D182" t="inlineStr">
        <is>
          <t>UPPSALA LÄN</t>
        </is>
      </c>
      <c r="E182" t="inlineStr">
        <is>
          <t>ÖSTHAMMAR</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18792-2019</t>
        </is>
      </c>
      <c r="B183" s="1" t="n">
        <v>43562</v>
      </c>
      <c r="C183" s="1" t="n">
        <v>45696</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18800-2019</t>
        </is>
      </c>
      <c r="B184" s="1" t="n">
        <v>43562</v>
      </c>
      <c r="C184" s="1" t="n">
        <v>45696</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20683-2019</t>
        </is>
      </c>
      <c r="B185" s="1" t="n">
        <v>43573</v>
      </c>
      <c r="C185" s="1" t="n">
        <v>45696</v>
      </c>
      <c r="D185" t="inlineStr">
        <is>
          <t>UPPSALA LÄN</t>
        </is>
      </c>
      <c r="E185" t="inlineStr">
        <is>
          <t>ÖSTHAMMAR</t>
        </is>
      </c>
      <c r="G185" t="n">
        <v>2.6</v>
      </c>
      <c r="H185" t="n">
        <v>0</v>
      </c>
      <c r="I185" t="n">
        <v>0</v>
      </c>
      <c r="J185" t="n">
        <v>0</v>
      </c>
      <c r="K185" t="n">
        <v>0</v>
      </c>
      <c r="L185" t="n">
        <v>0</v>
      </c>
      <c r="M185" t="n">
        <v>0</v>
      </c>
      <c r="N185" t="n">
        <v>0</v>
      </c>
      <c r="O185" t="n">
        <v>0</v>
      </c>
      <c r="P185" t="n">
        <v>0</v>
      </c>
      <c r="Q185" t="n">
        <v>0</v>
      </c>
      <c r="R185" s="2" t="inlineStr"/>
    </row>
    <row r="186" ht="15" customHeight="1">
      <c r="A186" t="inlineStr">
        <is>
          <t>A 21471-2019</t>
        </is>
      </c>
      <c r="B186" s="1" t="n">
        <v>43580</v>
      </c>
      <c r="C186" s="1" t="n">
        <v>45696</v>
      </c>
      <c r="D186" t="inlineStr">
        <is>
          <t>UPPSALA LÄN</t>
        </is>
      </c>
      <c r="E186" t="inlineStr">
        <is>
          <t>ÖSTHAMMAR</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22800-2019</t>
        </is>
      </c>
      <c r="B187" s="1" t="n">
        <v>43590</v>
      </c>
      <c r="C187" s="1" t="n">
        <v>45696</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c r="U187">
        <f>HYPERLINK("https://klasma.github.io/Logging_0382/knärot/A 22800-2019 karta knärot.png", "A 22800-2019")</f>
        <v/>
      </c>
      <c r="V187">
        <f>HYPERLINK("https://klasma.github.io/Logging_0382/klagomål/A 22800-2019 FSC-klagomål.docx", "A 22800-2019")</f>
        <v/>
      </c>
      <c r="W187">
        <f>HYPERLINK("https://klasma.github.io/Logging_0382/klagomålsmail/A 22800-2019 FSC-klagomål mail.docx", "A 22800-2019")</f>
        <v/>
      </c>
      <c r="X187">
        <f>HYPERLINK("https://klasma.github.io/Logging_0382/tillsyn/A 22800-2019 tillsynsbegäran.docx", "A 22800-2019")</f>
        <v/>
      </c>
      <c r="Y187">
        <f>HYPERLINK("https://klasma.github.io/Logging_0382/tillsynsmail/A 22800-2019 tillsynsbegäran mail.docx", "A 22800-2019")</f>
        <v/>
      </c>
    </row>
    <row r="188" ht="15" customHeight="1">
      <c r="A188" t="inlineStr">
        <is>
          <t>A 22801-2019</t>
        </is>
      </c>
      <c r="B188" s="1" t="n">
        <v>43590</v>
      </c>
      <c r="C188" s="1" t="n">
        <v>45696</v>
      </c>
      <c r="D188" t="inlineStr">
        <is>
          <t>UPPSALA LÄN</t>
        </is>
      </c>
      <c r="E188" t="inlineStr">
        <is>
          <t>ÖSTHAMMAR</t>
        </is>
      </c>
      <c r="G188" t="n">
        <v>2.2</v>
      </c>
      <c r="H188" t="n">
        <v>0</v>
      </c>
      <c r="I188" t="n">
        <v>0</v>
      </c>
      <c r="J188" t="n">
        <v>0</v>
      </c>
      <c r="K188" t="n">
        <v>0</v>
      </c>
      <c r="L188" t="n">
        <v>0</v>
      </c>
      <c r="M188" t="n">
        <v>0</v>
      </c>
      <c r="N188" t="n">
        <v>0</v>
      </c>
      <c r="O188" t="n">
        <v>0</v>
      </c>
      <c r="P188" t="n">
        <v>0</v>
      </c>
      <c r="Q188" t="n">
        <v>0</v>
      </c>
      <c r="R188" s="2" t="inlineStr"/>
    </row>
    <row r="189" ht="15" customHeight="1">
      <c r="A189" t="inlineStr">
        <is>
          <t>A 23008-2019</t>
        </is>
      </c>
      <c r="B189" s="1" t="n">
        <v>43591</v>
      </c>
      <c r="C189" s="1" t="n">
        <v>45696</v>
      </c>
      <c r="D189" t="inlineStr">
        <is>
          <t>UPPSALA LÄN</t>
        </is>
      </c>
      <c r="E189" t="inlineStr">
        <is>
          <t>ÖSTHAMMAR</t>
        </is>
      </c>
      <c r="G189" t="n">
        <v>4.5</v>
      </c>
      <c r="H189" t="n">
        <v>0</v>
      </c>
      <c r="I189" t="n">
        <v>0</v>
      </c>
      <c r="J189" t="n">
        <v>0</v>
      </c>
      <c r="K189" t="n">
        <v>0</v>
      </c>
      <c r="L189" t="n">
        <v>0</v>
      </c>
      <c r="M189" t="n">
        <v>0</v>
      </c>
      <c r="N189" t="n">
        <v>0</v>
      </c>
      <c r="O189" t="n">
        <v>0</v>
      </c>
      <c r="P189" t="n">
        <v>0</v>
      </c>
      <c r="Q189" t="n">
        <v>0</v>
      </c>
      <c r="R189" s="2" t="inlineStr"/>
    </row>
    <row r="190" ht="15" customHeight="1">
      <c r="A190" t="inlineStr">
        <is>
          <t>A 25874-2019</t>
        </is>
      </c>
      <c r="B190" s="1" t="n">
        <v>43605</v>
      </c>
      <c r="C190" s="1" t="n">
        <v>45696</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25703-2019</t>
        </is>
      </c>
      <c r="B191" s="1" t="n">
        <v>43607</v>
      </c>
      <c r="C191" s="1" t="n">
        <v>45696</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25708-2019</t>
        </is>
      </c>
      <c r="B192" s="1" t="n">
        <v>43607</v>
      </c>
      <c r="C192" s="1" t="n">
        <v>45696</v>
      </c>
      <c r="D192" t="inlineStr">
        <is>
          <t>UPPSALA LÄN</t>
        </is>
      </c>
      <c r="E192" t="inlineStr">
        <is>
          <t>ÖSTHAMMAR</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25706-2019</t>
        </is>
      </c>
      <c r="B193" s="1" t="n">
        <v>43607</v>
      </c>
      <c r="C193" s="1" t="n">
        <v>45696</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26562-2019</t>
        </is>
      </c>
      <c r="B194" s="1" t="n">
        <v>43612</v>
      </c>
      <c r="C194" s="1" t="n">
        <v>45696</v>
      </c>
      <c r="D194" t="inlineStr">
        <is>
          <t>UPPSALA LÄN</t>
        </is>
      </c>
      <c r="E194" t="inlineStr">
        <is>
          <t>ÖSTHAMMAR</t>
        </is>
      </c>
      <c r="G194" t="n">
        <v>3.2</v>
      </c>
      <c r="H194" t="n">
        <v>0</v>
      </c>
      <c r="I194" t="n">
        <v>0</v>
      </c>
      <c r="J194" t="n">
        <v>0</v>
      </c>
      <c r="K194" t="n">
        <v>0</v>
      </c>
      <c r="L194" t="n">
        <v>0</v>
      </c>
      <c r="M194" t="n">
        <v>0</v>
      </c>
      <c r="N194" t="n">
        <v>0</v>
      </c>
      <c r="O194" t="n">
        <v>0</v>
      </c>
      <c r="P194" t="n">
        <v>0</v>
      </c>
      <c r="Q194" t="n">
        <v>0</v>
      </c>
      <c r="R194" s="2" t="inlineStr"/>
    </row>
    <row r="195" ht="15" customHeight="1">
      <c r="A195" t="inlineStr">
        <is>
          <t>A 26724-2019</t>
        </is>
      </c>
      <c r="B195" s="1" t="n">
        <v>43613</v>
      </c>
      <c r="C195" s="1" t="n">
        <v>45696</v>
      </c>
      <c r="D195" t="inlineStr">
        <is>
          <t>UPPSALA LÄN</t>
        </is>
      </c>
      <c r="E195" t="inlineStr">
        <is>
          <t>ÖSTHAMMAR</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26796-2019</t>
        </is>
      </c>
      <c r="B196" s="1" t="n">
        <v>43613</v>
      </c>
      <c r="C196" s="1" t="n">
        <v>45696</v>
      </c>
      <c r="D196" t="inlineStr">
        <is>
          <t>UPPSALA LÄN</t>
        </is>
      </c>
      <c r="E196" t="inlineStr">
        <is>
          <t>ÖSTHAMMAR</t>
        </is>
      </c>
      <c r="F196" t="inlineStr">
        <is>
          <t>Bergvik skog öst AB</t>
        </is>
      </c>
      <c r="G196" t="n">
        <v>4.4</v>
      </c>
      <c r="H196" t="n">
        <v>0</v>
      </c>
      <c r="I196" t="n">
        <v>0</v>
      </c>
      <c r="J196" t="n">
        <v>0</v>
      </c>
      <c r="K196" t="n">
        <v>0</v>
      </c>
      <c r="L196" t="n">
        <v>0</v>
      </c>
      <c r="M196" t="n">
        <v>0</v>
      </c>
      <c r="N196" t="n">
        <v>0</v>
      </c>
      <c r="O196" t="n">
        <v>0</v>
      </c>
      <c r="P196" t="n">
        <v>0</v>
      </c>
      <c r="Q196" t="n">
        <v>0</v>
      </c>
      <c r="R196" s="2" t="inlineStr"/>
    </row>
    <row r="197" ht="15" customHeight="1">
      <c r="A197" t="inlineStr">
        <is>
          <t>A 27458-2019</t>
        </is>
      </c>
      <c r="B197" s="1" t="n">
        <v>43618</v>
      </c>
      <c r="C197" s="1" t="n">
        <v>45696</v>
      </c>
      <c r="D197" t="inlineStr">
        <is>
          <t>UPPSALA LÄN</t>
        </is>
      </c>
      <c r="E197" t="inlineStr">
        <is>
          <t>ÖSTHAMMAR</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29204-2019</t>
        </is>
      </c>
      <c r="B198" s="1" t="n">
        <v>43623</v>
      </c>
      <c r="C198" s="1" t="n">
        <v>45696</v>
      </c>
      <c r="D198" t="inlineStr">
        <is>
          <t>UPPSALA LÄN</t>
        </is>
      </c>
      <c r="E198" t="inlineStr">
        <is>
          <t>ÖSTHAMMAR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31106-2019</t>
        </is>
      </c>
      <c r="B199" s="1" t="n">
        <v>43635</v>
      </c>
      <c r="C199" s="1" t="n">
        <v>45696</v>
      </c>
      <c r="D199" t="inlineStr">
        <is>
          <t>UPPSALA LÄN</t>
        </is>
      </c>
      <c r="E199" t="inlineStr">
        <is>
          <t>ÖSTHAMMAR</t>
        </is>
      </c>
      <c r="F199" t="inlineStr">
        <is>
          <t>Övriga statliga verk och myndigheter</t>
        </is>
      </c>
      <c r="G199" t="n">
        <v>1.5</v>
      </c>
      <c r="H199" t="n">
        <v>0</v>
      </c>
      <c r="I199" t="n">
        <v>0</v>
      </c>
      <c r="J199" t="n">
        <v>0</v>
      </c>
      <c r="K199" t="n">
        <v>0</v>
      </c>
      <c r="L199" t="n">
        <v>0</v>
      </c>
      <c r="M199" t="n">
        <v>0</v>
      </c>
      <c r="N199" t="n">
        <v>0</v>
      </c>
      <c r="O199" t="n">
        <v>0</v>
      </c>
      <c r="P199" t="n">
        <v>0</v>
      </c>
      <c r="Q199" t="n">
        <v>0</v>
      </c>
      <c r="R199" s="2" t="inlineStr"/>
    </row>
    <row r="200" ht="15" customHeight="1">
      <c r="A200" t="inlineStr">
        <is>
          <t>A 31716-2019</t>
        </is>
      </c>
      <c r="B200" s="1" t="n">
        <v>43642</v>
      </c>
      <c r="C200" s="1" t="n">
        <v>45696</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31882-2019</t>
        </is>
      </c>
      <c r="B201" s="1" t="n">
        <v>43642</v>
      </c>
      <c r="C201" s="1" t="n">
        <v>45696</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32718-2019</t>
        </is>
      </c>
      <c r="B202" s="1" t="n">
        <v>43647</v>
      </c>
      <c r="C202" s="1" t="n">
        <v>45696</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33532-2019</t>
        </is>
      </c>
      <c r="B203" s="1" t="n">
        <v>43651</v>
      </c>
      <c r="C203" s="1" t="n">
        <v>45696</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33544-2019</t>
        </is>
      </c>
      <c r="B204" s="1" t="n">
        <v>43651</v>
      </c>
      <c r="C204" s="1" t="n">
        <v>45696</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33539-2019</t>
        </is>
      </c>
      <c r="B205" s="1" t="n">
        <v>43651</v>
      </c>
      <c r="C205" s="1" t="n">
        <v>45696</v>
      </c>
      <c r="D205" t="inlineStr">
        <is>
          <t>UPPSALA LÄN</t>
        </is>
      </c>
      <c r="E205" t="inlineStr">
        <is>
          <t>ÖSTHAMMAR</t>
        </is>
      </c>
      <c r="G205" t="n">
        <v>4.6</v>
      </c>
      <c r="H205" t="n">
        <v>0</v>
      </c>
      <c r="I205" t="n">
        <v>0</v>
      </c>
      <c r="J205" t="n">
        <v>0</v>
      </c>
      <c r="K205" t="n">
        <v>0</v>
      </c>
      <c r="L205" t="n">
        <v>0</v>
      </c>
      <c r="M205" t="n">
        <v>0</v>
      </c>
      <c r="N205" t="n">
        <v>0</v>
      </c>
      <c r="O205" t="n">
        <v>0</v>
      </c>
      <c r="P205" t="n">
        <v>0</v>
      </c>
      <c r="Q205" t="n">
        <v>0</v>
      </c>
      <c r="R205" s="2" t="inlineStr"/>
    </row>
    <row r="206" ht="15" customHeight="1">
      <c r="A206" t="inlineStr">
        <is>
          <t>A 33551-2019</t>
        </is>
      </c>
      <c r="B206" s="1" t="n">
        <v>43651</v>
      </c>
      <c r="C206" s="1" t="n">
        <v>45696</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33784-2019</t>
        </is>
      </c>
      <c r="B207" s="1" t="n">
        <v>43651</v>
      </c>
      <c r="C207" s="1" t="n">
        <v>45696</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39582-2019</t>
        </is>
      </c>
      <c r="B208" s="1" t="n">
        <v>43686</v>
      </c>
      <c r="C208" s="1" t="n">
        <v>45696</v>
      </c>
      <c r="D208" t="inlineStr">
        <is>
          <t>UPPSALA LÄN</t>
        </is>
      </c>
      <c r="E208" t="inlineStr">
        <is>
          <t>ÖSTHAMMAR</t>
        </is>
      </c>
      <c r="G208" t="n">
        <v>12.2</v>
      </c>
      <c r="H208" t="n">
        <v>0</v>
      </c>
      <c r="I208" t="n">
        <v>0</v>
      </c>
      <c r="J208" t="n">
        <v>0</v>
      </c>
      <c r="K208" t="n">
        <v>0</v>
      </c>
      <c r="L208" t="n">
        <v>0</v>
      </c>
      <c r="M208" t="n">
        <v>0</v>
      </c>
      <c r="N208" t="n">
        <v>0</v>
      </c>
      <c r="O208" t="n">
        <v>0</v>
      </c>
      <c r="P208" t="n">
        <v>0</v>
      </c>
      <c r="Q208" t="n">
        <v>0</v>
      </c>
      <c r="R208" s="2" t="inlineStr"/>
    </row>
    <row r="209" ht="15" customHeight="1">
      <c r="A209" t="inlineStr">
        <is>
          <t>A 39910-2019</t>
        </is>
      </c>
      <c r="B209" s="1" t="n">
        <v>43692</v>
      </c>
      <c r="C209" s="1" t="n">
        <v>45696</v>
      </c>
      <c r="D209" t="inlineStr">
        <is>
          <t>UPPSALA LÄN</t>
        </is>
      </c>
      <c r="E209" t="inlineStr">
        <is>
          <t>ÖSTHAMMAR</t>
        </is>
      </c>
      <c r="G209" t="n">
        <v>3.9</v>
      </c>
      <c r="H209" t="n">
        <v>0</v>
      </c>
      <c r="I209" t="n">
        <v>0</v>
      </c>
      <c r="J209" t="n">
        <v>0</v>
      </c>
      <c r="K209" t="n">
        <v>0</v>
      </c>
      <c r="L209" t="n">
        <v>0</v>
      </c>
      <c r="M209" t="n">
        <v>0</v>
      </c>
      <c r="N209" t="n">
        <v>0</v>
      </c>
      <c r="O209" t="n">
        <v>0</v>
      </c>
      <c r="P209" t="n">
        <v>0</v>
      </c>
      <c r="Q209" t="n">
        <v>0</v>
      </c>
      <c r="R209" s="2" t="inlineStr"/>
    </row>
    <row r="210" ht="15" customHeight="1">
      <c r="A210" t="inlineStr">
        <is>
          <t>A 41697-2019</t>
        </is>
      </c>
      <c r="B210" s="1" t="n">
        <v>43699</v>
      </c>
      <c r="C210" s="1" t="n">
        <v>45696</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41539-2019</t>
        </is>
      </c>
      <c r="B211" s="1" t="n">
        <v>43699</v>
      </c>
      <c r="C211" s="1" t="n">
        <v>45696</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43426-2019</t>
        </is>
      </c>
      <c r="B212" s="1" t="n">
        <v>43706</v>
      </c>
      <c r="C212" s="1" t="n">
        <v>45696</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45140-2019</t>
        </is>
      </c>
      <c r="B213" s="1" t="n">
        <v>43713</v>
      </c>
      <c r="C213" s="1" t="n">
        <v>45696</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45681-2019</t>
        </is>
      </c>
      <c r="B214" s="1" t="n">
        <v>43717</v>
      </c>
      <c r="C214" s="1" t="n">
        <v>45696</v>
      </c>
      <c r="D214" t="inlineStr">
        <is>
          <t>UPPSALA LÄN</t>
        </is>
      </c>
      <c r="E214" t="inlineStr">
        <is>
          <t>ÖSTHAMMAR</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47440-2019</t>
        </is>
      </c>
      <c r="B215" s="1" t="n">
        <v>43723</v>
      </c>
      <c r="C215" s="1" t="n">
        <v>45696</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47436-2019</t>
        </is>
      </c>
      <c r="B216" s="1" t="n">
        <v>43723</v>
      </c>
      <c r="C216" s="1" t="n">
        <v>45696</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51025-2019</t>
        </is>
      </c>
      <c r="B217" s="1" t="n">
        <v>43739</v>
      </c>
      <c r="C217" s="1" t="n">
        <v>45696</v>
      </c>
      <c r="D217" t="inlineStr">
        <is>
          <t>UPPSALA LÄN</t>
        </is>
      </c>
      <c r="E217" t="inlineStr">
        <is>
          <t>ÖSTHAMMAR</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53442-2019</t>
        </is>
      </c>
      <c r="B218" s="1" t="n">
        <v>43748</v>
      </c>
      <c r="C218" s="1" t="n">
        <v>45696</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55382-2019</t>
        </is>
      </c>
      <c r="B219" s="1" t="n">
        <v>43755</v>
      </c>
      <c r="C219" s="1" t="n">
        <v>45696</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57686-2019</t>
        </is>
      </c>
      <c r="B220" s="1" t="n">
        <v>43761</v>
      </c>
      <c r="C220" s="1" t="n">
        <v>45696</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57304-2019</t>
        </is>
      </c>
      <c r="B221" s="1" t="n">
        <v>43767</v>
      </c>
      <c r="C221" s="1" t="n">
        <v>45696</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58665-2019</t>
        </is>
      </c>
      <c r="B222" s="1" t="n">
        <v>43773</v>
      </c>
      <c r="C222" s="1" t="n">
        <v>45696</v>
      </c>
      <c r="D222" t="inlineStr">
        <is>
          <t>UPPSALA LÄN</t>
        </is>
      </c>
      <c r="E222" t="inlineStr">
        <is>
          <t>ÖSTHAMMAR</t>
        </is>
      </c>
      <c r="G222" t="n">
        <v>2</v>
      </c>
      <c r="H222" t="n">
        <v>0</v>
      </c>
      <c r="I222" t="n">
        <v>0</v>
      </c>
      <c r="J222" t="n">
        <v>0</v>
      </c>
      <c r="K222" t="n">
        <v>0</v>
      </c>
      <c r="L222" t="n">
        <v>0</v>
      </c>
      <c r="M222" t="n">
        <v>0</v>
      </c>
      <c r="N222" t="n">
        <v>0</v>
      </c>
      <c r="O222" t="n">
        <v>0</v>
      </c>
      <c r="P222" t="n">
        <v>0</v>
      </c>
      <c r="Q222" t="n">
        <v>0</v>
      </c>
      <c r="R222" s="2" t="inlineStr"/>
    </row>
    <row r="223" ht="15" customHeight="1">
      <c r="A223" t="inlineStr">
        <is>
          <t>A 60977-2019</t>
        </is>
      </c>
      <c r="B223" s="1" t="n">
        <v>43782</v>
      </c>
      <c r="C223" s="1" t="n">
        <v>45696</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61866-2019</t>
        </is>
      </c>
      <c r="B224" s="1" t="n">
        <v>43787</v>
      </c>
      <c r="C224" s="1" t="n">
        <v>45696</v>
      </c>
      <c r="D224" t="inlineStr">
        <is>
          <t>UPPSALA LÄN</t>
        </is>
      </c>
      <c r="E224" t="inlineStr">
        <is>
          <t>ÖSTHAMMAR</t>
        </is>
      </c>
      <c r="F224" t="inlineStr">
        <is>
          <t>Bergvik skog öst AB</t>
        </is>
      </c>
      <c r="G224" t="n">
        <v>6.6</v>
      </c>
      <c r="H224" t="n">
        <v>0</v>
      </c>
      <c r="I224" t="n">
        <v>0</v>
      </c>
      <c r="J224" t="n">
        <v>0</v>
      </c>
      <c r="K224" t="n">
        <v>0</v>
      </c>
      <c r="L224" t="n">
        <v>0</v>
      </c>
      <c r="M224" t="n">
        <v>0</v>
      </c>
      <c r="N224" t="n">
        <v>0</v>
      </c>
      <c r="O224" t="n">
        <v>0</v>
      </c>
      <c r="P224" t="n">
        <v>0</v>
      </c>
      <c r="Q224" t="n">
        <v>0</v>
      </c>
      <c r="R224" s="2" t="inlineStr"/>
    </row>
    <row r="225" ht="15" customHeight="1">
      <c r="A225" t="inlineStr">
        <is>
          <t>A 62808-2019</t>
        </is>
      </c>
      <c r="B225" s="1" t="n">
        <v>43790</v>
      </c>
      <c r="C225" s="1" t="n">
        <v>45696</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63564-2019</t>
        </is>
      </c>
      <c r="B226" s="1" t="n">
        <v>43795</v>
      </c>
      <c r="C226" s="1" t="n">
        <v>45696</v>
      </c>
      <c r="D226" t="inlineStr">
        <is>
          <t>UPPSALA LÄN</t>
        </is>
      </c>
      <c r="E226" t="inlineStr">
        <is>
          <t>ÖSTHAMMAR</t>
        </is>
      </c>
      <c r="F226" t="inlineStr">
        <is>
          <t>Övriga Aktiebolag</t>
        </is>
      </c>
      <c r="G226" t="n">
        <v>4.7</v>
      </c>
      <c r="H226" t="n">
        <v>0</v>
      </c>
      <c r="I226" t="n">
        <v>0</v>
      </c>
      <c r="J226" t="n">
        <v>0</v>
      </c>
      <c r="K226" t="n">
        <v>0</v>
      </c>
      <c r="L226" t="n">
        <v>0</v>
      </c>
      <c r="M226" t="n">
        <v>0</v>
      </c>
      <c r="N226" t="n">
        <v>0</v>
      </c>
      <c r="O226" t="n">
        <v>0</v>
      </c>
      <c r="P226" t="n">
        <v>0</v>
      </c>
      <c r="Q226" t="n">
        <v>0</v>
      </c>
      <c r="R226" s="2" t="inlineStr"/>
    </row>
    <row r="227" ht="15" customHeight="1">
      <c r="A227" t="inlineStr">
        <is>
          <t>A 64344-2019</t>
        </is>
      </c>
      <c r="B227" s="1" t="n">
        <v>43797</v>
      </c>
      <c r="C227" s="1" t="n">
        <v>45696</v>
      </c>
      <c r="D227" t="inlineStr">
        <is>
          <t>UPPSALA LÄN</t>
        </is>
      </c>
      <c r="E227" t="inlineStr">
        <is>
          <t>ÖSTHAMMAR</t>
        </is>
      </c>
      <c r="G227" t="n">
        <v>3.1</v>
      </c>
      <c r="H227" t="n">
        <v>0</v>
      </c>
      <c r="I227" t="n">
        <v>0</v>
      </c>
      <c r="J227" t="n">
        <v>0</v>
      </c>
      <c r="K227" t="n">
        <v>0</v>
      </c>
      <c r="L227" t="n">
        <v>0</v>
      </c>
      <c r="M227" t="n">
        <v>0</v>
      </c>
      <c r="N227" t="n">
        <v>0</v>
      </c>
      <c r="O227" t="n">
        <v>0</v>
      </c>
      <c r="P227" t="n">
        <v>0</v>
      </c>
      <c r="Q227" t="n">
        <v>0</v>
      </c>
      <c r="R227" s="2" t="inlineStr"/>
    </row>
    <row r="228" ht="15" customHeight="1">
      <c r="A228" t="inlineStr">
        <is>
          <t>A 65107-2019</t>
        </is>
      </c>
      <c r="B228" s="1" t="n">
        <v>43802</v>
      </c>
      <c r="C228" s="1" t="n">
        <v>45696</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67647-2019</t>
        </is>
      </c>
      <c r="B229" s="1" t="n">
        <v>43808</v>
      </c>
      <c r="C229" s="1" t="n">
        <v>45696</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66802-2019</t>
        </is>
      </c>
      <c r="B230" s="1" t="n">
        <v>43810</v>
      </c>
      <c r="C230" s="1" t="n">
        <v>45696</v>
      </c>
      <c r="D230" t="inlineStr">
        <is>
          <t>UPPSALA LÄN</t>
        </is>
      </c>
      <c r="E230" t="inlineStr">
        <is>
          <t>ÖSTHAMMAR</t>
        </is>
      </c>
      <c r="F230" t="inlineStr">
        <is>
          <t>Bergvik skog öst AB</t>
        </is>
      </c>
      <c r="G230" t="n">
        <v>34.8</v>
      </c>
      <c r="H230" t="n">
        <v>0</v>
      </c>
      <c r="I230" t="n">
        <v>0</v>
      </c>
      <c r="J230" t="n">
        <v>0</v>
      </c>
      <c r="K230" t="n">
        <v>0</v>
      </c>
      <c r="L230" t="n">
        <v>0</v>
      </c>
      <c r="M230" t="n">
        <v>0</v>
      </c>
      <c r="N230" t="n">
        <v>0</v>
      </c>
      <c r="O230" t="n">
        <v>0</v>
      </c>
      <c r="P230" t="n">
        <v>0</v>
      </c>
      <c r="Q230" t="n">
        <v>0</v>
      </c>
      <c r="R230" s="2" t="inlineStr"/>
    </row>
    <row r="231" ht="15" customHeight="1">
      <c r="A231" t="inlineStr">
        <is>
          <t>A 67254-2019</t>
        </is>
      </c>
      <c r="B231" s="1" t="n">
        <v>43812</v>
      </c>
      <c r="C231" s="1" t="n">
        <v>45696</v>
      </c>
      <c r="D231" t="inlineStr">
        <is>
          <t>UPPSALA LÄN</t>
        </is>
      </c>
      <c r="E231" t="inlineStr">
        <is>
          <t>ÖSTHAMMAR</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618-2020</t>
        </is>
      </c>
      <c r="B232" s="1" t="n">
        <v>43817</v>
      </c>
      <c r="C232" s="1" t="n">
        <v>45696</v>
      </c>
      <c r="D232" t="inlineStr">
        <is>
          <t>UPPSALA LÄN</t>
        </is>
      </c>
      <c r="E232" t="inlineStr">
        <is>
          <t>ÖSTHAMMAR</t>
        </is>
      </c>
      <c r="G232" t="n">
        <v>3.2</v>
      </c>
      <c r="H232" t="n">
        <v>0</v>
      </c>
      <c r="I232" t="n">
        <v>0</v>
      </c>
      <c r="J232" t="n">
        <v>0</v>
      </c>
      <c r="K232" t="n">
        <v>0</v>
      </c>
      <c r="L232" t="n">
        <v>0</v>
      </c>
      <c r="M232" t="n">
        <v>0</v>
      </c>
      <c r="N232" t="n">
        <v>0</v>
      </c>
      <c r="O232" t="n">
        <v>0</v>
      </c>
      <c r="P232" t="n">
        <v>0</v>
      </c>
      <c r="Q232" t="n">
        <v>0</v>
      </c>
      <c r="R232" s="2" t="inlineStr"/>
    </row>
    <row r="233" ht="15" customHeight="1">
      <c r="A233" t="inlineStr">
        <is>
          <t>A 68870-2019</t>
        </is>
      </c>
      <c r="B233" s="1" t="n">
        <v>43821</v>
      </c>
      <c r="C233" s="1" t="n">
        <v>45696</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68871-2019</t>
        </is>
      </c>
      <c r="B234" s="1" t="n">
        <v>43821</v>
      </c>
      <c r="C234" s="1" t="n">
        <v>45696</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68868-2019</t>
        </is>
      </c>
      <c r="B235" s="1" t="n">
        <v>43821</v>
      </c>
      <c r="C235" s="1" t="n">
        <v>45696</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685-2020</t>
        </is>
      </c>
      <c r="B236" s="1" t="n">
        <v>43838</v>
      </c>
      <c r="C236" s="1" t="n">
        <v>45696</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1685-2020</t>
        </is>
      </c>
      <c r="B237" s="1" t="n">
        <v>43844</v>
      </c>
      <c r="C237" s="1" t="n">
        <v>45696</v>
      </c>
      <c r="D237" t="inlineStr">
        <is>
          <t>UPPSALA LÄN</t>
        </is>
      </c>
      <c r="E237" t="inlineStr">
        <is>
          <t>ÖSTHAMMAR</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1681-2020</t>
        </is>
      </c>
      <c r="B238" s="1" t="n">
        <v>43844</v>
      </c>
      <c r="C238" s="1" t="n">
        <v>45696</v>
      </c>
      <c r="D238" t="inlineStr">
        <is>
          <t>UPPSALA LÄN</t>
        </is>
      </c>
      <c r="E238" t="inlineStr">
        <is>
          <t>ÖSTHAMMAR</t>
        </is>
      </c>
      <c r="F238" t="inlineStr">
        <is>
          <t>Övriga Aktiebolag</t>
        </is>
      </c>
      <c r="G238" t="n">
        <v>1.6</v>
      </c>
      <c r="H238" t="n">
        <v>0</v>
      </c>
      <c r="I238" t="n">
        <v>0</v>
      </c>
      <c r="J238" t="n">
        <v>0</v>
      </c>
      <c r="K238" t="n">
        <v>0</v>
      </c>
      <c r="L238" t="n">
        <v>0</v>
      </c>
      <c r="M238" t="n">
        <v>0</v>
      </c>
      <c r="N238" t="n">
        <v>0</v>
      </c>
      <c r="O238" t="n">
        <v>0</v>
      </c>
      <c r="P238" t="n">
        <v>0</v>
      </c>
      <c r="Q238" t="n">
        <v>0</v>
      </c>
      <c r="R238" s="2" t="inlineStr"/>
    </row>
    <row r="239" ht="15" customHeight="1">
      <c r="A239" t="inlineStr">
        <is>
          <t>A 4473-2020</t>
        </is>
      </c>
      <c r="B239" s="1" t="n">
        <v>43850</v>
      </c>
      <c r="C239" s="1" t="n">
        <v>45696</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3334-2020</t>
        </is>
      </c>
      <c r="B240" s="1" t="n">
        <v>43852</v>
      </c>
      <c r="C240" s="1" t="n">
        <v>45696</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3984-2020</t>
        </is>
      </c>
      <c r="B241" s="1" t="n">
        <v>43855</v>
      </c>
      <c r="C241" s="1" t="n">
        <v>45696</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6052-2020</t>
        </is>
      </c>
      <c r="B242" s="1" t="n">
        <v>43864</v>
      </c>
      <c r="C242" s="1" t="n">
        <v>45696</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6026-2020</t>
        </is>
      </c>
      <c r="B243" s="1" t="n">
        <v>43865</v>
      </c>
      <c r="C243" s="1" t="n">
        <v>45696</v>
      </c>
      <c r="D243" t="inlineStr">
        <is>
          <t>UPPSALA LÄN</t>
        </is>
      </c>
      <c r="E243" t="inlineStr">
        <is>
          <t>ÖSTHAMMAR</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6791-2020</t>
        </is>
      </c>
      <c r="B244" s="1" t="n">
        <v>43867</v>
      </c>
      <c r="C244" s="1" t="n">
        <v>45696</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7847-2020</t>
        </is>
      </c>
      <c r="B245" s="1" t="n">
        <v>43873</v>
      </c>
      <c r="C245" s="1" t="n">
        <v>45696</v>
      </c>
      <c r="D245" t="inlineStr">
        <is>
          <t>UPPSALA LÄN</t>
        </is>
      </c>
      <c r="E245" t="inlineStr">
        <is>
          <t>ÖSTHAMMAR</t>
        </is>
      </c>
      <c r="F245" t="inlineStr">
        <is>
          <t>Övriga Aktiebolag</t>
        </is>
      </c>
      <c r="G245" t="n">
        <v>15.3</v>
      </c>
      <c r="H245" t="n">
        <v>0</v>
      </c>
      <c r="I245" t="n">
        <v>0</v>
      </c>
      <c r="J245" t="n">
        <v>0</v>
      </c>
      <c r="K245" t="n">
        <v>0</v>
      </c>
      <c r="L245" t="n">
        <v>0</v>
      </c>
      <c r="M245" t="n">
        <v>0</v>
      </c>
      <c r="N245" t="n">
        <v>0</v>
      </c>
      <c r="O245" t="n">
        <v>0</v>
      </c>
      <c r="P245" t="n">
        <v>0</v>
      </c>
      <c r="Q245" t="n">
        <v>0</v>
      </c>
      <c r="R245" s="2" t="inlineStr"/>
    </row>
    <row r="246" ht="15" customHeight="1">
      <c r="A246" t="inlineStr">
        <is>
          <t>A 10008-2020</t>
        </is>
      </c>
      <c r="B246" s="1" t="n">
        <v>43882</v>
      </c>
      <c r="C246" s="1" t="n">
        <v>45696</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10345-2020</t>
        </is>
      </c>
      <c r="B247" s="1" t="n">
        <v>43885</v>
      </c>
      <c r="C247" s="1" t="n">
        <v>45696</v>
      </c>
      <c r="D247" t="inlineStr">
        <is>
          <t>UPPSALA LÄN</t>
        </is>
      </c>
      <c r="E247" t="inlineStr">
        <is>
          <t>ÖSTHAMMAR</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10347-2020</t>
        </is>
      </c>
      <c r="B248" s="1" t="n">
        <v>43885</v>
      </c>
      <c r="C248" s="1" t="n">
        <v>45696</v>
      </c>
      <c r="D248" t="inlineStr">
        <is>
          <t>UPPSALA LÄN</t>
        </is>
      </c>
      <c r="E248" t="inlineStr">
        <is>
          <t>ÖSTHAMMAR</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12080-2020</t>
        </is>
      </c>
      <c r="B249" s="1" t="n">
        <v>43895</v>
      </c>
      <c r="C249" s="1" t="n">
        <v>45696</v>
      </c>
      <c r="D249" t="inlineStr">
        <is>
          <t>UPPSALA LÄN</t>
        </is>
      </c>
      <c r="E249" t="inlineStr">
        <is>
          <t>ÖSTHAMMAR</t>
        </is>
      </c>
      <c r="F249" t="inlineStr">
        <is>
          <t>Övriga Aktiebolag</t>
        </is>
      </c>
      <c r="G249" t="n">
        <v>13.9</v>
      </c>
      <c r="H249" t="n">
        <v>0</v>
      </c>
      <c r="I249" t="n">
        <v>0</v>
      </c>
      <c r="J249" t="n">
        <v>0</v>
      </c>
      <c r="K249" t="n">
        <v>0</v>
      </c>
      <c r="L249" t="n">
        <v>0</v>
      </c>
      <c r="M249" t="n">
        <v>0</v>
      </c>
      <c r="N249" t="n">
        <v>0</v>
      </c>
      <c r="O249" t="n">
        <v>0</v>
      </c>
      <c r="P249" t="n">
        <v>0</v>
      </c>
      <c r="Q249" t="n">
        <v>0</v>
      </c>
      <c r="R249" s="2" t="inlineStr"/>
    </row>
    <row r="250" ht="15" customHeight="1">
      <c r="A250" t="inlineStr">
        <is>
          <t>A 13112-2020</t>
        </is>
      </c>
      <c r="B250" s="1" t="n">
        <v>43901</v>
      </c>
      <c r="C250" s="1" t="n">
        <v>45696</v>
      </c>
      <c r="D250" t="inlineStr">
        <is>
          <t>UPPSALA LÄN</t>
        </is>
      </c>
      <c r="E250" t="inlineStr">
        <is>
          <t>ÖSTHAMMAR</t>
        </is>
      </c>
      <c r="F250" t="inlineStr">
        <is>
          <t>Övriga Aktiebolag</t>
        </is>
      </c>
      <c r="G250" t="n">
        <v>6.5</v>
      </c>
      <c r="H250" t="n">
        <v>0</v>
      </c>
      <c r="I250" t="n">
        <v>0</v>
      </c>
      <c r="J250" t="n">
        <v>0</v>
      </c>
      <c r="K250" t="n">
        <v>0</v>
      </c>
      <c r="L250" t="n">
        <v>0</v>
      </c>
      <c r="M250" t="n">
        <v>0</v>
      </c>
      <c r="N250" t="n">
        <v>0</v>
      </c>
      <c r="O250" t="n">
        <v>0</v>
      </c>
      <c r="P250" t="n">
        <v>0</v>
      </c>
      <c r="Q250" t="n">
        <v>0</v>
      </c>
      <c r="R250" s="2" t="inlineStr"/>
    </row>
    <row r="251" ht="15" customHeight="1">
      <c r="A251" t="inlineStr">
        <is>
          <t>A 13310-2020</t>
        </is>
      </c>
      <c r="B251" s="1" t="n">
        <v>43902</v>
      </c>
      <c r="C251" s="1" t="n">
        <v>45696</v>
      </c>
      <c r="D251" t="inlineStr">
        <is>
          <t>UPPSALA LÄN</t>
        </is>
      </c>
      <c r="E251" t="inlineStr">
        <is>
          <t>ÖSTHAMMAR</t>
        </is>
      </c>
      <c r="F251" t="inlineStr">
        <is>
          <t>Bergvik skog öst AB</t>
        </is>
      </c>
      <c r="G251" t="n">
        <v>14.4</v>
      </c>
      <c r="H251" t="n">
        <v>0</v>
      </c>
      <c r="I251" t="n">
        <v>0</v>
      </c>
      <c r="J251" t="n">
        <v>0</v>
      </c>
      <c r="K251" t="n">
        <v>0</v>
      </c>
      <c r="L251" t="n">
        <v>0</v>
      </c>
      <c r="M251" t="n">
        <v>0</v>
      </c>
      <c r="N251" t="n">
        <v>0</v>
      </c>
      <c r="O251" t="n">
        <v>0</v>
      </c>
      <c r="P251" t="n">
        <v>0</v>
      </c>
      <c r="Q251" t="n">
        <v>0</v>
      </c>
      <c r="R251" s="2" t="inlineStr"/>
    </row>
    <row r="252" ht="15" customHeight="1">
      <c r="A252" t="inlineStr">
        <is>
          <t>A 13595-2020</t>
        </is>
      </c>
      <c r="B252" s="1" t="n">
        <v>43903</v>
      </c>
      <c r="C252" s="1" t="n">
        <v>45696</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13945-2020</t>
        </is>
      </c>
      <c r="B253" s="1" t="n">
        <v>43906</v>
      </c>
      <c r="C253" s="1" t="n">
        <v>45696</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14802-2020</t>
        </is>
      </c>
      <c r="B254" s="1" t="n">
        <v>43909</v>
      </c>
      <c r="C254" s="1" t="n">
        <v>45696</v>
      </c>
      <c r="D254" t="inlineStr">
        <is>
          <t>UPPSALA LÄN</t>
        </is>
      </c>
      <c r="E254" t="inlineStr">
        <is>
          <t>ÖSTHAMMAR</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14817-2020</t>
        </is>
      </c>
      <c r="B255" s="1" t="n">
        <v>43909</v>
      </c>
      <c r="C255" s="1" t="n">
        <v>45696</v>
      </c>
      <c r="D255" t="inlineStr">
        <is>
          <t>UPPSALA LÄN</t>
        </is>
      </c>
      <c r="E255" t="inlineStr">
        <is>
          <t>ÖSTHAMMAR</t>
        </is>
      </c>
      <c r="F255" t="inlineStr">
        <is>
          <t>Bergvik skog öst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15067-2020</t>
        </is>
      </c>
      <c r="B256" s="1" t="n">
        <v>43910</v>
      </c>
      <c r="C256" s="1" t="n">
        <v>45696</v>
      </c>
      <c r="D256" t="inlineStr">
        <is>
          <t>UPPSALA LÄN</t>
        </is>
      </c>
      <c r="E256" t="inlineStr">
        <is>
          <t>ÖSTHAMMAR</t>
        </is>
      </c>
      <c r="F256" t="inlineStr">
        <is>
          <t>Bergvik skog öst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17549-2020</t>
        </is>
      </c>
      <c r="B257" s="1" t="n">
        <v>43920</v>
      </c>
      <c r="C257" s="1" t="n">
        <v>45696</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19556-2020</t>
        </is>
      </c>
      <c r="B258" s="1" t="n">
        <v>43936</v>
      </c>
      <c r="C258" s="1" t="n">
        <v>45696</v>
      </c>
      <c r="D258" t="inlineStr">
        <is>
          <t>UPPSALA LÄN</t>
        </is>
      </c>
      <c r="E258" t="inlineStr">
        <is>
          <t>ÖSTHAMMAR</t>
        </is>
      </c>
      <c r="G258" t="n">
        <v>6.3</v>
      </c>
      <c r="H258" t="n">
        <v>0</v>
      </c>
      <c r="I258" t="n">
        <v>0</v>
      </c>
      <c r="J258" t="n">
        <v>0</v>
      </c>
      <c r="K258" t="n">
        <v>0</v>
      </c>
      <c r="L258" t="n">
        <v>0</v>
      </c>
      <c r="M258" t="n">
        <v>0</v>
      </c>
      <c r="N258" t="n">
        <v>0</v>
      </c>
      <c r="O258" t="n">
        <v>0</v>
      </c>
      <c r="P258" t="n">
        <v>0</v>
      </c>
      <c r="Q258" t="n">
        <v>0</v>
      </c>
      <c r="R258" s="2" t="inlineStr"/>
    </row>
    <row r="259" ht="15" customHeight="1">
      <c r="A259" t="inlineStr">
        <is>
          <t>A 23621-2020</t>
        </is>
      </c>
      <c r="B259" s="1" t="n">
        <v>43969</v>
      </c>
      <c r="C259" s="1" t="n">
        <v>45696</v>
      </c>
      <c r="D259" t="inlineStr">
        <is>
          <t>UPPSALA LÄN</t>
        </is>
      </c>
      <c r="E259" t="inlineStr">
        <is>
          <t>ÖSTHAMMAR</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26198-2020</t>
        </is>
      </c>
      <c r="B260" s="1" t="n">
        <v>43986</v>
      </c>
      <c r="C260" s="1" t="n">
        <v>45696</v>
      </c>
      <c r="D260" t="inlineStr">
        <is>
          <t>UPPSALA LÄN</t>
        </is>
      </c>
      <c r="E260" t="inlineStr">
        <is>
          <t>ÖSTHAMMAR</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30338-2020</t>
        </is>
      </c>
      <c r="B261" s="1" t="n">
        <v>44007</v>
      </c>
      <c r="C261" s="1" t="n">
        <v>45696</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30419-2020</t>
        </is>
      </c>
      <c r="B262" s="1" t="n">
        <v>44007</v>
      </c>
      <c r="C262" s="1" t="n">
        <v>45696</v>
      </c>
      <c r="D262" t="inlineStr">
        <is>
          <t>UPPSALA LÄN</t>
        </is>
      </c>
      <c r="E262" t="inlineStr">
        <is>
          <t>ÖSTHAMMAR</t>
        </is>
      </c>
      <c r="G262" t="n">
        <v>5.6</v>
      </c>
      <c r="H262" t="n">
        <v>0</v>
      </c>
      <c r="I262" t="n">
        <v>0</v>
      </c>
      <c r="J262" t="n">
        <v>0</v>
      </c>
      <c r="K262" t="n">
        <v>0</v>
      </c>
      <c r="L262" t="n">
        <v>0</v>
      </c>
      <c r="M262" t="n">
        <v>0</v>
      </c>
      <c r="N262" t="n">
        <v>0</v>
      </c>
      <c r="O262" t="n">
        <v>0</v>
      </c>
      <c r="P262" t="n">
        <v>0</v>
      </c>
      <c r="Q262" t="n">
        <v>0</v>
      </c>
      <c r="R262" s="2" t="inlineStr"/>
    </row>
    <row r="263" ht="15" customHeight="1">
      <c r="A263" t="inlineStr">
        <is>
          <t>A 32192-2020</t>
        </is>
      </c>
      <c r="B263" s="1" t="n">
        <v>44015</v>
      </c>
      <c r="C263" s="1" t="n">
        <v>45696</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33098-2020</t>
        </is>
      </c>
      <c r="B264" s="1" t="n">
        <v>44021</v>
      </c>
      <c r="C264" s="1" t="n">
        <v>45696</v>
      </c>
      <c r="D264" t="inlineStr">
        <is>
          <t>UPPSALA LÄN</t>
        </is>
      </c>
      <c r="E264" t="inlineStr">
        <is>
          <t>ÖSTHAMMAR</t>
        </is>
      </c>
      <c r="G264" t="n">
        <v>3.8</v>
      </c>
      <c r="H264" t="n">
        <v>0</v>
      </c>
      <c r="I264" t="n">
        <v>0</v>
      </c>
      <c r="J264" t="n">
        <v>0</v>
      </c>
      <c r="K264" t="n">
        <v>0</v>
      </c>
      <c r="L264" t="n">
        <v>0</v>
      </c>
      <c r="M264" t="n">
        <v>0</v>
      </c>
      <c r="N264" t="n">
        <v>0</v>
      </c>
      <c r="O264" t="n">
        <v>0</v>
      </c>
      <c r="P264" t="n">
        <v>0</v>
      </c>
      <c r="Q264" t="n">
        <v>0</v>
      </c>
      <c r="R264" s="2" t="inlineStr"/>
    </row>
    <row r="265" ht="15" customHeight="1">
      <c r="A265" t="inlineStr">
        <is>
          <t>A 34943-2020</t>
        </is>
      </c>
      <c r="B265" s="1" t="n">
        <v>44038</v>
      </c>
      <c r="C265" s="1" t="n">
        <v>45696</v>
      </c>
      <c r="D265" t="inlineStr">
        <is>
          <t>UPPSALA LÄN</t>
        </is>
      </c>
      <c r="E265" t="inlineStr">
        <is>
          <t>ÖSTHAMMAR</t>
        </is>
      </c>
      <c r="F265" t="inlineStr">
        <is>
          <t>Bergvik skog öst AB</t>
        </is>
      </c>
      <c r="G265" t="n">
        <v>4.2</v>
      </c>
      <c r="H265" t="n">
        <v>0</v>
      </c>
      <c r="I265" t="n">
        <v>0</v>
      </c>
      <c r="J265" t="n">
        <v>0</v>
      </c>
      <c r="K265" t="n">
        <v>0</v>
      </c>
      <c r="L265" t="n">
        <v>0</v>
      </c>
      <c r="M265" t="n">
        <v>0</v>
      </c>
      <c r="N265" t="n">
        <v>0</v>
      </c>
      <c r="O265" t="n">
        <v>0</v>
      </c>
      <c r="P265" t="n">
        <v>0</v>
      </c>
      <c r="Q265" t="n">
        <v>0</v>
      </c>
      <c r="R265" s="2" t="inlineStr"/>
    </row>
    <row r="266" ht="15" customHeight="1">
      <c r="A266" t="inlineStr">
        <is>
          <t>A 34941-2020</t>
        </is>
      </c>
      <c r="B266" s="1" t="n">
        <v>44038</v>
      </c>
      <c r="C266" s="1" t="n">
        <v>45696</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34940-2020</t>
        </is>
      </c>
      <c r="B267" s="1" t="n">
        <v>44038</v>
      </c>
      <c r="C267" s="1" t="n">
        <v>45696</v>
      </c>
      <c r="D267" t="inlineStr">
        <is>
          <t>UPPSALA LÄN</t>
        </is>
      </c>
      <c r="E267" t="inlineStr">
        <is>
          <t>ÖSTHAMMAR</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35094-2020</t>
        </is>
      </c>
      <c r="B268" s="1" t="n">
        <v>44040</v>
      </c>
      <c r="C268" s="1" t="n">
        <v>45696</v>
      </c>
      <c r="D268" t="inlineStr">
        <is>
          <t>UPPSALA LÄN</t>
        </is>
      </c>
      <c r="E268" t="inlineStr">
        <is>
          <t>ÖSTHAMMAR</t>
        </is>
      </c>
      <c r="F268" t="inlineStr">
        <is>
          <t>Bergvik skog öst AB</t>
        </is>
      </c>
      <c r="G268" t="n">
        <v>14.5</v>
      </c>
      <c r="H268" t="n">
        <v>0</v>
      </c>
      <c r="I268" t="n">
        <v>0</v>
      </c>
      <c r="J268" t="n">
        <v>0</v>
      </c>
      <c r="K268" t="n">
        <v>0</v>
      </c>
      <c r="L268" t="n">
        <v>0</v>
      </c>
      <c r="M268" t="n">
        <v>0</v>
      </c>
      <c r="N268" t="n">
        <v>0</v>
      </c>
      <c r="O268" t="n">
        <v>0</v>
      </c>
      <c r="P268" t="n">
        <v>0</v>
      </c>
      <c r="Q268" t="n">
        <v>0</v>
      </c>
      <c r="R268" s="2" t="inlineStr"/>
    </row>
    <row r="269" ht="15" customHeight="1">
      <c r="A269" t="inlineStr">
        <is>
          <t>A 35096-2020</t>
        </is>
      </c>
      <c r="B269" s="1" t="n">
        <v>44040</v>
      </c>
      <c r="C269" s="1" t="n">
        <v>45696</v>
      </c>
      <c r="D269" t="inlineStr">
        <is>
          <t>UPPSALA LÄN</t>
        </is>
      </c>
      <c r="E269" t="inlineStr">
        <is>
          <t>ÖSTHAMMAR</t>
        </is>
      </c>
      <c r="F269" t="inlineStr">
        <is>
          <t>Bergvik skog öst AB</t>
        </is>
      </c>
      <c r="G269" t="n">
        <v>7.6</v>
      </c>
      <c r="H269" t="n">
        <v>0</v>
      </c>
      <c r="I269" t="n">
        <v>0</v>
      </c>
      <c r="J269" t="n">
        <v>0</v>
      </c>
      <c r="K269" t="n">
        <v>0</v>
      </c>
      <c r="L269" t="n">
        <v>0</v>
      </c>
      <c r="M269" t="n">
        <v>0</v>
      </c>
      <c r="N269" t="n">
        <v>0</v>
      </c>
      <c r="O269" t="n">
        <v>0</v>
      </c>
      <c r="P269" t="n">
        <v>0</v>
      </c>
      <c r="Q269" t="n">
        <v>0</v>
      </c>
      <c r="R269" s="2" t="inlineStr"/>
    </row>
    <row r="270" ht="15" customHeight="1">
      <c r="A270" t="inlineStr">
        <is>
          <t>A 38285-2020</t>
        </is>
      </c>
      <c r="B270" s="1" t="n">
        <v>44060</v>
      </c>
      <c r="C270" s="1" t="n">
        <v>45696</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38630-2020</t>
        </is>
      </c>
      <c r="B271" s="1" t="n">
        <v>44061</v>
      </c>
      <c r="C271" s="1" t="n">
        <v>45696</v>
      </c>
      <c r="D271" t="inlineStr">
        <is>
          <t>UPPSALA LÄN</t>
        </is>
      </c>
      <c r="E271" t="inlineStr">
        <is>
          <t>ÖSTHAMMAR</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39640-2020</t>
        </is>
      </c>
      <c r="B272" s="1" t="n">
        <v>44064</v>
      </c>
      <c r="C272" s="1" t="n">
        <v>45696</v>
      </c>
      <c r="D272" t="inlineStr">
        <is>
          <t>UPPSALA LÄN</t>
        </is>
      </c>
      <c r="E272" t="inlineStr">
        <is>
          <t>ÖSTHAMMAR</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41849-2020</t>
        </is>
      </c>
      <c r="B273" s="1" t="n">
        <v>44074</v>
      </c>
      <c r="C273" s="1" t="n">
        <v>45696</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42549-2020</t>
        </is>
      </c>
      <c r="B274" s="1" t="n">
        <v>44077</v>
      </c>
      <c r="C274" s="1" t="n">
        <v>45696</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46311-2020</t>
        </is>
      </c>
      <c r="B275" s="1" t="n">
        <v>44092</v>
      </c>
      <c r="C275" s="1" t="n">
        <v>45696</v>
      </c>
      <c r="D275" t="inlineStr">
        <is>
          <t>UPPSALA LÄN</t>
        </is>
      </c>
      <c r="E275" t="inlineStr">
        <is>
          <t>ÖSTHAMMAR</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45696</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47481-2020</t>
        </is>
      </c>
      <c r="B277" s="1" t="n">
        <v>44098</v>
      </c>
      <c r="C277" s="1" t="n">
        <v>45696</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49206-2020</t>
        </is>
      </c>
      <c r="B278" s="1" t="n">
        <v>44105</v>
      </c>
      <c r="C278" s="1" t="n">
        <v>45696</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49336-2020</t>
        </is>
      </c>
      <c r="B279" s="1" t="n">
        <v>44105</v>
      </c>
      <c r="C279" s="1" t="n">
        <v>45696</v>
      </c>
      <c r="D279" t="inlineStr">
        <is>
          <t>UPPSALA LÄN</t>
        </is>
      </c>
      <c r="E279" t="inlineStr">
        <is>
          <t>ÖSTHAMMAR</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52432-2020</t>
        </is>
      </c>
      <c r="B280" s="1" t="n">
        <v>44118</v>
      </c>
      <c r="C280" s="1" t="n">
        <v>45696</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52434-2020</t>
        </is>
      </c>
      <c r="B281" s="1" t="n">
        <v>44118</v>
      </c>
      <c r="C281" s="1" t="n">
        <v>45696</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53137-2020</t>
        </is>
      </c>
      <c r="B282" s="1" t="n">
        <v>44120</v>
      </c>
      <c r="C282" s="1" t="n">
        <v>45696</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55389-2020</t>
        </is>
      </c>
      <c r="B283" s="1" t="n">
        <v>44131</v>
      </c>
      <c r="C283" s="1" t="n">
        <v>45696</v>
      </c>
      <c r="D283" t="inlineStr">
        <is>
          <t>UPPSALA LÄN</t>
        </is>
      </c>
      <c r="E283" t="inlineStr">
        <is>
          <t>ÖSTHAMMAR</t>
        </is>
      </c>
      <c r="G283" t="n">
        <v>1.3</v>
      </c>
      <c r="H283" t="n">
        <v>0</v>
      </c>
      <c r="I283" t="n">
        <v>0</v>
      </c>
      <c r="J283" t="n">
        <v>0</v>
      </c>
      <c r="K283" t="n">
        <v>0</v>
      </c>
      <c r="L283" t="n">
        <v>0</v>
      </c>
      <c r="M283" t="n">
        <v>0</v>
      </c>
      <c r="N283" t="n">
        <v>0</v>
      </c>
      <c r="O283" t="n">
        <v>0</v>
      </c>
      <c r="P283" t="n">
        <v>0</v>
      </c>
      <c r="Q283" t="n">
        <v>0</v>
      </c>
      <c r="R283" s="2" t="inlineStr"/>
    </row>
    <row r="284" ht="15" customHeight="1">
      <c r="A284" t="inlineStr">
        <is>
          <t>A 56041-2020</t>
        </is>
      </c>
      <c r="B284" s="1" t="n">
        <v>44133</v>
      </c>
      <c r="C284" s="1" t="n">
        <v>45696</v>
      </c>
      <c r="D284" t="inlineStr">
        <is>
          <t>UPPSALA LÄN</t>
        </is>
      </c>
      <c r="E284" t="inlineStr">
        <is>
          <t>ÖSTHAMMAR</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56079-2020</t>
        </is>
      </c>
      <c r="B285" s="1" t="n">
        <v>44133</v>
      </c>
      <c r="C285" s="1" t="n">
        <v>45696</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56089-2020</t>
        </is>
      </c>
      <c r="B286" s="1" t="n">
        <v>44133</v>
      </c>
      <c r="C286" s="1" t="n">
        <v>45696</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57408-2020</t>
        </is>
      </c>
      <c r="B287" s="1" t="n">
        <v>44140</v>
      </c>
      <c r="C287" s="1" t="n">
        <v>45696</v>
      </c>
      <c r="D287" t="inlineStr">
        <is>
          <t>UPPSALA LÄN</t>
        </is>
      </c>
      <c r="E287" t="inlineStr">
        <is>
          <t>ÖSTHAMMAR</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59432-2020</t>
        </is>
      </c>
      <c r="B288" s="1" t="n">
        <v>44148</v>
      </c>
      <c r="C288" s="1" t="n">
        <v>45696</v>
      </c>
      <c r="D288" t="inlineStr">
        <is>
          <t>UPPSALA LÄN</t>
        </is>
      </c>
      <c r="E288" t="inlineStr">
        <is>
          <t>ÖSTHAMMAR</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59414-2020</t>
        </is>
      </c>
      <c r="B289" s="1" t="n">
        <v>44148</v>
      </c>
      <c r="C289" s="1" t="n">
        <v>45696</v>
      </c>
      <c r="D289" t="inlineStr">
        <is>
          <t>UPPSALA LÄN</t>
        </is>
      </c>
      <c r="E289" t="inlineStr">
        <is>
          <t>ÖSTHAMMAR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59417-2020</t>
        </is>
      </c>
      <c r="B290" s="1" t="n">
        <v>44148</v>
      </c>
      <c r="C290" s="1" t="n">
        <v>45696</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59714-2020</t>
        </is>
      </c>
      <c r="B291" s="1" t="n">
        <v>44151</v>
      </c>
      <c r="C291" s="1" t="n">
        <v>45696</v>
      </c>
      <c r="D291" t="inlineStr">
        <is>
          <t>UPPSALA LÄN</t>
        </is>
      </c>
      <c r="E291" t="inlineStr">
        <is>
          <t>ÖSTHAMMAR</t>
        </is>
      </c>
      <c r="F291" t="inlineStr">
        <is>
          <t>Bergvik skog öst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59807-2020</t>
        </is>
      </c>
      <c r="B292" s="1" t="n">
        <v>44151</v>
      </c>
      <c r="C292" s="1" t="n">
        <v>45696</v>
      </c>
      <c r="D292" t="inlineStr">
        <is>
          <t>UPPSALA LÄN</t>
        </is>
      </c>
      <c r="E292" t="inlineStr">
        <is>
          <t>ÖSTHAMMAR</t>
        </is>
      </c>
      <c r="G292" t="n">
        <v>3.4</v>
      </c>
      <c r="H292" t="n">
        <v>0</v>
      </c>
      <c r="I292" t="n">
        <v>0</v>
      </c>
      <c r="J292" t="n">
        <v>0</v>
      </c>
      <c r="K292" t="n">
        <v>0</v>
      </c>
      <c r="L292" t="n">
        <v>0</v>
      </c>
      <c r="M292" t="n">
        <v>0</v>
      </c>
      <c r="N292" t="n">
        <v>0</v>
      </c>
      <c r="O292" t="n">
        <v>0</v>
      </c>
      <c r="P292" t="n">
        <v>0</v>
      </c>
      <c r="Q292" t="n">
        <v>0</v>
      </c>
      <c r="R292" s="2" t="inlineStr"/>
    </row>
    <row r="293" ht="15" customHeight="1">
      <c r="A293" t="inlineStr">
        <is>
          <t>A 61193-2020</t>
        </is>
      </c>
      <c r="B293" s="1" t="n">
        <v>44155</v>
      </c>
      <c r="C293" s="1" t="n">
        <v>45696</v>
      </c>
      <c r="D293" t="inlineStr">
        <is>
          <t>UPPSALA LÄN</t>
        </is>
      </c>
      <c r="E293" t="inlineStr">
        <is>
          <t>ÖSTHAMMAR</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62484-2020</t>
        </is>
      </c>
      <c r="B294" s="1" t="n">
        <v>44160</v>
      </c>
      <c r="C294" s="1" t="n">
        <v>45696</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63637-2020</t>
        </is>
      </c>
      <c r="B295" s="1" t="n">
        <v>44162</v>
      </c>
      <c r="C295" s="1" t="n">
        <v>45696</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63577-2020</t>
        </is>
      </c>
      <c r="B296" s="1" t="n">
        <v>44165</v>
      </c>
      <c r="C296" s="1" t="n">
        <v>45696</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63987-2020</t>
        </is>
      </c>
      <c r="B297" s="1" t="n">
        <v>44167</v>
      </c>
      <c r="C297" s="1" t="n">
        <v>45696</v>
      </c>
      <c r="D297" t="inlineStr">
        <is>
          <t>UPPSALA LÄN</t>
        </is>
      </c>
      <c r="E297" t="inlineStr">
        <is>
          <t>ÖSTHAMMAR</t>
        </is>
      </c>
      <c r="G297" t="n">
        <v>5.9</v>
      </c>
      <c r="H297" t="n">
        <v>0</v>
      </c>
      <c r="I297" t="n">
        <v>0</v>
      </c>
      <c r="J297" t="n">
        <v>0</v>
      </c>
      <c r="K297" t="n">
        <v>0</v>
      </c>
      <c r="L297" t="n">
        <v>0</v>
      </c>
      <c r="M297" t="n">
        <v>0</v>
      </c>
      <c r="N297" t="n">
        <v>0</v>
      </c>
      <c r="O297" t="n">
        <v>0</v>
      </c>
      <c r="P297" t="n">
        <v>0</v>
      </c>
      <c r="Q297" t="n">
        <v>0</v>
      </c>
      <c r="R297" s="2" t="inlineStr"/>
    </row>
    <row r="298" ht="15" customHeight="1">
      <c r="A298" t="inlineStr">
        <is>
          <t>A 65361-2020</t>
        </is>
      </c>
      <c r="B298" s="1" t="n">
        <v>44173</v>
      </c>
      <c r="C298" s="1" t="n">
        <v>45696</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68243-2020</t>
        </is>
      </c>
      <c r="B299" s="1" t="n">
        <v>44183</v>
      </c>
      <c r="C299" s="1" t="n">
        <v>45696</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68828-2020</t>
        </is>
      </c>
      <c r="B300" s="1" t="n">
        <v>44186</v>
      </c>
      <c r="C300" s="1" t="n">
        <v>45696</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69681-2020</t>
        </is>
      </c>
      <c r="B301" s="1" t="n">
        <v>44196</v>
      </c>
      <c r="C301" s="1" t="n">
        <v>45696</v>
      </c>
      <c r="D301" t="inlineStr">
        <is>
          <t>UPPSALA LÄN</t>
        </is>
      </c>
      <c r="E301" t="inlineStr">
        <is>
          <t>ÖSTHAMMAR</t>
        </is>
      </c>
      <c r="F301" t="inlineStr">
        <is>
          <t>Bergvik skog öst AB</t>
        </is>
      </c>
      <c r="G301" t="n">
        <v>21.9</v>
      </c>
      <c r="H301" t="n">
        <v>0</v>
      </c>
      <c r="I301" t="n">
        <v>0</v>
      </c>
      <c r="J301" t="n">
        <v>0</v>
      </c>
      <c r="K301" t="n">
        <v>0</v>
      </c>
      <c r="L301" t="n">
        <v>0</v>
      </c>
      <c r="M301" t="n">
        <v>0</v>
      </c>
      <c r="N301" t="n">
        <v>0</v>
      </c>
      <c r="O301" t="n">
        <v>0</v>
      </c>
      <c r="P301" t="n">
        <v>0</v>
      </c>
      <c r="Q301" t="n">
        <v>0</v>
      </c>
      <c r="R301" s="2" t="inlineStr"/>
    </row>
    <row r="302" ht="15" customHeight="1">
      <c r="A302" t="inlineStr">
        <is>
          <t>A 3693-2021</t>
        </is>
      </c>
      <c r="B302" s="1" t="n">
        <v>44221</v>
      </c>
      <c r="C302" s="1" t="n">
        <v>45696</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4151-2021</t>
        </is>
      </c>
      <c r="B303" s="1" t="n">
        <v>44221</v>
      </c>
      <c r="C303" s="1" t="n">
        <v>45696</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4590-2021</t>
        </is>
      </c>
      <c r="B304" s="1" t="n">
        <v>44224</v>
      </c>
      <c r="C304" s="1" t="n">
        <v>45696</v>
      </c>
      <c r="D304" t="inlineStr">
        <is>
          <t>UPPSALA LÄN</t>
        </is>
      </c>
      <c r="E304" t="inlineStr">
        <is>
          <t>ÖSTHAMMAR</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6221-2021</t>
        </is>
      </c>
      <c r="B305" s="1" t="n">
        <v>44235</v>
      </c>
      <c r="C305" s="1" t="n">
        <v>45696</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7113-2021</t>
        </is>
      </c>
      <c r="B306" s="1" t="n">
        <v>44238</v>
      </c>
      <c r="C306" s="1" t="n">
        <v>45696</v>
      </c>
      <c r="D306" t="inlineStr">
        <is>
          <t>UPPSALA LÄN</t>
        </is>
      </c>
      <c r="E306" t="inlineStr">
        <is>
          <t>ÖSTHAMMAR</t>
        </is>
      </c>
      <c r="F306" t="inlineStr">
        <is>
          <t>Bergvik skog öst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8009-2021</t>
        </is>
      </c>
      <c r="B307" s="1" t="n">
        <v>44243</v>
      </c>
      <c r="C307" s="1" t="n">
        <v>45696</v>
      </c>
      <c r="D307" t="inlineStr">
        <is>
          <t>UPPSALA LÄN</t>
        </is>
      </c>
      <c r="E307" t="inlineStr">
        <is>
          <t>ÖSTHAMMAR</t>
        </is>
      </c>
      <c r="G307" t="n">
        <v>9.9</v>
      </c>
      <c r="H307" t="n">
        <v>0</v>
      </c>
      <c r="I307" t="n">
        <v>0</v>
      </c>
      <c r="J307" t="n">
        <v>0</v>
      </c>
      <c r="K307" t="n">
        <v>0</v>
      </c>
      <c r="L307" t="n">
        <v>0</v>
      </c>
      <c r="M307" t="n">
        <v>0</v>
      </c>
      <c r="N307" t="n">
        <v>0</v>
      </c>
      <c r="O307" t="n">
        <v>0</v>
      </c>
      <c r="P307" t="n">
        <v>0</v>
      </c>
      <c r="Q307" t="n">
        <v>0</v>
      </c>
      <c r="R307" s="2" t="inlineStr"/>
    </row>
    <row r="308" ht="15" customHeight="1">
      <c r="A308" t="inlineStr">
        <is>
          <t>A 10316-2021</t>
        </is>
      </c>
      <c r="B308" s="1" t="n">
        <v>44257</v>
      </c>
      <c r="C308" s="1" t="n">
        <v>45696</v>
      </c>
      <c r="D308" t="inlineStr">
        <is>
          <t>UPPSALA LÄN</t>
        </is>
      </c>
      <c r="E308" t="inlineStr">
        <is>
          <t>ÖSTHAMMAR</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10498-2021</t>
        </is>
      </c>
      <c r="B309" s="1" t="n">
        <v>44258</v>
      </c>
      <c r="C309" s="1" t="n">
        <v>45696</v>
      </c>
      <c r="D309" t="inlineStr">
        <is>
          <t>UPPSALA LÄN</t>
        </is>
      </c>
      <c r="E309" t="inlineStr">
        <is>
          <t>ÖSTHAMMAR</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14248-2021</t>
        </is>
      </c>
      <c r="B310" s="1" t="n">
        <v>44278</v>
      </c>
      <c r="C310" s="1" t="n">
        <v>45696</v>
      </c>
      <c r="D310" t="inlineStr">
        <is>
          <t>UPPSALA LÄN</t>
        </is>
      </c>
      <c r="E310" t="inlineStr">
        <is>
          <t>ÖSTHAMMAR</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14525-2021</t>
        </is>
      </c>
      <c r="B311" s="1" t="n">
        <v>44279</v>
      </c>
      <c r="C311" s="1" t="n">
        <v>45696</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16212-2021</t>
        </is>
      </c>
      <c r="B312" s="1" t="n">
        <v>44287</v>
      </c>
      <c r="C312" s="1" t="n">
        <v>45696</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16209-2021</t>
        </is>
      </c>
      <c r="B313" s="1" t="n">
        <v>44287</v>
      </c>
      <c r="C313" s="1" t="n">
        <v>45696</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17009-2021</t>
        </is>
      </c>
      <c r="B314" s="1" t="n">
        <v>44295</v>
      </c>
      <c r="C314" s="1" t="n">
        <v>45696</v>
      </c>
      <c r="D314" t="inlineStr">
        <is>
          <t>UPPSALA LÄN</t>
        </is>
      </c>
      <c r="E314" t="inlineStr">
        <is>
          <t>ÖSTHAMMAR</t>
        </is>
      </c>
      <c r="F314" t="inlineStr">
        <is>
          <t>Bergvik skog öst AB</t>
        </is>
      </c>
      <c r="G314" t="n">
        <v>3.2</v>
      </c>
      <c r="H314" t="n">
        <v>0</v>
      </c>
      <c r="I314" t="n">
        <v>0</v>
      </c>
      <c r="J314" t="n">
        <v>0</v>
      </c>
      <c r="K314" t="n">
        <v>0</v>
      </c>
      <c r="L314" t="n">
        <v>0</v>
      </c>
      <c r="M314" t="n">
        <v>0</v>
      </c>
      <c r="N314" t="n">
        <v>0</v>
      </c>
      <c r="O314" t="n">
        <v>0</v>
      </c>
      <c r="P314" t="n">
        <v>0</v>
      </c>
      <c r="Q314" t="n">
        <v>0</v>
      </c>
      <c r="R314" s="2" t="inlineStr"/>
    </row>
    <row r="315" ht="15" customHeight="1">
      <c r="A315" t="inlineStr">
        <is>
          <t>A 17022-2021</t>
        </is>
      </c>
      <c r="B315" s="1" t="n">
        <v>44295</v>
      </c>
      <c r="C315" s="1" t="n">
        <v>45696</v>
      </c>
      <c r="D315" t="inlineStr">
        <is>
          <t>UPPSALA LÄN</t>
        </is>
      </c>
      <c r="E315" t="inlineStr">
        <is>
          <t>ÖSTHAMMAR</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17033-2021</t>
        </is>
      </c>
      <c r="B316" s="1" t="n">
        <v>44295</v>
      </c>
      <c r="C316" s="1" t="n">
        <v>45696</v>
      </c>
      <c r="D316" t="inlineStr">
        <is>
          <t>UPPSALA LÄN</t>
        </is>
      </c>
      <c r="E316" t="inlineStr">
        <is>
          <t>ÖSTHAMMAR</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17349-2021</t>
        </is>
      </c>
      <c r="B317" s="1" t="n">
        <v>44298</v>
      </c>
      <c r="C317" s="1" t="n">
        <v>45696</v>
      </c>
      <c r="D317" t="inlineStr">
        <is>
          <t>UPPSALA LÄN</t>
        </is>
      </c>
      <c r="E317" t="inlineStr">
        <is>
          <t>ÖSTHAMMAR</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18944-2021</t>
        </is>
      </c>
      <c r="B318" s="1" t="n">
        <v>44308</v>
      </c>
      <c r="C318" s="1" t="n">
        <v>45696</v>
      </c>
      <c r="D318" t="inlineStr">
        <is>
          <t>UPPSALA LÄN</t>
        </is>
      </c>
      <c r="E318" t="inlineStr">
        <is>
          <t>ÖSTHAMMAR</t>
        </is>
      </c>
      <c r="F318" t="inlineStr">
        <is>
          <t>Bergvik skog öst AB</t>
        </is>
      </c>
      <c r="G318" t="n">
        <v>12.5</v>
      </c>
      <c r="H318" t="n">
        <v>0</v>
      </c>
      <c r="I318" t="n">
        <v>0</v>
      </c>
      <c r="J318" t="n">
        <v>0</v>
      </c>
      <c r="K318" t="n">
        <v>0</v>
      </c>
      <c r="L318" t="n">
        <v>0</v>
      </c>
      <c r="M318" t="n">
        <v>0</v>
      </c>
      <c r="N318" t="n">
        <v>0</v>
      </c>
      <c r="O318" t="n">
        <v>0</v>
      </c>
      <c r="P318" t="n">
        <v>0</v>
      </c>
      <c r="Q318" t="n">
        <v>0</v>
      </c>
      <c r="R318" s="2" t="inlineStr"/>
    </row>
    <row r="319" ht="15" customHeight="1">
      <c r="A319" t="inlineStr">
        <is>
          <t>A 20326-2021</t>
        </is>
      </c>
      <c r="B319" s="1" t="n">
        <v>44308</v>
      </c>
      <c r="C319" s="1" t="n">
        <v>45696</v>
      </c>
      <c r="D319" t="inlineStr">
        <is>
          <t>UPPSALA LÄN</t>
        </is>
      </c>
      <c r="E319" t="inlineStr">
        <is>
          <t>ÖSTHAMMAR</t>
        </is>
      </c>
      <c r="G319" t="n">
        <v>7.8</v>
      </c>
      <c r="H319" t="n">
        <v>0</v>
      </c>
      <c r="I319" t="n">
        <v>0</v>
      </c>
      <c r="J319" t="n">
        <v>0</v>
      </c>
      <c r="K319" t="n">
        <v>0</v>
      </c>
      <c r="L319" t="n">
        <v>0</v>
      </c>
      <c r="M319" t="n">
        <v>0</v>
      </c>
      <c r="N319" t="n">
        <v>0</v>
      </c>
      <c r="O319" t="n">
        <v>0</v>
      </c>
      <c r="P319" t="n">
        <v>0</v>
      </c>
      <c r="Q319" t="n">
        <v>0</v>
      </c>
      <c r="R319" s="2" t="inlineStr"/>
    </row>
    <row r="320" ht="15" customHeight="1">
      <c r="A320" t="inlineStr">
        <is>
          <t>A 20325-2021</t>
        </is>
      </c>
      <c r="B320" s="1" t="n">
        <v>44308</v>
      </c>
      <c r="C320" s="1" t="n">
        <v>45696</v>
      </c>
      <c r="D320" t="inlineStr">
        <is>
          <t>UPPSALA LÄN</t>
        </is>
      </c>
      <c r="E320" t="inlineStr">
        <is>
          <t>ÖSTHAMMAR</t>
        </is>
      </c>
      <c r="G320" t="n">
        <v>5</v>
      </c>
      <c r="H320" t="n">
        <v>0</v>
      </c>
      <c r="I320" t="n">
        <v>0</v>
      </c>
      <c r="J320" t="n">
        <v>0</v>
      </c>
      <c r="K320" t="n">
        <v>0</v>
      </c>
      <c r="L320" t="n">
        <v>0</v>
      </c>
      <c r="M320" t="n">
        <v>0</v>
      </c>
      <c r="N320" t="n">
        <v>0</v>
      </c>
      <c r="O320" t="n">
        <v>0</v>
      </c>
      <c r="P320" t="n">
        <v>0</v>
      </c>
      <c r="Q320" t="n">
        <v>0</v>
      </c>
      <c r="R320" s="2" t="inlineStr"/>
    </row>
    <row r="321" ht="15" customHeight="1">
      <c r="A321" t="inlineStr">
        <is>
          <t>A 20324-2021</t>
        </is>
      </c>
      <c r="B321" s="1" t="n">
        <v>44308</v>
      </c>
      <c r="C321" s="1" t="n">
        <v>45696</v>
      </c>
      <c r="D321" t="inlineStr">
        <is>
          <t>UPPSALA LÄN</t>
        </is>
      </c>
      <c r="E321" t="inlineStr">
        <is>
          <t>ÖSTHAMMAR</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19214-2021</t>
        </is>
      </c>
      <c r="B322" s="1" t="n">
        <v>44309</v>
      </c>
      <c r="C322" s="1" t="n">
        <v>45696</v>
      </c>
      <c r="D322" t="inlineStr">
        <is>
          <t>UPPSALA LÄN</t>
        </is>
      </c>
      <c r="E322" t="inlineStr">
        <is>
          <t>ÖSTHAMMAR</t>
        </is>
      </c>
      <c r="F322" t="inlineStr">
        <is>
          <t>Bergvik skog öst AB</t>
        </is>
      </c>
      <c r="G322" t="n">
        <v>6</v>
      </c>
      <c r="H322" t="n">
        <v>0</v>
      </c>
      <c r="I322" t="n">
        <v>0</v>
      </c>
      <c r="J322" t="n">
        <v>0</v>
      </c>
      <c r="K322" t="n">
        <v>0</v>
      </c>
      <c r="L322" t="n">
        <v>0</v>
      </c>
      <c r="M322" t="n">
        <v>0</v>
      </c>
      <c r="N322" t="n">
        <v>0</v>
      </c>
      <c r="O322" t="n">
        <v>0</v>
      </c>
      <c r="P322" t="n">
        <v>0</v>
      </c>
      <c r="Q322" t="n">
        <v>0</v>
      </c>
      <c r="R322" s="2" t="inlineStr"/>
    </row>
    <row r="323" ht="15" customHeight="1">
      <c r="A323" t="inlineStr">
        <is>
          <t>A 19552-2021</t>
        </is>
      </c>
      <c r="B323" s="1" t="n">
        <v>44312</v>
      </c>
      <c r="C323" s="1" t="n">
        <v>45696</v>
      </c>
      <c r="D323" t="inlineStr">
        <is>
          <t>UPPSALA LÄN</t>
        </is>
      </c>
      <c r="E323" t="inlineStr">
        <is>
          <t>ÖSTHAMMAR</t>
        </is>
      </c>
      <c r="G323" t="n">
        <v>4.5</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v>
      </c>
      <c r="C324" s="1" t="n">
        <v>45696</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23120-2021</t>
        </is>
      </c>
      <c r="B325" s="1" t="n">
        <v>44330</v>
      </c>
      <c r="C325" s="1" t="n">
        <v>45696</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24062-2021</t>
        </is>
      </c>
      <c r="B326" s="1" t="n">
        <v>44336</v>
      </c>
      <c r="C326" s="1" t="n">
        <v>45696</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24316-2021</t>
        </is>
      </c>
      <c r="B327" s="1" t="n">
        <v>44337</v>
      </c>
      <c r="C327" s="1" t="n">
        <v>45696</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25033-2021</t>
        </is>
      </c>
      <c r="B328" s="1" t="n">
        <v>44341</v>
      </c>
      <c r="C328" s="1" t="n">
        <v>45696</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25378-2021</t>
        </is>
      </c>
      <c r="B329" s="1" t="n">
        <v>44342</v>
      </c>
      <c r="C329" s="1" t="n">
        <v>45696</v>
      </c>
      <c r="D329" t="inlineStr">
        <is>
          <t>UPPSALA LÄN</t>
        </is>
      </c>
      <c r="E329" t="inlineStr">
        <is>
          <t>ÖSTHAMMAR</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25395-2021</t>
        </is>
      </c>
      <c r="B330" s="1" t="n">
        <v>44342</v>
      </c>
      <c r="C330" s="1" t="n">
        <v>45696</v>
      </c>
      <c r="D330" t="inlineStr">
        <is>
          <t>UPPSALA LÄN</t>
        </is>
      </c>
      <c r="E330" t="inlineStr">
        <is>
          <t>ÖSTHAMMAR</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26257-2021</t>
        </is>
      </c>
      <c r="B331" s="1" t="n">
        <v>44347</v>
      </c>
      <c r="C331" s="1" t="n">
        <v>45696</v>
      </c>
      <c r="D331" t="inlineStr">
        <is>
          <t>UPPSALA LÄN</t>
        </is>
      </c>
      <c r="E331" t="inlineStr">
        <is>
          <t>ÖSTHAMMAR</t>
        </is>
      </c>
      <c r="G331" t="n">
        <v>3.2</v>
      </c>
      <c r="H331" t="n">
        <v>0</v>
      </c>
      <c r="I331" t="n">
        <v>0</v>
      </c>
      <c r="J331" t="n">
        <v>0</v>
      </c>
      <c r="K331" t="n">
        <v>0</v>
      </c>
      <c r="L331" t="n">
        <v>0</v>
      </c>
      <c r="M331" t="n">
        <v>0</v>
      </c>
      <c r="N331" t="n">
        <v>0</v>
      </c>
      <c r="O331" t="n">
        <v>0</v>
      </c>
      <c r="P331" t="n">
        <v>0</v>
      </c>
      <c r="Q331" t="n">
        <v>0</v>
      </c>
      <c r="R331" s="2" t="inlineStr"/>
    </row>
    <row r="332" ht="15" customHeight="1">
      <c r="A332" t="inlineStr">
        <is>
          <t>A 27939-2021</t>
        </is>
      </c>
      <c r="B332" s="1" t="n">
        <v>44354</v>
      </c>
      <c r="C332" s="1" t="n">
        <v>45696</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27940-2021</t>
        </is>
      </c>
      <c r="B333" s="1" t="n">
        <v>44354</v>
      </c>
      <c r="C333" s="1" t="n">
        <v>45696</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29282-2021</t>
        </is>
      </c>
      <c r="B334" s="1" t="n">
        <v>44361</v>
      </c>
      <c r="C334" s="1" t="n">
        <v>45696</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30927-2021</t>
        </is>
      </c>
      <c r="B335" s="1" t="n">
        <v>44365</v>
      </c>
      <c r="C335" s="1" t="n">
        <v>45696</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30931-2021</t>
        </is>
      </c>
      <c r="B336" s="1" t="n">
        <v>44365</v>
      </c>
      <c r="C336" s="1" t="n">
        <v>45696</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31263-2021</t>
        </is>
      </c>
      <c r="B337" s="1" t="n">
        <v>44368</v>
      </c>
      <c r="C337" s="1" t="n">
        <v>45696</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32244-2021</t>
        </is>
      </c>
      <c r="B338" s="1" t="n">
        <v>44371</v>
      </c>
      <c r="C338" s="1" t="n">
        <v>45696</v>
      </c>
      <c r="D338" t="inlineStr">
        <is>
          <t>UPPSALA LÄN</t>
        </is>
      </c>
      <c r="E338" t="inlineStr">
        <is>
          <t>ÖSTHAMMAR</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32939-2021</t>
        </is>
      </c>
      <c r="B339" s="1" t="n">
        <v>44376</v>
      </c>
      <c r="C339" s="1" t="n">
        <v>45696</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32948-2021</t>
        </is>
      </c>
      <c r="B340" s="1" t="n">
        <v>44376</v>
      </c>
      <c r="C340" s="1" t="n">
        <v>45696</v>
      </c>
      <c r="D340" t="inlineStr">
        <is>
          <t>UPPSALA LÄN</t>
        </is>
      </c>
      <c r="E340" t="inlineStr">
        <is>
          <t>ÖSTHAMMAR</t>
        </is>
      </c>
      <c r="F340" t="inlineStr">
        <is>
          <t>Bergvik skog öst AB</t>
        </is>
      </c>
      <c r="G340" t="n">
        <v>13.5</v>
      </c>
      <c r="H340" t="n">
        <v>0</v>
      </c>
      <c r="I340" t="n">
        <v>0</v>
      </c>
      <c r="J340" t="n">
        <v>0</v>
      </c>
      <c r="K340" t="n">
        <v>0</v>
      </c>
      <c r="L340" t="n">
        <v>0</v>
      </c>
      <c r="M340" t="n">
        <v>0</v>
      </c>
      <c r="N340" t="n">
        <v>0</v>
      </c>
      <c r="O340" t="n">
        <v>0</v>
      </c>
      <c r="P340" t="n">
        <v>0</v>
      </c>
      <c r="Q340" t="n">
        <v>0</v>
      </c>
      <c r="R340" s="2" t="inlineStr"/>
    </row>
    <row r="341" ht="15" customHeight="1">
      <c r="A341" t="inlineStr">
        <is>
          <t>A 33062-2021</t>
        </is>
      </c>
      <c r="B341" s="1" t="n">
        <v>44376</v>
      </c>
      <c r="C341" s="1" t="n">
        <v>45696</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33056-2021</t>
        </is>
      </c>
      <c r="B342" s="1" t="n">
        <v>44376</v>
      </c>
      <c r="C342" s="1" t="n">
        <v>45696</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33271-2021</t>
        </is>
      </c>
      <c r="B343" s="1" t="n">
        <v>44377</v>
      </c>
      <c r="C343" s="1" t="n">
        <v>45696</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38411-2021</t>
        </is>
      </c>
      <c r="B344" s="1" t="n">
        <v>44406</v>
      </c>
      <c r="C344" s="1" t="n">
        <v>45696</v>
      </c>
      <c r="D344" t="inlineStr">
        <is>
          <t>UPPSALA LÄN</t>
        </is>
      </c>
      <c r="E344" t="inlineStr">
        <is>
          <t>ÖSTHAMMAR</t>
        </is>
      </c>
      <c r="F344" t="inlineStr">
        <is>
          <t>Bergvik skog öst AB</t>
        </is>
      </c>
      <c r="G344" t="n">
        <v>20.6</v>
      </c>
      <c r="H344" t="n">
        <v>0</v>
      </c>
      <c r="I344" t="n">
        <v>0</v>
      </c>
      <c r="J344" t="n">
        <v>0</v>
      </c>
      <c r="K344" t="n">
        <v>0</v>
      </c>
      <c r="L344" t="n">
        <v>0</v>
      </c>
      <c r="M344" t="n">
        <v>0</v>
      </c>
      <c r="N344" t="n">
        <v>0</v>
      </c>
      <c r="O344" t="n">
        <v>0</v>
      </c>
      <c r="P344" t="n">
        <v>0</v>
      </c>
      <c r="Q344" t="n">
        <v>0</v>
      </c>
      <c r="R344" s="2" t="inlineStr"/>
    </row>
    <row r="345" ht="15" customHeight="1">
      <c r="A345" t="inlineStr">
        <is>
          <t>A 40606-2021</t>
        </is>
      </c>
      <c r="B345" s="1" t="n">
        <v>44420</v>
      </c>
      <c r="C345" s="1" t="n">
        <v>45696</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41531-2021</t>
        </is>
      </c>
      <c r="B346" s="1" t="n">
        <v>44425</v>
      </c>
      <c r="C346" s="1" t="n">
        <v>45696</v>
      </c>
      <c r="D346" t="inlineStr">
        <is>
          <t>UPPSALA LÄN</t>
        </is>
      </c>
      <c r="E346" t="inlineStr">
        <is>
          <t>ÖSTHAMMAR</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41558-2021</t>
        </is>
      </c>
      <c r="B347" s="1" t="n">
        <v>44425</v>
      </c>
      <c r="C347" s="1" t="n">
        <v>45696</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41538-2021</t>
        </is>
      </c>
      <c r="B348" s="1" t="n">
        <v>44425</v>
      </c>
      <c r="C348" s="1" t="n">
        <v>45696</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41744-2021</t>
        </is>
      </c>
      <c r="B349" s="1" t="n">
        <v>44425</v>
      </c>
      <c r="C349" s="1" t="n">
        <v>45696</v>
      </c>
      <c r="D349" t="inlineStr">
        <is>
          <t>UPPSALA LÄN</t>
        </is>
      </c>
      <c r="E349" t="inlineStr">
        <is>
          <t>ÖSTHAMMAR</t>
        </is>
      </c>
      <c r="F349" t="inlineStr">
        <is>
          <t>Bergvik skog öst AB</t>
        </is>
      </c>
      <c r="G349" t="n">
        <v>2.7</v>
      </c>
      <c r="H349" t="n">
        <v>0</v>
      </c>
      <c r="I349" t="n">
        <v>0</v>
      </c>
      <c r="J349" t="n">
        <v>0</v>
      </c>
      <c r="K349" t="n">
        <v>0</v>
      </c>
      <c r="L349" t="n">
        <v>0</v>
      </c>
      <c r="M349" t="n">
        <v>0</v>
      </c>
      <c r="N349" t="n">
        <v>0</v>
      </c>
      <c r="O349" t="n">
        <v>0</v>
      </c>
      <c r="P349" t="n">
        <v>0</v>
      </c>
      <c r="Q349" t="n">
        <v>0</v>
      </c>
      <c r="R349" s="2" t="inlineStr"/>
    </row>
    <row r="350" ht="15" customHeight="1">
      <c r="A350" t="inlineStr">
        <is>
          <t>A 43469-2021</t>
        </is>
      </c>
      <c r="B350" s="1" t="n">
        <v>44432</v>
      </c>
      <c r="C350" s="1" t="n">
        <v>45696</v>
      </c>
      <c r="D350" t="inlineStr">
        <is>
          <t>UPPSALA LÄN</t>
        </is>
      </c>
      <c r="E350" t="inlineStr">
        <is>
          <t>ÖSTHAMMAR</t>
        </is>
      </c>
      <c r="G350" t="n">
        <v>3.9</v>
      </c>
      <c r="H350" t="n">
        <v>0</v>
      </c>
      <c r="I350" t="n">
        <v>0</v>
      </c>
      <c r="J350" t="n">
        <v>0</v>
      </c>
      <c r="K350" t="n">
        <v>0</v>
      </c>
      <c r="L350" t="n">
        <v>0</v>
      </c>
      <c r="M350" t="n">
        <v>0</v>
      </c>
      <c r="N350" t="n">
        <v>0</v>
      </c>
      <c r="O350" t="n">
        <v>0</v>
      </c>
      <c r="P350" t="n">
        <v>0</v>
      </c>
      <c r="Q350" t="n">
        <v>0</v>
      </c>
      <c r="R350" s="2" t="inlineStr"/>
    </row>
    <row r="351" ht="15" customHeight="1">
      <c r="A351" t="inlineStr">
        <is>
          <t>A 48308-2021</t>
        </is>
      </c>
      <c r="B351" s="1" t="n">
        <v>44450</v>
      </c>
      <c r="C351" s="1" t="n">
        <v>45696</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51010-2021</t>
        </is>
      </c>
      <c r="B352" s="1" t="n">
        <v>44460</v>
      </c>
      <c r="C352" s="1" t="n">
        <v>45696</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51412-2021</t>
        </is>
      </c>
      <c r="B353" s="1" t="n">
        <v>44461</v>
      </c>
      <c r="C353" s="1" t="n">
        <v>45696</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45696</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51612-2021</t>
        </is>
      </c>
      <c r="B355" s="1" t="n">
        <v>44462</v>
      </c>
      <c r="C355" s="1" t="n">
        <v>45696</v>
      </c>
      <c r="D355" t="inlineStr">
        <is>
          <t>UPPSALA LÄN</t>
        </is>
      </c>
      <c r="E355" t="inlineStr">
        <is>
          <t>ÖSTHAMMAR</t>
        </is>
      </c>
      <c r="G355" t="n">
        <v>2.7</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45696</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52544-2021</t>
        </is>
      </c>
      <c r="B357" s="1" t="n">
        <v>44466</v>
      </c>
      <c r="C357" s="1" t="n">
        <v>45696</v>
      </c>
      <c r="D357" t="inlineStr">
        <is>
          <t>UPPSALA LÄN</t>
        </is>
      </c>
      <c r="E357" t="inlineStr">
        <is>
          <t>ÖSTHAMMAR</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52898-2021</t>
        </is>
      </c>
      <c r="B358" s="1" t="n">
        <v>44467</v>
      </c>
      <c r="C358" s="1" t="n">
        <v>45696</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55646-2021</t>
        </is>
      </c>
      <c r="B359" s="1" t="n">
        <v>44476</v>
      </c>
      <c r="C359" s="1" t="n">
        <v>45696</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55872-2021</t>
        </is>
      </c>
      <c r="B360" s="1" t="n">
        <v>44476</v>
      </c>
      <c r="C360" s="1" t="n">
        <v>45696</v>
      </c>
      <c r="D360" t="inlineStr">
        <is>
          <t>UPPSALA LÄN</t>
        </is>
      </c>
      <c r="E360" t="inlineStr">
        <is>
          <t>ÖSTHAMMAR</t>
        </is>
      </c>
      <c r="F360" t="inlineStr">
        <is>
          <t>Bergvik skog öst AB</t>
        </is>
      </c>
      <c r="G360" t="n">
        <v>13.7</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v>
      </c>
      <c r="C361" s="1" t="n">
        <v>45696</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57080-2021</t>
        </is>
      </c>
      <c r="B362" s="1" t="n">
        <v>44482</v>
      </c>
      <c r="C362" s="1" t="n">
        <v>45696</v>
      </c>
      <c r="D362" t="inlineStr">
        <is>
          <t>UPPSALA LÄN</t>
        </is>
      </c>
      <c r="E362" t="inlineStr">
        <is>
          <t>ÖSTHAMMAR</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58334-2021</t>
        </is>
      </c>
      <c r="B363" s="1" t="n">
        <v>44488</v>
      </c>
      <c r="C363" s="1" t="n">
        <v>45696</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59360-2021</t>
        </is>
      </c>
      <c r="B364" s="1" t="n">
        <v>44491</v>
      </c>
      <c r="C364" s="1" t="n">
        <v>45696</v>
      </c>
      <c r="D364" t="inlineStr">
        <is>
          <t>UPPSALA LÄN</t>
        </is>
      </c>
      <c r="E364" t="inlineStr">
        <is>
          <t>ÖSTHAMMAR</t>
        </is>
      </c>
      <c r="F364" t="inlineStr">
        <is>
          <t>Bergvik skog öst AB</t>
        </is>
      </c>
      <c r="G364" t="n">
        <v>8</v>
      </c>
      <c r="H364" t="n">
        <v>0</v>
      </c>
      <c r="I364" t="n">
        <v>0</v>
      </c>
      <c r="J364" t="n">
        <v>0</v>
      </c>
      <c r="K364" t="n">
        <v>0</v>
      </c>
      <c r="L364" t="n">
        <v>0</v>
      </c>
      <c r="M364" t="n">
        <v>0</v>
      </c>
      <c r="N364" t="n">
        <v>0</v>
      </c>
      <c r="O364" t="n">
        <v>0</v>
      </c>
      <c r="P364" t="n">
        <v>0</v>
      </c>
      <c r="Q364" t="n">
        <v>0</v>
      </c>
      <c r="R364" s="2" t="inlineStr"/>
    </row>
    <row r="365" ht="15" customHeight="1">
      <c r="A365" t="inlineStr">
        <is>
          <t>A 59498-2021</t>
        </is>
      </c>
      <c r="B365" s="1" t="n">
        <v>44491</v>
      </c>
      <c r="C365" s="1" t="n">
        <v>45696</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60047-2021</t>
        </is>
      </c>
      <c r="B366" s="1" t="n">
        <v>44495</v>
      </c>
      <c r="C366" s="1" t="n">
        <v>45696</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v>
      </c>
      <c r="C367" s="1" t="n">
        <v>45696</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60584-2021</t>
        </is>
      </c>
      <c r="B368" s="1" t="n">
        <v>44496</v>
      </c>
      <c r="C368" s="1" t="n">
        <v>45696</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61746-2021</t>
        </is>
      </c>
      <c r="B369" s="1" t="n">
        <v>44498</v>
      </c>
      <c r="C369" s="1" t="n">
        <v>45696</v>
      </c>
      <c r="D369" t="inlineStr">
        <is>
          <t>UPPSALA LÄN</t>
        </is>
      </c>
      <c r="E369" t="inlineStr">
        <is>
          <t>ÖSTHAMMAR</t>
        </is>
      </c>
      <c r="G369" t="n">
        <v>5.6</v>
      </c>
      <c r="H369" t="n">
        <v>0</v>
      </c>
      <c r="I369" t="n">
        <v>0</v>
      </c>
      <c r="J369" t="n">
        <v>0</v>
      </c>
      <c r="K369" t="n">
        <v>0</v>
      </c>
      <c r="L369" t="n">
        <v>0</v>
      </c>
      <c r="M369" t="n">
        <v>0</v>
      </c>
      <c r="N369" t="n">
        <v>0</v>
      </c>
      <c r="O369" t="n">
        <v>0</v>
      </c>
      <c r="P369" t="n">
        <v>0</v>
      </c>
      <c r="Q369" t="n">
        <v>0</v>
      </c>
      <c r="R369" s="2" t="inlineStr"/>
    </row>
    <row r="370" ht="15" customHeight="1">
      <c r="A370" t="inlineStr">
        <is>
          <t>A 61555-2021</t>
        </is>
      </c>
      <c r="B370" s="1" t="n">
        <v>44501</v>
      </c>
      <c r="C370" s="1" t="n">
        <v>45696</v>
      </c>
      <c r="D370" t="inlineStr">
        <is>
          <t>UPPSALA LÄN</t>
        </is>
      </c>
      <c r="E370" t="inlineStr">
        <is>
          <t>ÖSTHAMMAR</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61560-2021</t>
        </is>
      </c>
      <c r="B371" s="1" t="n">
        <v>44501</v>
      </c>
      <c r="C371" s="1" t="n">
        <v>45696</v>
      </c>
      <c r="D371" t="inlineStr">
        <is>
          <t>UPPSALA LÄN</t>
        </is>
      </c>
      <c r="E371" t="inlineStr">
        <is>
          <t>ÖSTHAMMAR</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61817-2021</t>
        </is>
      </c>
      <c r="B372" s="1" t="n">
        <v>44501</v>
      </c>
      <c r="C372" s="1" t="n">
        <v>45696</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62854-2021</t>
        </is>
      </c>
      <c r="B373" s="1" t="n">
        <v>44504</v>
      </c>
      <c r="C373" s="1" t="n">
        <v>45696</v>
      </c>
      <c r="D373" t="inlineStr">
        <is>
          <t>UPPSALA LÄN</t>
        </is>
      </c>
      <c r="E373" t="inlineStr">
        <is>
          <t>ÖSTHAMMAR</t>
        </is>
      </c>
      <c r="F373" t="inlineStr">
        <is>
          <t>Bergvik skog öst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62782-2021</t>
        </is>
      </c>
      <c r="B374" s="1" t="n">
        <v>44504</v>
      </c>
      <c r="C374" s="1" t="n">
        <v>45696</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64586-2021</t>
        </is>
      </c>
      <c r="B375" s="1" t="n">
        <v>44511</v>
      </c>
      <c r="C375" s="1" t="n">
        <v>45696</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64811-2021</t>
        </is>
      </c>
      <c r="B376" s="1" t="n">
        <v>44512</v>
      </c>
      <c r="C376" s="1" t="n">
        <v>45696</v>
      </c>
      <c r="D376" t="inlineStr">
        <is>
          <t>UPPSALA LÄN</t>
        </is>
      </c>
      <c r="E376" t="inlineStr">
        <is>
          <t>ÖSTHAMMAR</t>
        </is>
      </c>
      <c r="G376" t="n">
        <v>4.2</v>
      </c>
      <c r="H376" t="n">
        <v>0</v>
      </c>
      <c r="I376" t="n">
        <v>0</v>
      </c>
      <c r="J376" t="n">
        <v>0</v>
      </c>
      <c r="K376" t="n">
        <v>0</v>
      </c>
      <c r="L376" t="n">
        <v>0</v>
      </c>
      <c r="M376" t="n">
        <v>0</v>
      </c>
      <c r="N376" t="n">
        <v>0</v>
      </c>
      <c r="O376" t="n">
        <v>0</v>
      </c>
      <c r="P376" t="n">
        <v>0</v>
      </c>
      <c r="Q376" t="n">
        <v>0</v>
      </c>
      <c r="R376" s="2" t="inlineStr"/>
    </row>
    <row r="377" ht="15" customHeight="1">
      <c r="A377" t="inlineStr">
        <is>
          <t>A 64872-2021</t>
        </is>
      </c>
      <c r="B377" s="1" t="n">
        <v>44512</v>
      </c>
      <c r="C377" s="1" t="n">
        <v>45696</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64885-2021</t>
        </is>
      </c>
      <c r="B378" s="1" t="n">
        <v>44512</v>
      </c>
      <c r="C378" s="1" t="n">
        <v>45696</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65020-2021</t>
        </is>
      </c>
      <c r="B379" s="1" t="n">
        <v>44515</v>
      </c>
      <c r="C379" s="1" t="n">
        <v>45696</v>
      </c>
      <c r="D379" t="inlineStr">
        <is>
          <t>UPPSALA LÄN</t>
        </is>
      </c>
      <c r="E379" t="inlineStr">
        <is>
          <t>ÖSTHAMMAR</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65165-2021</t>
        </is>
      </c>
      <c r="B380" s="1" t="n">
        <v>44515</v>
      </c>
      <c r="C380" s="1" t="n">
        <v>45696</v>
      </c>
      <c r="D380" t="inlineStr">
        <is>
          <t>UPPSALA LÄN</t>
        </is>
      </c>
      <c r="E380" t="inlineStr">
        <is>
          <t>ÖSTHAMMAR</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65104-2021</t>
        </is>
      </c>
      <c r="B381" s="1" t="n">
        <v>44515</v>
      </c>
      <c r="C381" s="1" t="n">
        <v>45696</v>
      </c>
      <c r="D381" t="inlineStr">
        <is>
          <t>UPPSALA LÄN</t>
        </is>
      </c>
      <c r="E381" t="inlineStr">
        <is>
          <t>ÖSTHAMMAR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65028-2021</t>
        </is>
      </c>
      <c r="B382" s="1" t="n">
        <v>44515</v>
      </c>
      <c r="C382" s="1" t="n">
        <v>45696</v>
      </c>
      <c r="D382" t="inlineStr">
        <is>
          <t>UPPSALA LÄN</t>
        </is>
      </c>
      <c r="E382" t="inlineStr">
        <is>
          <t>ÖSTHAMMAR</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66549-2021</t>
        </is>
      </c>
      <c r="B383" s="1" t="n">
        <v>44519</v>
      </c>
      <c r="C383" s="1" t="n">
        <v>45696</v>
      </c>
      <c r="D383" t="inlineStr">
        <is>
          <t>UPPSALA LÄN</t>
        </is>
      </c>
      <c r="E383" t="inlineStr">
        <is>
          <t>ÖSTHAMMAR</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45696</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67033-2021</t>
        </is>
      </c>
      <c r="B385" s="1" t="n">
        <v>44522</v>
      </c>
      <c r="C385" s="1" t="n">
        <v>45696</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67030-2021</t>
        </is>
      </c>
      <c r="B386" s="1" t="n">
        <v>44522</v>
      </c>
      <c r="C386" s="1" t="n">
        <v>45696</v>
      </c>
      <c r="D386" t="inlineStr">
        <is>
          <t>UPPSALA LÄN</t>
        </is>
      </c>
      <c r="E386" t="inlineStr">
        <is>
          <t>ÖSTHAMMAR</t>
        </is>
      </c>
      <c r="G386" t="n">
        <v>8.6</v>
      </c>
      <c r="H386" t="n">
        <v>0</v>
      </c>
      <c r="I386" t="n">
        <v>0</v>
      </c>
      <c r="J386" t="n">
        <v>0</v>
      </c>
      <c r="K386" t="n">
        <v>0</v>
      </c>
      <c r="L386" t="n">
        <v>0</v>
      </c>
      <c r="M386" t="n">
        <v>0</v>
      </c>
      <c r="N386" t="n">
        <v>0</v>
      </c>
      <c r="O386" t="n">
        <v>0</v>
      </c>
      <c r="P386" t="n">
        <v>0</v>
      </c>
      <c r="Q386" t="n">
        <v>0</v>
      </c>
      <c r="R386" s="2" t="inlineStr"/>
    </row>
    <row r="387" ht="15" customHeight="1">
      <c r="A387" t="inlineStr">
        <is>
          <t>A 67151-2021</t>
        </is>
      </c>
      <c r="B387" s="1" t="n">
        <v>44523</v>
      </c>
      <c r="C387" s="1" t="n">
        <v>45696</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67199-2021</t>
        </is>
      </c>
      <c r="B388" s="1" t="n">
        <v>44523</v>
      </c>
      <c r="C388" s="1" t="n">
        <v>45696</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67217-2021</t>
        </is>
      </c>
      <c r="B389" s="1" t="n">
        <v>44523</v>
      </c>
      <c r="C389" s="1" t="n">
        <v>45696</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67859-2021</t>
        </is>
      </c>
      <c r="B390" s="1" t="n">
        <v>44525</v>
      </c>
      <c r="C390" s="1" t="n">
        <v>45696</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45696</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69505-2021</t>
        </is>
      </c>
      <c r="B392" s="1" t="n">
        <v>44531</v>
      </c>
      <c r="C392" s="1" t="n">
        <v>45696</v>
      </c>
      <c r="D392" t="inlineStr">
        <is>
          <t>UPPSALA LÄN</t>
        </is>
      </c>
      <c r="E392" t="inlineStr">
        <is>
          <t>ÖSTHAMMAR</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69411-2021</t>
        </is>
      </c>
      <c r="B393" s="1" t="n">
        <v>44531</v>
      </c>
      <c r="C393" s="1" t="n">
        <v>45696</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69518-2021</t>
        </is>
      </c>
      <c r="B394" s="1" t="n">
        <v>44531</v>
      </c>
      <c r="C394" s="1" t="n">
        <v>45696</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70008-2021</t>
        </is>
      </c>
      <c r="B395" s="1" t="n">
        <v>44533</v>
      </c>
      <c r="C395" s="1" t="n">
        <v>45696</v>
      </c>
      <c r="D395" t="inlineStr">
        <is>
          <t>UPPSALA LÄN</t>
        </is>
      </c>
      <c r="E395" t="inlineStr">
        <is>
          <t>ÖSTHAMMAR</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70408-2021</t>
        </is>
      </c>
      <c r="B396" s="1" t="n">
        <v>44536</v>
      </c>
      <c r="C396" s="1" t="n">
        <v>45696</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72627-2021</t>
        </is>
      </c>
      <c r="B397" s="1" t="n">
        <v>44546</v>
      </c>
      <c r="C397" s="1" t="n">
        <v>45696</v>
      </c>
      <c r="D397" t="inlineStr">
        <is>
          <t>UPPSALA LÄN</t>
        </is>
      </c>
      <c r="E397" t="inlineStr">
        <is>
          <t>ÖSTHAMMAR</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72637-2021</t>
        </is>
      </c>
      <c r="B398" s="1" t="n">
        <v>44546</v>
      </c>
      <c r="C398" s="1" t="n">
        <v>45696</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72969-2021</t>
        </is>
      </c>
      <c r="B399" s="1" t="n">
        <v>44548</v>
      </c>
      <c r="C399" s="1" t="n">
        <v>45696</v>
      </c>
      <c r="D399" t="inlineStr">
        <is>
          <t>UPPSALA LÄN</t>
        </is>
      </c>
      <c r="E399" t="inlineStr">
        <is>
          <t>ÖSTHAMMAR</t>
        </is>
      </c>
      <c r="F399" t="inlineStr">
        <is>
          <t>Bergvik skog öst AB</t>
        </is>
      </c>
      <c r="G399" t="n">
        <v>8</v>
      </c>
      <c r="H399" t="n">
        <v>0</v>
      </c>
      <c r="I399" t="n">
        <v>0</v>
      </c>
      <c r="J399" t="n">
        <v>0</v>
      </c>
      <c r="K399" t="n">
        <v>0</v>
      </c>
      <c r="L399" t="n">
        <v>0</v>
      </c>
      <c r="M399" t="n">
        <v>0</v>
      </c>
      <c r="N399" t="n">
        <v>0</v>
      </c>
      <c r="O399" t="n">
        <v>0</v>
      </c>
      <c r="P399" t="n">
        <v>0</v>
      </c>
      <c r="Q399" t="n">
        <v>0</v>
      </c>
      <c r="R399" s="2" t="inlineStr"/>
    </row>
    <row r="400" ht="15" customHeight="1">
      <c r="A400" t="inlineStr">
        <is>
          <t>A 73483-2021</t>
        </is>
      </c>
      <c r="B400" s="1" t="n">
        <v>44550</v>
      </c>
      <c r="C400" s="1" t="n">
        <v>45696</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v>
      </c>
      <c r="C401" s="1" t="n">
        <v>45696</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v>
      </c>
      <c r="C402" s="1" t="n">
        <v>45696</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73982-2021</t>
        </is>
      </c>
      <c r="B403" s="1" t="n">
        <v>44555</v>
      </c>
      <c r="C403" s="1" t="n">
        <v>45696</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73983-2021</t>
        </is>
      </c>
      <c r="B404" s="1" t="n">
        <v>44555</v>
      </c>
      <c r="C404" s="1" t="n">
        <v>45696</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74429-2021</t>
        </is>
      </c>
      <c r="B405" s="1" t="n">
        <v>44560</v>
      </c>
      <c r="C405" s="1" t="n">
        <v>45696</v>
      </c>
      <c r="D405" t="inlineStr">
        <is>
          <t>UPPSALA LÄN</t>
        </is>
      </c>
      <c r="E405" t="inlineStr">
        <is>
          <t>ÖSTHAMMAR</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74467-2021</t>
        </is>
      </c>
      <c r="B406" s="1" t="n">
        <v>44560</v>
      </c>
      <c r="C406" s="1" t="n">
        <v>45696</v>
      </c>
      <c r="D406" t="inlineStr">
        <is>
          <t>UPPSALA LÄN</t>
        </is>
      </c>
      <c r="E406" t="inlineStr">
        <is>
          <t>ÖSTHAMMAR</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74428-2021</t>
        </is>
      </c>
      <c r="B407" s="1" t="n">
        <v>44560</v>
      </c>
      <c r="C407" s="1" t="n">
        <v>45696</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74436-2021</t>
        </is>
      </c>
      <c r="B408" s="1" t="n">
        <v>44560</v>
      </c>
      <c r="C408" s="1" t="n">
        <v>45696</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1238-2022</t>
        </is>
      </c>
      <c r="B409" s="1" t="n">
        <v>44572</v>
      </c>
      <c r="C409" s="1" t="n">
        <v>45696</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1609-2022</t>
        </is>
      </c>
      <c r="B410" s="1" t="n">
        <v>44573</v>
      </c>
      <c r="C410" s="1" t="n">
        <v>45696</v>
      </c>
      <c r="D410" t="inlineStr">
        <is>
          <t>UPPSALA LÄN</t>
        </is>
      </c>
      <c r="E410" t="inlineStr">
        <is>
          <t>ÖSTHAMMAR</t>
        </is>
      </c>
      <c r="G410" t="n">
        <v>5.3</v>
      </c>
      <c r="H410" t="n">
        <v>0</v>
      </c>
      <c r="I410" t="n">
        <v>0</v>
      </c>
      <c r="J410" t="n">
        <v>0</v>
      </c>
      <c r="K410" t="n">
        <v>0</v>
      </c>
      <c r="L410" t="n">
        <v>0</v>
      </c>
      <c r="M410" t="n">
        <v>0</v>
      </c>
      <c r="N410" t="n">
        <v>0</v>
      </c>
      <c r="O410" t="n">
        <v>0</v>
      </c>
      <c r="P410" t="n">
        <v>0</v>
      </c>
      <c r="Q410" t="n">
        <v>0</v>
      </c>
      <c r="R410" s="2" t="inlineStr"/>
    </row>
    <row r="411" ht="15" customHeight="1">
      <c r="A411" t="inlineStr">
        <is>
          <t>A 2085-2022</t>
        </is>
      </c>
      <c r="B411" s="1" t="n">
        <v>44576</v>
      </c>
      <c r="C411" s="1" t="n">
        <v>45696</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2108-2022</t>
        </is>
      </c>
      <c r="B412" s="1" t="n">
        <v>44577</v>
      </c>
      <c r="C412" s="1" t="n">
        <v>45696</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2168-2022</t>
        </is>
      </c>
      <c r="B413" s="1" t="n">
        <v>44578</v>
      </c>
      <c r="C413" s="1" t="n">
        <v>45696</v>
      </c>
      <c r="D413" t="inlineStr">
        <is>
          <t>UPPSALA LÄN</t>
        </is>
      </c>
      <c r="E413" t="inlineStr">
        <is>
          <t>ÖSTHAMMAR</t>
        </is>
      </c>
      <c r="G413" t="n">
        <v>2.9</v>
      </c>
      <c r="H413" t="n">
        <v>0</v>
      </c>
      <c r="I413" t="n">
        <v>0</v>
      </c>
      <c r="J413" t="n">
        <v>0</v>
      </c>
      <c r="K413" t="n">
        <v>0</v>
      </c>
      <c r="L413" t="n">
        <v>0</v>
      </c>
      <c r="M413" t="n">
        <v>0</v>
      </c>
      <c r="N413" t="n">
        <v>0</v>
      </c>
      <c r="O413" t="n">
        <v>0</v>
      </c>
      <c r="P413" t="n">
        <v>0</v>
      </c>
      <c r="Q413" t="n">
        <v>0</v>
      </c>
      <c r="R413" s="2" t="inlineStr"/>
    </row>
    <row r="414" ht="15" customHeight="1">
      <c r="A414" t="inlineStr">
        <is>
          <t>A 3638-2022</t>
        </is>
      </c>
      <c r="B414" s="1" t="n">
        <v>44578</v>
      </c>
      <c r="C414" s="1" t="n">
        <v>45696</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45696</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3732-2022</t>
        </is>
      </c>
      <c r="B416" s="1" t="n">
        <v>44586</v>
      </c>
      <c r="C416" s="1" t="n">
        <v>45696</v>
      </c>
      <c r="D416" t="inlineStr">
        <is>
          <t>UPPSALA LÄN</t>
        </is>
      </c>
      <c r="E416" t="inlineStr">
        <is>
          <t>ÖSTHAMMAR</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3740-2022</t>
        </is>
      </c>
      <c r="B417" s="1" t="n">
        <v>44586</v>
      </c>
      <c r="C417" s="1" t="n">
        <v>45696</v>
      </c>
      <c r="D417" t="inlineStr">
        <is>
          <t>UPPSALA LÄN</t>
        </is>
      </c>
      <c r="E417" t="inlineStr">
        <is>
          <t>ÖSTHAMMAR</t>
        </is>
      </c>
      <c r="F417" t="inlineStr">
        <is>
          <t>Bergvik skog öst AB</t>
        </is>
      </c>
      <c r="G417" t="n">
        <v>7.7</v>
      </c>
      <c r="H417" t="n">
        <v>0</v>
      </c>
      <c r="I417" t="n">
        <v>0</v>
      </c>
      <c r="J417" t="n">
        <v>0</v>
      </c>
      <c r="K417" t="n">
        <v>0</v>
      </c>
      <c r="L417" t="n">
        <v>0</v>
      </c>
      <c r="M417" t="n">
        <v>0</v>
      </c>
      <c r="N417" t="n">
        <v>0</v>
      </c>
      <c r="O417" t="n">
        <v>0</v>
      </c>
      <c r="P417" t="n">
        <v>0</v>
      </c>
      <c r="Q417" t="n">
        <v>0</v>
      </c>
      <c r="R417" s="2" t="inlineStr"/>
    </row>
    <row r="418" ht="15" customHeight="1">
      <c r="A418" t="inlineStr">
        <is>
          <t>A 3991-2022</t>
        </is>
      </c>
      <c r="B418" s="1" t="n">
        <v>44587</v>
      </c>
      <c r="C418" s="1" t="n">
        <v>45696</v>
      </c>
      <c r="D418" t="inlineStr">
        <is>
          <t>UPPSALA LÄN</t>
        </is>
      </c>
      <c r="E418" t="inlineStr">
        <is>
          <t>ÖSTHAMMAR</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4101-2022</t>
        </is>
      </c>
      <c r="B419" s="1" t="n">
        <v>44588</v>
      </c>
      <c r="C419" s="1" t="n">
        <v>45696</v>
      </c>
      <c r="D419" t="inlineStr">
        <is>
          <t>UPPSALA LÄN</t>
        </is>
      </c>
      <c r="E419" t="inlineStr">
        <is>
          <t>ÖSTHAMMAR</t>
        </is>
      </c>
      <c r="G419" t="n">
        <v>4.4</v>
      </c>
      <c r="H419" t="n">
        <v>0</v>
      </c>
      <c r="I419" t="n">
        <v>0</v>
      </c>
      <c r="J419" t="n">
        <v>0</v>
      </c>
      <c r="K419" t="n">
        <v>0</v>
      </c>
      <c r="L419" t="n">
        <v>0</v>
      </c>
      <c r="M419" t="n">
        <v>0</v>
      </c>
      <c r="N419" t="n">
        <v>0</v>
      </c>
      <c r="O419" t="n">
        <v>0</v>
      </c>
      <c r="P419" t="n">
        <v>0</v>
      </c>
      <c r="Q419" t="n">
        <v>0</v>
      </c>
      <c r="R419" s="2" t="inlineStr"/>
    </row>
    <row r="420" ht="15" customHeight="1">
      <c r="A420" t="inlineStr">
        <is>
          <t>A 4318-2022</t>
        </is>
      </c>
      <c r="B420" s="1" t="n">
        <v>44588</v>
      </c>
      <c r="C420" s="1" t="n">
        <v>45696</v>
      </c>
      <c r="D420" t="inlineStr">
        <is>
          <t>UPPSALA LÄN</t>
        </is>
      </c>
      <c r="E420" t="inlineStr">
        <is>
          <t>ÖSTHAMMAR</t>
        </is>
      </c>
      <c r="F420" t="inlineStr">
        <is>
          <t>Bergvik skog öst AB</t>
        </is>
      </c>
      <c r="G420" t="n">
        <v>9.6</v>
      </c>
      <c r="H420" t="n">
        <v>0</v>
      </c>
      <c r="I420" t="n">
        <v>0</v>
      </c>
      <c r="J420" t="n">
        <v>0</v>
      </c>
      <c r="K420" t="n">
        <v>0</v>
      </c>
      <c r="L420" t="n">
        <v>0</v>
      </c>
      <c r="M420" t="n">
        <v>0</v>
      </c>
      <c r="N420" t="n">
        <v>0</v>
      </c>
      <c r="O420" t="n">
        <v>0</v>
      </c>
      <c r="P420" t="n">
        <v>0</v>
      </c>
      <c r="Q420" t="n">
        <v>0</v>
      </c>
      <c r="R420" s="2" t="inlineStr"/>
    </row>
    <row r="421" ht="15" customHeight="1">
      <c r="A421" t="inlineStr">
        <is>
          <t>A 4315-2022</t>
        </is>
      </c>
      <c r="B421" s="1" t="n">
        <v>44588</v>
      </c>
      <c r="C421" s="1" t="n">
        <v>45696</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4491-2022</t>
        </is>
      </c>
      <c r="B422" s="1" t="n">
        <v>44589</v>
      </c>
      <c r="C422" s="1" t="n">
        <v>45696</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4357-2022</t>
        </is>
      </c>
      <c r="B423" s="1" t="n">
        <v>44589</v>
      </c>
      <c r="C423" s="1" t="n">
        <v>45696</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4563-2022</t>
        </is>
      </c>
      <c r="B424" s="1" t="n">
        <v>44591</v>
      </c>
      <c r="C424" s="1" t="n">
        <v>45696</v>
      </c>
      <c r="D424" t="inlineStr">
        <is>
          <t>UPPSALA LÄN</t>
        </is>
      </c>
      <c r="E424" t="inlineStr">
        <is>
          <t>ÖSTHAMMAR</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4562-2022</t>
        </is>
      </c>
      <c r="B425" s="1" t="n">
        <v>44591</v>
      </c>
      <c r="C425" s="1" t="n">
        <v>45696</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4561-2022</t>
        </is>
      </c>
      <c r="B426" s="1" t="n">
        <v>44591</v>
      </c>
      <c r="C426" s="1" t="n">
        <v>45696</v>
      </c>
      <c r="D426" t="inlineStr">
        <is>
          <t>UPPSALA LÄN</t>
        </is>
      </c>
      <c r="E426" t="inlineStr">
        <is>
          <t>ÖSTHAMMAR</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v>
      </c>
      <c r="C427" s="1" t="n">
        <v>45696</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4565-2022</t>
        </is>
      </c>
      <c r="B428" s="1" t="n">
        <v>44591</v>
      </c>
      <c r="C428" s="1" t="n">
        <v>45696</v>
      </c>
      <c r="D428" t="inlineStr">
        <is>
          <t>UPPSALA LÄN</t>
        </is>
      </c>
      <c r="E428" t="inlineStr">
        <is>
          <t>ÖSTHAMMAR</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5855-2022</t>
        </is>
      </c>
      <c r="B429" s="1" t="n">
        <v>44596</v>
      </c>
      <c r="C429" s="1" t="n">
        <v>45696</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5974-2022</t>
        </is>
      </c>
      <c r="B430" s="1" t="n">
        <v>44597</v>
      </c>
      <c r="C430" s="1" t="n">
        <v>45696</v>
      </c>
      <c r="D430" t="inlineStr">
        <is>
          <t>UPPSALA LÄN</t>
        </is>
      </c>
      <c r="E430" t="inlineStr">
        <is>
          <t>ÖSTHAMMAR</t>
        </is>
      </c>
      <c r="G430" t="n">
        <v>1.8</v>
      </c>
      <c r="H430" t="n">
        <v>0</v>
      </c>
      <c r="I430" t="n">
        <v>0</v>
      </c>
      <c r="J430" t="n">
        <v>0</v>
      </c>
      <c r="K430" t="n">
        <v>0</v>
      </c>
      <c r="L430" t="n">
        <v>0</v>
      </c>
      <c r="M430" t="n">
        <v>0</v>
      </c>
      <c r="N430" t="n">
        <v>0</v>
      </c>
      <c r="O430" t="n">
        <v>0</v>
      </c>
      <c r="P430" t="n">
        <v>0</v>
      </c>
      <c r="Q430" t="n">
        <v>0</v>
      </c>
      <c r="R430" s="2" t="inlineStr"/>
    </row>
    <row r="431" ht="15" customHeight="1">
      <c r="A431" t="inlineStr">
        <is>
          <t>A 5933-2022</t>
        </is>
      </c>
      <c r="B431" s="1" t="n">
        <v>44598</v>
      </c>
      <c r="C431" s="1" t="n">
        <v>45696</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5934-2022</t>
        </is>
      </c>
      <c r="B432" s="1" t="n">
        <v>44598</v>
      </c>
      <c r="C432" s="1" t="n">
        <v>45696</v>
      </c>
      <c r="D432" t="inlineStr">
        <is>
          <t>UPPSALA LÄN</t>
        </is>
      </c>
      <c r="E432" t="inlineStr">
        <is>
          <t>ÖSTHAMMAR</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5932-2022</t>
        </is>
      </c>
      <c r="B433" s="1" t="n">
        <v>44598</v>
      </c>
      <c r="C433" s="1" t="n">
        <v>45696</v>
      </c>
      <c r="D433" t="inlineStr">
        <is>
          <t>UPPSALA LÄN</t>
        </is>
      </c>
      <c r="E433" t="inlineStr">
        <is>
          <t>ÖSTHAMMAR</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5931-2022</t>
        </is>
      </c>
      <c r="B434" s="1" t="n">
        <v>44598</v>
      </c>
      <c r="C434" s="1" t="n">
        <v>45696</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6143-2022</t>
        </is>
      </c>
      <c r="B435" s="1" t="n">
        <v>44599</v>
      </c>
      <c r="C435" s="1" t="n">
        <v>45696</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6153-2022</t>
        </is>
      </c>
      <c r="B436" s="1" t="n">
        <v>44599</v>
      </c>
      <c r="C436" s="1" t="n">
        <v>45696</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6206-2022</t>
        </is>
      </c>
      <c r="B437" s="1" t="n">
        <v>44600</v>
      </c>
      <c r="C437" s="1" t="n">
        <v>45696</v>
      </c>
      <c r="D437" t="inlineStr">
        <is>
          <t>UPPSALA LÄN</t>
        </is>
      </c>
      <c r="E437" t="inlineStr">
        <is>
          <t>ÖSTHAMMAR</t>
        </is>
      </c>
      <c r="G437" t="n">
        <v>7.4</v>
      </c>
      <c r="H437" t="n">
        <v>0</v>
      </c>
      <c r="I437" t="n">
        <v>0</v>
      </c>
      <c r="J437" t="n">
        <v>0</v>
      </c>
      <c r="K437" t="n">
        <v>0</v>
      </c>
      <c r="L437" t="n">
        <v>0</v>
      </c>
      <c r="M437" t="n">
        <v>0</v>
      </c>
      <c r="N437" t="n">
        <v>0</v>
      </c>
      <c r="O437" t="n">
        <v>0</v>
      </c>
      <c r="P437" t="n">
        <v>0</v>
      </c>
      <c r="Q437" t="n">
        <v>0</v>
      </c>
      <c r="R437" s="2" t="inlineStr"/>
    </row>
    <row r="438" ht="15" customHeight="1">
      <c r="A438" t="inlineStr">
        <is>
          <t>A 6313-2022</t>
        </is>
      </c>
      <c r="B438" s="1" t="n">
        <v>44600</v>
      </c>
      <c r="C438" s="1" t="n">
        <v>45696</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6892-2022</t>
        </is>
      </c>
      <c r="B439" s="1" t="n">
        <v>44602</v>
      </c>
      <c r="C439" s="1" t="n">
        <v>45696</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7181-2022</t>
        </is>
      </c>
      <c r="B440" s="1" t="n">
        <v>44605</v>
      </c>
      <c r="C440" s="1" t="n">
        <v>45696</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7302-2022</t>
        </is>
      </c>
      <c r="B441" s="1" t="n">
        <v>44606</v>
      </c>
      <c r="C441" s="1" t="n">
        <v>45696</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7475-2022</t>
        </is>
      </c>
      <c r="B442" s="1" t="n">
        <v>44607</v>
      </c>
      <c r="C442" s="1" t="n">
        <v>45696</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7488-2022</t>
        </is>
      </c>
      <c r="B443" s="1" t="n">
        <v>44607</v>
      </c>
      <c r="C443" s="1" t="n">
        <v>45696</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7858-2022</t>
        </is>
      </c>
      <c r="B444" s="1" t="n">
        <v>44608</v>
      </c>
      <c r="C444" s="1" t="n">
        <v>45696</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7871-2022</t>
        </is>
      </c>
      <c r="B445" s="1" t="n">
        <v>44608</v>
      </c>
      <c r="C445" s="1" t="n">
        <v>45696</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7997-2022</t>
        </is>
      </c>
      <c r="B446" s="1" t="n">
        <v>44609</v>
      </c>
      <c r="C446" s="1" t="n">
        <v>45696</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8283-2022</t>
        </is>
      </c>
      <c r="B447" s="1" t="n">
        <v>44610</v>
      </c>
      <c r="C447" s="1" t="n">
        <v>45696</v>
      </c>
      <c r="D447" t="inlineStr">
        <is>
          <t>UPPSALA LÄN</t>
        </is>
      </c>
      <c r="E447" t="inlineStr">
        <is>
          <t>ÖSTHAMMAR</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8592-2022</t>
        </is>
      </c>
      <c r="B448" s="1" t="n">
        <v>44613</v>
      </c>
      <c r="C448" s="1" t="n">
        <v>45696</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8708-2022</t>
        </is>
      </c>
      <c r="B449" s="1" t="n">
        <v>44613</v>
      </c>
      <c r="C449" s="1" t="n">
        <v>45696</v>
      </c>
      <c r="D449" t="inlineStr">
        <is>
          <t>UPPSALA LÄN</t>
        </is>
      </c>
      <c r="E449" t="inlineStr">
        <is>
          <t>ÖSTHAMMAR</t>
        </is>
      </c>
      <c r="G449" t="n">
        <v>4.3</v>
      </c>
      <c r="H449" t="n">
        <v>0</v>
      </c>
      <c r="I449" t="n">
        <v>0</v>
      </c>
      <c r="J449" t="n">
        <v>0</v>
      </c>
      <c r="K449" t="n">
        <v>0</v>
      </c>
      <c r="L449" t="n">
        <v>0</v>
      </c>
      <c r="M449" t="n">
        <v>0</v>
      </c>
      <c r="N449" t="n">
        <v>0</v>
      </c>
      <c r="O449" t="n">
        <v>0</v>
      </c>
      <c r="P449" t="n">
        <v>0</v>
      </c>
      <c r="Q449" t="n">
        <v>0</v>
      </c>
      <c r="R449" s="2" t="inlineStr"/>
    </row>
    <row r="450" ht="15" customHeight="1">
      <c r="A450" t="inlineStr">
        <is>
          <t>A 8710-2022</t>
        </is>
      </c>
      <c r="B450" s="1" t="n">
        <v>44613</v>
      </c>
      <c r="C450" s="1" t="n">
        <v>45696</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8537-2022</t>
        </is>
      </c>
      <c r="B451" s="1" t="n">
        <v>44613</v>
      </c>
      <c r="C451" s="1" t="n">
        <v>45696</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8554-2022</t>
        </is>
      </c>
      <c r="B452" s="1" t="n">
        <v>44613</v>
      </c>
      <c r="C452" s="1" t="n">
        <v>45696</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8556-2022</t>
        </is>
      </c>
      <c r="B453" s="1" t="n">
        <v>44613</v>
      </c>
      <c r="C453" s="1" t="n">
        <v>45696</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8775-2022</t>
        </is>
      </c>
      <c r="B454" s="1" t="n">
        <v>44614</v>
      </c>
      <c r="C454" s="1" t="n">
        <v>45696</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8750-2022</t>
        </is>
      </c>
      <c r="B455" s="1" t="n">
        <v>44614</v>
      </c>
      <c r="C455" s="1" t="n">
        <v>45696</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9755-2022</t>
        </is>
      </c>
      <c r="B456" s="1" t="n">
        <v>44618</v>
      </c>
      <c r="C456" s="1" t="n">
        <v>45696</v>
      </c>
      <c r="D456" t="inlineStr">
        <is>
          <t>UPPSALA LÄN</t>
        </is>
      </c>
      <c r="E456" t="inlineStr">
        <is>
          <t>ÖSTHAMMAR</t>
        </is>
      </c>
      <c r="F456" t="inlineStr">
        <is>
          <t>Bergvik skog öst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9789-2022</t>
        </is>
      </c>
      <c r="B457" s="1" t="n">
        <v>44620</v>
      </c>
      <c r="C457" s="1" t="n">
        <v>45696</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9795-2022</t>
        </is>
      </c>
      <c r="B458" s="1" t="n">
        <v>44620</v>
      </c>
      <c r="C458" s="1" t="n">
        <v>45696</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45696</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10294-2022</t>
        </is>
      </c>
      <c r="B460" s="1" t="n">
        <v>44622</v>
      </c>
      <c r="C460" s="1" t="n">
        <v>45696</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45696</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10298-2022</t>
        </is>
      </c>
      <c r="B462" s="1" t="n">
        <v>44622</v>
      </c>
      <c r="C462" s="1" t="n">
        <v>45696</v>
      </c>
      <c r="D462" t="inlineStr">
        <is>
          <t>UPPSALA LÄN</t>
        </is>
      </c>
      <c r="E462" t="inlineStr">
        <is>
          <t>ÖSTHAMMAR</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10980-2022</t>
        </is>
      </c>
      <c r="B463" s="1" t="n">
        <v>44628</v>
      </c>
      <c r="C463" s="1" t="n">
        <v>45696</v>
      </c>
      <c r="D463" t="inlineStr">
        <is>
          <t>UPPSALA LÄN</t>
        </is>
      </c>
      <c r="E463" t="inlineStr">
        <is>
          <t>ÖSTHAMMAR</t>
        </is>
      </c>
      <c r="G463" t="n">
        <v>7.4</v>
      </c>
      <c r="H463" t="n">
        <v>0</v>
      </c>
      <c r="I463" t="n">
        <v>0</v>
      </c>
      <c r="J463" t="n">
        <v>0</v>
      </c>
      <c r="K463" t="n">
        <v>0</v>
      </c>
      <c r="L463" t="n">
        <v>0</v>
      </c>
      <c r="M463" t="n">
        <v>0</v>
      </c>
      <c r="N463" t="n">
        <v>0</v>
      </c>
      <c r="O463" t="n">
        <v>0</v>
      </c>
      <c r="P463" t="n">
        <v>0</v>
      </c>
      <c r="Q463" t="n">
        <v>0</v>
      </c>
      <c r="R463" s="2" t="inlineStr"/>
    </row>
    <row r="464" ht="15" customHeight="1">
      <c r="A464" t="inlineStr">
        <is>
          <t>A 11547-2022</t>
        </is>
      </c>
      <c r="B464" s="1" t="n">
        <v>44631</v>
      </c>
      <c r="C464" s="1" t="n">
        <v>45696</v>
      </c>
      <c r="D464" t="inlineStr">
        <is>
          <t>UPPSALA LÄN</t>
        </is>
      </c>
      <c r="E464" t="inlineStr">
        <is>
          <t>ÖSTHAMMAR</t>
        </is>
      </c>
      <c r="G464" t="n">
        <v>4.4</v>
      </c>
      <c r="H464" t="n">
        <v>0</v>
      </c>
      <c r="I464" t="n">
        <v>0</v>
      </c>
      <c r="J464" t="n">
        <v>0</v>
      </c>
      <c r="K464" t="n">
        <v>0</v>
      </c>
      <c r="L464" t="n">
        <v>0</v>
      </c>
      <c r="M464" t="n">
        <v>0</v>
      </c>
      <c r="N464" t="n">
        <v>0</v>
      </c>
      <c r="O464" t="n">
        <v>0</v>
      </c>
      <c r="P464" t="n">
        <v>0</v>
      </c>
      <c r="Q464" t="n">
        <v>0</v>
      </c>
      <c r="R464" s="2" t="inlineStr"/>
    </row>
    <row r="465" ht="15" customHeight="1">
      <c r="A465" t="inlineStr">
        <is>
          <t>A 11643-2022</t>
        </is>
      </c>
      <c r="B465" s="1" t="n">
        <v>44631</v>
      </c>
      <c r="C465" s="1" t="n">
        <v>45696</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11884-2022</t>
        </is>
      </c>
      <c r="B466" s="1" t="n">
        <v>44635</v>
      </c>
      <c r="C466" s="1" t="n">
        <v>45696</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11987-2022</t>
        </is>
      </c>
      <c r="B467" s="1" t="n">
        <v>44635</v>
      </c>
      <c r="C467" s="1" t="n">
        <v>45696</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11986-2022</t>
        </is>
      </c>
      <c r="B468" s="1" t="n">
        <v>44635</v>
      </c>
      <c r="C468" s="1" t="n">
        <v>45696</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12176-2022</t>
        </is>
      </c>
      <c r="B469" s="1" t="n">
        <v>44636</v>
      </c>
      <c r="C469" s="1" t="n">
        <v>45696</v>
      </c>
      <c r="D469" t="inlineStr">
        <is>
          <t>UPPSALA LÄN</t>
        </is>
      </c>
      <c r="E469" t="inlineStr">
        <is>
          <t>ÖSTHAMMAR</t>
        </is>
      </c>
      <c r="G469" t="n">
        <v>3.5</v>
      </c>
      <c r="H469" t="n">
        <v>0</v>
      </c>
      <c r="I469" t="n">
        <v>0</v>
      </c>
      <c r="J469" t="n">
        <v>0</v>
      </c>
      <c r="K469" t="n">
        <v>0</v>
      </c>
      <c r="L469" t="n">
        <v>0</v>
      </c>
      <c r="M469" t="n">
        <v>0</v>
      </c>
      <c r="N469" t="n">
        <v>0</v>
      </c>
      <c r="O469" t="n">
        <v>0</v>
      </c>
      <c r="P469" t="n">
        <v>0</v>
      </c>
      <c r="Q469" t="n">
        <v>0</v>
      </c>
      <c r="R469" s="2" t="inlineStr"/>
    </row>
    <row r="470" ht="15" customHeight="1">
      <c r="A470" t="inlineStr">
        <is>
          <t>A 12999-2022</t>
        </is>
      </c>
      <c r="B470" s="1" t="n">
        <v>44643</v>
      </c>
      <c r="C470" s="1" t="n">
        <v>45696</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13044-2022</t>
        </is>
      </c>
      <c r="B471" s="1" t="n">
        <v>44643</v>
      </c>
      <c r="C471" s="1" t="n">
        <v>45696</v>
      </c>
      <c r="D471" t="inlineStr">
        <is>
          <t>UPPSALA LÄN</t>
        </is>
      </c>
      <c r="E471" t="inlineStr">
        <is>
          <t>ÖSTHAMMAR</t>
        </is>
      </c>
      <c r="G471" t="n">
        <v>2.5</v>
      </c>
      <c r="H471" t="n">
        <v>0</v>
      </c>
      <c r="I471" t="n">
        <v>0</v>
      </c>
      <c r="J471" t="n">
        <v>0</v>
      </c>
      <c r="K471" t="n">
        <v>0</v>
      </c>
      <c r="L471" t="n">
        <v>0</v>
      </c>
      <c r="M471" t="n">
        <v>0</v>
      </c>
      <c r="N471" t="n">
        <v>0</v>
      </c>
      <c r="O471" t="n">
        <v>0</v>
      </c>
      <c r="P471" t="n">
        <v>0</v>
      </c>
      <c r="Q471" t="n">
        <v>0</v>
      </c>
      <c r="R471" s="2" t="inlineStr"/>
    </row>
    <row r="472" ht="15" customHeight="1">
      <c r="A472" t="inlineStr">
        <is>
          <t>A 13093-2022</t>
        </is>
      </c>
      <c r="B472" s="1" t="n">
        <v>44643</v>
      </c>
      <c r="C472" s="1" t="n">
        <v>45696</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13238-2022</t>
        </is>
      </c>
      <c r="B473" s="1" t="n">
        <v>44644</v>
      </c>
      <c r="C473" s="1" t="n">
        <v>45696</v>
      </c>
      <c r="D473" t="inlineStr">
        <is>
          <t>UPPSALA LÄN</t>
        </is>
      </c>
      <c r="E473" t="inlineStr">
        <is>
          <t>ÖSTHAMMAR</t>
        </is>
      </c>
      <c r="G473" t="n">
        <v>6.5</v>
      </c>
      <c r="H473" t="n">
        <v>0</v>
      </c>
      <c r="I473" t="n">
        <v>0</v>
      </c>
      <c r="J473" t="n">
        <v>0</v>
      </c>
      <c r="K473" t="n">
        <v>0</v>
      </c>
      <c r="L473" t="n">
        <v>0</v>
      </c>
      <c r="M473" t="n">
        <v>0</v>
      </c>
      <c r="N473" t="n">
        <v>0</v>
      </c>
      <c r="O473" t="n">
        <v>0</v>
      </c>
      <c r="P473" t="n">
        <v>0</v>
      </c>
      <c r="Q473" t="n">
        <v>0</v>
      </c>
      <c r="R473" s="2" t="inlineStr"/>
    </row>
    <row r="474" ht="15" customHeight="1">
      <c r="A474" t="inlineStr">
        <is>
          <t>A 13279-2022</t>
        </is>
      </c>
      <c r="B474" s="1" t="n">
        <v>44644</v>
      </c>
      <c r="C474" s="1" t="n">
        <v>45696</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13867-2022</t>
        </is>
      </c>
      <c r="B475" s="1" t="n">
        <v>44649</v>
      </c>
      <c r="C475" s="1" t="n">
        <v>45696</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14272-2022</t>
        </is>
      </c>
      <c r="B476" s="1" t="n">
        <v>44651</v>
      </c>
      <c r="C476" s="1" t="n">
        <v>45696</v>
      </c>
      <c r="D476" t="inlineStr">
        <is>
          <t>UPPSALA LÄN</t>
        </is>
      </c>
      <c r="E476" t="inlineStr">
        <is>
          <t>ÖSTHAMMAR</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14124-2022</t>
        </is>
      </c>
      <c r="B477" s="1" t="n">
        <v>44651</v>
      </c>
      <c r="C477" s="1" t="n">
        <v>45696</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14187-2022</t>
        </is>
      </c>
      <c r="B478" s="1" t="n">
        <v>44651</v>
      </c>
      <c r="C478" s="1" t="n">
        <v>45696</v>
      </c>
      <c r="D478" t="inlineStr">
        <is>
          <t>UPPSALA LÄN</t>
        </is>
      </c>
      <c r="E478" t="inlineStr">
        <is>
          <t>ÖSTHAMMAR</t>
        </is>
      </c>
      <c r="F478" t="inlineStr">
        <is>
          <t>Övriga Aktiebolag</t>
        </is>
      </c>
      <c r="G478" t="n">
        <v>14.1</v>
      </c>
      <c r="H478" t="n">
        <v>0</v>
      </c>
      <c r="I478" t="n">
        <v>0</v>
      </c>
      <c r="J478" t="n">
        <v>0</v>
      </c>
      <c r="K478" t="n">
        <v>0</v>
      </c>
      <c r="L478" t="n">
        <v>0</v>
      </c>
      <c r="M478" t="n">
        <v>0</v>
      </c>
      <c r="N478" t="n">
        <v>0</v>
      </c>
      <c r="O478" t="n">
        <v>0</v>
      </c>
      <c r="P478" t="n">
        <v>0</v>
      </c>
      <c r="Q478" t="n">
        <v>0</v>
      </c>
      <c r="R478" s="2" t="inlineStr"/>
    </row>
    <row r="479" ht="15" customHeight="1">
      <c r="A479" t="inlineStr">
        <is>
          <t>A 14271-2022</t>
        </is>
      </c>
      <c r="B479" s="1" t="n">
        <v>44651</v>
      </c>
      <c r="C479" s="1" t="n">
        <v>45696</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14671-2022</t>
        </is>
      </c>
      <c r="B480" s="1" t="n">
        <v>44655</v>
      </c>
      <c r="C480" s="1" t="n">
        <v>45696</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15064-2022</t>
        </is>
      </c>
      <c r="B481" s="1" t="n">
        <v>44657</v>
      </c>
      <c r="C481" s="1" t="n">
        <v>45696</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15311-2022</t>
        </is>
      </c>
      <c r="B482" s="1" t="n">
        <v>44659</v>
      </c>
      <c r="C482" s="1" t="n">
        <v>45696</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15334-2022</t>
        </is>
      </c>
      <c r="B483" s="1" t="n">
        <v>44659</v>
      </c>
      <c r="C483" s="1" t="n">
        <v>45696</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15447-2022</t>
        </is>
      </c>
      <c r="B484" s="1" t="n">
        <v>44660</v>
      </c>
      <c r="C484" s="1" t="n">
        <v>45696</v>
      </c>
      <c r="D484" t="inlineStr">
        <is>
          <t>UPPSALA LÄN</t>
        </is>
      </c>
      <c r="E484" t="inlineStr">
        <is>
          <t>ÖSTHAMMAR</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15445-2022</t>
        </is>
      </c>
      <c r="B485" s="1" t="n">
        <v>44660</v>
      </c>
      <c r="C485" s="1" t="n">
        <v>45696</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15449-2022</t>
        </is>
      </c>
      <c r="B486" s="1" t="n">
        <v>44660</v>
      </c>
      <c r="C486" s="1" t="n">
        <v>45696</v>
      </c>
      <c r="D486" t="inlineStr">
        <is>
          <t>UPPSALA LÄN</t>
        </is>
      </c>
      <c r="E486" t="inlineStr">
        <is>
          <t>ÖSTHAMMAR</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15456-2022</t>
        </is>
      </c>
      <c r="B487" s="1" t="n">
        <v>44661</v>
      </c>
      <c r="C487" s="1" t="n">
        <v>45696</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15457-2022</t>
        </is>
      </c>
      <c r="B488" s="1" t="n">
        <v>44661</v>
      </c>
      <c r="C488" s="1" t="n">
        <v>45696</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15847-2022</t>
        </is>
      </c>
      <c r="B489" s="1" t="n">
        <v>44664</v>
      </c>
      <c r="C489" s="1" t="n">
        <v>45696</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15845-2022</t>
        </is>
      </c>
      <c r="B490" s="1" t="n">
        <v>44664</v>
      </c>
      <c r="C490" s="1" t="n">
        <v>45696</v>
      </c>
      <c r="D490" t="inlineStr">
        <is>
          <t>UPPSALA LÄN</t>
        </is>
      </c>
      <c r="E490" t="inlineStr">
        <is>
          <t>ÖSTHAMMAR</t>
        </is>
      </c>
      <c r="G490" t="n">
        <v>4.5</v>
      </c>
      <c r="H490" t="n">
        <v>0</v>
      </c>
      <c r="I490" t="n">
        <v>0</v>
      </c>
      <c r="J490" t="n">
        <v>0</v>
      </c>
      <c r="K490" t="n">
        <v>0</v>
      </c>
      <c r="L490" t="n">
        <v>0</v>
      </c>
      <c r="M490" t="n">
        <v>0</v>
      </c>
      <c r="N490" t="n">
        <v>0</v>
      </c>
      <c r="O490" t="n">
        <v>0</v>
      </c>
      <c r="P490" t="n">
        <v>0</v>
      </c>
      <c r="Q490" t="n">
        <v>0</v>
      </c>
      <c r="R490" s="2" t="inlineStr"/>
    </row>
    <row r="491" ht="15" customHeight="1">
      <c r="A491" t="inlineStr">
        <is>
          <t>A 15928-2022</t>
        </is>
      </c>
      <c r="B491" s="1" t="n">
        <v>44664</v>
      </c>
      <c r="C491" s="1" t="n">
        <v>45696</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45696</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16142-2022</t>
        </is>
      </c>
      <c r="B493" s="1" t="n">
        <v>44665</v>
      </c>
      <c r="C493" s="1" t="n">
        <v>45696</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16167-2022</t>
        </is>
      </c>
      <c r="B494" s="1" t="n">
        <v>44667</v>
      </c>
      <c r="C494" s="1" t="n">
        <v>45696</v>
      </c>
      <c r="D494" t="inlineStr">
        <is>
          <t>UPPSALA LÄN</t>
        </is>
      </c>
      <c r="E494" t="inlineStr">
        <is>
          <t>ÖSTHAMMAR</t>
        </is>
      </c>
      <c r="F494" t="inlineStr">
        <is>
          <t>Bergvik skog öst AB</t>
        </is>
      </c>
      <c r="G494" t="n">
        <v>18.7</v>
      </c>
      <c r="H494" t="n">
        <v>0</v>
      </c>
      <c r="I494" t="n">
        <v>0</v>
      </c>
      <c r="J494" t="n">
        <v>0</v>
      </c>
      <c r="K494" t="n">
        <v>0</v>
      </c>
      <c r="L494" t="n">
        <v>0</v>
      </c>
      <c r="M494" t="n">
        <v>0</v>
      </c>
      <c r="N494" t="n">
        <v>0</v>
      </c>
      <c r="O494" t="n">
        <v>0</v>
      </c>
      <c r="P494" t="n">
        <v>0</v>
      </c>
      <c r="Q494" t="n">
        <v>0</v>
      </c>
      <c r="R494" s="2" t="inlineStr"/>
    </row>
    <row r="495" ht="15" customHeight="1">
      <c r="A495" t="inlineStr">
        <is>
          <t>A 16185-2022</t>
        </is>
      </c>
      <c r="B495" s="1" t="n">
        <v>44669</v>
      </c>
      <c r="C495" s="1" t="n">
        <v>45696</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16184-2022</t>
        </is>
      </c>
      <c r="B496" s="1" t="n">
        <v>44669</v>
      </c>
      <c r="C496" s="1" t="n">
        <v>45696</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16254-2022</t>
        </is>
      </c>
      <c r="B497" s="1" t="n">
        <v>44670</v>
      </c>
      <c r="C497" s="1" t="n">
        <v>45696</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16933-2022</t>
        </is>
      </c>
      <c r="B498" s="1" t="n">
        <v>44676</v>
      </c>
      <c r="C498" s="1" t="n">
        <v>45696</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17013-2022</t>
        </is>
      </c>
      <c r="B499" s="1" t="n">
        <v>44676</v>
      </c>
      <c r="C499" s="1" t="n">
        <v>45696</v>
      </c>
      <c r="D499" t="inlineStr">
        <is>
          <t>UPPSALA LÄN</t>
        </is>
      </c>
      <c r="E499" t="inlineStr">
        <is>
          <t>ÖSTHAMMAR</t>
        </is>
      </c>
      <c r="F499" t="inlineStr">
        <is>
          <t>Bergvik skog öst AB</t>
        </is>
      </c>
      <c r="G499" t="n">
        <v>0.2</v>
      </c>
      <c r="H499" t="n">
        <v>0</v>
      </c>
      <c r="I499" t="n">
        <v>0</v>
      </c>
      <c r="J499" t="n">
        <v>0</v>
      </c>
      <c r="K499" t="n">
        <v>0</v>
      </c>
      <c r="L499" t="n">
        <v>0</v>
      </c>
      <c r="M499" t="n">
        <v>0</v>
      </c>
      <c r="N499" t="n">
        <v>0</v>
      </c>
      <c r="O499" t="n">
        <v>0</v>
      </c>
      <c r="P499" t="n">
        <v>0</v>
      </c>
      <c r="Q499" t="n">
        <v>0</v>
      </c>
      <c r="R499" s="2" t="inlineStr"/>
    </row>
    <row r="500" ht="15" customHeight="1">
      <c r="A500" t="inlineStr">
        <is>
          <t>A 17947-2022</t>
        </is>
      </c>
      <c r="B500" s="1" t="n">
        <v>44683</v>
      </c>
      <c r="C500" s="1" t="n">
        <v>45696</v>
      </c>
      <c r="D500" t="inlineStr">
        <is>
          <t>UPPSALA LÄN</t>
        </is>
      </c>
      <c r="E500" t="inlineStr">
        <is>
          <t>ÖSTHAMMAR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18183-2022</t>
        </is>
      </c>
      <c r="B501" s="1" t="n">
        <v>44684</v>
      </c>
      <c r="C501" s="1" t="n">
        <v>45696</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45696</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18727-2022</t>
        </is>
      </c>
      <c r="B503" s="1" t="n">
        <v>44687</v>
      </c>
      <c r="C503" s="1" t="n">
        <v>45696</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18728-2022</t>
        </is>
      </c>
      <c r="B504" s="1" t="n">
        <v>44687</v>
      </c>
      <c r="C504" s="1" t="n">
        <v>45696</v>
      </c>
      <c r="D504" t="inlineStr">
        <is>
          <t>UPPSALA LÄN</t>
        </is>
      </c>
      <c r="E504" t="inlineStr">
        <is>
          <t>ÖSTHAMMAR</t>
        </is>
      </c>
      <c r="G504" t="n">
        <v>8.1</v>
      </c>
      <c r="H504" t="n">
        <v>0</v>
      </c>
      <c r="I504" t="n">
        <v>0</v>
      </c>
      <c r="J504" t="n">
        <v>0</v>
      </c>
      <c r="K504" t="n">
        <v>0</v>
      </c>
      <c r="L504" t="n">
        <v>0</v>
      </c>
      <c r="M504" t="n">
        <v>0</v>
      </c>
      <c r="N504" t="n">
        <v>0</v>
      </c>
      <c r="O504" t="n">
        <v>0</v>
      </c>
      <c r="P504" t="n">
        <v>0</v>
      </c>
      <c r="Q504" t="n">
        <v>0</v>
      </c>
      <c r="R504" s="2" t="inlineStr"/>
    </row>
    <row r="505" ht="15" customHeight="1">
      <c r="A505" t="inlineStr">
        <is>
          <t>A 18734-2022</t>
        </is>
      </c>
      <c r="B505" s="1" t="n">
        <v>44687</v>
      </c>
      <c r="C505" s="1" t="n">
        <v>45696</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18731-2022</t>
        </is>
      </c>
      <c r="B506" s="1" t="n">
        <v>44687</v>
      </c>
      <c r="C506" s="1" t="n">
        <v>45696</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18736-2022</t>
        </is>
      </c>
      <c r="B507" s="1" t="n">
        <v>44687</v>
      </c>
      <c r="C507" s="1" t="n">
        <v>45696</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45696</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19181-2022</t>
        </is>
      </c>
      <c r="B509" s="1" t="n">
        <v>44691</v>
      </c>
      <c r="C509" s="1" t="n">
        <v>45696</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19287-2022</t>
        </is>
      </c>
      <c r="B510" s="1" t="n">
        <v>44692</v>
      </c>
      <c r="C510" s="1" t="n">
        <v>45696</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19707-2022</t>
        </is>
      </c>
      <c r="B511" s="1" t="n">
        <v>44694</v>
      </c>
      <c r="C511" s="1" t="n">
        <v>45696</v>
      </c>
      <c r="D511" t="inlineStr">
        <is>
          <t>UPPSALA LÄN</t>
        </is>
      </c>
      <c r="E511" t="inlineStr">
        <is>
          <t>ÖSTHAMMAR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20468-2022</t>
        </is>
      </c>
      <c r="B512" s="1" t="n">
        <v>44699</v>
      </c>
      <c r="C512" s="1" t="n">
        <v>45696</v>
      </c>
      <c r="D512" t="inlineStr">
        <is>
          <t>UPPSALA LÄN</t>
        </is>
      </c>
      <c r="E512" t="inlineStr">
        <is>
          <t>ÖSTHAMMAR</t>
        </is>
      </c>
      <c r="G512" t="n">
        <v>3.7</v>
      </c>
      <c r="H512" t="n">
        <v>0</v>
      </c>
      <c r="I512" t="n">
        <v>0</v>
      </c>
      <c r="J512" t="n">
        <v>0</v>
      </c>
      <c r="K512" t="n">
        <v>0</v>
      </c>
      <c r="L512" t="n">
        <v>0</v>
      </c>
      <c r="M512" t="n">
        <v>0</v>
      </c>
      <c r="N512" t="n">
        <v>0</v>
      </c>
      <c r="O512" t="n">
        <v>0</v>
      </c>
      <c r="P512" t="n">
        <v>0</v>
      </c>
      <c r="Q512" t="n">
        <v>0</v>
      </c>
      <c r="R512" s="2" t="inlineStr"/>
    </row>
    <row r="513" ht="15" customHeight="1">
      <c r="A513" t="inlineStr">
        <is>
          <t>A 21522-2022</t>
        </is>
      </c>
      <c r="B513" s="1" t="n">
        <v>44706</v>
      </c>
      <c r="C513" s="1" t="n">
        <v>45696</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21830-2022</t>
        </is>
      </c>
      <c r="B514" s="1" t="n">
        <v>44710</v>
      </c>
      <c r="C514" s="1" t="n">
        <v>45696</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21829-2022</t>
        </is>
      </c>
      <c r="B515" s="1" t="n">
        <v>44710</v>
      </c>
      <c r="C515" s="1" t="n">
        <v>45696</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22207-2022</t>
        </is>
      </c>
      <c r="B516" s="1" t="n">
        <v>44712</v>
      </c>
      <c r="C516" s="1" t="n">
        <v>45696</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22619-2022</t>
        </is>
      </c>
      <c r="B517" s="1" t="n">
        <v>44714</v>
      </c>
      <c r="C517" s="1" t="n">
        <v>45696</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22804-2022</t>
        </is>
      </c>
      <c r="B518" s="1" t="n">
        <v>44715</v>
      </c>
      <c r="C518" s="1" t="n">
        <v>45696</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22887-2022</t>
        </is>
      </c>
      <c r="B519" s="1" t="n">
        <v>44715</v>
      </c>
      <c r="C519" s="1" t="n">
        <v>45696</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22945-2022</t>
        </is>
      </c>
      <c r="B520" s="1" t="n">
        <v>44715</v>
      </c>
      <c r="C520" s="1" t="n">
        <v>45696</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22993-2022</t>
        </is>
      </c>
      <c r="B521" s="1" t="n">
        <v>44718</v>
      </c>
      <c r="C521" s="1" t="n">
        <v>45696</v>
      </c>
      <c r="D521" t="inlineStr">
        <is>
          <t>UPPSALA LÄN</t>
        </is>
      </c>
      <c r="E521" t="inlineStr">
        <is>
          <t>ÖSTHAMMAR</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22994-2022</t>
        </is>
      </c>
      <c r="B522" s="1" t="n">
        <v>44718</v>
      </c>
      <c r="C522" s="1" t="n">
        <v>45696</v>
      </c>
      <c r="D522" t="inlineStr">
        <is>
          <t>UPPSALA LÄN</t>
        </is>
      </c>
      <c r="E522" t="inlineStr">
        <is>
          <t>ÖSTHAMMAR</t>
        </is>
      </c>
      <c r="F522" t="inlineStr">
        <is>
          <t>Bergvik skog öst AB</t>
        </is>
      </c>
      <c r="G522" t="n">
        <v>29.9</v>
      </c>
      <c r="H522" t="n">
        <v>0</v>
      </c>
      <c r="I522" t="n">
        <v>0</v>
      </c>
      <c r="J522" t="n">
        <v>0</v>
      </c>
      <c r="K522" t="n">
        <v>0</v>
      </c>
      <c r="L522" t="n">
        <v>0</v>
      </c>
      <c r="M522" t="n">
        <v>0</v>
      </c>
      <c r="N522" t="n">
        <v>0</v>
      </c>
      <c r="O522" t="n">
        <v>0</v>
      </c>
      <c r="P522" t="n">
        <v>0</v>
      </c>
      <c r="Q522" t="n">
        <v>0</v>
      </c>
      <c r="R522" s="2" t="inlineStr"/>
    </row>
    <row r="523" ht="15" customHeight="1">
      <c r="A523" t="inlineStr">
        <is>
          <t>A 23603-2022</t>
        </is>
      </c>
      <c r="B523" s="1" t="n">
        <v>44721</v>
      </c>
      <c r="C523" s="1" t="n">
        <v>45696</v>
      </c>
      <c r="D523" t="inlineStr">
        <is>
          <t>UPPSALA LÄN</t>
        </is>
      </c>
      <c r="E523" t="inlineStr">
        <is>
          <t>ÖSTHAMMAR</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24138-2022</t>
        </is>
      </c>
      <c r="B524" s="1" t="n">
        <v>44725</v>
      </c>
      <c r="C524" s="1" t="n">
        <v>45696</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24149-2022</t>
        </is>
      </c>
      <c r="B525" s="1" t="n">
        <v>44725</v>
      </c>
      <c r="C525" s="1" t="n">
        <v>45696</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45696</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24259-2022</t>
        </is>
      </c>
      <c r="B527" s="1" t="n">
        <v>44725</v>
      </c>
      <c r="C527" s="1" t="n">
        <v>45696</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24447-2022</t>
        </is>
      </c>
      <c r="B528" s="1" t="n">
        <v>44726</v>
      </c>
      <c r="C528" s="1" t="n">
        <v>45696</v>
      </c>
      <c r="D528" t="inlineStr">
        <is>
          <t>UPPSALA LÄN</t>
        </is>
      </c>
      <c r="E528" t="inlineStr">
        <is>
          <t>ÖSTHAMMAR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24367-2022</t>
        </is>
      </c>
      <c r="B529" s="1" t="n">
        <v>44726</v>
      </c>
      <c r="C529" s="1" t="n">
        <v>45696</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24817-2022</t>
        </is>
      </c>
      <c r="B530" s="1" t="n">
        <v>44728</v>
      </c>
      <c r="C530" s="1" t="n">
        <v>45696</v>
      </c>
      <c r="D530" t="inlineStr">
        <is>
          <t>UPPSALA LÄN</t>
        </is>
      </c>
      <c r="E530" t="inlineStr">
        <is>
          <t>ÖSTHAMMAR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45696</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25418-2022</t>
        </is>
      </c>
      <c r="B532" s="1" t="n">
        <v>44732</v>
      </c>
      <c r="C532" s="1" t="n">
        <v>45696</v>
      </c>
      <c r="D532" t="inlineStr">
        <is>
          <t>UPPSALA LÄN</t>
        </is>
      </c>
      <c r="E532" t="inlineStr">
        <is>
          <t>ÖSTHAMMAR</t>
        </is>
      </c>
      <c r="G532" t="n">
        <v>2.8</v>
      </c>
      <c r="H532" t="n">
        <v>0</v>
      </c>
      <c r="I532" t="n">
        <v>0</v>
      </c>
      <c r="J532" t="n">
        <v>0</v>
      </c>
      <c r="K532" t="n">
        <v>0</v>
      </c>
      <c r="L532" t="n">
        <v>0</v>
      </c>
      <c r="M532" t="n">
        <v>0</v>
      </c>
      <c r="N532" t="n">
        <v>0</v>
      </c>
      <c r="O532" t="n">
        <v>0</v>
      </c>
      <c r="P532" t="n">
        <v>0</v>
      </c>
      <c r="Q532" t="n">
        <v>0</v>
      </c>
      <c r="R532" s="2" t="inlineStr"/>
    </row>
    <row r="533" ht="15" customHeight="1">
      <c r="A533" t="inlineStr">
        <is>
          <t>A 25434-2022</t>
        </is>
      </c>
      <c r="B533" s="1" t="n">
        <v>44732</v>
      </c>
      <c r="C533" s="1" t="n">
        <v>45696</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26008-2022</t>
        </is>
      </c>
      <c r="B534" s="1" t="n">
        <v>44734</v>
      </c>
      <c r="C534" s="1" t="n">
        <v>45696</v>
      </c>
      <c r="D534" t="inlineStr">
        <is>
          <t>UPPSALA LÄN</t>
        </is>
      </c>
      <c r="E534" t="inlineStr">
        <is>
          <t>ÖSTHAMMAR</t>
        </is>
      </c>
      <c r="F534" t="inlineStr">
        <is>
          <t>Bergvik skog öst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25987-2022</t>
        </is>
      </c>
      <c r="B535" s="1" t="n">
        <v>44734</v>
      </c>
      <c r="C535" s="1" t="n">
        <v>45696</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25983-2022</t>
        </is>
      </c>
      <c r="B536" s="1" t="n">
        <v>44734</v>
      </c>
      <c r="C536" s="1" t="n">
        <v>45696</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26004-2022</t>
        </is>
      </c>
      <c r="B537" s="1" t="n">
        <v>44734</v>
      </c>
      <c r="C537" s="1" t="n">
        <v>45696</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26534-2022</t>
        </is>
      </c>
      <c r="B538" s="1" t="n">
        <v>44739</v>
      </c>
      <c r="C538" s="1" t="n">
        <v>45696</v>
      </c>
      <c r="D538" t="inlineStr">
        <is>
          <t>UPPSALA LÄN</t>
        </is>
      </c>
      <c r="E538" t="inlineStr">
        <is>
          <t>ÖSTHAMMAR</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26552-2022</t>
        </is>
      </c>
      <c r="B539" s="1" t="n">
        <v>44739</v>
      </c>
      <c r="C539" s="1" t="n">
        <v>45696</v>
      </c>
      <c r="D539" t="inlineStr">
        <is>
          <t>UPPSALA LÄN</t>
        </is>
      </c>
      <c r="E539" t="inlineStr">
        <is>
          <t>ÖSTHAMMAR</t>
        </is>
      </c>
      <c r="G539" t="n">
        <v>2.2</v>
      </c>
      <c r="H539" t="n">
        <v>0</v>
      </c>
      <c r="I539" t="n">
        <v>0</v>
      </c>
      <c r="J539" t="n">
        <v>0</v>
      </c>
      <c r="K539" t="n">
        <v>0</v>
      </c>
      <c r="L539" t="n">
        <v>0</v>
      </c>
      <c r="M539" t="n">
        <v>0</v>
      </c>
      <c r="N539" t="n">
        <v>0</v>
      </c>
      <c r="O539" t="n">
        <v>0</v>
      </c>
      <c r="P539" t="n">
        <v>0</v>
      </c>
      <c r="Q539" t="n">
        <v>0</v>
      </c>
      <c r="R539" s="2" t="inlineStr"/>
    </row>
    <row r="540" ht="15" customHeight="1">
      <c r="A540" t="inlineStr">
        <is>
          <t>A 26561-2022</t>
        </is>
      </c>
      <c r="B540" s="1" t="n">
        <v>44739</v>
      </c>
      <c r="C540" s="1" t="n">
        <v>45696</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28228-2022</t>
        </is>
      </c>
      <c r="B541" s="1" t="n">
        <v>44746</v>
      </c>
      <c r="C541" s="1" t="n">
        <v>45696</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29753-2022</t>
        </is>
      </c>
      <c r="B542" s="1" t="n">
        <v>44755</v>
      </c>
      <c r="C542" s="1" t="n">
        <v>45696</v>
      </c>
      <c r="D542" t="inlineStr">
        <is>
          <t>UPPSALA LÄN</t>
        </is>
      </c>
      <c r="E542" t="inlineStr">
        <is>
          <t>ÖSTHAMMAR</t>
        </is>
      </c>
      <c r="G542" t="n">
        <v>9.4</v>
      </c>
      <c r="H542" t="n">
        <v>0</v>
      </c>
      <c r="I542" t="n">
        <v>0</v>
      </c>
      <c r="J542" t="n">
        <v>0</v>
      </c>
      <c r="K542" t="n">
        <v>0</v>
      </c>
      <c r="L542" t="n">
        <v>0</v>
      </c>
      <c r="M542" t="n">
        <v>0</v>
      </c>
      <c r="N542" t="n">
        <v>0</v>
      </c>
      <c r="O542" t="n">
        <v>0</v>
      </c>
      <c r="P542" t="n">
        <v>0</v>
      </c>
      <c r="Q542" t="n">
        <v>0</v>
      </c>
      <c r="R542" s="2" t="inlineStr"/>
    </row>
    <row r="543" ht="15" customHeight="1">
      <c r="A543" t="inlineStr">
        <is>
          <t>A 30212-2022</t>
        </is>
      </c>
      <c r="B543" s="1" t="n">
        <v>44757</v>
      </c>
      <c r="C543" s="1" t="n">
        <v>45696</v>
      </c>
      <c r="D543" t="inlineStr">
        <is>
          <t>UPPSALA LÄN</t>
        </is>
      </c>
      <c r="E543" t="inlineStr">
        <is>
          <t>ÖSTHAMMAR</t>
        </is>
      </c>
      <c r="F543" t="inlineStr">
        <is>
          <t>Bergvik skog öst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30209-2022</t>
        </is>
      </c>
      <c r="B544" s="1" t="n">
        <v>44757</v>
      </c>
      <c r="C544" s="1" t="n">
        <v>45696</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30549-2022</t>
        </is>
      </c>
      <c r="B545" s="1" t="n">
        <v>44762</v>
      </c>
      <c r="C545" s="1" t="n">
        <v>45696</v>
      </c>
      <c r="D545" t="inlineStr">
        <is>
          <t>UPPSALA LÄN</t>
        </is>
      </c>
      <c r="E545" t="inlineStr">
        <is>
          <t>ÖSTHAMMAR</t>
        </is>
      </c>
      <c r="F545" t="inlineStr">
        <is>
          <t>Bergvik skog öst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31027-2022</t>
        </is>
      </c>
      <c r="B546" s="1" t="n">
        <v>44768</v>
      </c>
      <c r="C546" s="1" t="n">
        <v>45696</v>
      </c>
      <c r="D546" t="inlineStr">
        <is>
          <t>UPPSALA LÄN</t>
        </is>
      </c>
      <c r="E546" t="inlineStr">
        <is>
          <t>ÖSTHAMMAR</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31035-2022</t>
        </is>
      </c>
      <c r="B547" s="1" t="n">
        <v>44768</v>
      </c>
      <c r="C547" s="1" t="n">
        <v>45696</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31026-2022</t>
        </is>
      </c>
      <c r="B548" s="1" t="n">
        <v>44768</v>
      </c>
      <c r="C548" s="1" t="n">
        <v>45696</v>
      </c>
      <c r="D548" t="inlineStr">
        <is>
          <t>UPPSALA LÄN</t>
        </is>
      </c>
      <c r="E548" t="inlineStr">
        <is>
          <t>ÖSTHAMMAR</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31182-2022</t>
        </is>
      </c>
      <c r="B549" s="1" t="n">
        <v>44770</v>
      </c>
      <c r="C549" s="1" t="n">
        <v>45696</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31140-2022</t>
        </is>
      </c>
      <c r="B550" s="1" t="n">
        <v>44770</v>
      </c>
      <c r="C550" s="1" t="n">
        <v>45696</v>
      </c>
      <c r="D550" t="inlineStr">
        <is>
          <t>UPPSALA LÄN</t>
        </is>
      </c>
      <c r="E550" t="inlineStr">
        <is>
          <t>ÖSTHAMMAR</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31137-2022</t>
        </is>
      </c>
      <c r="B551" s="1" t="n">
        <v>44770</v>
      </c>
      <c r="C551" s="1" t="n">
        <v>45696</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31282-2022</t>
        </is>
      </c>
      <c r="B552" s="1" t="n">
        <v>44771</v>
      </c>
      <c r="C552" s="1" t="n">
        <v>45696</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31574-2022</t>
        </is>
      </c>
      <c r="B553" s="1" t="n">
        <v>44775</v>
      </c>
      <c r="C553" s="1" t="n">
        <v>45696</v>
      </c>
      <c r="D553" t="inlineStr">
        <is>
          <t>UPPSALA LÄN</t>
        </is>
      </c>
      <c r="E553" t="inlineStr">
        <is>
          <t>ÖSTHAMMAR</t>
        </is>
      </c>
      <c r="G553" t="n">
        <v>29.7</v>
      </c>
      <c r="H553" t="n">
        <v>0</v>
      </c>
      <c r="I553" t="n">
        <v>0</v>
      </c>
      <c r="J553" t="n">
        <v>0</v>
      </c>
      <c r="K553" t="n">
        <v>0</v>
      </c>
      <c r="L553" t="n">
        <v>0</v>
      </c>
      <c r="M553" t="n">
        <v>0</v>
      </c>
      <c r="N553" t="n">
        <v>0</v>
      </c>
      <c r="O553" t="n">
        <v>0</v>
      </c>
      <c r="P553" t="n">
        <v>0</v>
      </c>
      <c r="Q553" t="n">
        <v>0</v>
      </c>
      <c r="R553" s="2" t="inlineStr"/>
    </row>
    <row r="554" ht="15" customHeight="1">
      <c r="A554" t="inlineStr">
        <is>
          <t>A 31549-2022</t>
        </is>
      </c>
      <c r="B554" s="1" t="n">
        <v>44775</v>
      </c>
      <c r="C554" s="1" t="n">
        <v>45696</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31669-2022</t>
        </is>
      </c>
      <c r="B555" s="1" t="n">
        <v>44775</v>
      </c>
      <c r="C555" s="1" t="n">
        <v>45696</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32678-2022</t>
        </is>
      </c>
      <c r="B556" s="1" t="n">
        <v>44783</v>
      </c>
      <c r="C556" s="1" t="n">
        <v>45696</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v>
      </c>
      <c r="C557" s="1" t="n">
        <v>45696</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v>
      </c>
      <c r="C558" s="1" t="n">
        <v>45696</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34418-2022</t>
        </is>
      </c>
      <c r="B559" s="1" t="n">
        <v>44792</v>
      </c>
      <c r="C559" s="1" t="n">
        <v>45696</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34742-2022</t>
        </is>
      </c>
      <c r="B560" s="1" t="n">
        <v>44795</v>
      </c>
      <c r="C560" s="1" t="n">
        <v>45696</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34971-2022</t>
        </is>
      </c>
      <c r="B561" s="1" t="n">
        <v>44796</v>
      </c>
      <c r="C561" s="1" t="n">
        <v>45696</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34994-2022</t>
        </is>
      </c>
      <c r="B562" s="1" t="n">
        <v>44796</v>
      </c>
      <c r="C562" s="1" t="n">
        <v>45696</v>
      </c>
      <c r="D562" t="inlineStr">
        <is>
          <t>UPPSALA LÄN</t>
        </is>
      </c>
      <c r="E562" t="inlineStr">
        <is>
          <t>ÖSTHAMMAR</t>
        </is>
      </c>
      <c r="F562" t="inlineStr">
        <is>
          <t>Bergvik skog öst AB</t>
        </is>
      </c>
      <c r="G562" t="n">
        <v>3.7</v>
      </c>
      <c r="H562" t="n">
        <v>0</v>
      </c>
      <c r="I562" t="n">
        <v>0</v>
      </c>
      <c r="J562" t="n">
        <v>0</v>
      </c>
      <c r="K562" t="n">
        <v>0</v>
      </c>
      <c r="L562" t="n">
        <v>0</v>
      </c>
      <c r="M562" t="n">
        <v>0</v>
      </c>
      <c r="N562" t="n">
        <v>0</v>
      </c>
      <c r="O562" t="n">
        <v>0</v>
      </c>
      <c r="P562" t="n">
        <v>0</v>
      </c>
      <c r="Q562" t="n">
        <v>0</v>
      </c>
      <c r="R562" s="2" t="inlineStr"/>
    </row>
    <row r="563" ht="15" customHeight="1">
      <c r="A563" t="inlineStr">
        <is>
          <t>A 36343-2022</t>
        </is>
      </c>
      <c r="B563" s="1" t="n">
        <v>44803</v>
      </c>
      <c r="C563" s="1" t="n">
        <v>45696</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v>
      </c>
      <c r="C564" s="1" t="n">
        <v>45696</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37545-2022</t>
        </is>
      </c>
      <c r="B565" s="1" t="n">
        <v>44809</v>
      </c>
      <c r="C565" s="1" t="n">
        <v>45696</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37570-2022</t>
        </is>
      </c>
      <c r="B566" s="1" t="n">
        <v>44809</v>
      </c>
      <c r="C566" s="1" t="n">
        <v>45696</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37813-2022</t>
        </is>
      </c>
      <c r="B567" s="1" t="n">
        <v>44810</v>
      </c>
      <c r="C567" s="1" t="n">
        <v>45696</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37812-2022</t>
        </is>
      </c>
      <c r="B568" s="1" t="n">
        <v>44810</v>
      </c>
      <c r="C568" s="1" t="n">
        <v>45696</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38501-2022</t>
        </is>
      </c>
      <c r="B569" s="1" t="n">
        <v>44813</v>
      </c>
      <c r="C569" s="1" t="n">
        <v>45696</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38702-2022</t>
        </is>
      </c>
      <c r="B570" s="1" t="n">
        <v>44814</v>
      </c>
      <c r="C570" s="1" t="n">
        <v>45696</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39480-2022</t>
        </is>
      </c>
      <c r="B571" s="1" t="n">
        <v>44818</v>
      </c>
      <c r="C571" s="1" t="n">
        <v>45696</v>
      </c>
      <c r="D571" t="inlineStr">
        <is>
          <t>UPPSALA LÄN</t>
        </is>
      </c>
      <c r="E571" t="inlineStr">
        <is>
          <t>ÖSTHAMMAR</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40336-2022</t>
        </is>
      </c>
      <c r="B572" s="1" t="n">
        <v>44823</v>
      </c>
      <c r="C572" s="1" t="n">
        <v>45696</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40637-2022</t>
        </is>
      </c>
      <c r="B573" s="1" t="n">
        <v>44824</v>
      </c>
      <c r="C573" s="1" t="n">
        <v>45696</v>
      </c>
      <c r="D573" t="inlineStr">
        <is>
          <t>UPPSALA LÄN</t>
        </is>
      </c>
      <c r="E573" t="inlineStr">
        <is>
          <t>ÖSTHAMMAR</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40681-2022</t>
        </is>
      </c>
      <c r="B574" s="1" t="n">
        <v>44824</v>
      </c>
      <c r="C574" s="1" t="n">
        <v>45696</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41033-2022</t>
        </is>
      </c>
      <c r="B575" s="1" t="n">
        <v>44825</v>
      </c>
      <c r="C575" s="1" t="n">
        <v>45696</v>
      </c>
      <c r="D575" t="inlineStr">
        <is>
          <t>UPPSALA LÄN</t>
        </is>
      </c>
      <c r="E575" t="inlineStr">
        <is>
          <t>ÖSTHAMMAR</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41423-2022</t>
        </is>
      </c>
      <c r="B576" s="1" t="n">
        <v>44826</v>
      </c>
      <c r="C576" s="1" t="n">
        <v>45696</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44020-2022</t>
        </is>
      </c>
      <c r="B577" s="1" t="n">
        <v>44838</v>
      </c>
      <c r="C577" s="1" t="n">
        <v>45696</v>
      </c>
      <c r="D577" t="inlineStr">
        <is>
          <t>UPPSALA LÄN</t>
        </is>
      </c>
      <c r="E577" t="inlineStr">
        <is>
          <t>ÖSTHAMMAR</t>
        </is>
      </c>
      <c r="F577" t="inlineStr">
        <is>
          <t>Bergvik skog öst AB</t>
        </is>
      </c>
      <c r="G577" t="n">
        <v>12.1</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v>
      </c>
      <c r="C578" s="1" t="n">
        <v>45696</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44354-2022</t>
        </is>
      </c>
      <c r="B579" s="1" t="n">
        <v>44839</v>
      </c>
      <c r="C579" s="1" t="n">
        <v>45696</v>
      </c>
      <c r="D579" t="inlineStr">
        <is>
          <t>UPPSALA LÄN</t>
        </is>
      </c>
      <c r="E579" t="inlineStr">
        <is>
          <t>ÖSTHAMMAR</t>
        </is>
      </c>
      <c r="G579" t="n">
        <v>5.4</v>
      </c>
      <c r="H579" t="n">
        <v>0</v>
      </c>
      <c r="I579" t="n">
        <v>0</v>
      </c>
      <c r="J579" t="n">
        <v>0</v>
      </c>
      <c r="K579" t="n">
        <v>0</v>
      </c>
      <c r="L579" t="n">
        <v>0</v>
      </c>
      <c r="M579" t="n">
        <v>0</v>
      </c>
      <c r="N579" t="n">
        <v>0</v>
      </c>
      <c r="O579" t="n">
        <v>0</v>
      </c>
      <c r="P579" t="n">
        <v>0</v>
      </c>
      <c r="Q579" t="n">
        <v>0</v>
      </c>
      <c r="R579" s="2" t="inlineStr"/>
    </row>
    <row r="580" ht="15" customHeight="1">
      <c r="A580" t="inlineStr">
        <is>
          <t>A 44366-2022</t>
        </is>
      </c>
      <c r="B580" s="1" t="n">
        <v>44839</v>
      </c>
      <c r="C580" s="1" t="n">
        <v>45696</v>
      </c>
      <c r="D580" t="inlineStr">
        <is>
          <t>UPPSALA LÄN</t>
        </is>
      </c>
      <c r="E580" t="inlineStr">
        <is>
          <t>ÖSTHAMMAR</t>
        </is>
      </c>
      <c r="G580" t="n">
        <v>8.1</v>
      </c>
      <c r="H580" t="n">
        <v>0</v>
      </c>
      <c r="I580" t="n">
        <v>0</v>
      </c>
      <c r="J580" t="n">
        <v>0</v>
      </c>
      <c r="K580" t="n">
        <v>0</v>
      </c>
      <c r="L580" t="n">
        <v>0</v>
      </c>
      <c r="M580" t="n">
        <v>0</v>
      </c>
      <c r="N580" t="n">
        <v>0</v>
      </c>
      <c r="O580" t="n">
        <v>0</v>
      </c>
      <c r="P580" t="n">
        <v>0</v>
      </c>
      <c r="Q580" t="n">
        <v>0</v>
      </c>
      <c r="R580" s="2" t="inlineStr"/>
    </row>
    <row r="581" ht="15" customHeight="1">
      <c r="A581" t="inlineStr">
        <is>
          <t>A 44184-2022</t>
        </is>
      </c>
      <c r="B581" s="1" t="n">
        <v>44839</v>
      </c>
      <c r="C581" s="1" t="n">
        <v>45696</v>
      </c>
      <c r="D581" t="inlineStr">
        <is>
          <t>UPPSALA LÄN</t>
        </is>
      </c>
      <c r="E581" t="inlineStr">
        <is>
          <t>ÖSTHAMMAR</t>
        </is>
      </c>
      <c r="G581" t="n">
        <v>4.2</v>
      </c>
      <c r="H581" t="n">
        <v>0</v>
      </c>
      <c r="I581" t="n">
        <v>0</v>
      </c>
      <c r="J581" t="n">
        <v>0</v>
      </c>
      <c r="K581" t="n">
        <v>0</v>
      </c>
      <c r="L581" t="n">
        <v>0</v>
      </c>
      <c r="M581" t="n">
        <v>0</v>
      </c>
      <c r="N581" t="n">
        <v>0</v>
      </c>
      <c r="O581" t="n">
        <v>0</v>
      </c>
      <c r="P581" t="n">
        <v>0</v>
      </c>
      <c r="Q581" t="n">
        <v>0</v>
      </c>
      <c r="R581" s="2" t="inlineStr"/>
    </row>
    <row r="582" ht="15" customHeight="1">
      <c r="A582" t="inlineStr">
        <is>
          <t>A 44617-2022</t>
        </is>
      </c>
      <c r="B582" s="1" t="n">
        <v>44840</v>
      </c>
      <c r="C582" s="1" t="n">
        <v>45696</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44945-2022</t>
        </is>
      </c>
      <c r="B583" s="1" t="n">
        <v>44841</v>
      </c>
      <c r="C583" s="1" t="n">
        <v>45696</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v>
      </c>
      <c r="C584" s="1" t="n">
        <v>45696</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45788-2022</t>
        </is>
      </c>
      <c r="B585" s="1" t="n">
        <v>44846</v>
      </c>
      <c r="C585" s="1" t="n">
        <v>45696</v>
      </c>
      <c r="D585" t="inlineStr">
        <is>
          <t>UPPSALA LÄN</t>
        </is>
      </c>
      <c r="E585" t="inlineStr">
        <is>
          <t>ÖSTHAMMAR</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46448-2022</t>
        </is>
      </c>
      <c r="B586" s="1" t="n">
        <v>44848</v>
      </c>
      <c r="C586" s="1" t="n">
        <v>45696</v>
      </c>
      <c r="D586" t="inlineStr">
        <is>
          <t>UPPSALA LÄN</t>
        </is>
      </c>
      <c r="E586" t="inlineStr">
        <is>
          <t>ÖSTHAMMAR</t>
        </is>
      </c>
      <c r="G586" t="n">
        <v>2.6</v>
      </c>
      <c r="H586" t="n">
        <v>0</v>
      </c>
      <c r="I586" t="n">
        <v>0</v>
      </c>
      <c r="J586" t="n">
        <v>0</v>
      </c>
      <c r="K586" t="n">
        <v>0</v>
      </c>
      <c r="L586" t="n">
        <v>0</v>
      </c>
      <c r="M586" t="n">
        <v>0</v>
      </c>
      <c r="N586" t="n">
        <v>0</v>
      </c>
      <c r="O586" t="n">
        <v>0</v>
      </c>
      <c r="P586" t="n">
        <v>0</v>
      </c>
      <c r="Q586" t="n">
        <v>0</v>
      </c>
      <c r="R586" s="2" t="inlineStr"/>
    </row>
    <row r="587" ht="15" customHeight="1">
      <c r="A587" t="inlineStr">
        <is>
          <t>A 46915-2022</t>
        </is>
      </c>
      <c r="B587" s="1" t="n">
        <v>44851</v>
      </c>
      <c r="C587" s="1" t="n">
        <v>45696</v>
      </c>
      <c r="D587" t="inlineStr">
        <is>
          <t>UPPSALA LÄN</t>
        </is>
      </c>
      <c r="E587" t="inlineStr">
        <is>
          <t>ÖSTHAMMAR</t>
        </is>
      </c>
      <c r="F587" t="inlineStr">
        <is>
          <t>Bergvik skog öst AB</t>
        </is>
      </c>
      <c r="G587" t="n">
        <v>7.9</v>
      </c>
      <c r="H587" t="n">
        <v>0</v>
      </c>
      <c r="I587" t="n">
        <v>0</v>
      </c>
      <c r="J587" t="n">
        <v>0</v>
      </c>
      <c r="K587" t="n">
        <v>0</v>
      </c>
      <c r="L587" t="n">
        <v>0</v>
      </c>
      <c r="M587" t="n">
        <v>0</v>
      </c>
      <c r="N587" t="n">
        <v>0</v>
      </c>
      <c r="O587" t="n">
        <v>0</v>
      </c>
      <c r="P587" t="n">
        <v>0</v>
      </c>
      <c r="Q587" t="n">
        <v>0</v>
      </c>
      <c r="R587" s="2" t="inlineStr"/>
    </row>
    <row r="588" ht="15" customHeight="1">
      <c r="A588" t="inlineStr">
        <is>
          <t>A 47163-2022</t>
        </is>
      </c>
      <c r="B588" s="1" t="n">
        <v>44852</v>
      </c>
      <c r="C588" s="1" t="n">
        <v>45696</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48191-2022</t>
        </is>
      </c>
      <c r="B589" s="1" t="n">
        <v>44858</v>
      </c>
      <c r="C589" s="1" t="n">
        <v>45696</v>
      </c>
      <c r="D589" t="inlineStr">
        <is>
          <t>UPPSALA LÄN</t>
        </is>
      </c>
      <c r="E589" t="inlineStr">
        <is>
          <t>ÖSTHAMMAR</t>
        </is>
      </c>
      <c r="G589" t="n">
        <v>3.4</v>
      </c>
      <c r="H589" t="n">
        <v>0</v>
      </c>
      <c r="I589" t="n">
        <v>0</v>
      </c>
      <c r="J589" t="n">
        <v>0</v>
      </c>
      <c r="K589" t="n">
        <v>0</v>
      </c>
      <c r="L589" t="n">
        <v>0</v>
      </c>
      <c r="M589" t="n">
        <v>0</v>
      </c>
      <c r="N589" t="n">
        <v>0</v>
      </c>
      <c r="O589" t="n">
        <v>0</v>
      </c>
      <c r="P589" t="n">
        <v>0</v>
      </c>
      <c r="Q589" t="n">
        <v>0</v>
      </c>
      <c r="R589" s="2" t="inlineStr"/>
    </row>
    <row r="590" ht="15" customHeight="1">
      <c r="A590" t="inlineStr">
        <is>
          <t>A 48231-2022</t>
        </is>
      </c>
      <c r="B590" s="1" t="n">
        <v>44858</v>
      </c>
      <c r="C590" s="1" t="n">
        <v>45696</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49097-2022</t>
        </is>
      </c>
      <c r="B591" s="1" t="n">
        <v>44860</v>
      </c>
      <c r="C591" s="1" t="n">
        <v>45696</v>
      </c>
      <c r="D591" t="inlineStr">
        <is>
          <t>UPPSALA LÄN</t>
        </is>
      </c>
      <c r="E591" t="inlineStr">
        <is>
          <t>ÖSTHAMMAR</t>
        </is>
      </c>
      <c r="G591" t="n">
        <v>6.9</v>
      </c>
      <c r="H591" t="n">
        <v>0</v>
      </c>
      <c r="I591" t="n">
        <v>0</v>
      </c>
      <c r="J591" t="n">
        <v>0</v>
      </c>
      <c r="K591" t="n">
        <v>0</v>
      </c>
      <c r="L591" t="n">
        <v>0</v>
      </c>
      <c r="M591" t="n">
        <v>0</v>
      </c>
      <c r="N591" t="n">
        <v>0</v>
      </c>
      <c r="O591" t="n">
        <v>0</v>
      </c>
      <c r="P591" t="n">
        <v>0</v>
      </c>
      <c r="Q591" t="n">
        <v>0</v>
      </c>
      <c r="R591" s="2" t="inlineStr"/>
    </row>
    <row r="592" ht="15" customHeight="1">
      <c r="A592" t="inlineStr">
        <is>
          <t>A 49334-2022</t>
        </is>
      </c>
      <c r="B592" s="1" t="n">
        <v>44861</v>
      </c>
      <c r="C592" s="1" t="n">
        <v>45696</v>
      </c>
      <c r="D592" t="inlineStr">
        <is>
          <t>UPPSALA LÄN</t>
        </is>
      </c>
      <c r="E592" t="inlineStr">
        <is>
          <t>ÖSTHAMMAR</t>
        </is>
      </c>
      <c r="G592" t="n">
        <v>3.5</v>
      </c>
      <c r="H592" t="n">
        <v>0</v>
      </c>
      <c r="I592" t="n">
        <v>0</v>
      </c>
      <c r="J592" t="n">
        <v>0</v>
      </c>
      <c r="K592" t="n">
        <v>0</v>
      </c>
      <c r="L592" t="n">
        <v>0</v>
      </c>
      <c r="M592" t="n">
        <v>0</v>
      </c>
      <c r="N592" t="n">
        <v>0</v>
      </c>
      <c r="O592" t="n">
        <v>0</v>
      </c>
      <c r="P592" t="n">
        <v>0</v>
      </c>
      <c r="Q592" t="n">
        <v>0</v>
      </c>
      <c r="R592" s="2" t="inlineStr"/>
    </row>
    <row r="593" ht="15" customHeight="1">
      <c r="A593" t="inlineStr">
        <is>
          <t>A 49914-2022</t>
        </is>
      </c>
      <c r="B593" s="1" t="n">
        <v>44865</v>
      </c>
      <c r="C593" s="1" t="n">
        <v>45696</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50576-2022</t>
        </is>
      </c>
      <c r="B594" s="1" t="n">
        <v>44866</v>
      </c>
      <c r="C594" s="1" t="n">
        <v>45696</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45696</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51696-2022</t>
        </is>
      </c>
      <c r="B596" s="1" t="n">
        <v>44872</v>
      </c>
      <c r="C596" s="1" t="n">
        <v>45696</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51906-2022</t>
        </is>
      </c>
      <c r="B597" s="1" t="n">
        <v>44872</v>
      </c>
      <c r="C597" s="1" t="n">
        <v>45696</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52265-2022</t>
        </is>
      </c>
      <c r="B598" s="1" t="n">
        <v>44873</v>
      </c>
      <c r="C598" s="1" t="n">
        <v>45696</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52255-2022</t>
        </is>
      </c>
      <c r="B599" s="1" t="n">
        <v>44873</v>
      </c>
      <c r="C599" s="1" t="n">
        <v>45696</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52295-2022</t>
        </is>
      </c>
      <c r="B600" s="1" t="n">
        <v>44873</v>
      </c>
      <c r="C600" s="1" t="n">
        <v>45696</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52652-2022</t>
        </is>
      </c>
      <c r="B601" s="1" t="n">
        <v>44874</v>
      </c>
      <c r="C601" s="1" t="n">
        <v>45696</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52389-2022</t>
        </is>
      </c>
      <c r="B602" s="1" t="n">
        <v>44874</v>
      </c>
      <c r="C602" s="1" t="n">
        <v>45696</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52663-2022</t>
        </is>
      </c>
      <c r="B603" s="1" t="n">
        <v>44874</v>
      </c>
      <c r="C603" s="1" t="n">
        <v>45696</v>
      </c>
      <c r="D603" t="inlineStr">
        <is>
          <t>UPPSALA LÄN</t>
        </is>
      </c>
      <c r="E603" t="inlineStr">
        <is>
          <t>ÖSTHAMMAR</t>
        </is>
      </c>
      <c r="F603" t="inlineStr">
        <is>
          <t>Bergvik skog öst AB</t>
        </is>
      </c>
      <c r="G603" t="n">
        <v>2.6</v>
      </c>
      <c r="H603" t="n">
        <v>0</v>
      </c>
      <c r="I603" t="n">
        <v>0</v>
      </c>
      <c r="J603" t="n">
        <v>0</v>
      </c>
      <c r="K603" t="n">
        <v>0</v>
      </c>
      <c r="L603" t="n">
        <v>0</v>
      </c>
      <c r="M603" t="n">
        <v>0</v>
      </c>
      <c r="N603" t="n">
        <v>0</v>
      </c>
      <c r="O603" t="n">
        <v>0</v>
      </c>
      <c r="P603" t="n">
        <v>0</v>
      </c>
      <c r="Q603" t="n">
        <v>0</v>
      </c>
      <c r="R603" s="2" t="inlineStr"/>
    </row>
    <row r="604" ht="15" customHeight="1">
      <c r="A604" t="inlineStr">
        <is>
          <t>A 52650-2022</t>
        </is>
      </c>
      <c r="B604" s="1" t="n">
        <v>44874</v>
      </c>
      <c r="C604" s="1" t="n">
        <v>45696</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52661-2022</t>
        </is>
      </c>
      <c r="B605" s="1" t="n">
        <v>44874</v>
      </c>
      <c r="C605" s="1" t="n">
        <v>45696</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53180-2022</t>
        </is>
      </c>
      <c r="B606" s="1" t="n">
        <v>44876</v>
      </c>
      <c r="C606" s="1" t="n">
        <v>45696</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54666-2022</t>
        </is>
      </c>
      <c r="B607" s="1" t="n">
        <v>44883</v>
      </c>
      <c r="C607" s="1" t="n">
        <v>45696</v>
      </c>
      <c r="D607" t="inlineStr">
        <is>
          <t>UPPSALA LÄN</t>
        </is>
      </c>
      <c r="E607" t="inlineStr">
        <is>
          <t>ÖSTHAMMAR</t>
        </is>
      </c>
      <c r="G607" t="n">
        <v>14.3</v>
      </c>
      <c r="H607" t="n">
        <v>0</v>
      </c>
      <c r="I607" t="n">
        <v>0</v>
      </c>
      <c r="J607" t="n">
        <v>0</v>
      </c>
      <c r="K607" t="n">
        <v>0</v>
      </c>
      <c r="L607" t="n">
        <v>0</v>
      </c>
      <c r="M607" t="n">
        <v>0</v>
      </c>
      <c r="N607" t="n">
        <v>0</v>
      </c>
      <c r="O607" t="n">
        <v>0</v>
      </c>
      <c r="P607" t="n">
        <v>0</v>
      </c>
      <c r="Q607" t="n">
        <v>0</v>
      </c>
      <c r="R607" s="2" t="inlineStr"/>
    </row>
    <row r="608" ht="15" customHeight="1">
      <c r="A608" t="inlineStr">
        <is>
          <t>A 56260-2022</t>
        </is>
      </c>
      <c r="B608" s="1" t="n">
        <v>44890</v>
      </c>
      <c r="C608" s="1" t="n">
        <v>45696</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56969-2022</t>
        </is>
      </c>
      <c r="B609" s="1" t="n">
        <v>44894</v>
      </c>
      <c r="C609" s="1" t="n">
        <v>45696</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57462-2022</t>
        </is>
      </c>
      <c r="B610" s="1" t="n">
        <v>44896</v>
      </c>
      <c r="C610" s="1" t="n">
        <v>45696</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57453-2022</t>
        </is>
      </c>
      <c r="B611" s="1" t="n">
        <v>44896</v>
      </c>
      <c r="C611" s="1" t="n">
        <v>45696</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58127-2022</t>
        </is>
      </c>
      <c r="B612" s="1" t="n">
        <v>44900</v>
      </c>
      <c r="C612" s="1" t="n">
        <v>45696</v>
      </c>
      <c r="D612" t="inlineStr">
        <is>
          <t>UPPSALA LÄN</t>
        </is>
      </c>
      <c r="E612" t="inlineStr">
        <is>
          <t>ÖSTHAMMAR</t>
        </is>
      </c>
      <c r="F612" t="inlineStr">
        <is>
          <t>Bergvik skog öst AB</t>
        </is>
      </c>
      <c r="G612" t="n">
        <v>6.4</v>
      </c>
      <c r="H612" t="n">
        <v>0</v>
      </c>
      <c r="I612" t="n">
        <v>0</v>
      </c>
      <c r="J612" t="n">
        <v>0</v>
      </c>
      <c r="K612" t="n">
        <v>0</v>
      </c>
      <c r="L612" t="n">
        <v>0</v>
      </c>
      <c r="M612" t="n">
        <v>0</v>
      </c>
      <c r="N612" t="n">
        <v>0</v>
      </c>
      <c r="O612" t="n">
        <v>0</v>
      </c>
      <c r="P612" t="n">
        <v>0</v>
      </c>
      <c r="Q612" t="n">
        <v>0</v>
      </c>
      <c r="R612" s="2" t="inlineStr"/>
    </row>
    <row r="613" ht="15" customHeight="1">
      <c r="A613" t="inlineStr">
        <is>
          <t>A 58367-2022</t>
        </is>
      </c>
      <c r="B613" s="1" t="n">
        <v>44901</v>
      </c>
      <c r="C613" s="1" t="n">
        <v>45696</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45696</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60258-2022</t>
        </is>
      </c>
      <c r="B615" s="1" t="n">
        <v>44903</v>
      </c>
      <c r="C615" s="1" t="n">
        <v>45696</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59382-2022</t>
        </is>
      </c>
      <c r="B616" s="1" t="n">
        <v>44905</v>
      </c>
      <c r="C616" s="1" t="n">
        <v>45696</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59563-2022</t>
        </is>
      </c>
      <c r="B617" s="1" t="n">
        <v>44907</v>
      </c>
      <c r="C617" s="1" t="n">
        <v>45696</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59880-2022</t>
        </is>
      </c>
      <c r="B618" s="1" t="n">
        <v>44908</v>
      </c>
      <c r="C618" s="1" t="n">
        <v>45696</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60079-2022</t>
        </is>
      </c>
      <c r="B619" s="1" t="n">
        <v>44909</v>
      </c>
      <c r="C619" s="1" t="n">
        <v>45696</v>
      </c>
      <c r="D619" t="inlineStr">
        <is>
          <t>UPPSALA LÄN</t>
        </is>
      </c>
      <c r="E619" t="inlineStr">
        <is>
          <t>ÖSTHAMMAR</t>
        </is>
      </c>
      <c r="G619" t="n">
        <v>9.6</v>
      </c>
      <c r="H619" t="n">
        <v>0</v>
      </c>
      <c r="I619" t="n">
        <v>0</v>
      </c>
      <c r="J619" t="n">
        <v>0</v>
      </c>
      <c r="K619" t="n">
        <v>0</v>
      </c>
      <c r="L619" t="n">
        <v>0</v>
      </c>
      <c r="M619" t="n">
        <v>0</v>
      </c>
      <c r="N619" t="n">
        <v>0</v>
      </c>
      <c r="O619" t="n">
        <v>0</v>
      </c>
      <c r="P619" t="n">
        <v>0</v>
      </c>
      <c r="Q619" t="n">
        <v>0</v>
      </c>
      <c r="R619" s="2" t="inlineStr"/>
    </row>
    <row r="620" ht="15" customHeight="1">
      <c r="A620" t="inlineStr">
        <is>
          <t>A 60597-2022</t>
        </is>
      </c>
      <c r="B620" s="1" t="n">
        <v>44911</v>
      </c>
      <c r="C620" s="1" t="n">
        <v>45696</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61261-2022</t>
        </is>
      </c>
      <c r="B621" s="1" t="n">
        <v>44915</v>
      </c>
      <c r="C621" s="1" t="n">
        <v>45696</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61216-2022</t>
        </is>
      </c>
      <c r="B622" s="1" t="n">
        <v>44915</v>
      </c>
      <c r="C622" s="1" t="n">
        <v>45696</v>
      </c>
      <c r="D622" t="inlineStr">
        <is>
          <t>UPPSALA LÄN</t>
        </is>
      </c>
      <c r="E622" t="inlineStr">
        <is>
          <t>ÖSTHAMMAR</t>
        </is>
      </c>
      <c r="G622" t="n">
        <v>2.9</v>
      </c>
      <c r="H622" t="n">
        <v>0</v>
      </c>
      <c r="I622" t="n">
        <v>0</v>
      </c>
      <c r="J622" t="n">
        <v>0</v>
      </c>
      <c r="K622" t="n">
        <v>0</v>
      </c>
      <c r="L622" t="n">
        <v>0</v>
      </c>
      <c r="M622" t="n">
        <v>0</v>
      </c>
      <c r="N622" t="n">
        <v>0</v>
      </c>
      <c r="O622" t="n">
        <v>0</v>
      </c>
      <c r="P622" t="n">
        <v>0</v>
      </c>
      <c r="Q622" t="n">
        <v>0</v>
      </c>
      <c r="R622" s="2" t="inlineStr"/>
    </row>
    <row r="623" ht="15" customHeight="1">
      <c r="A623" t="inlineStr">
        <is>
          <t>A 61257-2022</t>
        </is>
      </c>
      <c r="B623" s="1" t="n">
        <v>44915</v>
      </c>
      <c r="C623" s="1" t="n">
        <v>45696</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62295-2022</t>
        </is>
      </c>
      <c r="B624" s="1" t="n">
        <v>44916</v>
      </c>
      <c r="C624" s="1" t="n">
        <v>45696</v>
      </c>
      <c r="D624" t="inlineStr">
        <is>
          <t>UPPSALA LÄN</t>
        </is>
      </c>
      <c r="E624" t="inlineStr">
        <is>
          <t>ÖSTHAMMAR</t>
        </is>
      </c>
      <c r="G624" t="n">
        <v>3.3</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v>
      </c>
      <c r="C625" s="1" t="n">
        <v>45696</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62393-2022</t>
        </is>
      </c>
      <c r="B626" s="1" t="n">
        <v>44923</v>
      </c>
      <c r="C626" s="1" t="n">
        <v>45696</v>
      </c>
      <c r="D626" t="inlineStr">
        <is>
          <t>UPPSALA LÄN</t>
        </is>
      </c>
      <c r="E626" t="inlineStr">
        <is>
          <t>ÖSTHAMMAR</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62392-2022</t>
        </is>
      </c>
      <c r="B627" s="1" t="n">
        <v>44923</v>
      </c>
      <c r="C627" s="1" t="n">
        <v>45696</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62391-2022</t>
        </is>
      </c>
      <c r="B628" s="1" t="n">
        <v>44923</v>
      </c>
      <c r="C628" s="1" t="n">
        <v>45696</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57-2023</t>
        </is>
      </c>
      <c r="B629" s="1" t="n">
        <v>44928</v>
      </c>
      <c r="C629" s="1" t="n">
        <v>45696</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59-2023</t>
        </is>
      </c>
      <c r="B630" s="1" t="n">
        <v>44928</v>
      </c>
      <c r="C630" s="1" t="n">
        <v>45696</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390-2023</t>
        </is>
      </c>
      <c r="B631" s="1" t="n">
        <v>44929</v>
      </c>
      <c r="C631" s="1" t="n">
        <v>45696</v>
      </c>
      <c r="D631" t="inlineStr">
        <is>
          <t>UPPSALA LÄN</t>
        </is>
      </c>
      <c r="E631" t="inlineStr">
        <is>
          <t>ÖSTHAMMAR</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1791-2023</t>
        </is>
      </c>
      <c r="B632" s="1" t="n">
        <v>44938</v>
      </c>
      <c r="C632" s="1" t="n">
        <v>45696</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1800-2023</t>
        </is>
      </c>
      <c r="B633" s="1" t="n">
        <v>44938</v>
      </c>
      <c r="C633" s="1" t="n">
        <v>45696</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1796-2023</t>
        </is>
      </c>
      <c r="B634" s="1" t="n">
        <v>44938</v>
      </c>
      <c r="C634" s="1" t="n">
        <v>45696</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2733-2023</t>
        </is>
      </c>
      <c r="B635" s="1" t="n">
        <v>44943</v>
      </c>
      <c r="C635" s="1" t="n">
        <v>45696</v>
      </c>
      <c r="D635" t="inlineStr">
        <is>
          <t>UPPSALA LÄN</t>
        </is>
      </c>
      <c r="E635" t="inlineStr">
        <is>
          <t>ÖSTHAMMAR</t>
        </is>
      </c>
      <c r="G635" t="n">
        <v>2.6</v>
      </c>
      <c r="H635" t="n">
        <v>0</v>
      </c>
      <c r="I635" t="n">
        <v>0</v>
      </c>
      <c r="J635" t="n">
        <v>0</v>
      </c>
      <c r="K635" t="n">
        <v>0</v>
      </c>
      <c r="L635" t="n">
        <v>0</v>
      </c>
      <c r="M635" t="n">
        <v>0</v>
      </c>
      <c r="N635" t="n">
        <v>0</v>
      </c>
      <c r="O635" t="n">
        <v>0</v>
      </c>
      <c r="P635" t="n">
        <v>0</v>
      </c>
      <c r="Q635" t="n">
        <v>0</v>
      </c>
      <c r="R635" s="2" t="inlineStr"/>
    </row>
    <row r="636" ht="15" customHeight="1">
      <c r="A636" t="inlineStr">
        <is>
          <t>A 2967-2023</t>
        </is>
      </c>
      <c r="B636" s="1" t="n">
        <v>44945</v>
      </c>
      <c r="C636" s="1" t="n">
        <v>45696</v>
      </c>
      <c r="D636" t="inlineStr">
        <is>
          <t>UPPSALA LÄN</t>
        </is>
      </c>
      <c r="E636" t="inlineStr">
        <is>
          <t>ÖSTHAMMAR</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3005-2023</t>
        </is>
      </c>
      <c r="B637" s="1" t="n">
        <v>44945</v>
      </c>
      <c r="C637" s="1" t="n">
        <v>45696</v>
      </c>
      <c r="D637" t="inlineStr">
        <is>
          <t>UPPSALA LÄN</t>
        </is>
      </c>
      <c r="E637" t="inlineStr">
        <is>
          <t>ÖSTHAMMAR</t>
        </is>
      </c>
      <c r="F637" t="inlineStr">
        <is>
          <t>Bergvik skog öst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3743-2023</t>
        </is>
      </c>
      <c r="B638" s="1" t="n">
        <v>44948</v>
      </c>
      <c r="C638" s="1" t="n">
        <v>45696</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3327-2023</t>
        </is>
      </c>
      <c r="B639" s="1" t="n">
        <v>44949</v>
      </c>
      <c r="C639" s="1" t="n">
        <v>45696</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3514-2023</t>
        </is>
      </c>
      <c r="B640" s="1" t="n">
        <v>44950</v>
      </c>
      <c r="C640" s="1" t="n">
        <v>45696</v>
      </c>
      <c r="D640" t="inlineStr">
        <is>
          <t>UPPSALA LÄN</t>
        </is>
      </c>
      <c r="E640" t="inlineStr">
        <is>
          <t>ÖSTHAMMAR</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4004-2023</t>
        </is>
      </c>
      <c r="B641" s="1" t="n">
        <v>44952</v>
      </c>
      <c r="C641" s="1" t="n">
        <v>45696</v>
      </c>
      <c r="D641" t="inlineStr">
        <is>
          <t>UPPSALA LÄN</t>
        </is>
      </c>
      <c r="E641" t="inlineStr">
        <is>
          <t>ÖSTHAMMAR</t>
        </is>
      </c>
      <c r="G641" t="n">
        <v>4.1</v>
      </c>
      <c r="H641" t="n">
        <v>0</v>
      </c>
      <c r="I641" t="n">
        <v>0</v>
      </c>
      <c r="J641" t="n">
        <v>0</v>
      </c>
      <c r="K641" t="n">
        <v>0</v>
      </c>
      <c r="L641" t="n">
        <v>0</v>
      </c>
      <c r="M641" t="n">
        <v>0</v>
      </c>
      <c r="N641" t="n">
        <v>0</v>
      </c>
      <c r="O641" t="n">
        <v>0</v>
      </c>
      <c r="P641" t="n">
        <v>0</v>
      </c>
      <c r="Q641" t="n">
        <v>0</v>
      </c>
      <c r="R641" s="2" t="inlineStr"/>
    </row>
    <row r="642" ht="15" customHeight="1">
      <c r="A642" t="inlineStr">
        <is>
          <t>A 4054-2023</t>
        </is>
      </c>
      <c r="B642" s="1" t="n">
        <v>44952</v>
      </c>
      <c r="C642" s="1" t="n">
        <v>45696</v>
      </c>
      <c r="D642" t="inlineStr">
        <is>
          <t>UPPSALA LÄN</t>
        </is>
      </c>
      <c r="E642" t="inlineStr">
        <is>
          <t>ÖSTHAMMAR</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45696</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4228-2023</t>
        </is>
      </c>
      <c r="B644" s="1" t="n">
        <v>44953</v>
      </c>
      <c r="C644" s="1" t="n">
        <v>45696</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4361-2023</t>
        </is>
      </c>
      <c r="B645" s="1" t="n">
        <v>44954</v>
      </c>
      <c r="C645" s="1" t="n">
        <v>45696</v>
      </c>
      <c r="D645" t="inlineStr">
        <is>
          <t>UPPSALA LÄN</t>
        </is>
      </c>
      <c r="E645" t="inlineStr">
        <is>
          <t>ÖSTHAMMAR</t>
        </is>
      </c>
      <c r="F645" t="inlineStr">
        <is>
          <t>Bergvik skog öst AB</t>
        </is>
      </c>
      <c r="G645" t="n">
        <v>18.3</v>
      </c>
      <c r="H645" t="n">
        <v>0</v>
      </c>
      <c r="I645" t="n">
        <v>0</v>
      </c>
      <c r="J645" t="n">
        <v>0</v>
      </c>
      <c r="K645" t="n">
        <v>0</v>
      </c>
      <c r="L645" t="n">
        <v>0</v>
      </c>
      <c r="M645" t="n">
        <v>0</v>
      </c>
      <c r="N645" t="n">
        <v>0</v>
      </c>
      <c r="O645" t="n">
        <v>0</v>
      </c>
      <c r="P645" t="n">
        <v>0</v>
      </c>
      <c r="Q645" t="n">
        <v>0</v>
      </c>
      <c r="R645" s="2" t="inlineStr"/>
    </row>
    <row r="646" ht="15" customHeight="1">
      <c r="A646" t="inlineStr">
        <is>
          <t>A 5404-2023</t>
        </is>
      </c>
      <c r="B646" s="1" t="n">
        <v>44957</v>
      </c>
      <c r="C646" s="1" t="n">
        <v>45696</v>
      </c>
      <c r="D646" t="inlineStr">
        <is>
          <t>UPPSALA LÄN</t>
        </is>
      </c>
      <c r="E646" t="inlineStr">
        <is>
          <t>ÖSTHAMMAR</t>
        </is>
      </c>
      <c r="G646" t="n">
        <v>2.5</v>
      </c>
      <c r="H646" t="n">
        <v>0</v>
      </c>
      <c r="I646" t="n">
        <v>0</v>
      </c>
      <c r="J646" t="n">
        <v>0</v>
      </c>
      <c r="K646" t="n">
        <v>0</v>
      </c>
      <c r="L646" t="n">
        <v>0</v>
      </c>
      <c r="M646" t="n">
        <v>0</v>
      </c>
      <c r="N646" t="n">
        <v>0</v>
      </c>
      <c r="O646" t="n">
        <v>0</v>
      </c>
      <c r="P646" t="n">
        <v>0</v>
      </c>
      <c r="Q646" t="n">
        <v>0</v>
      </c>
      <c r="R646" s="2" t="inlineStr"/>
    </row>
    <row r="647" ht="15" customHeight="1">
      <c r="A647" t="inlineStr">
        <is>
          <t>A 5429-2023</t>
        </is>
      </c>
      <c r="B647" s="1" t="n">
        <v>44959</v>
      </c>
      <c r="C647" s="1" t="n">
        <v>45696</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5430-2023</t>
        </is>
      </c>
      <c r="B648" s="1" t="n">
        <v>44959</v>
      </c>
      <c r="C648" s="1" t="n">
        <v>45696</v>
      </c>
      <c r="D648" t="inlineStr">
        <is>
          <t>UPPSALA LÄN</t>
        </is>
      </c>
      <c r="E648" t="inlineStr">
        <is>
          <t>ÖSTHAMMAR</t>
        </is>
      </c>
      <c r="F648" t="inlineStr">
        <is>
          <t>Bergvik skog öst AB</t>
        </is>
      </c>
      <c r="G648" t="n">
        <v>18.4</v>
      </c>
      <c r="H648" t="n">
        <v>0</v>
      </c>
      <c r="I648" t="n">
        <v>0</v>
      </c>
      <c r="J648" t="n">
        <v>0</v>
      </c>
      <c r="K648" t="n">
        <v>0</v>
      </c>
      <c r="L648" t="n">
        <v>0</v>
      </c>
      <c r="M648" t="n">
        <v>0</v>
      </c>
      <c r="N648" t="n">
        <v>0</v>
      </c>
      <c r="O648" t="n">
        <v>0</v>
      </c>
      <c r="P648" t="n">
        <v>0</v>
      </c>
      <c r="Q648" t="n">
        <v>0</v>
      </c>
      <c r="R648" s="2" t="inlineStr"/>
    </row>
    <row r="649" ht="15" customHeight="1">
      <c r="A649" t="inlineStr">
        <is>
          <t>A 5643-2023</t>
        </is>
      </c>
      <c r="B649" s="1" t="n">
        <v>44960</v>
      </c>
      <c r="C649" s="1" t="n">
        <v>45696</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6629-2023</t>
        </is>
      </c>
      <c r="B650" s="1" t="n">
        <v>44960</v>
      </c>
      <c r="C650" s="1" t="n">
        <v>45696</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6635-2023</t>
        </is>
      </c>
      <c r="B651" s="1" t="n">
        <v>44960</v>
      </c>
      <c r="C651" s="1" t="n">
        <v>45696</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5832-2023</t>
        </is>
      </c>
      <c r="B652" s="1" t="n">
        <v>44963</v>
      </c>
      <c r="C652" s="1" t="n">
        <v>45696</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5836-2023</t>
        </is>
      </c>
      <c r="B653" s="1" t="n">
        <v>44963</v>
      </c>
      <c r="C653" s="1" t="n">
        <v>45696</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5831-2023</t>
        </is>
      </c>
      <c r="B654" s="1" t="n">
        <v>44963</v>
      </c>
      <c r="C654" s="1" t="n">
        <v>45696</v>
      </c>
      <c r="D654" t="inlineStr">
        <is>
          <t>UPPSALA LÄN</t>
        </is>
      </c>
      <c r="E654" t="inlineStr">
        <is>
          <t>ÖSTHAMMAR</t>
        </is>
      </c>
      <c r="G654" t="n">
        <v>8.1</v>
      </c>
      <c r="H654" t="n">
        <v>0</v>
      </c>
      <c r="I654" t="n">
        <v>0</v>
      </c>
      <c r="J654" t="n">
        <v>0</v>
      </c>
      <c r="K654" t="n">
        <v>0</v>
      </c>
      <c r="L654" t="n">
        <v>0</v>
      </c>
      <c r="M654" t="n">
        <v>0</v>
      </c>
      <c r="N654" t="n">
        <v>0</v>
      </c>
      <c r="O654" t="n">
        <v>0</v>
      </c>
      <c r="P654" t="n">
        <v>0</v>
      </c>
      <c r="Q654" t="n">
        <v>0</v>
      </c>
      <c r="R654" s="2" t="inlineStr"/>
    </row>
    <row r="655" ht="15" customHeight="1">
      <c r="A655" t="inlineStr">
        <is>
          <t>A 5857-2023</t>
        </is>
      </c>
      <c r="B655" s="1" t="n">
        <v>44963</v>
      </c>
      <c r="C655" s="1" t="n">
        <v>45696</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45696</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5877-2023</t>
        </is>
      </c>
      <c r="B657" s="1" t="n">
        <v>44963</v>
      </c>
      <c r="C657" s="1" t="n">
        <v>45696</v>
      </c>
      <c r="D657" t="inlineStr">
        <is>
          <t>UPPSALA LÄN</t>
        </is>
      </c>
      <c r="E657" t="inlineStr">
        <is>
          <t>ÖSTHAMMAR</t>
        </is>
      </c>
      <c r="G657" t="n">
        <v>0.7</v>
      </c>
      <c r="H657" t="n">
        <v>0</v>
      </c>
      <c r="I657" t="n">
        <v>0</v>
      </c>
      <c r="J657" t="n">
        <v>0</v>
      </c>
      <c r="K657" t="n">
        <v>0</v>
      </c>
      <c r="L657" t="n">
        <v>0</v>
      </c>
      <c r="M657" t="n">
        <v>0</v>
      </c>
      <c r="N657" t="n">
        <v>0</v>
      </c>
      <c r="O657" t="n">
        <v>0</v>
      </c>
      <c r="P657" t="n">
        <v>0</v>
      </c>
      <c r="Q657" t="n">
        <v>0</v>
      </c>
      <c r="R657" s="2" t="inlineStr"/>
    </row>
    <row r="658" ht="15" customHeight="1">
      <c r="A658" t="inlineStr">
        <is>
          <t>A 7195-2023</t>
        </is>
      </c>
      <c r="B658" s="1" t="n">
        <v>44970</v>
      </c>
      <c r="C658" s="1" t="n">
        <v>45696</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7206-2023</t>
        </is>
      </c>
      <c r="B659" s="1" t="n">
        <v>44970</v>
      </c>
      <c r="C659" s="1" t="n">
        <v>45696</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7118-2023</t>
        </is>
      </c>
      <c r="B660" s="1" t="n">
        <v>44970</v>
      </c>
      <c r="C660" s="1" t="n">
        <v>45696</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7546-2023</t>
        </is>
      </c>
      <c r="B661" s="1" t="n">
        <v>44972</v>
      </c>
      <c r="C661" s="1" t="n">
        <v>45696</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45696</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7560-2023</t>
        </is>
      </c>
      <c r="B663" s="1" t="n">
        <v>44972</v>
      </c>
      <c r="C663" s="1" t="n">
        <v>45696</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7876-2023</t>
        </is>
      </c>
      <c r="B664" s="1" t="n">
        <v>44973</v>
      </c>
      <c r="C664" s="1" t="n">
        <v>45696</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7944-2023</t>
        </is>
      </c>
      <c r="B665" s="1" t="n">
        <v>44973</v>
      </c>
      <c r="C665" s="1" t="n">
        <v>45696</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7975-2023</t>
        </is>
      </c>
      <c r="B666" s="1" t="n">
        <v>44973</v>
      </c>
      <c r="C666" s="1" t="n">
        <v>45696</v>
      </c>
      <c r="D666" t="inlineStr">
        <is>
          <t>UPPSALA LÄN</t>
        </is>
      </c>
      <c r="E666" t="inlineStr">
        <is>
          <t>ÖSTHAMMAR</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8006-2023</t>
        </is>
      </c>
      <c r="B667" s="1" t="n">
        <v>44973</v>
      </c>
      <c r="C667" s="1" t="n">
        <v>45696</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45696</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8826-2023</t>
        </is>
      </c>
      <c r="B669" s="1" t="n">
        <v>44978</v>
      </c>
      <c r="C669" s="1" t="n">
        <v>45696</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8830-2023</t>
        </is>
      </c>
      <c r="B670" s="1" t="n">
        <v>44978</v>
      </c>
      <c r="C670" s="1" t="n">
        <v>45696</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9052-2023</t>
        </is>
      </c>
      <c r="B671" s="1" t="n">
        <v>44979</v>
      </c>
      <c r="C671" s="1" t="n">
        <v>45696</v>
      </c>
      <c r="D671" t="inlineStr">
        <is>
          <t>UPPSALA LÄN</t>
        </is>
      </c>
      <c r="E671" t="inlineStr">
        <is>
          <t>ÖSTHAMMAR</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9543-2023</t>
        </is>
      </c>
      <c r="B672" s="1" t="n">
        <v>44981</v>
      </c>
      <c r="C672" s="1" t="n">
        <v>45696</v>
      </c>
      <c r="D672" t="inlineStr">
        <is>
          <t>UPPSALA LÄN</t>
        </is>
      </c>
      <c r="E672" t="inlineStr">
        <is>
          <t>ÖSTHAMMAR</t>
        </is>
      </c>
      <c r="F672" t="inlineStr">
        <is>
          <t>Bergvik skog öst AB</t>
        </is>
      </c>
      <c r="G672" t="n">
        <v>5.9</v>
      </c>
      <c r="H672" t="n">
        <v>0</v>
      </c>
      <c r="I672" t="n">
        <v>0</v>
      </c>
      <c r="J672" t="n">
        <v>0</v>
      </c>
      <c r="K672" t="n">
        <v>0</v>
      </c>
      <c r="L672" t="n">
        <v>0</v>
      </c>
      <c r="M672" t="n">
        <v>0</v>
      </c>
      <c r="N672" t="n">
        <v>0</v>
      </c>
      <c r="O672" t="n">
        <v>0</v>
      </c>
      <c r="P672" t="n">
        <v>0</v>
      </c>
      <c r="Q672" t="n">
        <v>0</v>
      </c>
      <c r="R672" s="2" t="inlineStr"/>
    </row>
    <row r="673" ht="15" customHeight="1">
      <c r="A673" t="inlineStr">
        <is>
          <t>A 9542-2023</t>
        </is>
      </c>
      <c r="B673" s="1" t="n">
        <v>44981</v>
      </c>
      <c r="C673" s="1" t="n">
        <v>45696</v>
      </c>
      <c r="D673" t="inlineStr">
        <is>
          <t>UPPSALA LÄN</t>
        </is>
      </c>
      <c r="E673" t="inlineStr">
        <is>
          <t>ÖSTHAMMAR</t>
        </is>
      </c>
      <c r="F673" t="inlineStr">
        <is>
          <t>Bergvik skog öst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45696</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11017-2023</t>
        </is>
      </c>
      <c r="B675" s="1" t="n">
        <v>44991</v>
      </c>
      <c r="C675" s="1" t="n">
        <v>45696</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v>
      </c>
      <c r="C676" s="1" t="n">
        <v>45696</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11008-2023</t>
        </is>
      </c>
      <c r="B677" s="1" t="n">
        <v>44991</v>
      </c>
      <c r="C677" s="1" t="n">
        <v>45696</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11015-2023</t>
        </is>
      </c>
      <c r="B678" s="1" t="n">
        <v>44991</v>
      </c>
      <c r="C678" s="1" t="n">
        <v>45696</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v>
      </c>
      <c r="C679" s="1" t="n">
        <v>45696</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11009-2023</t>
        </is>
      </c>
      <c r="B680" s="1" t="n">
        <v>44991</v>
      </c>
      <c r="C680" s="1" t="n">
        <v>45696</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11033-2023</t>
        </is>
      </c>
      <c r="B681" s="1" t="n">
        <v>44991</v>
      </c>
      <c r="C681" s="1" t="n">
        <v>45696</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11282-2023</t>
        </is>
      </c>
      <c r="B682" s="1" t="n">
        <v>44992</v>
      </c>
      <c r="C682" s="1" t="n">
        <v>45696</v>
      </c>
      <c r="D682" t="inlineStr">
        <is>
          <t>UPPSALA LÄN</t>
        </is>
      </c>
      <c r="E682" t="inlineStr">
        <is>
          <t>ÖSTHAMMAR</t>
        </is>
      </c>
      <c r="F682" t="inlineStr">
        <is>
          <t>Bergvik skog öst AB</t>
        </is>
      </c>
      <c r="G682" t="n">
        <v>12.3</v>
      </c>
      <c r="H682" t="n">
        <v>0</v>
      </c>
      <c r="I682" t="n">
        <v>0</v>
      </c>
      <c r="J682" t="n">
        <v>0</v>
      </c>
      <c r="K682" t="n">
        <v>0</v>
      </c>
      <c r="L682" t="n">
        <v>0</v>
      </c>
      <c r="M682" t="n">
        <v>0</v>
      </c>
      <c r="N682" t="n">
        <v>0</v>
      </c>
      <c r="O682" t="n">
        <v>0</v>
      </c>
      <c r="P682" t="n">
        <v>0</v>
      </c>
      <c r="Q682" t="n">
        <v>0</v>
      </c>
      <c r="R682" s="2" t="inlineStr"/>
    </row>
    <row r="683" ht="15" customHeight="1">
      <c r="A683" t="inlineStr">
        <is>
          <t>A 11281-2023</t>
        </is>
      </c>
      <c r="B683" s="1" t="n">
        <v>44992</v>
      </c>
      <c r="C683" s="1" t="n">
        <v>45696</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11469-2023</t>
        </is>
      </c>
      <c r="B684" s="1" t="n">
        <v>44993</v>
      </c>
      <c r="C684" s="1" t="n">
        <v>45696</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12190-2023</t>
        </is>
      </c>
      <c r="B685" s="1" t="n">
        <v>44995</v>
      </c>
      <c r="C685" s="1" t="n">
        <v>45696</v>
      </c>
      <c r="D685" t="inlineStr">
        <is>
          <t>UPPSALA LÄN</t>
        </is>
      </c>
      <c r="E685" t="inlineStr">
        <is>
          <t>ÖSTHAMMAR</t>
        </is>
      </c>
      <c r="G685" t="n">
        <v>1.6</v>
      </c>
      <c r="H685" t="n">
        <v>0</v>
      </c>
      <c r="I685" t="n">
        <v>0</v>
      </c>
      <c r="J685" t="n">
        <v>0</v>
      </c>
      <c r="K685" t="n">
        <v>0</v>
      </c>
      <c r="L685" t="n">
        <v>0</v>
      </c>
      <c r="M685" t="n">
        <v>0</v>
      </c>
      <c r="N685" t="n">
        <v>0</v>
      </c>
      <c r="O685" t="n">
        <v>0</v>
      </c>
      <c r="P685" t="n">
        <v>0</v>
      </c>
      <c r="Q685" t="n">
        <v>0</v>
      </c>
      <c r="R685" s="2" t="inlineStr"/>
    </row>
    <row r="686" ht="15" customHeight="1">
      <c r="A686" t="inlineStr">
        <is>
          <t>A 12186-2023</t>
        </is>
      </c>
      <c r="B686" s="1" t="n">
        <v>44995</v>
      </c>
      <c r="C686" s="1" t="n">
        <v>45696</v>
      </c>
      <c r="D686" t="inlineStr">
        <is>
          <t>UPPSALA LÄN</t>
        </is>
      </c>
      <c r="E686" t="inlineStr">
        <is>
          <t>ÖSTHAMMAR</t>
        </is>
      </c>
      <c r="G686" t="n">
        <v>5.7</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v>
      </c>
      <c r="C687" s="1" t="n">
        <v>45696</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12215-2023</t>
        </is>
      </c>
      <c r="B688" s="1" t="n">
        <v>44998</v>
      </c>
      <c r="C688" s="1" t="n">
        <v>45696</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12497-2023</t>
        </is>
      </c>
      <c r="B689" s="1" t="n">
        <v>44999</v>
      </c>
      <c r="C689" s="1" t="n">
        <v>45696</v>
      </c>
      <c r="D689" t="inlineStr">
        <is>
          <t>UPPSALA LÄN</t>
        </is>
      </c>
      <c r="E689" t="inlineStr">
        <is>
          <t>ÖSTHAMMAR</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13336-2023</t>
        </is>
      </c>
      <c r="B690" s="1" t="n">
        <v>45005</v>
      </c>
      <c r="C690" s="1" t="n">
        <v>45696</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13352-2023</t>
        </is>
      </c>
      <c r="B691" s="1" t="n">
        <v>45005</v>
      </c>
      <c r="C691" s="1" t="n">
        <v>45696</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13643-2023</t>
        </is>
      </c>
      <c r="B692" s="1" t="n">
        <v>45006</v>
      </c>
      <c r="C692" s="1" t="n">
        <v>45696</v>
      </c>
      <c r="D692" t="inlineStr">
        <is>
          <t>UPPSALA LÄN</t>
        </is>
      </c>
      <c r="E692" t="inlineStr">
        <is>
          <t>ÖSTHAMMAR</t>
        </is>
      </c>
      <c r="G692" t="n">
        <v>2.8</v>
      </c>
      <c r="H692" t="n">
        <v>0</v>
      </c>
      <c r="I692" t="n">
        <v>0</v>
      </c>
      <c r="J692" t="n">
        <v>0</v>
      </c>
      <c r="K692" t="n">
        <v>0</v>
      </c>
      <c r="L692" t="n">
        <v>0</v>
      </c>
      <c r="M692" t="n">
        <v>0</v>
      </c>
      <c r="N692" t="n">
        <v>0</v>
      </c>
      <c r="O692" t="n">
        <v>0</v>
      </c>
      <c r="P692" t="n">
        <v>0</v>
      </c>
      <c r="Q692" t="n">
        <v>0</v>
      </c>
      <c r="R692" s="2" t="inlineStr"/>
    </row>
    <row r="693" ht="15" customHeight="1">
      <c r="A693" t="inlineStr">
        <is>
          <t>A 13580-2023</t>
        </is>
      </c>
      <c r="B693" s="1" t="n">
        <v>45006</v>
      </c>
      <c r="C693" s="1" t="n">
        <v>45696</v>
      </c>
      <c r="D693" t="inlineStr">
        <is>
          <t>UPPSALA LÄN</t>
        </is>
      </c>
      <c r="E693" t="inlineStr">
        <is>
          <t>ÖSTHAMMAR</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13584-2023</t>
        </is>
      </c>
      <c r="B694" s="1" t="n">
        <v>45006</v>
      </c>
      <c r="C694" s="1" t="n">
        <v>45696</v>
      </c>
      <c r="D694" t="inlineStr">
        <is>
          <t>UPPSALA LÄN</t>
        </is>
      </c>
      <c r="E694" t="inlineStr">
        <is>
          <t>ÖSTHAMMAR</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13738-2023</t>
        </is>
      </c>
      <c r="B695" s="1" t="n">
        <v>45007</v>
      </c>
      <c r="C695" s="1" t="n">
        <v>45696</v>
      </c>
      <c r="D695" t="inlineStr">
        <is>
          <t>UPPSALA LÄN</t>
        </is>
      </c>
      <c r="E695" t="inlineStr">
        <is>
          <t>ÖSTHAMMAR</t>
        </is>
      </c>
      <c r="G695" t="n">
        <v>0.7</v>
      </c>
      <c r="H695" t="n">
        <v>0</v>
      </c>
      <c r="I695" t="n">
        <v>0</v>
      </c>
      <c r="J695" t="n">
        <v>0</v>
      </c>
      <c r="K695" t="n">
        <v>0</v>
      </c>
      <c r="L695" t="n">
        <v>0</v>
      </c>
      <c r="M695" t="n">
        <v>0</v>
      </c>
      <c r="N695" t="n">
        <v>0</v>
      </c>
      <c r="O695" t="n">
        <v>0</v>
      </c>
      <c r="P695" t="n">
        <v>0</v>
      </c>
      <c r="Q695" t="n">
        <v>0</v>
      </c>
      <c r="R695" s="2" t="inlineStr"/>
    </row>
    <row r="696" ht="15" customHeight="1">
      <c r="A696" t="inlineStr">
        <is>
          <t>A 13767-2023</t>
        </is>
      </c>
      <c r="B696" s="1" t="n">
        <v>45007</v>
      </c>
      <c r="C696" s="1" t="n">
        <v>45696</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13755-2023</t>
        </is>
      </c>
      <c r="B697" s="1" t="n">
        <v>45007</v>
      </c>
      <c r="C697" s="1" t="n">
        <v>45696</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45696</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13736-2023</t>
        </is>
      </c>
      <c r="B699" s="1" t="n">
        <v>45007</v>
      </c>
      <c r="C699" s="1" t="n">
        <v>45696</v>
      </c>
      <c r="D699" t="inlineStr">
        <is>
          <t>UPPSALA LÄN</t>
        </is>
      </c>
      <c r="E699" t="inlineStr">
        <is>
          <t>ÖSTHAMMAR</t>
        </is>
      </c>
      <c r="G699" t="n">
        <v>3.7</v>
      </c>
      <c r="H699" t="n">
        <v>0</v>
      </c>
      <c r="I699" t="n">
        <v>0</v>
      </c>
      <c r="J699" t="n">
        <v>0</v>
      </c>
      <c r="K699" t="n">
        <v>0</v>
      </c>
      <c r="L699" t="n">
        <v>0</v>
      </c>
      <c r="M699" t="n">
        <v>0</v>
      </c>
      <c r="N699" t="n">
        <v>0</v>
      </c>
      <c r="O699" t="n">
        <v>0</v>
      </c>
      <c r="P699" t="n">
        <v>0</v>
      </c>
      <c r="Q699" t="n">
        <v>0</v>
      </c>
      <c r="R699" s="2" t="inlineStr"/>
    </row>
    <row r="700" ht="15" customHeight="1">
      <c r="A700" t="inlineStr">
        <is>
          <t>A 14505-2023</t>
        </is>
      </c>
      <c r="B700" s="1" t="n">
        <v>45012</v>
      </c>
      <c r="C700" s="1" t="n">
        <v>45696</v>
      </c>
      <c r="D700" t="inlineStr">
        <is>
          <t>UPPSALA LÄN</t>
        </is>
      </c>
      <c r="E700" t="inlineStr">
        <is>
          <t>ÖSTHAMMAR</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14510-2023</t>
        </is>
      </c>
      <c r="B701" s="1" t="n">
        <v>45012</v>
      </c>
      <c r="C701" s="1" t="n">
        <v>45696</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14595-2023</t>
        </is>
      </c>
      <c r="B702" s="1" t="n">
        <v>45013</v>
      </c>
      <c r="C702" s="1" t="n">
        <v>45696</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14822-2023</t>
        </is>
      </c>
      <c r="B703" s="1" t="n">
        <v>45014</v>
      </c>
      <c r="C703" s="1" t="n">
        <v>45696</v>
      </c>
      <c r="D703" t="inlineStr">
        <is>
          <t>UPPSALA LÄN</t>
        </is>
      </c>
      <c r="E703" t="inlineStr">
        <is>
          <t>ÖSTHAMMAR</t>
        </is>
      </c>
      <c r="G703" t="n">
        <v>6.2</v>
      </c>
      <c r="H703" t="n">
        <v>0</v>
      </c>
      <c r="I703" t="n">
        <v>0</v>
      </c>
      <c r="J703" t="n">
        <v>0</v>
      </c>
      <c r="K703" t="n">
        <v>0</v>
      </c>
      <c r="L703" t="n">
        <v>0</v>
      </c>
      <c r="M703" t="n">
        <v>0</v>
      </c>
      <c r="N703" t="n">
        <v>0</v>
      </c>
      <c r="O703" t="n">
        <v>0</v>
      </c>
      <c r="P703" t="n">
        <v>0</v>
      </c>
      <c r="Q703" t="n">
        <v>0</v>
      </c>
      <c r="R703" s="2" t="inlineStr"/>
    </row>
    <row r="704" ht="15" customHeight="1">
      <c r="A704" t="inlineStr">
        <is>
          <t>A 14835-2023</t>
        </is>
      </c>
      <c r="B704" s="1" t="n">
        <v>45014</v>
      </c>
      <c r="C704" s="1" t="n">
        <v>45696</v>
      </c>
      <c r="D704" t="inlineStr">
        <is>
          <t>UPPSALA LÄN</t>
        </is>
      </c>
      <c r="E704" t="inlineStr">
        <is>
          <t>ÖSTHAMMAR</t>
        </is>
      </c>
      <c r="G704" t="n">
        <v>9.5</v>
      </c>
      <c r="H704" t="n">
        <v>0</v>
      </c>
      <c r="I704" t="n">
        <v>0</v>
      </c>
      <c r="J704" t="n">
        <v>0</v>
      </c>
      <c r="K704" t="n">
        <v>0</v>
      </c>
      <c r="L704" t="n">
        <v>0</v>
      </c>
      <c r="M704" t="n">
        <v>0</v>
      </c>
      <c r="N704" t="n">
        <v>0</v>
      </c>
      <c r="O704" t="n">
        <v>0</v>
      </c>
      <c r="P704" t="n">
        <v>0</v>
      </c>
      <c r="Q704" t="n">
        <v>0</v>
      </c>
      <c r="R704" s="2" t="inlineStr"/>
    </row>
    <row r="705" ht="15" customHeight="1">
      <c r="A705" t="inlineStr">
        <is>
          <t>A 14889-2023</t>
        </is>
      </c>
      <c r="B705" s="1" t="n">
        <v>45015</v>
      </c>
      <c r="C705" s="1" t="n">
        <v>45696</v>
      </c>
      <c r="D705" t="inlineStr">
        <is>
          <t>UPPSALA LÄN</t>
        </is>
      </c>
      <c r="E705" t="inlineStr">
        <is>
          <t>ÖSTHAMMAR</t>
        </is>
      </c>
      <c r="F705" t="inlineStr">
        <is>
          <t>Bergvik skog öst AB</t>
        </is>
      </c>
      <c r="G705" t="n">
        <v>7.6</v>
      </c>
      <c r="H705" t="n">
        <v>0</v>
      </c>
      <c r="I705" t="n">
        <v>0</v>
      </c>
      <c r="J705" t="n">
        <v>0</v>
      </c>
      <c r="K705" t="n">
        <v>0</v>
      </c>
      <c r="L705" t="n">
        <v>0</v>
      </c>
      <c r="M705" t="n">
        <v>0</v>
      </c>
      <c r="N705" t="n">
        <v>0</v>
      </c>
      <c r="O705" t="n">
        <v>0</v>
      </c>
      <c r="P705" t="n">
        <v>0</v>
      </c>
      <c r="Q705" t="n">
        <v>0</v>
      </c>
      <c r="R705" s="2" t="inlineStr"/>
    </row>
    <row r="706" ht="15" customHeight="1">
      <c r="A706" t="inlineStr">
        <is>
          <t>A 14888-2023</t>
        </is>
      </c>
      <c r="B706" s="1" t="n">
        <v>45015</v>
      </c>
      <c r="C706" s="1" t="n">
        <v>45696</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14976-2023</t>
        </is>
      </c>
      <c r="B707" s="1" t="n">
        <v>45015</v>
      </c>
      <c r="C707" s="1" t="n">
        <v>45696</v>
      </c>
      <c r="D707" t="inlineStr">
        <is>
          <t>UPPSALA LÄN</t>
        </is>
      </c>
      <c r="E707" t="inlineStr">
        <is>
          <t>ÖSTHAMMAR</t>
        </is>
      </c>
      <c r="G707" t="n">
        <v>3.2</v>
      </c>
      <c r="H707" t="n">
        <v>0</v>
      </c>
      <c r="I707" t="n">
        <v>0</v>
      </c>
      <c r="J707" t="n">
        <v>0</v>
      </c>
      <c r="K707" t="n">
        <v>0</v>
      </c>
      <c r="L707" t="n">
        <v>0</v>
      </c>
      <c r="M707" t="n">
        <v>0</v>
      </c>
      <c r="N707" t="n">
        <v>0</v>
      </c>
      <c r="O707" t="n">
        <v>0</v>
      </c>
      <c r="P707" t="n">
        <v>0</v>
      </c>
      <c r="Q707" t="n">
        <v>0</v>
      </c>
      <c r="R707" s="2" t="inlineStr"/>
    </row>
    <row r="708" ht="15" customHeight="1">
      <c r="A708" t="inlineStr">
        <is>
          <t>A 15554-2023</t>
        </is>
      </c>
      <c r="B708" s="1" t="n">
        <v>45019</v>
      </c>
      <c r="C708" s="1" t="n">
        <v>45696</v>
      </c>
      <c r="D708" t="inlineStr">
        <is>
          <t>UPPSALA LÄN</t>
        </is>
      </c>
      <c r="E708" t="inlineStr">
        <is>
          <t>ÖSTHAMMAR</t>
        </is>
      </c>
      <c r="G708" t="n">
        <v>5.3</v>
      </c>
      <c r="H708" t="n">
        <v>0</v>
      </c>
      <c r="I708" t="n">
        <v>0</v>
      </c>
      <c r="J708" t="n">
        <v>0</v>
      </c>
      <c r="K708" t="n">
        <v>0</v>
      </c>
      <c r="L708" t="n">
        <v>0</v>
      </c>
      <c r="M708" t="n">
        <v>0</v>
      </c>
      <c r="N708" t="n">
        <v>0</v>
      </c>
      <c r="O708" t="n">
        <v>0</v>
      </c>
      <c r="P708" t="n">
        <v>0</v>
      </c>
      <c r="Q708" t="n">
        <v>0</v>
      </c>
      <c r="R708" s="2" t="inlineStr"/>
    </row>
    <row r="709" ht="15" customHeight="1">
      <c r="A709" t="inlineStr">
        <is>
          <t>A 16112-2023</t>
        </is>
      </c>
      <c r="B709" s="1" t="n">
        <v>45027</v>
      </c>
      <c r="C709" s="1" t="n">
        <v>45696</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16345-2023</t>
        </is>
      </c>
      <c r="B710" s="1" t="n">
        <v>45028</v>
      </c>
      <c r="C710" s="1" t="n">
        <v>45696</v>
      </c>
      <c r="D710" t="inlineStr">
        <is>
          <t>UPPSALA LÄN</t>
        </is>
      </c>
      <c r="E710" t="inlineStr">
        <is>
          <t>ÖSTHAMMAR</t>
        </is>
      </c>
      <c r="F710" t="inlineStr">
        <is>
          <t>Övriga Aktiebolag</t>
        </is>
      </c>
      <c r="G710" t="n">
        <v>10.1</v>
      </c>
      <c r="H710" t="n">
        <v>0</v>
      </c>
      <c r="I710" t="n">
        <v>0</v>
      </c>
      <c r="J710" t="n">
        <v>0</v>
      </c>
      <c r="K710" t="n">
        <v>0</v>
      </c>
      <c r="L710" t="n">
        <v>0</v>
      </c>
      <c r="M710" t="n">
        <v>0</v>
      </c>
      <c r="N710" t="n">
        <v>0</v>
      </c>
      <c r="O710" t="n">
        <v>0</v>
      </c>
      <c r="P710" t="n">
        <v>0</v>
      </c>
      <c r="Q710" t="n">
        <v>0</v>
      </c>
      <c r="R710" s="2" t="inlineStr"/>
    </row>
    <row r="711" ht="15" customHeight="1">
      <c r="A711" t="inlineStr">
        <is>
          <t>A 16701-2023</t>
        </is>
      </c>
      <c r="B711" s="1" t="n">
        <v>45030</v>
      </c>
      <c r="C711" s="1" t="n">
        <v>45696</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16954-2023</t>
        </is>
      </c>
      <c r="B712" s="1" t="n">
        <v>45033</v>
      </c>
      <c r="C712" s="1" t="n">
        <v>45696</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16948-2023</t>
        </is>
      </c>
      <c r="B713" s="1" t="n">
        <v>45033</v>
      </c>
      <c r="C713" s="1" t="n">
        <v>45696</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16966-2023</t>
        </is>
      </c>
      <c r="B714" s="1" t="n">
        <v>45033</v>
      </c>
      <c r="C714" s="1" t="n">
        <v>45696</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17028-2023</t>
        </is>
      </c>
      <c r="B715" s="1" t="n">
        <v>45034</v>
      </c>
      <c r="C715" s="1" t="n">
        <v>45696</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17631-2023</t>
        </is>
      </c>
      <c r="B716" s="1" t="n">
        <v>45036</v>
      </c>
      <c r="C716" s="1" t="n">
        <v>45696</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17850-2023</t>
        </is>
      </c>
      <c r="B717" s="1" t="n">
        <v>45037</v>
      </c>
      <c r="C717" s="1" t="n">
        <v>45696</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17851-2023</t>
        </is>
      </c>
      <c r="B718" s="1" t="n">
        <v>45037</v>
      </c>
      <c r="C718" s="1" t="n">
        <v>45696</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17854-2023</t>
        </is>
      </c>
      <c r="B719" s="1" t="n">
        <v>45037</v>
      </c>
      <c r="C719" s="1" t="n">
        <v>45696</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45696</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17970-2023</t>
        </is>
      </c>
      <c r="B721" s="1" t="n">
        <v>45040</v>
      </c>
      <c r="C721" s="1" t="n">
        <v>45696</v>
      </c>
      <c r="D721" t="inlineStr">
        <is>
          <t>UPPSALA LÄN</t>
        </is>
      </c>
      <c r="E721" t="inlineStr">
        <is>
          <t>ÖSTHAMMAR</t>
        </is>
      </c>
      <c r="G721" t="n">
        <v>3.3</v>
      </c>
      <c r="H721" t="n">
        <v>0</v>
      </c>
      <c r="I721" t="n">
        <v>0</v>
      </c>
      <c r="J721" t="n">
        <v>0</v>
      </c>
      <c r="K721" t="n">
        <v>0</v>
      </c>
      <c r="L721" t="n">
        <v>0</v>
      </c>
      <c r="M721" t="n">
        <v>0</v>
      </c>
      <c r="N721" t="n">
        <v>0</v>
      </c>
      <c r="O721" t="n">
        <v>0</v>
      </c>
      <c r="P721" t="n">
        <v>0</v>
      </c>
      <c r="Q721" t="n">
        <v>0</v>
      </c>
      <c r="R721" s="2" t="inlineStr"/>
    </row>
    <row r="722" ht="15" customHeight="1">
      <c r="A722" t="inlineStr">
        <is>
          <t>A 18074-2023</t>
        </is>
      </c>
      <c r="B722" s="1" t="n">
        <v>45040</v>
      </c>
      <c r="C722" s="1" t="n">
        <v>45696</v>
      </c>
      <c r="D722" t="inlineStr">
        <is>
          <t>UPPSALA LÄN</t>
        </is>
      </c>
      <c r="E722" t="inlineStr">
        <is>
          <t>ÖSTHAMMAR</t>
        </is>
      </c>
      <c r="G722" t="n">
        <v>3.7</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45696</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17969-2023</t>
        </is>
      </c>
      <c r="B724" s="1" t="n">
        <v>45040</v>
      </c>
      <c r="C724" s="1" t="n">
        <v>45696</v>
      </c>
      <c r="D724" t="inlineStr">
        <is>
          <t>UPPSALA LÄN</t>
        </is>
      </c>
      <c r="E724" t="inlineStr">
        <is>
          <t>ÖSTHAMMAR</t>
        </is>
      </c>
      <c r="G724" t="n">
        <v>5.4</v>
      </c>
      <c r="H724" t="n">
        <v>0</v>
      </c>
      <c r="I724" t="n">
        <v>0</v>
      </c>
      <c r="J724" t="n">
        <v>0</v>
      </c>
      <c r="K724" t="n">
        <v>0</v>
      </c>
      <c r="L724" t="n">
        <v>0</v>
      </c>
      <c r="M724" t="n">
        <v>0</v>
      </c>
      <c r="N724" t="n">
        <v>0</v>
      </c>
      <c r="O724" t="n">
        <v>0</v>
      </c>
      <c r="P724" t="n">
        <v>0</v>
      </c>
      <c r="Q724" t="n">
        <v>0</v>
      </c>
      <c r="R724" s="2" t="inlineStr"/>
    </row>
    <row r="725" ht="15" customHeight="1">
      <c r="A725" t="inlineStr">
        <is>
          <t>A 18219-2023</t>
        </is>
      </c>
      <c r="B725" s="1" t="n">
        <v>45041</v>
      </c>
      <c r="C725" s="1" t="n">
        <v>45696</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18536-2023</t>
        </is>
      </c>
      <c r="B726" s="1" t="n">
        <v>45042</v>
      </c>
      <c r="C726" s="1" t="n">
        <v>45696</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18386-2023</t>
        </is>
      </c>
      <c r="B727" s="1" t="n">
        <v>45042</v>
      </c>
      <c r="C727" s="1" t="n">
        <v>45696</v>
      </c>
      <c r="D727" t="inlineStr">
        <is>
          <t>UPPSALA LÄN</t>
        </is>
      </c>
      <c r="E727" t="inlineStr">
        <is>
          <t>ÖSTHAMMAR</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18535-2023</t>
        </is>
      </c>
      <c r="B728" s="1" t="n">
        <v>45042</v>
      </c>
      <c r="C728" s="1" t="n">
        <v>45696</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18534-2023</t>
        </is>
      </c>
      <c r="B729" s="1" t="n">
        <v>45042</v>
      </c>
      <c r="C729" s="1" t="n">
        <v>45696</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18538-2023</t>
        </is>
      </c>
      <c r="B730" s="1" t="n">
        <v>45042</v>
      </c>
      <c r="C730" s="1" t="n">
        <v>45696</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18838-2023</t>
        </is>
      </c>
      <c r="B731" s="1" t="n">
        <v>45044</v>
      </c>
      <c r="C731" s="1" t="n">
        <v>45696</v>
      </c>
      <c r="D731" t="inlineStr">
        <is>
          <t>UPPSALA LÄN</t>
        </is>
      </c>
      <c r="E731" t="inlineStr">
        <is>
          <t>ÖSTHAMMAR</t>
        </is>
      </c>
      <c r="G731" t="n">
        <v>2.8</v>
      </c>
      <c r="H731" t="n">
        <v>0</v>
      </c>
      <c r="I731" t="n">
        <v>0</v>
      </c>
      <c r="J731" t="n">
        <v>0</v>
      </c>
      <c r="K731" t="n">
        <v>0</v>
      </c>
      <c r="L731" t="n">
        <v>0</v>
      </c>
      <c r="M731" t="n">
        <v>0</v>
      </c>
      <c r="N731" t="n">
        <v>0</v>
      </c>
      <c r="O731" t="n">
        <v>0</v>
      </c>
      <c r="P731" t="n">
        <v>0</v>
      </c>
      <c r="Q731" t="n">
        <v>0</v>
      </c>
      <c r="R731" s="2" t="inlineStr"/>
    </row>
    <row r="732" ht="15" customHeight="1">
      <c r="A732" t="inlineStr">
        <is>
          <t>A 18839-2023</t>
        </is>
      </c>
      <c r="B732" s="1" t="n">
        <v>45044</v>
      </c>
      <c r="C732" s="1" t="n">
        <v>45696</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18841-2023</t>
        </is>
      </c>
      <c r="B733" s="1" t="n">
        <v>45044</v>
      </c>
      <c r="C733" s="1" t="n">
        <v>45696</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18945-2023</t>
        </is>
      </c>
      <c r="B734" s="1" t="n">
        <v>45044</v>
      </c>
      <c r="C734" s="1" t="n">
        <v>45696</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18946-2023</t>
        </is>
      </c>
      <c r="B735" s="1" t="n">
        <v>45044</v>
      </c>
      <c r="C735" s="1" t="n">
        <v>45696</v>
      </c>
      <c r="D735" t="inlineStr">
        <is>
          <t>UPPSALA LÄN</t>
        </is>
      </c>
      <c r="E735" t="inlineStr">
        <is>
          <t>ÖSTHAMMAR</t>
        </is>
      </c>
      <c r="G735" t="n">
        <v>4.9</v>
      </c>
      <c r="H735" t="n">
        <v>0</v>
      </c>
      <c r="I735" t="n">
        <v>0</v>
      </c>
      <c r="J735" t="n">
        <v>0</v>
      </c>
      <c r="K735" t="n">
        <v>0</v>
      </c>
      <c r="L735" t="n">
        <v>0</v>
      </c>
      <c r="M735" t="n">
        <v>0</v>
      </c>
      <c r="N735" t="n">
        <v>0</v>
      </c>
      <c r="O735" t="n">
        <v>0</v>
      </c>
      <c r="P735" t="n">
        <v>0</v>
      </c>
      <c r="Q735" t="n">
        <v>0</v>
      </c>
      <c r="R735" s="2" t="inlineStr"/>
    </row>
    <row r="736" ht="15" customHeight="1">
      <c r="A736" t="inlineStr">
        <is>
          <t>A 19012-2023</t>
        </is>
      </c>
      <c r="B736" s="1" t="n">
        <v>45045</v>
      </c>
      <c r="C736" s="1" t="n">
        <v>45696</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19015-2023</t>
        </is>
      </c>
      <c r="B737" s="1" t="n">
        <v>45045</v>
      </c>
      <c r="C737" s="1" t="n">
        <v>45696</v>
      </c>
      <c r="D737" t="inlineStr">
        <is>
          <t>UPPSALA LÄN</t>
        </is>
      </c>
      <c r="E737" t="inlineStr">
        <is>
          <t>ÖSTHAMMAR</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19010-2023</t>
        </is>
      </c>
      <c r="B738" s="1" t="n">
        <v>45045</v>
      </c>
      <c r="C738" s="1" t="n">
        <v>45696</v>
      </c>
      <c r="D738" t="inlineStr">
        <is>
          <t>UPPSALA LÄN</t>
        </is>
      </c>
      <c r="E738" t="inlineStr">
        <is>
          <t>ÖSTHAMMAR</t>
        </is>
      </c>
      <c r="F738" t="inlineStr">
        <is>
          <t>Bergvik skog öst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19014-2023</t>
        </is>
      </c>
      <c r="B739" s="1" t="n">
        <v>45045</v>
      </c>
      <c r="C739" s="1" t="n">
        <v>45696</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19009-2023</t>
        </is>
      </c>
      <c r="B740" s="1" t="n">
        <v>45045</v>
      </c>
      <c r="C740" s="1" t="n">
        <v>45696</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19041-2023</t>
        </is>
      </c>
      <c r="B741" s="1" t="n">
        <v>45047</v>
      </c>
      <c r="C741" s="1" t="n">
        <v>45696</v>
      </c>
      <c r="D741" t="inlineStr">
        <is>
          <t>UPPSALA LÄN</t>
        </is>
      </c>
      <c r="E741" t="inlineStr">
        <is>
          <t>ÖSTHAMMAR</t>
        </is>
      </c>
      <c r="F741" t="inlineStr">
        <is>
          <t>Bergvik skog öst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19040-2023</t>
        </is>
      </c>
      <c r="B742" s="1" t="n">
        <v>45047</v>
      </c>
      <c r="C742" s="1" t="n">
        <v>45696</v>
      </c>
      <c r="D742" t="inlineStr">
        <is>
          <t>UPPSALA LÄN</t>
        </is>
      </c>
      <c r="E742" t="inlineStr">
        <is>
          <t>ÖSTHAMMAR</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19102-2023</t>
        </is>
      </c>
      <c r="B743" s="1" t="n">
        <v>45048</v>
      </c>
      <c r="C743" s="1" t="n">
        <v>45696</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19099-2023</t>
        </is>
      </c>
      <c r="B744" s="1" t="n">
        <v>45048</v>
      </c>
      <c r="C744" s="1" t="n">
        <v>45696</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19097-2023</t>
        </is>
      </c>
      <c r="B745" s="1" t="n">
        <v>45048</v>
      </c>
      <c r="C745" s="1" t="n">
        <v>45696</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19215-2023</t>
        </is>
      </c>
      <c r="B746" s="1" t="n">
        <v>45048</v>
      </c>
      <c r="C746" s="1" t="n">
        <v>45696</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19216-2023</t>
        </is>
      </c>
      <c r="B747" s="1" t="n">
        <v>45048</v>
      </c>
      <c r="C747" s="1" t="n">
        <v>45696</v>
      </c>
      <c r="D747" t="inlineStr">
        <is>
          <t>UPPSALA LÄN</t>
        </is>
      </c>
      <c r="E747" t="inlineStr">
        <is>
          <t>ÖSTHAMMAR</t>
        </is>
      </c>
      <c r="G747" t="n">
        <v>11.3</v>
      </c>
      <c r="H747" t="n">
        <v>0</v>
      </c>
      <c r="I747" t="n">
        <v>0</v>
      </c>
      <c r="J747" t="n">
        <v>0</v>
      </c>
      <c r="K747" t="n">
        <v>0</v>
      </c>
      <c r="L747" t="n">
        <v>0</v>
      </c>
      <c r="M747" t="n">
        <v>0</v>
      </c>
      <c r="N747" t="n">
        <v>0</v>
      </c>
      <c r="O747" t="n">
        <v>0</v>
      </c>
      <c r="P747" t="n">
        <v>0</v>
      </c>
      <c r="Q747" t="n">
        <v>0</v>
      </c>
      <c r="R747" s="2" t="inlineStr"/>
    </row>
    <row r="748" ht="15" customHeight="1">
      <c r="A748" t="inlineStr">
        <is>
          <t>A 19784-2023</t>
        </is>
      </c>
      <c r="B748" s="1" t="n">
        <v>45051</v>
      </c>
      <c r="C748" s="1" t="n">
        <v>45696</v>
      </c>
      <c r="D748" t="inlineStr">
        <is>
          <t>UPPSALA LÄN</t>
        </is>
      </c>
      <c r="E748" t="inlineStr">
        <is>
          <t>ÖSTHAMMAR</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19801-2023</t>
        </is>
      </c>
      <c r="B749" s="1" t="n">
        <v>45051</v>
      </c>
      <c r="C749" s="1" t="n">
        <v>45696</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19968-2023</t>
        </is>
      </c>
      <c r="B750" s="1" t="n">
        <v>45054</v>
      </c>
      <c r="C750" s="1" t="n">
        <v>45696</v>
      </c>
      <c r="D750" t="inlineStr">
        <is>
          <t>UPPSALA LÄN</t>
        </is>
      </c>
      <c r="E750" t="inlineStr">
        <is>
          <t>ÖSTHAMMAR</t>
        </is>
      </c>
      <c r="G750" t="n">
        <v>5.8</v>
      </c>
      <c r="H750" t="n">
        <v>0</v>
      </c>
      <c r="I750" t="n">
        <v>0</v>
      </c>
      <c r="J750" t="n">
        <v>0</v>
      </c>
      <c r="K750" t="n">
        <v>0</v>
      </c>
      <c r="L750" t="n">
        <v>0</v>
      </c>
      <c r="M750" t="n">
        <v>0</v>
      </c>
      <c r="N750" t="n">
        <v>0</v>
      </c>
      <c r="O750" t="n">
        <v>0</v>
      </c>
      <c r="P750" t="n">
        <v>0</v>
      </c>
      <c r="Q750" t="n">
        <v>0</v>
      </c>
      <c r="R750" s="2" t="inlineStr"/>
    </row>
    <row r="751" ht="15" customHeight="1">
      <c r="A751" t="inlineStr">
        <is>
          <t>A 20038-2023</t>
        </is>
      </c>
      <c r="B751" s="1" t="n">
        <v>45054</v>
      </c>
      <c r="C751" s="1" t="n">
        <v>45696</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20046-2023</t>
        </is>
      </c>
      <c r="B752" s="1" t="n">
        <v>45054</v>
      </c>
      <c r="C752" s="1" t="n">
        <v>45696</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20029-2023</t>
        </is>
      </c>
      <c r="B753" s="1" t="n">
        <v>45054</v>
      </c>
      <c r="C753" s="1" t="n">
        <v>45696</v>
      </c>
      <c r="D753" t="inlineStr">
        <is>
          <t>UPPSALA LÄN</t>
        </is>
      </c>
      <c r="E753" t="inlineStr">
        <is>
          <t>ÖSTHAMMAR</t>
        </is>
      </c>
      <c r="G753" t="n">
        <v>4.8</v>
      </c>
      <c r="H753" t="n">
        <v>0</v>
      </c>
      <c r="I753" t="n">
        <v>0</v>
      </c>
      <c r="J753" t="n">
        <v>0</v>
      </c>
      <c r="K753" t="n">
        <v>0</v>
      </c>
      <c r="L753" t="n">
        <v>0</v>
      </c>
      <c r="M753" t="n">
        <v>0</v>
      </c>
      <c r="N753" t="n">
        <v>0</v>
      </c>
      <c r="O753" t="n">
        <v>0</v>
      </c>
      <c r="P753" t="n">
        <v>0</v>
      </c>
      <c r="Q753" t="n">
        <v>0</v>
      </c>
      <c r="R753" s="2" t="inlineStr"/>
    </row>
    <row r="754" ht="15" customHeight="1">
      <c r="A754" t="inlineStr">
        <is>
          <t>A 20366-2023</t>
        </is>
      </c>
      <c r="B754" s="1" t="n">
        <v>45056</v>
      </c>
      <c r="C754" s="1" t="n">
        <v>45696</v>
      </c>
      <c r="D754" t="inlineStr">
        <is>
          <t>UPPSALA LÄN</t>
        </is>
      </c>
      <c r="E754" t="inlineStr">
        <is>
          <t>ÖSTHAMMAR</t>
        </is>
      </c>
      <c r="G754" t="n">
        <v>1.6</v>
      </c>
      <c r="H754" t="n">
        <v>0</v>
      </c>
      <c r="I754" t="n">
        <v>0</v>
      </c>
      <c r="J754" t="n">
        <v>0</v>
      </c>
      <c r="K754" t="n">
        <v>0</v>
      </c>
      <c r="L754" t="n">
        <v>0</v>
      </c>
      <c r="M754" t="n">
        <v>0</v>
      </c>
      <c r="N754" t="n">
        <v>0</v>
      </c>
      <c r="O754" t="n">
        <v>0</v>
      </c>
      <c r="P754" t="n">
        <v>0</v>
      </c>
      <c r="Q754" t="n">
        <v>0</v>
      </c>
      <c r="R754" s="2" t="inlineStr"/>
    </row>
    <row r="755" ht="15" customHeight="1">
      <c r="A755" t="inlineStr">
        <is>
          <t>A 20572-2023</t>
        </is>
      </c>
      <c r="B755" s="1" t="n">
        <v>45057</v>
      </c>
      <c r="C755" s="1" t="n">
        <v>45696</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20657-2023</t>
        </is>
      </c>
      <c r="B756" s="1" t="n">
        <v>45058</v>
      </c>
      <c r="C756" s="1" t="n">
        <v>45696</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20664-2023</t>
        </is>
      </c>
      <c r="B757" s="1" t="n">
        <v>45058</v>
      </c>
      <c r="C757" s="1" t="n">
        <v>45696</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20680-2023</t>
        </is>
      </c>
      <c r="B758" s="1" t="n">
        <v>45058</v>
      </c>
      <c r="C758" s="1" t="n">
        <v>45696</v>
      </c>
      <c r="D758" t="inlineStr">
        <is>
          <t>UPPSALA LÄN</t>
        </is>
      </c>
      <c r="E758" t="inlineStr">
        <is>
          <t>ÖSTHAMMAR</t>
        </is>
      </c>
      <c r="F758" t="inlineStr">
        <is>
          <t>Bergvik skog öst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20677-2023</t>
        </is>
      </c>
      <c r="B759" s="1" t="n">
        <v>45058</v>
      </c>
      <c r="C759" s="1" t="n">
        <v>45696</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21478-2023</t>
        </is>
      </c>
      <c r="B760" s="1" t="n">
        <v>45063</v>
      </c>
      <c r="C760" s="1" t="n">
        <v>45696</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21615-2023</t>
        </is>
      </c>
      <c r="B761" s="1" t="n">
        <v>45063</v>
      </c>
      <c r="C761" s="1" t="n">
        <v>45696</v>
      </c>
      <c r="D761" t="inlineStr">
        <is>
          <t>UPPSALA LÄN</t>
        </is>
      </c>
      <c r="E761" t="inlineStr">
        <is>
          <t>ÖSTHAMMAR</t>
        </is>
      </c>
      <c r="G761" t="n">
        <v>3.3</v>
      </c>
      <c r="H761" t="n">
        <v>0</v>
      </c>
      <c r="I761" t="n">
        <v>0</v>
      </c>
      <c r="J761" t="n">
        <v>0</v>
      </c>
      <c r="K761" t="n">
        <v>0</v>
      </c>
      <c r="L761" t="n">
        <v>0</v>
      </c>
      <c r="M761" t="n">
        <v>0</v>
      </c>
      <c r="N761" t="n">
        <v>0</v>
      </c>
      <c r="O761" t="n">
        <v>0</v>
      </c>
      <c r="P761" t="n">
        <v>0</v>
      </c>
      <c r="Q761" t="n">
        <v>0</v>
      </c>
      <c r="R761" s="2" t="inlineStr"/>
    </row>
    <row r="762" ht="15" customHeight="1">
      <c r="A762" t="inlineStr">
        <is>
          <t>A 21624-2023</t>
        </is>
      </c>
      <c r="B762" s="1" t="n">
        <v>45063</v>
      </c>
      <c r="C762" s="1" t="n">
        <v>45696</v>
      </c>
      <c r="D762" t="inlineStr">
        <is>
          <t>UPPSALA LÄN</t>
        </is>
      </c>
      <c r="E762" t="inlineStr">
        <is>
          <t>ÖSTHAMMAR</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45696</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22405-2023</t>
        </is>
      </c>
      <c r="B764" s="1" t="n">
        <v>45070</v>
      </c>
      <c r="C764" s="1" t="n">
        <v>45696</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22413-2023</t>
        </is>
      </c>
      <c r="B765" s="1" t="n">
        <v>45070</v>
      </c>
      <c r="C765" s="1" t="n">
        <v>45696</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22322-2023</t>
        </is>
      </c>
      <c r="B766" s="1" t="n">
        <v>45070</v>
      </c>
      <c r="C766" s="1" t="n">
        <v>45696</v>
      </c>
      <c r="D766" t="inlineStr">
        <is>
          <t>UPPSALA LÄN</t>
        </is>
      </c>
      <c r="E766" t="inlineStr">
        <is>
          <t>ÖSTHAMMAR</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22701-2023</t>
        </is>
      </c>
      <c r="B767" s="1" t="n">
        <v>45071</v>
      </c>
      <c r="C767" s="1" t="n">
        <v>45696</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22794-2023</t>
        </is>
      </c>
      <c r="B768" s="1" t="n">
        <v>45072</v>
      </c>
      <c r="C768" s="1" t="n">
        <v>45696</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22798-2023</t>
        </is>
      </c>
      <c r="B769" s="1" t="n">
        <v>45072</v>
      </c>
      <c r="C769" s="1" t="n">
        <v>45696</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22796-2023</t>
        </is>
      </c>
      <c r="B770" s="1" t="n">
        <v>45072</v>
      </c>
      <c r="C770" s="1" t="n">
        <v>45696</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23083-2023</t>
        </is>
      </c>
      <c r="B771" s="1" t="n">
        <v>45075</v>
      </c>
      <c r="C771" s="1" t="n">
        <v>45696</v>
      </c>
      <c r="D771" t="inlineStr">
        <is>
          <t>UPPSALA LÄN</t>
        </is>
      </c>
      <c r="E771" t="inlineStr">
        <is>
          <t>ÖSTHAMMAR</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23064-2023</t>
        </is>
      </c>
      <c r="B772" s="1" t="n">
        <v>45075</v>
      </c>
      <c r="C772" s="1" t="n">
        <v>45696</v>
      </c>
      <c r="D772" t="inlineStr">
        <is>
          <t>UPPSALA LÄN</t>
        </is>
      </c>
      <c r="E772" t="inlineStr">
        <is>
          <t>ÖSTHAMMAR</t>
        </is>
      </c>
      <c r="F772" t="inlineStr">
        <is>
          <t>Kyrkan</t>
        </is>
      </c>
      <c r="G772" t="n">
        <v>16.6</v>
      </c>
      <c r="H772" t="n">
        <v>0</v>
      </c>
      <c r="I772" t="n">
        <v>0</v>
      </c>
      <c r="J772" t="n">
        <v>0</v>
      </c>
      <c r="K772" t="n">
        <v>0</v>
      </c>
      <c r="L772" t="n">
        <v>0</v>
      </c>
      <c r="M772" t="n">
        <v>0</v>
      </c>
      <c r="N772" t="n">
        <v>0</v>
      </c>
      <c r="O772" t="n">
        <v>0</v>
      </c>
      <c r="P772" t="n">
        <v>0</v>
      </c>
      <c r="Q772" t="n">
        <v>0</v>
      </c>
      <c r="R772" s="2" t="inlineStr"/>
    </row>
    <row r="773" ht="15" customHeight="1">
      <c r="A773" t="inlineStr">
        <is>
          <t>A 23197-2023</t>
        </is>
      </c>
      <c r="B773" s="1" t="n">
        <v>45075</v>
      </c>
      <c r="C773" s="1" t="n">
        <v>45696</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23142-2023</t>
        </is>
      </c>
      <c r="B774" s="1" t="n">
        <v>45075</v>
      </c>
      <c r="C774" s="1" t="n">
        <v>45696</v>
      </c>
      <c r="D774" t="inlineStr">
        <is>
          <t>UPPSALA LÄN</t>
        </is>
      </c>
      <c r="E774" t="inlineStr">
        <is>
          <t>ÖSTHAMMAR</t>
        </is>
      </c>
      <c r="G774" t="n">
        <v>2.3</v>
      </c>
      <c r="H774" t="n">
        <v>0</v>
      </c>
      <c r="I774" t="n">
        <v>0</v>
      </c>
      <c r="J774" t="n">
        <v>0</v>
      </c>
      <c r="K774" t="n">
        <v>0</v>
      </c>
      <c r="L774" t="n">
        <v>0</v>
      </c>
      <c r="M774" t="n">
        <v>0</v>
      </c>
      <c r="N774" t="n">
        <v>0</v>
      </c>
      <c r="O774" t="n">
        <v>0</v>
      </c>
      <c r="P774" t="n">
        <v>0</v>
      </c>
      <c r="Q774" t="n">
        <v>0</v>
      </c>
      <c r="R774" s="2" t="inlineStr"/>
    </row>
    <row r="775" ht="15" customHeight="1">
      <c r="A775" t="inlineStr">
        <is>
          <t>A 23059-2023</t>
        </is>
      </c>
      <c r="B775" s="1" t="n">
        <v>45075</v>
      </c>
      <c r="C775" s="1" t="n">
        <v>45696</v>
      </c>
      <c r="D775" t="inlineStr">
        <is>
          <t>UPPSALA LÄN</t>
        </is>
      </c>
      <c r="E775" t="inlineStr">
        <is>
          <t>ÖSTHAMMAR</t>
        </is>
      </c>
      <c r="G775" t="n">
        <v>1</v>
      </c>
      <c r="H775" t="n">
        <v>0</v>
      </c>
      <c r="I775" t="n">
        <v>0</v>
      </c>
      <c r="J775" t="n">
        <v>0</v>
      </c>
      <c r="K775" t="n">
        <v>0</v>
      </c>
      <c r="L775" t="n">
        <v>0</v>
      </c>
      <c r="M775" t="n">
        <v>0</v>
      </c>
      <c r="N775" t="n">
        <v>0</v>
      </c>
      <c r="O775" t="n">
        <v>0</v>
      </c>
      <c r="P775" t="n">
        <v>0</v>
      </c>
      <c r="Q775" t="n">
        <v>0</v>
      </c>
      <c r="R775" s="2" t="inlineStr"/>
    </row>
    <row r="776" ht="15" customHeight="1">
      <c r="A776" t="inlineStr">
        <is>
          <t>A 23363-2023</t>
        </is>
      </c>
      <c r="B776" s="1" t="n">
        <v>45076</v>
      </c>
      <c r="C776" s="1" t="n">
        <v>45696</v>
      </c>
      <c r="D776" t="inlineStr">
        <is>
          <t>UPPSALA LÄN</t>
        </is>
      </c>
      <c r="E776" t="inlineStr">
        <is>
          <t>ÖSTHAMMAR</t>
        </is>
      </c>
      <c r="G776" t="n">
        <v>3</v>
      </c>
      <c r="H776" t="n">
        <v>0</v>
      </c>
      <c r="I776" t="n">
        <v>0</v>
      </c>
      <c r="J776" t="n">
        <v>0</v>
      </c>
      <c r="K776" t="n">
        <v>0</v>
      </c>
      <c r="L776" t="n">
        <v>0</v>
      </c>
      <c r="M776" t="n">
        <v>0</v>
      </c>
      <c r="N776" t="n">
        <v>0</v>
      </c>
      <c r="O776" t="n">
        <v>0</v>
      </c>
      <c r="P776" t="n">
        <v>0</v>
      </c>
      <c r="Q776" t="n">
        <v>0</v>
      </c>
      <c r="R776" s="2" t="inlineStr"/>
    </row>
    <row r="777" ht="15" customHeight="1">
      <c r="A777" t="inlineStr">
        <is>
          <t>A 23495-2023</t>
        </is>
      </c>
      <c r="B777" s="1" t="n">
        <v>45076</v>
      </c>
      <c r="C777" s="1" t="n">
        <v>45696</v>
      </c>
      <c r="D777" t="inlineStr">
        <is>
          <t>UPPSALA LÄN</t>
        </is>
      </c>
      <c r="E777" t="inlineStr">
        <is>
          <t>ÖSTHAMMAR</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45696</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24128-2023</t>
        </is>
      </c>
      <c r="B779" s="1" t="n">
        <v>45079</v>
      </c>
      <c r="C779" s="1" t="n">
        <v>45696</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24325-2023</t>
        </is>
      </c>
      <c r="B780" s="1" t="n">
        <v>45080</v>
      </c>
      <c r="C780" s="1" t="n">
        <v>45696</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24324-2023</t>
        </is>
      </c>
      <c r="B781" s="1" t="n">
        <v>45080</v>
      </c>
      <c r="C781" s="1" t="n">
        <v>45696</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24428-2023</t>
        </is>
      </c>
      <c r="B782" s="1" t="n">
        <v>45082</v>
      </c>
      <c r="C782" s="1" t="n">
        <v>45696</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24493-2023</t>
        </is>
      </c>
      <c r="B783" s="1" t="n">
        <v>45082</v>
      </c>
      <c r="C783" s="1" t="n">
        <v>45696</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24491-2023</t>
        </is>
      </c>
      <c r="B784" s="1" t="n">
        <v>45082</v>
      </c>
      <c r="C784" s="1" t="n">
        <v>45696</v>
      </c>
      <c r="D784" t="inlineStr">
        <is>
          <t>UPPSALA LÄN</t>
        </is>
      </c>
      <c r="E784" t="inlineStr">
        <is>
          <t>ÖSTHAMMAR</t>
        </is>
      </c>
      <c r="G784" t="n">
        <v>5.3</v>
      </c>
      <c r="H784" t="n">
        <v>0</v>
      </c>
      <c r="I784" t="n">
        <v>0</v>
      </c>
      <c r="J784" t="n">
        <v>0</v>
      </c>
      <c r="K784" t="n">
        <v>0</v>
      </c>
      <c r="L784" t="n">
        <v>0</v>
      </c>
      <c r="M784" t="n">
        <v>0</v>
      </c>
      <c r="N784" t="n">
        <v>0</v>
      </c>
      <c r="O784" t="n">
        <v>0</v>
      </c>
      <c r="P784" t="n">
        <v>0</v>
      </c>
      <c r="Q784" t="n">
        <v>0</v>
      </c>
      <c r="R784" s="2" t="inlineStr"/>
    </row>
    <row r="785" ht="15" customHeight="1">
      <c r="A785" t="inlineStr">
        <is>
          <t>A 24587-2023</t>
        </is>
      </c>
      <c r="B785" s="1" t="n">
        <v>45083</v>
      </c>
      <c r="C785" s="1" t="n">
        <v>45696</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24642-2023</t>
        </is>
      </c>
      <c r="B786" s="1" t="n">
        <v>45084</v>
      </c>
      <c r="C786" s="1" t="n">
        <v>45696</v>
      </c>
      <c r="D786" t="inlineStr">
        <is>
          <t>UPPSALA LÄN</t>
        </is>
      </c>
      <c r="E786" t="inlineStr">
        <is>
          <t>ÖSTHAMMAR</t>
        </is>
      </c>
      <c r="F786" t="inlineStr">
        <is>
          <t>Bergvik skog öst AB</t>
        </is>
      </c>
      <c r="G786" t="n">
        <v>7.2</v>
      </c>
      <c r="H786" t="n">
        <v>0</v>
      </c>
      <c r="I786" t="n">
        <v>0</v>
      </c>
      <c r="J786" t="n">
        <v>0</v>
      </c>
      <c r="K786" t="n">
        <v>0</v>
      </c>
      <c r="L786" t="n">
        <v>0</v>
      </c>
      <c r="M786" t="n">
        <v>0</v>
      </c>
      <c r="N786" t="n">
        <v>0</v>
      </c>
      <c r="O786" t="n">
        <v>0</v>
      </c>
      <c r="P786" t="n">
        <v>0</v>
      </c>
      <c r="Q786" t="n">
        <v>0</v>
      </c>
      <c r="R786" s="2" t="inlineStr"/>
    </row>
    <row r="787" ht="15" customHeight="1">
      <c r="A787" t="inlineStr">
        <is>
          <t>A 24648-2023</t>
        </is>
      </c>
      <c r="B787" s="1" t="n">
        <v>45084</v>
      </c>
      <c r="C787" s="1" t="n">
        <v>45696</v>
      </c>
      <c r="D787" t="inlineStr">
        <is>
          <t>UPPSALA LÄN</t>
        </is>
      </c>
      <c r="E787" t="inlineStr">
        <is>
          <t>ÖSTHAMMAR</t>
        </is>
      </c>
      <c r="F787" t="inlineStr">
        <is>
          <t>Bergvik skog öst AB</t>
        </is>
      </c>
      <c r="G787" t="n">
        <v>12.5</v>
      </c>
      <c r="H787" t="n">
        <v>0</v>
      </c>
      <c r="I787" t="n">
        <v>0</v>
      </c>
      <c r="J787" t="n">
        <v>0</v>
      </c>
      <c r="K787" t="n">
        <v>0</v>
      </c>
      <c r="L787" t="n">
        <v>0</v>
      </c>
      <c r="M787" t="n">
        <v>0</v>
      </c>
      <c r="N787" t="n">
        <v>0</v>
      </c>
      <c r="O787" t="n">
        <v>0</v>
      </c>
      <c r="P787" t="n">
        <v>0</v>
      </c>
      <c r="Q787" t="n">
        <v>0</v>
      </c>
      <c r="R787" s="2" t="inlineStr"/>
    </row>
    <row r="788" ht="15" customHeight="1">
      <c r="A788" t="inlineStr">
        <is>
          <t>A 24751-2023</t>
        </is>
      </c>
      <c r="B788" s="1" t="n">
        <v>45084</v>
      </c>
      <c r="C788" s="1" t="n">
        <v>45696</v>
      </c>
      <c r="D788" t="inlineStr">
        <is>
          <t>UPPSALA LÄN</t>
        </is>
      </c>
      <c r="E788" t="inlineStr">
        <is>
          <t>ÖSTHAMMAR</t>
        </is>
      </c>
      <c r="F788" t="inlineStr">
        <is>
          <t>Bergvik skog öst AB</t>
        </is>
      </c>
      <c r="G788" t="n">
        <v>6.2</v>
      </c>
      <c r="H788" t="n">
        <v>0</v>
      </c>
      <c r="I788" t="n">
        <v>0</v>
      </c>
      <c r="J788" t="n">
        <v>0</v>
      </c>
      <c r="K788" t="n">
        <v>0</v>
      </c>
      <c r="L788" t="n">
        <v>0</v>
      </c>
      <c r="M788" t="n">
        <v>0</v>
      </c>
      <c r="N788" t="n">
        <v>0</v>
      </c>
      <c r="O788" t="n">
        <v>0</v>
      </c>
      <c r="P788" t="n">
        <v>0</v>
      </c>
      <c r="Q788" t="n">
        <v>0</v>
      </c>
      <c r="R788" s="2" t="inlineStr"/>
    </row>
    <row r="789" ht="15" customHeight="1">
      <c r="A789" t="inlineStr">
        <is>
          <t>A 25194-2023</t>
        </is>
      </c>
      <c r="B789" s="1" t="n">
        <v>45086</v>
      </c>
      <c r="C789" s="1" t="n">
        <v>45696</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26612-2023</t>
        </is>
      </c>
      <c r="B790" s="1" t="n">
        <v>45089</v>
      </c>
      <c r="C790" s="1" t="n">
        <v>45696</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26610-2023</t>
        </is>
      </c>
      <c r="B791" s="1" t="n">
        <v>45089</v>
      </c>
      <c r="C791" s="1" t="n">
        <v>45696</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25897-2023</t>
        </is>
      </c>
      <c r="B792" s="1" t="n">
        <v>45090</v>
      </c>
      <c r="C792" s="1" t="n">
        <v>45696</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25903-2023</t>
        </is>
      </c>
      <c r="B793" s="1" t="n">
        <v>45090</v>
      </c>
      <c r="C793" s="1" t="n">
        <v>45696</v>
      </c>
      <c r="D793" t="inlineStr">
        <is>
          <t>UPPSALA LÄN</t>
        </is>
      </c>
      <c r="E793" t="inlineStr">
        <is>
          <t>ÖSTHAMMAR</t>
        </is>
      </c>
      <c r="F793" t="inlineStr">
        <is>
          <t>Bergvik skog öst AB</t>
        </is>
      </c>
      <c r="G793" t="n">
        <v>29.2</v>
      </c>
      <c r="H793" t="n">
        <v>0</v>
      </c>
      <c r="I793" t="n">
        <v>0</v>
      </c>
      <c r="J793" t="n">
        <v>0</v>
      </c>
      <c r="K793" t="n">
        <v>0</v>
      </c>
      <c r="L793" t="n">
        <v>0</v>
      </c>
      <c r="M793" t="n">
        <v>0</v>
      </c>
      <c r="N793" t="n">
        <v>0</v>
      </c>
      <c r="O793" t="n">
        <v>0</v>
      </c>
      <c r="P793" t="n">
        <v>0</v>
      </c>
      <c r="Q793" t="n">
        <v>0</v>
      </c>
      <c r="R793" s="2" t="inlineStr"/>
    </row>
    <row r="794" ht="15" customHeight="1">
      <c r="A794" t="inlineStr">
        <is>
          <t>A 25970-2023</t>
        </is>
      </c>
      <c r="B794" s="1" t="n">
        <v>45090</v>
      </c>
      <c r="C794" s="1" t="n">
        <v>45696</v>
      </c>
      <c r="D794" t="inlineStr">
        <is>
          <t>UPPSALA LÄN</t>
        </is>
      </c>
      <c r="E794" t="inlineStr">
        <is>
          <t>ÖSTHAMMAR</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25968-2023</t>
        </is>
      </c>
      <c r="B795" s="1" t="n">
        <v>45090</v>
      </c>
      <c r="C795" s="1" t="n">
        <v>45696</v>
      </c>
      <c r="D795" t="inlineStr">
        <is>
          <t>UPPSALA LÄN</t>
        </is>
      </c>
      <c r="E795" t="inlineStr">
        <is>
          <t>ÖSTHAMMAR</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25969-2023</t>
        </is>
      </c>
      <c r="B796" s="1" t="n">
        <v>45090</v>
      </c>
      <c r="C796" s="1" t="n">
        <v>45696</v>
      </c>
      <c r="D796" t="inlineStr">
        <is>
          <t>UPPSALA LÄN</t>
        </is>
      </c>
      <c r="E796" t="inlineStr">
        <is>
          <t>ÖSTHAMMAR</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26774-2023</t>
        </is>
      </c>
      <c r="B797" s="1" t="n">
        <v>45093</v>
      </c>
      <c r="C797" s="1" t="n">
        <v>45696</v>
      </c>
      <c r="D797" t="inlineStr">
        <is>
          <t>UPPSALA LÄN</t>
        </is>
      </c>
      <c r="E797" t="inlineStr">
        <is>
          <t>ÖSTHAMMAR</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26734-2023</t>
        </is>
      </c>
      <c r="B798" s="1" t="n">
        <v>45093</v>
      </c>
      <c r="C798" s="1" t="n">
        <v>45696</v>
      </c>
      <c r="D798" t="inlineStr">
        <is>
          <t>UPPSALA LÄN</t>
        </is>
      </c>
      <c r="E798" t="inlineStr">
        <is>
          <t>ÖSTHAMMAR</t>
        </is>
      </c>
      <c r="F798" t="inlineStr">
        <is>
          <t>Bergvik skog öst AB</t>
        </is>
      </c>
      <c r="G798" t="n">
        <v>25.5</v>
      </c>
      <c r="H798" t="n">
        <v>0</v>
      </c>
      <c r="I798" t="n">
        <v>0</v>
      </c>
      <c r="J798" t="n">
        <v>0</v>
      </c>
      <c r="K798" t="n">
        <v>0</v>
      </c>
      <c r="L798" t="n">
        <v>0</v>
      </c>
      <c r="M798" t="n">
        <v>0</v>
      </c>
      <c r="N798" t="n">
        <v>0</v>
      </c>
      <c r="O798" t="n">
        <v>0</v>
      </c>
      <c r="P798" t="n">
        <v>0</v>
      </c>
      <c r="Q798" t="n">
        <v>0</v>
      </c>
      <c r="R798" s="2" t="inlineStr"/>
    </row>
    <row r="799" ht="15" customHeight="1">
      <c r="A799" t="inlineStr">
        <is>
          <t>A 28170-2023</t>
        </is>
      </c>
      <c r="B799" s="1" t="n">
        <v>45093</v>
      </c>
      <c r="C799" s="1" t="n">
        <v>45696</v>
      </c>
      <c r="D799" t="inlineStr">
        <is>
          <t>UPPSALA LÄN</t>
        </is>
      </c>
      <c r="E799" t="inlineStr">
        <is>
          <t>ÖSTHAMMAR</t>
        </is>
      </c>
      <c r="G799" t="n">
        <v>7.2</v>
      </c>
      <c r="H799" t="n">
        <v>0</v>
      </c>
      <c r="I799" t="n">
        <v>0</v>
      </c>
      <c r="J799" t="n">
        <v>0</v>
      </c>
      <c r="K799" t="n">
        <v>0</v>
      </c>
      <c r="L799" t="n">
        <v>0</v>
      </c>
      <c r="M799" t="n">
        <v>0</v>
      </c>
      <c r="N799" t="n">
        <v>0</v>
      </c>
      <c r="O799" t="n">
        <v>0</v>
      </c>
      <c r="P799" t="n">
        <v>0</v>
      </c>
      <c r="Q799" t="n">
        <v>0</v>
      </c>
      <c r="R799" s="2" t="inlineStr"/>
    </row>
    <row r="800" ht="15" customHeight="1">
      <c r="A800" t="inlineStr">
        <is>
          <t>A 27150-2023</t>
        </is>
      </c>
      <c r="B800" s="1" t="n">
        <v>45096</v>
      </c>
      <c r="C800" s="1" t="n">
        <v>45696</v>
      </c>
      <c r="D800" t="inlineStr">
        <is>
          <t>UPPSALA LÄN</t>
        </is>
      </c>
      <c r="E800" t="inlineStr">
        <is>
          <t>ÖSTHAMMAR</t>
        </is>
      </c>
      <c r="F800" t="inlineStr">
        <is>
          <t>Bergvik skog öst AB</t>
        </is>
      </c>
      <c r="G800" t="n">
        <v>5</v>
      </c>
      <c r="H800" t="n">
        <v>0</v>
      </c>
      <c r="I800" t="n">
        <v>0</v>
      </c>
      <c r="J800" t="n">
        <v>0</v>
      </c>
      <c r="K800" t="n">
        <v>0</v>
      </c>
      <c r="L800" t="n">
        <v>0</v>
      </c>
      <c r="M800" t="n">
        <v>0</v>
      </c>
      <c r="N800" t="n">
        <v>0</v>
      </c>
      <c r="O800" t="n">
        <v>0</v>
      </c>
      <c r="P800" t="n">
        <v>0</v>
      </c>
      <c r="Q800" t="n">
        <v>0</v>
      </c>
      <c r="R800" s="2" t="inlineStr"/>
    </row>
    <row r="801" ht="15" customHeight="1">
      <c r="A801" t="inlineStr">
        <is>
          <t>A 27154-2023</t>
        </is>
      </c>
      <c r="B801" s="1" t="n">
        <v>45096</v>
      </c>
      <c r="C801" s="1" t="n">
        <v>45696</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27308-2023</t>
        </is>
      </c>
      <c r="B802" s="1" t="n">
        <v>45096</v>
      </c>
      <c r="C802" s="1" t="n">
        <v>45696</v>
      </c>
      <c r="D802" t="inlineStr">
        <is>
          <t>UPPSALA LÄN</t>
        </is>
      </c>
      <c r="E802" t="inlineStr">
        <is>
          <t>ÖSTHAMMAR</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27660-2023</t>
        </is>
      </c>
      <c r="B803" s="1" t="n">
        <v>45097</v>
      </c>
      <c r="C803" s="1" t="n">
        <v>45696</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27659-2023</t>
        </is>
      </c>
      <c r="B804" s="1" t="n">
        <v>45097</v>
      </c>
      <c r="C804" s="1" t="n">
        <v>45696</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ht="15" customHeight="1">
      <c r="A805" t="inlineStr">
        <is>
          <t>A 27801-2023</t>
        </is>
      </c>
      <c r="B805" s="1" t="n">
        <v>45098</v>
      </c>
      <c r="C805" s="1" t="n">
        <v>45696</v>
      </c>
      <c r="D805" t="inlineStr">
        <is>
          <t>UPPSALA LÄN</t>
        </is>
      </c>
      <c r="E805" t="inlineStr">
        <is>
          <t>ÖSTHAMMAR</t>
        </is>
      </c>
      <c r="F805" t="inlineStr">
        <is>
          <t>Kyrkan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28422-2023</t>
        </is>
      </c>
      <c r="B806" s="1" t="n">
        <v>45102</v>
      </c>
      <c r="C806" s="1" t="n">
        <v>45696</v>
      </c>
      <c r="D806" t="inlineStr">
        <is>
          <t>UPPSALA LÄN</t>
        </is>
      </c>
      <c r="E806" t="inlineStr">
        <is>
          <t>ÖSTHAMMAR</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28430-2023</t>
        </is>
      </c>
      <c r="B807" s="1" t="n">
        <v>45102</v>
      </c>
      <c r="C807" s="1" t="n">
        <v>45696</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28434-2023</t>
        </is>
      </c>
      <c r="B808" s="1" t="n">
        <v>45102</v>
      </c>
      <c r="C808" s="1" t="n">
        <v>45696</v>
      </c>
      <c r="D808" t="inlineStr">
        <is>
          <t>UPPSALA LÄN</t>
        </is>
      </c>
      <c r="E808" t="inlineStr">
        <is>
          <t>ÖSTHAMMAR</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28420-2023</t>
        </is>
      </c>
      <c r="B809" s="1" t="n">
        <v>45102</v>
      </c>
      <c r="C809" s="1" t="n">
        <v>45696</v>
      </c>
      <c r="D809" t="inlineStr">
        <is>
          <t>UPPSALA LÄN</t>
        </is>
      </c>
      <c r="E809" t="inlineStr">
        <is>
          <t>ÖSTHAMMAR</t>
        </is>
      </c>
      <c r="F809" t="inlineStr">
        <is>
          <t>Bergvik skog öst AB</t>
        </is>
      </c>
      <c r="G809" t="n">
        <v>3.2</v>
      </c>
      <c r="H809" t="n">
        <v>0</v>
      </c>
      <c r="I809" t="n">
        <v>0</v>
      </c>
      <c r="J809" t="n">
        <v>0</v>
      </c>
      <c r="K809" t="n">
        <v>0</v>
      </c>
      <c r="L809" t="n">
        <v>0</v>
      </c>
      <c r="M809" t="n">
        <v>0</v>
      </c>
      <c r="N809" t="n">
        <v>0</v>
      </c>
      <c r="O809" t="n">
        <v>0</v>
      </c>
      <c r="P809" t="n">
        <v>0</v>
      </c>
      <c r="Q809" t="n">
        <v>0</v>
      </c>
      <c r="R809" s="2" t="inlineStr"/>
    </row>
    <row r="810" ht="15" customHeight="1">
      <c r="A810" t="inlineStr">
        <is>
          <t>A 28432-2023</t>
        </is>
      </c>
      <c r="B810" s="1" t="n">
        <v>45102</v>
      </c>
      <c r="C810" s="1" t="n">
        <v>45696</v>
      </c>
      <c r="D810" t="inlineStr">
        <is>
          <t>UPPSALA LÄN</t>
        </is>
      </c>
      <c r="E810" t="inlineStr">
        <is>
          <t>ÖSTHAMMAR</t>
        </is>
      </c>
      <c r="F810" t="inlineStr">
        <is>
          <t>Bergvik skog öst AB</t>
        </is>
      </c>
      <c r="G810" t="n">
        <v>3.9</v>
      </c>
      <c r="H810" t="n">
        <v>0</v>
      </c>
      <c r="I810" t="n">
        <v>0</v>
      </c>
      <c r="J810" t="n">
        <v>0</v>
      </c>
      <c r="K810" t="n">
        <v>0</v>
      </c>
      <c r="L810" t="n">
        <v>0</v>
      </c>
      <c r="M810" t="n">
        <v>0</v>
      </c>
      <c r="N810" t="n">
        <v>0</v>
      </c>
      <c r="O810" t="n">
        <v>0</v>
      </c>
      <c r="P810" t="n">
        <v>0</v>
      </c>
      <c r="Q810" t="n">
        <v>0</v>
      </c>
      <c r="R810" s="2" t="inlineStr"/>
    </row>
    <row r="811" ht="15" customHeight="1">
      <c r="A811" t="inlineStr">
        <is>
          <t>A 28421-2023</t>
        </is>
      </c>
      <c r="B811" s="1" t="n">
        <v>45102</v>
      </c>
      <c r="C811" s="1" t="n">
        <v>45696</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28429-2023</t>
        </is>
      </c>
      <c r="B812" s="1" t="n">
        <v>45102</v>
      </c>
      <c r="C812" s="1" t="n">
        <v>45696</v>
      </c>
      <c r="D812" t="inlineStr">
        <is>
          <t>UPPSALA LÄN</t>
        </is>
      </c>
      <c r="E812" t="inlineStr">
        <is>
          <t>ÖSTHAMMAR</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28482-2023</t>
        </is>
      </c>
      <c r="B813" s="1" t="n">
        <v>45103</v>
      </c>
      <c r="C813" s="1" t="n">
        <v>45696</v>
      </c>
      <c r="D813" t="inlineStr">
        <is>
          <t>UPPSALA LÄN</t>
        </is>
      </c>
      <c r="E813" t="inlineStr">
        <is>
          <t>ÖSTHAMMAR</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29564-2023</t>
        </is>
      </c>
      <c r="B814" s="1" t="n">
        <v>45106</v>
      </c>
      <c r="C814" s="1" t="n">
        <v>45696</v>
      </c>
      <c r="D814" t="inlineStr">
        <is>
          <t>UPPSALA LÄN</t>
        </is>
      </c>
      <c r="E814" t="inlineStr">
        <is>
          <t>ÖSTHAMMAR</t>
        </is>
      </c>
      <c r="F814" t="inlineStr">
        <is>
          <t>Naturvårdsverket</t>
        </is>
      </c>
      <c r="G814" t="n">
        <v>1.2</v>
      </c>
      <c r="H814" t="n">
        <v>0</v>
      </c>
      <c r="I814" t="n">
        <v>0</v>
      </c>
      <c r="J814" t="n">
        <v>0</v>
      </c>
      <c r="K814" t="n">
        <v>0</v>
      </c>
      <c r="L814" t="n">
        <v>0</v>
      </c>
      <c r="M814" t="n">
        <v>0</v>
      </c>
      <c r="N814" t="n">
        <v>0</v>
      </c>
      <c r="O814" t="n">
        <v>0</v>
      </c>
      <c r="P814" t="n">
        <v>0</v>
      </c>
      <c r="Q814" t="n">
        <v>0</v>
      </c>
      <c r="R814" s="2" t="inlineStr"/>
    </row>
    <row r="815" ht="15" customHeight="1">
      <c r="A815" t="inlineStr">
        <is>
          <t>A 29873-2023</t>
        </is>
      </c>
      <c r="B815" s="1" t="n">
        <v>45107</v>
      </c>
      <c r="C815" s="1" t="n">
        <v>45696</v>
      </c>
      <c r="D815" t="inlineStr">
        <is>
          <t>UPPSALA LÄN</t>
        </is>
      </c>
      <c r="E815" t="inlineStr">
        <is>
          <t>ÖSTHAMMAR</t>
        </is>
      </c>
      <c r="F815" t="inlineStr">
        <is>
          <t>Naturvårdsverket</t>
        </is>
      </c>
      <c r="G815" t="n">
        <v>7.8</v>
      </c>
      <c r="H815" t="n">
        <v>0</v>
      </c>
      <c r="I815" t="n">
        <v>0</v>
      </c>
      <c r="J815" t="n">
        <v>0</v>
      </c>
      <c r="K815" t="n">
        <v>0</v>
      </c>
      <c r="L815" t="n">
        <v>0</v>
      </c>
      <c r="M815" t="n">
        <v>0</v>
      </c>
      <c r="N815" t="n">
        <v>0</v>
      </c>
      <c r="O815" t="n">
        <v>0</v>
      </c>
      <c r="P815" t="n">
        <v>0</v>
      </c>
      <c r="Q815" t="n">
        <v>0</v>
      </c>
      <c r="R815" s="2" t="inlineStr"/>
    </row>
    <row r="816" ht="15" customHeight="1">
      <c r="A816" t="inlineStr">
        <is>
          <t>A 29824-2023</t>
        </is>
      </c>
      <c r="B816" s="1" t="n">
        <v>45107</v>
      </c>
      <c r="C816" s="1" t="n">
        <v>45696</v>
      </c>
      <c r="D816" t="inlineStr">
        <is>
          <t>UPPSALA LÄN</t>
        </is>
      </c>
      <c r="E816" t="inlineStr">
        <is>
          <t>ÖSTHAMMAR</t>
        </is>
      </c>
      <c r="F816" t="inlineStr">
        <is>
          <t>Naturvårdsverket</t>
        </is>
      </c>
      <c r="G816" t="n">
        <v>1.6</v>
      </c>
      <c r="H816" t="n">
        <v>0</v>
      </c>
      <c r="I816" t="n">
        <v>0</v>
      </c>
      <c r="J816" t="n">
        <v>0</v>
      </c>
      <c r="K816" t="n">
        <v>0</v>
      </c>
      <c r="L816" t="n">
        <v>0</v>
      </c>
      <c r="M816" t="n">
        <v>0</v>
      </c>
      <c r="N816" t="n">
        <v>0</v>
      </c>
      <c r="O816" t="n">
        <v>0</v>
      </c>
      <c r="P816" t="n">
        <v>0</v>
      </c>
      <c r="Q816" t="n">
        <v>0</v>
      </c>
      <c r="R816" s="2" t="inlineStr"/>
    </row>
    <row r="817" ht="15" customHeight="1">
      <c r="A817" t="inlineStr">
        <is>
          <t>A 30086-2023</t>
        </is>
      </c>
      <c r="B817" s="1" t="n">
        <v>45110</v>
      </c>
      <c r="C817" s="1" t="n">
        <v>45696</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30470-2023</t>
        </is>
      </c>
      <c r="B818" s="1" t="n">
        <v>45111</v>
      </c>
      <c r="C818" s="1" t="n">
        <v>45696</v>
      </c>
      <c r="D818" t="inlineStr">
        <is>
          <t>UPPSALA LÄN</t>
        </is>
      </c>
      <c r="E818" t="inlineStr">
        <is>
          <t>ÖSTHAMMAR</t>
        </is>
      </c>
      <c r="G818" t="n">
        <v>0.8</v>
      </c>
      <c r="H818" t="n">
        <v>0</v>
      </c>
      <c r="I818" t="n">
        <v>0</v>
      </c>
      <c r="J818" t="n">
        <v>0</v>
      </c>
      <c r="K818" t="n">
        <v>0</v>
      </c>
      <c r="L818" t="n">
        <v>0</v>
      </c>
      <c r="M818" t="n">
        <v>0</v>
      </c>
      <c r="N818" t="n">
        <v>0</v>
      </c>
      <c r="O818" t="n">
        <v>0</v>
      </c>
      <c r="P818" t="n">
        <v>0</v>
      </c>
      <c r="Q818" t="n">
        <v>0</v>
      </c>
      <c r="R818" s="2" t="inlineStr"/>
    </row>
    <row r="819" ht="15" customHeight="1">
      <c r="A819" t="inlineStr">
        <is>
          <t>A 30498-2023</t>
        </is>
      </c>
      <c r="B819" s="1" t="n">
        <v>45111</v>
      </c>
      <c r="C819" s="1" t="n">
        <v>45696</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30809-2023</t>
        </is>
      </c>
      <c r="B820" s="1" t="n">
        <v>45112</v>
      </c>
      <c r="C820" s="1" t="n">
        <v>45696</v>
      </c>
      <c r="D820" t="inlineStr">
        <is>
          <t>UPPSALA LÄN</t>
        </is>
      </c>
      <c r="E820" t="inlineStr">
        <is>
          <t>ÖSTHAMMAR</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30808-2023</t>
        </is>
      </c>
      <c r="B821" s="1" t="n">
        <v>45112</v>
      </c>
      <c r="C821" s="1" t="n">
        <v>45696</v>
      </c>
      <c r="D821" t="inlineStr">
        <is>
          <t>UPPSALA LÄN</t>
        </is>
      </c>
      <c r="E821" t="inlineStr">
        <is>
          <t>ÖSTHAMMAR</t>
        </is>
      </c>
      <c r="F821" t="inlineStr">
        <is>
          <t>Bergvik skog öst AB</t>
        </is>
      </c>
      <c r="G821" t="n">
        <v>3.3</v>
      </c>
      <c r="H821" t="n">
        <v>0</v>
      </c>
      <c r="I821" t="n">
        <v>0</v>
      </c>
      <c r="J821" t="n">
        <v>0</v>
      </c>
      <c r="K821" t="n">
        <v>0</v>
      </c>
      <c r="L821" t="n">
        <v>0</v>
      </c>
      <c r="M821" t="n">
        <v>0</v>
      </c>
      <c r="N821" t="n">
        <v>0</v>
      </c>
      <c r="O821" t="n">
        <v>0</v>
      </c>
      <c r="P821" t="n">
        <v>0</v>
      </c>
      <c r="Q821" t="n">
        <v>0</v>
      </c>
      <c r="R821" s="2" t="inlineStr"/>
    </row>
    <row r="822" ht="15" customHeight="1">
      <c r="A822" t="inlineStr">
        <is>
          <t>A 30812-2023</t>
        </is>
      </c>
      <c r="B822" s="1" t="n">
        <v>45112</v>
      </c>
      <c r="C822" s="1" t="n">
        <v>45696</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30810-2023</t>
        </is>
      </c>
      <c r="B823" s="1" t="n">
        <v>45112</v>
      </c>
      <c r="C823" s="1" t="n">
        <v>45696</v>
      </c>
      <c r="D823" t="inlineStr">
        <is>
          <t>UPPSALA LÄN</t>
        </is>
      </c>
      <c r="E823" t="inlineStr">
        <is>
          <t>ÖSTHAMMAR</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30811-2023</t>
        </is>
      </c>
      <c r="B824" s="1" t="n">
        <v>45112</v>
      </c>
      <c r="C824" s="1" t="n">
        <v>45696</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31480-2023</t>
        </is>
      </c>
      <c r="B825" s="1" t="n">
        <v>45114</v>
      </c>
      <c r="C825" s="1" t="n">
        <v>45696</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31484-2023</t>
        </is>
      </c>
      <c r="B826" s="1" t="n">
        <v>45114</v>
      </c>
      <c r="C826" s="1" t="n">
        <v>45696</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v>
      </c>
      <c r="C827" s="1" t="n">
        <v>45696</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31483-2023</t>
        </is>
      </c>
      <c r="B828" s="1" t="n">
        <v>45114</v>
      </c>
      <c r="C828" s="1" t="n">
        <v>45696</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31482-2023</t>
        </is>
      </c>
      <c r="B829" s="1" t="n">
        <v>45114</v>
      </c>
      <c r="C829" s="1" t="n">
        <v>45696</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31486-2023</t>
        </is>
      </c>
      <c r="B830" s="1" t="n">
        <v>45114</v>
      </c>
      <c r="C830" s="1" t="n">
        <v>45696</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31481-2023</t>
        </is>
      </c>
      <c r="B831" s="1" t="n">
        <v>45114</v>
      </c>
      <c r="C831" s="1" t="n">
        <v>45696</v>
      </c>
      <c r="D831" t="inlineStr">
        <is>
          <t>UPPSALA LÄN</t>
        </is>
      </c>
      <c r="E831" t="inlineStr">
        <is>
          <t>ÖSTHAMMAR</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31485-2023</t>
        </is>
      </c>
      <c r="B832" s="1" t="n">
        <v>45114</v>
      </c>
      <c r="C832" s="1" t="n">
        <v>45696</v>
      </c>
      <c r="D832" t="inlineStr">
        <is>
          <t>UPPSALA LÄN</t>
        </is>
      </c>
      <c r="E832" t="inlineStr">
        <is>
          <t>ÖSTHAMMAR</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31688-2023</t>
        </is>
      </c>
      <c r="B833" s="1" t="n">
        <v>45117</v>
      </c>
      <c r="C833" s="1" t="n">
        <v>45696</v>
      </c>
      <c r="D833" t="inlineStr">
        <is>
          <t>UPPSALA LÄN</t>
        </is>
      </c>
      <c r="E833" t="inlineStr">
        <is>
          <t>ÖSTHAMMAR</t>
        </is>
      </c>
      <c r="F833" t="inlineStr">
        <is>
          <t>Bergvik skog öst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32194-2023</t>
        </is>
      </c>
      <c r="B834" s="1" t="n">
        <v>45119</v>
      </c>
      <c r="C834" s="1" t="n">
        <v>45696</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32195-2023</t>
        </is>
      </c>
      <c r="B835" s="1" t="n">
        <v>45119</v>
      </c>
      <c r="C835" s="1" t="n">
        <v>45696</v>
      </c>
      <c r="D835" t="inlineStr">
        <is>
          <t>UPPSALA LÄN</t>
        </is>
      </c>
      <c r="E835" t="inlineStr">
        <is>
          <t>ÖSTHAMMAR</t>
        </is>
      </c>
      <c r="F835" t="inlineStr">
        <is>
          <t>Bergvik skog öst AB</t>
        </is>
      </c>
      <c r="G835" t="n">
        <v>1.2</v>
      </c>
      <c r="H835" t="n">
        <v>0</v>
      </c>
      <c r="I835" t="n">
        <v>0</v>
      </c>
      <c r="J835" t="n">
        <v>0</v>
      </c>
      <c r="K835" t="n">
        <v>0</v>
      </c>
      <c r="L835" t="n">
        <v>0</v>
      </c>
      <c r="M835" t="n">
        <v>0</v>
      </c>
      <c r="N835" t="n">
        <v>0</v>
      </c>
      <c r="O835" t="n">
        <v>0</v>
      </c>
      <c r="P835" t="n">
        <v>0</v>
      </c>
      <c r="Q835" t="n">
        <v>0</v>
      </c>
      <c r="R835" s="2" t="inlineStr"/>
    </row>
    <row r="836" ht="15" customHeight="1">
      <c r="A836" t="inlineStr">
        <is>
          <t>A 32197-2023</t>
        </is>
      </c>
      <c r="B836" s="1" t="n">
        <v>45119</v>
      </c>
      <c r="C836" s="1" t="n">
        <v>45696</v>
      </c>
      <c r="D836" t="inlineStr">
        <is>
          <t>UPPSALA LÄN</t>
        </is>
      </c>
      <c r="E836" t="inlineStr">
        <is>
          <t>ÖSTHAMMAR</t>
        </is>
      </c>
      <c r="F836" t="inlineStr">
        <is>
          <t>Bergvik skog öst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32196-2023</t>
        </is>
      </c>
      <c r="B837" s="1" t="n">
        <v>45119</v>
      </c>
      <c r="C837" s="1" t="n">
        <v>45696</v>
      </c>
      <c r="D837" t="inlineStr">
        <is>
          <t>UPPSALA LÄN</t>
        </is>
      </c>
      <c r="E837" t="inlineStr">
        <is>
          <t>ÖSTHAMMAR</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32390-2023</t>
        </is>
      </c>
      <c r="B838" s="1" t="n">
        <v>45120</v>
      </c>
      <c r="C838" s="1" t="n">
        <v>45696</v>
      </c>
      <c r="D838" t="inlineStr">
        <is>
          <t>UPPSALA LÄN</t>
        </is>
      </c>
      <c r="E838" t="inlineStr">
        <is>
          <t>ÖSTHAMMAR</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32693-2023</t>
        </is>
      </c>
      <c r="B839" s="1" t="n">
        <v>45121</v>
      </c>
      <c r="C839" s="1" t="n">
        <v>45696</v>
      </c>
      <c r="D839" t="inlineStr">
        <is>
          <t>UPPSALA LÄN</t>
        </is>
      </c>
      <c r="E839" t="inlineStr">
        <is>
          <t>ÖSTHAMMAR</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32691-2023</t>
        </is>
      </c>
      <c r="B840" s="1" t="n">
        <v>45121</v>
      </c>
      <c r="C840" s="1" t="n">
        <v>45696</v>
      </c>
      <c r="D840" t="inlineStr">
        <is>
          <t>UPPSALA LÄN</t>
        </is>
      </c>
      <c r="E840" t="inlineStr">
        <is>
          <t>ÖSTHAMMAR</t>
        </is>
      </c>
      <c r="F840" t="inlineStr">
        <is>
          <t>Bergvik skog öst AB</t>
        </is>
      </c>
      <c r="G840" t="n">
        <v>20.2</v>
      </c>
      <c r="H840" t="n">
        <v>0</v>
      </c>
      <c r="I840" t="n">
        <v>0</v>
      </c>
      <c r="J840" t="n">
        <v>0</v>
      </c>
      <c r="K840" t="n">
        <v>0</v>
      </c>
      <c r="L840" t="n">
        <v>0</v>
      </c>
      <c r="M840" t="n">
        <v>0</v>
      </c>
      <c r="N840" t="n">
        <v>0</v>
      </c>
      <c r="O840" t="n">
        <v>0</v>
      </c>
      <c r="P840" t="n">
        <v>0</v>
      </c>
      <c r="Q840" t="n">
        <v>0</v>
      </c>
      <c r="R840" s="2" t="inlineStr"/>
    </row>
    <row r="841" ht="15" customHeight="1">
      <c r="A841" t="inlineStr">
        <is>
          <t>A 32752-2023</t>
        </is>
      </c>
      <c r="B841" s="1" t="n">
        <v>45122</v>
      </c>
      <c r="C841" s="1" t="n">
        <v>45696</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32779-2023</t>
        </is>
      </c>
      <c r="B842" s="1" t="n">
        <v>45123</v>
      </c>
      <c r="C842" s="1" t="n">
        <v>45696</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32778-2023</t>
        </is>
      </c>
      <c r="B843" s="1" t="n">
        <v>45123</v>
      </c>
      <c r="C843" s="1" t="n">
        <v>45696</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32895-2023</t>
        </is>
      </c>
      <c r="B844" s="1" t="n">
        <v>45124</v>
      </c>
      <c r="C844" s="1" t="n">
        <v>45696</v>
      </c>
      <c r="D844" t="inlineStr">
        <is>
          <t>UPPSALA LÄN</t>
        </is>
      </c>
      <c r="E844" t="inlineStr">
        <is>
          <t>ÖSTHAMMAR</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34108-2023</t>
        </is>
      </c>
      <c r="B845" s="1" t="n">
        <v>45135</v>
      </c>
      <c r="C845" s="1" t="n">
        <v>45696</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34607-2023</t>
        </is>
      </c>
      <c r="B846" s="1" t="n">
        <v>45138</v>
      </c>
      <c r="C846" s="1" t="n">
        <v>45696</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34412-2023</t>
        </is>
      </c>
      <c r="B847" s="1" t="n">
        <v>45139</v>
      </c>
      <c r="C847" s="1" t="n">
        <v>45696</v>
      </c>
      <c r="D847" t="inlineStr">
        <is>
          <t>UPPSALA LÄN</t>
        </is>
      </c>
      <c r="E847" t="inlineStr">
        <is>
          <t>ÖSTHAMMAR</t>
        </is>
      </c>
      <c r="F847" t="inlineStr">
        <is>
          <t>Bergvik skog öst AB</t>
        </is>
      </c>
      <c r="G847" t="n">
        <v>4</v>
      </c>
      <c r="H847" t="n">
        <v>0</v>
      </c>
      <c r="I847" t="n">
        <v>0</v>
      </c>
      <c r="J847" t="n">
        <v>0</v>
      </c>
      <c r="K847" t="n">
        <v>0</v>
      </c>
      <c r="L847" t="n">
        <v>0</v>
      </c>
      <c r="M847" t="n">
        <v>0</v>
      </c>
      <c r="N847" t="n">
        <v>0</v>
      </c>
      <c r="O847" t="n">
        <v>0</v>
      </c>
      <c r="P847" t="n">
        <v>0</v>
      </c>
      <c r="Q847" t="n">
        <v>0</v>
      </c>
      <c r="R847" s="2" t="inlineStr"/>
    </row>
    <row r="848" ht="15" customHeight="1">
      <c r="A848" t="inlineStr">
        <is>
          <t>A 34471-2023</t>
        </is>
      </c>
      <c r="B848" s="1" t="n">
        <v>45139</v>
      </c>
      <c r="C848" s="1" t="n">
        <v>45696</v>
      </c>
      <c r="D848" t="inlineStr">
        <is>
          <t>UPPSALA LÄN</t>
        </is>
      </c>
      <c r="E848" t="inlineStr">
        <is>
          <t>ÖSTHAMMAR</t>
        </is>
      </c>
      <c r="F848" t="inlineStr">
        <is>
          <t>Bergvik skog öst AB</t>
        </is>
      </c>
      <c r="G848" t="n">
        <v>4.5</v>
      </c>
      <c r="H848" t="n">
        <v>0</v>
      </c>
      <c r="I848" t="n">
        <v>0</v>
      </c>
      <c r="J848" t="n">
        <v>0</v>
      </c>
      <c r="K848" t="n">
        <v>0</v>
      </c>
      <c r="L848" t="n">
        <v>0</v>
      </c>
      <c r="M848" t="n">
        <v>0</v>
      </c>
      <c r="N848" t="n">
        <v>0</v>
      </c>
      <c r="O848" t="n">
        <v>0</v>
      </c>
      <c r="P848" t="n">
        <v>0</v>
      </c>
      <c r="Q848" t="n">
        <v>0</v>
      </c>
      <c r="R848" s="2" t="inlineStr"/>
    </row>
    <row r="849" ht="15" customHeight="1">
      <c r="A849" t="inlineStr">
        <is>
          <t>A 34920-2023</t>
        </is>
      </c>
      <c r="B849" s="1" t="n">
        <v>45142</v>
      </c>
      <c r="C849" s="1" t="n">
        <v>45696</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34923-2023</t>
        </is>
      </c>
      <c r="B850" s="1" t="n">
        <v>45142</v>
      </c>
      <c r="C850" s="1" t="n">
        <v>45696</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34951-2023</t>
        </is>
      </c>
      <c r="B851" s="1" t="n">
        <v>45142</v>
      </c>
      <c r="C851" s="1" t="n">
        <v>45696</v>
      </c>
      <c r="D851" t="inlineStr">
        <is>
          <t>UPPSALA LÄN</t>
        </is>
      </c>
      <c r="E851" t="inlineStr">
        <is>
          <t>ÖSTHAMMAR</t>
        </is>
      </c>
      <c r="F851" t="inlineStr">
        <is>
          <t>Naturvårdsverket</t>
        </is>
      </c>
      <c r="G851" t="n">
        <v>4.8</v>
      </c>
      <c r="H851" t="n">
        <v>0</v>
      </c>
      <c r="I851" t="n">
        <v>0</v>
      </c>
      <c r="J851" t="n">
        <v>0</v>
      </c>
      <c r="K851" t="n">
        <v>0</v>
      </c>
      <c r="L851" t="n">
        <v>0</v>
      </c>
      <c r="M851" t="n">
        <v>0</v>
      </c>
      <c r="N851" t="n">
        <v>0</v>
      </c>
      <c r="O851" t="n">
        <v>0</v>
      </c>
      <c r="P851" t="n">
        <v>0</v>
      </c>
      <c r="Q851" t="n">
        <v>0</v>
      </c>
      <c r="R851" s="2" t="inlineStr"/>
    </row>
    <row r="852" ht="15" customHeight="1">
      <c r="A852" t="inlineStr">
        <is>
          <t>A 34922-2023</t>
        </is>
      </c>
      <c r="B852" s="1" t="n">
        <v>45142</v>
      </c>
      <c r="C852" s="1" t="n">
        <v>45696</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35403-2023</t>
        </is>
      </c>
      <c r="B853" s="1" t="n">
        <v>45146</v>
      </c>
      <c r="C853" s="1" t="n">
        <v>45696</v>
      </c>
      <c r="D853" t="inlineStr">
        <is>
          <t>UPPSALA LÄN</t>
        </is>
      </c>
      <c r="E853" t="inlineStr">
        <is>
          <t>ÖSTHAMMAR</t>
        </is>
      </c>
      <c r="F853" t="inlineStr">
        <is>
          <t>Bergvik skog öst AB</t>
        </is>
      </c>
      <c r="G853" t="n">
        <v>3.6</v>
      </c>
      <c r="H853" t="n">
        <v>0</v>
      </c>
      <c r="I853" t="n">
        <v>0</v>
      </c>
      <c r="J853" t="n">
        <v>0</v>
      </c>
      <c r="K853" t="n">
        <v>0</v>
      </c>
      <c r="L853" t="n">
        <v>0</v>
      </c>
      <c r="M853" t="n">
        <v>0</v>
      </c>
      <c r="N853" t="n">
        <v>0</v>
      </c>
      <c r="O853" t="n">
        <v>0</v>
      </c>
      <c r="P853" t="n">
        <v>0</v>
      </c>
      <c r="Q853" t="n">
        <v>0</v>
      </c>
      <c r="R853" s="2" t="inlineStr"/>
    </row>
    <row r="854" ht="15" customHeight="1">
      <c r="A854" t="inlineStr">
        <is>
          <t>A 35309-2023</t>
        </is>
      </c>
      <c r="B854" s="1" t="n">
        <v>45146</v>
      </c>
      <c r="C854" s="1" t="n">
        <v>45696</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35413-2023</t>
        </is>
      </c>
      <c r="B855" s="1" t="n">
        <v>45146</v>
      </c>
      <c r="C855" s="1" t="n">
        <v>45696</v>
      </c>
      <c r="D855" t="inlineStr">
        <is>
          <t>UPPSALA LÄN</t>
        </is>
      </c>
      <c r="E855" t="inlineStr">
        <is>
          <t>ÖSTHAMMAR</t>
        </is>
      </c>
      <c r="F855" t="inlineStr">
        <is>
          <t>Bergvik skog öst AB</t>
        </is>
      </c>
      <c r="G855" t="n">
        <v>26.1</v>
      </c>
      <c r="H855" t="n">
        <v>0</v>
      </c>
      <c r="I855" t="n">
        <v>0</v>
      </c>
      <c r="J855" t="n">
        <v>0</v>
      </c>
      <c r="K855" t="n">
        <v>0</v>
      </c>
      <c r="L855" t="n">
        <v>0</v>
      </c>
      <c r="M855" t="n">
        <v>0</v>
      </c>
      <c r="N855" t="n">
        <v>0</v>
      </c>
      <c r="O855" t="n">
        <v>0</v>
      </c>
      <c r="P855" t="n">
        <v>0</v>
      </c>
      <c r="Q855" t="n">
        <v>0</v>
      </c>
      <c r="R855" s="2" t="inlineStr"/>
    </row>
    <row r="856" ht="15" customHeight="1">
      <c r="A856" t="inlineStr">
        <is>
          <t>A 35406-2023</t>
        </is>
      </c>
      <c r="B856" s="1" t="n">
        <v>45146</v>
      </c>
      <c r="C856" s="1" t="n">
        <v>45696</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35410-2023</t>
        </is>
      </c>
      <c r="B857" s="1" t="n">
        <v>45146</v>
      </c>
      <c r="C857" s="1" t="n">
        <v>45696</v>
      </c>
      <c r="D857" t="inlineStr">
        <is>
          <t>UPPSALA LÄN</t>
        </is>
      </c>
      <c r="E857" t="inlineStr">
        <is>
          <t>ÖSTHAMMAR</t>
        </is>
      </c>
      <c r="F857" t="inlineStr">
        <is>
          <t>Bergvik skog öst AB</t>
        </is>
      </c>
      <c r="G857" t="n">
        <v>2.4</v>
      </c>
      <c r="H857" t="n">
        <v>0</v>
      </c>
      <c r="I857" t="n">
        <v>0</v>
      </c>
      <c r="J857" t="n">
        <v>0</v>
      </c>
      <c r="K857" t="n">
        <v>0</v>
      </c>
      <c r="L857" t="n">
        <v>0</v>
      </c>
      <c r="M857" t="n">
        <v>0</v>
      </c>
      <c r="N857" t="n">
        <v>0</v>
      </c>
      <c r="O857" t="n">
        <v>0</v>
      </c>
      <c r="P857" t="n">
        <v>0</v>
      </c>
      <c r="Q857" t="n">
        <v>0</v>
      </c>
      <c r="R857" s="2" t="inlineStr"/>
    </row>
    <row r="858" ht="15" customHeight="1">
      <c r="A858" t="inlineStr">
        <is>
          <t>A 35474-2023</t>
        </is>
      </c>
      <c r="B858" s="1" t="n">
        <v>45146</v>
      </c>
      <c r="C858" s="1" t="n">
        <v>45696</v>
      </c>
      <c r="D858" t="inlineStr">
        <is>
          <t>UPPSALA LÄN</t>
        </is>
      </c>
      <c r="E858" t="inlineStr">
        <is>
          <t>ÖSTHAMMAR</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35476-2023</t>
        </is>
      </c>
      <c r="B859" s="1" t="n">
        <v>45146</v>
      </c>
      <c r="C859" s="1" t="n">
        <v>45696</v>
      </c>
      <c r="D859" t="inlineStr">
        <is>
          <t>UPPSALA LÄN</t>
        </is>
      </c>
      <c r="E859" t="inlineStr">
        <is>
          <t>ÖSTHAMMAR</t>
        </is>
      </c>
      <c r="G859" t="n">
        <v>2.4</v>
      </c>
      <c r="H859" t="n">
        <v>0</v>
      </c>
      <c r="I859" t="n">
        <v>0</v>
      </c>
      <c r="J859" t="n">
        <v>0</v>
      </c>
      <c r="K859" t="n">
        <v>0</v>
      </c>
      <c r="L859" t="n">
        <v>0</v>
      </c>
      <c r="M859" t="n">
        <v>0</v>
      </c>
      <c r="N859" t="n">
        <v>0</v>
      </c>
      <c r="O859" t="n">
        <v>0</v>
      </c>
      <c r="P859" t="n">
        <v>0</v>
      </c>
      <c r="Q859" t="n">
        <v>0</v>
      </c>
      <c r="R859" s="2" t="inlineStr"/>
    </row>
    <row r="860" ht="15" customHeight="1">
      <c r="A860" t="inlineStr">
        <is>
          <t>A 35539-2023</t>
        </is>
      </c>
      <c r="B860" s="1" t="n">
        <v>45147</v>
      </c>
      <c r="C860" s="1" t="n">
        <v>45696</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35918-2023</t>
        </is>
      </c>
      <c r="B861" s="1" t="n">
        <v>45148</v>
      </c>
      <c r="C861" s="1" t="n">
        <v>45696</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36020-2023</t>
        </is>
      </c>
      <c r="B862" s="1" t="n">
        <v>45149</v>
      </c>
      <c r="C862" s="1" t="n">
        <v>45696</v>
      </c>
      <c r="D862" t="inlineStr">
        <is>
          <t>UPPSALA LÄN</t>
        </is>
      </c>
      <c r="E862" t="inlineStr">
        <is>
          <t>ÖSTHAMMAR</t>
        </is>
      </c>
      <c r="F862" t="inlineStr">
        <is>
          <t>Bergvik skog öst AB</t>
        </is>
      </c>
      <c r="G862" t="n">
        <v>6.8</v>
      </c>
      <c r="H862" t="n">
        <v>0</v>
      </c>
      <c r="I862" t="n">
        <v>0</v>
      </c>
      <c r="J862" t="n">
        <v>0</v>
      </c>
      <c r="K862" t="n">
        <v>0</v>
      </c>
      <c r="L862" t="n">
        <v>0</v>
      </c>
      <c r="M862" t="n">
        <v>0</v>
      </c>
      <c r="N862" t="n">
        <v>0</v>
      </c>
      <c r="O862" t="n">
        <v>0</v>
      </c>
      <c r="P862" t="n">
        <v>0</v>
      </c>
      <c r="Q862" t="n">
        <v>0</v>
      </c>
      <c r="R862" s="2" t="inlineStr"/>
    </row>
    <row r="863" ht="15" customHeight="1">
      <c r="A863" t="inlineStr">
        <is>
          <t>A 36301-2023</t>
        </is>
      </c>
      <c r="B863" s="1" t="n">
        <v>45152</v>
      </c>
      <c r="C863" s="1" t="n">
        <v>45696</v>
      </c>
      <c r="D863" t="inlineStr">
        <is>
          <t>UPPSALA LÄN</t>
        </is>
      </c>
      <c r="E863" t="inlineStr">
        <is>
          <t>ÖSTHAMMAR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36447-2023</t>
        </is>
      </c>
      <c r="B864" s="1" t="n">
        <v>45152</v>
      </c>
      <c r="C864" s="1" t="n">
        <v>45696</v>
      </c>
      <c r="D864" t="inlineStr">
        <is>
          <t>UPPSALA LÄN</t>
        </is>
      </c>
      <c r="E864" t="inlineStr">
        <is>
          <t>ÖSTHAMMAR</t>
        </is>
      </c>
      <c r="F864" t="inlineStr">
        <is>
          <t>Bergvik skog öst AB</t>
        </is>
      </c>
      <c r="G864" t="n">
        <v>6.5</v>
      </c>
      <c r="H864" t="n">
        <v>0</v>
      </c>
      <c r="I864" t="n">
        <v>0</v>
      </c>
      <c r="J864" t="n">
        <v>0</v>
      </c>
      <c r="K864" t="n">
        <v>0</v>
      </c>
      <c r="L864" t="n">
        <v>0</v>
      </c>
      <c r="M864" t="n">
        <v>0</v>
      </c>
      <c r="N864" t="n">
        <v>0</v>
      </c>
      <c r="O864" t="n">
        <v>0</v>
      </c>
      <c r="P864" t="n">
        <v>0</v>
      </c>
      <c r="Q864" t="n">
        <v>0</v>
      </c>
      <c r="R864" s="2" t="inlineStr"/>
    </row>
    <row r="865" ht="15" customHeight="1">
      <c r="A865" t="inlineStr">
        <is>
          <t>A 36861-2023</t>
        </is>
      </c>
      <c r="B865" s="1" t="n">
        <v>45154</v>
      </c>
      <c r="C865" s="1" t="n">
        <v>45696</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36857-2023</t>
        </is>
      </c>
      <c r="B866" s="1" t="n">
        <v>45154</v>
      </c>
      <c r="C866" s="1" t="n">
        <v>45696</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36904-2023</t>
        </is>
      </c>
      <c r="B867" s="1" t="n">
        <v>45154</v>
      </c>
      <c r="C867" s="1" t="n">
        <v>45696</v>
      </c>
      <c r="D867" t="inlineStr">
        <is>
          <t>UPPSALA LÄN</t>
        </is>
      </c>
      <c r="E867" t="inlineStr">
        <is>
          <t>ÖSTHAMMAR</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37021-2023</t>
        </is>
      </c>
      <c r="B868" s="1" t="n">
        <v>45155</v>
      </c>
      <c r="C868" s="1" t="n">
        <v>45696</v>
      </c>
      <c r="D868" t="inlineStr">
        <is>
          <t>UPPSALA LÄN</t>
        </is>
      </c>
      <c r="E868" t="inlineStr">
        <is>
          <t>ÖSTHAMMAR</t>
        </is>
      </c>
      <c r="F868" t="inlineStr">
        <is>
          <t>Övriga Aktiebolag</t>
        </is>
      </c>
      <c r="G868" t="n">
        <v>3.8</v>
      </c>
      <c r="H868" t="n">
        <v>0</v>
      </c>
      <c r="I868" t="n">
        <v>0</v>
      </c>
      <c r="J868" t="n">
        <v>0</v>
      </c>
      <c r="K868" t="n">
        <v>0</v>
      </c>
      <c r="L868" t="n">
        <v>0</v>
      </c>
      <c r="M868" t="n">
        <v>0</v>
      </c>
      <c r="N868" t="n">
        <v>0</v>
      </c>
      <c r="O868" t="n">
        <v>0</v>
      </c>
      <c r="P868" t="n">
        <v>0</v>
      </c>
      <c r="Q868" t="n">
        <v>0</v>
      </c>
      <c r="R868" s="2" t="inlineStr"/>
    </row>
    <row r="869" ht="15" customHeight="1">
      <c r="A869" t="inlineStr">
        <is>
          <t>A 37296-2023</t>
        </is>
      </c>
      <c r="B869" s="1" t="n">
        <v>45156</v>
      </c>
      <c r="C869" s="1" t="n">
        <v>45696</v>
      </c>
      <c r="D869" t="inlineStr">
        <is>
          <t>UPPSALA LÄN</t>
        </is>
      </c>
      <c r="E869" t="inlineStr">
        <is>
          <t>ÖSTHAMMAR</t>
        </is>
      </c>
      <c r="G869" t="n">
        <v>4.7</v>
      </c>
      <c r="H869" t="n">
        <v>0</v>
      </c>
      <c r="I869" t="n">
        <v>0</v>
      </c>
      <c r="J869" t="n">
        <v>0</v>
      </c>
      <c r="K869" t="n">
        <v>0</v>
      </c>
      <c r="L869" t="n">
        <v>0</v>
      </c>
      <c r="M869" t="n">
        <v>0</v>
      </c>
      <c r="N869" t="n">
        <v>0</v>
      </c>
      <c r="O869" t="n">
        <v>0</v>
      </c>
      <c r="P869" t="n">
        <v>0</v>
      </c>
      <c r="Q869" t="n">
        <v>0</v>
      </c>
      <c r="R869" s="2" t="inlineStr"/>
    </row>
    <row r="870" ht="15" customHeight="1">
      <c r="A870" t="inlineStr">
        <is>
          <t>A 37478-2023</t>
        </is>
      </c>
      <c r="B870" s="1" t="n">
        <v>45157</v>
      </c>
      <c r="C870" s="1" t="n">
        <v>45696</v>
      </c>
      <c r="D870" t="inlineStr">
        <is>
          <t>UPPSALA LÄN</t>
        </is>
      </c>
      <c r="E870" t="inlineStr">
        <is>
          <t>ÖSTHAMMAR</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37493-2023</t>
        </is>
      </c>
      <c r="B871" s="1" t="n">
        <v>45157</v>
      </c>
      <c r="C871" s="1" t="n">
        <v>45696</v>
      </c>
      <c r="D871" t="inlineStr">
        <is>
          <t>UPPSALA LÄN</t>
        </is>
      </c>
      <c r="E871" t="inlineStr">
        <is>
          <t>ÖSTHAMMAR</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37494-2023</t>
        </is>
      </c>
      <c r="B872" s="1" t="n">
        <v>45157</v>
      </c>
      <c r="C872" s="1" t="n">
        <v>45696</v>
      </c>
      <c r="D872" t="inlineStr">
        <is>
          <t>UPPSALA LÄN</t>
        </is>
      </c>
      <c r="E872" t="inlineStr">
        <is>
          <t>ÖSTHAMMAR</t>
        </is>
      </c>
      <c r="F872" t="inlineStr">
        <is>
          <t>Bergvik skog öst AB</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37863-2023</t>
        </is>
      </c>
      <c r="B873" s="1" t="n">
        <v>45160</v>
      </c>
      <c r="C873" s="1" t="n">
        <v>45696</v>
      </c>
      <c r="D873" t="inlineStr">
        <is>
          <t>UPPSALA LÄN</t>
        </is>
      </c>
      <c r="E873" t="inlineStr">
        <is>
          <t>ÖSTHAMMAR</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37865-2023</t>
        </is>
      </c>
      <c r="B874" s="1" t="n">
        <v>45160</v>
      </c>
      <c r="C874" s="1" t="n">
        <v>45696</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38039-2023</t>
        </is>
      </c>
      <c r="B875" s="1" t="n">
        <v>45160</v>
      </c>
      <c r="C875" s="1" t="n">
        <v>45696</v>
      </c>
      <c r="D875" t="inlineStr">
        <is>
          <t>UPPSALA LÄN</t>
        </is>
      </c>
      <c r="E875" t="inlineStr">
        <is>
          <t>ÖSTHAMMAR</t>
        </is>
      </c>
      <c r="F875" t="inlineStr">
        <is>
          <t>Bergvik skog öst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38228-2023</t>
        </is>
      </c>
      <c r="B876" s="1" t="n">
        <v>45160</v>
      </c>
      <c r="C876" s="1" t="n">
        <v>45696</v>
      </c>
      <c r="D876" t="inlineStr">
        <is>
          <t>UPPSALA LÄN</t>
        </is>
      </c>
      <c r="E876" t="inlineStr">
        <is>
          <t>ÖSTHAMMAR</t>
        </is>
      </c>
      <c r="G876" t="n">
        <v>19.2</v>
      </c>
      <c r="H876" t="n">
        <v>0</v>
      </c>
      <c r="I876" t="n">
        <v>0</v>
      </c>
      <c r="J876" t="n">
        <v>0</v>
      </c>
      <c r="K876" t="n">
        <v>0</v>
      </c>
      <c r="L876" t="n">
        <v>0</v>
      </c>
      <c r="M876" t="n">
        <v>0</v>
      </c>
      <c r="N876" t="n">
        <v>0</v>
      </c>
      <c r="O876" t="n">
        <v>0</v>
      </c>
      <c r="P876" t="n">
        <v>0</v>
      </c>
      <c r="Q876" t="n">
        <v>0</v>
      </c>
      <c r="R876" s="2" t="inlineStr"/>
    </row>
    <row r="877" ht="15" customHeight="1">
      <c r="A877" t="inlineStr">
        <is>
          <t>A 38127-2023</t>
        </is>
      </c>
      <c r="B877" s="1" t="n">
        <v>45161</v>
      </c>
      <c r="C877" s="1" t="n">
        <v>45696</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38162-2023</t>
        </is>
      </c>
      <c r="B878" s="1" t="n">
        <v>45161</v>
      </c>
      <c r="C878" s="1" t="n">
        <v>45696</v>
      </c>
      <c r="D878" t="inlineStr">
        <is>
          <t>UPPSALA LÄN</t>
        </is>
      </c>
      <c r="E878" t="inlineStr">
        <is>
          <t>ÖSTHAMMAR</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38128-2023</t>
        </is>
      </c>
      <c r="B879" s="1" t="n">
        <v>45161</v>
      </c>
      <c r="C879" s="1" t="n">
        <v>45696</v>
      </c>
      <c r="D879" t="inlineStr">
        <is>
          <t>UPPSALA LÄN</t>
        </is>
      </c>
      <c r="E879" t="inlineStr">
        <is>
          <t>ÖSTHAMMAR</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38600-2023</t>
        </is>
      </c>
      <c r="B880" s="1" t="n">
        <v>45162</v>
      </c>
      <c r="C880" s="1" t="n">
        <v>45696</v>
      </c>
      <c r="D880" t="inlineStr">
        <is>
          <t>UPPSALA LÄN</t>
        </is>
      </c>
      <c r="E880" t="inlineStr">
        <is>
          <t>ÖSTHAMMAR</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38610-2023</t>
        </is>
      </c>
      <c r="B881" s="1" t="n">
        <v>45162</v>
      </c>
      <c r="C881" s="1" t="n">
        <v>45696</v>
      </c>
      <c r="D881" t="inlineStr">
        <is>
          <t>UPPSALA LÄN</t>
        </is>
      </c>
      <c r="E881" t="inlineStr">
        <is>
          <t>ÖSTHAMMAR</t>
        </is>
      </c>
      <c r="F881" t="inlineStr">
        <is>
          <t>Bergvik skog öst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38571-2023</t>
        </is>
      </c>
      <c r="B882" s="1" t="n">
        <v>45162</v>
      </c>
      <c r="C882" s="1" t="n">
        <v>45696</v>
      </c>
      <c r="D882" t="inlineStr">
        <is>
          <t>UPPSALA LÄN</t>
        </is>
      </c>
      <c r="E882" t="inlineStr">
        <is>
          <t>ÖSTHAMMAR</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38711-2023</t>
        </is>
      </c>
      <c r="B883" s="1" t="n">
        <v>45163</v>
      </c>
      <c r="C883" s="1" t="n">
        <v>45696</v>
      </c>
      <c r="D883" t="inlineStr">
        <is>
          <t>UPPSALA LÄN</t>
        </is>
      </c>
      <c r="E883" t="inlineStr">
        <is>
          <t>ÖSTHAMMAR</t>
        </is>
      </c>
      <c r="G883" t="n">
        <v>5.4</v>
      </c>
      <c r="H883" t="n">
        <v>0</v>
      </c>
      <c r="I883" t="n">
        <v>0</v>
      </c>
      <c r="J883" t="n">
        <v>0</v>
      </c>
      <c r="K883" t="n">
        <v>0</v>
      </c>
      <c r="L883" t="n">
        <v>0</v>
      </c>
      <c r="M883" t="n">
        <v>0</v>
      </c>
      <c r="N883" t="n">
        <v>0</v>
      </c>
      <c r="O883" t="n">
        <v>0</v>
      </c>
      <c r="P883" t="n">
        <v>0</v>
      </c>
      <c r="Q883" t="n">
        <v>0</v>
      </c>
      <c r="R883" s="2" t="inlineStr"/>
    </row>
    <row r="884" ht="15" customHeight="1">
      <c r="A884" t="inlineStr">
        <is>
          <t>A 40176-2023</t>
        </is>
      </c>
      <c r="B884" s="1" t="n">
        <v>45169</v>
      </c>
      <c r="C884" s="1" t="n">
        <v>45696</v>
      </c>
      <c r="D884" t="inlineStr">
        <is>
          <t>UPPSALA LÄN</t>
        </is>
      </c>
      <c r="E884" t="inlineStr">
        <is>
          <t>ÖSTHAMMAR</t>
        </is>
      </c>
      <c r="F884" t="inlineStr">
        <is>
          <t>Bergvik skog öst AB</t>
        </is>
      </c>
      <c r="G884" t="n">
        <v>29.9</v>
      </c>
      <c r="H884" t="n">
        <v>0</v>
      </c>
      <c r="I884" t="n">
        <v>0</v>
      </c>
      <c r="J884" t="n">
        <v>0</v>
      </c>
      <c r="K884" t="n">
        <v>0</v>
      </c>
      <c r="L884" t="n">
        <v>0</v>
      </c>
      <c r="M884" t="n">
        <v>0</v>
      </c>
      <c r="N884" t="n">
        <v>0</v>
      </c>
      <c r="O884" t="n">
        <v>0</v>
      </c>
      <c r="P884" t="n">
        <v>0</v>
      </c>
      <c r="Q884" t="n">
        <v>0</v>
      </c>
      <c r="R884" s="2" t="inlineStr"/>
    </row>
    <row r="885" ht="15" customHeight="1">
      <c r="A885" t="inlineStr">
        <is>
          <t>A 40547-2023</t>
        </is>
      </c>
      <c r="B885" s="1" t="n">
        <v>45170</v>
      </c>
      <c r="C885" s="1" t="n">
        <v>45696</v>
      </c>
      <c r="D885" t="inlineStr">
        <is>
          <t>UPPSALA LÄN</t>
        </is>
      </c>
      <c r="E885" t="inlineStr">
        <is>
          <t>ÖSTHAMMAR</t>
        </is>
      </c>
      <c r="G885" t="n">
        <v>2.1</v>
      </c>
      <c r="H885" t="n">
        <v>0</v>
      </c>
      <c r="I885" t="n">
        <v>0</v>
      </c>
      <c r="J885" t="n">
        <v>0</v>
      </c>
      <c r="K885" t="n">
        <v>0</v>
      </c>
      <c r="L885" t="n">
        <v>0</v>
      </c>
      <c r="M885" t="n">
        <v>0</v>
      </c>
      <c r="N885" t="n">
        <v>0</v>
      </c>
      <c r="O885" t="n">
        <v>0</v>
      </c>
      <c r="P885" t="n">
        <v>0</v>
      </c>
      <c r="Q885" t="n">
        <v>0</v>
      </c>
      <c r="R885" s="2" t="inlineStr"/>
    </row>
    <row r="886" ht="15" customHeight="1">
      <c r="A886" t="inlineStr">
        <is>
          <t>A 40837-2023</t>
        </is>
      </c>
      <c r="B886" s="1" t="n">
        <v>45172</v>
      </c>
      <c r="C886" s="1" t="n">
        <v>45696</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40938-2023</t>
        </is>
      </c>
      <c r="B887" s="1" t="n">
        <v>45173</v>
      </c>
      <c r="C887" s="1" t="n">
        <v>45696</v>
      </c>
      <c r="D887" t="inlineStr">
        <is>
          <t>UPPSALA LÄN</t>
        </is>
      </c>
      <c r="E887" t="inlineStr">
        <is>
          <t>ÖSTHAMMAR</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40946-2023</t>
        </is>
      </c>
      <c r="B888" s="1" t="n">
        <v>45173</v>
      </c>
      <c r="C888" s="1" t="n">
        <v>45696</v>
      </c>
      <c r="D888" t="inlineStr">
        <is>
          <t>UPPSALA LÄN</t>
        </is>
      </c>
      <c r="E888" t="inlineStr">
        <is>
          <t>ÖSTHAMMAR</t>
        </is>
      </c>
      <c r="F888" t="inlineStr">
        <is>
          <t>Bergvik skog öst AB</t>
        </is>
      </c>
      <c r="G888" t="n">
        <v>4</v>
      </c>
      <c r="H888" t="n">
        <v>0</v>
      </c>
      <c r="I888" t="n">
        <v>0</v>
      </c>
      <c r="J888" t="n">
        <v>0</v>
      </c>
      <c r="K888" t="n">
        <v>0</v>
      </c>
      <c r="L888" t="n">
        <v>0</v>
      </c>
      <c r="M888" t="n">
        <v>0</v>
      </c>
      <c r="N888" t="n">
        <v>0</v>
      </c>
      <c r="O888" t="n">
        <v>0</v>
      </c>
      <c r="P888" t="n">
        <v>0</v>
      </c>
      <c r="Q888" t="n">
        <v>0</v>
      </c>
      <c r="R888" s="2" t="inlineStr"/>
    </row>
    <row r="889" ht="15" customHeight="1">
      <c r="A889" t="inlineStr">
        <is>
          <t>A 40952-2023</t>
        </is>
      </c>
      <c r="B889" s="1" t="n">
        <v>45173</v>
      </c>
      <c r="C889" s="1" t="n">
        <v>45696</v>
      </c>
      <c r="D889" t="inlineStr">
        <is>
          <t>UPPSALA LÄN</t>
        </is>
      </c>
      <c r="E889" t="inlineStr">
        <is>
          <t>ÖSTHAMMAR</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41308-2023</t>
        </is>
      </c>
      <c r="B890" s="1" t="n">
        <v>45174</v>
      </c>
      <c r="C890" s="1" t="n">
        <v>45696</v>
      </c>
      <c r="D890" t="inlineStr">
        <is>
          <t>UPPSALA LÄN</t>
        </is>
      </c>
      <c r="E890" t="inlineStr">
        <is>
          <t>ÖSTHAMMAR</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41489-2023</t>
        </is>
      </c>
      <c r="B891" s="1" t="n">
        <v>45175</v>
      </c>
      <c r="C891" s="1" t="n">
        <v>45696</v>
      </c>
      <c r="D891" t="inlineStr">
        <is>
          <t>UPPSALA LÄN</t>
        </is>
      </c>
      <c r="E891" t="inlineStr">
        <is>
          <t>ÖSTHAMMAR</t>
        </is>
      </c>
      <c r="F891" t="inlineStr">
        <is>
          <t>Bergvik skog öst AB</t>
        </is>
      </c>
      <c r="G891" t="n">
        <v>4.2</v>
      </c>
      <c r="H891" t="n">
        <v>0</v>
      </c>
      <c r="I891" t="n">
        <v>0</v>
      </c>
      <c r="J891" t="n">
        <v>0</v>
      </c>
      <c r="K891" t="n">
        <v>0</v>
      </c>
      <c r="L891" t="n">
        <v>0</v>
      </c>
      <c r="M891" t="n">
        <v>0</v>
      </c>
      <c r="N891" t="n">
        <v>0</v>
      </c>
      <c r="O891" t="n">
        <v>0</v>
      </c>
      <c r="P891" t="n">
        <v>0</v>
      </c>
      <c r="Q891" t="n">
        <v>0</v>
      </c>
      <c r="R891" s="2" t="inlineStr"/>
    </row>
    <row r="892" ht="15" customHeight="1">
      <c r="A892" t="inlineStr">
        <is>
          <t>A 41821-2023</t>
        </is>
      </c>
      <c r="B892" s="1" t="n">
        <v>45176</v>
      </c>
      <c r="C892" s="1" t="n">
        <v>45696</v>
      </c>
      <c r="D892" t="inlineStr">
        <is>
          <t>UPPSALA LÄN</t>
        </is>
      </c>
      <c r="E892" t="inlineStr">
        <is>
          <t>ÖSTHAMMAR</t>
        </is>
      </c>
      <c r="G892" t="n">
        <v>0.9</v>
      </c>
      <c r="H892" t="n">
        <v>0</v>
      </c>
      <c r="I892" t="n">
        <v>0</v>
      </c>
      <c r="J892" t="n">
        <v>0</v>
      </c>
      <c r="K892" t="n">
        <v>0</v>
      </c>
      <c r="L892" t="n">
        <v>0</v>
      </c>
      <c r="M892" t="n">
        <v>0</v>
      </c>
      <c r="N892" t="n">
        <v>0</v>
      </c>
      <c r="O892" t="n">
        <v>0</v>
      </c>
      <c r="P892" t="n">
        <v>0</v>
      </c>
      <c r="Q892" t="n">
        <v>0</v>
      </c>
      <c r="R892" s="2" t="inlineStr"/>
    </row>
    <row r="893" ht="15" customHeight="1">
      <c r="A893" t="inlineStr">
        <is>
          <t>A 41829-2023</t>
        </is>
      </c>
      <c r="B893" s="1" t="n">
        <v>45176</v>
      </c>
      <c r="C893" s="1" t="n">
        <v>45696</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43732-2023</t>
        </is>
      </c>
      <c r="B894" s="1" t="n">
        <v>45187</v>
      </c>
      <c r="C894" s="1" t="n">
        <v>45696</v>
      </c>
      <c r="D894" t="inlineStr">
        <is>
          <t>UPPSALA LÄN</t>
        </is>
      </c>
      <c r="E894" t="inlineStr">
        <is>
          <t>ÖSTHAMMAR</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43925-2023</t>
        </is>
      </c>
      <c r="B895" s="1" t="n">
        <v>45187</v>
      </c>
      <c r="C895" s="1" t="n">
        <v>45696</v>
      </c>
      <c r="D895" t="inlineStr">
        <is>
          <t>UPPSALA LÄN</t>
        </is>
      </c>
      <c r="E895" t="inlineStr">
        <is>
          <t>ÖSTHAMMAR</t>
        </is>
      </c>
      <c r="F895" t="inlineStr">
        <is>
          <t>Allmännings- och besparingsskogar</t>
        </is>
      </c>
      <c r="G895" t="n">
        <v>20.8</v>
      </c>
      <c r="H895" t="n">
        <v>0</v>
      </c>
      <c r="I895" t="n">
        <v>0</v>
      </c>
      <c r="J895" t="n">
        <v>0</v>
      </c>
      <c r="K895" t="n">
        <v>0</v>
      </c>
      <c r="L895" t="n">
        <v>0</v>
      </c>
      <c r="M895" t="n">
        <v>0</v>
      </c>
      <c r="N895" t="n">
        <v>0</v>
      </c>
      <c r="O895" t="n">
        <v>0</v>
      </c>
      <c r="P895" t="n">
        <v>0</v>
      </c>
      <c r="Q895" t="n">
        <v>0</v>
      </c>
      <c r="R895" s="2" t="inlineStr"/>
    </row>
    <row r="896" ht="15" customHeight="1">
      <c r="A896" t="inlineStr">
        <is>
          <t>A 43915-2023</t>
        </is>
      </c>
      <c r="B896" s="1" t="n">
        <v>45187</v>
      </c>
      <c r="C896" s="1" t="n">
        <v>45696</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43838-2023</t>
        </is>
      </c>
      <c r="B897" s="1" t="n">
        <v>45187</v>
      </c>
      <c r="C897" s="1" t="n">
        <v>45696</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44636-2023</t>
        </is>
      </c>
      <c r="B898" s="1" t="n">
        <v>45189</v>
      </c>
      <c r="C898" s="1" t="n">
        <v>45696</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44614-2023</t>
        </is>
      </c>
      <c r="B899" s="1" t="n">
        <v>45189</v>
      </c>
      <c r="C899" s="1" t="n">
        <v>45696</v>
      </c>
      <c r="D899" t="inlineStr">
        <is>
          <t>UPPSALA LÄN</t>
        </is>
      </c>
      <c r="E899" t="inlineStr">
        <is>
          <t>ÖSTHAMMAR</t>
        </is>
      </c>
      <c r="F899" t="inlineStr">
        <is>
          <t>Övriga Aktiebolag</t>
        </is>
      </c>
      <c r="G899" t="n">
        <v>17.8</v>
      </c>
      <c r="H899" t="n">
        <v>0</v>
      </c>
      <c r="I899" t="n">
        <v>0</v>
      </c>
      <c r="J899" t="n">
        <v>0</v>
      </c>
      <c r="K899" t="n">
        <v>0</v>
      </c>
      <c r="L899" t="n">
        <v>0</v>
      </c>
      <c r="M899" t="n">
        <v>0</v>
      </c>
      <c r="N899" t="n">
        <v>0</v>
      </c>
      <c r="O899" t="n">
        <v>0</v>
      </c>
      <c r="P899" t="n">
        <v>0</v>
      </c>
      <c r="Q899" t="n">
        <v>0</v>
      </c>
      <c r="R899" s="2" t="inlineStr"/>
    </row>
    <row r="900" ht="15" customHeight="1">
      <c r="A900" t="inlineStr">
        <is>
          <t>A 45307-2023</t>
        </is>
      </c>
      <c r="B900" s="1" t="n">
        <v>45191</v>
      </c>
      <c r="C900" s="1" t="n">
        <v>45696</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45550-2023</t>
        </is>
      </c>
      <c r="B901" s="1" t="n">
        <v>45194</v>
      </c>
      <c r="C901" s="1" t="n">
        <v>45696</v>
      </c>
      <c r="D901" t="inlineStr">
        <is>
          <t>UPPSALA LÄN</t>
        </is>
      </c>
      <c r="E901" t="inlineStr">
        <is>
          <t>ÖSTHAMMAR</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45580-2023</t>
        </is>
      </c>
      <c r="B902" s="1" t="n">
        <v>45194</v>
      </c>
      <c r="C902" s="1" t="n">
        <v>45696</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45655-2023</t>
        </is>
      </c>
      <c r="B903" s="1" t="n">
        <v>45194</v>
      </c>
      <c r="C903" s="1" t="n">
        <v>45696</v>
      </c>
      <c r="D903" t="inlineStr">
        <is>
          <t>UPPSALA LÄN</t>
        </is>
      </c>
      <c r="E903" t="inlineStr">
        <is>
          <t>ÖSTHAMMAR</t>
        </is>
      </c>
      <c r="F903" t="inlineStr">
        <is>
          <t>Bergvik skog öst AB</t>
        </is>
      </c>
      <c r="G903" t="n">
        <v>6.4</v>
      </c>
      <c r="H903" t="n">
        <v>0</v>
      </c>
      <c r="I903" t="n">
        <v>0</v>
      </c>
      <c r="J903" t="n">
        <v>0</v>
      </c>
      <c r="K903" t="n">
        <v>0</v>
      </c>
      <c r="L903" t="n">
        <v>0</v>
      </c>
      <c r="M903" t="n">
        <v>0</v>
      </c>
      <c r="N903" t="n">
        <v>0</v>
      </c>
      <c r="O903" t="n">
        <v>0</v>
      </c>
      <c r="P903" t="n">
        <v>0</v>
      </c>
      <c r="Q903" t="n">
        <v>0</v>
      </c>
      <c r="R903" s="2" t="inlineStr"/>
    </row>
    <row r="904" ht="15" customHeight="1">
      <c r="A904" t="inlineStr">
        <is>
          <t>A 45561-2023</t>
        </is>
      </c>
      <c r="B904" s="1" t="n">
        <v>45194</v>
      </c>
      <c r="C904" s="1" t="n">
        <v>45696</v>
      </c>
      <c r="D904" t="inlineStr">
        <is>
          <t>UPPSALA LÄN</t>
        </is>
      </c>
      <c r="E904" t="inlineStr">
        <is>
          <t>ÖSTHAMMAR</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45618-2023</t>
        </is>
      </c>
      <c r="B905" s="1" t="n">
        <v>45194</v>
      </c>
      <c r="C905" s="1" t="n">
        <v>45696</v>
      </c>
      <c r="D905" t="inlineStr">
        <is>
          <t>UPPSALA LÄN</t>
        </is>
      </c>
      <c r="E905" t="inlineStr">
        <is>
          <t>ÖSTHAMMAR</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45635-2023</t>
        </is>
      </c>
      <c r="B906" s="1" t="n">
        <v>45194</v>
      </c>
      <c r="C906" s="1" t="n">
        <v>45696</v>
      </c>
      <c r="D906" t="inlineStr">
        <is>
          <t>UPPSALA LÄN</t>
        </is>
      </c>
      <c r="E906" t="inlineStr">
        <is>
          <t>ÖSTHAMMAR</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45646-2023</t>
        </is>
      </c>
      <c r="B907" s="1" t="n">
        <v>45194</v>
      </c>
      <c r="C907" s="1" t="n">
        <v>45696</v>
      </c>
      <c r="D907" t="inlineStr">
        <is>
          <t>UPPSALA LÄN</t>
        </is>
      </c>
      <c r="E907" t="inlineStr">
        <is>
          <t>ÖSTHAMMAR</t>
        </is>
      </c>
      <c r="F907" t="inlineStr">
        <is>
          <t>Bergvik skog öst AB</t>
        </is>
      </c>
      <c r="G907" t="n">
        <v>3.5</v>
      </c>
      <c r="H907" t="n">
        <v>0</v>
      </c>
      <c r="I907" t="n">
        <v>0</v>
      </c>
      <c r="J907" t="n">
        <v>0</v>
      </c>
      <c r="K907" t="n">
        <v>0</v>
      </c>
      <c r="L907" t="n">
        <v>0</v>
      </c>
      <c r="M907" t="n">
        <v>0</v>
      </c>
      <c r="N907" t="n">
        <v>0</v>
      </c>
      <c r="O907" t="n">
        <v>0</v>
      </c>
      <c r="P907" t="n">
        <v>0</v>
      </c>
      <c r="Q907" t="n">
        <v>0</v>
      </c>
      <c r="R907" s="2" t="inlineStr"/>
    </row>
    <row r="908" ht="15" customHeight="1">
      <c r="A908" t="inlineStr">
        <is>
          <t>A 46485-2023</t>
        </is>
      </c>
      <c r="B908" s="1" t="n">
        <v>45194</v>
      </c>
      <c r="C908" s="1" t="n">
        <v>45696</v>
      </c>
      <c r="D908" t="inlineStr">
        <is>
          <t>UPPSALA LÄN</t>
        </is>
      </c>
      <c r="E908" t="inlineStr">
        <is>
          <t>ÖSTHAMMAR</t>
        </is>
      </c>
      <c r="G908" t="n">
        <v>1</v>
      </c>
      <c r="H908" t="n">
        <v>0</v>
      </c>
      <c r="I908" t="n">
        <v>0</v>
      </c>
      <c r="J908" t="n">
        <v>0</v>
      </c>
      <c r="K908" t="n">
        <v>0</v>
      </c>
      <c r="L908" t="n">
        <v>0</v>
      </c>
      <c r="M908" t="n">
        <v>0</v>
      </c>
      <c r="N908" t="n">
        <v>0</v>
      </c>
      <c r="O908" t="n">
        <v>0</v>
      </c>
      <c r="P908" t="n">
        <v>0</v>
      </c>
      <c r="Q908" t="n">
        <v>0</v>
      </c>
      <c r="R908" s="2" t="inlineStr"/>
    </row>
    <row r="909" ht="15" customHeight="1">
      <c r="A909" t="inlineStr">
        <is>
          <t>A 45795-2023</t>
        </is>
      </c>
      <c r="B909" s="1" t="n">
        <v>45195</v>
      </c>
      <c r="C909" s="1" t="n">
        <v>45696</v>
      </c>
      <c r="D909" t="inlineStr">
        <is>
          <t>UPPSALA LÄN</t>
        </is>
      </c>
      <c r="E909" t="inlineStr">
        <is>
          <t>ÖSTHAMMAR</t>
        </is>
      </c>
      <c r="G909" t="n">
        <v>4</v>
      </c>
      <c r="H909" t="n">
        <v>0</v>
      </c>
      <c r="I909" t="n">
        <v>0</v>
      </c>
      <c r="J909" t="n">
        <v>0</v>
      </c>
      <c r="K909" t="n">
        <v>0</v>
      </c>
      <c r="L909" t="n">
        <v>0</v>
      </c>
      <c r="M909" t="n">
        <v>0</v>
      </c>
      <c r="N909" t="n">
        <v>0</v>
      </c>
      <c r="O909" t="n">
        <v>0</v>
      </c>
      <c r="P909" t="n">
        <v>0</v>
      </c>
      <c r="Q909" t="n">
        <v>0</v>
      </c>
      <c r="R909" s="2" t="inlineStr"/>
    </row>
    <row r="910" ht="15" customHeight="1">
      <c r="A910" t="inlineStr">
        <is>
          <t>A 46005-2023</t>
        </is>
      </c>
      <c r="B910" s="1" t="n">
        <v>45196</v>
      </c>
      <c r="C910" s="1" t="n">
        <v>45696</v>
      </c>
      <c r="D910" t="inlineStr">
        <is>
          <t>UPPSALA LÄN</t>
        </is>
      </c>
      <c r="E910" t="inlineStr">
        <is>
          <t>ÖSTHAMMAR</t>
        </is>
      </c>
      <c r="G910" t="n">
        <v>1.7</v>
      </c>
      <c r="H910" t="n">
        <v>0</v>
      </c>
      <c r="I910" t="n">
        <v>0</v>
      </c>
      <c r="J910" t="n">
        <v>0</v>
      </c>
      <c r="K910" t="n">
        <v>0</v>
      </c>
      <c r="L910" t="n">
        <v>0</v>
      </c>
      <c r="M910" t="n">
        <v>0</v>
      </c>
      <c r="N910" t="n">
        <v>0</v>
      </c>
      <c r="O910" t="n">
        <v>0</v>
      </c>
      <c r="P910" t="n">
        <v>0</v>
      </c>
      <c r="Q910" t="n">
        <v>0</v>
      </c>
      <c r="R910" s="2" t="inlineStr"/>
    </row>
    <row r="911" ht="15" customHeight="1">
      <c r="A911" t="inlineStr">
        <is>
          <t>A 46157-2023</t>
        </is>
      </c>
      <c r="B911" s="1" t="n">
        <v>45196</v>
      </c>
      <c r="C911" s="1" t="n">
        <v>45696</v>
      </c>
      <c r="D911" t="inlineStr">
        <is>
          <t>UPPSALA LÄN</t>
        </is>
      </c>
      <c r="E911" t="inlineStr">
        <is>
          <t>ÖSTHAMMAR</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46399-2023</t>
        </is>
      </c>
      <c r="B912" s="1" t="n">
        <v>45197</v>
      </c>
      <c r="C912" s="1" t="n">
        <v>45696</v>
      </c>
      <c r="D912" t="inlineStr">
        <is>
          <t>UPPSALA LÄN</t>
        </is>
      </c>
      <c r="E912" t="inlineStr">
        <is>
          <t>ÖSTHAMMAR</t>
        </is>
      </c>
      <c r="G912" t="n">
        <v>5.8</v>
      </c>
      <c r="H912" t="n">
        <v>0</v>
      </c>
      <c r="I912" t="n">
        <v>0</v>
      </c>
      <c r="J912" t="n">
        <v>0</v>
      </c>
      <c r="K912" t="n">
        <v>0</v>
      </c>
      <c r="L912" t="n">
        <v>0</v>
      </c>
      <c r="M912" t="n">
        <v>0</v>
      </c>
      <c r="N912" t="n">
        <v>0</v>
      </c>
      <c r="O912" t="n">
        <v>0</v>
      </c>
      <c r="P912" t="n">
        <v>0</v>
      </c>
      <c r="Q912" t="n">
        <v>0</v>
      </c>
      <c r="R912" s="2" t="inlineStr"/>
    </row>
    <row r="913" ht="15" customHeight="1">
      <c r="A913" t="inlineStr">
        <is>
          <t>A 46785-2023</t>
        </is>
      </c>
      <c r="B913" s="1" t="n">
        <v>45198</v>
      </c>
      <c r="C913" s="1" t="n">
        <v>45696</v>
      </c>
      <c r="D913" t="inlineStr">
        <is>
          <t>UPPSALA LÄN</t>
        </is>
      </c>
      <c r="E913" t="inlineStr">
        <is>
          <t>ÖSTHAMMAR</t>
        </is>
      </c>
      <c r="G913" t="n">
        <v>1.6</v>
      </c>
      <c r="H913" t="n">
        <v>0</v>
      </c>
      <c r="I913" t="n">
        <v>0</v>
      </c>
      <c r="J913" t="n">
        <v>0</v>
      </c>
      <c r="K913" t="n">
        <v>0</v>
      </c>
      <c r="L913" t="n">
        <v>0</v>
      </c>
      <c r="M913" t="n">
        <v>0</v>
      </c>
      <c r="N913" t="n">
        <v>0</v>
      </c>
      <c r="O913" t="n">
        <v>0</v>
      </c>
      <c r="P913" t="n">
        <v>0</v>
      </c>
      <c r="Q913" t="n">
        <v>0</v>
      </c>
      <c r="R913" s="2" t="inlineStr"/>
    </row>
    <row r="914" ht="15" customHeight="1">
      <c r="A914" t="inlineStr">
        <is>
          <t>A 47114-2023</t>
        </is>
      </c>
      <c r="B914" s="1" t="n">
        <v>45201</v>
      </c>
      <c r="C914" s="1" t="n">
        <v>45696</v>
      </c>
      <c r="D914" t="inlineStr">
        <is>
          <t>UPPSALA LÄN</t>
        </is>
      </c>
      <c r="E914" t="inlineStr">
        <is>
          <t>ÖSTHAMMAR</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48515-2023</t>
        </is>
      </c>
      <c r="B915" s="1" t="n">
        <v>45201</v>
      </c>
      <c r="C915" s="1" t="n">
        <v>45696</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47390-2023</t>
        </is>
      </c>
      <c r="B916" s="1" t="n">
        <v>45202</v>
      </c>
      <c r="C916" s="1" t="n">
        <v>45696</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47374-2023</t>
        </is>
      </c>
      <c r="B917" s="1" t="n">
        <v>45202</v>
      </c>
      <c r="C917" s="1" t="n">
        <v>45696</v>
      </c>
      <c r="D917" t="inlineStr">
        <is>
          <t>UPPSALA LÄN</t>
        </is>
      </c>
      <c r="E917" t="inlineStr">
        <is>
          <t>ÖSTHAMMAR</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47341-2023</t>
        </is>
      </c>
      <c r="B918" s="1" t="n">
        <v>45202</v>
      </c>
      <c r="C918" s="1" t="n">
        <v>45696</v>
      </c>
      <c r="D918" t="inlineStr">
        <is>
          <t>UPPSALA LÄN</t>
        </is>
      </c>
      <c r="E918" t="inlineStr">
        <is>
          <t>ÖSTHAMMAR</t>
        </is>
      </c>
      <c r="G918" t="n">
        <v>4.9</v>
      </c>
      <c r="H918" t="n">
        <v>0</v>
      </c>
      <c r="I918" t="n">
        <v>0</v>
      </c>
      <c r="J918" t="n">
        <v>0</v>
      </c>
      <c r="K918" t="n">
        <v>0</v>
      </c>
      <c r="L918" t="n">
        <v>0</v>
      </c>
      <c r="M918" t="n">
        <v>0</v>
      </c>
      <c r="N918" t="n">
        <v>0</v>
      </c>
      <c r="O918" t="n">
        <v>0</v>
      </c>
      <c r="P918" t="n">
        <v>0</v>
      </c>
      <c r="Q918" t="n">
        <v>0</v>
      </c>
      <c r="R918" s="2" t="inlineStr"/>
    </row>
    <row r="919" ht="15" customHeight="1">
      <c r="A919" t="inlineStr">
        <is>
          <t>A 47522-2023</t>
        </is>
      </c>
      <c r="B919" s="1" t="n">
        <v>45203</v>
      </c>
      <c r="C919" s="1" t="n">
        <v>45696</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48032-2023</t>
        </is>
      </c>
      <c r="B920" s="1" t="n">
        <v>45204</v>
      </c>
      <c r="C920" s="1" t="n">
        <v>45696</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48171-2023</t>
        </is>
      </c>
      <c r="B921" s="1" t="n">
        <v>45205</v>
      </c>
      <c r="C921" s="1" t="n">
        <v>45696</v>
      </c>
      <c r="D921" t="inlineStr">
        <is>
          <t>UPPSALA LÄN</t>
        </is>
      </c>
      <c r="E921" t="inlineStr">
        <is>
          <t>ÖSTHAMMAR</t>
        </is>
      </c>
      <c r="F921" t="inlineStr">
        <is>
          <t>Bergvik skog öst AB</t>
        </is>
      </c>
      <c r="G921" t="n">
        <v>5.3</v>
      </c>
      <c r="H921" t="n">
        <v>0</v>
      </c>
      <c r="I921" t="n">
        <v>0</v>
      </c>
      <c r="J921" t="n">
        <v>0</v>
      </c>
      <c r="K921" t="n">
        <v>0</v>
      </c>
      <c r="L921" t="n">
        <v>0</v>
      </c>
      <c r="M921" t="n">
        <v>0</v>
      </c>
      <c r="N921" t="n">
        <v>0</v>
      </c>
      <c r="O921" t="n">
        <v>0</v>
      </c>
      <c r="P921" t="n">
        <v>0</v>
      </c>
      <c r="Q921" t="n">
        <v>0</v>
      </c>
      <c r="R921" s="2" t="inlineStr"/>
    </row>
    <row r="922" ht="15" customHeight="1">
      <c r="A922" t="inlineStr">
        <is>
          <t>A 48719-2023</t>
        </is>
      </c>
      <c r="B922" s="1" t="n">
        <v>45208</v>
      </c>
      <c r="C922" s="1" t="n">
        <v>45696</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48989-2023</t>
        </is>
      </c>
      <c r="B923" s="1" t="n">
        <v>45209</v>
      </c>
      <c r="C923" s="1" t="n">
        <v>45696</v>
      </c>
      <c r="D923" t="inlineStr">
        <is>
          <t>UPPSALA LÄN</t>
        </is>
      </c>
      <c r="E923" t="inlineStr">
        <is>
          <t>ÖSTHAMMAR</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49248-2023</t>
        </is>
      </c>
      <c r="B924" s="1" t="n">
        <v>45210</v>
      </c>
      <c r="C924" s="1" t="n">
        <v>45696</v>
      </c>
      <c r="D924" t="inlineStr">
        <is>
          <t>UPPSALA LÄN</t>
        </is>
      </c>
      <c r="E924" t="inlineStr">
        <is>
          <t>ÖSTHAMMAR</t>
        </is>
      </c>
      <c r="G924" t="n">
        <v>2.5</v>
      </c>
      <c r="H924" t="n">
        <v>0</v>
      </c>
      <c r="I924" t="n">
        <v>0</v>
      </c>
      <c r="J924" t="n">
        <v>0</v>
      </c>
      <c r="K924" t="n">
        <v>0</v>
      </c>
      <c r="L924" t="n">
        <v>0</v>
      </c>
      <c r="M924" t="n">
        <v>0</v>
      </c>
      <c r="N924" t="n">
        <v>0</v>
      </c>
      <c r="O924" t="n">
        <v>0</v>
      </c>
      <c r="P924" t="n">
        <v>0</v>
      </c>
      <c r="Q924" t="n">
        <v>0</v>
      </c>
      <c r="R924" s="2" t="inlineStr"/>
    </row>
    <row r="925" ht="15" customHeight="1">
      <c r="A925" t="inlineStr">
        <is>
          <t>A 49066-2023</t>
        </is>
      </c>
      <c r="B925" s="1" t="n">
        <v>45210</v>
      </c>
      <c r="C925" s="1" t="n">
        <v>45696</v>
      </c>
      <c r="D925" t="inlineStr">
        <is>
          <t>UPPSALA LÄN</t>
        </is>
      </c>
      <c r="E925" t="inlineStr">
        <is>
          <t>ÖSTHAMMAR</t>
        </is>
      </c>
      <c r="F925" t="inlineStr">
        <is>
          <t>Bergvik skog öst AB</t>
        </is>
      </c>
      <c r="G925" t="n">
        <v>13.1</v>
      </c>
      <c r="H925" t="n">
        <v>0</v>
      </c>
      <c r="I925" t="n">
        <v>0</v>
      </c>
      <c r="J925" t="n">
        <v>0</v>
      </c>
      <c r="K925" t="n">
        <v>0</v>
      </c>
      <c r="L925" t="n">
        <v>0</v>
      </c>
      <c r="M925" t="n">
        <v>0</v>
      </c>
      <c r="N925" t="n">
        <v>0</v>
      </c>
      <c r="O925" t="n">
        <v>0</v>
      </c>
      <c r="P925" t="n">
        <v>0</v>
      </c>
      <c r="Q925" t="n">
        <v>0</v>
      </c>
      <c r="R925" s="2" t="inlineStr"/>
    </row>
    <row r="926" ht="15" customHeight="1">
      <c r="A926" t="inlineStr">
        <is>
          <t>A 49172-2023</t>
        </is>
      </c>
      <c r="B926" s="1" t="n">
        <v>45210</v>
      </c>
      <c r="C926" s="1" t="n">
        <v>45696</v>
      </c>
      <c r="D926" t="inlineStr">
        <is>
          <t>UPPSALA LÄN</t>
        </is>
      </c>
      <c r="E926" t="inlineStr">
        <is>
          <t>ÖSTHAMMAR</t>
        </is>
      </c>
      <c r="F926" t="inlineStr">
        <is>
          <t>Övriga Aktiebolag</t>
        </is>
      </c>
      <c r="G926" t="n">
        <v>13.1</v>
      </c>
      <c r="H926" t="n">
        <v>0</v>
      </c>
      <c r="I926" t="n">
        <v>0</v>
      </c>
      <c r="J926" t="n">
        <v>0</v>
      </c>
      <c r="K926" t="n">
        <v>0</v>
      </c>
      <c r="L926" t="n">
        <v>0</v>
      </c>
      <c r="M926" t="n">
        <v>0</v>
      </c>
      <c r="N926" t="n">
        <v>0</v>
      </c>
      <c r="O926" t="n">
        <v>0</v>
      </c>
      <c r="P926" t="n">
        <v>0</v>
      </c>
      <c r="Q926" t="n">
        <v>0</v>
      </c>
      <c r="R926" s="2" t="inlineStr"/>
    </row>
    <row r="927" ht="15" customHeight="1">
      <c r="A927" t="inlineStr">
        <is>
          <t>A 49266-2023</t>
        </is>
      </c>
      <c r="B927" s="1" t="n">
        <v>45210</v>
      </c>
      <c r="C927" s="1" t="n">
        <v>45696</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49829-2023</t>
        </is>
      </c>
      <c r="B928" s="1" t="n">
        <v>45212</v>
      </c>
      <c r="C928" s="1" t="n">
        <v>45696</v>
      </c>
      <c r="D928" t="inlineStr">
        <is>
          <t>UPPSALA LÄN</t>
        </is>
      </c>
      <c r="E928" t="inlineStr">
        <is>
          <t>ÖSTHAMMAR</t>
        </is>
      </c>
      <c r="F928" t="inlineStr">
        <is>
          <t>Bergvik skog öst AB</t>
        </is>
      </c>
      <c r="G928" t="n">
        <v>13.8</v>
      </c>
      <c r="H928" t="n">
        <v>0</v>
      </c>
      <c r="I928" t="n">
        <v>0</v>
      </c>
      <c r="J928" t="n">
        <v>0</v>
      </c>
      <c r="K928" t="n">
        <v>0</v>
      </c>
      <c r="L928" t="n">
        <v>0</v>
      </c>
      <c r="M928" t="n">
        <v>0</v>
      </c>
      <c r="N928" t="n">
        <v>0</v>
      </c>
      <c r="O928" t="n">
        <v>0</v>
      </c>
      <c r="P928" t="n">
        <v>0</v>
      </c>
      <c r="Q928" t="n">
        <v>0</v>
      </c>
      <c r="R928" s="2" t="inlineStr"/>
    </row>
    <row r="929" ht="15" customHeight="1">
      <c r="A929" t="inlineStr">
        <is>
          <t>A 49833-2023</t>
        </is>
      </c>
      <c r="B929" s="1" t="n">
        <v>45212</v>
      </c>
      <c r="C929" s="1" t="n">
        <v>45696</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49831-2023</t>
        </is>
      </c>
      <c r="B930" s="1" t="n">
        <v>45212</v>
      </c>
      <c r="C930" s="1" t="n">
        <v>45696</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49897-2023</t>
        </is>
      </c>
      <c r="B931" s="1" t="n">
        <v>45213</v>
      </c>
      <c r="C931" s="1" t="n">
        <v>45696</v>
      </c>
      <c r="D931" t="inlineStr">
        <is>
          <t>UPPSALA LÄN</t>
        </is>
      </c>
      <c r="E931" t="inlineStr">
        <is>
          <t>ÖSTHAMMAR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49899-2023</t>
        </is>
      </c>
      <c r="B932" s="1" t="n">
        <v>45213</v>
      </c>
      <c r="C932" s="1" t="n">
        <v>45696</v>
      </c>
      <c r="D932" t="inlineStr">
        <is>
          <t>UPPSALA LÄN</t>
        </is>
      </c>
      <c r="E932" t="inlineStr">
        <is>
          <t>ÖSTHAMMAR</t>
        </is>
      </c>
      <c r="G932" t="n">
        <v>6.2</v>
      </c>
      <c r="H932" t="n">
        <v>0</v>
      </c>
      <c r="I932" t="n">
        <v>0</v>
      </c>
      <c r="J932" t="n">
        <v>0</v>
      </c>
      <c r="K932" t="n">
        <v>0</v>
      </c>
      <c r="L932" t="n">
        <v>0</v>
      </c>
      <c r="M932" t="n">
        <v>0</v>
      </c>
      <c r="N932" t="n">
        <v>0</v>
      </c>
      <c r="O932" t="n">
        <v>0</v>
      </c>
      <c r="P932" t="n">
        <v>0</v>
      </c>
      <c r="Q932" t="n">
        <v>0</v>
      </c>
      <c r="R932" s="2" t="inlineStr"/>
    </row>
    <row r="933" ht="15" customHeight="1">
      <c r="A933" t="inlineStr">
        <is>
          <t>A 49892-2023</t>
        </is>
      </c>
      <c r="B933" s="1" t="n">
        <v>45213</v>
      </c>
      <c r="C933" s="1" t="n">
        <v>45696</v>
      </c>
      <c r="D933" t="inlineStr">
        <is>
          <t>UPPSALA LÄN</t>
        </is>
      </c>
      <c r="E933" t="inlineStr">
        <is>
          <t>ÖSTHAMMAR</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50128-2023</t>
        </is>
      </c>
      <c r="B934" s="1" t="n">
        <v>45215</v>
      </c>
      <c r="C934" s="1" t="n">
        <v>45696</v>
      </c>
      <c r="D934" t="inlineStr">
        <is>
          <t>UPPSALA LÄN</t>
        </is>
      </c>
      <c r="E934" t="inlineStr">
        <is>
          <t>ÖSTHAMMAR</t>
        </is>
      </c>
      <c r="G934" t="n">
        <v>7.8</v>
      </c>
      <c r="H934" t="n">
        <v>0</v>
      </c>
      <c r="I934" t="n">
        <v>0</v>
      </c>
      <c r="J934" t="n">
        <v>0</v>
      </c>
      <c r="K934" t="n">
        <v>0</v>
      </c>
      <c r="L934" t="n">
        <v>0</v>
      </c>
      <c r="M934" t="n">
        <v>0</v>
      </c>
      <c r="N934" t="n">
        <v>0</v>
      </c>
      <c r="O934" t="n">
        <v>0</v>
      </c>
      <c r="P934" t="n">
        <v>0</v>
      </c>
      <c r="Q934" t="n">
        <v>0</v>
      </c>
      <c r="R934" s="2" t="inlineStr"/>
    </row>
    <row r="935" ht="15" customHeight="1">
      <c r="A935" t="inlineStr">
        <is>
          <t>A 50189-2023</t>
        </is>
      </c>
      <c r="B935" s="1" t="n">
        <v>45215</v>
      </c>
      <c r="C935" s="1" t="n">
        <v>45696</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50120-2023</t>
        </is>
      </c>
      <c r="B936" s="1" t="n">
        <v>45215</v>
      </c>
      <c r="C936" s="1" t="n">
        <v>45696</v>
      </c>
      <c r="D936" t="inlineStr">
        <is>
          <t>UPPSALA LÄN</t>
        </is>
      </c>
      <c r="E936" t="inlineStr">
        <is>
          <t>ÖSTHAMMAR</t>
        </is>
      </c>
      <c r="F936" t="inlineStr">
        <is>
          <t>Övriga Aktiebolag</t>
        </is>
      </c>
      <c r="G936" t="n">
        <v>14.2</v>
      </c>
      <c r="H936" t="n">
        <v>0</v>
      </c>
      <c r="I936" t="n">
        <v>0</v>
      </c>
      <c r="J936" t="n">
        <v>0</v>
      </c>
      <c r="K936" t="n">
        <v>0</v>
      </c>
      <c r="L936" t="n">
        <v>0</v>
      </c>
      <c r="M936" t="n">
        <v>0</v>
      </c>
      <c r="N936" t="n">
        <v>0</v>
      </c>
      <c r="O936" t="n">
        <v>0</v>
      </c>
      <c r="P936" t="n">
        <v>0</v>
      </c>
      <c r="Q936" t="n">
        <v>0</v>
      </c>
      <c r="R936" s="2" t="inlineStr"/>
    </row>
    <row r="937" ht="15" customHeight="1">
      <c r="A937" t="inlineStr">
        <is>
          <t>A 50188-2023</t>
        </is>
      </c>
      <c r="B937" s="1" t="n">
        <v>45215</v>
      </c>
      <c r="C937" s="1" t="n">
        <v>45696</v>
      </c>
      <c r="D937" t="inlineStr">
        <is>
          <t>UPPSALA LÄN</t>
        </is>
      </c>
      <c r="E937" t="inlineStr">
        <is>
          <t>ÖSTHAMMAR</t>
        </is>
      </c>
      <c r="F937" t="inlineStr">
        <is>
          <t>Bergvik skog öst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50998-2023</t>
        </is>
      </c>
      <c r="B938" s="1" t="n">
        <v>45218</v>
      </c>
      <c r="C938" s="1" t="n">
        <v>45696</v>
      </c>
      <c r="D938" t="inlineStr">
        <is>
          <t>UPPSALA LÄN</t>
        </is>
      </c>
      <c r="E938" t="inlineStr">
        <is>
          <t>ÖSTHAMMAR</t>
        </is>
      </c>
      <c r="G938" t="n">
        <v>3.6</v>
      </c>
      <c r="H938" t="n">
        <v>0</v>
      </c>
      <c r="I938" t="n">
        <v>0</v>
      </c>
      <c r="J938" t="n">
        <v>0</v>
      </c>
      <c r="K938" t="n">
        <v>0</v>
      </c>
      <c r="L938" t="n">
        <v>0</v>
      </c>
      <c r="M938" t="n">
        <v>0</v>
      </c>
      <c r="N938" t="n">
        <v>0</v>
      </c>
      <c r="O938" t="n">
        <v>0</v>
      </c>
      <c r="P938" t="n">
        <v>0</v>
      </c>
      <c r="Q938" t="n">
        <v>0</v>
      </c>
      <c r="R938" s="2" t="inlineStr"/>
    </row>
    <row r="939" ht="15" customHeight="1">
      <c r="A939" t="inlineStr">
        <is>
          <t>A 52695-2023</t>
        </is>
      </c>
      <c r="B939" s="1" t="n">
        <v>45225</v>
      </c>
      <c r="C939" s="1" t="n">
        <v>45696</v>
      </c>
      <c r="D939" t="inlineStr">
        <is>
          <t>UPPSALA LÄN</t>
        </is>
      </c>
      <c r="E939" t="inlineStr">
        <is>
          <t>ÖSTHAMMAR</t>
        </is>
      </c>
      <c r="G939" t="n">
        <v>1.7</v>
      </c>
      <c r="H939" t="n">
        <v>0</v>
      </c>
      <c r="I939" t="n">
        <v>0</v>
      </c>
      <c r="J939" t="n">
        <v>0</v>
      </c>
      <c r="K939" t="n">
        <v>0</v>
      </c>
      <c r="L939" t="n">
        <v>0</v>
      </c>
      <c r="M939" t="n">
        <v>0</v>
      </c>
      <c r="N939" t="n">
        <v>0</v>
      </c>
      <c r="O939" t="n">
        <v>0</v>
      </c>
      <c r="P939" t="n">
        <v>0</v>
      </c>
      <c r="Q939" t="n">
        <v>0</v>
      </c>
      <c r="R939" s="2" t="inlineStr"/>
    </row>
    <row r="940" ht="15" customHeight="1">
      <c r="A940" t="inlineStr">
        <is>
          <t>A 52629-2023</t>
        </is>
      </c>
      <c r="B940" s="1" t="n">
        <v>45225</v>
      </c>
      <c r="C940" s="1" t="n">
        <v>45696</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52698-2023</t>
        </is>
      </c>
      <c r="B941" s="1" t="n">
        <v>45225</v>
      </c>
      <c r="C941" s="1" t="n">
        <v>45696</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52694-2023</t>
        </is>
      </c>
      <c r="B942" s="1" t="n">
        <v>45225</v>
      </c>
      <c r="C942" s="1" t="n">
        <v>45696</v>
      </c>
      <c r="D942" t="inlineStr">
        <is>
          <t>UPPSALA LÄN</t>
        </is>
      </c>
      <c r="E942" t="inlineStr">
        <is>
          <t>ÖSTHAMMAR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52699-2023</t>
        </is>
      </c>
      <c r="B943" s="1" t="n">
        <v>45225</v>
      </c>
      <c r="C943" s="1" t="n">
        <v>45696</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54314-2023</t>
        </is>
      </c>
      <c r="B944" s="1" t="n">
        <v>45225</v>
      </c>
      <c r="C944" s="1" t="n">
        <v>45696</v>
      </c>
      <c r="D944" t="inlineStr">
        <is>
          <t>UPPSALA LÄN</t>
        </is>
      </c>
      <c r="E944" t="inlineStr">
        <is>
          <t>ÖSTHAMMAR</t>
        </is>
      </c>
      <c r="G944" t="n">
        <v>5.1</v>
      </c>
      <c r="H944" t="n">
        <v>0</v>
      </c>
      <c r="I944" t="n">
        <v>0</v>
      </c>
      <c r="J944" t="n">
        <v>0</v>
      </c>
      <c r="K944" t="n">
        <v>0</v>
      </c>
      <c r="L944" t="n">
        <v>0</v>
      </c>
      <c r="M944" t="n">
        <v>0</v>
      </c>
      <c r="N944" t="n">
        <v>0</v>
      </c>
      <c r="O944" t="n">
        <v>0</v>
      </c>
      <c r="P944" t="n">
        <v>0</v>
      </c>
      <c r="Q944" t="n">
        <v>0</v>
      </c>
      <c r="R944" s="2" t="inlineStr"/>
    </row>
    <row r="945" ht="15" customHeight="1">
      <c r="A945" t="inlineStr">
        <is>
          <t>A 53467-2023</t>
        </is>
      </c>
      <c r="B945" s="1" t="n">
        <v>45229</v>
      </c>
      <c r="C945" s="1" t="n">
        <v>45696</v>
      </c>
      <c r="D945" t="inlineStr">
        <is>
          <t>UPPSALA LÄN</t>
        </is>
      </c>
      <c r="E945" t="inlineStr">
        <is>
          <t>ÖSTHAMMAR</t>
        </is>
      </c>
      <c r="G945" t="n">
        <v>26.1</v>
      </c>
      <c r="H945" t="n">
        <v>0</v>
      </c>
      <c r="I945" t="n">
        <v>0</v>
      </c>
      <c r="J945" t="n">
        <v>0</v>
      </c>
      <c r="K945" t="n">
        <v>0</v>
      </c>
      <c r="L945" t="n">
        <v>0</v>
      </c>
      <c r="M945" t="n">
        <v>0</v>
      </c>
      <c r="N945" t="n">
        <v>0</v>
      </c>
      <c r="O945" t="n">
        <v>0</v>
      </c>
      <c r="P945" t="n">
        <v>0</v>
      </c>
      <c r="Q945" t="n">
        <v>0</v>
      </c>
      <c r="R945" s="2" t="inlineStr"/>
    </row>
    <row r="946" ht="15" customHeight="1">
      <c r="A946" t="inlineStr">
        <is>
          <t>A 53360-2023</t>
        </is>
      </c>
      <c r="B946" s="1" t="n">
        <v>45229</v>
      </c>
      <c r="C946" s="1" t="n">
        <v>45696</v>
      </c>
      <c r="D946" t="inlineStr">
        <is>
          <t>UPPSALA LÄN</t>
        </is>
      </c>
      <c r="E946" t="inlineStr">
        <is>
          <t>ÖSTHAMMAR</t>
        </is>
      </c>
      <c r="G946" t="n">
        <v>4.8</v>
      </c>
      <c r="H946" t="n">
        <v>0</v>
      </c>
      <c r="I946" t="n">
        <v>0</v>
      </c>
      <c r="J946" t="n">
        <v>0</v>
      </c>
      <c r="K946" t="n">
        <v>0</v>
      </c>
      <c r="L946" t="n">
        <v>0</v>
      </c>
      <c r="M946" t="n">
        <v>0</v>
      </c>
      <c r="N946" t="n">
        <v>0</v>
      </c>
      <c r="O946" t="n">
        <v>0</v>
      </c>
      <c r="P946" t="n">
        <v>0</v>
      </c>
      <c r="Q946" t="n">
        <v>0</v>
      </c>
      <c r="R946" s="2" t="inlineStr"/>
    </row>
    <row r="947" ht="15" customHeight="1">
      <c r="A947" t="inlineStr">
        <is>
          <t>A 53735-2023</t>
        </is>
      </c>
      <c r="B947" s="1" t="n">
        <v>45230</v>
      </c>
      <c r="C947" s="1" t="n">
        <v>45696</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53732-2023</t>
        </is>
      </c>
      <c r="B948" s="1" t="n">
        <v>45230</v>
      </c>
      <c r="C948" s="1" t="n">
        <v>45696</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53670-2023</t>
        </is>
      </c>
      <c r="B949" s="1" t="n">
        <v>45230</v>
      </c>
      <c r="C949" s="1" t="n">
        <v>45696</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53733-2023</t>
        </is>
      </c>
      <c r="B950" s="1" t="n">
        <v>45230</v>
      </c>
      <c r="C950" s="1" t="n">
        <v>45696</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53737-2023</t>
        </is>
      </c>
      <c r="B951" s="1" t="n">
        <v>45230</v>
      </c>
      <c r="C951" s="1" t="n">
        <v>45696</v>
      </c>
      <c r="D951" t="inlineStr">
        <is>
          <t>UPPSALA LÄN</t>
        </is>
      </c>
      <c r="E951" t="inlineStr">
        <is>
          <t>ÖSTHAMMAR</t>
        </is>
      </c>
      <c r="G951" t="n">
        <v>1.4</v>
      </c>
      <c r="H951" t="n">
        <v>0</v>
      </c>
      <c r="I951" t="n">
        <v>0</v>
      </c>
      <c r="J951" t="n">
        <v>0</v>
      </c>
      <c r="K951" t="n">
        <v>0</v>
      </c>
      <c r="L951" t="n">
        <v>0</v>
      </c>
      <c r="M951" t="n">
        <v>0</v>
      </c>
      <c r="N951" t="n">
        <v>0</v>
      </c>
      <c r="O951" t="n">
        <v>0</v>
      </c>
      <c r="P951" t="n">
        <v>0</v>
      </c>
      <c r="Q951" t="n">
        <v>0</v>
      </c>
      <c r="R951" s="2" t="inlineStr"/>
    </row>
    <row r="952" ht="15" customHeight="1">
      <c r="A952" t="inlineStr">
        <is>
          <t>A 53702-2023</t>
        </is>
      </c>
      <c r="B952" s="1" t="n">
        <v>45230</v>
      </c>
      <c r="C952" s="1" t="n">
        <v>45696</v>
      </c>
      <c r="D952" t="inlineStr">
        <is>
          <t>UPPSALA LÄN</t>
        </is>
      </c>
      <c r="E952" t="inlineStr">
        <is>
          <t>ÖSTHAMMAR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53676-2023</t>
        </is>
      </c>
      <c r="B953" s="1" t="n">
        <v>45230</v>
      </c>
      <c r="C953" s="1" t="n">
        <v>45696</v>
      </c>
      <c r="D953" t="inlineStr">
        <is>
          <t>UPPSALA LÄN</t>
        </is>
      </c>
      <c r="E953" t="inlineStr">
        <is>
          <t>ÖSTHAMMAR</t>
        </is>
      </c>
      <c r="F953" t="inlineStr">
        <is>
          <t>Bergvik skog öst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54228-2023</t>
        </is>
      </c>
      <c r="B954" s="1" t="n">
        <v>45232</v>
      </c>
      <c r="C954" s="1" t="n">
        <v>45696</v>
      </c>
      <c r="D954" t="inlineStr">
        <is>
          <t>UPPSALA LÄN</t>
        </is>
      </c>
      <c r="E954" t="inlineStr">
        <is>
          <t>ÖSTHAMMAR</t>
        </is>
      </c>
      <c r="G954" t="n">
        <v>4</v>
      </c>
      <c r="H954" t="n">
        <v>0</v>
      </c>
      <c r="I954" t="n">
        <v>0</v>
      </c>
      <c r="J954" t="n">
        <v>0</v>
      </c>
      <c r="K954" t="n">
        <v>0</v>
      </c>
      <c r="L954" t="n">
        <v>0</v>
      </c>
      <c r="M954" t="n">
        <v>0</v>
      </c>
      <c r="N954" t="n">
        <v>0</v>
      </c>
      <c r="O954" t="n">
        <v>0</v>
      </c>
      <c r="P954" t="n">
        <v>0</v>
      </c>
      <c r="Q954" t="n">
        <v>0</v>
      </c>
      <c r="R954" s="2" t="inlineStr"/>
    </row>
    <row r="955" ht="15" customHeight="1">
      <c r="A955" t="inlineStr">
        <is>
          <t>A 54366-2023</t>
        </is>
      </c>
      <c r="B955" s="1" t="n">
        <v>45233</v>
      </c>
      <c r="C955" s="1" t="n">
        <v>45696</v>
      </c>
      <c r="D955" t="inlineStr">
        <is>
          <t>UPPSALA LÄN</t>
        </is>
      </c>
      <c r="E955" t="inlineStr">
        <is>
          <t>ÖSTHAMMAR</t>
        </is>
      </c>
      <c r="F955" t="inlineStr">
        <is>
          <t>Bergvik skog öst AB</t>
        </is>
      </c>
      <c r="G955" t="n">
        <v>2.9</v>
      </c>
      <c r="H955" t="n">
        <v>0</v>
      </c>
      <c r="I955" t="n">
        <v>0</v>
      </c>
      <c r="J955" t="n">
        <v>0</v>
      </c>
      <c r="K955" t="n">
        <v>0</v>
      </c>
      <c r="L955" t="n">
        <v>0</v>
      </c>
      <c r="M955" t="n">
        <v>0</v>
      </c>
      <c r="N955" t="n">
        <v>0</v>
      </c>
      <c r="O955" t="n">
        <v>0</v>
      </c>
      <c r="P955" t="n">
        <v>0</v>
      </c>
      <c r="Q955" t="n">
        <v>0</v>
      </c>
      <c r="R955" s="2" t="inlineStr"/>
    </row>
    <row r="956" ht="15" customHeight="1">
      <c r="A956" t="inlineStr">
        <is>
          <t>A 54369-2023</t>
        </is>
      </c>
      <c r="B956" s="1" t="n">
        <v>45233</v>
      </c>
      <c r="C956" s="1" t="n">
        <v>45696</v>
      </c>
      <c r="D956" t="inlineStr">
        <is>
          <t>UPPSALA LÄN</t>
        </is>
      </c>
      <c r="E956" t="inlineStr">
        <is>
          <t>ÖSTHAMMAR</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54368-2023</t>
        </is>
      </c>
      <c r="B957" s="1" t="n">
        <v>45233</v>
      </c>
      <c r="C957" s="1" t="n">
        <v>45696</v>
      </c>
      <c r="D957" t="inlineStr">
        <is>
          <t>UPPSALA LÄN</t>
        </is>
      </c>
      <c r="E957" t="inlineStr">
        <is>
          <t>ÖSTHAMMAR</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55230-2023</t>
        </is>
      </c>
      <c r="B958" s="1" t="n">
        <v>45237</v>
      </c>
      <c r="C958" s="1" t="n">
        <v>45696</v>
      </c>
      <c r="D958" t="inlineStr">
        <is>
          <t>UPPSALA LÄN</t>
        </is>
      </c>
      <c r="E958" t="inlineStr">
        <is>
          <t>ÖSTHAMMAR</t>
        </is>
      </c>
      <c r="F958" t="inlineStr">
        <is>
          <t>Övriga Aktiebolag</t>
        </is>
      </c>
      <c r="G958" t="n">
        <v>19.7</v>
      </c>
      <c r="H958" t="n">
        <v>0</v>
      </c>
      <c r="I958" t="n">
        <v>0</v>
      </c>
      <c r="J958" t="n">
        <v>0</v>
      </c>
      <c r="K958" t="n">
        <v>0</v>
      </c>
      <c r="L958" t="n">
        <v>0</v>
      </c>
      <c r="M958" t="n">
        <v>0</v>
      </c>
      <c r="N958" t="n">
        <v>0</v>
      </c>
      <c r="O958" t="n">
        <v>0</v>
      </c>
      <c r="P958" t="n">
        <v>0</v>
      </c>
      <c r="Q958" t="n">
        <v>0</v>
      </c>
      <c r="R958" s="2" t="inlineStr"/>
    </row>
    <row r="959" ht="15" customHeight="1">
      <c r="A959" t="inlineStr">
        <is>
          <t>A 55387-2023</t>
        </is>
      </c>
      <c r="B959" s="1" t="n">
        <v>45238</v>
      </c>
      <c r="C959" s="1" t="n">
        <v>45696</v>
      </c>
      <c r="D959" t="inlineStr">
        <is>
          <t>UPPSALA LÄN</t>
        </is>
      </c>
      <c r="E959" t="inlineStr">
        <is>
          <t>ÖSTHAMMAR</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55837-2023</t>
        </is>
      </c>
      <c r="B960" s="1" t="n">
        <v>45239</v>
      </c>
      <c r="C960" s="1" t="n">
        <v>45696</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56102-2023</t>
        </is>
      </c>
      <c r="B961" s="1" t="n">
        <v>45240</v>
      </c>
      <c r="C961" s="1" t="n">
        <v>45696</v>
      </c>
      <c r="D961" t="inlineStr">
        <is>
          <t>UPPSALA LÄN</t>
        </is>
      </c>
      <c r="E961" t="inlineStr">
        <is>
          <t>ÖSTHAMMAR</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56418-2023</t>
        </is>
      </c>
      <c r="B962" s="1" t="n">
        <v>45243</v>
      </c>
      <c r="C962" s="1" t="n">
        <v>45696</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56434-2023</t>
        </is>
      </c>
      <c r="B963" s="1" t="n">
        <v>45243</v>
      </c>
      <c r="C963" s="1" t="n">
        <v>45696</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56790-2023</t>
        </is>
      </c>
      <c r="B964" s="1" t="n">
        <v>45244</v>
      </c>
      <c r="C964" s="1" t="n">
        <v>45696</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56798-2023</t>
        </is>
      </c>
      <c r="B965" s="1" t="n">
        <v>45244</v>
      </c>
      <c r="C965" s="1" t="n">
        <v>45696</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56903-2023</t>
        </is>
      </c>
      <c r="B966" s="1" t="n">
        <v>45244</v>
      </c>
      <c r="C966" s="1" t="n">
        <v>45696</v>
      </c>
      <c r="D966" t="inlineStr">
        <is>
          <t>UPPSALA LÄN</t>
        </is>
      </c>
      <c r="E966" t="inlineStr">
        <is>
          <t>ÖSTHAMMAR</t>
        </is>
      </c>
      <c r="G966" t="n">
        <v>3.1</v>
      </c>
      <c r="H966" t="n">
        <v>0</v>
      </c>
      <c r="I966" t="n">
        <v>0</v>
      </c>
      <c r="J966" t="n">
        <v>0</v>
      </c>
      <c r="K966" t="n">
        <v>0</v>
      </c>
      <c r="L966" t="n">
        <v>0</v>
      </c>
      <c r="M966" t="n">
        <v>0</v>
      </c>
      <c r="N966" t="n">
        <v>0</v>
      </c>
      <c r="O966" t="n">
        <v>0</v>
      </c>
      <c r="P966" t="n">
        <v>0</v>
      </c>
      <c r="Q966" t="n">
        <v>0</v>
      </c>
      <c r="R966" s="2" t="inlineStr"/>
    </row>
    <row r="967" ht="15" customHeight="1">
      <c r="A967" t="inlineStr">
        <is>
          <t>A 56920-2023</t>
        </is>
      </c>
      <c r="B967" s="1" t="n">
        <v>45244</v>
      </c>
      <c r="C967" s="1" t="n">
        <v>45696</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56959-2023</t>
        </is>
      </c>
      <c r="B968" s="1" t="n">
        <v>45244</v>
      </c>
      <c r="C968" s="1" t="n">
        <v>45696</v>
      </c>
      <c r="D968" t="inlineStr">
        <is>
          <t>UPPSALA LÄN</t>
        </is>
      </c>
      <c r="E968" t="inlineStr">
        <is>
          <t>ÖSTHAMMAR</t>
        </is>
      </c>
      <c r="G968" t="n">
        <v>5</v>
      </c>
      <c r="H968" t="n">
        <v>0</v>
      </c>
      <c r="I968" t="n">
        <v>0</v>
      </c>
      <c r="J968" t="n">
        <v>0</v>
      </c>
      <c r="K968" t="n">
        <v>0</v>
      </c>
      <c r="L968" t="n">
        <v>0</v>
      </c>
      <c r="M968" t="n">
        <v>0</v>
      </c>
      <c r="N968" t="n">
        <v>0</v>
      </c>
      <c r="O968" t="n">
        <v>0</v>
      </c>
      <c r="P968" t="n">
        <v>0</v>
      </c>
      <c r="Q968" t="n">
        <v>0</v>
      </c>
      <c r="R968" s="2" t="inlineStr"/>
    </row>
    <row r="969" ht="15" customHeight="1">
      <c r="A969" t="inlineStr">
        <is>
          <t>A 58176-2023</t>
        </is>
      </c>
      <c r="B969" s="1" t="n">
        <v>45250</v>
      </c>
      <c r="C969" s="1" t="n">
        <v>45696</v>
      </c>
      <c r="D969" t="inlineStr">
        <is>
          <t>UPPSALA LÄN</t>
        </is>
      </c>
      <c r="E969" t="inlineStr">
        <is>
          <t>ÖSTHAMMAR</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58295-2023</t>
        </is>
      </c>
      <c r="B970" s="1" t="n">
        <v>45250</v>
      </c>
      <c r="C970" s="1" t="n">
        <v>45696</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58270-2023</t>
        </is>
      </c>
      <c r="B971" s="1" t="n">
        <v>45250</v>
      </c>
      <c r="C971" s="1" t="n">
        <v>45696</v>
      </c>
      <c r="D971" t="inlineStr">
        <is>
          <t>UPPSALA LÄN</t>
        </is>
      </c>
      <c r="E971" t="inlineStr">
        <is>
          <t>ÖSTHAMMAR</t>
        </is>
      </c>
      <c r="G971" t="n">
        <v>1.3</v>
      </c>
      <c r="H971" t="n">
        <v>0</v>
      </c>
      <c r="I971" t="n">
        <v>0</v>
      </c>
      <c r="J971" t="n">
        <v>0</v>
      </c>
      <c r="K971" t="n">
        <v>0</v>
      </c>
      <c r="L971" t="n">
        <v>0</v>
      </c>
      <c r="M971" t="n">
        <v>0</v>
      </c>
      <c r="N971" t="n">
        <v>0</v>
      </c>
      <c r="O971" t="n">
        <v>0</v>
      </c>
      <c r="P971" t="n">
        <v>0</v>
      </c>
      <c r="Q971" t="n">
        <v>0</v>
      </c>
      <c r="R971" s="2" t="inlineStr"/>
    </row>
    <row r="972" ht="15" customHeight="1">
      <c r="A972" t="inlineStr">
        <is>
          <t>A 58301-2023</t>
        </is>
      </c>
      <c r="B972" s="1" t="n">
        <v>45250</v>
      </c>
      <c r="C972" s="1" t="n">
        <v>45696</v>
      </c>
      <c r="D972" t="inlineStr">
        <is>
          <t>UPPSALA LÄN</t>
        </is>
      </c>
      <c r="E972" t="inlineStr">
        <is>
          <t>ÖSTHAMMAR</t>
        </is>
      </c>
      <c r="G972" t="n">
        <v>5.9</v>
      </c>
      <c r="H972" t="n">
        <v>0</v>
      </c>
      <c r="I972" t="n">
        <v>0</v>
      </c>
      <c r="J972" t="n">
        <v>0</v>
      </c>
      <c r="K972" t="n">
        <v>0</v>
      </c>
      <c r="L972" t="n">
        <v>0</v>
      </c>
      <c r="M972" t="n">
        <v>0</v>
      </c>
      <c r="N972" t="n">
        <v>0</v>
      </c>
      <c r="O972" t="n">
        <v>0</v>
      </c>
      <c r="P972" t="n">
        <v>0</v>
      </c>
      <c r="Q972" t="n">
        <v>0</v>
      </c>
      <c r="R972" s="2" t="inlineStr"/>
    </row>
    <row r="973" ht="15" customHeight="1">
      <c r="A973" t="inlineStr">
        <is>
          <t>A 58324-2023</t>
        </is>
      </c>
      <c r="B973" s="1" t="n">
        <v>45250</v>
      </c>
      <c r="C973" s="1" t="n">
        <v>45696</v>
      </c>
      <c r="D973" t="inlineStr">
        <is>
          <t>UPPSALA LÄN</t>
        </is>
      </c>
      <c r="E973" t="inlineStr">
        <is>
          <t>ÖSTHAMMAR</t>
        </is>
      </c>
      <c r="G973" t="n">
        <v>5.1</v>
      </c>
      <c r="H973" t="n">
        <v>0</v>
      </c>
      <c r="I973" t="n">
        <v>0</v>
      </c>
      <c r="J973" t="n">
        <v>0</v>
      </c>
      <c r="K973" t="n">
        <v>0</v>
      </c>
      <c r="L973" t="n">
        <v>0</v>
      </c>
      <c r="M973" t="n">
        <v>0</v>
      </c>
      <c r="N973" t="n">
        <v>0</v>
      </c>
      <c r="O973" t="n">
        <v>0</v>
      </c>
      <c r="P973" t="n">
        <v>0</v>
      </c>
      <c r="Q973" t="n">
        <v>0</v>
      </c>
      <c r="R973" s="2" t="inlineStr"/>
    </row>
    <row r="974" ht="15" customHeight="1">
      <c r="A974" t="inlineStr">
        <is>
          <t>A 58431-2023</t>
        </is>
      </c>
      <c r="B974" s="1" t="n">
        <v>45250</v>
      </c>
      <c r="C974" s="1" t="n">
        <v>45696</v>
      </c>
      <c r="D974" t="inlineStr">
        <is>
          <t>UPPSALA LÄN</t>
        </is>
      </c>
      <c r="E974" t="inlineStr">
        <is>
          <t>ÖSTHAMMAR</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58855-2023</t>
        </is>
      </c>
      <c r="B975" s="1" t="n">
        <v>45252</v>
      </c>
      <c r="C975" s="1" t="n">
        <v>45696</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58854-2023</t>
        </is>
      </c>
      <c r="B976" s="1" t="n">
        <v>45252</v>
      </c>
      <c r="C976" s="1" t="n">
        <v>45696</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58859-2023</t>
        </is>
      </c>
      <c r="B977" s="1" t="n">
        <v>45252</v>
      </c>
      <c r="C977" s="1" t="n">
        <v>45696</v>
      </c>
      <c r="D977" t="inlineStr">
        <is>
          <t>UPPSALA LÄN</t>
        </is>
      </c>
      <c r="E977" t="inlineStr">
        <is>
          <t>ÖSTHAMMAR</t>
        </is>
      </c>
      <c r="G977" t="n">
        <v>0.9</v>
      </c>
      <c r="H977" t="n">
        <v>0</v>
      </c>
      <c r="I977" t="n">
        <v>0</v>
      </c>
      <c r="J977" t="n">
        <v>0</v>
      </c>
      <c r="K977" t="n">
        <v>0</v>
      </c>
      <c r="L977" t="n">
        <v>0</v>
      </c>
      <c r="M977" t="n">
        <v>0</v>
      </c>
      <c r="N977" t="n">
        <v>0</v>
      </c>
      <c r="O977" t="n">
        <v>0</v>
      </c>
      <c r="P977" t="n">
        <v>0</v>
      </c>
      <c r="Q977" t="n">
        <v>0</v>
      </c>
      <c r="R977" s="2" t="inlineStr"/>
    </row>
    <row r="978" ht="15" customHeight="1">
      <c r="A978" t="inlineStr">
        <is>
          <t>A 59244-2023</t>
        </is>
      </c>
      <c r="B978" s="1" t="n">
        <v>45253</v>
      </c>
      <c r="C978" s="1" t="n">
        <v>45696</v>
      </c>
      <c r="D978" t="inlineStr">
        <is>
          <t>UPPSALA LÄN</t>
        </is>
      </c>
      <c r="E978" t="inlineStr">
        <is>
          <t>ÖSTHAMMAR</t>
        </is>
      </c>
      <c r="G978" t="n">
        <v>12.9</v>
      </c>
      <c r="H978" t="n">
        <v>0</v>
      </c>
      <c r="I978" t="n">
        <v>0</v>
      </c>
      <c r="J978" t="n">
        <v>0</v>
      </c>
      <c r="K978" t="n">
        <v>0</v>
      </c>
      <c r="L978" t="n">
        <v>0</v>
      </c>
      <c r="M978" t="n">
        <v>0</v>
      </c>
      <c r="N978" t="n">
        <v>0</v>
      </c>
      <c r="O978" t="n">
        <v>0</v>
      </c>
      <c r="P978" t="n">
        <v>0</v>
      </c>
      <c r="Q978" t="n">
        <v>0</v>
      </c>
      <c r="R978" s="2" t="inlineStr"/>
    </row>
    <row r="979" ht="15" customHeight="1">
      <c r="A979" t="inlineStr">
        <is>
          <t>A 59288-2023</t>
        </is>
      </c>
      <c r="B979" s="1" t="n">
        <v>45253</v>
      </c>
      <c r="C979" s="1" t="n">
        <v>45696</v>
      </c>
      <c r="D979" t="inlineStr">
        <is>
          <t>UPPSALA LÄN</t>
        </is>
      </c>
      <c r="E979" t="inlineStr">
        <is>
          <t>ÖSTHAMMAR</t>
        </is>
      </c>
      <c r="G979" t="n">
        <v>7</v>
      </c>
      <c r="H979" t="n">
        <v>0</v>
      </c>
      <c r="I979" t="n">
        <v>0</v>
      </c>
      <c r="J979" t="n">
        <v>0</v>
      </c>
      <c r="K979" t="n">
        <v>0</v>
      </c>
      <c r="L979" t="n">
        <v>0</v>
      </c>
      <c r="M979" t="n">
        <v>0</v>
      </c>
      <c r="N979" t="n">
        <v>0</v>
      </c>
      <c r="O979" t="n">
        <v>0</v>
      </c>
      <c r="P979" t="n">
        <v>0</v>
      </c>
      <c r="Q979" t="n">
        <v>0</v>
      </c>
      <c r="R979" s="2" t="inlineStr"/>
    </row>
    <row r="980" ht="15" customHeight="1">
      <c r="A980" t="inlineStr">
        <is>
          <t>A 59314-2023</t>
        </is>
      </c>
      <c r="B980" s="1" t="n">
        <v>45253</v>
      </c>
      <c r="C980" s="1" t="n">
        <v>45696</v>
      </c>
      <c r="D980" t="inlineStr">
        <is>
          <t>UPPSALA LÄN</t>
        </is>
      </c>
      <c r="E980" t="inlineStr">
        <is>
          <t>ÖSTHAMMAR</t>
        </is>
      </c>
      <c r="G980" t="n">
        <v>1</v>
      </c>
      <c r="H980" t="n">
        <v>0</v>
      </c>
      <c r="I980" t="n">
        <v>0</v>
      </c>
      <c r="J980" t="n">
        <v>0</v>
      </c>
      <c r="K980" t="n">
        <v>0</v>
      </c>
      <c r="L980" t="n">
        <v>0</v>
      </c>
      <c r="M980" t="n">
        <v>0</v>
      </c>
      <c r="N980" t="n">
        <v>0</v>
      </c>
      <c r="O980" t="n">
        <v>0</v>
      </c>
      <c r="P980" t="n">
        <v>0</v>
      </c>
      <c r="Q980" t="n">
        <v>0</v>
      </c>
      <c r="R980" s="2" t="inlineStr"/>
    </row>
    <row r="981" ht="15" customHeight="1">
      <c r="A981" t="inlineStr">
        <is>
          <t>A 59318-2023</t>
        </is>
      </c>
      <c r="B981" s="1" t="n">
        <v>45253</v>
      </c>
      <c r="C981" s="1" t="n">
        <v>45696</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59327-2023</t>
        </is>
      </c>
      <c r="B982" s="1" t="n">
        <v>45253</v>
      </c>
      <c r="C982" s="1" t="n">
        <v>45696</v>
      </c>
      <c r="D982" t="inlineStr">
        <is>
          <t>UPPSALA LÄN</t>
        </is>
      </c>
      <c r="E982" t="inlineStr">
        <is>
          <t>ÖSTHAMMAR</t>
        </is>
      </c>
      <c r="G982" t="n">
        <v>3.1</v>
      </c>
      <c r="H982" t="n">
        <v>0</v>
      </c>
      <c r="I982" t="n">
        <v>0</v>
      </c>
      <c r="J982" t="n">
        <v>0</v>
      </c>
      <c r="K982" t="n">
        <v>0</v>
      </c>
      <c r="L982" t="n">
        <v>0</v>
      </c>
      <c r="M982" t="n">
        <v>0</v>
      </c>
      <c r="N982" t="n">
        <v>0</v>
      </c>
      <c r="O982" t="n">
        <v>0</v>
      </c>
      <c r="P982" t="n">
        <v>0</v>
      </c>
      <c r="Q982" t="n">
        <v>0</v>
      </c>
      <c r="R982" s="2" t="inlineStr"/>
    </row>
    <row r="983" ht="15" customHeight="1">
      <c r="A983" t="inlineStr">
        <is>
          <t>A 59291-2023</t>
        </is>
      </c>
      <c r="B983" s="1" t="n">
        <v>45253</v>
      </c>
      <c r="C983" s="1" t="n">
        <v>45696</v>
      </c>
      <c r="D983" t="inlineStr">
        <is>
          <t>UPPSALA LÄN</t>
        </is>
      </c>
      <c r="E983" t="inlineStr">
        <is>
          <t>ÖSTHAMMAR</t>
        </is>
      </c>
      <c r="G983" t="n">
        <v>1.7</v>
      </c>
      <c r="H983" t="n">
        <v>0</v>
      </c>
      <c r="I983" t="n">
        <v>0</v>
      </c>
      <c r="J983" t="n">
        <v>0</v>
      </c>
      <c r="K983" t="n">
        <v>0</v>
      </c>
      <c r="L983" t="n">
        <v>0</v>
      </c>
      <c r="M983" t="n">
        <v>0</v>
      </c>
      <c r="N983" t="n">
        <v>0</v>
      </c>
      <c r="O983" t="n">
        <v>0</v>
      </c>
      <c r="P983" t="n">
        <v>0</v>
      </c>
      <c r="Q983" t="n">
        <v>0</v>
      </c>
      <c r="R983" s="2" t="inlineStr"/>
    </row>
    <row r="984" ht="15" customHeight="1">
      <c r="A984" t="inlineStr">
        <is>
          <t>A 59731-2023</t>
        </is>
      </c>
      <c r="B984" s="1" t="n">
        <v>45257</v>
      </c>
      <c r="C984" s="1" t="n">
        <v>45696</v>
      </c>
      <c r="D984" t="inlineStr">
        <is>
          <t>UPPSALA LÄN</t>
        </is>
      </c>
      <c r="E984" t="inlineStr">
        <is>
          <t>ÖSTHAMMAR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60303-2023</t>
        </is>
      </c>
      <c r="B985" s="1" t="n">
        <v>45258</v>
      </c>
      <c r="C985" s="1" t="n">
        <v>45696</v>
      </c>
      <c r="D985" t="inlineStr">
        <is>
          <t>UPPSALA LÄN</t>
        </is>
      </c>
      <c r="E985" t="inlineStr">
        <is>
          <t>ÖSTHAMMAR</t>
        </is>
      </c>
      <c r="F985" t="inlineStr">
        <is>
          <t>Bergvik skog öst AB</t>
        </is>
      </c>
      <c r="G985" t="n">
        <v>10.8</v>
      </c>
      <c r="H985" t="n">
        <v>0</v>
      </c>
      <c r="I985" t="n">
        <v>0</v>
      </c>
      <c r="J985" t="n">
        <v>0</v>
      </c>
      <c r="K985" t="n">
        <v>0</v>
      </c>
      <c r="L985" t="n">
        <v>0</v>
      </c>
      <c r="M985" t="n">
        <v>0</v>
      </c>
      <c r="N985" t="n">
        <v>0</v>
      </c>
      <c r="O985" t="n">
        <v>0</v>
      </c>
      <c r="P985" t="n">
        <v>0</v>
      </c>
      <c r="Q985" t="n">
        <v>0</v>
      </c>
      <c r="R985" s="2" t="inlineStr"/>
    </row>
    <row r="986" ht="15" customHeight="1">
      <c r="A986" t="inlineStr">
        <is>
          <t>A 60555-2023</t>
        </is>
      </c>
      <c r="B986" s="1" t="n">
        <v>45259</v>
      </c>
      <c r="C986" s="1" t="n">
        <v>45696</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61062-2023</t>
        </is>
      </c>
      <c r="B987" s="1" t="n">
        <v>45259</v>
      </c>
      <c r="C987" s="1" t="n">
        <v>45696</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61063-2023</t>
        </is>
      </c>
      <c r="B988" s="1" t="n">
        <v>45259</v>
      </c>
      <c r="C988" s="1" t="n">
        <v>45696</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60722-2023</t>
        </is>
      </c>
      <c r="B989" s="1" t="n">
        <v>45260</v>
      </c>
      <c r="C989" s="1" t="n">
        <v>45696</v>
      </c>
      <c r="D989" t="inlineStr">
        <is>
          <t>UPPSALA LÄN</t>
        </is>
      </c>
      <c r="E989" t="inlineStr">
        <is>
          <t>ÖSTHAMMAR</t>
        </is>
      </c>
      <c r="G989" t="n">
        <v>1.8</v>
      </c>
      <c r="H989" t="n">
        <v>0</v>
      </c>
      <c r="I989" t="n">
        <v>0</v>
      </c>
      <c r="J989" t="n">
        <v>0</v>
      </c>
      <c r="K989" t="n">
        <v>0</v>
      </c>
      <c r="L989" t="n">
        <v>0</v>
      </c>
      <c r="M989" t="n">
        <v>0</v>
      </c>
      <c r="N989" t="n">
        <v>0</v>
      </c>
      <c r="O989" t="n">
        <v>0</v>
      </c>
      <c r="P989" t="n">
        <v>0</v>
      </c>
      <c r="Q989" t="n">
        <v>0</v>
      </c>
      <c r="R989" s="2" t="inlineStr"/>
    </row>
    <row r="990" ht="15" customHeight="1">
      <c r="A990" t="inlineStr">
        <is>
          <t>A 61109-2023</t>
        </is>
      </c>
      <c r="B990" s="1" t="n">
        <v>45261</v>
      </c>
      <c r="C990" s="1" t="n">
        <v>45696</v>
      </c>
      <c r="D990" t="inlineStr">
        <is>
          <t>UPPSALA LÄN</t>
        </is>
      </c>
      <c r="E990" t="inlineStr">
        <is>
          <t>ÖSTHAMMAR</t>
        </is>
      </c>
      <c r="G990" t="n">
        <v>3.9</v>
      </c>
      <c r="H990" t="n">
        <v>0</v>
      </c>
      <c r="I990" t="n">
        <v>0</v>
      </c>
      <c r="J990" t="n">
        <v>0</v>
      </c>
      <c r="K990" t="n">
        <v>0</v>
      </c>
      <c r="L990" t="n">
        <v>0</v>
      </c>
      <c r="M990" t="n">
        <v>0</v>
      </c>
      <c r="N990" t="n">
        <v>0</v>
      </c>
      <c r="O990" t="n">
        <v>0</v>
      </c>
      <c r="P990" t="n">
        <v>0</v>
      </c>
      <c r="Q990" t="n">
        <v>0</v>
      </c>
      <c r="R990" s="2" t="inlineStr"/>
    </row>
    <row r="991" ht="15" customHeight="1">
      <c r="A991" t="inlineStr">
        <is>
          <t>A 61246-2023</t>
        </is>
      </c>
      <c r="B991" s="1" t="n">
        <v>45264</v>
      </c>
      <c r="C991" s="1" t="n">
        <v>45696</v>
      </c>
      <c r="D991" t="inlineStr">
        <is>
          <t>UPPSALA LÄN</t>
        </is>
      </c>
      <c r="E991" t="inlineStr">
        <is>
          <t>ÖSTHAMMAR</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61428-2023</t>
        </is>
      </c>
      <c r="B992" s="1" t="n">
        <v>45264</v>
      </c>
      <c r="C992" s="1" t="n">
        <v>45696</v>
      </c>
      <c r="D992" t="inlineStr">
        <is>
          <t>UPPSALA LÄN</t>
        </is>
      </c>
      <c r="E992" t="inlineStr">
        <is>
          <t>ÖSTHAMMAR</t>
        </is>
      </c>
      <c r="F992" t="inlineStr">
        <is>
          <t>Allmännings- och besparingsskogar</t>
        </is>
      </c>
      <c r="G992" t="n">
        <v>1.2</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45696</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64774-2023</t>
        </is>
      </c>
      <c r="B994" s="1" t="n">
        <v>45282</v>
      </c>
      <c r="C994" s="1" t="n">
        <v>45696</v>
      </c>
      <c r="D994" t="inlineStr">
        <is>
          <t>UPPSALA LÄN</t>
        </is>
      </c>
      <c r="E994" t="inlineStr">
        <is>
          <t>ÖSTHAMMAR</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2462-2024</t>
        </is>
      </c>
      <c r="B995" s="1" t="n">
        <v>45313</v>
      </c>
      <c r="C995" s="1" t="n">
        <v>45696</v>
      </c>
      <c r="D995" t="inlineStr">
        <is>
          <t>UPPSALA LÄN</t>
        </is>
      </c>
      <c r="E995" t="inlineStr">
        <is>
          <t>ÖSTHAMMAR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2920-2024</t>
        </is>
      </c>
      <c r="B996" s="1" t="n">
        <v>45315</v>
      </c>
      <c r="C996" s="1" t="n">
        <v>45696</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4984-2024</t>
        </is>
      </c>
      <c r="B997" s="1" t="n">
        <v>45329</v>
      </c>
      <c r="C997" s="1" t="n">
        <v>45696</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5042-2024</t>
        </is>
      </c>
      <c r="B998" s="1" t="n">
        <v>45329</v>
      </c>
      <c r="C998" s="1" t="n">
        <v>45696</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5149-2024</t>
        </is>
      </c>
      <c r="B999" s="1" t="n">
        <v>45330</v>
      </c>
      <c r="C999" s="1" t="n">
        <v>45696</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5198-2024</t>
        </is>
      </c>
      <c r="B1000" s="1" t="n">
        <v>45330</v>
      </c>
      <c r="C1000" s="1" t="n">
        <v>45696</v>
      </c>
      <c r="D1000" t="inlineStr">
        <is>
          <t>UPPSALA LÄN</t>
        </is>
      </c>
      <c r="E1000" t="inlineStr">
        <is>
          <t>ÖSTHAMMAR</t>
        </is>
      </c>
      <c r="F1000" t="inlineStr">
        <is>
          <t>Övriga Aktiebolag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5216-2024</t>
        </is>
      </c>
      <c r="B1001" s="1" t="n">
        <v>45330</v>
      </c>
      <c r="C1001" s="1" t="n">
        <v>45696</v>
      </c>
      <c r="D1001" t="inlineStr">
        <is>
          <t>UPPSALA LÄN</t>
        </is>
      </c>
      <c r="E1001" t="inlineStr">
        <is>
          <t>ÖSTHAMMAR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5161-2024</t>
        </is>
      </c>
      <c r="B1002" s="1" t="n">
        <v>45330</v>
      </c>
      <c r="C1002" s="1" t="n">
        <v>45696</v>
      </c>
      <c r="D1002" t="inlineStr">
        <is>
          <t>UPPSALA LÄN</t>
        </is>
      </c>
      <c r="E1002" t="inlineStr">
        <is>
          <t>ÖSTHAMMAR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5223-2024</t>
        </is>
      </c>
      <c r="B1003" s="1" t="n">
        <v>45330</v>
      </c>
      <c r="C1003" s="1" t="n">
        <v>45696</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5851-2024</t>
        </is>
      </c>
      <c r="B1004" s="1" t="n">
        <v>45335</v>
      </c>
      <c r="C1004" s="1" t="n">
        <v>45696</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5860-2024</t>
        </is>
      </c>
      <c r="B1005" s="1" t="n">
        <v>45335</v>
      </c>
      <c r="C1005" s="1" t="n">
        <v>45696</v>
      </c>
      <c r="D1005" t="inlineStr">
        <is>
          <t>UPPSALA LÄN</t>
        </is>
      </c>
      <c r="E1005" t="inlineStr">
        <is>
          <t>ÖSTHAMMAR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6120-2024</t>
        </is>
      </c>
      <c r="B1006" s="1" t="n">
        <v>45337</v>
      </c>
      <c r="C1006" s="1" t="n">
        <v>45696</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6102-2024</t>
        </is>
      </c>
      <c r="B1007" s="1" t="n">
        <v>45337</v>
      </c>
      <c r="C1007" s="1" t="n">
        <v>45696</v>
      </c>
      <c r="D1007" t="inlineStr">
        <is>
          <t>UPPSALA LÄN</t>
        </is>
      </c>
      <c r="E1007" t="inlineStr">
        <is>
          <t>ÖSTHAMMAR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6106-2024</t>
        </is>
      </c>
      <c r="B1008" s="1" t="n">
        <v>45337</v>
      </c>
      <c r="C1008" s="1" t="n">
        <v>45696</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6143-2024</t>
        </is>
      </c>
      <c r="B1009" s="1" t="n">
        <v>45337</v>
      </c>
      <c r="C1009" s="1" t="n">
        <v>45696</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6121-2024</t>
        </is>
      </c>
      <c r="B1010" s="1" t="n">
        <v>45337</v>
      </c>
      <c r="C1010" s="1" t="n">
        <v>45696</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6418-2024</t>
        </is>
      </c>
      <c r="B1011" s="1" t="n">
        <v>45338</v>
      </c>
      <c r="C1011" s="1" t="n">
        <v>45696</v>
      </c>
      <c r="D1011" t="inlineStr">
        <is>
          <t>UPPSALA LÄN</t>
        </is>
      </c>
      <c r="E1011" t="inlineStr">
        <is>
          <t>ÖSTHAMMAR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6656-2024</t>
        </is>
      </c>
      <c r="B1012" s="1" t="n">
        <v>45341</v>
      </c>
      <c r="C1012" s="1" t="n">
        <v>45696</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6661-2024</t>
        </is>
      </c>
      <c r="B1013" s="1" t="n">
        <v>45341</v>
      </c>
      <c r="C1013" s="1" t="n">
        <v>45696</v>
      </c>
      <c r="D1013" t="inlineStr">
        <is>
          <t>UPPSALA LÄN</t>
        </is>
      </c>
      <c r="E1013" t="inlineStr">
        <is>
          <t>ÖSTHAMMAR</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8673-2024</t>
        </is>
      </c>
      <c r="B1014" s="1" t="n">
        <v>45356</v>
      </c>
      <c r="C1014" s="1" t="n">
        <v>45696</v>
      </c>
      <c r="D1014" t="inlineStr">
        <is>
          <t>UPPSALA LÄN</t>
        </is>
      </c>
      <c r="E1014" t="inlineStr">
        <is>
          <t>ÖSTHAMMAR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9264-2024</t>
        </is>
      </c>
      <c r="B1015" s="1" t="n">
        <v>45358</v>
      </c>
      <c r="C1015" s="1" t="n">
        <v>45696</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9267-2024</t>
        </is>
      </c>
      <c r="B1016" s="1" t="n">
        <v>45358</v>
      </c>
      <c r="C1016" s="1" t="n">
        <v>45696</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9291-2024</t>
        </is>
      </c>
      <c r="B1017" s="1" t="n">
        <v>45358</v>
      </c>
      <c r="C1017" s="1" t="n">
        <v>45696</v>
      </c>
      <c r="D1017" t="inlineStr">
        <is>
          <t>UPPSALA LÄN</t>
        </is>
      </c>
      <c r="E1017" t="inlineStr">
        <is>
          <t>ÖSTHAMMAR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9642-2024</t>
        </is>
      </c>
      <c r="B1018" s="1" t="n">
        <v>45362</v>
      </c>
      <c r="C1018" s="1" t="n">
        <v>45696</v>
      </c>
      <c r="D1018" t="inlineStr">
        <is>
          <t>UPPSALA LÄN</t>
        </is>
      </c>
      <c r="E1018" t="inlineStr">
        <is>
          <t>ÖSTHAMMAR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9927-2024</t>
        </is>
      </c>
      <c r="B1019" s="1" t="n">
        <v>45363</v>
      </c>
      <c r="C1019" s="1" t="n">
        <v>45696</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10430-2024</t>
        </is>
      </c>
      <c r="B1020" s="1" t="n">
        <v>45365</v>
      </c>
      <c r="C1020" s="1" t="n">
        <v>45696</v>
      </c>
      <c r="D1020" t="inlineStr">
        <is>
          <t>UPPSALA LÄN</t>
        </is>
      </c>
      <c r="E1020" t="inlineStr">
        <is>
          <t>ÖSTHAMMAR</t>
        </is>
      </c>
      <c r="F1020" t="inlineStr">
        <is>
          <t>Bergvik skog öst AB</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10429-2024</t>
        </is>
      </c>
      <c r="B1021" s="1" t="n">
        <v>45365</v>
      </c>
      <c r="C1021" s="1" t="n">
        <v>45696</v>
      </c>
      <c r="D1021" t="inlineStr">
        <is>
          <t>UPPSALA LÄN</t>
        </is>
      </c>
      <c r="E1021" t="inlineStr">
        <is>
          <t>ÖSTHAMMAR</t>
        </is>
      </c>
      <c r="F1021" t="inlineStr">
        <is>
          <t>Bergvik skog öst AB</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10431-2024</t>
        </is>
      </c>
      <c r="B1022" s="1" t="n">
        <v>45365</v>
      </c>
      <c r="C1022" s="1" t="n">
        <v>45696</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10638-2024</t>
        </is>
      </c>
      <c r="B1023" s="1" t="n">
        <v>45367</v>
      </c>
      <c r="C1023" s="1" t="n">
        <v>45696</v>
      </c>
      <c r="D1023" t="inlineStr">
        <is>
          <t>UPPSALA LÄN</t>
        </is>
      </c>
      <c r="E1023" t="inlineStr">
        <is>
          <t>ÖSTHAMMAR</t>
        </is>
      </c>
      <c r="F1023" t="inlineStr">
        <is>
          <t>Bergvik skog öst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10983-2024</t>
        </is>
      </c>
      <c r="B1024" s="1" t="n">
        <v>45370</v>
      </c>
      <c r="C1024" s="1" t="n">
        <v>45696</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10960-2024</t>
        </is>
      </c>
      <c r="B1025" s="1" t="n">
        <v>45370</v>
      </c>
      <c r="C1025" s="1" t="n">
        <v>45696</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11367-2024</t>
        </is>
      </c>
      <c r="B1026" s="1" t="n">
        <v>45372</v>
      </c>
      <c r="C1026" s="1" t="n">
        <v>45696</v>
      </c>
      <c r="D1026" t="inlineStr">
        <is>
          <t>UPPSALA LÄN</t>
        </is>
      </c>
      <c r="E1026" t="inlineStr">
        <is>
          <t>ÖSTHAMMAR</t>
        </is>
      </c>
      <c r="F1026" t="inlineStr">
        <is>
          <t>Bergvik skog öst AB</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11385-2024</t>
        </is>
      </c>
      <c r="B1027" s="1" t="n">
        <v>45372</v>
      </c>
      <c r="C1027" s="1" t="n">
        <v>45696</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11498-2024</t>
        </is>
      </c>
      <c r="B1028" s="1" t="n">
        <v>45372</v>
      </c>
      <c r="C1028" s="1" t="n">
        <v>45696</v>
      </c>
      <c r="D1028" t="inlineStr">
        <is>
          <t>UPPSALA LÄN</t>
        </is>
      </c>
      <c r="E1028" t="inlineStr">
        <is>
          <t>ÖSTHAMMAR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11472-2024</t>
        </is>
      </c>
      <c r="B1029" s="1" t="n">
        <v>45372</v>
      </c>
      <c r="C1029" s="1" t="n">
        <v>45696</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11656-2024</t>
        </is>
      </c>
      <c r="B1030" s="1" t="n">
        <v>45373</v>
      </c>
      <c r="C1030" s="1" t="n">
        <v>45696</v>
      </c>
      <c r="D1030" t="inlineStr">
        <is>
          <t>UPPSALA LÄN</t>
        </is>
      </c>
      <c r="E1030" t="inlineStr">
        <is>
          <t>ÖSTHAMMAR</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11798-2024</t>
        </is>
      </c>
      <c r="B1031" s="1" t="n">
        <v>45375</v>
      </c>
      <c r="C1031" s="1" t="n">
        <v>45696</v>
      </c>
      <c r="D1031" t="inlineStr">
        <is>
          <t>UPPSALA LÄN</t>
        </is>
      </c>
      <c r="E1031" t="inlineStr">
        <is>
          <t>ÖSTHAMMAR</t>
        </is>
      </c>
      <c r="F1031" t="inlineStr">
        <is>
          <t>Bergvik skog öst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11799-2024</t>
        </is>
      </c>
      <c r="B1032" s="1" t="n">
        <v>45375</v>
      </c>
      <c r="C1032" s="1" t="n">
        <v>45696</v>
      </c>
      <c r="D1032" t="inlineStr">
        <is>
          <t>UPPSALA LÄN</t>
        </is>
      </c>
      <c r="E1032" t="inlineStr">
        <is>
          <t>ÖSTHAMMAR</t>
        </is>
      </c>
      <c r="F1032" t="inlineStr">
        <is>
          <t>Bergvik skog öst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12028-2024</t>
        </is>
      </c>
      <c r="B1033" s="1" t="n">
        <v>45377</v>
      </c>
      <c r="C1033" s="1" t="n">
        <v>45696</v>
      </c>
      <c r="D1033" t="inlineStr">
        <is>
          <t>UPPSALA LÄN</t>
        </is>
      </c>
      <c r="E1033" t="inlineStr">
        <is>
          <t>ÖSTHAMMAR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12278-2024</t>
        </is>
      </c>
      <c r="B1034" s="1" t="n">
        <v>45378</v>
      </c>
      <c r="C1034" s="1" t="n">
        <v>45696</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12487-2024</t>
        </is>
      </c>
      <c r="B1035" s="1" t="n">
        <v>45379</v>
      </c>
      <c r="C1035" s="1" t="n">
        <v>45696</v>
      </c>
      <c r="D1035" t="inlineStr">
        <is>
          <t>UPPSALA LÄN</t>
        </is>
      </c>
      <c r="E1035" t="inlineStr">
        <is>
          <t>ÖSTHAMMAR</t>
        </is>
      </c>
      <c r="F1035" t="inlineStr">
        <is>
          <t>Bergvik skog öst AB</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12486-2024</t>
        </is>
      </c>
      <c r="B1036" s="1" t="n">
        <v>45379</v>
      </c>
      <c r="C1036" s="1" t="n">
        <v>45696</v>
      </c>
      <c r="D1036" t="inlineStr">
        <is>
          <t>UPPSALA LÄN</t>
        </is>
      </c>
      <c r="E1036" t="inlineStr">
        <is>
          <t>ÖSTHAMMAR</t>
        </is>
      </c>
      <c r="F1036" t="inlineStr">
        <is>
          <t>Bergvik skog öst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12498-2024</t>
        </is>
      </c>
      <c r="B1037" s="1" t="n">
        <v>45379</v>
      </c>
      <c r="C1037" s="1" t="n">
        <v>45696</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12534-2024</t>
        </is>
      </c>
      <c r="B1038" s="1" t="n">
        <v>45379</v>
      </c>
      <c r="C1038" s="1" t="n">
        <v>45696</v>
      </c>
      <c r="D1038" t="inlineStr">
        <is>
          <t>UPPSALA LÄN</t>
        </is>
      </c>
      <c r="E1038" t="inlineStr">
        <is>
          <t>ÖSTHAMMAR</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12531-2024</t>
        </is>
      </c>
      <c r="B1039" s="1" t="n">
        <v>45379</v>
      </c>
      <c r="C1039" s="1" t="n">
        <v>45696</v>
      </c>
      <c r="D1039" t="inlineStr">
        <is>
          <t>UPPSALA LÄN</t>
        </is>
      </c>
      <c r="E1039" t="inlineStr">
        <is>
          <t>ÖSTHAMMAR</t>
        </is>
      </c>
      <c r="F1039" t="inlineStr">
        <is>
          <t>Bergvik skog öst AB</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12528-2024</t>
        </is>
      </c>
      <c r="B1040" s="1" t="n">
        <v>45379</v>
      </c>
      <c r="C1040" s="1" t="n">
        <v>45696</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12649-2024</t>
        </is>
      </c>
      <c r="B1041" s="1" t="n">
        <v>45384</v>
      </c>
      <c r="C1041" s="1" t="n">
        <v>45696</v>
      </c>
      <c r="D1041" t="inlineStr">
        <is>
          <t>UPPSALA LÄN</t>
        </is>
      </c>
      <c r="E1041" t="inlineStr">
        <is>
          <t>ÖSTHAMMAR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12676-2024</t>
        </is>
      </c>
      <c r="B1042" s="1" t="n">
        <v>45384</v>
      </c>
      <c r="C1042" s="1" t="n">
        <v>45696</v>
      </c>
      <c r="D1042" t="inlineStr">
        <is>
          <t>UPPSALA LÄN</t>
        </is>
      </c>
      <c r="E1042" t="inlineStr">
        <is>
          <t>ÖSTHAMMAR</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45696</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12812-2024</t>
        </is>
      </c>
      <c r="B1044" s="1" t="n">
        <v>45384</v>
      </c>
      <c r="C1044" s="1" t="n">
        <v>45696</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13059-2024</t>
        </is>
      </c>
      <c r="B1045" s="1" t="n">
        <v>45385</v>
      </c>
      <c r="C1045" s="1" t="n">
        <v>45696</v>
      </c>
      <c r="D1045" t="inlineStr">
        <is>
          <t>UPPSALA LÄN</t>
        </is>
      </c>
      <c r="E1045" t="inlineStr">
        <is>
          <t>ÖSTHAMMAR</t>
        </is>
      </c>
      <c r="F1045" t="inlineStr">
        <is>
          <t>Bergvik skog öst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12947-2024</t>
        </is>
      </c>
      <c r="B1046" s="1" t="n">
        <v>45385</v>
      </c>
      <c r="C1046" s="1" t="n">
        <v>45696</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13113-2024</t>
        </is>
      </c>
      <c r="B1047" s="1" t="n">
        <v>45385</v>
      </c>
      <c r="C1047" s="1" t="n">
        <v>45696</v>
      </c>
      <c r="D1047" t="inlineStr">
        <is>
          <t>UPPSALA LÄN</t>
        </is>
      </c>
      <c r="E1047" t="inlineStr">
        <is>
          <t>ÖSTHAMMAR</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13114-2024</t>
        </is>
      </c>
      <c r="B1048" s="1" t="n">
        <v>45385</v>
      </c>
      <c r="C1048" s="1" t="n">
        <v>45696</v>
      </c>
      <c r="D1048" t="inlineStr">
        <is>
          <t>UPPSALA LÄN</t>
        </is>
      </c>
      <c r="E1048" t="inlineStr">
        <is>
          <t>ÖSTHAMMAR</t>
        </is>
      </c>
      <c r="F1048" t="inlineStr">
        <is>
          <t>Bergvik skog öst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13315-2024</t>
        </is>
      </c>
      <c r="B1049" s="1" t="n">
        <v>45386</v>
      </c>
      <c r="C1049" s="1" t="n">
        <v>45696</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13312-2024</t>
        </is>
      </c>
      <c r="B1050" s="1" t="n">
        <v>45386</v>
      </c>
      <c r="C1050" s="1" t="n">
        <v>45696</v>
      </c>
      <c r="D1050" t="inlineStr">
        <is>
          <t>UPPSALA LÄN</t>
        </is>
      </c>
      <c r="E1050" t="inlineStr">
        <is>
          <t>ÖSTHAMMAR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13729-2024</t>
        </is>
      </c>
      <c r="B1051" s="1" t="n">
        <v>45387</v>
      </c>
      <c r="C1051" s="1" t="n">
        <v>45696</v>
      </c>
      <c r="D1051" t="inlineStr">
        <is>
          <t>UPPSALA LÄN</t>
        </is>
      </c>
      <c r="E1051" t="inlineStr">
        <is>
          <t>ÖSTHAMMAR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13358-2024</t>
        </is>
      </c>
      <c r="B1052" s="1" t="n">
        <v>45387</v>
      </c>
      <c r="C1052" s="1" t="n">
        <v>45696</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13393-2024</t>
        </is>
      </c>
      <c r="B1053" s="1" t="n">
        <v>45387</v>
      </c>
      <c r="C1053" s="1" t="n">
        <v>45696</v>
      </c>
      <c r="D1053" t="inlineStr">
        <is>
          <t>UPPSALA LÄN</t>
        </is>
      </c>
      <c r="E1053" t="inlineStr">
        <is>
          <t>ÖSTHAMMAR</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13613-2024</t>
        </is>
      </c>
      <c r="B1054" s="1" t="n">
        <v>45390</v>
      </c>
      <c r="C1054" s="1" t="n">
        <v>45696</v>
      </c>
      <c r="D1054" t="inlineStr">
        <is>
          <t>UPPSALA LÄN</t>
        </is>
      </c>
      <c r="E1054" t="inlineStr">
        <is>
          <t>ÖSTHAMMAR</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13616-2024</t>
        </is>
      </c>
      <c r="B1055" s="1" t="n">
        <v>45390</v>
      </c>
      <c r="C1055" s="1" t="n">
        <v>45696</v>
      </c>
      <c r="D1055" t="inlineStr">
        <is>
          <t>UPPSALA LÄN</t>
        </is>
      </c>
      <c r="E1055" t="inlineStr">
        <is>
          <t>ÖSTHAMMAR</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13615-2024</t>
        </is>
      </c>
      <c r="B1056" s="1" t="n">
        <v>45390</v>
      </c>
      <c r="C1056" s="1" t="n">
        <v>45696</v>
      </c>
      <c r="D1056" t="inlineStr">
        <is>
          <t>UPPSALA LÄN</t>
        </is>
      </c>
      <c r="E1056" t="inlineStr">
        <is>
          <t>ÖSTHAMMAR</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13618-2024</t>
        </is>
      </c>
      <c r="B1057" s="1" t="n">
        <v>45390</v>
      </c>
      <c r="C1057" s="1" t="n">
        <v>45696</v>
      </c>
      <c r="D1057" t="inlineStr">
        <is>
          <t>UPPSALA LÄN</t>
        </is>
      </c>
      <c r="E1057" t="inlineStr">
        <is>
          <t>ÖSTHAMMAR</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13879-2024</t>
        </is>
      </c>
      <c r="B1058" s="1" t="n">
        <v>45391</v>
      </c>
      <c r="C1058" s="1" t="n">
        <v>45696</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13779-2024</t>
        </is>
      </c>
      <c r="B1059" s="1" t="n">
        <v>45391</v>
      </c>
      <c r="C1059" s="1" t="n">
        <v>45696</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14516-2024</t>
        </is>
      </c>
      <c r="B1060" s="1" t="n">
        <v>45394</v>
      </c>
      <c r="C1060" s="1" t="n">
        <v>45696</v>
      </c>
      <c r="D1060" t="inlineStr">
        <is>
          <t>UPPSALA LÄN</t>
        </is>
      </c>
      <c r="E1060" t="inlineStr">
        <is>
          <t>ÖSTHAMMAR</t>
        </is>
      </c>
      <c r="F1060" t="inlineStr">
        <is>
          <t>Bergvik skog öst AB</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14509-2024</t>
        </is>
      </c>
      <c r="B1061" s="1" t="n">
        <v>45394</v>
      </c>
      <c r="C1061" s="1" t="n">
        <v>45696</v>
      </c>
      <c r="D1061" t="inlineStr">
        <is>
          <t>UPPSALA LÄN</t>
        </is>
      </c>
      <c r="E1061" t="inlineStr">
        <is>
          <t>ÖSTHAMMAR</t>
        </is>
      </c>
      <c r="F1061" t="inlineStr">
        <is>
          <t>Naturvårdsverket</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v>
      </c>
      <c r="C1062" s="1" t="n">
        <v>45696</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15165-2024</t>
        </is>
      </c>
      <c r="B1063" s="1" t="n">
        <v>45400</v>
      </c>
      <c r="C1063" s="1" t="n">
        <v>45696</v>
      </c>
      <c r="D1063" t="inlineStr">
        <is>
          <t>UPPSALA LÄN</t>
        </is>
      </c>
      <c r="E1063" t="inlineStr">
        <is>
          <t>ÖSTHAMMAR</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15169-2024</t>
        </is>
      </c>
      <c r="B1064" s="1" t="n">
        <v>45400</v>
      </c>
      <c r="C1064" s="1" t="n">
        <v>45696</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15166-2024</t>
        </is>
      </c>
      <c r="B1065" s="1" t="n">
        <v>45400</v>
      </c>
      <c r="C1065" s="1" t="n">
        <v>45696</v>
      </c>
      <c r="D1065" t="inlineStr">
        <is>
          <t>UPPSALA LÄN</t>
        </is>
      </c>
      <c r="E1065" t="inlineStr">
        <is>
          <t>ÖSTHAMMAR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15575-2024</t>
        </is>
      </c>
      <c r="B1066" s="1" t="n">
        <v>45401</v>
      </c>
      <c r="C1066" s="1" t="n">
        <v>45696</v>
      </c>
      <c r="D1066" t="inlineStr">
        <is>
          <t>UPPSALA LÄN</t>
        </is>
      </c>
      <c r="E1066" t="inlineStr">
        <is>
          <t>ÖSTHAMMAR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16497-2024</t>
        </is>
      </c>
      <c r="B1067" s="1" t="n">
        <v>45408</v>
      </c>
      <c r="C1067" s="1" t="n">
        <v>45696</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16736-2024</t>
        </is>
      </c>
      <c r="B1068" s="1" t="n">
        <v>45410</v>
      </c>
      <c r="C1068" s="1" t="n">
        <v>45696</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16737-2024</t>
        </is>
      </c>
      <c r="B1069" s="1" t="n">
        <v>45410</v>
      </c>
      <c r="C1069" s="1" t="n">
        <v>45696</v>
      </c>
      <c r="D1069" t="inlineStr">
        <is>
          <t>UPPSALA LÄN</t>
        </is>
      </c>
      <c r="E1069" t="inlineStr">
        <is>
          <t>ÖSTHAMMAR</t>
        </is>
      </c>
      <c r="F1069" t="inlineStr">
        <is>
          <t>Bergvik skog öst AB</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16735-2024</t>
        </is>
      </c>
      <c r="B1070" s="1" t="n">
        <v>45410</v>
      </c>
      <c r="C1070" s="1" t="n">
        <v>45696</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16734-2024</t>
        </is>
      </c>
      <c r="B1071" s="1" t="n">
        <v>45410</v>
      </c>
      <c r="C1071" s="1" t="n">
        <v>45696</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16983-2024</t>
        </is>
      </c>
      <c r="B1072" s="1" t="n">
        <v>45412</v>
      </c>
      <c r="C1072" s="1" t="n">
        <v>45696</v>
      </c>
      <c r="D1072" t="inlineStr">
        <is>
          <t>UPPSALA LÄN</t>
        </is>
      </c>
      <c r="E1072" t="inlineStr">
        <is>
          <t>ÖSTHAMMAR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17776-2024</t>
        </is>
      </c>
      <c r="B1073" s="1" t="n">
        <v>45418</v>
      </c>
      <c r="C1073" s="1" t="n">
        <v>45696</v>
      </c>
      <c r="D1073" t="inlineStr">
        <is>
          <t>UPPSALA LÄN</t>
        </is>
      </c>
      <c r="E1073" t="inlineStr">
        <is>
          <t>ÖSTHAMMAR</t>
        </is>
      </c>
      <c r="F1073" t="inlineStr">
        <is>
          <t>Bergvik skog öst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17867-2024</t>
        </is>
      </c>
      <c r="B1074" s="1" t="n">
        <v>45419</v>
      </c>
      <c r="C1074" s="1" t="n">
        <v>45696</v>
      </c>
      <c r="D1074" t="inlineStr">
        <is>
          <t>UPPSALA LÄN</t>
        </is>
      </c>
      <c r="E1074" t="inlineStr">
        <is>
          <t>ÖSTHAMMAR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18693-2024</t>
        </is>
      </c>
      <c r="B1075" s="1" t="n">
        <v>45426</v>
      </c>
      <c r="C1075" s="1" t="n">
        <v>45696</v>
      </c>
      <c r="D1075" t="inlineStr">
        <is>
          <t>UPPSALA LÄN</t>
        </is>
      </c>
      <c r="E1075" t="inlineStr">
        <is>
          <t>ÖSTHAMMAR</t>
        </is>
      </c>
      <c r="F1075" t="inlineStr">
        <is>
          <t>Bergvik skog öst AB</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18691-2024</t>
        </is>
      </c>
      <c r="B1076" s="1" t="n">
        <v>45426</v>
      </c>
      <c r="C1076" s="1" t="n">
        <v>45696</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18705-2024</t>
        </is>
      </c>
      <c r="B1077" s="1" t="n">
        <v>45426</v>
      </c>
      <c r="C1077" s="1" t="n">
        <v>45696</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19056-2024</t>
        </is>
      </c>
      <c r="B1078" s="1" t="n">
        <v>45427</v>
      </c>
      <c r="C1078" s="1" t="n">
        <v>45696</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18956-2024</t>
        </is>
      </c>
      <c r="B1079" s="1" t="n">
        <v>45427</v>
      </c>
      <c r="C1079" s="1" t="n">
        <v>45696</v>
      </c>
      <c r="D1079" t="inlineStr">
        <is>
          <t>UPPSALA LÄN</t>
        </is>
      </c>
      <c r="E1079" t="inlineStr">
        <is>
          <t>ÖSTHAMMAR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19375-2024</t>
        </is>
      </c>
      <c r="B1080" s="1" t="n">
        <v>45429</v>
      </c>
      <c r="C1080" s="1" t="n">
        <v>45696</v>
      </c>
      <c r="D1080" t="inlineStr">
        <is>
          <t>UPPSALA LÄN</t>
        </is>
      </c>
      <c r="E1080" t="inlineStr">
        <is>
          <t>ÖSTHAMMAR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19662-2024</t>
        </is>
      </c>
      <c r="B1081" s="1" t="n">
        <v>45432</v>
      </c>
      <c r="C1081" s="1" t="n">
        <v>45696</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19667-2024</t>
        </is>
      </c>
      <c r="B1082" s="1" t="n">
        <v>45432</v>
      </c>
      <c r="C1082" s="1" t="n">
        <v>45696</v>
      </c>
      <c r="D1082" t="inlineStr">
        <is>
          <t>UPPSALA LÄN</t>
        </is>
      </c>
      <c r="E1082" t="inlineStr">
        <is>
          <t>ÖSTHAMMAR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19908-2024</t>
        </is>
      </c>
      <c r="B1083" s="1" t="n">
        <v>45433</v>
      </c>
      <c r="C1083" s="1" t="n">
        <v>45696</v>
      </c>
      <c r="D1083" t="inlineStr">
        <is>
          <t>UPPSALA LÄN</t>
        </is>
      </c>
      <c r="E1083" t="inlineStr">
        <is>
          <t>ÖSTHAMMAR</t>
        </is>
      </c>
      <c r="F1083" t="inlineStr">
        <is>
          <t>Bergvik skog öst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19950-2024</t>
        </is>
      </c>
      <c r="B1084" s="1" t="n">
        <v>45433</v>
      </c>
      <c r="C1084" s="1" t="n">
        <v>45696</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45696</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19945-2024</t>
        </is>
      </c>
      <c r="B1086" s="1" t="n">
        <v>45433</v>
      </c>
      <c r="C1086" s="1" t="n">
        <v>45696</v>
      </c>
      <c r="D1086" t="inlineStr">
        <is>
          <t>UPPSALA LÄN</t>
        </is>
      </c>
      <c r="E1086" t="inlineStr">
        <is>
          <t>ÖSTHAMMAR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20316-2024</t>
        </is>
      </c>
      <c r="B1087" s="1" t="n">
        <v>45435</v>
      </c>
      <c r="C1087" s="1" t="n">
        <v>45696</v>
      </c>
      <c r="D1087" t="inlineStr">
        <is>
          <t>UPPSALA LÄN</t>
        </is>
      </c>
      <c r="E1087" t="inlineStr">
        <is>
          <t>ÖSTHAMMAR</t>
        </is>
      </c>
      <c r="F1087" t="inlineStr">
        <is>
          <t>Bergvik skog öst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20419-2024</t>
        </is>
      </c>
      <c r="B1088" s="1" t="n">
        <v>45435</v>
      </c>
      <c r="C1088" s="1" t="n">
        <v>45696</v>
      </c>
      <c r="D1088" t="inlineStr">
        <is>
          <t>UPPSALA LÄN</t>
        </is>
      </c>
      <c r="E1088" t="inlineStr">
        <is>
          <t>ÖSTHAMMAR</t>
        </is>
      </c>
      <c r="F1088" t="inlineStr">
        <is>
          <t>Bergvik skog öst AB</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20634-2024</t>
        </is>
      </c>
      <c r="B1089" s="1" t="n">
        <v>45436</v>
      </c>
      <c r="C1089" s="1" t="n">
        <v>45696</v>
      </c>
      <c r="D1089" t="inlineStr">
        <is>
          <t>UPPSALA LÄN</t>
        </is>
      </c>
      <c r="E1089" t="inlineStr">
        <is>
          <t>ÖSTHAMMAR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21231-2024</t>
        </is>
      </c>
      <c r="B1090" s="1" t="n">
        <v>45440</v>
      </c>
      <c r="C1090" s="1" t="n">
        <v>45696</v>
      </c>
      <c r="D1090" t="inlineStr">
        <is>
          <t>UPPSALA LÄN</t>
        </is>
      </c>
      <c r="E1090" t="inlineStr">
        <is>
          <t>ÖSTHAMMAR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21424-2024</t>
        </is>
      </c>
      <c r="B1091" s="1" t="n">
        <v>45441</v>
      </c>
      <c r="C1091" s="1" t="n">
        <v>45696</v>
      </c>
      <c r="D1091" t="inlineStr">
        <is>
          <t>UPPSALA LÄN</t>
        </is>
      </c>
      <c r="E1091" t="inlineStr">
        <is>
          <t>ÖSTHAMMAR</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21413-2024</t>
        </is>
      </c>
      <c r="B1092" s="1" t="n">
        <v>45441</v>
      </c>
      <c r="C1092" s="1" t="n">
        <v>45696</v>
      </c>
      <c r="D1092" t="inlineStr">
        <is>
          <t>UPPSALA LÄN</t>
        </is>
      </c>
      <c r="E1092" t="inlineStr">
        <is>
          <t>ÖSTHAMMAR</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21547-2024</t>
        </is>
      </c>
      <c r="B1093" s="1" t="n">
        <v>45441</v>
      </c>
      <c r="C1093" s="1" t="n">
        <v>45696</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21505-2024</t>
        </is>
      </c>
      <c r="B1094" s="1" t="n">
        <v>45441</v>
      </c>
      <c r="C1094" s="1" t="n">
        <v>45696</v>
      </c>
      <c r="D1094" t="inlineStr">
        <is>
          <t>UPPSALA LÄN</t>
        </is>
      </c>
      <c r="E1094" t="inlineStr">
        <is>
          <t>ÖSTHAMMAR</t>
        </is>
      </c>
      <c r="F1094" t="inlineStr">
        <is>
          <t>Bergvik skog öst AB</t>
        </is>
      </c>
      <c r="G1094" t="n">
        <v>21.7</v>
      </c>
      <c r="H1094" t="n">
        <v>0</v>
      </c>
      <c r="I1094" t="n">
        <v>0</v>
      </c>
      <c r="J1094" t="n">
        <v>0</v>
      </c>
      <c r="K1094" t="n">
        <v>0</v>
      </c>
      <c r="L1094" t="n">
        <v>0</v>
      </c>
      <c r="M1094" t="n">
        <v>0</v>
      </c>
      <c r="N1094" t="n">
        <v>0</v>
      </c>
      <c r="O1094" t="n">
        <v>0</v>
      </c>
      <c r="P1094" t="n">
        <v>0</v>
      </c>
      <c r="Q1094" t="n">
        <v>0</v>
      </c>
      <c r="R1094" s="2" t="inlineStr"/>
    </row>
    <row r="1095" ht="15" customHeight="1">
      <c r="A1095" t="inlineStr">
        <is>
          <t>A 21655-2024</t>
        </is>
      </c>
      <c r="B1095" s="1" t="n">
        <v>45442</v>
      </c>
      <c r="C1095" s="1" t="n">
        <v>45696</v>
      </c>
      <c r="D1095" t="inlineStr">
        <is>
          <t>UPPSALA LÄN</t>
        </is>
      </c>
      <c r="E1095" t="inlineStr">
        <is>
          <t>ÖSTHAMMAR</t>
        </is>
      </c>
      <c r="F1095" t="inlineStr">
        <is>
          <t>Bergvik skog öst AB</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22057-2024</t>
        </is>
      </c>
      <c r="B1096" s="1" t="n">
        <v>45443</v>
      </c>
      <c r="C1096" s="1" t="n">
        <v>45696</v>
      </c>
      <c r="D1096" t="inlineStr">
        <is>
          <t>UPPSALA LÄN</t>
        </is>
      </c>
      <c r="E1096" t="inlineStr">
        <is>
          <t>ÖSTHAMMAR</t>
        </is>
      </c>
      <c r="F1096" t="inlineStr">
        <is>
          <t>Bergvik skog öst AB</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22217-2024</t>
        </is>
      </c>
      <c r="B1097" s="1" t="n">
        <v>45446</v>
      </c>
      <c r="C1097" s="1" t="n">
        <v>45696</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22372-2024</t>
        </is>
      </c>
      <c r="B1098" s="1" t="n">
        <v>45446</v>
      </c>
      <c r="C1098" s="1" t="n">
        <v>45696</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22373-2024</t>
        </is>
      </c>
      <c r="B1099" s="1" t="n">
        <v>45446</v>
      </c>
      <c r="C1099" s="1" t="n">
        <v>45696</v>
      </c>
      <c r="D1099" t="inlineStr">
        <is>
          <t>UPPSALA LÄN</t>
        </is>
      </c>
      <c r="E1099" t="inlineStr">
        <is>
          <t>ÖSTHAMMAR</t>
        </is>
      </c>
      <c r="F1099" t="inlineStr">
        <is>
          <t>Bergvik skog öst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22371-2024</t>
        </is>
      </c>
      <c r="B1100" s="1" t="n">
        <v>45446</v>
      </c>
      <c r="C1100" s="1" t="n">
        <v>45696</v>
      </c>
      <c r="D1100" t="inlineStr">
        <is>
          <t>UPPSALA LÄN</t>
        </is>
      </c>
      <c r="E1100" t="inlineStr">
        <is>
          <t>ÖSTHAMMAR</t>
        </is>
      </c>
      <c r="F1100" t="inlineStr">
        <is>
          <t>Bergvik skog öst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22884-2024</t>
        </is>
      </c>
      <c r="B1101" s="1" t="n">
        <v>45448</v>
      </c>
      <c r="C1101" s="1" t="n">
        <v>45696</v>
      </c>
      <c r="D1101" t="inlineStr">
        <is>
          <t>UPPSALA LÄN</t>
        </is>
      </c>
      <c r="E1101" t="inlineStr">
        <is>
          <t>ÖSTHAMMAR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22725-2024</t>
        </is>
      </c>
      <c r="B1102" s="1" t="n">
        <v>45448</v>
      </c>
      <c r="C1102" s="1" t="n">
        <v>45696</v>
      </c>
      <c r="D1102" t="inlineStr">
        <is>
          <t>UPPSALA LÄN</t>
        </is>
      </c>
      <c r="E1102" t="inlineStr">
        <is>
          <t>ÖSTHAMMAR</t>
        </is>
      </c>
      <c r="F1102" t="inlineStr">
        <is>
          <t>Bergvik skog öst AB</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22915-2024</t>
        </is>
      </c>
      <c r="B1103" s="1" t="n">
        <v>45448</v>
      </c>
      <c r="C1103" s="1" t="n">
        <v>45696</v>
      </c>
      <c r="D1103" t="inlineStr">
        <is>
          <t>UPPSALA LÄN</t>
        </is>
      </c>
      <c r="E1103" t="inlineStr">
        <is>
          <t>ÖSTHAMMAR</t>
        </is>
      </c>
      <c r="F1103" t="inlineStr">
        <is>
          <t>Bergvik skog öst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22919-2024</t>
        </is>
      </c>
      <c r="B1104" s="1" t="n">
        <v>45448</v>
      </c>
      <c r="C1104" s="1" t="n">
        <v>45696</v>
      </c>
      <c r="D1104" t="inlineStr">
        <is>
          <t>UPPSALA LÄN</t>
        </is>
      </c>
      <c r="E1104" t="inlineStr">
        <is>
          <t>ÖSTHAMMAR</t>
        </is>
      </c>
      <c r="F1104" t="inlineStr">
        <is>
          <t>Bergvik skog öst AB</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23652-2024</t>
        </is>
      </c>
      <c r="B1105" s="1" t="n">
        <v>45454</v>
      </c>
      <c r="C1105" s="1" t="n">
        <v>45696</v>
      </c>
      <c r="D1105" t="inlineStr">
        <is>
          <t>UPPSALA LÄN</t>
        </is>
      </c>
      <c r="E1105" t="inlineStr">
        <is>
          <t>ÖSTHAMMAR</t>
        </is>
      </c>
      <c r="F1105" t="inlineStr">
        <is>
          <t>Bergvik skog öst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23740-2024</t>
        </is>
      </c>
      <c r="B1106" s="1" t="n">
        <v>45455</v>
      </c>
      <c r="C1106" s="1" t="n">
        <v>45696</v>
      </c>
      <c r="D1106" t="inlineStr">
        <is>
          <t>UPPSALA LÄN</t>
        </is>
      </c>
      <c r="E1106" t="inlineStr">
        <is>
          <t>ÖSTHAMMAR</t>
        </is>
      </c>
      <c r="F1106" t="inlineStr">
        <is>
          <t>Bergvik skog öst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23742-2024</t>
        </is>
      </c>
      <c r="B1107" s="1" t="n">
        <v>45455</v>
      </c>
      <c r="C1107" s="1" t="n">
        <v>45696</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23741-2024</t>
        </is>
      </c>
      <c r="B1108" s="1" t="n">
        <v>45455</v>
      </c>
      <c r="C1108" s="1" t="n">
        <v>45696</v>
      </c>
      <c r="D1108" t="inlineStr">
        <is>
          <t>UPPSALA LÄN</t>
        </is>
      </c>
      <c r="E1108" t="inlineStr">
        <is>
          <t>ÖSTHAMMAR</t>
        </is>
      </c>
      <c r="F1108" t="inlineStr">
        <is>
          <t>Bergvik skog öst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24160-2024</t>
        </is>
      </c>
      <c r="B1109" s="1" t="n">
        <v>45456</v>
      </c>
      <c r="C1109" s="1" t="n">
        <v>45696</v>
      </c>
      <c r="D1109" t="inlineStr">
        <is>
          <t>UPPSALA LÄN</t>
        </is>
      </c>
      <c r="E1109" t="inlineStr">
        <is>
          <t>ÖSTHAMMAR</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24161-2024</t>
        </is>
      </c>
      <c r="B1110" s="1" t="n">
        <v>45456</v>
      </c>
      <c r="C1110" s="1" t="n">
        <v>45696</v>
      </c>
      <c r="D1110" t="inlineStr">
        <is>
          <t>UPPSALA LÄN</t>
        </is>
      </c>
      <c r="E1110" t="inlineStr">
        <is>
          <t>ÖSTHAMMAR</t>
        </is>
      </c>
      <c r="F1110" t="inlineStr">
        <is>
          <t>Bergvik skog öst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24472-2024</t>
        </is>
      </c>
      <c r="B1111" s="1" t="n">
        <v>45458</v>
      </c>
      <c r="C1111" s="1" t="n">
        <v>45696</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24476-2024</t>
        </is>
      </c>
      <c r="B1112" s="1" t="n">
        <v>45458</v>
      </c>
      <c r="C1112" s="1" t="n">
        <v>45696</v>
      </c>
      <c r="D1112" t="inlineStr">
        <is>
          <t>UPPSALA LÄN</t>
        </is>
      </c>
      <c r="E1112" t="inlineStr">
        <is>
          <t>ÖSTHAMMAR</t>
        </is>
      </c>
      <c r="F1112" t="inlineStr">
        <is>
          <t>Bergvik skog öst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24471-2024</t>
        </is>
      </c>
      <c r="B1113" s="1" t="n">
        <v>45458</v>
      </c>
      <c r="C1113" s="1" t="n">
        <v>45696</v>
      </c>
      <c r="D1113" t="inlineStr">
        <is>
          <t>UPPSALA LÄN</t>
        </is>
      </c>
      <c r="E1113" t="inlineStr">
        <is>
          <t>ÖSTHAMMAR</t>
        </is>
      </c>
      <c r="F1113" t="inlineStr">
        <is>
          <t>Bergvik skog öst AB</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24475-2024</t>
        </is>
      </c>
      <c r="B1114" s="1" t="n">
        <v>45458</v>
      </c>
      <c r="C1114" s="1" t="n">
        <v>45696</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24770-2024</t>
        </is>
      </c>
      <c r="B1115" s="1" t="n">
        <v>45460</v>
      </c>
      <c r="C1115" s="1" t="n">
        <v>45696</v>
      </c>
      <c r="D1115" t="inlineStr">
        <is>
          <t>UPPSALA LÄN</t>
        </is>
      </c>
      <c r="E1115" t="inlineStr">
        <is>
          <t>ÖSTHAMMAR</t>
        </is>
      </c>
      <c r="F1115" t="inlineStr">
        <is>
          <t>Bergvik skog öst AB</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24747-2024</t>
        </is>
      </c>
      <c r="B1116" s="1" t="n">
        <v>45460</v>
      </c>
      <c r="C1116" s="1" t="n">
        <v>45696</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24588-2024</t>
        </is>
      </c>
      <c r="B1117" s="1" t="n">
        <v>45460</v>
      </c>
      <c r="C1117" s="1" t="n">
        <v>45696</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24606-2024</t>
        </is>
      </c>
      <c r="B1118" s="1" t="n">
        <v>45460</v>
      </c>
      <c r="C1118" s="1" t="n">
        <v>45696</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24560-2024</t>
        </is>
      </c>
      <c r="B1119" s="1" t="n">
        <v>45460</v>
      </c>
      <c r="C1119" s="1" t="n">
        <v>45696</v>
      </c>
      <c r="D1119" t="inlineStr">
        <is>
          <t>UPPSALA LÄN</t>
        </is>
      </c>
      <c r="E1119" t="inlineStr">
        <is>
          <t>ÖSTHAMMAR</t>
        </is>
      </c>
      <c r="F1119" t="inlineStr">
        <is>
          <t>Bergvik skog öst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24589-2024</t>
        </is>
      </c>
      <c r="B1120" s="1" t="n">
        <v>45460</v>
      </c>
      <c r="C1120" s="1" t="n">
        <v>45696</v>
      </c>
      <c r="D1120" t="inlineStr">
        <is>
          <t>UPPSALA LÄN</t>
        </is>
      </c>
      <c r="E1120" t="inlineStr">
        <is>
          <t>ÖSTHAMMAR</t>
        </is>
      </c>
      <c r="F1120" t="inlineStr">
        <is>
          <t>Bergvik skog öst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24853-2024</t>
        </is>
      </c>
      <c r="B1121" s="1" t="n">
        <v>45461</v>
      </c>
      <c r="C1121" s="1" t="n">
        <v>45696</v>
      </c>
      <c r="D1121" t="inlineStr">
        <is>
          <t>UPPSALA LÄN</t>
        </is>
      </c>
      <c r="E1121" t="inlineStr">
        <is>
          <t>ÖSTHAMMAR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25289-2024</t>
        </is>
      </c>
      <c r="B1122" s="1" t="n">
        <v>45462</v>
      </c>
      <c r="C1122" s="1" t="n">
        <v>45696</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25269-2024</t>
        </is>
      </c>
      <c r="B1123" s="1" t="n">
        <v>45462</v>
      </c>
      <c r="C1123" s="1" t="n">
        <v>45696</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25252-2024</t>
        </is>
      </c>
      <c r="B1124" s="1" t="n">
        <v>45462</v>
      </c>
      <c r="C1124" s="1" t="n">
        <v>45696</v>
      </c>
      <c r="D1124" t="inlineStr">
        <is>
          <t>UPPSALA LÄN</t>
        </is>
      </c>
      <c r="E1124" t="inlineStr">
        <is>
          <t>ÖSTHAMMAR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25772-2024</t>
        </is>
      </c>
      <c r="B1125" s="1" t="n">
        <v>45466</v>
      </c>
      <c r="C1125" s="1" t="n">
        <v>45696</v>
      </c>
      <c r="D1125" t="inlineStr">
        <is>
          <t>UPPSALA LÄN</t>
        </is>
      </c>
      <c r="E1125" t="inlineStr">
        <is>
          <t>ÖSTHAMMAR</t>
        </is>
      </c>
      <c r="F1125" t="inlineStr">
        <is>
          <t>Bergvik skog öst AB</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25770-2024</t>
        </is>
      </c>
      <c r="B1126" s="1" t="n">
        <v>45466</v>
      </c>
      <c r="C1126" s="1" t="n">
        <v>45696</v>
      </c>
      <c r="D1126" t="inlineStr">
        <is>
          <t>UPPSALA LÄN</t>
        </is>
      </c>
      <c r="E1126" t="inlineStr">
        <is>
          <t>ÖSTHAMMAR</t>
        </is>
      </c>
      <c r="F1126" t="inlineStr">
        <is>
          <t>Bergvik skog öst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25771-2024</t>
        </is>
      </c>
      <c r="B1127" s="1" t="n">
        <v>45466</v>
      </c>
      <c r="C1127" s="1" t="n">
        <v>45696</v>
      </c>
      <c r="D1127" t="inlineStr">
        <is>
          <t>UPPSALA LÄN</t>
        </is>
      </c>
      <c r="E1127" t="inlineStr">
        <is>
          <t>ÖSTHAMMAR</t>
        </is>
      </c>
      <c r="F1127" t="inlineStr">
        <is>
          <t>Bergvik skog öst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25938-2024</t>
        </is>
      </c>
      <c r="B1128" s="1" t="n">
        <v>45467</v>
      </c>
      <c r="C1128" s="1" t="n">
        <v>45696</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25859-2024</t>
        </is>
      </c>
      <c r="B1129" s="1" t="n">
        <v>45467</v>
      </c>
      <c r="C1129" s="1" t="n">
        <v>45696</v>
      </c>
      <c r="D1129" t="inlineStr">
        <is>
          <t>UPPSALA LÄN</t>
        </is>
      </c>
      <c r="E1129" t="inlineStr">
        <is>
          <t>ÖSTHAMMAR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25953-2024</t>
        </is>
      </c>
      <c r="B1130" s="1" t="n">
        <v>45467</v>
      </c>
      <c r="C1130" s="1" t="n">
        <v>45696</v>
      </c>
      <c r="D1130" t="inlineStr">
        <is>
          <t>UPPSALA LÄN</t>
        </is>
      </c>
      <c r="E1130" t="inlineStr">
        <is>
          <t>ÖSTHAMMAR</t>
        </is>
      </c>
      <c r="F1130" t="inlineStr">
        <is>
          <t>Bergvik skog öst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26303-2024</t>
        </is>
      </c>
      <c r="B1131" s="1" t="n">
        <v>45468</v>
      </c>
      <c r="C1131" s="1" t="n">
        <v>45696</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26305-2024</t>
        </is>
      </c>
      <c r="B1132" s="1" t="n">
        <v>45468</v>
      </c>
      <c r="C1132" s="1" t="n">
        <v>45696</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26272-2024</t>
        </is>
      </c>
      <c r="B1133" s="1" t="n">
        <v>45468</v>
      </c>
      <c r="C1133" s="1" t="n">
        <v>45696</v>
      </c>
      <c r="D1133" t="inlineStr">
        <is>
          <t>UPPSALA LÄN</t>
        </is>
      </c>
      <c r="E1133" t="inlineStr">
        <is>
          <t>ÖSTHAMMAR</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26426-2024</t>
        </is>
      </c>
      <c r="B1134" s="1" t="n">
        <v>45469</v>
      </c>
      <c r="C1134" s="1" t="n">
        <v>45696</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26436-2024</t>
        </is>
      </c>
      <c r="B1135" s="1" t="n">
        <v>45469</v>
      </c>
      <c r="C1135" s="1" t="n">
        <v>45696</v>
      </c>
      <c r="D1135" t="inlineStr">
        <is>
          <t>UPPSALA LÄN</t>
        </is>
      </c>
      <c r="E1135" t="inlineStr">
        <is>
          <t>ÖSTHAMMAR</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26983-2024</t>
        </is>
      </c>
      <c r="B1136" s="1" t="n">
        <v>45471</v>
      </c>
      <c r="C1136" s="1" t="n">
        <v>45696</v>
      </c>
      <c r="D1136" t="inlineStr">
        <is>
          <t>UPPSALA LÄN</t>
        </is>
      </c>
      <c r="E1136" t="inlineStr">
        <is>
          <t>ÖSTHAMMAR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27534-2024</t>
        </is>
      </c>
      <c r="B1137" s="1" t="n">
        <v>45474</v>
      </c>
      <c r="C1137" s="1" t="n">
        <v>45696</v>
      </c>
      <c r="D1137" t="inlineStr">
        <is>
          <t>UPPSALA LÄN</t>
        </is>
      </c>
      <c r="E1137" t="inlineStr">
        <is>
          <t>ÖSTHAMMAR</t>
        </is>
      </c>
      <c r="F1137" t="inlineStr">
        <is>
          <t>Bergvik skog öst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27748-2024</t>
        </is>
      </c>
      <c r="B1138" s="1" t="n">
        <v>45475</v>
      </c>
      <c r="C1138" s="1" t="n">
        <v>45696</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28151-2024</t>
        </is>
      </c>
      <c r="B1139" s="1" t="n">
        <v>45476</v>
      </c>
      <c r="C1139" s="1" t="n">
        <v>45696</v>
      </c>
      <c r="D1139" t="inlineStr">
        <is>
          <t>UPPSALA LÄN</t>
        </is>
      </c>
      <c r="E1139" t="inlineStr">
        <is>
          <t>ÖSTHAMMAR</t>
        </is>
      </c>
      <c r="F1139" t="inlineStr">
        <is>
          <t>Bergvik skog öst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28152-2024</t>
        </is>
      </c>
      <c r="B1140" s="1" t="n">
        <v>45476</v>
      </c>
      <c r="C1140" s="1" t="n">
        <v>45696</v>
      </c>
      <c r="D1140" t="inlineStr">
        <is>
          <t>UPPSALA LÄN</t>
        </is>
      </c>
      <c r="E1140" t="inlineStr">
        <is>
          <t>ÖSTHAMMAR</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28154-2024</t>
        </is>
      </c>
      <c r="B1141" s="1" t="n">
        <v>45476</v>
      </c>
      <c r="C1141" s="1" t="n">
        <v>45696</v>
      </c>
      <c r="D1141" t="inlineStr">
        <is>
          <t>UPPSALA LÄN</t>
        </is>
      </c>
      <c r="E1141" t="inlineStr">
        <is>
          <t>ÖSTHAMMAR</t>
        </is>
      </c>
      <c r="F1141" t="inlineStr">
        <is>
          <t>Bergvik skog öst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28153-2024</t>
        </is>
      </c>
      <c r="B1142" s="1" t="n">
        <v>45476</v>
      </c>
      <c r="C1142" s="1" t="n">
        <v>45696</v>
      </c>
      <c r="D1142" t="inlineStr">
        <is>
          <t>UPPSALA LÄN</t>
        </is>
      </c>
      <c r="E1142" t="inlineStr">
        <is>
          <t>ÖSTHAMMAR</t>
        </is>
      </c>
      <c r="F1142" t="inlineStr">
        <is>
          <t>Bergvik skog öst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28914-2024</t>
        </is>
      </c>
      <c r="B1143" s="1" t="n">
        <v>45480</v>
      </c>
      <c r="C1143" s="1" t="n">
        <v>45696</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28915-2024</t>
        </is>
      </c>
      <c r="B1144" s="1" t="n">
        <v>45480</v>
      </c>
      <c r="C1144" s="1" t="n">
        <v>45696</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29230-2024</t>
        </is>
      </c>
      <c r="B1145" s="1" t="n">
        <v>45482</v>
      </c>
      <c r="C1145" s="1" t="n">
        <v>45696</v>
      </c>
      <c r="D1145" t="inlineStr">
        <is>
          <t>UPPSALA LÄN</t>
        </is>
      </c>
      <c r="E1145" t="inlineStr">
        <is>
          <t>ÖSTHAMMAR</t>
        </is>
      </c>
      <c r="F1145" t="inlineStr">
        <is>
          <t>Bergvik skog öst AB</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29231-2024</t>
        </is>
      </c>
      <c r="B1146" s="1" t="n">
        <v>45482</v>
      </c>
      <c r="C1146" s="1" t="n">
        <v>45696</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29438-2024</t>
        </is>
      </c>
      <c r="B1147" s="1" t="n">
        <v>45483</v>
      </c>
      <c r="C1147" s="1" t="n">
        <v>45696</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29823-2024</t>
        </is>
      </c>
      <c r="B1148" s="1" t="n">
        <v>45485</v>
      </c>
      <c r="C1148" s="1" t="n">
        <v>45696</v>
      </c>
      <c r="D1148" t="inlineStr">
        <is>
          <t>UPPSALA LÄN</t>
        </is>
      </c>
      <c r="E1148" t="inlineStr">
        <is>
          <t>ÖSTHAMMAR</t>
        </is>
      </c>
      <c r="F1148" t="inlineStr">
        <is>
          <t>Bergvik skog öst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30605-2024</t>
        </is>
      </c>
      <c r="B1149" s="1" t="n">
        <v>45494</v>
      </c>
      <c r="C1149" s="1" t="n">
        <v>45696</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30604-2024</t>
        </is>
      </c>
      <c r="B1150" s="1" t="n">
        <v>45494</v>
      </c>
      <c r="C1150" s="1" t="n">
        <v>45696</v>
      </c>
      <c r="D1150" t="inlineStr">
        <is>
          <t>UPPSALA LÄN</t>
        </is>
      </c>
      <c r="E1150" t="inlineStr">
        <is>
          <t>ÖSTHAMMAR</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30756-2024</t>
        </is>
      </c>
      <c r="B1151" s="1" t="n">
        <v>45496</v>
      </c>
      <c r="C1151" s="1" t="n">
        <v>45696</v>
      </c>
      <c r="D1151" t="inlineStr">
        <is>
          <t>UPPSALA LÄN</t>
        </is>
      </c>
      <c r="E1151" t="inlineStr">
        <is>
          <t>ÖSTHAMMAR</t>
        </is>
      </c>
      <c r="F1151" t="inlineStr">
        <is>
          <t>Bergvik skog öst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30755-2024</t>
        </is>
      </c>
      <c r="B1152" s="1" t="n">
        <v>45496</v>
      </c>
      <c r="C1152" s="1" t="n">
        <v>45696</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30972-2024</t>
        </is>
      </c>
      <c r="B1153" s="1" t="n">
        <v>45499</v>
      </c>
      <c r="C1153" s="1" t="n">
        <v>45696</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30973-2024</t>
        </is>
      </c>
      <c r="B1154" s="1" t="n">
        <v>45499</v>
      </c>
      <c r="C1154" s="1" t="n">
        <v>45696</v>
      </c>
      <c r="D1154" t="inlineStr">
        <is>
          <t>UPPSALA LÄN</t>
        </is>
      </c>
      <c r="E1154" t="inlineStr">
        <is>
          <t>ÖSTHAMMAR</t>
        </is>
      </c>
      <c r="F1154" t="inlineStr">
        <is>
          <t>Bergvik skog öst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32190-2024</t>
        </is>
      </c>
      <c r="B1155" s="1" t="n">
        <v>45511</v>
      </c>
      <c r="C1155" s="1" t="n">
        <v>45696</v>
      </c>
      <c r="D1155" t="inlineStr">
        <is>
          <t>UPPSALA LÄN</t>
        </is>
      </c>
      <c r="E1155" t="inlineStr">
        <is>
          <t>ÖSTHAMMAR</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32192-2024</t>
        </is>
      </c>
      <c r="B1156" s="1" t="n">
        <v>45511</v>
      </c>
      <c r="C1156" s="1" t="n">
        <v>45696</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32193-2024</t>
        </is>
      </c>
      <c r="B1157" s="1" t="n">
        <v>45511</v>
      </c>
      <c r="C1157" s="1" t="n">
        <v>45696</v>
      </c>
      <c r="D1157" t="inlineStr">
        <is>
          <t>UPPSALA LÄN</t>
        </is>
      </c>
      <c r="E1157" t="inlineStr">
        <is>
          <t>ÖSTHAMMAR</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32476-2024</t>
        </is>
      </c>
      <c r="B1158" s="1" t="n">
        <v>45513</v>
      </c>
      <c r="C1158" s="1" t="n">
        <v>45696</v>
      </c>
      <c r="D1158" t="inlineStr">
        <is>
          <t>UPPSALA LÄN</t>
        </is>
      </c>
      <c r="E1158" t="inlineStr">
        <is>
          <t>ÖSTHAMMAR</t>
        </is>
      </c>
      <c r="F1158" t="inlineStr">
        <is>
          <t>Bergvik skog öst AB</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32483-2024</t>
        </is>
      </c>
      <c r="B1159" s="1" t="n">
        <v>45513</v>
      </c>
      <c r="C1159" s="1" t="n">
        <v>45696</v>
      </c>
      <c r="D1159" t="inlineStr">
        <is>
          <t>UPPSALA LÄN</t>
        </is>
      </c>
      <c r="E1159" t="inlineStr">
        <is>
          <t>ÖSTHAMMAR</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32878-2024</t>
        </is>
      </c>
      <c r="B1160" s="1" t="n">
        <v>45516</v>
      </c>
      <c r="C1160" s="1" t="n">
        <v>45696</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32815-2024</t>
        </is>
      </c>
      <c r="B1161" s="1" t="n">
        <v>45516</v>
      </c>
      <c r="C1161" s="1" t="n">
        <v>45696</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32884-2024</t>
        </is>
      </c>
      <c r="B1162" s="1" t="n">
        <v>45516</v>
      </c>
      <c r="C1162" s="1" t="n">
        <v>45696</v>
      </c>
      <c r="D1162" t="inlineStr">
        <is>
          <t>UPPSALA LÄN</t>
        </is>
      </c>
      <c r="E1162" t="inlineStr">
        <is>
          <t>ÖSTHAMMAR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32928-2024</t>
        </is>
      </c>
      <c r="B1163" s="1" t="n">
        <v>45517</v>
      </c>
      <c r="C1163" s="1" t="n">
        <v>45696</v>
      </c>
      <c r="D1163" t="inlineStr">
        <is>
          <t>UPPSALA LÄN</t>
        </is>
      </c>
      <c r="E1163" t="inlineStr">
        <is>
          <t>ÖSTHAMMAR</t>
        </is>
      </c>
      <c r="F1163" t="inlineStr">
        <is>
          <t>Bergvik skog öst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32967-2024</t>
        </is>
      </c>
      <c r="B1164" s="1" t="n">
        <v>45517</v>
      </c>
      <c r="C1164" s="1" t="n">
        <v>45696</v>
      </c>
      <c r="D1164" t="inlineStr">
        <is>
          <t>UPPSALA LÄN</t>
        </is>
      </c>
      <c r="E1164" t="inlineStr">
        <is>
          <t>ÖSTHAMMAR</t>
        </is>
      </c>
      <c r="F1164" t="inlineStr">
        <is>
          <t>Kyrkan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33445-2024</t>
        </is>
      </c>
      <c r="B1165" s="1" t="n">
        <v>45519</v>
      </c>
      <c r="C1165" s="1" t="n">
        <v>45696</v>
      </c>
      <c r="D1165" t="inlineStr">
        <is>
          <t>UPPSALA LÄN</t>
        </is>
      </c>
      <c r="E1165" t="inlineStr">
        <is>
          <t>ÖSTHAMMAR</t>
        </is>
      </c>
      <c r="F1165" t="inlineStr">
        <is>
          <t>Bergvik skog öst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33550-2024</t>
        </is>
      </c>
      <c r="B1166" s="1" t="n">
        <v>45519</v>
      </c>
      <c r="C1166" s="1" t="n">
        <v>45696</v>
      </c>
      <c r="D1166" t="inlineStr">
        <is>
          <t>UPPSALA LÄN</t>
        </is>
      </c>
      <c r="E1166" t="inlineStr">
        <is>
          <t>ÖSTHAMMAR</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33552-2024</t>
        </is>
      </c>
      <c r="B1167" s="1" t="n">
        <v>45519</v>
      </c>
      <c r="C1167" s="1" t="n">
        <v>45696</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33553-2024</t>
        </is>
      </c>
      <c r="B1168" s="1" t="n">
        <v>45519</v>
      </c>
      <c r="C1168" s="1" t="n">
        <v>45696</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33599-2024</t>
        </is>
      </c>
      <c r="B1169" s="1" t="n">
        <v>45520</v>
      </c>
      <c r="C1169" s="1" t="n">
        <v>45696</v>
      </c>
      <c r="D1169" t="inlineStr">
        <is>
          <t>UPPSALA LÄN</t>
        </is>
      </c>
      <c r="E1169" t="inlineStr">
        <is>
          <t>ÖSTHAMMAR</t>
        </is>
      </c>
      <c r="F1169" t="inlineStr">
        <is>
          <t>Övriga Aktiebolag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33603-2024</t>
        </is>
      </c>
      <c r="B1170" s="1" t="n">
        <v>45520</v>
      </c>
      <c r="C1170" s="1" t="n">
        <v>45696</v>
      </c>
      <c r="D1170" t="inlineStr">
        <is>
          <t>UPPSALA LÄN</t>
        </is>
      </c>
      <c r="E1170" t="inlineStr">
        <is>
          <t>ÖSTHAMMAR</t>
        </is>
      </c>
      <c r="F1170" t="inlineStr">
        <is>
          <t>Övriga Aktiebolag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33601-2024</t>
        </is>
      </c>
      <c r="B1171" s="1" t="n">
        <v>45520</v>
      </c>
      <c r="C1171" s="1" t="n">
        <v>45696</v>
      </c>
      <c r="D1171" t="inlineStr">
        <is>
          <t>UPPSALA LÄN</t>
        </is>
      </c>
      <c r="E1171" t="inlineStr">
        <is>
          <t>ÖSTHAMMAR</t>
        </is>
      </c>
      <c r="F1171" t="inlineStr">
        <is>
          <t>Övriga Aktiebolag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33680-2024</t>
        </is>
      </c>
      <c r="B1172" s="1" t="n">
        <v>45520</v>
      </c>
      <c r="C1172" s="1" t="n">
        <v>45696</v>
      </c>
      <c r="D1172" t="inlineStr">
        <is>
          <t>UPPSALA LÄN</t>
        </is>
      </c>
      <c r="E1172" t="inlineStr">
        <is>
          <t>ÖSTHAMMAR</t>
        </is>
      </c>
      <c r="F1172" t="inlineStr">
        <is>
          <t>Bergvik skog öst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33767-2024</t>
        </is>
      </c>
      <c r="B1173" s="1" t="n">
        <v>45520</v>
      </c>
      <c r="C1173" s="1" t="n">
        <v>45696</v>
      </c>
      <c r="D1173" t="inlineStr">
        <is>
          <t>UPPSALA LÄN</t>
        </is>
      </c>
      <c r="E1173" t="inlineStr">
        <is>
          <t>ÖSTHAMMAR</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33800-2024</t>
        </is>
      </c>
      <c r="B1174" s="1" t="n">
        <v>45520</v>
      </c>
      <c r="C1174" s="1" t="n">
        <v>45696</v>
      </c>
      <c r="D1174" t="inlineStr">
        <is>
          <t>UPPSALA LÄN</t>
        </is>
      </c>
      <c r="E1174" t="inlineStr">
        <is>
          <t>ÖSTHAMMAR</t>
        </is>
      </c>
      <c r="F1174" t="inlineStr">
        <is>
          <t>Naturvårdsverket</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33688-2024</t>
        </is>
      </c>
      <c r="B1175" s="1" t="n">
        <v>45520</v>
      </c>
      <c r="C1175" s="1" t="n">
        <v>45696</v>
      </c>
      <c r="D1175" t="inlineStr">
        <is>
          <t>UPPSALA LÄN</t>
        </is>
      </c>
      <c r="E1175" t="inlineStr">
        <is>
          <t>ÖSTHAMMAR</t>
        </is>
      </c>
      <c r="F1175" t="inlineStr">
        <is>
          <t>Bergvik skog öst AB</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33681-2024</t>
        </is>
      </c>
      <c r="B1176" s="1" t="n">
        <v>45520</v>
      </c>
      <c r="C1176" s="1" t="n">
        <v>45696</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33685-2024</t>
        </is>
      </c>
      <c r="B1177" s="1" t="n">
        <v>45520</v>
      </c>
      <c r="C1177" s="1" t="n">
        <v>45696</v>
      </c>
      <c r="D1177" t="inlineStr">
        <is>
          <t>UPPSALA LÄN</t>
        </is>
      </c>
      <c r="E1177" t="inlineStr">
        <is>
          <t>ÖSTHAMMAR</t>
        </is>
      </c>
      <c r="F1177" t="inlineStr">
        <is>
          <t>Bergvik skog öst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33760-2024</t>
        </is>
      </c>
      <c r="B1178" s="1" t="n">
        <v>45520</v>
      </c>
      <c r="C1178" s="1" t="n">
        <v>45696</v>
      </c>
      <c r="D1178" t="inlineStr">
        <is>
          <t>UPPSALA LÄN</t>
        </is>
      </c>
      <c r="E1178" t="inlineStr">
        <is>
          <t>ÖSTHAMMAR</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33784-2024</t>
        </is>
      </c>
      <c r="B1179" s="1" t="n">
        <v>45520</v>
      </c>
      <c r="C1179" s="1" t="n">
        <v>45696</v>
      </c>
      <c r="D1179" t="inlineStr">
        <is>
          <t>UPPSALA LÄN</t>
        </is>
      </c>
      <c r="E1179" t="inlineStr">
        <is>
          <t>ÖSTHAMMAR</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33754-2024</t>
        </is>
      </c>
      <c r="B1180" s="1" t="n">
        <v>45520</v>
      </c>
      <c r="C1180" s="1" t="n">
        <v>45696</v>
      </c>
      <c r="D1180" t="inlineStr">
        <is>
          <t>UPPSALA LÄN</t>
        </is>
      </c>
      <c r="E1180" t="inlineStr">
        <is>
          <t>ÖSTHAMMAR</t>
        </is>
      </c>
      <c r="F1180" t="inlineStr">
        <is>
          <t>Övriga Aktiebolag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33758-2024</t>
        </is>
      </c>
      <c r="B1181" s="1" t="n">
        <v>45520</v>
      </c>
      <c r="C1181" s="1" t="n">
        <v>45696</v>
      </c>
      <c r="D1181" t="inlineStr">
        <is>
          <t>UPPSALA LÄN</t>
        </is>
      </c>
      <c r="E1181" t="inlineStr">
        <is>
          <t>ÖSTHAMMAR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34185-2024</t>
        </is>
      </c>
      <c r="B1182" s="1" t="n">
        <v>45524</v>
      </c>
      <c r="C1182" s="1" t="n">
        <v>45696</v>
      </c>
      <c r="D1182" t="inlineStr">
        <is>
          <t>UPPSALA LÄN</t>
        </is>
      </c>
      <c r="E1182" t="inlineStr">
        <is>
          <t>ÖSTHAMMAR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34189-2024</t>
        </is>
      </c>
      <c r="B1183" s="1" t="n">
        <v>45524</v>
      </c>
      <c r="C1183" s="1" t="n">
        <v>45696</v>
      </c>
      <c r="D1183" t="inlineStr">
        <is>
          <t>UPPSALA LÄN</t>
        </is>
      </c>
      <c r="E1183" t="inlineStr">
        <is>
          <t>ÖSTHAMMAR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34178-2024</t>
        </is>
      </c>
      <c r="B1184" s="1" t="n">
        <v>45524</v>
      </c>
      <c r="C1184" s="1" t="n">
        <v>45696</v>
      </c>
      <c r="D1184" t="inlineStr">
        <is>
          <t>UPPSALA LÄN</t>
        </is>
      </c>
      <c r="E1184" t="inlineStr">
        <is>
          <t>ÖSTHAMMAR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34182-2024</t>
        </is>
      </c>
      <c r="B1185" s="1" t="n">
        <v>45524</v>
      </c>
      <c r="C1185" s="1" t="n">
        <v>45696</v>
      </c>
      <c r="D1185" t="inlineStr">
        <is>
          <t>UPPSALA LÄN</t>
        </is>
      </c>
      <c r="E1185" t="inlineStr">
        <is>
          <t>ÖSTHAMMAR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35321-2024</t>
        </is>
      </c>
      <c r="B1186" s="1" t="n">
        <v>45530</v>
      </c>
      <c r="C1186" s="1" t="n">
        <v>45696</v>
      </c>
      <c r="D1186" t="inlineStr">
        <is>
          <t>UPPSALA LÄN</t>
        </is>
      </c>
      <c r="E1186" t="inlineStr">
        <is>
          <t>ÖSTHAMMAR</t>
        </is>
      </c>
      <c r="F1186" t="inlineStr">
        <is>
          <t>Bergvik skog öst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35319-2024</t>
        </is>
      </c>
      <c r="B1187" s="1" t="n">
        <v>45530</v>
      </c>
      <c r="C1187" s="1" t="n">
        <v>45696</v>
      </c>
      <c r="D1187" t="inlineStr">
        <is>
          <t>UPPSALA LÄN</t>
        </is>
      </c>
      <c r="E1187" t="inlineStr">
        <is>
          <t>ÖSTHAMMAR</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35300-2024</t>
        </is>
      </c>
      <c r="B1188" s="1" t="n">
        <v>45530</v>
      </c>
      <c r="C1188" s="1" t="n">
        <v>45696</v>
      </c>
      <c r="D1188" t="inlineStr">
        <is>
          <t>UPPSALA LÄN</t>
        </is>
      </c>
      <c r="E1188" t="inlineStr">
        <is>
          <t>ÖSTHAMMAR</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35312-2024</t>
        </is>
      </c>
      <c r="B1189" s="1" t="n">
        <v>45530</v>
      </c>
      <c r="C1189" s="1" t="n">
        <v>45696</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35316-2024</t>
        </is>
      </c>
      <c r="B1190" s="1" t="n">
        <v>45530</v>
      </c>
      <c r="C1190" s="1" t="n">
        <v>45696</v>
      </c>
      <c r="D1190" t="inlineStr">
        <is>
          <t>UPPSALA LÄN</t>
        </is>
      </c>
      <c r="E1190" t="inlineStr">
        <is>
          <t>ÖSTHAMMAR</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35177-2024</t>
        </is>
      </c>
      <c r="B1191" s="1" t="n">
        <v>45530</v>
      </c>
      <c r="C1191" s="1" t="n">
        <v>45696</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35306-2024</t>
        </is>
      </c>
      <c r="B1192" s="1" t="n">
        <v>45530</v>
      </c>
      <c r="C1192" s="1" t="n">
        <v>45696</v>
      </c>
      <c r="D1192" t="inlineStr">
        <is>
          <t>UPPSALA LÄN</t>
        </is>
      </c>
      <c r="E1192" t="inlineStr">
        <is>
          <t>ÖSTHAMMAR</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35810-2024</t>
        </is>
      </c>
      <c r="B1193" s="1" t="n">
        <v>45532</v>
      </c>
      <c r="C1193" s="1" t="n">
        <v>45696</v>
      </c>
      <c r="D1193" t="inlineStr">
        <is>
          <t>UPPSALA LÄN</t>
        </is>
      </c>
      <c r="E1193" t="inlineStr">
        <is>
          <t>ÖSTHAMMAR</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35929-2024</t>
        </is>
      </c>
      <c r="B1194" s="1" t="n">
        <v>45533</v>
      </c>
      <c r="C1194" s="1" t="n">
        <v>45696</v>
      </c>
      <c r="D1194" t="inlineStr">
        <is>
          <t>UPPSALA LÄN</t>
        </is>
      </c>
      <c r="E1194" t="inlineStr">
        <is>
          <t>ÖSTHAMMAR</t>
        </is>
      </c>
      <c r="F1194" t="inlineStr">
        <is>
          <t>Övriga Aktiebolag</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35936-2024</t>
        </is>
      </c>
      <c r="B1195" s="1" t="n">
        <v>45533</v>
      </c>
      <c r="C1195" s="1" t="n">
        <v>45696</v>
      </c>
      <c r="D1195" t="inlineStr">
        <is>
          <t>UPPSALA LÄN</t>
        </is>
      </c>
      <c r="E1195" t="inlineStr">
        <is>
          <t>ÖSTHAMMAR</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35933-2024</t>
        </is>
      </c>
      <c r="B1196" s="1" t="n">
        <v>45533</v>
      </c>
      <c r="C1196" s="1" t="n">
        <v>45696</v>
      </c>
      <c r="D1196" t="inlineStr">
        <is>
          <t>UPPSALA LÄN</t>
        </is>
      </c>
      <c r="E1196" t="inlineStr">
        <is>
          <t>ÖSTHAMMAR</t>
        </is>
      </c>
      <c r="F1196" t="inlineStr">
        <is>
          <t>Övriga Aktiebolag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36171-2024</t>
        </is>
      </c>
      <c r="B1197" s="1" t="n">
        <v>45534</v>
      </c>
      <c r="C1197" s="1" t="n">
        <v>45696</v>
      </c>
      <c r="D1197" t="inlineStr">
        <is>
          <t>UPPSALA LÄN</t>
        </is>
      </c>
      <c r="E1197" t="inlineStr">
        <is>
          <t>ÖSTHAMMAR</t>
        </is>
      </c>
      <c r="F1197" t="inlineStr">
        <is>
          <t>Kyrkan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36866-2024</t>
        </is>
      </c>
      <c r="B1198" s="1" t="n">
        <v>45538</v>
      </c>
      <c r="C1198" s="1" t="n">
        <v>45696</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36847-2024</t>
        </is>
      </c>
      <c r="B1199" s="1" t="n">
        <v>45538</v>
      </c>
      <c r="C1199" s="1" t="n">
        <v>45696</v>
      </c>
      <c r="D1199" t="inlineStr">
        <is>
          <t>UPPSALA LÄN</t>
        </is>
      </c>
      <c r="E1199" t="inlineStr">
        <is>
          <t>ÖSTHAMMAR</t>
        </is>
      </c>
      <c r="F1199" t="inlineStr">
        <is>
          <t>Bergvik skog öst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36869-2024</t>
        </is>
      </c>
      <c r="B1200" s="1" t="n">
        <v>45538</v>
      </c>
      <c r="C1200" s="1" t="n">
        <v>45696</v>
      </c>
      <c r="D1200" t="inlineStr">
        <is>
          <t>UPPSALA LÄN</t>
        </is>
      </c>
      <c r="E1200" t="inlineStr">
        <is>
          <t>ÖSTHAMMAR</t>
        </is>
      </c>
      <c r="F1200" t="inlineStr">
        <is>
          <t>Bergvik skog öst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36863-2024</t>
        </is>
      </c>
      <c r="B1201" s="1" t="n">
        <v>45538</v>
      </c>
      <c r="C1201" s="1" t="n">
        <v>45696</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36897-2024</t>
        </is>
      </c>
      <c r="B1202" s="1" t="n">
        <v>45538</v>
      </c>
      <c r="C1202" s="1" t="n">
        <v>45696</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36846-2024</t>
        </is>
      </c>
      <c r="B1203" s="1" t="n">
        <v>45538</v>
      </c>
      <c r="C1203" s="1" t="n">
        <v>45696</v>
      </c>
      <c r="D1203" t="inlineStr">
        <is>
          <t>UPPSALA LÄN</t>
        </is>
      </c>
      <c r="E1203" t="inlineStr">
        <is>
          <t>ÖSTHAMMAR</t>
        </is>
      </c>
      <c r="F1203" t="inlineStr">
        <is>
          <t>Bergvik skog öst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36868-2024</t>
        </is>
      </c>
      <c r="B1204" s="1" t="n">
        <v>45538</v>
      </c>
      <c r="C1204" s="1" t="n">
        <v>45696</v>
      </c>
      <c r="D1204" t="inlineStr">
        <is>
          <t>UPPSALA LÄN</t>
        </is>
      </c>
      <c r="E1204" t="inlineStr">
        <is>
          <t>ÖSTHAMMAR</t>
        </is>
      </c>
      <c r="F1204" t="inlineStr">
        <is>
          <t>Bergvik skog öst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36898-2024</t>
        </is>
      </c>
      <c r="B1205" s="1" t="n">
        <v>45538</v>
      </c>
      <c r="C1205" s="1" t="n">
        <v>45696</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36951-2024</t>
        </is>
      </c>
      <c r="B1206" s="1" t="n">
        <v>45538</v>
      </c>
      <c r="C1206" s="1" t="n">
        <v>45696</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36950-2024</t>
        </is>
      </c>
      <c r="B1207" s="1" t="n">
        <v>45538</v>
      </c>
      <c r="C1207" s="1" t="n">
        <v>45696</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36954-2024</t>
        </is>
      </c>
      <c r="B1208" s="1" t="n">
        <v>45538</v>
      </c>
      <c r="C1208" s="1" t="n">
        <v>45696</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36940-2024</t>
        </is>
      </c>
      <c r="B1209" s="1" t="n">
        <v>45538</v>
      </c>
      <c r="C1209" s="1" t="n">
        <v>45696</v>
      </c>
      <c r="D1209" t="inlineStr">
        <is>
          <t>UPPSALA LÄN</t>
        </is>
      </c>
      <c r="E1209" t="inlineStr">
        <is>
          <t>ÖSTHAMMAR</t>
        </is>
      </c>
      <c r="F1209" t="inlineStr">
        <is>
          <t>Bergvik skog öst AB</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36948-2024</t>
        </is>
      </c>
      <c r="B1210" s="1" t="n">
        <v>45538</v>
      </c>
      <c r="C1210" s="1" t="n">
        <v>45696</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36952-2024</t>
        </is>
      </c>
      <c r="B1211" s="1" t="n">
        <v>45538</v>
      </c>
      <c r="C1211" s="1" t="n">
        <v>45696</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36956-2024</t>
        </is>
      </c>
      <c r="B1212" s="1" t="n">
        <v>45538</v>
      </c>
      <c r="C1212" s="1" t="n">
        <v>45696</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36937-2024</t>
        </is>
      </c>
      <c r="B1213" s="1" t="n">
        <v>45538</v>
      </c>
      <c r="C1213" s="1" t="n">
        <v>45696</v>
      </c>
      <c r="D1213" t="inlineStr">
        <is>
          <t>UPPSALA LÄN</t>
        </is>
      </c>
      <c r="E1213" t="inlineStr">
        <is>
          <t>ÖSTHAMMAR</t>
        </is>
      </c>
      <c r="F1213" t="inlineStr">
        <is>
          <t>Bergvik skog öst AB</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36953-2024</t>
        </is>
      </c>
      <c r="B1214" s="1" t="n">
        <v>45538</v>
      </c>
      <c r="C1214" s="1" t="n">
        <v>45696</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36958-2024</t>
        </is>
      </c>
      <c r="B1215" s="1" t="n">
        <v>45538</v>
      </c>
      <c r="C1215" s="1" t="n">
        <v>45696</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37995-2024</t>
        </is>
      </c>
      <c r="B1216" s="1" t="n">
        <v>45544</v>
      </c>
      <c r="C1216" s="1" t="n">
        <v>45696</v>
      </c>
      <c r="D1216" t="inlineStr">
        <is>
          <t>UPPSALA LÄN</t>
        </is>
      </c>
      <c r="E1216" t="inlineStr">
        <is>
          <t>ÖSTHAMMAR</t>
        </is>
      </c>
      <c r="F1216" t="inlineStr">
        <is>
          <t>Naturvårdsverket</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38003-2024</t>
        </is>
      </c>
      <c r="B1217" s="1" t="n">
        <v>45544</v>
      </c>
      <c r="C1217" s="1" t="n">
        <v>45696</v>
      </c>
      <c r="D1217" t="inlineStr">
        <is>
          <t>UPPSALA LÄN</t>
        </is>
      </c>
      <c r="E1217" t="inlineStr">
        <is>
          <t>ÖSTHAMMAR</t>
        </is>
      </c>
      <c r="F1217" t="inlineStr">
        <is>
          <t>Naturvårdsverket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38233-2024</t>
        </is>
      </c>
      <c r="B1218" s="1" t="n">
        <v>45545</v>
      </c>
      <c r="C1218" s="1" t="n">
        <v>45696</v>
      </c>
      <c r="D1218" t="inlineStr">
        <is>
          <t>UPPSALA LÄN</t>
        </is>
      </c>
      <c r="E1218" t="inlineStr">
        <is>
          <t>ÖSTHAMMAR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38572-2024</t>
        </is>
      </c>
      <c r="B1219" s="1" t="n">
        <v>45546</v>
      </c>
      <c r="C1219" s="1" t="n">
        <v>45696</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38575-2024</t>
        </is>
      </c>
      <c r="B1220" s="1" t="n">
        <v>45546</v>
      </c>
      <c r="C1220" s="1" t="n">
        <v>45696</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39341-2024</t>
        </is>
      </c>
      <c r="B1221" s="1" t="n">
        <v>45551</v>
      </c>
      <c r="C1221" s="1" t="n">
        <v>45696</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39357-2024</t>
        </is>
      </c>
      <c r="B1222" s="1" t="n">
        <v>45551</v>
      </c>
      <c r="C1222" s="1" t="n">
        <v>45696</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39491-2024</t>
        </is>
      </c>
      <c r="B1223" s="1" t="n">
        <v>45551</v>
      </c>
      <c r="C1223" s="1" t="n">
        <v>45696</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39490-2024</t>
        </is>
      </c>
      <c r="B1224" s="1" t="n">
        <v>45551</v>
      </c>
      <c r="C1224" s="1" t="n">
        <v>45696</v>
      </c>
      <c r="D1224" t="inlineStr">
        <is>
          <t>UPPSALA LÄN</t>
        </is>
      </c>
      <c r="E1224" t="inlineStr">
        <is>
          <t>ÖSTHAMMAR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39633-2024</t>
        </is>
      </c>
      <c r="B1225" s="1" t="n">
        <v>45552</v>
      </c>
      <c r="C1225" s="1" t="n">
        <v>45696</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39759-2024</t>
        </is>
      </c>
      <c r="B1226" s="1" t="n">
        <v>45552</v>
      </c>
      <c r="C1226" s="1" t="n">
        <v>45696</v>
      </c>
      <c r="D1226" t="inlineStr">
        <is>
          <t>UPPSALA LÄN</t>
        </is>
      </c>
      <c r="E1226" t="inlineStr">
        <is>
          <t>ÖSTHAMMAR</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39632-2024</t>
        </is>
      </c>
      <c r="B1227" s="1" t="n">
        <v>45552</v>
      </c>
      <c r="C1227" s="1" t="n">
        <v>45696</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39758-2024</t>
        </is>
      </c>
      <c r="B1228" s="1" t="n">
        <v>45552</v>
      </c>
      <c r="C1228" s="1" t="n">
        <v>45696</v>
      </c>
      <c r="D1228" t="inlineStr">
        <is>
          <t>UPPSALA LÄN</t>
        </is>
      </c>
      <c r="E1228" t="inlineStr">
        <is>
          <t>ÖSTHAMMAR</t>
        </is>
      </c>
      <c r="F1228" t="inlineStr">
        <is>
          <t>Bergvik skog öst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40434-2024</t>
        </is>
      </c>
      <c r="B1229" s="1" t="n">
        <v>45555</v>
      </c>
      <c r="C1229" s="1" t="n">
        <v>45696</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40454-2024</t>
        </is>
      </c>
      <c r="B1230" s="1" t="n">
        <v>45555</v>
      </c>
      <c r="C1230" s="1" t="n">
        <v>45696</v>
      </c>
      <c r="D1230" t="inlineStr">
        <is>
          <t>UPPSALA LÄN</t>
        </is>
      </c>
      <c r="E1230" t="inlineStr">
        <is>
          <t>ÖSTHAMMAR</t>
        </is>
      </c>
      <c r="F1230" t="inlineStr">
        <is>
          <t>Bergvik skog öst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41341-2024</t>
        </is>
      </c>
      <c r="B1231" s="1" t="n">
        <v>45559</v>
      </c>
      <c r="C1231" s="1" t="n">
        <v>45696</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41478-2024</t>
        </is>
      </c>
      <c r="B1232" s="1" t="n">
        <v>45560</v>
      </c>
      <c r="C1232" s="1" t="n">
        <v>45696</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41998-2024</t>
        </is>
      </c>
      <c r="B1233" s="1" t="n">
        <v>45561</v>
      </c>
      <c r="C1233" s="1" t="n">
        <v>45696</v>
      </c>
      <c r="D1233" t="inlineStr">
        <is>
          <t>UPPSALA LÄN</t>
        </is>
      </c>
      <c r="E1233" t="inlineStr">
        <is>
          <t>ÖSTHAMMAR</t>
        </is>
      </c>
      <c r="F1233" t="inlineStr">
        <is>
          <t>Bergvik skog öst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41996-2024</t>
        </is>
      </c>
      <c r="B1234" s="1" t="n">
        <v>45561</v>
      </c>
      <c r="C1234" s="1" t="n">
        <v>45696</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42225-2024</t>
        </is>
      </c>
      <c r="B1235" s="1" t="n">
        <v>45562</v>
      </c>
      <c r="C1235" s="1" t="n">
        <v>45696</v>
      </c>
      <c r="D1235" t="inlineStr">
        <is>
          <t>UPPSALA LÄN</t>
        </is>
      </c>
      <c r="E1235" t="inlineStr">
        <is>
          <t>ÖSTHAMMAR</t>
        </is>
      </c>
      <c r="F1235" t="inlineStr">
        <is>
          <t>Bergvik skog öst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42296-2024</t>
        </is>
      </c>
      <c r="B1236" s="1" t="n">
        <v>45562</v>
      </c>
      <c r="C1236" s="1" t="n">
        <v>45696</v>
      </c>
      <c r="D1236" t="inlineStr">
        <is>
          <t>UPPSALA LÄN</t>
        </is>
      </c>
      <c r="E1236" t="inlineStr">
        <is>
          <t>ÖSTHAMMAR</t>
        </is>
      </c>
      <c r="F1236" t="inlineStr">
        <is>
          <t>Bergvik skog öst AB</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42262-2024</t>
        </is>
      </c>
      <c r="B1237" s="1" t="n">
        <v>45562</v>
      </c>
      <c r="C1237" s="1" t="n">
        <v>45696</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42142-2024</t>
        </is>
      </c>
      <c r="B1238" s="1" t="n">
        <v>45562</v>
      </c>
      <c r="C1238" s="1" t="n">
        <v>45696</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42159-2024</t>
        </is>
      </c>
      <c r="B1239" s="1" t="n">
        <v>45562</v>
      </c>
      <c r="C1239" s="1" t="n">
        <v>45696</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43197-2024</t>
        </is>
      </c>
      <c r="B1240" s="1" t="n">
        <v>45567</v>
      </c>
      <c r="C1240" s="1" t="n">
        <v>45696</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43439-2024</t>
        </is>
      </c>
      <c r="B1241" s="1" t="n">
        <v>45568</v>
      </c>
      <c r="C1241" s="1" t="n">
        <v>45696</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43655-2024</t>
        </is>
      </c>
      <c r="B1242" s="1" t="n">
        <v>45569</v>
      </c>
      <c r="C1242" s="1" t="n">
        <v>45696</v>
      </c>
      <c r="D1242" t="inlineStr">
        <is>
          <t>UPPSALA LÄN</t>
        </is>
      </c>
      <c r="E1242" t="inlineStr">
        <is>
          <t>ÖSTHAMMAR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43676-2024</t>
        </is>
      </c>
      <c r="B1243" s="1" t="n">
        <v>45569</v>
      </c>
      <c r="C1243" s="1" t="n">
        <v>45696</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43685-2024</t>
        </is>
      </c>
      <c r="B1244" s="1" t="n">
        <v>45569</v>
      </c>
      <c r="C1244" s="1" t="n">
        <v>45696</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43679-2024</t>
        </is>
      </c>
      <c r="B1245" s="1" t="n">
        <v>45569</v>
      </c>
      <c r="C1245" s="1" t="n">
        <v>45696</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43666-2024</t>
        </is>
      </c>
      <c r="B1246" s="1" t="n">
        <v>45569</v>
      </c>
      <c r="C1246" s="1" t="n">
        <v>45696</v>
      </c>
      <c r="D1246" t="inlineStr">
        <is>
          <t>UPPSALA LÄN</t>
        </is>
      </c>
      <c r="E1246" t="inlineStr">
        <is>
          <t>ÖSTHAMMAR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43683-2024</t>
        </is>
      </c>
      <c r="B1247" s="1" t="n">
        <v>45569</v>
      </c>
      <c r="C1247" s="1" t="n">
        <v>45696</v>
      </c>
      <c r="D1247" t="inlineStr">
        <is>
          <t>UPPSALA LÄN</t>
        </is>
      </c>
      <c r="E1247" t="inlineStr">
        <is>
          <t>ÖSTHAMMAR</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44027-2024</t>
        </is>
      </c>
      <c r="B1248" s="1" t="n">
        <v>45572</v>
      </c>
      <c r="C1248" s="1" t="n">
        <v>45696</v>
      </c>
      <c r="D1248" t="inlineStr">
        <is>
          <t>UPPSALA LÄN</t>
        </is>
      </c>
      <c r="E1248" t="inlineStr">
        <is>
          <t>ÖSTHAMMAR</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44031-2024</t>
        </is>
      </c>
      <c r="B1249" s="1" t="n">
        <v>45572</v>
      </c>
      <c r="C1249" s="1" t="n">
        <v>45696</v>
      </c>
      <c r="D1249" t="inlineStr">
        <is>
          <t>UPPSALA LÄN</t>
        </is>
      </c>
      <c r="E1249" t="inlineStr">
        <is>
          <t>ÖSTHAMMAR</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44020-2024</t>
        </is>
      </c>
      <c r="B1250" s="1" t="n">
        <v>45572</v>
      </c>
      <c r="C1250" s="1" t="n">
        <v>45696</v>
      </c>
      <c r="D1250" t="inlineStr">
        <is>
          <t>UPPSALA LÄN</t>
        </is>
      </c>
      <c r="E1250" t="inlineStr">
        <is>
          <t>ÖSTHAMMAR</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43993-2024</t>
        </is>
      </c>
      <c r="B1251" s="1" t="n">
        <v>45572</v>
      </c>
      <c r="C1251" s="1" t="n">
        <v>45696</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44184-2024</t>
        </is>
      </c>
      <c r="B1252" s="1" t="n">
        <v>45572</v>
      </c>
      <c r="C1252" s="1" t="n">
        <v>45696</v>
      </c>
      <c r="D1252" t="inlineStr">
        <is>
          <t>UPPSALA LÄN</t>
        </is>
      </c>
      <c r="E1252" t="inlineStr">
        <is>
          <t>ÖSTHAMMAR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44124-2024</t>
        </is>
      </c>
      <c r="B1253" s="1" t="n">
        <v>45572</v>
      </c>
      <c r="C1253" s="1" t="n">
        <v>45696</v>
      </c>
      <c r="D1253" t="inlineStr">
        <is>
          <t>UPPSALA LÄN</t>
        </is>
      </c>
      <c r="E1253" t="inlineStr">
        <is>
          <t>ÖSTHAMMAR</t>
        </is>
      </c>
      <c r="F1253" t="inlineStr">
        <is>
          <t>Bergvik skog öst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44152-2024</t>
        </is>
      </c>
      <c r="B1254" s="1" t="n">
        <v>45572</v>
      </c>
      <c r="C1254" s="1" t="n">
        <v>45696</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v>
      </c>
      <c r="C1255" s="1" t="n">
        <v>45696</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44823-2024</t>
        </is>
      </c>
      <c r="B1256" s="1" t="n">
        <v>45574</v>
      </c>
      <c r="C1256" s="1" t="n">
        <v>45696</v>
      </c>
      <c r="D1256" t="inlineStr">
        <is>
          <t>UPPSALA LÄN</t>
        </is>
      </c>
      <c r="E1256" t="inlineStr">
        <is>
          <t>ÖSTHAMMAR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44832-2024</t>
        </is>
      </c>
      <c r="B1257" s="1" t="n">
        <v>45574</v>
      </c>
      <c r="C1257" s="1" t="n">
        <v>45696</v>
      </c>
      <c r="D1257" t="inlineStr">
        <is>
          <t>UPPSALA LÄN</t>
        </is>
      </c>
      <c r="E1257" t="inlineStr">
        <is>
          <t>ÖSTHAMMAR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44796-2024</t>
        </is>
      </c>
      <c r="B1258" s="1" t="n">
        <v>45574</v>
      </c>
      <c r="C1258" s="1" t="n">
        <v>45696</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45102-2024</t>
        </is>
      </c>
      <c r="B1259" s="1" t="n">
        <v>45575</v>
      </c>
      <c r="C1259" s="1" t="n">
        <v>45696</v>
      </c>
      <c r="D1259" t="inlineStr">
        <is>
          <t>UPPSALA LÄN</t>
        </is>
      </c>
      <c r="E1259" t="inlineStr">
        <is>
          <t>ÖSTHAMMAR</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45228-2024</t>
        </is>
      </c>
      <c r="B1260" s="1" t="n">
        <v>45575</v>
      </c>
      <c r="C1260" s="1" t="n">
        <v>45696</v>
      </c>
      <c r="D1260" t="inlineStr">
        <is>
          <t>UPPSALA LÄN</t>
        </is>
      </c>
      <c r="E1260" t="inlineStr">
        <is>
          <t>ÖSTHAMMAR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46488-2024</t>
        </is>
      </c>
      <c r="B1261" s="1" t="n">
        <v>45582</v>
      </c>
      <c r="C1261" s="1" t="n">
        <v>45696</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46496-2024</t>
        </is>
      </c>
      <c r="B1262" s="1" t="n">
        <v>45582</v>
      </c>
      <c r="C1262" s="1" t="n">
        <v>45696</v>
      </c>
      <c r="D1262" t="inlineStr">
        <is>
          <t>UPPSALA LÄN</t>
        </is>
      </c>
      <c r="E1262" t="inlineStr">
        <is>
          <t>ÖSTHAMMAR</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46500-2024</t>
        </is>
      </c>
      <c r="B1263" s="1" t="n">
        <v>45582</v>
      </c>
      <c r="C1263" s="1" t="n">
        <v>45696</v>
      </c>
      <c r="D1263" t="inlineStr">
        <is>
          <t>UPPSALA LÄN</t>
        </is>
      </c>
      <c r="E1263" t="inlineStr">
        <is>
          <t>ÖSTHAMMAR</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46504-2024</t>
        </is>
      </c>
      <c r="B1264" s="1" t="n">
        <v>45582</v>
      </c>
      <c r="C1264" s="1" t="n">
        <v>45696</v>
      </c>
      <c r="D1264" t="inlineStr">
        <is>
          <t>UPPSALA LÄN</t>
        </is>
      </c>
      <c r="E1264" t="inlineStr">
        <is>
          <t>ÖSTHAMMAR</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46494-2024</t>
        </is>
      </c>
      <c r="B1265" s="1" t="n">
        <v>45582</v>
      </c>
      <c r="C1265" s="1" t="n">
        <v>45696</v>
      </c>
      <c r="D1265" t="inlineStr">
        <is>
          <t>UPPSALA LÄN</t>
        </is>
      </c>
      <c r="E1265" t="inlineStr">
        <is>
          <t>ÖSTHAMMAR</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46475-2024</t>
        </is>
      </c>
      <c r="B1266" s="1" t="n">
        <v>45582</v>
      </c>
      <c r="C1266" s="1" t="n">
        <v>45696</v>
      </c>
      <c r="D1266" t="inlineStr">
        <is>
          <t>UPPSALA LÄN</t>
        </is>
      </c>
      <c r="E1266" t="inlineStr">
        <is>
          <t>ÖSTHAMMAR</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46491-2024</t>
        </is>
      </c>
      <c r="B1267" s="1" t="n">
        <v>45582</v>
      </c>
      <c r="C1267" s="1" t="n">
        <v>45696</v>
      </c>
      <c r="D1267" t="inlineStr">
        <is>
          <t>UPPSALA LÄN</t>
        </is>
      </c>
      <c r="E1267" t="inlineStr">
        <is>
          <t>ÖSTHAMMAR</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46624-2024</t>
        </is>
      </c>
      <c r="B1268" s="1" t="n">
        <v>45583</v>
      </c>
      <c r="C1268" s="1" t="n">
        <v>45696</v>
      </c>
      <c r="D1268" t="inlineStr">
        <is>
          <t>UPPSALA LÄN</t>
        </is>
      </c>
      <c r="E1268" t="inlineStr">
        <is>
          <t>ÖSTHAMMAR</t>
        </is>
      </c>
      <c r="F1268" t="inlineStr">
        <is>
          <t>Bergvik skog öst AB</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46818-2024</t>
        </is>
      </c>
      <c r="B1269" s="1" t="n">
        <v>45583</v>
      </c>
      <c r="C1269" s="1" t="n">
        <v>45696</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46810-2024</t>
        </is>
      </c>
      <c r="B1270" s="1" t="n">
        <v>45583</v>
      </c>
      <c r="C1270" s="1" t="n">
        <v>45696</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46631-2024</t>
        </is>
      </c>
      <c r="B1271" s="1" t="n">
        <v>45583</v>
      </c>
      <c r="C1271" s="1" t="n">
        <v>45696</v>
      </c>
      <c r="D1271" t="inlineStr">
        <is>
          <t>UPPSALA LÄN</t>
        </is>
      </c>
      <c r="E1271" t="inlineStr">
        <is>
          <t>ÖSTHAMMAR</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46811-2024</t>
        </is>
      </c>
      <c r="B1272" s="1" t="n">
        <v>45583</v>
      </c>
      <c r="C1272" s="1" t="n">
        <v>45696</v>
      </c>
      <c r="D1272" t="inlineStr">
        <is>
          <t>UPPSALA LÄN</t>
        </is>
      </c>
      <c r="E1272" t="inlineStr">
        <is>
          <t>ÖSTHAMMAR</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46645-2024</t>
        </is>
      </c>
      <c r="B1273" s="1" t="n">
        <v>45583</v>
      </c>
      <c r="C1273" s="1" t="n">
        <v>45696</v>
      </c>
      <c r="D1273" t="inlineStr">
        <is>
          <t>UPPSALA LÄN</t>
        </is>
      </c>
      <c r="E1273" t="inlineStr">
        <is>
          <t>ÖSTHAMMAR</t>
        </is>
      </c>
      <c r="F1273" t="inlineStr">
        <is>
          <t>Bergvik skog öst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47382-2024</t>
        </is>
      </c>
      <c r="B1274" s="1" t="n">
        <v>45587</v>
      </c>
      <c r="C1274" s="1" t="n">
        <v>45696</v>
      </c>
      <c r="D1274" t="inlineStr">
        <is>
          <t>UPPSALA LÄN</t>
        </is>
      </c>
      <c r="E1274" t="inlineStr">
        <is>
          <t>ÖSTHAMMAR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48083-2024</t>
        </is>
      </c>
      <c r="B1275" s="1" t="n">
        <v>45589</v>
      </c>
      <c r="C1275" s="1" t="n">
        <v>45696</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48759-2024</t>
        </is>
      </c>
      <c r="B1276" s="1" t="n">
        <v>45593</v>
      </c>
      <c r="C1276" s="1" t="n">
        <v>45696</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48856-2024</t>
        </is>
      </c>
      <c r="B1277" s="1" t="n">
        <v>45593</v>
      </c>
      <c r="C1277" s="1" t="n">
        <v>45696</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49796-2024</t>
        </is>
      </c>
      <c r="B1278" s="1" t="n">
        <v>45597</v>
      </c>
      <c r="C1278" s="1" t="n">
        <v>45696</v>
      </c>
      <c r="D1278" t="inlineStr">
        <is>
          <t>UPPSALA LÄN</t>
        </is>
      </c>
      <c r="E1278" t="inlineStr">
        <is>
          <t>ÖSTHAMMAR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50459-2024</t>
        </is>
      </c>
      <c r="B1279" s="1" t="n">
        <v>45601</v>
      </c>
      <c r="C1279" s="1" t="n">
        <v>45696</v>
      </c>
      <c r="D1279" t="inlineStr">
        <is>
          <t>UPPSALA LÄN</t>
        </is>
      </c>
      <c r="E1279" t="inlineStr">
        <is>
          <t>ÖSTHAMMAR</t>
        </is>
      </c>
      <c r="F1279" t="inlineStr">
        <is>
          <t>Övriga Aktiebolag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50849-2024</t>
        </is>
      </c>
      <c r="B1280" s="1" t="n">
        <v>45602</v>
      </c>
      <c r="C1280" s="1" t="n">
        <v>45696</v>
      </c>
      <c r="D1280" t="inlineStr">
        <is>
          <t>UPPSALA LÄN</t>
        </is>
      </c>
      <c r="E1280" t="inlineStr">
        <is>
          <t>ÖSTHAMMAR</t>
        </is>
      </c>
      <c r="F1280" t="inlineStr">
        <is>
          <t>Övriga Aktiebolag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50875-2024</t>
        </is>
      </c>
      <c r="B1281" s="1" t="n">
        <v>45602</v>
      </c>
      <c r="C1281" s="1" t="n">
        <v>45696</v>
      </c>
      <c r="D1281" t="inlineStr">
        <is>
          <t>UPPSALA LÄN</t>
        </is>
      </c>
      <c r="E1281" t="inlineStr">
        <is>
          <t>ÖSTHAMMAR</t>
        </is>
      </c>
      <c r="F1281" t="inlineStr">
        <is>
          <t>Övriga Aktiebolag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50927-2024</t>
        </is>
      </c>
      <c r="B1282" s="1" t="n">
        <v>45602</v>
      </c>
      <c r="C1282" s="1" t="n">
        <v>45696</v>
      </c>
      <c r="D1282" t="inlineStr">
        <is>
          <t>UPPSALA LÄN</t>
        </is>
      </c>
      <c r="E1282" t="inlineStr">
        <is>
          <t>ÖSTHAMMAR</t>
        </is>
      </c>
      <c r="F1282" t="inlineStr">
        <is>
          <t>Bergvik skog öst AB</t>
        </is>
      </c>
      <c r="G1282" t="n">
        <v>45.4</v>
      </c>
      <c r="H1282" t="n">
        <v>0</v>
      </c>
      <c r="I1282" t="n">
        <v>0</v>
      </c>
      <c r="J1282" t="n">
        <v>0</v>
      </c>
      <c r="K1282" t="n">
        <v>0</v>
      </c>
      <c r="L1282" t="n">
        <v>0</v>
      </c>
      <c r="M1282" t="n">
        <v>0</v>
      </c>
      <c r="N1282" t="n">
        <v>0</v>
      </c>
      <c r="O1282" t="n">
        <v>0</v>
      </c>
      <c r="P1282" t="n">
        <v>0</v>
      </c>
      <c r="Q1282" t="n">
        <v>0</v>
      </c>
      <c r="R1282" s="2" t="inlineStr"/>
    </row>
    <row r="1283" ht="15" customHeight="1">
      <c r="A1283" t="inlineStr">
        <is>
          <t>A 50924-2024</t>
        </is>
      </c>
      <c r="B1283" s="1" t="n">
        <v>45602</v>
      </c>
      <c r="C1283" s="1" t="n">
        <v>45696</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50844-2024</t>
        </is>
      </c>
      <c r="B1284" s="1" t="n">
        <v>45602</v>
      </c>
      <c r="C1284" s="1" t="n">
        <v>45696</v>
      </c>
      <c r="D1284" t="inlineStr">
        <is>
          <t>UPPSALA LÄN</t>
        </is>
      </c>
      <c r="E1284" t="inlineStr">
        <is>
          <t>ÖSTHAMMAR</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50853-2024</t>
        </is>
      </c>
      <c r="B1285" s="1" t="n">
        <v>45602</v>
      </c>
      <c r="C1285" s="1" t="n">
        <v>45696</v>
      </c>
      <c r="D1285" t="inlineStr">
        <is>
          <t>UPPSALA LÄN</t>
        </is>
      </c>
      <c r="E1285" t="inlineStr">
        <is>
          <t>ÖSTHAMMAR</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52306-2024</t>
        </is>
      </c>
      <c r="B1286" s="1" t="n">
        <v>45608</v>
      </c>
      <c r="C1286" s="1" t="n">
        <v>45696</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52440-2024</t>
        </is>
      </c>
      <c r="B1287" s="1" t="n">
        <v>45609</v>
      </c>
      <c r="C1287" s="1" t="n">
        <v>45696</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52468-2024</t>
        </is>
      </c>
      <c r="B1288" s="1" t="n">
        <v>45609</v>
      </c>
      <c r="C1288" s="1" t="n">
        <v>45696</v>
      </c>
      <c r="D1288" t="inlineStr">
        <is>
          <t>UPPSALA LÄN</t>
        </is>
      </c>
      <c r="E1288" t="inlineStr">
        <is>
          <t>ÖSTHAMMAR</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52469-2024</t>
        </is>
      </c>
      <c r="B1289" s="1" t="n">
        <v>45609</v>
      </c>
      <c r="C1289" s="1" t="n">
        <v>45696</v>
      </c>
      <c r="D1289" t="inlineStr">
        <is>
          <t>UPPSALA LÄN</t>
        </is>
      </c>
      <c r="E1289" t="inlineStr">
        <is>
          <t>ÖSTHAMMAR</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52485-2024</t>
        </is>
      </c>
      <c r="B1290" s="1" t="n">
        <v>45609</v>
      </c>
      <c r="C1290" s="1" t="n">
        <v>45696</v>
      </c>
      <c r="D1290" t="inlineStr">
        <is>
          <t>UPPSALA LÄN</t>
        </is>
      </c>
      <c r="E1290" t="inlineStr">
        <is>
          <t>ÖSTHAMMAR</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52470-2024</t>
        </is>
      </c>
      <c r="B1291" s="1" t="n">
        <v>45609</v>
      </c>
      <c r="C1291" s="1" t="n">
        <v>45696</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52478-2024</t>
        </is>
      </c>
      <c r="B1292" s="1" t="n">
        <v>45609</v>
      </c>
      <c r="C1292" s="1" t="n">
        <v>45696</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52534-2024</t>
        </is>
      </c>
      <c r="B1293" s="1" t="n">
        <v>45609</v>
      </c>
      <c r="C1293" s="1" t="n">
        <v>45696</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52890-2024</t>
        </is>
      </c>
      <c r="B1294" s="1" t="n">
        <v>45610</v>
      </c>
      <c r="C1294" s="1" t="n">
        <v>45696</v>
      </c>
      <c r="D1294" t="inlineStr">
        <is>
          <t>UPPSALA LÄN</t>
        </is>
      </c>
      <c r="E1294" t="inlineStr">
        <is>
          <t>ÖSTHAMMAR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53095-2024</t>
        </is>
      </c>
      <c r="B1295" s="1" t="n">
        <v>45611</v>
      </c>
      <c r="C1295" s="1" t="n">
        <v>45696</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53913-2024</t>
        </is>
      </c>
      <c r="B1296" s="1" t="n">
        <v>45615</v>
      </c>
      <c r="C1296" s="1" t="n">
        <v>45696</v>
      </c>
      <c r="D1296" t="inlineStr">
        <is>
          <t>UPPSALA LÄN</t>
        </is>
      </c>
      <c r="E1296" t="inlineStr">
        <is>
          <t>ÖSTHAMMAR</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54397-2024</t>
        </is>
      </c>
      <c r="B1297" s="1" t="n">
        <v>45617</v>
      </c>
      <c r="C1297" s="1" t="n">
        <v>45696</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54402-2024</t>
        </is>
      </c>
      <c r="B1298" s="1" t="n">
        <v>45617</v>
      </c>
      <c r="C1298" s="1" t="n">
        <v>45696</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54437-2024</t>
        </is>
      </c>
      <c r="B1299" s="1" t="n">
        <v>45617</v>
      </c>
      <c r="C1299" s="1" t="n">
        <v>45696</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54759-2024</t>
        </is>
      </c>
      <c r="B1300" s="1" t="n">
        <v>45618</v>
      </c>
      <c r="C1300" s="1" t="n">
        <v>45696</v>
      </c>
      <c r="D1300" t="inlineStr">
        <is>
          <t>UPPSALA LÄN</t>
        </is>
      </c>
      <c r="E1300" t="inlineStr">
        <is>
          <t>ÖSTHAMMAR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54934-2024</t>
        </is>
      </c>
      <c r="B1301" s="1" t="n">
        <v>45618</v>
      </c>
      <c r="C1301" s="1" t="n">
        <v>45696</v>
      </c>
      <c r="D1301" t="inlineStr">
        <is>
          <t>UPPSALA LÄN</t>
        </is>
      </c>
      <c r="E1301" t="inlineStr">
        <is>
          <t>ÖSTHAMMAR</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54935-2024</t>
        </is>
      </c>
      <c r="B1302" s="1" t="n">
        <v>45618</v>
      </c>
      <c r="C1302" s="1" t="n">
        <v>45696</v>
      </c>
      <c r="D1302" t="inlineStr">
        <is>
          <t>UPPSALA LÄN</t>
        </is>
      </c>
      <c r="E1302" t="inlineStr">
        <is>
          <t>ÖSTHAMMAR</t>
        </is>
      </c>
      <c r="F1302" t="inlineStr">
        <is>
          <t>Bergvik skog öst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45696</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45696</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55100-2024</t>
        </is>
      </c>
      <c r="B1305" s="1" t="n">
        <v>45621</v>
      </c>
      <c r="C1305" s="1" t="n">
        <v>45696</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55086-2024</t>
        </is>
      </c>
      <c r="B1306" s="1" t="n">
        <v>45621</v>
      </c>
      <c r="C1306" s="1" t="n">
        <v>45696</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55090-2024</t>
        </is>
      </c>
      <c r="B1307" s="1" t="n">
        <v>45621</v>
      </c>
      <c r="C1307" s="1" t="n">
        <v>45696</v>
      </c>
      <c r="D1307" t="inlineStr">
        <is>
          <t>UPPSALA LÄN</t>
        </is>
      </c>
      <c r="E1307" t="inlineStr">
        <is>
          <t>ÖSTHAMMAR</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55079-2024</t>
        </is>
      </c>
      <c r="B1308" s="1" t="n">
        <v>45621</v>
      </c>
      <c r="C1308" s="1" t="n">
        <v>45696</v>
      </c>
      <c r="D1308" t="inlineStr">
        <is>
          <t>UPPSALA LÄN</t>
        </is>
      </c>
      <c r="E1308" t="inlineStr">
        <is>
          <t>ÖSTHAMMAR</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56759-2024</t>
        </is>
      </c>
      <c r="B1309" s="1" t="n">
        <v>45628</v>
      </c>
      <c r="C1309" s="1" t="n">
        <v>45696</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57187-2024</t>
        </is>
      </c>
      <c r="B1310" s="1" t="n">
        <v>45629</v>
      </c>
      <c r="C1310" s="1" t="n">
        <v>45696</v>
      </c>
      <c r="D1310" t="inlineStr">
        <is>
          <t>UPPSALA LÄN</t>
        </is>
      </c>
      <c r="E1310" t="inlineStr">
        <is>
          <t>ÖSTHAMMAR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57373-2024</t>
        </is>
      </c>
      <c r="B1311" s="1" t="n">
        <v>45629</v>
      </c>
      <c r="C1311" s="1" t="n">
        <v>45696</v>
      </c>
      <c r="D1311" t="inlineStr">
        <is>
          <t>UPPSALA LÄN</t>
        </is>
      </c>
      <c r="E1311" t="inlineStr">
        <is>
          <t>ÖSTHAMMAR</t>
        </is>
      </c>
      <c r="F1311" t="inlineStr">
        <is>
          <t>Bergvik skog öst AB</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58242-2024</t>
        </is>
      </c>
      <c r="B1312" s="1" t="n">
        <v>45632</v>
      </c>
      <c r="C1312" s="1" t="n">
        <v>45696</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58265-2024</t>
        </is>
      </c>
      <c r="B1313" s="1" t="n">
        <v>45632</v>
      </c>
      <c r="C1313" s="1" t="n">
        <v>45696</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58297-2024</t>
        </is>
      </c>
      <c r="B1314" s="1" t="n">
        <v>45632</v>
      </c>
      <c r="C1314" s="1" t="n">
        <v>45696</v>
      </c>
      <c r="D1314" t="inlineStr">
        <is>
          <t>UPPSALA LÄN</t>
        </is>
      </c>
      <c r="E1314" t="inlineStr">
        <is>
          <t>ÖSTHAMMAR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58366-2024</t>
        </is>
      </c>
      <c r="B1315" s="1" t="n">
        <v>45632</v>
      </c>
      <c r="C1315" s="1" t="n">
        <v>45696</v>
      </c>
      <c r="D1315" t="inlineStr">
        <is>
          <t>UPPSALA LÄN</t>
        </is>
      </c>
      <c r="E1315" t="inlineStr">
        <is>
          <t>ÖSTHAMMAR</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61235-2024</t>
        </is>
      </c>
      <c r="B1316" s="1" t="n">
        <v>45645</v>
      </c>
      <c r="C1316" s="1" t="n">
        <v>45696</v>
      </c>
      <c r="D1316" t="inlineStr">
        <is>
          <t>UPPSALA LÄN</t>
        </is>
      </c>
      <c r="E1316" t="inlineStr">
        <is>
          <t>ÖSTHAMMAR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45696</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45696</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61461-2024</t>
        </is>
      </c>
      <c r="B1319" s="1" t="n">
        <v>45646</v>
      </c>
      <c r="C1319" s="1" t="n">
        <v>45696</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61464-2024</t>
        </is>
      </c>
      <c r="B1320" s="1" t="n">
        <v>45646</v>
      </c>
      <c r="C1320" s="1" t="n">
        <v>45696</v>
      </c>
      <c r="D1320" t="inlineStr">
        <is>
          <t>UPPSALA LÄN</t>
        </is>
      </c>
      <c r="E1320" t="inlineStr">
        <is>
          <t>ÖSTHAMMAR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61458-2024</t>
        </is>
      </c>
      <c r="B1321" s="1" t="n">
        <v>45646</v>
      </c>
      <c r="C1321" s="1" t="n">
        <v>45696</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45696</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358-2025</t>
        </is>
      </c>
      <c r="B1323" s="1" t="n">
        <v>45659</v>
      </c>
      <c r="C1323" s="1" t="n">
        <v>45696</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835-2025</t>
        </is>
      </c>
      <c r="B1324" s="1" t="n">
        <v>45665</v>
      </c>
      <c r="C1324" s="1" t="n">
        <v>45696</v>
      </c>
      <c r="D1324" t="inlineStr">
        <is>
          <t>UPPSALA LÄN</t>
        </is>
      </c>
      <c r="E1324" t="inlineStr">
        <is>
          <t>ÖSTHAMMAR</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1063-2025</t>
        </is>
      </c>
      <c r="B1325" s="1" t="n">
        <v>45666</v>
      </c>
      <c r="C1325" s="1" t="n">
        <v>45696</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1439-2025</t>
        </is>
      </c>
      <c r="B1326" s="1" t="n">
        <v>45669</v>
      </c>
      <c r="C1326" s="1" t="n">
        <v>45696</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45696</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1525-2025</t>
        </is>
      </c>
      <c r="B1328" s="1" t="n">
        <v>45670</v>
      </c>
      <c r="C1328" s="1" t="n">
        <v>45696</v>
      </c>
      <c r="D1328" t="inlineStr">
        <is>
          <t>UPPSALA LÄN</t>
        </is>
      </c>
      <c r="E1328" t="inlineStr">
        <is>
          <t>ÖSTHAMMAR</t>
        </is>
      </c>
      <c r="F1328" t="inlineStr">
        <is>
          <t>Bergvik skog öst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1527-2025</t>
        </is>
      </c>
      <c r="B1329" s="1" t="n">
        <v>45670</v>
      </c>
      <c r="C1329" s="1" t="n">
        <v>45696</v>
      </c>
      <c r="D1329" t="inlineStr">
        <is>
          <t>UPPSALA LÄN</t>
        </is>
      </c>
      <c r="E1329" t="inlineStr">
        <is>
          <t>ÖSTHAMMAR</t>
        </is>
      </c>
      <c r="F1329" t="inlineStr">
        <is>
          <t>Bergvik skog öst AB</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1586-2025</t>
        </is>
      </c>
      <c r="B1330" s="1" t="n">
        <v>45670</v>
      </c>
      <c r="C1330" s="1" t="n">
        <v>45696</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1567-2025</t>
        </is>
      </c>
      <c r="B1331" s="1" t="n">
        <v>45670</v>
      </c>
      <c r="C1331" s="1" t="n">
        <v>45696</v>
      </c>
      <c r="D1331" t="inlineStr">
        <is>
          <t>UPPSALA LÄN</t>
        </is>
      </c>
      <c r="E1331" t="inlineStr">
        <is>
          <t>ÖSTHAMMAR</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45696</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1584-2025</t>
        </is>
      </c>
      <c r="B1333" s="1" t="n">
        <v>45670</v>
      </c>
      <c r="C1333" s="1" t="n">
        <v>45696</v>
      </c>
      <c r="D1333" t="inlineStr">
        <is>
          <t>UPPSALA LÄN</t>
        </is>
      </c>
      <c r="E1333" t="inlineStr">
        <is>
          <t>ÖSTHAMMAR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2839-2025</t>
        </is>
      </c>
      <c r="B1334" s="1" t="n">
        <v>45677</v>
      </c>
      <c r="C1334" s="1" t="n">
        <v>45696</v>
      </c>
      <c r="D1334" t="inlineStr">
        <is>
          <t>UPPSALA LÄN</t>
        </is>
      </c>
      <c r="E1334" t="inlineStr">
        <is>
          <t>ÖSTHAMMAR</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2847-2025</t>
        </is>
      </c>
      <c r="B1335" s="1" t="n">
        <v>45677</v>
      </c>
      <c r="C1335" s="1" t="n">
        <v>45696</v>
      </c>
      <c r="D1335" t="inlineStr">
        <is>
          <t>UPPSALA LÄN</t>
        </is>
      </c>
      <c r="E1335" t="inlineStr">
        <is>
          <t>ÖSTHAMMAR</t>
        </is>
      </c>
      <c r="F1335" t="inlineStr">
        <is>
          <t>Övriga Aktiebolag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45696</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2947-2025</t>
        </is>
      </c>
      <c r="B1337" s="1" t="n">
        <v>45678</v>
      </c>
      <c r="C1337" s="1" t="n">
        <v>45696</v>
      </c>
      <c r="D1337" t="inlineStr">
        <is>
          <t>UPPSALA LÄN</t>
        </is>
      </c>
      <c r="E1337" t="inlineStr">
        <is>
          <t>ÖSTHAMMAR</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45696</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3259-2025</t>
        </is>
      </c>
      <c r="B1339" s="1" t="n">
        <v>45679</v>
      </c>
      <c r="C1339" s="1" t="n">
        <v>45696</v>
      </c>
      <c r="D1339" t="inlineStr">
        <is>
          <t>UPPSALA LÄN</t>
        </is>
      </c>
      <c r="E1339" t="inlineStr">
        <is>
          <t>ÖSTHAMMAR</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3420-2025</t>
        </is>
      </c>
      <c r="B1340" s="1" t="n">
        <v>45680</v>
      </c>
      <c r="C1340" s="1" t="n">
        <v>45696</v>
      </c>
      <c r="D1340" t="inlineStr">
        <is>
          <t>UPPSALA LÄN</t>
        </is>
      </c>
      <c r="E1340" t="inlineStr">
        <is>
          <t>ÖSTHAMMAR</t>
        </is>
      </c>
      <c r="F1340" t="inlineStr">
        <is>
          <t>Bergvik skog väst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45696</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4099-2025</t>
        </is>
      </c>
      <c r="B1342" s="1" t="n">
        <v>45684</v>
      </c>
      <c r="C1342" s="1" t="n">
        <v>45696</v>
      </c>
      <c r="D1342" t="inlineStr">
        <is>
          <t>UPPSALA LÄN</t>
        </is>
      </c>
      <c r="E1342" t="inlineStr">
        <is>
          <t>ÖSTHAMMAR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45696</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4292-2025</t>
        </is>
      </c>
      <c r="B1344" s="1" t="n">
        <v>45685</v>
      </c>
      <c r="C1344" s="1" t="n">
        <v>45696</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4304-2025</t>
        </is>
      </c>
      <c r="B1345" s="1" t="n">
        <v>45685</v>
      </c>
      <c r="C1345" s="1" t="n">
        <v>45696</v>
      </c>
      <c r="D1345" t="inlineStr">
        <is>
          <t>UPPSALA LÄN</t>
        </is>
      </c>
      <c r="E1345" t="inlineStr">
        <is>
          <t>ÖSTHAMMAR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45696</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4635-2025</t>
        </is>
      </c>
      <c r="B1347" s="1" t="n">
        <v>45687</v>
      </c>
      <c r="C1347" s="1" t="n">
        <v>45696</v>
      </c>
      <c r="D1347" t="inlineStr">
        <is>
          <t>UPPSALA LÄN</t>
        </is>
      </c>
      <c r="E1347" t="inlineStr">
        <is>
          <t>ÖSTHAMMAR</t>
        </is>
      </c>
      <c r="F1347" t="inlineStr">
        <is>
          <t>Övriga Aktiebolag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4643-2025</t>
        </is>
      </c>
      <c r="B1348" s="1" t="n">
        <v>45687</v>
      </c>
      <c r="C1348" s="1" t="n">
        <v>45696</v>
      </c>
      <c r="D1348" t="inlineStr">
        <is>
          <t>UPPSALA LÄN</t>
        </is>
      </c>
      <c r="E1348" t="inlineStr">
        <is>
          <t>ÖSTHAMMAR</t>
        </is>
      </c>
      <c r="F1348" t="inlineStr">
        <is>
          <t>Övriga Aktiebolag</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4676-2025</t>
        </is>
      </c>
      <c r="B1349" s="1" t="n">
        <v>45687</v>
      </c>
      <c r="C1349" s="1" t="n">
        <v>45696</v>
      </c>
      <c r="D1349" t="inlineStr">
        <is>
          <t>UPPSALA LÄN</t>
        </is>
      </c>
      <c r="E1349" t="inlineStr">
        <is>
          <t>ÖSTHAMMAR</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45696</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45696</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4701-2025</t>
        </is>
      </c>
      <c r="B1352" s="1" t="n">
        <v>45688</v>
      </c>
      <c r="C1352" s="1" t="n">
        <v>45696</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5076-2025</t>
        </is>
      </c>
      <c r="B1353" s="1" t="n">
        <v>45691</v>
      </c>
      <c r="C1353" s="1" t="n">
        <v>45696</v>
      </c>
      <c r="D1353" t="inlineStr">
        <is>
          <t>UPPSALA LÄN</t>
        </is>
      </c>
      <c r="E1353" t="inlineStr">
        <is>
          <t>ÖSTHAMMAR</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45696</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45696</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45696</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5254-2025</t>
        </is>
      </c>
      <c r="B1357" s="1" t="n">
        <v>45692</v>
      </c>
      <c r="C1357" s="1" t="n">
        <v>45696</v>
      </c>
      <c r="D1357" t="inlineStr">
        <is>
          <t>UPPSALA LÄN</t>
        </is>
      </c>
      <c r="E1357" t="inlineStr">
        <is>
          <t>ÖSTHAMMAR</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5344-2025</t>
        </is>
      </c>
      <c r="B1358" s="1" t="n">
        <v>45692</v>
      </c>
      <c r="C1358" s="1" t="n">
        <v>45696</v>
      </c>
      <c r="D1358" t="inlineStr">
        <is>
          <t>UPPSALA LÄN</t>
        </is>
      </c>
      <c r="E1358" t="inlineStr">
        <is>
          <t>ÖSTHAMMAR</t>
        </is>
      </c>
      <c r="F1358" t="inlineStr">
        <is>
          <t>Bergvik skog öst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5303-2025</t>
        </is>
      </c>
      <c r="B1359" s="1" t="n">
        <v>45692</v>
      </c>
      <c r="C1359" s="1" t="n">
        <v>45696</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5261-2025</t>
        </is>
      </c>
      <c r="B1360" s="1" t="n">
        <v>45692</v>
      </c>
      <c r="C1360" s="1" t="n">
        <v>45696</v>
      </c>
      <c r="D1360" t="inlineStr">
        <is>
          <t>UPPSALA LÄN</t>
        </is>
      </c>
      <c r="E1360" t="inlineStr">
        <is>
          <t>ÖSTHAMMAR</t>
        </is>
      </c>
      <c r="F1360" t="inlineStr">
        <is>
          <t>Övriga Aktiebolag</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5511-2025</t>
        </is>
      </c>
      <c r="B1361" s="1" t="n">
        <v>45693</v>
      </c>
      <c r="C1361" s="1" t="n">
        <v>45696</v>
      </c>
      <c r="D1361" t="inlineStr">
        <is>
          <t>UPPSALA LÄN</t>
        </is>
      </c>
      <c r="E1361" t="inlineStr">
        <is>
          <t>ÖSTHAMMAR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5962-2025</t>
        </is>
      </c>
      <c r="B1362" s="1" t="n">
        <v>45695</v>
      </c>
      <c r="C1362" s="1" t="n">
        <v>45696</v>
      </c>
      <c r="D1362" t="inlineStr">
        <is>
          <t>UPPSALA LÄN</t>
        </is>
      </c>
      <c r="E1362" t="inlineStr">
        <is>
          <t>ÖSTHAMMAR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45696</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6046-2025</t>
        </is>
      </c>
      <c r="B1364" s="1" t="n">
        <v>45695</v>
      </c>
      <c r="C1364" s="1" t="n">
        <v>45696</v>
      </c>
      <c r="D1364" t="inlineStr">
        <is>
          <t>UPPSALA LÄN</t>
        </is>
      </c>
      <c r="E1364" t="inlineStr">
        <is>
          <t>ÖSTHAMMAR</t>
        </is>
      </c>
      <c r="G1364" t="n">
        <v>0.8</v>
      </c>
      <c r="H1364" t="n">
        <v>0</v>
      </c>
      <c r="I1364" t="n">
        <v>0</v>
      </c>
      <c r="J1364" t="n">
        <v>0</v>
      </c>
      <c r="K1364" t="n">
        <v>0</v>
      </c>
      <c r="L1364" t="n">
        <v>0</v>
      </c>
      <c r="M1364" t="n">
        <v>0</v>
      </c>
      <c r="N1364" t="n">
        <v>0</v>
      </c>
      <c r="O1364" t="n">
        <v>0</v>
      </c>
      <c r="P1364" t="n">
        <v>0</v>
      </c>
      <c r="Q1364" t="n">
        <v>0</v>
      </c>
      <c r="R1364" s="2" t="inlineStr"/>
      <c r="U1364">
        <f>HYPERLINK("https://klasma.github.io/Logging_0382/knärot/A 6046-2025 karta knärot.png", "A 6046-2025")</f>
        <v/>
      </c>
      <c r="V1364">
        <f>HYPERLINK("https://klasma.github.io/Logging_0382/klagomål/A 6046-2025 FSC-klagomål.docx", "A 6046-2025")</f>
        <v/>
      </c>
      <c r="W1364">
        <f>HYPERLINK("https://klasma.github.io/Logging_0382/klagomålsmail/A 6046-2025 FSC-klagomål mail.docx", "A 6046-2025")</f>
        <v/>
      </c>
      <c r="X1364">
        <f>HYPERLINK("https://klasma.github.io/Logging_0382/tillsyn/A 6046-2025 tillsynsbegäran.docx", "A 6046-2025")</f>
        <v/>
      </c>
      <c r="Y1364">
        <f>HYPERLINK("https://klasma.github.io/Logging_0382/tillsynsmail/A 6046-2025 tillsynsbegäran mail.docx", "A 6046-2025")</f>
        <v/>
      </c>
    </row>
    <row r="1365" ht="15" customHeight="1">
      <c r="A1365" t="inlineStr">
        <is>
          <t>A 6039-2025</t>
        </is>
      </c>
      <c r="B1365" s="1" t="n">
        <v>45695</v>
      </c>
      <c r="C1365" s="1" t="n">
        <v>45696</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c r="A1366" t="inlineStr">
        <is>
          <t>A 6048-2025</t>
        </is>
      </c>
      <c r="B1366" s="1" t="n">
        <v>45695</v>
      </c>
      <c r="C1366" s="1" t="n">
        <v>45696</v>
      </c>
      <c r="D1366" t="inlineStr">
        <is>
          <t>UPPSALA LÄN</t>
        </is>
      </c>
      <c r="E1366" t="inlineStr">
        <is>
          <t>ÖSTHAMMAR</t>
        </is>
      </c>
      <c r="G1366" t="n">
        <v>1.1</v>
      </c>
      <c r="H1366" t="n">
        <v>0</v>
      </c>
      <c r="I1366" t="n">
        <v>0</v>
      </c>
      <c r="J1366" t="n">
        <v>0</v>
      </c>
      <c r="K1366" t="n">
        <v>0</v>
      </c>
      <c r="L1366" t="n">
        <v>0</v>
      </c>
      <c r="M1366" t="n">
        <v>0</v>
      </c>
      <c r="N1366" t="n">
        <v>0</v>
      </c>
      <c r="O1366" t="n">
        <v>0</v>
      </c>
      <c r="P1366" t="n">
        <v>0</v>
      </c>
      <c r="Q1366" t="n">
        <v>0</v>
      </c>
      <c r="R1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2025-02-08T17:03:54Z</dcterms:created>
  <dcterms:modified xmlns:dcterms="http://purl.org/dc/terms/" xmlns:xsi="http://www.w3.org/2001/XMLSchema-instance" xsi:type="dcterms:W3CDTF">2025-02-08T17:03:55Z</dcterms:modified>
</cp:coreProperties>
</file>